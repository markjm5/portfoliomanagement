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omments/comment1.xml" ContentType="application/vnd.openxmlformats-officedocument.spreadsheetml.comment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8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9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49180" yWindow="-300" windowWidth="40040" windowHeight="28020" tabRatio="600" firstSheet="0" activeTab="4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Big Picture" sheetId="2" state="visible" r:id="rId2"/>
    <sheet xmlns:r="http://schemas.openxmlformats.org/officeDocument/2006/relationships" name="World Production data" sheetId="3" state="visible" r:id="rId3"/>
    <sheet xmlns:r="http://schemas.openxmlformats.org/officeDocument/2006/relationships" name="Database" sheetId="4" state="visible" r:id="rId4"/>
    <sheet xmlns:r="http://schemas.openxmlformats.org/officeDocument/2006/relationships" name="Data World GDP" sheetId="5" state="visible" r:id="rId5"/>
    <sheet xmlns:r="http://schemas.openxmlformats.org/officeDocument/2006/relationships" name="Industrial production yoy" sheetId="6" state="visible" r:id="rId6"/>
    <sheet xmlns:r="http://schemas.openxmlformats.org/officeDocument/2006/relationships" name="IP World" sheetId="7" state="visible" r:id="rId7"/>
    <sheet xmlns:r="http://schemas.openxmlformats.org/officeDocument/2006/relationships" name="Per country" sheetId="8" state="visible" r:id="rId8"/>
    <sheet xmlns:r="http://schemas.openxmlformats.org/officeDocument/2006/relationships" name="China" sheetId="9" state="visible" r:id="rId9"/>
  </sheets>
  <definedNames>
    <definedName name="_xlnm._FilterDatabase" localSheetId="0" hidden="1">'Note'!$O$12:$P$12</definedName>
    <definedName name="_xlnm._FilterDatabase" localSheetId="2" hidden="1">'World Production data'!$A$1:$E$1</definedName>
  </definedNames>
  <calcPr calcId="191029" fullCalcOnLoad="1"/>
</workbook>
</file>

<file path=xl/styles.xml><?xml version="1.0" encoding="utf-8"?>
<styleSheet xmlns="http://schemas.openxmlformats.org/spreadsheetml/2006/main">
  <numFmts count="4">
    <numFmt numFmtId="164" formatCode="0.0"/>
    <numFmt numFmtId="165" formatCode="0.000%"/>
    <numFmt numFmtId="166" formatCode="0.0%"/>
    <numFmt numFmtId="167" formatCode="0.000"/>
  </numFmts>
  <fonts count="23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color theme="1"/>
      <sz val="10"/>
      <scheme val="minor"/>
    </font>
    <font>
      <name val="Calibri"/>
      <family val="2"/>
      <color rgb="FF00B0F0"/>
      <sz val="9"/>
      <scheme val="minor"/>
    </font>
    <font>
      <name val="Calibri"/>
      <family val="2"/>
      <color rgb="FF00B0F0"/>
      <sz val="11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color theme="0"/>
      <sz val="14"/>
      <scheme val="minor"/>
    </font>
    <font>
      <name val="Arial"/>
      <family val="2"/>
      <sz val="11"/>
    </font>
    <font>
      <name val="Calibri"/>
      <family val="2"/>
      <b val="1"/>
      <color theme="0"/>
      <sz val="14"/>
      <scheme val="minor"/>
    </font>
    <font>
      <name val="Arial"/>
      <family val="2"/>
      <color rgb="FFFFFFFF"/>
      <sz val="11"/>
    </font>
    <font>
      <name val="Arial"/>
      <family val="2"/>
      <color rgb="FF333333"/>
      <sz val="11"/>
    </font>
    <font>
      <name val="Calibri"/>
      <family val="2"/>
      <color rgb="FF000000"/>
      <sz val="11"/>
      <scheme val="minor"/>
    </font>
  </fonts>
  <fills count="14">
    <fill>
      <patternFill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theme="4" tint="0.799981688894314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FFFF"/>
        <bgColor rgb="FF000000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"/>
      </left>
      <right/>
      <top style="thin">
        <color theme="4" tint="0.3999755851924192"/>
      </top>
      <bottom style="thin">
        <color theme="4" tint="0.3999755851924192"/>
      </bottom>
      <diagonal/>
    </border>
    <border>
      <left/>
      <right style="thin">
        <color theme="4" tint="0.3999755851924192"/>
      </right>
      <top style="thin">
        <color theme="4" tint="0.3999755851924192"/>
      </top>
      <bottom style="thin">
        <color theme="4" tint="0.399975585192419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4" tint="0.3999755851924192"/>
      </left>
      <right/>
      <top style="thin">
        <color theme="4" tint="0.3999755851924192"/>
      </top>
      <bottom/>
      <diagonal/>
    </border>
    <border>
      <left/>
      <right style="thin">
        <color theme="4" tint="0.3999755851924192"/>
      </right>
      <top style="thin">
        <color theme="4" tint="0.3999755851924192"/>
      </top>
      <bottom/>
      <diagonal/>
    </border>
    <border>
      <left style="thin">
        <color theme="4" tint="0.3999755851924192"/>
      </left>
      <right/>
      <top/>
      <bottom style="thin">
        <color theme="4" tint="0.3999755851924192"/>
      </bottom>
      <diagonal/>
    </border>
    <border>
      <left/>
      <right style="thin">
        <color theme="4" tint="0.3999755851924192"/>
      </right>
      <top/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1" fillId="0" borderId="0"/>
    <xf numFmtId="9" fontId="1" fillId="0" borderId="0"/>
    <xf numFmtId="0" fontId="9" fillId="0" borderId="0"/>
    <xf numFmtId="0" fontId="14" fillId="0" borderId="0"/>
  </cellStyleXfs>
  <cellXfs count="121">
    <xf numFmtId="0" fontId="0" fillId="0" borderId="0" pivotButton="0" quotePrefix="0" xfId="0"/>
    <xf numFmtId="17" fontId="0" fillId="0" borderId="0" pivotButton="0" quotePrefix="0" xfId="0"/>
    <xf numFmtId="14" fontId="0" fillId="0" borderId="0" pivotButton="0" quotePrefix="0" xfId="0"/>
    <xf numFmtId="10" fontId="8" fillId="7" borderId="1" applyAlignment="1" pivotButton="0" quotePrefix="0" xfId="0">
      <alignment horizontal="center" vertical="center"/>
    </xf>
    <xf numFmtId="2" fontId="8" fillId="7" borderId="1" applyAlignment="1" pivotButton="0" quotePrefix="0" xfId="0">
      <alignment horizontal="center" vertical="center"/>
    </xf>
    <xf numFmtId="164" fontId="6" fillId="0" borderId="1" applyAlignment="1" pivotButton="0" quotePrefix="0" xfId="0">
      <alignment horizontal="center" vertical="center"/>
    </xf>
    <xf numFmtId="10" fontId="0" fillId="0" borderId="0" pivotButton="0" quotePrefix="0" xfId="0"/>
    <xf numFmtId="165" fontId="0" fillId="0" borderId="0" pivotButton="0" quotePrefix="0" xfId="0"/>
    <xf numFmtId="0" fontId="3" fillId="8" borderId="0" pivotButton="0" quotePrefix="0" xfId="0"/>
    <xf numFmtId="166" fontId="0" fillId="0" borderId="0" pivotButton="0" quotePrefix="0" xfId="0"/>
    <xf numFmtId="0" fontId="9" fillId="0" borderId="0" pivotButton="0" quotePrefix="0" xfId="2"/>
    <xf numFmtId="166" fontId="10" fillId="3" borderId="1" applyAlignment="1" pivotButton="0" quotePrefix="0" xfId="0">
      <alignment horizontal="center"/>
    </xf>
    <xf numFmtId="164" fontId="0" fillId="3" borderId="1" applyAlignment="1" pivotButton="0" quotePrefix="0" xfId="0">
      <alignment horizontal="center"/>
    </xf>
    <xf numFmtId="166" fontId="6" fillId="3" borderId="1" applyAlignment="1" pivotButton="0" quotePrefix="0" xfId="1">
      <alignment horizontal="center" vertical="center"/>
    </xf>
    <xf numFmtId="17" fontId="11" fillId="2" borderId="1" applyAlignment="1" pivotButton="0" quotePrefix="0" xfId="0">
      <alignment horizontal="left" vertical="top" wrapText="1"/>
    </xf>
    <xf numFmtId="0" fontId="12" fillId="3" borderId="0" pivotButton="0" quotePrefix="0" xfId="0"/>
    <xf numFmtId="17" fontId="0" fillId="3" borderId="0" pivotButton="0" quotePrefix="0" xfId="0"/>
    <xf numFmtId="166" fontId="8" fillId="7" borderId="1" applyAlignment="1" pivotButton="0" quotePrefix="0" xfId="1">
      <alignment horizontal="center" vertical="center"/>
    </xf>
    <xf numFmtId="17" fontId="5" fillId="7" borderId="1" applyAlignment="1" pivotButton="0" quotePrefix="0" xfId="0">
      <alignment vertical="top" wrapText="1"/>
    </xf>
    <xf numFmtId="166" fontId="0" fillId="3" borderId="0" pivotButton="0" quotePrefix="0" xfId="0"/>
    <xf numFmtId="2" fontId="0" fillId="3" borderId="0" pivotButton="0" quotePrefix="0" xfId="0"/>
    <xf numFmtId="166" fontId="0" fillId="3" borderId="0" applyAlignment="1" pivotButton="0" quotePrefix="0" xfId="1">
      <alignment horizontal="center"/>
    </xf>
    <xf numFmtId="17" fontId="0" fillId="3" borderId="1" applyAlignment="1" pivotButton="0" quotePrefix="0" xfId="0">
      <alignment horizontal="center"/>
    </xf>
    <xf numFmtId="2" fontId="0" fillId="3" borderId="1" applyAlignment="1" pivotButton="0" quotePrefix="0" xfId="0">
      <alignment horizontal="center"/>
    </xf>
    <xf numFmtId="166" fontId="0" fillId="3" borderId="1" applyAlignment="1" pivotButton="0" quotePrefix="0" xfId="1">
      <alignment horizontal="center"/>
    </xf>
    <xf numFmtId="166" fontId="0" fillId="3" borderId="1" applyAlignment="1" pivotButton="0" quotePrefix="0" xfId="0">
      <alignment horizontal="center"/>
    </xf>
    <xf numFmtId="17" fontId="2" fillId="9" borderId="0" applyAlignment="1" pivotButton="0" quotePrefix="0" xfId="2">
      <alignment horizontal="center"/>
    </xf>
    <xf numFmtId="166" fontId="2" fillId="9" borderId="0" applyAlignment="1" pivotButton="0" quotePrefix="0" xfId="0">
      <alignment horizontal="center"/>
    </xf>
    <xf numFmtId="0" fontId="4" fillId="0" borderId="0" pivotButton="0" quotePrefix="0" xfId="0"/>
    <xf numFmtId="0" fontId="4" fillId="3" borderId="0" pivotButton="0" quotePrefix="0" xfId="0"/>
    <xf numFmtId="17" fontId="13" fillId="3" borderId="0" pivotButton="0" quotePrefix="0" xfId="0"/>
    <xf numFmtId="0" fontId="13" fillId="3" borderId="0" pivotButton="0" quotePrefix="0" xfId="0"/>
    <xf numFmtId="166" fontId="13" fillId="3" borderId="0" pivotButton="0" quotePrefix="0" xfId="0"/>
    <xf numFmtId="2" fontId="15" fillId="3" borderId="0" pivotButton="0" quotePrefix="0" xfId="0"/>
    <xf numFmtId="0" fontId="4" fillId="10" borderId="0" applyAlignment="1" pivotButton="0" quotePrefix="0" xfId="0">
      <alignment horizontal="center"/>
    </xf>
    <xf numFmtId="17" fontId="12" fillId="3" borderId="0" pivotButton="0" quotePrefix="0" xfId="0"/>
    <xf numFmtId="17" fontId="16" fillId="3" borderId="0" pivotButton="0" quotePrefix="0" xfId="0"/>
    <xf numFmtId="165" fontId="0" fillId="3" borderId="0" pivotButton="0" quotePrefix="0" xfId="0"/>
    <xf numFmtId="10" fontId="0" fillId="3" borderId="0" pivotButton="0" quotePrefix="0" xfId="0"/>
    <xf numFmtId="17" fontId="2" fillId="9" borderId="7" pivotButton="0" quotePrefix="0" xfId="2"/>
    <xf numFmtId="0" fontId="0" fillId="9" borderId="8" pivotButton="0" quotePrefix="0" xfId="0"/>
    <xf numFmtId="165" fontId="3" fillId="9" borderId="8" pivotButton="0" quotePrefix="0" xfId="0"/>
    <xf numFmtId="10" fontId="3" fillId="9" borderId="8" pivotButton="0" quotePrefix="0" xfId="0"/>
    <xf numFmtId="0" fontId="0" fillId="9" borderId="9" pivotButton="0" quotePrefix="0" xfId="0"/>
    <xf numFmtId="167" fontId="0" fillId="3" borderId="1" applyAlignment="1" pivotButton="0" quotePrefix="0" xfId="1">
      <alignment horizontal="center"/>
    </xf>
    <xf numFmtId="14" fontId="0" fillId="3" borderId="0" pivotButton="0" quotePrefix="0" xfId="0"/>
    <xf numFmtId="14" fontId="0" fillId="3" borderId="1" pivotButton="0" quotePrefix="0" xfId="0"/>
    <xf numFmtId="14" fontId="0" fillId="11" borderId="1" pivotButton="0" quotePrefix="0" xfId="0"/>
    <xf numFmtId="166" fontId="0" fillId="11" borderId="1" applyAlignment="1" pivotButton="0" quotePrefix="0" xfId="1">
      <alignment horizontal="center"/>
    </xf>
    <xf numFmtId="164" fontId="0" fillId="9" borderId="5" applyAlignment="1" pivotButton="0" quotePrefix="0" xfId="1">
      <alignment horizontal="center" wrapText="1"/>
    </xf>
    <xf numFmtId="14" fontId="0" fillId="9" borderId="4" applyAlignment="1" pivotButton="0" quotePrefix="0" xfId="0">
      <alignment horizontal="center" wrapText="1"/>
    </xf>
    <xf numFmtId="2" fontId="0" fillId="9" borderId="6" applyAlignment="1" pivotButton="0" quotePrefix="0" xfId="0">
      <alignment horizontal="center" wrapText="1"/>
    </xf>
    <xf numFmtId="1" fontId="0" fillId="3" borderId="0" pivotButton="0" quotePrefix="0" xfId="0"/>
    <xf numFmtId="0" fontId="6" fillId="0" borderId="14" pivotButton="0" quotePrefix="0" xfId="0"/>
    <xf numFmtId="0" fontId="8" fillId="7" borderId="14" applyAlignment="1" pivotButton="0" quotePrefix="0" xfId="0">
      <alignment horizontal="center" vertical="center"/>
    </xf>
    <xf numFmtId="0" fontId="6" fillId="0" borderId="15" pivotButton="0" quotePrefix="0" xfId="0"/>
    <xf numFmtId="0" fontId="7" fillId="4" borderId="16" applyAlignment="1" pivotButton="0" quotePrefix="0" xfId="0">
      <alignment horizontal="center" textRotation="90"/>
    </xf>
    <xf numFmtId="0" fontId="7" fillId="5" borderId="16" applyAlignment="1" pivotButton="0" quotePrefix="0" xfId="0">
      <alignment horizontal="center" textRotation="90"/>
    </xf>
    <xf numFmtId="0" fontId="7" fillId="6" borderId="16" applyAlignment="1" pivotButton="0" quotePrefix="0" xfId="0">
      <alignment horizontal="center" textRotation="90"/>
    </xf>
    <xf numFmtId="0" fontId="7" fillId="7" borderId="16" applyAlignment="1" pivotButton="0" quotePrefix="0" xfId="0">
      <alignment horizontal="center" textRotation="90"/>
    </xf>
    <xf numFmtId="0" fontId="7" fillId="7" borderId="17" applyAlignment="1" pivotButton="0" quotePrefix="0" xfId="0">
      <alignment horizontal="center" textRotation="90"/>
    </xf>
    <xf numFmtId="0" fontId="6" fillId="0" borderId="18" pivotButton="0" quotePrefix="0" xfId="0"/>
    <xf numFmtId="10" fontId="8" fillId="7" borderId="19" applyAlignment="1" pivotButton="0" quotePrefix="0" xfId="0">
      <alignment horizontal="center" vertical="center"/>
    </xf>
    <xf numFmtId="2" fontId="8" fillId="7" borderId="19" applyAlignment="1" pivotButton="0" quotePrefix="0" xfId="0">
      <alignment horizontal="center" vertical="center"/>
    </xf>
    <xf numFmtId="166" fontId="8" fillId="7" borderId="19" applyAlignment="1" pivotButton="0" quotePrefix="0" xfId="1">
      <alignment horizontal="center" vertical="center"/>
    </xf>
    <xf numFmtId="0" fontId="6" fillId="0" borderId="20" pivotButton="0" quotePrefix="0" xfId="0"/>
    <xf numFmtId="166" fontId="8" fillId="7" borderId="21" applyAlignment="1" pivotButton="0" quotePrefix="0" xfId="1">
      <alignment horizontal="center" vertical="center"/>
    </xf>
    <xf numFmtId="166" fontId="8" fillId="7" borderId="22" applyAlignment="1" pivotButton="0" quotePrefix="0" xfId="1">
      <alignment horizontal="center" vertical="center"/>
    </xf>
    <xf numFmtId="0" fontId="0" fillId="3" borderId="0" applyAlignment="1" pivotButton="0" quotePrefix="0" xfId="0">
      <alignment vertical="center"/>
    </xf>
    <xf numFmtId="0" fontId="14" fillId="0" borderId="1" applyAlignment="1" pivotButton="0" quotePrefix="0" xfId="3">
      <alignment horizontal="center"/>
    </xf>
    <xf numFmtId="0" fontId="3" fillId="3" borderId="0" pivotButton="0" quotePrefix="0" xfId="0"/>
    <xf numFmtId="0" fontId="0" fillId="0" borderId="0" applyAlignment="1" pivotButton="0" quotePrefix="0" xfId="0">
      <alignment vertical="center"/>
    </xf>
    <xf numFmtId="2" fontId="0" fillId="3" borderId="0" applyAlignment="1" pivotButton="0" quotePrefix="0" xfId="0">
      <alignment horizontal="center"/>
    </xf>
    <xf numFmtId="0" fontId="17" fillId="9" borderId="7" applyAlignment="1" pivotButton="0" quotePrefix="0" xfId="0">
      <alignment horizontal="center" wrapText="1"/>
    </xf>
    <xf numFmtId="0" fontId="17" fillId="9" borderId="8" applyAlignment="1" pivotButton="0" quotePrefix="0" xfId="0">
      <alignment horizontal="center" wrapText="1"/>
    </xf>
    <xf numFmtId="0" fontId="13" fillId="7" borderId="1" applyAlignment="1" pivotButton="0" quotePrefix="0" xfId="0">
      <alignment horizontal="center"/>
    </xf>
    <xf numFmtId="0" fontId="18" fillId="7" borderId="1" applyAlignment="1" pivotButton="0" quotePrefix="0" xfId="0">
      <alignment horizontal="center" vertical="top"/>
    </xf>
    <xf numFmtId="17" fontId="18" fillId="7" borderId="1" applyAlignment="1" pivotButton="0" quotePrefix="0" xfId="0">
      <alignment horizontal="center" vertical="top"/>
    </xf>
    <xf numFmtId="0" fontId="19" fillId="9" borderId="1" applyAlignment="1" pivotButton="0" quotePrefix="0" xfId="0">
      <alignment horizontal="center" vertical="center" wrapText="1"/>
    </xf>
    <xf numFmtId="0" fontId="7" fillId="3" borderId="1" pivotButton="0" quotePrefix="0" xfId="0"/>
    <xf numFmtId="14" fontId="0" fillId="11" borderId="12" pivotButton="0" quotePrefix="0" xfId="0"/>
    <xf numFmtId="166" fontId="0" fillId="11" borderId="13" applyAlignment="1" pivotButton="0" quotePrefix="0" xfId="1">
      <alignment horizontal="center"/>
    </xf>
    <xf numFmtId="14" fontId="0" fillId="3" borderId="2" pivotButton="0" quotePrefix="0" xfId="0"/>
    <xf numFmtId="166" fontId="0" fillId="3" borderId="3" applyAlignment="1" pivotButton="0" quotePrefix="0" xfId="1">
      <alignment horizontal="center"/>
    </xf>
    <xf numFmtId="14" fontId="0" fillId="11" borderId="2" pivotButton="0" quotePrefix="0" xfId="0"/>
    <xf numFmtId="166" fontId="0" fillId="11" borderId="3" applyAlignment="1" pivotButton="0" quotePrefix="0" xfId="1">
      <alignment horizontal="center"/>
    </xf>
    <xf numFmtId="14" fontId="0" fillId="11" borderId="10" pivotButton="0" quotePrefix="0" xfId="0"/>
    <xf numFmtId="166" fontId="0" fillId="11" borderId="11" applyAlignment="1" pivotButton="0" quotePrefix="0" xfId="1">
      <alignment horizontal="center"/>
    </xf>
    <xf numFmtId="1" fontId="0" fillId="0" borderId="0" pivotButton="0" quotePrefix="0" xfId="0"/>
    <xf numFmtId="2" fontId="0" fillId="0" borderId="0" pivotButton="0" quotePrefix="0" xfId="0"/>
    <xf numFmtId="2" fontId="18" fillId="7" borderId="1" applyAlignment="1" pivotButton="0" quotePrefix="0" xfId="0">
      <alignment horizontal="center" vertical="top"/>
    </xf>
    <xf numFmtId="0" fontId="0" fillId="0" borderId="0" applyAlignment="1" pivotButton="0" quotePrefix="0" xfId="0">
      <alignment horizontal="center"/>
    </xf>
    <xf numFmtId="10" fontId="21" fillId="0" borderId="0" applyAlignment="1" pivotButton="0" quotePrefix="0" xfId="0">
      <alignment horizontal="center" vertical="top" wrapText="1"/>
    </xf>
    <xf numFmtId="0" fontId="21" fillId="0" borderId="0" applyAlignment="1" pivotButton="0" quotePrefix="0" xfId="0">
      <alignment horizontal="center" vertical="top" wrapText="1"/>
    </xf>
    <xf numFmtId="14" fontId="9" fillId="3" borderId="0" pivotButton="0" quotePrefix="0" xfId="2"/>
    <xf numFmtId="0" fontId="0" fillId="0" borderId="0" pivotButton="0" quotePrefix="0" xfId="0"/>
    <xf numFmtId="0" fontId="0" fillId="3" borderId="0" pivotButton="0" quotePrefix="0" xfId="0"/>
    <xf numFmtId="0" fontId="3" fillId="12" borderId="1" applyAlignment="1" pivotButton="0" quotePrefix="0" xfId="0">
      <alignment horizontal="center"/>
    </xf>
    <xf numFmtId="0" fontId="0" fillId="3" borderId="0" applyAlignment="1" pivotButton="0" quotePrefix="0" xfId="0">
      <alignment horizontal="center"/>
    </xf>
    <xf numFmtId="0" fontId="0" fillId="3" borderId="0" applyAlignment="1" pivotButton="0" quotePrefix="0" xfId="0">
      <alignment horizontal="right"/>
    </xf>
    <xf numFmtId="0" fontId="0" fillId="3" borderId="0" pivotButton="0" quotePrefix="0" xfId="0"/>
    <xf numFmtId="164" fontId="0" fillId="3" borderId="0" applyAlignment="1" pivotButton="0" quotePrefix="0" xfId="0">
      <alignment horizontal="left" vertical="center" wrapText="1"/>
    </xf>
    <xf numFmtId="0" fontId="0" fillId="3" borderId="0" applyAlignment="1" pivotButton="0" quotePrefix="0" xfId="0">
      <alignment wrapText="1"/>
    </xf>
    <xf numFmtId="164" fontId="13" fillId="3" borderId="0" applyAlignment="1" pivotButton="0" quotePrefix="0" xfId="0">
      <alignment horizontal="left" vertical="center" wrapText="1"/>
    </xf>
    <xf numFmtId="0" fontId="9" fillId="0" borderId="0" applyAlignment="1" pivotButton="0" quotePrefix="0" xfId="2">
      <alignment wrapText="1"/>
    </xf>
    <xf numFmtId="0" fontId="9" fillId="3" borderId="0" pivotButton="0" quotePrefix="0" xfId="2"/>
    <xf numFmtId="0" fontId="3" fillId="3" borderId="23" applyAlignment="1" pivotButton="0" quotePrefix="0" xfId="0">
      <alignment horizontal="center" vertical="center"/>
    </xf>
    <xf numFmtId="0" fontId="0" fillId="0" borderId="23" pivotButton="0" quotePrefix="0" xfId="0"/>
    <xf numFmtId="0" fontId="2" fillId="9" borderId="26" applyAlignment="1" pivotButton="0" quotePrefix="0" xfId="0">
      <alignment horizontal="center"/>
    </xf>
    <xf numFmtId="0" fontId="0" fillId="0" borderId="5" pivotButton="0" quotePrefix="0" xfId="0"/>
    <xf numFmtId="0" fontId="0" fillId="0" borderId="6" pivotButton="0" quotePrefix="0" xfId="0"/>
    <xf numFmtId="0" fontId="3" fillId="12" borderId="1" applyAlignment="1" pivotButton="0" quotePrefix="0" xfId="0">
      <alignment horizontal="center"/>
    </xf>
    <xf numFmtId="0" fontId="0" fillId="0" borderId="24" pivotButton="0" quotePrefix="0" xfId="0"/>
    <xf numFmtId="0" fontId="0" fillId="0" borderId="25" pivotButton="0" quotePrefix="0" xfId="0"/>
    <xf numFmtId="0" fontId="0" fillId="3" borderId="0" applyAlignment="1" pivotButton="0" quotePrefix="0" xfId="0">
      <alignment vertical="center" wrapText="1"/>
    </xf>
    <xf numFmtId="0" fontId="9" fillId="3" borderId="23" applyAlignment="1" pivotButton="0" quotePrefix="0" xfId="2">
      <alignment horizontal="center" vertical="center"/>
    </xf>
    <xf numFmtId="0" fontId="0" fillId="3" borderId="0" applyAlignment="1" pivotButton="0" quotePrefix="0" xfId="0">
      <alignment horizontal="center"/>
    </xf>
    <xf numFmtId="0" fontId="20" fillId="3" borderId="0" applyAlignment="1" pivotButton="0" quotePrefix="0" xfId="0">
      <alignment horizontal="left" vertical="center"/>
    </xf>
    <xf numFmtId="0" fontId="0" fillId="3" borderId="0" applyAlignment="1" pivotButton="0" quotePrefix="0" xfId="0">
      <alignment horizontal="right"/>
    </xf>
    <xf numFmtId="0" fontId="22" fillId="13" borderId="0" pivotButton="0" quotePrefix="0" xfId="0"/>
    <xf numFmtId="0" fontId="22" fillId="0" borderId="0" pivotButton="0" quotePrefix="0" xfId="0"/>
  </cellXfs>
  <cellStyles count="4">
    <cellStyle name="Normal" xfId="0" builtinId="0"/>
    <cellStyle name="Per cent" xfId="1" builtinId="5"/>
    <cellStyle name="Hyperlink" xfId="2" builtinId="8"/>
    <cellStyle name="Normal 2" xfId="3"/>
  </cellStyles>
  <dxfs count="32">
    <dxf>
      <numFmt numFmtId="2" formatCode="0.00"/>
      <fill>
        <patternFill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%"/>
      <fill>
        <patternFill>
          <bgColor theme="0"/>
        </patternFill>
      </fill>
      <alignment horizontal="center" vertical="bottom"/>
      <border outline="0">
        <left/>
        <right style="thin">
          <color theme="4" tint="0.3999755851924192"/>
        </right>
        <top style="thin">
          <color theme="4" tint="0.3999755851924192"/>
        </top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8" formatCode="dd/mm/yyyy"/>
      <fill>
        <patternFill>
          <bgColor theme="0"/>
        </patternFill>
      </fill>
      <border outline="0">
        <left style="thin">
          <color theme="4" tint="0.3999755851924192"/>
        </left>
        <right/>
        <top style="thin">
          <color theme="4" tint="0.3999755851924192"/>
        </top>
        <bottom style="thin">
          <color theme="4" tint="0.3999755851924192"/>
        </bottom>
      </border>
    </dxf>
    <dxf>
      <fill>
        <patternFill>
          <bgColor theme="0"/>
        </patternFill>
      </fill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0.0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general" vertical="bottom"/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5"/>
          <order val="0"/>
          <tx>
            <strRef>
              <f>'IP World'!$H$1</f>
              <strCache>
                <ptCount val="1"/>
                <pt idx="0">
                  <v>Italy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World'!$A$2:$A$358</f>
              <numCache>
                <formatCode>mmm\-yy</formatCode>
                <ptCount val="357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</numCache>
            </numRef>
          </cat>
          <val>
            <numRef>
              <f>'IP World'!$H$2:$H$358</f>
              <numCache>
                <formatCode>0.00</formatCode>
                <ptCount val="357"/>
                <pt idx="0">
                  <v>90.62496144827819</v>
                </pt>
                <pt idx="1">
                  <v>91.11842348747717</v>
                </pt>
                <pt idx="2">
                  <v>91.44731593660329</v>
                </pt>
                <pt idx="3">
                  <v>92.18750899540176</v>
                </pt>
                <pt idx="4">
                  <v>91.11842348747717</v>
                </pt>
                <pt idx="5">
                  <v>90.21382532595224</v>
                </pt>
                <pt idx="6">
                  <v>90.46047410187852</v>
                </pt>
                <pt idx="7">
                  <v>91.44731593660329</v>
                </pt>
                <pt idx="8">
                  <v>91.200667160677</v>
                </pt>
                <pt idx="9">
                  <v>90.70720512147803</v>
                </pt>
                <pt idx="10">
                  <v>89.39138859395393</v>
                </pt>
                <pt idx="11">
                  <v>90.87169246787766</v>
                </pt>
                <pt idx="12">
                  <v>91.36507226340345</v>
                </pt>
                <pt idx="13">
                  <v>89.63811961355343</v>
                </pt>
                <pt idx="14">
                  <v>89.14473981802766</v>
                </pt>
                <pt idx="15">
                  <v>88.32238532970254</v>
                </pt>
                <pt idx="16">
                  <v>89.39138859395393</v>
                </pt>
                <pt idx="17">
                  <v>89.72036328675327</v>
                </pt>
                <pt idx="18">
                  <v>89.72036328675327</v>
                </pt>
                <pt idx="19">
                  <v>90.21382532595224</v>
                </pt>
                <pt idx="20">
                  <v>91.200667160677</v>
                </pt>
                <pt idx="21">
                  <v>90.62496144827819</v>
                </pt>
                <pt idx="22">
                  <v>91.11842348747717</v>
                </pt>
                <pt idx="23">
                  <v>89.88485063315291</v>
                </pt>
                <pt idx="24">
                  <v>90.62496144827819</v>
                </pt>
                <pt idx="25">
                  <v>90.62496144827819</v>
                </pt>
                <pt idx="26">
                  <v>90.46047410187852</v>
                </pt>
                <pt idx="27">
                  <v>90.70720512147803</v>
                </pt>
                <pt idx="28">
                  <v>90.46047410187852</v>
                </pt>
                <pt idx="29">
                  <v>90.29598675547888</v>
                </pt>
                <pt idx="30">
                  <v>89.14473981802766</v>
                </pt>
                <pt idx="31">
                  <v>87.58219227090409</v>
                </pt>
                <pt idx="32">
                  <v>86.92432512897864</v>
                </pt>
                <pt idx="33">
                  <v>87.49994859770425</v>
                </pt>
                <pt idx="34">
                  <v>88.07565431010306</v>
                </pt>
                <pt idx="35">
                  <v>86.59535043617933</v>
                </pt>
                <pt idx="36">
                  <v>88.07565431010306</v>
                </pt>
                <pt idx="37">
                  <v>87.82892329050357</v>
                </pt>
                <pt idx="38">
                  <v>87.41770492450442</v>
                </pt>
                <pt idx="39">
                  <v>87.25329982177796</v>
                </pt>
                <pt idx="40">
                  <v>86.75983778257898</v>
                </pt>
                <pt idx="41">
                  <v>86.43086308977966</v>
                </pt>
                <pt idx="42">
                  <v>85.93748329425388</v>
                </pt>
                <pt idx="43">
                  <v>86.01972696745372</v>
                </pt>
                <pt idx="44">
                  <v>86.51310676297949</v>
                </pt>
                <pt idx="45">
                  <v>86.43086308977966</v>
                </pt>
                <pt idx="46">
                  <v>87.0888124753783</v>
                </pt>
                <pt idx="47">
                  <v>87.00656880217848</v>
                </pt>
                <pt idx="48">
                  <v>87.25329982177796</v>
                </pt>
                <pt idx="49">
                  <v>88.65127777882867</v>
                </pt>
                <pt idx="50">
                  <v>89.88485063315291</v>
                </pt>
                <pt idx="51">
                  <v>91.36507226340345</v>
                </pt>
                <pt idx="52">
                  <v>91.69404695620278</v>
                </pt>
                <pt idx="53">
                  <v>92.5986451177277</v>
                </pt>
                <pt idx="54">
                  <v>92.76313246412737</v>
                </pt>
                <pt idx="55">
                  <v>93.09210715692669</v>
                </pt>
                <pt idx="56">
                  <v>93.58548695245246</v>
                </pt>
                <pt idx="57">
                  <v>93.33875593285298</v>
                </pt>
                <pt idx="58">
                  <v>94.90130347997655</v>
                </pt>
                <pt idx="59">
                  <v>97.20387959855218</v>
                </pt>
                <pt idx="60">
                  <v>96.87498714942606</v>
                </pt>
                <pt idx="61">
                  <v>96.29928143702725</v>
                </pt>
                <pt idx="62">
                  <v>96.54601245662674</v>
                </pt>
                <pt idx="63">
                  <v>96.62825612982657</v>
                </pt>
                <pt idx="64">
                  <v>97.20387959855218</v>
                </pt>
                <pt idx="65">
                  <v>97.03947449582573</v>
                </pt>
                <pt idx="66">
                  <v>96.95723082262589</v>
                </pt>
                <pt idx="67">
                  <v>98.68418347247592</v>
                </pt>
                <pt idx="68">
                  <v>98.02631633055049</v>
                </pt>
                <pt idx="69">
                  <v>98.68418347247592</v>
                </pt>
                <pt idx="70">
                  <v>98.68418347247592</v>
                </pt>
                <pt idx="71">
                  <v>100.3288924491261</v>
                </pt>
                <pt idx="72">
                  <v>98.84867081887558</v>
                </pt>
                <pt idx="73">
                  <v>97.77958531095099</v>
                </pt>
                <pt idx="74">
                  <v>96.79274347622624</v>
                </pt>
                <pt idx="75">
                  <v>95.72365796830164</v>
                </pt>
                <pt idx="76">
                  <v>95.64141429510181</v>
                </pt>
                <pt idx="77">
                  <v>95.80590164150148</v>
                </pt>
                <pt idx="78">
                  <v>95.72365796830164</v>
                </pt>
                <pt idx="79">
                  <v>96.21703776382742</v>
                </pt>
                <pt idx="80">
                  <v>94.90130347997655</v>
                </pt>
                <pt idx="81">
                  <v>95.31243960230249</v>
                </pt>
                <pt idx="82">
                  <v>94.90130347997655</v>
                </pt>
                <pt idx="83">
                  <v>94.65457246037705</v>
                </pt>
                <pt idx="84">
                  <v>95.39468327550233</v>
                </pt>
                <pt idx="85">
                  <v>97.03947449582573</v>
                </pt>
                <pt idx="86">
                  <v>97.53285429135151</v>
                </pt>
                <pt idx="87">
                  <v>99.25980694120153</v>
                </pt>
                <pt idx="88">
                  <v>99.01315816527524</v>
                </pt>
                <pt idx="89">
                  <v>99.83551265360033</v>
                </pt>
                <pt idx="90">
                  <v>100.4933797955258</v>
                </pt>
                <pt idx="91">
                  <v>101.0690855079246</v>
                </pt>
                <pt idx="92">
                  <v>100.9868418347248</v>
                </pt>
                <pt idx="93">
                  <v>102.2203324453758</v>
                </pt>
                <pt idx="94">
                  <v>101.6447089766502</v>
                </pt>
                <pt idx="95">
                  <v>102.3848197917755</v>
                </pt>
                <pt idx="96">
                  <v>101.6447089766502</v>
                </pt>
                <pt idx="97">
                  <v>101.5624653034504</v>
                </pt>
                <pt idx="98">
                  <v>101.0690855079246</v>
                </pt>
                <pt idx="99">
                  <v>101.8914399962497</v>
                </pt>
                <pt idx="100">
                  <v>101.72695264985</v>
                </pt>
                <pt idx="101">
                  <v>101.5624653034504</v>
                </pt>
                <pt idx="102">
                  <v>101.3979779570507</v>
                </pt>
                <pt idx="103">
                  <v>100</v>
                </pt>
                <pt idx="104">
                  <v>101.4802216302505</v>
                </pt>
                <pt idx="105">
                  <v>100.8223544883251</v>
                </pt>
                <pt idx="106">
                  <v>100.4933797955258</v>
                </pt>
                <pt idx="107">
                  <v>98.10856000375031</v>
                </pt>
                <pt idx="108">
                  <v>100</v>
                </pt>
                <pt idx="109">
                  <formatCode>0.000</formatCode>
                  <v>99.50653796080103</v>
                </pt>
                <pt idx="110">
                  <v>99.83551265360033</v>
                </pt>
                <pt idx="111">
                  <v>99.09540183847507</v>
                </pt>
                <pt idx="112">
                  <v>98.3552087796766</v>
                </pt>
                <pt idx="113">
                  <v>99.91775632680017</v>
                </pt>
                <pt idx="114">
                  <v>100.6578671419254</v>
                </pt>
                <pt idx="115">
                  <v>101.3157342838509</v>
                </pt>
                <pt idx="116">
                  <v>101.72695264985</v>
                </pt>
                <pt idx="117">
                  <v>102.7137944845748</v>
                </pt>
                <pt idx="118">
                  <v>103.3716616265002</v>
                </pt>
                <pt idx="119">
                  <v>102.2203324453758</v>
                </pt>
                <pt idx="120">
                  <v>102.4670634649753</v>
                </pt>
                <pt idx="121">
                  <v>102.9605255041743</v>
                </pt>
                <pt idx="122">
                  <v>103.8651236656992</v>
                </pt>
                <pt idx="123">
                  <v>104.6874781540243</v>
                </pt>
                <pt idx="124">
                  <v>105.2631016227499</v>
                </pt>
                <pt idx="125">
                  <v>105.0986965200235</v>
                </pt>
                <pt idx="126">
                  <v>104.2762597880252</v>
                </pt>
                <pt idx="127">
                  <v>105.2631016227499</v>
                </pt>
                <pt idx="128">
                  <v>105.1808579495501</v>
                </pt>
                <pt idx="129">
                  <v>105.5920763155492</v>
                </pt>
                <pt idx="130">
                  <v>106.9078928430733</v>
                </pt>
                <pt idx="131">
                  <v>108.3881144733238</v>
                </pt>
                <pt idx="132">
                  <v>105.4275889691496</v>
                </pt>
                <pt idx="133">
                  <v>104.7697218272241</v>
                </pt>
                <pt idx="134">
                  <v>104.7697218272241</v>
                </pt>
                <pt idx="135">
                  <v>103.8651236656992</v>
                </pt>
                <pt idx="136">
                  <v>103.7006363192995</v>
                </pt>
                <pt idx="137">
                  <v>103.947367338899</v>
                </pt>
                <pt idx="138">
                  <v>102.0559273426493</v>
                </pt>
                <pt idx="139">
                  <v>103.8651236656992</v>
                </pt>
                <pt idx="140">
                  <v>102.2203324453758</v>
                </pt>
                <pt idx="141">
                  <v>101.6447089766502</v>
                </pt>
                <pt idx="142">
                  <v>100.1644051027265</v>
                </pt>
                <pt idx="143">
                  <v>101.4802216302505</v>
                </pt>
                <pt idx="144">
                  <v>100.5756234687256</v>
                </pt>
                <pt idx="145">
                  <v>101.8914399962497</v>
                </pt>
                <pt idx="146">
                  <v>102.4670634649753</v>
                </pt>
                <pt idx="147">
                  <v>99.50653796080103</v>
                </pt>
                <pt idx="148">
                  <v>102.9605255041743</v>
                </pt>
                <pt idx="149">
                  <v>101.9736836694495</v>
                </pt>
                <pt idx="150">
                  <v>101.5624653034504</v>
                </pt>
                <pt idx="151">
                  <v>100.4111361223259</v>
                </pt>
                <pt idx="152">
                  <v>102.3025761185756</v>
                </pt>
                <pt idx="153">
                  <v>101.0690855079246</v>
                </pt>
                <pt idx="154">
                  <v>102.7960381577746</v>
                </pt>
                <pt idx="155">
                  <v>101.72695264985</v>
                </pt>
                <pt idx="156">
                  <v>102.7960381577746</v>
                </pt>
                <pt idx="157">
                  <v>100.7401108151253</v>
                </pt>
                <pt idx="158">
                  <v>100.8223544883251</v>
                </pt>
                <pt idx="159">
                  <v>102.3025761185756</v>
                </pt>
                <pt idx="160">
                  <v>98.93091449207542</v>
                </pt>
                <pt idx="161">
                  <v>100.1644051027265</v>
                </pt>
                <pt idx="162">
                  <v>101.5624653034504</v>
                </pt>
                <pt idx="163">
                  <v>99.50653796080103</v>
                </pt>
                <pt idx="164">
                  <v>99.83551265360033</v>
                </pt>
                <pt idx="165">
                  <v>100.9045981615249</v>
                </pt>
                <pt idx="166">
                  <v>102.0559273426493</v>
                </pt>
                <pt idx="167">
                  <v>102.1381710158492</v>
                </pt>
                <pt idx="168">
                  <v>102.0559273426493</v>
                </pt>
                <pt idx="169">
                  <v>101.72695264985</v>
                </pt>
                <pt idx="170">
                  <v>100</v>
                </pt>
                <pt idx="171">
                  <v>101.8091963230499</v>
                </pt>
                <pt idx="172">
                  <v>101.6447089766502</v>
                </pt>
                <pt idx="173">
                  <v>101.0690855079246</v>
                </pt>
                <pt idx="174">
                  <v>101.233490610651</v>
                </pt>
                <pt idx="175">
                  <v>99.17764551167491</v>
                </pt>
                <pt idx="176">
                  <v>100.5756234687256</v>
                </pt>
                <pt idx="177">
                  <v>101.3157342838509</v>
                </pt>
                <pt idx="178">
                  <v>99.75326898040051</v>
                </pt>
                <pt idx="179">
                  <v>99.01315816527524</v>
                </pt>
                <pt idx="180">
                  <v>99.01315816527524</v>
                </pt>
                <pt idx="181">
                  <v>99.50653796080103</v>
                </pt>
                <pt idx="182">
                  <v>99.58878163400085</v>
                </pt>
                <pt idx="183">
                  <v>101.5624653034504</v>
                </pt>
                <pt idx="184">
                  <v>99.34205061440136</v>
                </pt>
                <pt idx="185">
                  <v>99.34205061440136</v>
                </pt>
                <pt idx="186">
                  <v>100.7401108151253</v>
                </pt>
                <pt idx="187">
                  <v>100</v>
                </pt>
                <pt idx="188">
                  <v>100.4111361223259</v>
                </pt>
                <pt idx="189">
                  <v>100.5756234687256</v>
                </pt>
                <pt idx="190">
                  <v>101.6447089766502</v>
                </pt>
                <pt idx="191">
                  <v>100.1644051027265</v>
                </pt>
                <pt idx="192">
                  <v>100.5756234687256</v>
                </pt>
                <pt idx="193">
                  <v>102.4670634649753</v>
                </pt>
                <pt idx="194">
                  <v>102.9605255041743</v>
                </pt>
                <pt idx="195">
                  <v>102.0559273426493</v>
                </pt>
                <pt idx="196">
                  <v>104.4407471344248</v>
                </pt>
                <pt idx="197">
                  <v>104.7697218272241</v>
                </pt>
                <pt idx="198">
                  <v>103.2894179533004</v>
                </pt>
                <pt idx="199">
                  <v>104.6052344808245</v>
                </pt>
                <pt idx="200">
                  <v>104.4407471344248</v>
                </pt>
                <pt idx="201">
                  <v>104.6052344808245</v>
                </pt>
                <pt idx="202">
                  <v>104.7697218272241</v>
                </pt>
                <pt idx="203">
                  <v>106.4144308038743</v>
                </pt>
                <pt idx="204">
                  <v>105.4275889691496</v>
                </pt>
                <pt idx="205">
                  <v>106.0855383547482</v>
                </pt>
                <pt idx="206">
                  <v>106.7434054966736</v>
                </pt>
                <pt idx="207">
                  <v>104.851965500424</v>
                </pt>
                <pt idx="208">
                  <v>107.0722979457998</v>
                </pt>
                <pt idx="209">
                  <v>106.4144308038743</v>
                </pt>
                <pt idx="210">
                  <v>105.7565636619489</v>
                </pt>
                <pt idx="211">
                  <v>109.6216873276481</v>
                </pt>
                <pt idx="212">
                  <v>106.7434054966736</v>
                </pt>
                <pt idx="213">
                  <v>105.674319988749</v>
                </pt>
                <pt idx="214">
                  <v>104.6052344808245</v>
                </pt>
                <pt idx="215">
                  <v>105.3453452959498</v>
                </pt>
                <pt idx="216">
                  <v>107.4835163117989</v>
                </pt>
                <pt idx="217">
                  <v>106.6611618234738</v>
                </pt>
                <pt idx="218">
                  <v>107.3190289653993</v>
                </pt>
                <pt idx="219">
                  <v>108.3881144733238</v>
                </pt>
                <pt idx="220">
                  <v>104.6052344808245</v>
                </pt>
                <pt idx="221">
                  <v>105.7565636619489</v>
                </pt>
                <pt idx="222">
                  <v>102.4670634649753</v>
                </pt>
                <pt idx="223">
                  <v>99.67102530720068</v>
                </pt>
                <pt idx="224">
                  <v>99.01315816527524</v>
                </pt>
                <pt idx="225">
                  <v>96.95723082262589</v>
                </pt>
                <pt idx="226">
                  <v>93.6677306256523</v>
                </pt>
                <pt idx="227">
                  <v>89.88485063315291</v>
                </pt>
                <pt idx="228">
                  <v>86.34861941657984</v>
                </pt>
                <pt idx="229">
                  <v>83.30593248287893</v>
                </pt>
                <pt idx="230">
                  <v>80.016424061538</v>
                </pt>
                <pt idx="231">
                  <v>80.42760953006787</v>
                </pt>
                <pt idx="232">
                  <v>81.82563683332251</v>
                </pt>
                <pt idx="233">
                  <v>81.24998046712761</v>
                </pt>
                <pt idx="234">
                  <v>82.9769577900796</v>
                </pt>
                <pt idx="235">
                  <v>81.08550134509528</v>
                </pt>
                <pt idx="236">
                  <v>83.55258125880522</v>
                </pt>
                <pt idx="237">
                  <v>84.8683977863293</v>
                </pt>
                <pt idx="238">
                  <v>85.11512880592878</v>
                </pt>
                <pt idx="239">
                  <v>83.96379962480437</v>
                </pt>
                <pt idx="240">
                  <v>86.92432512897864</v>
                </pt>
                <pt idx="241">
                  <v>86.10197064065353</v>
                </pt>
                <pt idx="242">
                  <v>86.59535043617933</v>
                </pt>
                <pt idx="243">
                  <v>87.25329982177796</v>
                </pt>
                <pt idx="244">
                  <v>87.6644359441039</v>
                </pt>
                <pt idx="245">
                  <v>89.72036328675327</v>
                </pt>
                <pt idx="246">
                  <v>89.47363226715376</v>
                </pt>
                <pt idx="247">
                  <v>92.43415777132805</v>
                </pt>
                <pt idx="248">
                  <v>88.89800879842815</v>
                </pt>
                <pt idx="249">
                  <v>89.22698349122749</v>
                </pt>
                <pt idx="250">
                  <v>89.72036328675327</v>
                </pt>
                <pt idx="251">
                  <v>90.46047410187852</v>
                </pt>
                <pt idx="252">
                  <v>88.81576512522832</v>
                </pt>
                <pt idx="253">
                  <v>91.03617981427733</v>
                </pt>
                <pt idx="254">
                  <v>91.200667160677</v>
                </pt>
                <pt idx="255">
                  <v>92.02302164900209</v>
                </pt>
                <pt idx="256">
                  <v>90.29598675547888</v>
                </pt>
                <pt idx="257">
                  <v>89.5558759403536</v>
                </pt>
                <pt idx="258">
                  <v>89.22698349122749</v>
                </pt>
                <pt idx="259">
                  <v>88.7335214520285</v>
                </pt>
                <pt idx="260">
                  <v>88.32238532970254</v>
                </pt>
                <pt idx="261">
                  <v>87.25329982177796</v>
                </pt>
                <pt idx="262">
                  <v>87.91116696370339</v>
                </pt>
                <pt idx="263">
                  <v>88.56903410562884</v>
                </pt>
                <pt idx="264">
                  <v>85.27961615232844</v>
                </pt>
                <pt idx="265">
                  <v>85.44402125505491</v>
                </pt>
                <pt idx="266">
                  <v>85.85523962105405</v>
                </pt>
                <pt idx="267">
                  <v>84.6216667667298</v>
                </pt>
                <pt idx="268">
                  <v>85.77299594785423</v>
                </pt>
                <pt idx="269">
                  <v>84.04604329800419</v>
                </pt>
                <pt idx="270">
                  <v>84.8683977863293</v>
                </pt>
                <pt idx="271">
                  <v>84.45717942033015</v>
                </pt>
                <pt idx="272">
                  <v>84.21053064440385</v>
                </pt>
                <pt idx="273">
                  <v>82.73022677048012</v>
                </pt>
                <pt idx="274">
                  <v>81.57892226245767</v>
                </pt>
                <pt idx="275">
                  <v>82.15458685301985</v>
                </pt>
                <pt idx="276">
                  <v>82.23682230185237</v>
                </pt>
                <pt idx="277">
                  <v>81.74340138449</v>
                </pt>
                <pt idx="278">
                  <v>81.33221591596013</v>
                </pt>
                <pt idx="279">
                  <v>80.67432410093272</v>
                </pt>
                <pt idx="280">
                  <v>82.15458685301985</v>
                </pt>
                <pt idx="281">
                  <v>81.99011595535484</v>
                </pt>
                <pt idx="282">
                  <v>81.82563683332251</v>
                </pt>
                <pt idx="283">
                  <v>80.59208865210022</v>
                </pt>
                <pt idx="284">
                  <v>81.99011595535484</v>
                </pt>
                <pt idx="285">
                  <v>82.401334321354</v>
                </pt>
                <pt idx="286">
                  <v>82.07235140418736</v>
                </pt>
                <pt idx="287">
                  <v>81.16773679392779</v>
                </pt>
                <pt idx="288">
                  <v>82.56573942408045</v>
                </pt>
                <pt idx="289">
                  <v>81.90787228215501</v>
                </pt>
                <pt idx="290">
                  <v>81.00326589626276</v>
                </pt>
                <pt idx="291">
                  <v>81.82563683332251</v>
                </pt>
                <pt idx="292">
                  <v>80.59208865210022</v>
                </pt>
                <pt idx="293">
                  <v>82.15458685301985</v>
                </pt>
                <pt idx="294">
                  <v>81.00326589626276</v>
                </pt>
                <pt idx="295">
                  <v>80.09865951037051</v>
                </pt>
                <pt idx="296">
                  <v>80.59208865210022</v>
                </pt>
                <pt idx="297">
                  <v>80.42760953006787</v>
                </pt>
                <pt idx="298">
                  <v>80.42760953006787</v>
                </pt>
                <pt idx="299">
                  <v>81.24998046712761</v>
                </pt>
                <pt idx="300">
                  <v>80.83879499859775</v>
                </pt>
                <pt idx="301">
                  <v>81.57892226245767</v>
                </pt>
                <pt idx="302">
                  <v>81.82563683332251</v>
                </pt>
                <pt idx="303">
                  <v>81.99011595535484</v>
                </pt>
                <pt idx="304">
                  <v>82.64798309728029</v>
                </pt>
                <pt idx="305">
                  <v>82.23682230185237</v>
                </pt>
                <pt idx="306">
                  <v>83.05920146327944</v>
                </pt>
                <pt idx="307">
                  <v>81.33221591596013</v>
                </pt>
                <pt idx="308">
                  <v>82.15458685301985</v>
                </pt>
                <pt idx="309">
                  <v>82.23682230185237</v>
                </pt>
                <pt idx="310">
                  <v>82.73022677048012</v>
                </pt>
                <pt idx="311">
                  <v>81.16773679392779</v>
                </pt>
                <pt idx="312">
                  <v>83.63482493200505</v>
                </pt>
                <pt idx="313">
                  <v>82.64798309728029</v>
                </pt>
                <pt idx="314">
                  <v>82.73022677048012</v>
                </pt>
                <pt idx="315">
                  <v>84.04604329800419</v>
                </pt>
                <pt idx="316">
                  <v>82.64798309728029</v>
                </pt>
                <pt idx="317">
                  <v>81.74340138449</v>
                </pt>
                <pt idx="318">
                  <v>83.30593248287893</v>
                </pt>
                <pt idx="319">
                  <v>84.04604329800419</v>
                </pt>
                <pt idx="320">
                  <v>83.88155595160453</v>
                </pt>
                <pt idx="321">
                  <v>84.21053064440385</v>
                </pt>
                <pt idx="322">
                  <v>84.95064145952912</v>
                </pt>
                <pt idx="323">
                  <v>86.18421431385337</v>
                </pt>
                <pt idx="324">
                  <v>83.88155595160453</v>
                </pt>
                <pt idx="325">
                  <v>84.8683977863293</v>
                </pt>
                <pt idx="326">
                  <v>85.52626492825473</v>
                </pt>
                <pt idx="327">
                  <v>85.44402125505491</v>
                </pt>
                <pt idx="328">
                  <v>85.85523962105405</v>
                </pt>
                <pt idx="329">
                  <v>86.92432512897864</v>
                </pt>
                <pt idx="330">
                  <v>87.58219227090409</v>
                </pt>
                <pt idx="331">
                  <v>89.06249614482782</v>
                </pt>
                <pt idx="332">
                  <v>86.59535043617933</v>
                </pt>
                <pt idx="333">
                  <v>86.84208145577881</v>
                </pt>
                <pt idx="334">
                  <v>88.24014165650271</v>
                </pt>
                <pt idx="335">
                  <v>90.70720512147803</v>
                </pt>
                <pt idx="336">
                  <v>87.33554349497778</v>
                </pt>
                <pt idx="337">
                  <v>87.00656880217848</v>
                </pt>
                <pt idx="338">
                  <v>88.24014165650271</v>
                </pt>
                <pt idx="339">
                  <v>87.41770492450442</v>
                </pt>
                <pt idx="340">
                  <v>87.58219227090409</v>
                </pt>
                <pt idx="341">
                  <v>87.91116696370339</v>
                </pt>
                <pt idx="342">
                  <v>87.17105614857813</v>
                </pt>
                <pt idx="343">
                  <v>87.82892329050357</v>
                </pt>
                <pt idx="344">
                  <v>87.82892329050357</v>
                </pt>
                <pt idx="345">
                  <v>87.58219227090409</v>
                </pt>
                <pt idx="346">
                  <v>86.01972696745372</v>
                </pt>
                <pt idx="347">
                  <v>86.34861941657984</v>
                </pt>
                <pt idx="348">
                  <v>86.92432512897864</v>
                </pt>
                <pt idx="349">
                  <v>87.58219227090409</v>
                </pt>
                <pt idx="350">
                  <v>86.92432512897864</v>
                </pt>
                <pt idx="351">
                  <v>86.51310676297949</v>
                </pt>
                <pt idx="352">
                  <v>87.25329982177796</v>
                </pt>
                <pt idx="353">
                  <v>87.00656880217848</v>
                </pt>
                <pt idx="354">
                  <v>87.33554349497778</v>
                </pt>
                <pt idx="355">
                  <v>86.59535043617933</v>
                </pt>
              </numCache>
            </numRef>
          </val>
          <smooth val="0"/>
        </ser>
        <ser>
          <idx val="6"/>
          <order val="1"/>
          <tx>
            <strRef>
              <f>'IP World'!$I$1</f>
              <strCache>
                <ptCount val="1"/>
                <pt idx="0">
                  <v>France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World'!$A$2:$A$358</f>
              <numCache>
                <formatCode>mmm\-yy</formatCode>
                <ptCount val="357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</numCache>
            </numRef>
          </cat>
          <val>
            <numRef>
              <f>'IP World'!$I$2:$I$358</f>
              <numCache>
                <formatCode>0.00</formatCode>
                <ptCount val="357"/>
                <pt idx="0">
                  <v>88.8942573016199</v>
                </pt>
                <pt idx="1">
                  <v>90.36398357421437</v>
                </pt>
                <pt idx="2">
                  <v>89.94545502326727</v>
                </pt>
                <pt idx="3">
                  <v>90.38345001844446</v>
                </pt>
                <pt idx="4">
                  <v>90.62679030454279</v>
                </pt>
                <pt idx="5">
                  <v>89.27385296410679</v>
                </pt>
                <pt idx="6">
                  <v>89.34198551891214</v>
                </pt>
                <pt idx="7">
                  <v>88.79692508046942</v>
                </pt>
                <pt idx="8">
                  <v>89.58531607178836</v>
                </pt>
                <pt idx="9">
                  <v>89.29331940833688</v>
                </pt>
                <pt idx="10">
                  <v>88.30053075260193</v>
                </pt>
                <pt idx="11">
                  <v>89.41986102905464</v>
                </pt>
                <pt idx="12">
                  <v>90.5878574160826</v>
                </pt>
                <pt idx="13">
                  <v>90.18878557614349</v>
                </pt>
                <pt idx="14">
                  <v>89.07918852180582</v>
                </pt>
                <pt idx="15">
                  <v>89.05972207757573</v>
                </pt>
                <pt idx="16">
                  <v>89.16678752084127</v>
                </pt>
                <pt idx="17">
                  <v>89.51718351698301</v>
                </pt>
                <pt idx="18">
                  <v>88.01826731126553</v>
                </pt>
                <pt idx="19">
                  <v>88.94292341219514</v>
                </pt>
                <pt idx="20">
                  <v>89.24466303098377</v>
                </pt>
                <pt idx="21">
                  <v>88.82612474681457</v>
                </pt>
                <pt idx="22">
                  <v>90.24718490883379</v>
                </pt>
                <pt idx="23">
                  <v>89.43931774006262</v>
                </pt>
                <pt idx="24">
                  <v>89.68265802616096</v>
                </pt>
                <pt idx="25">
                  <v>89.01105596700049</v>
                </pt>
                <pt idx="26">
                  <v>89.87732246846194</v>
                </pt>
                <pt idx="27">
                  <v>89.24466303098377</v>
                </pt>
                <pt idx="28">
                  <v>89.27385296410679</v>
                </pt>
                <pt idx="29">
                  <v>88.21292202034439</v>
                </pt>
                <pt idx="30">
                  <v>87.87225924631768</v>
                </pt>
                <pt idx="31">
                  <v>88.14478946553905</v>
                </pt>
                <pt idx="32">
                  <v>86.90866052370575</v>
                </pt>
                <pt idx="33">
                  <v>87.83332635785749</v>
                </pt>
                <pt idx="34">
                  <v>86.69452963717468</v>
                </pt>
                <pt idx="35">
                  <v>85.53626647226179</v>
                </pt>
                <pt idx="36">
                  <v>85.44866747322634</v>
                </pt>
                <pt idx="37">
                  <v>85.58493258283701</v>
                </pt>
                <pt idx="38">
                  <v>85.15667080977488</v>
                </pt>
                <pt idx="39">
                  <v>84.58241070498701</v>
                </pt>
                <pt idx="40">
                  <v>84.51427815018168</v>
                </pt>
                <pt idx="41">
                  <v>83.86214253525129</v>
                </pt>
                <pt idx="42">
                  <v>85.00093925593411</v>
                </pt>
                <pt idx="43">
                  <v>84.38773652946394</v>
                </pt>
                <pt idx="44">
                  <v>84.95226341213674</v>
                </pt>
                <pt idx="45">
                  <v>85.33186880784577</v>
                </pt>
                <pt idx="46">
                  <v>84.72840903671275</v>
                </pt>
                <pt idx="47">
                  <v>83.96920797851683</v>
                </pt>
                <pt idx="48">
                  <v>85.53626647226179</v>
                </pt>
                <pt idx="49">
                  <v>85.27346947515547</v>
                </pt>
                <pt idx="50">
                  <v>85.21507014246518</v>
                </pt>
                <pt idx="51">
                  <v>87.60946224921138</v>
                </pt>
                <pt idx="52">
                  <v>87.51213002806088</v>
                </pt>
                <pt idx="53">
                  <v>88.00852435592836</v>
                </pt>
                <pt idx="54">
                  <v>88.77745863623932</v>
                </pt>
                <pt idx="55">
                  <v>89.26411974199175</v>
                </pt>
                <pt idx="56">
                  <v>88.96238985642525</v>
                </pt>
                <pt idx="57">
                  <v>89.82865635788669</v>
                </pt>
                <pt idx="58">
                  <v>90.61705708242775</v>
                </pt>
                <pt idx="59">
                  <v>90.48079197281706</v>
                </pt>
                <pt idx="60">
                  <v>91.13291785452532</v>
                </pt>
                <pt idx="61">
                  <v>90.51972486127727</v>
                </pt>
                <pt idx="62">
                  <v>91.27891618625104</v>
                </pt>
                <pt idx="63">
                  <v>91.31785880793336</v>
                </pt>
                <pt idx="64">
                  <v>90.87012085741901</v>
                </pt>
                <pt idx="65">
                  <v>91.46384740643697</v>
                </pt>
                <pt idx="66">
                  <v>91.89211891272123</v>
                </pt>
                <pt idx="67">
                  <v>91.33731551894134</v>
                </pt>
                <pt idx="68">
                  <v>91.47358062855201</v>
                </pt>
                <pt idx="69">
                  <v>89.7118576925061</v>
                </pt>
                <pt idx="70">
                  <v>89.67292480404591</v>
                </pt>
                <pt idx="71">
                  <v>91.58064607181755</v>
                </pt>
                <pt idx="72">
                  <v>90.77278863626852</v>
                </pt>
                <pt idx="73">
                  <v>91.03558563337482</v>
                </pt>
                <pt idx="74">
                  <v>91.6682548040751</v>
                </pt>
                <pt idx="75">
                  <v>90.77278863626852</v>
                </pt>
                <pt idx="76">
                  <v>92.57344446077462</v>
                </pt>
                <pt idx="77">
                  <v>91.83370984680882</v>
                </pt>
                <pt idx="78">
                  <v>90.2277281978258</v>
                </pt>
                <pt idx="79">
                  <v>92.22304846463288</v>
                </pt>
                <pt idx="80">
                  <v>92.31064746366832</v>
                </pt>
                <pt idx="81">
                  <v>91.36651518528649</v>
                </pt>
                <pt idx="82">
                  <v>92.50531190596929</v>
                </pt>
                <pt idx="83">
                  <v>92.65131997091713</v>
                </pt>
                <pt idx="84">
                  <v>91.81425313580083</v>
                </pt>
                <pt idx="85">
                  <v>92.55397801654453</v>
                </pt>
                <pt idx="86">
                  <v>92.87517434634114</v>
                </pt>
                <pt idx="87">
                  <v>96.13583295454877</v>
                </pt>
                <pt idx="88">
                  <v>94.34491035215771</v>
                </pt>
                <pt idx="89">
                  <v>95.04570234444122</v>
                </pt>
                <pt idx="90">
                  <v>95.21117685361915</v>
                </pt>
                <pt idx="91">
                  <v>98.90004856877836</v>
                </pt>
                <pt idx="92">
                  <v>96.58357090506313</v>
                </pt>
                <pt idx="93">
                  <v>99.00711401204389</v>
                </pt>
                <pt idx="94">
                  <v>96.72956923678886</v>
                </pt>
                <pt idx="95">
                  <v>98.66645123801719</v>
                </pt>
                <pt idx="96">
                  <v>98.66645123801719</v>
                </pt>
                <pt idx="97">
                  <v>99.34787411829174</v>
                </pt>
                <pt idx="98">
                  <v>98.16032368803467</v>
                </pt>
                <pt idx="99">
                  <v>99.42564256299099</v>
                </pt>
                <pt idx="100">
                  <v>100.6813255480534</v>
                </pt>
                <pt idx="101">
                  <v>100.0194664442301</v>
                </pt>
                <pt idx="102">
                  <v>100.603459771133</v>
                </pt>
                <pt idx="103">
                  <v>98.02405857842399</v>
                </pt>
                <pt idx="104">
                  <v>99.79560233558398</v>
                </pt>
                <pt idx="105">
                  <v>99.90266777884952</v>
                </pt>
                <pt idx="106">
                  <v>100.4769278836374</v>
                </pt>
                <pt idx="107">
                  <v>99.72746978077863</v>
                </pt>
                <pt idx="108">
                  <v>100</v>
                </pt>
                <pt idx="109">
                  <v>99.69827011443348</v>
                </pt>
                <pt idx="110">
                  <v>99.63977344952205</v>
                </pt>
                <pt idx="111">
                  <v>100.4379949951772</v>
                </pt>
                <pt idx="112">
                  <v>100.8370571018942</v>
                </pt>
                <pt idx="113">
                  <v>102.2289078643461</v>
                </pt>
                <pt idx="114">
                  <v>102.4722384172224</v>
                </pt>
                <pt idx="115">
                  <v>100.5839933269029</v>
                </pt>
                <pt idx="116">
                  <v>103.3092955191165</v>
                </pt>
                <pt idx="117">
                  <v>104.603814060418</v>
                </pt>
                <pt idx="118">
                  <v>104.6816798373384</v>
                </pt>
                <pt idx="119">
                  <v>103.7667569585238</v>
                </pt>
                <pt idx="120">
                  <v>104.5356815056127</v>
                </pt>
                <pt idx="121">
                  <v>104.8568778354093</v>
                </pt>
                <pt idx="122">
                  <v>105.5576698276928</v>
                </pt>
                <pt idx="123">
                  <v>106.1513963767107</v>
                </pt>
                <pt idx="124">
                  <v>107.4751145843574</v>
                </pt>
                <pt idx="125">
                  <v>106.0735305997904</v>
                </pt>
                <pt idx="126">
                  <v>107.3291162526316</v>
                </pt>
                <pt idx="127">
                  <v>106.3752604853568</v>
                </pt>
                <pt idx="128">
                  <v>106.6477907045782</v>
                </pt>
                <pt idx="129">
                  <v>107.8255105804991</v>
                </pt>
                <pt idx="130">
                  <v>107.6308461381981</v>
                </pt>
                <pt idx="131">
                  <v>108.6236347939331</v>
                </pt>
                <pt idx="132">
                  <v>108.1369736881807</v>
                </pt>
                <pt idx="133">
                  <v>108.8572321246943</v>
                </pt>
                <pt idx="134">
                  <v>109.3049603419865</v>
                </pt>
                <pt idx="135">
                  <v>107.5335139170477</v>
                </pt>
                <pt idx="136">
                  <v>108.3219049083666</v>
                </pt>
                <pt idx="137">
                  <v>108.3511045747117</v>
                </pt>
                <pt idx="138">
                  <v>106.8619215911093</v>
                </pt>
                <pt idx="139">
                  <v>109.5093580064025</v>
                </pt>
                <pt idx="140">
                  <v>107.8157773583841</v>
                </pt>
                <pt idx="141">
                  <v>107.0468528112952</v>
                </pt>
                <pt idx="142">
                  <v>105.8788661574894</v>
                </pt>
                <pt idx="143">
                  <v>106.5601917055428</v>
                </pt>
                <pt idx="144">
                  <v>106.5309920391976</v>
                </pt>
                <pt idx="145">
                  <v>106.9105877016845</v>
                </pt>
                <pt idx="146">
                  <v>107.4264484737821</v>
                </pt>
                <pt idx="147">
                  <v>108.1272404660656</v>
                </pt>
                <pt idx="148">
                  <v>107.1928511430209</v>
                </pt>
                <pt idx="149">
                  <v>107.007919922835</v>
                </pt>
                <pt idx="150">
                  <v>105.9080658238345</v>
                </pt>
                <pt idx="151">
                  <v>107.8839099131894</v>
                </pt>
                <pt idx="152">
                  <v>106.5407252613127</v>
                </pt>
                <pt idx="153">
                  <v>105.7036681594185</v>
                </pt>
                <pt idx="154">
                  <v>106.7256564814986</v>
                </pt>
                <pt idx="155">
                  <v>104.1852855094709</v>
                </pt>
                <pt idx="156">
                  <v>106.3363275968967</v>
                </pt>
                <pt idx="157">
                  <v>107.2901833641714</v>
                </pt>
                <pt idx="158">
                  <v>106.4531262622773</v>
                </pt>
                <pt idx="159">
                  <v>106.4725927065073</v>
                </pt>
                <pt idx="160">
                  <v>103.9127552902496</v>
                </pt>
                <pt idx="161">
                  <v>103.6596915152583</v>
                </pt>
                <pt idx="162">
                  <v>105.5187369392326</v>
                </pt>
                <pt idx="163">
                  <v>105.0612754998253</v>
                </pt>
                <pt idx="164">
                  <v>104.6914130594535</v>
                </pt>
                <pt idx="165">
                  <v>107.2220508093661</v>
                </pt>
                <pt idx="166">
                  <v>105.1294080546306</v>
                </pt>
                <pt idx="167">
                  <v>105.7426010478787</v>
                </pt>
                <pt idx="168">
                  <v>106.4433930401622</v>
                </pt>
                <pt idx="169">
                  <v>107.5237806949326</v>
                </pt>
                <pt idx="170">
                  <v>107.1636514766758</v>
                </pt>
                <pt idx="171">
                  <v>107.1928511430209</v>
                </pt>
                <pt idx="172">
                  <v>106.6185910382331</v>
                </pt>
                <pt idx="173">
                  <v>107.6405793603132</v>
                </pt>
                <pt idx="174">
                  <v>108.0785743554904</v>
                </pt>
                <pt idx="175">
                  <v>104.2534180642763</v>
                </pt>
                <pt idx="176">
                  <v>107.9033763574195</v>
                </pt>
                <pt idx="177">
                  <v>108.7015005708535</v>
                </pt>
                <pt idx="178">
                  <v>106.8911212574544</v>
                </pt>
                <pt idx="179">
                  <v>107.1149853661006</v>
                </pt>
                <pt idx="180">
                  <v>108.8864317910394</v>
                </pt>
                <pt idx="181">
                  <v>107.6211129160831</v>
                </pt>
                <pt idx="182">
                  <v>105.3046060527015</v>
                </pt>
                <pt idx="183">
                  <v>108.00070857857</v>
                </pt>
                <pt idx="184">
                  <v>106.803522258419</v>
                </pt>
                <pt idx="185">
                  <v>106.7451229257287</v>
                </pt>
                <pt idx="186">
                  <v>106.404460151702</v>
                </pt>
                <pt idx="187">
                  <v>105.810733602684</v>
                </pt>
                <pt idx="188">
                  <v>108.5165693506676</v>
                </pt>
                <pt idx="189">
                  <v>105.3240724969316</v>
                </pt>
                <pt idx="190">
                  <v>109.5482908948627</v>
                </pt>
                <pt idx="191">
                  <v>108.2635055756763</v>
                </pt>
                <pt idx="192">
                  <v>107.5724468055078</v>
                </pt>
                <pt idx="193">
                  <v>106.8327219247641</v>
                </pt>
                <pt idx="194">
                  <v>108.808566014119</v>
                </pt>
                <pt idx="195">
                  <v>108.2537723535612</v>
                </pt>
                <pt idx="196">
                  <v>109.996019112155</v>
                </pt>
                <pt idx="197">
                  <v>109.811087891969</v>
                </pt>
                <pt idx="198">
                  <v>108.2927052420214</v>
                </pt>
                <pt idx="199">
                  <v>107.5627135833928</v>
                </pt>
                <pt idx="200">
                  <v>109.2173613429511</v>
                </pt>
                <pt idx="201">
                  <v>108.3413713525967</v>
                </pt>
                <pt idx="202">
                  <v>107.7281783593486</v>
                </pt>
                <pt idx="203">
                  <v>109.5288244506326</v>
                </pt>
                <pt idx="204">
                  <v>108.3316381304816</v>
                </pt>
                <pt idx="205">
                  <v>109.3146935641015</v>
                </pt>
                <pt idx="206">
                  <v>110.1322842217656</v>
                </pt>
                <pt idx="207">
                  <v>108.3024384641365</v>
                </pt>
                <pt idx="208">
                  <v>110.9012087688545</v>
                </pt>
                <pt idx="209">
                  <v>110.4826802179074</v>
                </pt>
                <pt idx="210">
                  <v>110.6286785496331</v>
                </pt>
                <pt idx="211">
                  <v>111.3003682077926</v>
                </pt>
                <pt idx="212">
                  <v>108.7404334593137</v>
                </pt>
                <pt idx="213">
                  <v>111.2030359866421</v>
                </pt>
                <pt idx="214">
                  <v>109.2757606756414</v>
                </pt>
                <pt idx="215">
                  <v>109.4509586737122</v>
                </pt>
                <pt idx="216">
                  <v>110.395081218872</v>
                </pt>
                <pt idx="217">
                  <v>111.3977004289431</v>
                </pt>
                <pt idx="218">
                  <v>110.1030845554205</v>
                </pt>
                <pt idx="219">
                  <v>112.4878213058285</v>
                </pt>
                <pt idx="220">
                  <v>107.1831179209059</v>
                </pt>
                <pt idx="221">
                  <v>106.8716548132243</v>
                </pt>
                <pt idx="222">
                  <v>107.7087119151185</v>
                </pt>
                <pt idx="223">
                  <v>106.1903292651709</v>
                </pt>
                <pt idx="224">
                  <v>105.7328678257636</v>
                </pt>
                <pt idx="225">
                  <v>103.7570237364088</v>
                </pt>
                <pt idx="226">
                  <v>98.5496525726366</v>
                </pt>
                <pt idx="227">
                  <v>97.18703067619614</v>
                </pt>
                <pt idx="228">
                  <v>93.61490896030696</v>
                </pt>
                <pt idx="229">
                  <v>92.31064746366832</v>
                </pt>
                <pt idx="230">
                  <v>90.61705708242775</v>
                </pt>
                <pt idx="231">
                  <v>90.57812419396754</v>
                </pt>
                <pt idx="232">
                  <v>91.6487786266229</v>
                </pt>
                <pt idx="233">
                  <v>92.84597467999599</v>
                </pt>
                <pt idx="234">
                  <v>92.47611223962414</v>
                </pt>
                <pt idx="235">
                  <v>94.0237140223611</v>
                </pt>
                <pt idx="236">
                  <v>94.50064190599849</v>
                </pt>
                <pt idx="237">
                  <v>93.86797273529821</v>
                </pt>
                <pt idx="238">
                  <v>94.7829053473349</v>
                </pt>
                <pt idx="239">
                  <v>94.49090868388345</v>
                </pt>
                <pt idx="240">
                  <v>95.50317351707061</v>
                </pt>
                <pt idx="241">
                  <v>94.89970401271549</v>
                </pt>
                <pt idx="242">
                  <v>96.76850212524904</v>
                </pt>
                <pt idx="243">
                  <v>96.39862995165508</v>
                </pt>
                <pt idx="244">
                  <v>97.17730718730321</v>
                </pt>
                <pt idx="245">
                  <v>96.76850212524904</v>
                </pt>
                <pt idx="246">
                  <v>97.43033202940602</v>
                </pt>
                <pt idx="247">
                  <v>96.43757257333741</v>
                </pt>
                <pt idx="248">
                  <v>97.61526324959195</v>
                </pt>
                <pt idx="249">
                  <v>97.46926491786621</v>
                </pt>
                <pt idx="250">
                  <v>98.70538412647738</v>
                </pt>
                <pt idx="251">
                  <v>100</v>
                </pt>
                <pt idx="252">
                  <v>101.197186320151</v>
                </pt>
                <pt idx="253">
                  <v>101.5183826499476</v>
                </pt>
                <pt idx="254">
                  <v>100.2433305528762</v>
                </pt>
                <pt idx="255">
                  <v>98.5496525726366</v>
                </pt>
                <pt idx="256">
                  <v>101.7714464249389</v>
                </pt>
                <pt idx="257">
                  <v>98.97791434569874</v>
                </pt>
                <pt idx="258">
                  <v>100.0973322211505</v>
                </pt>
                <pt idx="259">
                  <v>99.26027511925631</v>
                </pt>
                <pt idx="260">
                  <v>98.51071968417642</v>
                </pt>
                <pt idx="261">
                  <v>98.74431701493758</v>
                </pt>
                <pt idx="262">
                  <v>100.8565235461243</v>
                </pt>
                <pt idx="263">
                  <v>98.73458379282253</v>
                </pt>
                <pt idx="264">
                  <v>98.16032368803467</v>
                </pt>
                <pt idx="265">
                  <v>99.09481034330048</v>
                </pt>
                <pt idx="266">
                  <v>98.30632201976039</v>
                </pt>
                <pt idx="267">
                  <v>98.53018612840651</v>
                </pt>
                <pt idx="268">
                  <v>97.1188981213908</v>
                </pt>
                <pt idx="269">
                  <v>96.53489506126577</v>
                </pt>
                <pt idx="270">
                  <v>97.08969845504565</v>
                </pt>
                <pt idx="271">
                  <v>99.02658045627398</v>
                </pt>
                <pt idx="272">
                  <v>97.29409611946168</v>
                </pt>
                <pt idx="273">
                  <v>95.57130607187595</v>
                </pt>
                <pt idx="274">
                  <v>95.56157284976091</v>
                </pt>
                <pt idx="275">
                  <v>96.8366346800544</v>
                </pt>
                <pt idx="276">
                  <v>95.93143529013275</v>
                </pt>
                <pt idx="277">
                  <v>97.02156590024032</v>
                </pt>
                <pt idx="278">
                  <v>97.14809778773595</v>
                </pt>
                <pt idx="279">
                  <v>98.69565090436234</v>
                </pt>
                <pt idx="280">
                  <v>98.36472135245069</v>
                </pt>
                <pt idx="281">
                  <v>97.1967638983112</v>
                </pt>
                <pt idx="282">
                  <v>96.44730579545245</v>
                </pt>
                <pt idx="283">
                  <v>95.95090173436286</v>
                </pt>
                <pt idx="284">
                  <v>96.26237457526652</v>
                </pt>
                <pt idx="285">
                  <v>96.36944001853206</v>
                </pt>
                <pt idx="286">
                  <v>98.10192435534438</v>
                </pt>
                <pt idx="287">
                  <v>96.86583434639954</v>
                </pt>
                <pt idx="288">
                  <v>95.30849934154753</v>
                </pt>
                <pt idx="289">
                  <v>96.79770179159419</v>
                </pt>
                <pt idx="290">
                  <v>96.08717657719565</v>
                </pt>
                <pt idx="291">
                  <v>96.42782961800023</v>
                </pt>
                <pt idx="292">
                  <v>94.27677779735237</v>
                </pt>
                <pt idx="293">
                  <v>96.45702928434538</v>
                </pt>
                <pt idx="294">
                  <v>97.65419613805213</v>
                </pt>
                <pt idx="295">
                  <v>95.73677084783179</v>
                </pt>
                <pt idx="296">
                  <v>96.47650546179759</v>
                </pt>
                <pt idx="297">
                  <v>94.98730301175092</v>
                </pt>
                <pt idx="298">
                  <v>94.09184657716645</v>
                </pt>
                <pt idx="299">
                  <v>96.70036957044371</v>
                </pt>
                <pt idx="300">
                  <v>96.85610112428449</v>
                </pt>
                <pt idx="301">
                  <v>97.40113236306087</v>
                </pt>
                <pt idx="302">
                  <v>97.15783100985099</v>
                </pt>
                <pt idx="303">
                  <v>96.71009305933664</v>
                </pt>
                <pt idx="304">
                  <v>97.60553002747689</v>
                </pt>
                <pt idx="305">
                  <v>97.47899813998126</v>
                </pt>
                <pt idx="306">
                  <v>96.49596217280558</v>
                </pt>
                <pt idx="307">
                  <v>97.29409611946168</v>
                </pt>
                <pt idx="308">
                  <v>98.45232035148612</v>
                </pt>
                <pt idx="309">
                  <v>98.85138245820312</v>
                </pt>
                <pt idx="310">
                  <v>96.71009305933664</v>
                </pt>
                <pt idx="311">
                  <v>96.99236623389517</v>
                </pt>
                <pt idx="312">
                  <v>98.99738078992885</v>
                </pt>
                <pt idx="313">
                  <v>97.91699313515845</v>
                </pt>
                <pt idx="314">
                  <v>97.44979847363611</v>
                </pt>
                <pt idx="315">
                  <v>98.47178679571621</v>
                </pt>
                <pt idx="316">
                  <v>96.97289978966508</v>
                </pt>
                <pt idx="317">
                  <v>96.62250379352332</v>
                </pt>
                <pt idx="318">
                  <v>96.48623868391265</v>
                </pt>
                <pt idx="319">
                  <v>98.3452549082206</v>
                </pt>
                <pt idx="320">
                  <v>97.35246625248561</v>
                </pt>
                <pt idx="321">
                  <v>97.00209945601023</v>
                </pt>
                <pt idx="322">
                  <v>99.52307211636263</v>
                </pt>
                <pt idx="323">
                  <v>98.08245791111426</v>
                </pt>
                <pt idx="324">
                  <v>98.67618446013223</v>
                </pt>
                <pt idx="325">
                  <v>97.42059880729097</v>
                </pt>
                <pt idx="326">
                  <v>98.50098646206136</v>
                </pt>
                <pt idx="327">
                  <v>98.44258712937108</v>
                </pt>
                <pt idx="328">
                  <v>100.5353272163277</v>
                </pt>
                <pt idx="329">
                  <v>99.42564256299099</v>
                </pt>
                <pt idx="330">
                  <v>99.98053355576991</v>
                </pt>
                <pt idx="331">
                  <v>100.1751979980709</v>
                </pt>
                <pt idx="332">
                  <v>101.0219883220801</v>
                </pt>
                <pt idx="333">
                  <v>101.4502500951423</v>
                </pt>
                <pt idx="334">
                  <v>101.8687786460893</v>
                </pt>
                <pt idx="335">
                  <v>102.8810337460544</v>
                </pt>
                <pt idx="336">
                  <v>99.2992080077165</v>
                </pt>
                <pt idx="337">
                  <v>100.399062106717</v>
                </pt>
                <pt idx="338">
                  <v>101.1290537653456</v>
                </pt>
                <pt idx="339">
                  <v>99.90266777884952</v>
                </pt>
                <pt idx="340">
                  <v>98.9876475678138</v>
                </pt>
                <pt idx="341">
                  <v>100.7202584365136</v>
                </pt>
                <pt idx="342">
                  <v>100.6715923259383</v>
                </pt>
                <pt idx="343">
                  <v>101.3723843182218</v>
                </pt>
                <pt idx="344">
                  <v>100.1459983317257</v>
                </pt>
                <pt idx="345">
                  <v>100.8857232124694</v>
                </pt>
                <pt idx="346">
                  <v>100.0486661105752</v>
                </pt>
                <pt idx="347">
                  <v>100.9343893230447</v>
                </pt>
                <pt idx="348">
                  <v>101.9758440893549</v>
                </pt>
                <pt idx="349">
                  <v>101.4989162057175</v>
                </pt>
                <pt idx="350">
                  <v>100.8662567682393</v>
                </pt>
                <pt idx="351">
                  <v>101.3042517634165</v>
                </pt>
                <pt idx="352">
                  <v>102.9880991893199</v>
                </pt>
                <pt idx="353">
                  <v>100.593726549018</v>
                </pt>
                <pt idx="354">
                  <v>100.9051896566995</v>
                </pt>
                <pt idx="355">
                  <v>99.88320133461943</v>
                </pt>
              </numCache>
            </numRef>
          </val>
          <smooth val="0"/>
        </ser>
        <ser>
          <idx val="7"/>
          <order val="2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World'!$A$2:$A$358</f>
              <numCache>
                <formatCode>mmm\-yy</formatCode>
                <ptCount val="357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</numCache>
            </numRef>
          </cat>
          <val>
            <numRef>
              <f>'IP World'!$J$2:$J$358</f>
              <numCache>
                <formatCode>0.00</formatCode>
                <ptCount val="357"/>
                <pt idx="0">
                  <v>94.3897449960256</v>
                </pt>
                <pt idx="1">
                  <v>93.97936503482404</v>
                </pt>
                <pt idx="2">
                  <v>94.88221956804111</v>
                </pt>
                <pt idx="3">
                  <v>93.24065982629136</v>
                </pt>
                <pt idx="4">
                  <v>95.6209247765738</v>
                </pt>
                <pt idx="5">
                  <v>95.6209247765738</v>
                </pt>
                <pt idx="6">
                  <v>96.52377930979085</v>
                </pt>
                <pt idx="7">
                  <v>97.09833519363914</v>
                </pt>
                <pt idx="8">
                  <v>98.00118972685621</v>
                </pt>
                <pt idx="9">
                  <v>98.16533905154058</v>
                </pt>
                <pt idx="10">
                  <v>98.16533905154058</v>
                </pt>
                <pt idx="11">
                  <v>98.57573231172333</v>
                </pt>
                <pt idx="12">
                  <v>101.5957447515903</v>
                </pt>
                <pt idx="13">
                  <v>100.3989428373882</v>
                </pt>
                <pt idx="14">
                  <v>99.73404697439534</v>
                </pt>
                <pt idx="15">
                  <v>98.93617459860018</v>
                </pt>
                <pt idx="16">
                  <v>97.34042984700984</v>
                </pt>
                <pt idx="17">
                  <v>101.5957447515903</v>
                </pt>
                <pt idx="18">
                  <v>98.67022157299552</v>
                </pt>
                <pt idx="19">
                  <v>97.07447682140518</v>
                </pt>
                <pt idx="20">
                  <v>96.80851049681935</v>
                </pt>
                <pt idx="21">
                  <v>98.27127873560734</v>
                </pt>
                <pt idx="22">
                  <v>99.33511743598835</v>
                </pt>
                <pt idx="23">
                  <v>99.46809394879067</v>
                </pt>
                <pt idx="24">
                  <v>100.664909161974</v>
                </pt>
                <pt idx="25">
                  <v>102.3936171273855</v>
                </pt>
                <pt idx="26">
                  <v>99.46809394879067</v>
                </pt>
                <pt idx="27">
                  <v>99.33511743598835</v>
                </pt>
                <pt idx="28">
                  <v>98.67022157299552</v>
                </pt>
                <pt idx="29">
                  <v>97.07447682140518</v>
                </pt>
                <pt idx="30">
                  <v>95.34574225803135</v>
                </pt>
                <pt idx="31">
                  <v>95.61170858261718</v>
                </pt>
                <pt idx="32">
                  <v>94.81383620682203</v>
                </pt>
                <pt idx="33">
                  <v>94.68085969401969</v>
                </pt>
                <pt idx="34">
                  <v>93.2180914552317</v>
                </pt>
                <pt idx="35">
                  <v>91.62234670364138</v>
                </pt>
                <pt idx="36">
                  <v>90.55850800326037</v>
                </pt>
                <pt idx="37">
                  <v>89.22872957625589</v>
                </pt>
                <pt idx="38">
                  <v>89.36170608905822</v>
                </pt>
                <pt idx="39">
                  <v>88.69681022606539</v>
                </pt>
                <pt idx="40">
                  <v>88.69681022606539</v>
                </pt>
                <pt idx="41">
                  <v>88.03191436307256</v>
                </pt>
                <pt idx="42">
                  <v>86.03724007307524</v>
                </pt>
                <pt idx="43">
                  <v>89.76064892644641</v>
                </pt>
                <pt idx="44">
                  <v>89.36170608905822</v>
                </pt>
                <pt idx="45">
                  <v>89.36170608905822</v>
                </pt>
                <pt idx="46">
                  <v>88.56383371326305</v>
                </pt>
                <pt idx="47">
                  <v>89.62767241364406</v>
                </pt>
                <pt idx="48">
                  <v>89.22872957625589</v>
                </pt>
                <pt idx="49">
                  <v>90.55850800326037</v>
                </pt>
                <pt idx="50">
                  <v>90.15957846485338</v>
                </pt>
                <pt idx="51">
                  <v>91.22340386625321</v>
                </pt>
                <pt idx="52">
                  <v>90.8244743278462</v>
                </pt>
                <pt idx="53">
                  <v>91.48937019083904</v>
                </pt>
                <pt idx="54">
                  <v>91.09042735345088</v>
                </pt>
                <pt idx="55">
                  <v>91.09042735345088</v>
                </pt>
                <pt idx="56">
                  <v>92.42021907943654</v>
                </pt>
                <pt idx="57">
                  <v>94.1489403438292</v>
                </pt>
                <pt idx="58">
                  <v>94.68085969401969</v>
                </pt>
                <pt idx="59">
                  <v>94.68085969401969</v>
                </pt>
                <pt idx="60">
                  <v>92.81914861784352</v>
                </pt>
                <pt idx="61">
                  <v>94.1489403438292</v>
                </pt>
                <pt idx="62">
                  <v>93.08510164344818</v>
                </pt>
                <pt idx="63">
                  <v>93.6170209936387</v>
                </pt>
                <pt idx="64">
                  <v>94.1489403438292</v>
                </pt>
                <pt idx="65">
                  <v>93.08510164344818</v>
                </pt>
                <pt idx="66">
                  <v>92.81914861784352</v>
                </pt>
                <pt idx="67">
                  <v>91.7553232164437</v>
                </pt>
                <pt idx="68">
                  <v>93.6170209936387</v>
                </pt>
                <pt idx="69">
                  <v>91.22340386625321</v>
                </pt>
                <pt idx="70">
                  <v>91.7553232164437</v>
                </pt>
                <pt idx="71">
                  <v>91.7553232164437</v>
                </pt>
                <pt idx="72">
                  <v>92.15426605383188</v>
                </pt>
                <pt idx="73">
                  <v>91.35638037905554</v>
                </pt>
                <pt idx="74">
                  <v>91.48937019083904</v>
                </pt>
                <pt idx="75">
                  <v>91.48937019083904</v>
                </pt>
                <pt idx="76">
                  <v>92.28724256663422</v>
                </pt>
                <pt idx="77">
                  <v>92.81914861784352</v>
                </pt>
                <pt idx="78">
                  <v>91.7553232164437</v>
                </pt>
                <pt idx="79">
                  <v>92.95212513064587</v>
                </pt>
                <pt idx="80">
                  <v>93.75001080542221</v>
                </pt>
                <pt idx="81">
                  <v>92.42021907943654</v>
                </pt>
                <pt idx="82">
                  <v>93.75001080542221</v>
                </pt>
                <pt idx="83">
                  <v>93.75001080542221</v>
                </pt>
                <pt idx="84">
                  <v>92.55319559223888</v>
                </pt>
                <pt idx="85">
                  <v>93.88298731822454</v>
                </pt>
                <pt idx="86">
                  <v>94.94681271962435</v>
                </pt>
                <pt idx="87">
                  <v>94.54788318121737</v>
                </pt>
                <pt idx="88">
                  <v>93.35106796803403</v>
                </pt>
                <pt idx="89">
                  <v>97.07447682140518</v>
                </pt>
                <pt idx="90">
                  <v>98.13830222280502</v>
                </pt>
                <pt idx="91">
                  <v>94.94681271962435</v>
                </pt>
                <pt idx="92">
                  <v>95.74468509541953</v>
                </pt>
                <pt idx="93">
                  <v>97.07447682140518</v>
                </pt>
                <pt idx="94">
                  <v>97.6063828726145</v>
                </pt>
                <pt idx="95">
                  <v>98.53724506019317</v>
                </pt>
                <pt idx="96">
                  <v>99.60107046159301</v>
                </pt>
                <pt idx="97">
                  <v>99.33511743598835</v>
                </pt>
                <pt idx="98">
                  <v>100.664909161974</v>
                </pt>
                <pt idx="99">
                  <v>99.73404697439534</v>
                </pt>
                <pt idx="100">
                  <v>100.2659530256047</v>
                </pt>
                <pt idx="101">
                  <v>99.46809394879067</v>
                </pt>
                <pt idx="102">
                  <v>101.5957447515903</v>
                </pt>
                <pt idx="103">
                  <v>99.33511743598835</v>
                </pt>
                <pt idx="104">
                  <v>98.67022157299552</v>
                </pt>
                <pt idx="105">
                  <v>99.33511743598835</v>
                </pt>
                <pt idx="106">
                  <v>98.00532571000268</v>
                </pt>
                <pt idx="107">
                  <v>98.40426854739086</v>
                </pt>
                <pt idx="108">
                  <v>100</v>
                </pt>
                <pt idx="109">
                  <v>98.13830222280502</v>
                </pt>
                <pt idx="110">
                  <v>98.80319808579783</v>
                </pt>
                <pt idx="111">
                  <v>99.46809394879067</v>
                </pt>
                <pt idx="112">
                  <v>100.1329765128023</v>
                </pt>
                <pt idx="113">
                  <v>100.1329765128023</v>
                </pt>
                <pt idx="114">
                  <v>100.9308621875787</v>
                </pt>
                <pt idx="115">
                  <v>101.8617110761762</v>
                </pt>
                <pt idx="116">
                  <v>101.462768238788</v>
                </pt>
                <pt idx="117">
                  <v>102.5265936401878</v>
                </pt>
                <pt idx="118">
                  <v>102.3936171273855</v>
                </pt>
                <pt idx="119">
                  <v>102.5265936401878</v>
                </pt>
                <pt idx="120">
                  <v>101.7287212643927</v>
                </pt>
                <pt idx="121">
                  <v>104.2553282035616</v>
                </pt>
                <pt idx="122">
                  <v>104.388304716364</v>
                </pt>
                <pt idx="123">
                  <v>105.7180964423496</v>
                </pt>
                <pt idx="124">
                  <v>108.2446900825375</v>
                </pt>
                <pt idx="125">
                  <v>105.851072955152</v>
                </pt>
                <pt idx="126">
                  <v>107.5797942195446</v>
                </pt>
                <pt idx="127">
                  <v>108.6436196209445</v>
                </pt>
                <pt idx="128">
                  <v>108.7765961337468</v>
                </pt>
                <pt idx="129">
                  <v>108.3776665953398</v>
                </pt>
                <pt idx="130">
                  <v>109.3085154839373</v>
                </pt>
                <pt idx="131">
                  <v>109.9734113469301</v>
                </pt>
                <pt idx="132">
                  <v>109.7074583213254</v>
                </pt>
                <pt idx="133">
                  <v>110.9042602355276</v>
                </pt>
                <pt idx="134">
                  <v>109.0425491593515</v>
                </pt>
                <pt idx="135">
                  <v>107.1808513821564</v>
                </pt>
                <pt idx="136">
                  <v>108.3776665953398</v>
                </pt>
                <pt idx="137">
                  <v>108.9095726465491</v>
                </pt>
                <pt idx="138">
                  <v>105.5851199295473</v>
                </pt>
                <pt idx="139">
                  <v>108.5106431081421</v>
                </pt>
                <pt idx="140">
                  <v>107.0478748693541</v>
                </pt>
                <pt idx="141">
                  <v>105.1861770921592</v>
                </pt>
                <pt idx="142">
                  <v>103.8563853661735</v>
                </pt>
                <pt idx="143">
                  <v>104.5212812291663</v>
                </pt>
                <pt idx="144">
                  <v>105.0532005793568</v>
                </pt>
                <pt idx="145">
                  <v>105.3191536049615</v>
                </pt>
                <pt idx="146">
                  <v>105.5851199295473</v>
                </pt>
                <pt idx="147">
                  <v>105.7180964423496</v>
                </pt>
                <pt idx="148">
                  <v>104.6542577419686</v>
                </pt>
                <pt idx="149">
                  <v>107.5797942195446</v>
                </pt>
                <pt idx="150">
                  <v>105.5851199295473</v>
                </pt>
                <pt idx="151">
                  <v>108.1117135697351</v>
                </pt>
                <pt idx="152">
                  <v>106.648932031966</v>
                </pt>
                <pt idx="153">
                  <v>105.851072955152</v>
                </pt>
                <pt idx="154">
                  <v>107.712770732347</v>
                </pt>
                <pt idx="155">
                  <v>105.851072955152</v>
                </pt>
                <pt idx="156">
                  <v>106.648932031966</v>
                </pt>
                <pt idx="157">
                  <v>106.648932031966</v>
                </pt>
                <pt idx="158">
                  <v>106.3829790063613</v>
                </pt>
                <pt idx="159">
                  <v>106.1170259807566</v>
                </pt>
                <pt idx="160">
                  <v>105.1861770921592</v>
                </pt>
                <pt idx="161">
                  <v>104.6542577419686</v>
                </pt>
                <pt idx="162">
                  <v>107.1808513821564</v>
                </pt>
                <pt idx="163">
                  <v>104.5212812291663</v>
                </pt>
                <pt idx="164">
                  <v>104.2553282035616</v>
                </pt>
                <pt idx="165">
                  <v>107.4468177067423</v>
                </pt>
                <pt idx="166">
                  <v>108.5106431081421</v>
                </pt>
                <pt idx="167">
                  <v>109.0425491593515</v>
                </pt>
                <pt idx="168">
                  <v>108.1117135697351</v>
                </pt>
                <pt idx="169">
                  <v>108.6436196209445</v>
                </pt>
                <pt idx="170">
                  <v>107.9787370569328</v>
                </pt>
                <pt idx="171">
                  <v>109.5744818085231</v>
                </pt>
                <pt idx="172">
                  <v>110.7712837227253</v>
                </pt>
                <pt idx="173">
                  <v>109.9734113469301</v>
                </pt>
                <pt idx="174">
                  <v>111.3031897739346</v>
                </pt>
                <pt idx="175">
                  <v>110.2393643725348</v>
                </pt>
                <pt idx="176">
                  <v>109.9734113469301</v>
                </pt>
                <pt idx="177">
                  <v>111.3031897739346</v>
                </pt>
                <pt idx="178">
                  <v>109.4414919967396</v>
                </pt>
                <pt idx="179">
                  <v>108.9095726465491</v>
                </pt>
                <pt idx="180">
                  <v>112.2340519615133</v>
                </pt>
                <pt idx="181">
                  <v>110.5053306971206</v>
                </pt>
                <pt idx="182">
                  <v>111.9680989359086</v>
                </pt>
                <pt idx="183">
                  <v>112.7659580127226</v>
                </pt>
                <pt idx="184">
                  <v>111.3031897739346</v>
                </pt>
                <pt idx="185">
                  <v>113.6968069013201</v>
                </pt>
                <pt idx="186">
                  <v>115.4255414646939</v>
                </pt>
                <pt idx="187">
                  <v>112.1010754487109</v>
                </pt>
                <pt idx="188">
                  <v>115.2925516529104</v>
                </pt>
                <pt idx="189">
                  <v>117.5531922674936</v>
                </pt>
                <pt idx="190">
                  <v>116.2234138404891</v>
                </pt>
                <pt idx="191">
                  <v>115.9574475159033</v>
                </pt>
                <pt idx="192">
                  <v>116.6223566778773</v>
                </pt>
                <pt idx="193">
                  <v>117.2872392418889</v>
                </pt>
                <pt idx="194">
                  <v>116.2234138404891</v>
                </pt>
                <pt idx="195">
                  <v>118.8829839934792</v>
                </pt>
                <pt idx="196">
                  <v>120.6117052578719</v>
                </pt>
                <pt idx="197">
                  <v>119.9468093948791</v>
                </pt>
                <pt idx="198">
                  <v>122.0744734966599</v>
                </pt>
                <pt idx="199">
                  <v>122.8723458724551</v>
                </pt>
                <pt idx="200">
                  <v>122.7393693596527</v>
                </pt>
                <pt idx="201">
                  <v>122.4734030350669</v>
                </pt>
                <pt idx="202">
                  <v>124.6010671368477</v>
                </pt>
                <pt idx="203">
                  <v>125.797882350031</v>
                </pt>
                <pt idx="204">
                  <v>126.4627782130239</v>
                </pt>
                <pt idx="205">
                  <v>126.9946842642332</v>
                </pt>
                <pt idx="206">
                  <v>127.659580127226</v>
                </pt>
                <pt idx="207">
                  <v>126.4627782130239</v>
                </pt>
                <pt idx="208">
                  <v>128.7234055286258</v>
                </pt>
                <pt idx="209">
                  <v>128.5904290158235</v>
                </pt>
                <pt idx="210">
                  <v>129.521277904421</v>
                </pt>
                <pt idx="211">
                  <v>129.9202207418092</v>
                </pt>
                <pt idx="212">
                  <v>131.2499991688137</v>
                </pt>
                <pt idx="213">
                  <v>131.3829889805972</v>
                </pt>
                <pt idx="214">
                  <v>131.1170226560113</v>
                </pt>
                <pt idx="215">
                  <v>132.446814381997</v>
                </pt>
                <pt idx="216">
                  <v>134.4415285689379</v>
                </pt>
                <pt idx="217">
                  <v>134.0425591335873</v>
                </pt>
                <pt idx="218">
                  <v>133.1117634409146</v>
                </pt>
                <pt idx="219">
                  <v>133.3776100746698</v>
                </pt>
                <pt idx="220">
                  <v>130.7180931176044</v>
                </pt>
                <pt idx="221">
                  <v>132.1808613563924</v>
                </pt>
                <pt idx="222">
                  <v>129.9202207418092</v>
                </pt>
                <pt idx="223">
                  <v>132.5798041937805</v>
                </pt>
                <pt idx="224">
                  <v>129.521277904421</v>
                </pt>
                <pt idx="225">
                  <v>126.7287312386285</v>
                </pt>
                <pt idx="226">
                  <v>121.1436246080624</v>
                </pt>
                <pt idx="227">
                  <v>116.6223566778773</v>
                </pt>
                <pt idx="228">
                  <v>107.31384119394</v>
                </pt>
                <pt idx="229">
                  <v>103.9893618789758</v>
                </pt>
                <pt idx="230">
                  <v>104.388304716364</v>
                </pt>
                <pt idx="231">
                  <v>101.3297917259857</v>
                </pt>
                <pt idx="232">
                  <v>105.9840494679543</v>
                </pt>
                <pt idx="233">
                  <v>106.7819218437495</v>
                </pt>
                <pt idx="234">
                  <v>105.7180964423496</v>
                </pt>
                <pt idx="235">
                  <v>107.0478748693541</v>
                </pt>
                <pt idx="236">
                  <v>111.8351091241251</v>
                </pt>
                <pt idx="237">
                  <v>109.4414919967396</v>
                </pt>
                <pt idx="238">
                  <v>110.7712837227253</v>
                </pt>
                <pt idx="239">
                  <v>110.7712837227253</v>
                </pt>
                <pt idx="240">
                  <v>111.8351091241251</v>
                </pt>
                <pt idx="241">
                  <v>110.7712837227253</v>
                </pt>
                <pt idx="242">
                  <v>114.4946925760964</v>
                </pt>
                <pt idx="243">
                  <v>116.6223566778773</v>
                </pt>
                <pt idx="244">
                  <v>120.2127624204837</v>
                </pt>
                <pt idx="245">
                  <v>119.8138328820767</v>
                </pt>
                <pt idx="246">
                  <v>119.0159738052627</v>
                </pt>
                <pt idx="247">
                  <v>121.0106480952601</v>
                </pt>
                <pt idx="248">
                  <v>122.8723458724551</v>
                </pt>
                <pt idx="249">
                  <v>125.5319293244264</v>
                </pt>
                <pt idx="250">
                  <v>124.8670201624524</v>
                </pt>
                <pt idx="251">
                  <v>126.8617077514309</v>
                </pt>
                <pt idx="252">
                  <v>126.5957547258262</v>
                </pt>
                <pt idx="253">
                  <v>128.0585229646142</v>
                </pt>
                <pt idx="254">
                  <v>128.8563820414282</v>
                </pt>
                <pt idx="255">
                  <v>129.6542544172233</v>
                </pt>
                <pt idx="256">
                  <v>131.2499991688137</v>
                </pt>
                <pt idx="257">
                  <v>129.122348366014</v>
                </pt>
                <pt idx="258">
                  <v>133.1117634409146</v>
                </pt>
                <pt idx="259">
                  <v>132.04788484359</v>
                </pt>
                <pt idx="260">
                  <v>130.0531972546115</v>
                </pt>
                <pt idx="261">
                  <v>131.5159654933995</v>
                </pt>
                <pt idx="262">
                  <v>130.585116604802</v>
                </pt>
                <pt idx="263">
                  <v>128.7234055286258</v>
                </pt>
                <pt idx="264">
                  <v>129.3883013916187</v>
                </pt>
                <pt idx="265">
                  <v>129.2553248788164</v>
                </pt>
                <pt idx="266">
                  <v>130.8510696304067</v>
                </pt>
                <pt idx="267">
                  <v>128.4574525030212</v>
                </pt>
                <pt idx="268">
                  <v>130.984046143209</v>
                </pt>
                <pt idx="269">
                  <v>129.3883013916187</v>
                </pt>
                <pt idx="270">
                  <v>130.8510696304067</v>
                </pt>
                <pt idx="271">
                  <v>130.8510696304067</v>
                </pt>
                <pt idx="272">
                  <v>129.122348366014</v>
                </pt>
                <pt idx="273">
                  <v>127.3936271016214</v>
                </pt>
                <pt idx="274">
                  <v>126.4627782130239</v>
                </pt>
                <pt idx="275">
                  <v>127.5266036144237</v>
                </pt>
                <pt idx="276">
                  <v>125.9308588628334</v>
                </pt>
                <pt idx="277">
                  <v>126.9946842642332</v>
                </pt>
                <pt idx="278">
                  <v>128.7234055286258</v>
                </pt>
                <pt idx="279">
                  <v>129.122348366014</v>
                </pt>
                <pt idx="280">
                  <v>128.3244759902189</v>
                </pt>
                <pt idx="281">
                  <v>130.585116604802</v>
                </pt>
                <pt idx="282">
                  <v>128.3244759902189</v>
                </pt>
                <pt idx="283">
                  <v>131.2499991688137</v>
                </pt>
                <pt idx="284">
                  <v>130.585116604802</v>
                </pt>
                <pt idx="285">
                  <v>129.6542544172233</v>
                </pt>
                <pt idx="286">
                  <v>132.5798041937805</v>
                </pt>
                <pt idx="287">
                  <v>132.7127807065829</v>
                </pt>
                <pt idx="288">
                  <v>132.04788484359</v>
                </pt>
                <pt idx="289">
                  <v>132.1808613563924</v>
                </pt>
                <pt idx="290">
                  <v>132.7127807065829</v>
                </pt>
                <pt idx="291">
                  <v>132.1808613563924</v>
                </pt>
                <pt idx="292">
                  <v>131.2499991688137</v>
                </pt>
                <pt idx="293">
                  <v>131.3829889805972</v>
                </pt>
                <pt idx="294">
                  <v>134.1755489453708</v>
                </pt>
                <pt idx="295">
                  <v>128.5904290158235</v>
                </pt>
                <pt idx="296">
                  <v>131.7819185190042</v>
                </pt>
                <pt idx="297">
                  <v>132.04788484359</v>
                </pt>
                <pt idx="298">
                  <v>132.1808613563924</v>
                </pt>
                <pt idx="299">
                  <v>134.4415285689379</v>
                </pt>
                <pt idx="300">
                  <v>131.5159654933995</v>
                </pt>
                <pt idx="301">
                  <v>132.1808613563924</v>
                </pt>
                <pt idx="302">
                  <v>132.1808613563924</v>
                </pt>
                <pt idx="303">
                  <v>132.9787337321875</v>
                </pt>
                <pt idx="304">
                  <v>133.1117634409146</v>
                </pt>
                <pt idx="305">
                  <v>132.9787337321875</v>
                </pt>
                <pt idx="306">
                  <v>134.8403650144766</v>
                </pt>
                <pt idx="307">
                  <v>131.2499991688137</v>
                </pt>
                <pt idx="308">
                  <v>132.04788484359</v>
                </pt>
                <pt idx="309">
                  <v>133.244753252698</v>
                </pt>
                <pt idx="310">
                  <v>132.04788484359</v>
                </pt>
                <pt idx="311">
                  <v>133.1117634409146</v>
                </pt>
                <pt idx="312">
                  <v>135.6383038851777</v>
                </pt>
                <pt idx="313">
                  <v>135.2393344498271</v>
                </pt>
                <pt idx="314">
                  <v>133.6435896982368</v>
                </pt>
                <pt idx="315">
                  <v>134.5745183807214</v>
                </pt>
                <pt idx="316">
                  <v>132.04788484359</v>
                </pt>
                <pt idx="317">
                  <v>134.9733548262601</v>
                </pt>
                <pt idx="318">
                  <v>132.9787337321875</v>
                </pt>
                <pt idx="319">
                  <v>135.1063446380436</v>
                </pt>
                <pt idx="320">
                  <v>134.9733548262601</v>
                </pt>
                <pt idx="321">
                  <v>135.9042835087447</v>
                </pt>
                <pt idx="322">
                  <v>135.5053140733941</v>
                </pt>
                <pt idx="323">
                  <v>133.3776100746698</v>
                </pt>
                <pt idx="324">
                  <v>135.3723242616106</v>
                </pt>
                <pt idx="325">
                  <v>136.702089389634</v>
                </pt>
                <pt idx="326">
                  <v>136.0372733205282</v>
                </pt>
                <pt idx="327">
                  <v>137.766007883902</v>
                </pt>
                <pt idx="328">
                  <v>138.2978341412243</v>
                </pt>
                <pt idx="329">
                  <v>138.1648443294408</v>
                </pt>
                <pt idx="330">
                  <v>139.2287628237088</v>
                </pt>
                <pt idx="331">
                  <v>142.021282891539</v>
                </pt>
                <pt idx="332">
                  <v>141.0904871988662</v>
                </pt>
                <pt idx="333">
                  <v>138.8297933883583</v>
                </pt>
                <pt idx="334">
                  <v>144.4149665138303</v>
                </pt>
                <pt idx="335">
                  <v>143.8830072666963</v>
                </pt>
                <pt idx="336">
                  <v>142.6862319504565</v>
                </pt>
                <pt idx="337">
                  <v>140.0265687045981</v>
                </pt>
                <pt idx="338">
                  <v>141.755303267972</v>
                </pt>
                <pt idx="339">
                  <v>141.0904871988662</v>
                </pt>
                <pt idx="340">
                  <v>143.3510480195623</v>
                </pt>
                <pt idx="341">
                  <v>142.9520785842117</v>
                </pt>
                <pt idx="342">
                  <v>140.2925483281651</v>
                </pt>
                <pt idx="343">
                  <v>140.4255381399486</v>
                </pt>
                <pt idx="344">
                  <v>140.5585279517321</v>
                </pt>
                <pt idx="345">
                  <v>140.2925483281651</v>
                </pt>
                <pt idx="346">
                  <v>138.031987507469</v>
                </pt>
                <pt idx="347">
                  <v>139.4947424472759</v>
                </pt>
                <pt idx="348">
                  <v>138.031987507469</v>
                </pt>
                <pt idx="349">
                  <v>137.8989976956855</v>
                </pt>
                <pt idx="350">
                  <v>138.9627832001418</v>
                </pt>
                <pt idx="351">
                  <v>135.3723242616106</v>
                </pt>
                <pt idx="352">
                  <v>136.5690995778504</v>
                </pt>
                <pt idx="353">
                  <v>134.9733548262601</v>
                </pt>
                <pt idx="354">
                  <v>134.7075081925049</v>
                </pt>
                <pt idx="355">
                  <v>134.9733548262601</v>
                </pt>
              </numCache>
            </numRef>
          </val>
          <smooth val="0"/>
        </ser>
        <ser>
          <idx val="8"/>
          <order val="3"/>
          <tx>
            <strRef>
              <f>'IP World'!$K$1</f>
              <strCache>
                <ptCount val="1"/>
                <pt idx="0">
                  <v>Spain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World'!$A$2:$A$358</f>
              <numCache>
                <formatCode>mmm\-yy</formatCode>
                <ptCount val="357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</numCache>
            </numRef>
          </cat>
          <val>
            <numRef>
              <f>'IP World'!$K$2:$K$358</f>
              <numCache>
                <formatCode>0.00</formatCode>
                <ptCount val="357"/>
                <pt idx="0">
                  <v>84.99142273173993</v>
                </pt>
                <pt idx="1">
                  <v>82.86546447360332</v>
                </pt>
                <pt idx="2">
                  <v>83.72921265140752</v>
                </pt>
                <pt idx="3">
                  <v>84.86787975149923</v>
                </pt>
                <pt idx="4">
                  <v>83.97263527198403</v>
                </pt>
                <pt idx="5">
                  <v>86.16706008972234</v>
                </pt>
                <pt idx="6">
                  <v>83.59909250228012</v>
                </pt>
                <pt idx="7">
                  <v>82.51140898789919</v>
                </pt>
                <pt idx="8">
                  <v>85.37990519107896</v>
                </pt>
                <pt idx="9">
                  <v>81.96560502795506</v>
                </pt>
                <pt idx="10">
                  <v>84.62256229993743</v>
                </pt>
                <pt idx="11">
                  <v>84.20965757456581</v>
                </pt>
                <pt idx="12">
                  <v>84.29631451162626</v>
                </pt>
                <pt idx="13">
                  <v>82.95730061535689</v>
                </pt>
                <pt idx="14">
                  <v>80.06974662320064</v>
                </pt>
                <pt idx="15">
                  <v>86.04301182121891</v>
                </pt>
                <pt idx="16">
                  <v>81.8068855631564</v>
                </pt>
                <pt idx="17">
                  <v>84.37126560393317</v>
                </pt>
                <pt idx="18">
                  <v>82.30583245820213</v>
                </pt>
                <pt idx="19">
                  <v>82.11485875929836</v>
                </pt>
                <pt idx="20">
                  <v>84.16879659705198</v>
                </pt>
                <pt idx="21">
                  <v>84.67393327331631</v>
                </pt>
                <pt idx="22">
                  <v>84.42676309812445</v>
                </pt>
                <pt idx="23">
                  <v>85.27463680300747</v>
                </pt>
                <pt idx="24">
                  <v>83.95456279511993</v>
                </pt>
                <pt idx="25">
                  <v>84.12635238298155</v>
                </pt>
                <pt idx="26">
                  <v>83.0029281454826</v>
                </pt>
                <pt idx="27">
                  <v>83.05766770727978</v>
                </pt>
                <pt idx="28">
                  <v>82.33342119734792</v>
                </pt>
                <pt idx="29">
                  <v>81.29505381741072</v>
                </pt>
                <pt idx="30">
                  <v>80.50006695069482</v>
                </pt>
                <pt idx="31">
                  <v>80.16826099149347</v>
                </pt>
                <pt idx="32">
                  <v>79.59054807775712</v>
                </pt>
                <pt idx="33">
                  <v>79.25284708882378</v>
                </pt>
                <pt idx="34">
                  <v>77.65696990418893</v>
                </pt>
                <pt idx="35">
                  <v>76.36344037303749</v>
                </pt>
                <pt idx="36">
                  <v>77.81614412842406</v>
                </pt>
                <pt idx="37">
                  <v>76.48134096767755</v>
                </pt>
                <pt idx="38">
                  <v>76.48470955609584</v>
                </pt>
                <pt idx="39">
                  <v>76.27669079979553</v>
                </pt>
                <pt idx="40">
                  <v>76.74576673704209</v>
                </pt>
                <pt idx="41">
                  <v>76.32637747896527</v>
                </pt>
                <pt idx="42">
                  <v>77.09441563833487</v>
                </pt>
                <pt idx="43">
                  <v>75.65855482503972</v>
                </pt>
                <pt idx="44">
                  <v>77.99804790301161</v>
                </pt>
                <pt idx="45">
                  <v>78.56312861017936</v>
                </pt>
                <pt idx="46">
                  <v>78.8561958025704</v>
                </pt>
                <pt idx="47">
                  <v>79.07178546134081</v>
                </pt>
                <pt idx="48">
                  <v>78.71471508900231</v>
                </pt>
                <pt idx="49">
                  <v>81.16873175172493</v>
                </pt>
                <pt idx="50">
                  <v>81.08788562968603</v>
                </pt>
                <pt idx="51">
                  <v>82.32163113788391</v>
                </pt>
                <pt idx="52">
                  <v>81.57717309744231</v>
                </pt>
                <pt idx="53">
                  <v>82.96418937867229</v>
                </pt>
                <pt idx="54">
                  <v>84.253533438714</v>
                </pt>
                <pt idx="55">
                  <v>84.25774417423688</v>
                </pt>
                <pt idx="56">
                  <v>84.28806147000147</v>
                </pt>
                <pt idx="57">
                  <v>85.0038865088876</v>
                </pt>
                <pt idx="58">
                  <v>86.24268489971291</v>
                </pt>
                <pt idx="59">
                  <v>88.74301965318698</v>
                </pt>
                <pt idx="60">
                  <v>88.28236518698613</v>
                </pt>
                <pt idx="61">
                  <v>87.27684154412724</v>
                </pt>
                <pt idx="62">
                  <v>87.23136560048036</v>
                </pt>
                <pt idx="63">
                  <v>87.63222762225659</v>
                </pt>
                <pt idx="64">
                  <v>88.44405743106394</v>
                </pt>
                <pt idx="65">
                  <v>87.73496956901437</v>
                </pt>
                <pt idx="66">
                  <v>87.15304591975516</v>
                </pt>
                <pt idx="67">
                  <v>87.0410403548471</v>
                </pt>
                <pt idx="68">
                  <v>87.59180456123714</v>
                </pt>
                <pt idx="69">
                  <v>86.39679781984957</v>
                </pt>
                <pt idx="70">
                  <v>87.14799303712773</v>
                </pt>
                <pt idx="71">
                  <v>88.26046936226726</v>
                </pt>
                <pt idx="72">
                  <v>84.75124237751602</v>
                </pt>
                <pt idx="73">
                  <v>85.06620539462591</v>
                </pt>
                <pt idx="74">
                  <v>85.80561055244007</v>
                </pt>
                <pt idx="75">
                  <v>84.53733701295475</v>
                </pt>
                <pt idx="76">
                  <v>85.91256323472071</v>
                </pt>
                <pt idx="77">
                  <v>87.21031192286607</v>
                </pt>
                <pt idx="78">
                  <v>85.78287258061664</v>
                </pt>
                <pt idx="79">
                  <v>86.55933221103196</v>
                </pt>
                <pt idx="80">
                  <v>86.90882325942931</v>
                </pt>
                <pt idx="81">
                  <v>87.0528304143111</v>
                </pt>
                <pt idx="82">
                  <v>88.2293099193981</v>
                </pt>
                <pt idx="83">
                  <v>86.92482405441618</v>
                </pt>
                <pt idx="84">
                  <v>89.34768127426963</v>
                </pt>
                <pt idx="85">
                  <v>88.30762960012329</v>
                </pt>
                <pt idx="86">
                  <v>92.22614007769648</v>
                </pt>
                <pt idx="87">
                  <v>91.72843113889448</v>
                </pt>
                <pt idx="88">
                  <v>90.67069437555213</v>
                </pt>
                <pt idx="89">
                  <v>91.83791026248883</v>
                </pt>
                <pt idx="90">
                  <v>92.95965020577864</v>
                </pt>
                <pt idx="91">
                  <v>94.39130028355093</v>
                </pt>
                <pt idx="92">
                  <v>93.94580446523237</v>
                </pt>
                <pt idx="93">
                  <v>95.06501796720848</v>
                </pt>
                <pt idx="94">
                  <v>94.14539332901593</v>
                </pt>
                <pt idx="95">
                  <v>93.94327802391865</v>
                </pt>
                <pt idx="96">
                  <v>95.53409390445505</v>
                </pt>
                <pt idx="97">
                  <v>97.96284615404049</v>
                </pt>
                <pt idx="98">
                  <v>96.25834041438691</v>
                </pt>
                <pt idx="99">
                  <v>97.00700919035135</v>
                </pt>
                <pt idx="100">
                  <v>97.67988472690432</v>
                </pt>
                <pt idx="101">
                  <v>97.3354465611344</v>
                </pt>
                <pt idx="102">
                  <v>97.25291614488636</v>
                </pt>
                <pt idx="103">
                  <v>97.19059725914803</v>
                </pt>
                <pt idx="104">
                  <v>97.46176862682019</v>
                </pt>
                <pt idx="105">
                  <v>98.75867516786097</v>
                </pt>
                <pt idx="106">
                  <v>97.84915629492329</v>
                </pt>
                <pt idx="107">
                  <v>98.66014395662604</v>
                </pt>
                <pt idx="108">
                  <v>100</v>
                </pt>
                <pt idx="109">
                  <v>97.94600321194905</v>
                </pt>
                <pt idx="110">
                  <v>96.7686815597575</v>
                </pt>
                <pt idx="111">
                  <v>99.09469186258517</v>
                </pt>
                <pt idx="112">
                  <v>98.42350062024134</v>
                </pt>
                <pt idx="113">
                  <v>99.42733996889108</v>
                </pt>
                <pt idx="114">
                  <v>101.1512150919498</v>
                </pt>
                <pt idx="115">
                  <v>99.66061471685751</v>
                </pt>
                <pt idx="116">
                  <v>101.0046814957543</v>
                </pt>
                <pt idx="117">
                  <v>101.5318655832163</v>
                </pt>
                <pt idx="118">
                  <v>101.9714663718029</v>
                </pt>
                <pt idx="119">
                  <v>102.7992969755971</v>
                </pt>
                <pt idx="120">
                  <v>103.0468882243412</v>
                </pt>
                <pt idx="121">
                  <v>103.3433240051506</v>
                </pt>
                <pt idx="122">
                  <v>104.5880174257079</v>
                </pt>
                <pt idx="123">
                  <v>104.0911506340104</v>
                </pt>
                <pt idx="124">
                  <v>105.1244651313202</v>
                </pt>
                <pt idx="125">
                  <v>104.0903084869059</v>
                </pt>
                <pt idx="126">
                  <v>104.8322400860337</v>
                </pt>
                <pt idx="127">
                  <v>104.2528428780883</v>
                </pt>
                <pt idx="128">
                  <v>104.2738965557026</v>
                </pt>
                <pt idx="129">
                  <v>102.5525478739575</v>
                </pt>
                <pt idx="130">
                  <v>105.777971284468</v>
                </pt>
                <pt idx="131">
                  <v>106.7725470149675</v>
                </pt>
                <pt idx="132">
                  <v>103.4511188345358</v>
                </pt>
                <pt idx="133">
                  <v>103.9665128625338</v>
                </pt>
                <pt idx="134">
                  <v>103.5673351349667</v>
                </pt>
                <pt idx="135">
                  <v>101.8838830729274</v>
                </pt>
                <pt idx="136">
                  <v>104.0886241926967</v>
                </pt>
                <pt idx="137">
                  <v>104.0970456637424</v>
                </pt>
                <pt idx="138">
                  <v>101.8400914234897</v>
                </pt>
                <pt idx="139">
                  <v>105.7535490184354</v>
                </pt>
                <pt idx="140">
                  <v>103.4999633666009</v>
                </pt>
                <pt idx="141">
                  <v>102.5618114921078</v>
                </pt>
                <pt idx="142">
                  <v>101.0181558494275</v>
                </pt>
                <pt idx="143">
                  <v>100.8926759308463</v>
                </pt>
                <pt idx="144">
                  <v>102.2839029475991</v>
                </pt>
                <pt idx="145">
                  <v>102.575285845781</v>
                </pt>
                <pt idx="146">
                  <v>102.0607339648875</v>
                </pt>
                <pt idx="147">
                  <v>103.3525876233009</v>
                </pt>
                <pt idx="148">
                  <v>102.3032723310042</v>
                </pt>
                <pt idx="149">
                  <v>102.089366966443</v>
                </pt>
                <pt idx="150">
                  <v>102.9298297768057</v>
                </pt>
                <pt idx="151">
                  <v>103.3761677422289</v>
                </pt>
                <pt idx="152">
                  <v>103.5201748971107</v>
                </pt>
                <pt idx="153">
                  <v>104.4482210063489</v>
                </pt>
                <pt idx="154">
                  <v>103.9783029219978</v>
                </pt>
                <pt idx="155">
                  <v>103.1765788784453</v>
                </pt>
                <pt idx="156">
                  <v>104.2738965557026</v>
                </pt>
                <pt idx="157">
                  <v>104.5737009249302</v>
                </pt>
                <pt idx="158">
                  <v>103.9614599799064</v>
                </pt>
                <pt idx="159">
                  <v>104.5315935697016</v>
                </pt>
                <pt idx="160">
                  <v>103.4553295700586</v>
                </pt>
                <pt idx="161">
                  <v>103.7534496450771</v>
                </pt>
                <pt idx="162">
                  <v>104.4785383021135</v>
                </pt>
                <pt idx="163">
                  <v>104.2528428780883</v>
                </pt>
                <pt idx="164">
                  <v>103.4679617766272</v>
                </pt>
                <pt idx="165">
                  <v>105.6929144269063</v>
                </pt>
                <pt idx="166">
                  <v>104.7598154350406</v>
                </pt>
                <pt idx="167">
                  <v>104.1863132568271</v>
                </pt>
                <pt idx="168">
                  <v>104.24947428967</v>
                </pt>
                <pt idx="169">
                  <v>104.7960277605371</v>
                </pt>
                <pt idx="170">
                  <v>106.2478893688192</v>
                </pt>
                <pt idx="171">
                  <v>105.6550178072005</v>
                </pt>
                <pt idx="172">
                  <v>106.2083084549043</v>
                </pt>
                <pt idx="173">
                  <v>106.7405454249937</v>
                </pt>
                <pt idx="174">
                  <v>106.732123953948</v>
                </pt>
                <pt idx="175">
                  <v>105.1522559857711</v>
                </pt>
                <pt idx="176">
                  <v>107.0294018818619</v>
                </pt>
                <pt idx="177">
                  <v>106.035668298467</v>
                </pt>
                <pt idx="178">
                  <v>106.9039219632807</v>
                </pt>
                <pt idx="179">
                  <v>104.7328667276943</v>
                </pt>
                <pt idx="180">
                  <v>105.1480452502482</v>
                </pt>
                <pt idx="181">
                  <v>105.7577597539583</v>
                </pt>
                <pt idx="182">
                  <v>106.2984181950935</v>
                </pt>
                <pt idx="183">
                  <v>107.4336324920564</v>
                </pt>
                <pt idx="184">
                  <v>106.3758957287141</v>
                </pt>
                <pt idx="185">
                  <v>106.8576038725292</v>
                </pt>
                <pt idx="186">
                  <v>107.0479291181625</v>
                </pt>
                <pt idx="187">
                  <v>108.12503526491</v>
                </pt>
                <pt idx="188">
                  <v>107.5279529677685</v>
                </pt>
                <pt idx="189">
                  <v>106.684963716092</v>
                </pt>
                <pt idx="190">
                  <v>108.2740953024192</v>
                </pt>
                <pt idx="191">
                  <v>109.4084674522776</v>
                </pt>
                <pt idx="192">
                  <v>109.8665954771648</v>
                </pt>
                <pt idx="193">
                  <v>109.8750169482105</v>
                </pt>
                <pt idx="194">
                  <v>110.4476769793194</v>
                </pt>
                <pt idx="195">
                  <v>109.4463640719834</v>
                </pt>
                <pt idx="196">
                  <v>111.0119155393826</v>
                </pt>
                <pt idx="197">
                  <v>111.5778383936549</v>
                </pt>
                <pt idx="198">
                  <v>110.9007521215791</v>
                </pt>
                <pt idx="199">
                  <v>110.8780141497557</v>
                </pt>
                <pt idx="200">
                  <v>111.8624841150002</v>
                </pt>
                <pt idx="201">
                  <v>111.0093890980689</v>
                </pt>
                <pt idx="202">
                  <v>112.5311489160303</v>
                </pt>
                <pt idx="203">
                  <v>114.8175783049432</v>
                </pt>
                <pt idx="204">
                  <v>113.322767194328</v>
                </pt>
                <pt idx="205">
                  <v>113.0987560645118</v>
                </pt>
                <pt idx="206">
                  <v>114.8167361578386</v>
                </pt>
                <pt idx="207">
                  <v>111.6797381933081</v>
                </pt>
                <pt idx="208">
                  <v>114.9194781045964</v>
                </pt>
                <pt idx="209">
                  <v>115.1611743236085</v>
                </pt>
                <pt idx="210">
                  <v>112.1782892792147</v>
                </pt>
                <pt idx="211">
                  <v>112.6414701867293</v>
                </pt>
                <pt idx="212">
                  <v>113.1787600394462</v>
                </pt>
                <pt idx="213">
                  <v>112.9235894667609</v>
                </pt>
                <pt idx="214">
                  <v>111.7799536987522</v>
                </pt>
                <pt idx="215">
                  <v>112.5631505060041</v>
                </pt>
                <pt idx="216">
                  <v>113.4415099360726</v>
                </pt>
                <pt idx="217">
                  <v>112.6423123338338</v>
                </pt>
                <pt idx="218">
                  <v>110.2093493487255</v>
                </pt>
                <pt idx="219">
                  <v>111.965226061758</v>
                </pt>
                <pt idx="220">
                  <v>108.3936801912684</v>
                </pt>
                <pt idx="221">
                  <v>104.3766385024603</v>
                </pt>
                <pt idx="222">
                  <v>107.1338281228288</v>
                </pt>
                <pt idx="223">
                  <v>103.3298496514774</v>
                </pt>
                <pt idx="224">
                  <v>102.5997081118136</v>
                </pt>
                <pt idx="225">
                  <v>96.54298613573222</v>
                </pt>
                <pt idx="226">
                  <v>93.4228311132932</v>
                </pt>
                <pt idx="227">
                  <v>90.27067450088046</v>
                </pt>
                <pt idx="228">
                  <v>89.79570353390189</v>
                </pt>
                <pt idx="229">
                  <v>89.22978067962956</v>
                </pt>
                <pt idx="230">
                  <v>86.60565030178341</v>
                </pt>
                <pt idx="231">
                  <v>87.57243517783199</v>
                </pt>
                <pt idx="232">
                  <v>86.80776560688068</v>
                </pt>
                <pt idx="233">
                  <v>87.47221967238792</v>
                </pt>
                <pt idx="234">
                  <v>88.24446856728039</v>
                </pt>
                <pt idx="235">
                  <v>88.38005425111648</v>
                </pt>
                <pt idx="236">
                  <v>89.28115165300844</v>
                </pt>
                <pt idx="237">
                  <v>88.56280017280858</v>
                </pt>
                <pt idx="238">
                  <v>88.12993656105861</v>
                </pt>
                <pt idx="239">
                  <v>88.98050513667626</v>
                </pt>
                <pt idx="240">
                  <v>87.84613298681786</v>
                </pt>
                <pt idx="241">
                  <v>87.71981092113208</v>
                </pt>
                <pt idx="242">
                  <v>90.01803036950888</v>
                </pt>
                <pt idx="243">
                  <v>89.98181804401229</v>
                </pt>
                <pt idx="244">
                  <v>89.2912574182633</v>
                </pt>
                <pt idx="245">
                  <v>89.70475164660812</v>
                </pt>
                <pt idx="246">
                  <v>88.58974888015489</v>
                </pt>
                <pt idx="247">
                  <v>87.7913934250207</v>
                </pt>
                <pt idx="248">
                  <v>88.08951350003916</v>
                </pt>
                <pt idx="249">
                  <v>88.56364231991316</v>
                </pt>
                <pt idx="250">
                  <v>91.0589241907598</v>
                </pt>
                <pt idx="251">
                  <v>88.57880096779546</v>
                </pt>
                <pt idx="252">
                  <v>89.06050911161059</v>
                </pt>
                <pt idx="253">
                  <v>89.9515007482477</v>
                </pt>
                <pt idx="254">
                  <v>88.84997233546761</v>
                </pt>
                <pt idx="255">
                  <v>88.39352860478964</v>
                </pt>
                <pt idx="256">
                  <v>87.70886300877265</v>
                </pt>
                <pt idx="257">
                  <v>87.93287413858877</v>
                </pt>
                <pt idx="258">
                  <v>88.04740614481057</v>
                </pt>
                <pt idx="259">
                  <v>88.02298387877796</v>
                </pt>
                <pt idx="260">
                  <v>86.97451073358592</v>
                </pt>
                <pt idx="261">
                  <v>85.30537517232435</v>
                </pt>
                <pt idx="262">
                  <v>84.95504197682243</v>
                </pt>
                <pt idx="263">
                  <v>86.41027217352273</v>
                </pt>
                <pt idx="264">
                  <v>84.79587617405834</v>
                </pt>
                <pt idx="265">
                  <v>83.64043350364355</v>
                </pt>
                <pt idx="266">
                  <v>82.5557480329549</v>
                </pt>
                <pt idx="267">
                  <v>81.78349913806244</v>
                </pt>
                <pt idx="268">
                  <v>82.54227367928175</v>
                </pt>
                <pt idx="269">
                  <v>82.13214803935522</v>
                </pt>
                <pt idx="270">
                  <v>81.46179894411597</v>
                </pt>
                <pt idx="271">
                  <v>83.35916479218756</v>
                </pt>
                <pt idx="272">
                  <v>80.42848444680619</v>
                </pt>
                <pt idx="273">
                  <v>81.13504586754205</v>
                </pt>
                <pt idx="274">
                  <v>79.14673655364771</v>
                </pt>
                <pt idx="275">
                  <v>79.46001527654848</v>
                </pt>
                <pt idx="276">
                  <v>80.32574250004842</v>
                </pt>
                <pt idx="277">
                  <v>79.68318425926003</v>
                </pt>
                <pt idx="278">
                  <v>80.48659259702166</v>
                </pt>
                <pt idx="279">
                  <v>79.45412024681647</v>
                </pt>
                <pt idx="280">
                  <v>79.95940850955964</v>
                </pt>
                <pt idx="281">
                  <v>80.77713334809899</v>
                </pt>
                <pt idx="282">
                  <v>80.55985939511942</v>
                </pt>
                <pt idx="283">
                  <v>81.38179496918163</v>
                </pt>
                <pt idx="284">
                  <v>81.16283672199293</v>
                </pt>
                <pt idx="285">
                  <v>80.35858623712673</v>
                </pt>
                <pt idx="286">
                  <v>81.33547687843017</v>
                </pt>
                <pt idx="287">
                  <v>81.48116832752112</v>
                </pt>
                <pt idx="288">
                  <v>81.29421167030614</v>
                </pt>
                <pt idx="289">
                  <v>81.88708323192478</v>
                </pt>
                <pt idx="290">
                  <v>81.08704348258145</v>
                </pt>
                <pt idx="291">
                  <v>82.18099257142039</v>
                </pt>
                <pt idx="292">
                  <v>81.88203034929735</v>
                </pt>
                <pt idx="293">
                  <v>81.28157946373757</v>
                </pt>
                <pt idx="294">
                  <v>81.27989516952842</v>
                </pt>
                <pt idx="295">
                  <v>81.69928442760525</v>
                </pt>
                <pt idx="296">
                  <v>81.97466653080026</v>
                </pt>
                <pt idx="297">
                  <v>81.55780371403716</v>
                </pt>
                <pt idx="298">
                  <v>81.26305222743699</v>
                </pt>
                <pt idx="299">
                  <v>81.54685580167774</v>
                </pt>
                <pt idx="300">
                  <v>81.56285659666459</v>
                </pt>
                <pt idx="301">
                  <v>82.7595476322613</v>
                </pt>
                <pt idx="302">
                  <v>83.20167486216157</v>
                </pt>
                <pt idx="303">
                  <v>83.97560805126318</v>
                </pt>
                <pt idx="304">
                  <v>84.79334973274462</v>
                </pt>
                <pt idx="305">
                  <v>85.21610757923972</v>
                </pt>
                <pt idx="306">
                  <v>86.15173301241914</v>
                </pt>
                <pt idx="307">
                  <v>83.75328121565619</v>
                </pt>
                <pt idx="308">
                  <v>85.27253143524605</v>
                </pt>
                <pt idx="309">
                  <v>84.95504197682243</v>
                </pt>
                <pt idx="310">
                  <v>84.44806941987012</v>
                </pt>
                <pt idx="311">
                  <v>84.48849248088958</v>
                </pt>
                <pt idx="312">
                  <v>85.89150955710642</v>
                </pt>
                <pt idx="313">
                  <v>84.97188491891387</v>
                </pt>
                <pt idx="314">
                  <v>86.13152148190942</v>
                </pt>
                <pt idx="315">
                  <v>86.59975527205141</v>
                </pt>
                <pt idx="316">
                  <v>84.37817121019066</v>
                </pt>
                <pt idx="317">
                  <v>84.81019267483605</v>
                </pt>
                <pt idx="318">
                  <v>85.12347139773681</v>
                </pt>
                <pt idx="319">
                  <v>86.26289643022264</v>
                </pt>
                <pt idx="320">
                  <v>85.7837147277212</v>
                </pt>
                <pt idx="321">
                  <v>85.91845826445271</v>
                </pt>
                <pt idx="322">
                  <v>86.94166699650762</v>
                </pt>
                <pt idx="323">
                  <v>86.76060536902465</v>
                </pt>
                <pt idx="324">
                  <v>87.6920200666812</v>
                </pt>
                <pt idx="325">
                  <v>87.1850475097289</v>
                </pt>
                <pt idx="326">
                  <v>86.75807892771093</v>
                </pt>
                <pt idx="327">
                  <v>86.97872146910878</v>
                </pt>
                <pt idx="328">
                  <v>88.18383397575121</v>
                </pt>
                <pt idx="329">
                  <v>88.29668168776385</v>
                </pt>
                <pt idx="330">
                  <v>88.01119381931397</v>
                </pt>
                <pt idx="331">
                  <v>88.39942363452163</v>
                </pt>
                <pt idx="332">
                  <v>88.90386975016021</v>
                </pt>
                <pt idx="333">
                  <v>89.08072064212031</v>
                </pt>
                <pt idx="334">
                  <v>90.55363592801663</v>
                </pt>
                <pt idx="335">
                  <v>92.42320250016633</v>
                </pt>
                <pt idx="336">
                  <v>87.80907851421671</v>
                </pt>
                <pt idx="337">
                  <v>89.43273813183139</v>
                </pt>
                <pt idx="338">
                  <v>90.95197150847916</v>
                </pt>
                <pt idx="339">
                  <v>88.50469202259312</v>
                </pt>
                <pt idx="340">
                  <v>89.03440255136887</v>
                </pt>
                <pt idx="341">
                  <v>88.57964311490002</v>
                </pt>
                <pt idx="342">
                  <v>88.92323913356537</v>
                </pt>
                <pt idx="343">
                  <v>89.10935364367577</v>
                </pt>
                <pt idx="344">
                  <v>88.61501329329204</v>
                </pt>
                <pt idx="345">
                  <v>89.65422282033381</v>
                </pt>
                <pt idx="346">
                  <v>87.71391589140008</v>
                </pt>
                <pt idx="347">
                  <v>87.17999462710148</v>
                </pt>
                <pt idx="348">
                  <v>90.23783076380217</v>
                </pt>
                <pt idx="349">
                  <v>89.32999618507361</v>
                </pt>
                <pt idx="350">
                  <v>88.49121766891997</v>
                </pt>
                <pt idx="351">
                  <v>90.06097987184205</v>
                </pt>
                <pt idx="352">
                  <v>90.1527739062404</v>
                </pt>
                <pt idx="353">
                  <v>90.04582122395975</v>
                </pt>
                <pt idx="354">
                  <v>90.27656953061246</v>
                </pt>
                <pt idx="355">
                  <v>90.29088603139019</v>
                </pt>
              </numCache>
            </numRef>
          </val>
          <smooth val="0"/>
        </ser>
        <ser>
          <idx val="9"/>
          <order val="4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World'!$A$2:$A$358</f>
              <numCache>
                <formatCode>mmm\-yy</formatCode>
                <ptCount val="357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</numCache>
            </numRef>
          </cat>
          <val>
            <numRef>
              <f>'IP World'!$L$2:$L$358</f>
              <numCache>
                <formatCode>0.00</formatCode>
                <ptCount val="357"/>
                <pt idx="0">
                  <v>88.22782544294296</v>
                </pt>
                <pt idx="1">
                  <v>89.26128627701932</v>
                </pt>
                <pt idx="2">
                  <v>89.00557251711976</v>
                </pt>
                <pt idx="3">
                  <v>89.3678252863173</v>
                </pt>
                <pt idx="4">
                  <v>89.34651300943894</v>
                </pt>
                <pt idx="5">
                  <v>88.77118222164545</v>
                </pt>
                <pt idx="6">
                  <v>89.11212271396462</v>
                </pt>
                <pt idx="7">
                  <v>89.70875459108957</v>
                </pt>
                <pt idx="8">
                  <v>90.15623409270674</v>
                </pt>
                <pt idx="9">
                  <v>90.33736047730551</v>
                </pt>
                <pt idx="10">
                  <v>89.485014840281</v>
                </pt>
                <pt idx="11">
                  <v>90.42259839727204</v>
                </pt>
                <pt idx="12">
                  <v>92.17002610054696</v>
                </pt>
                <pt idx="13">
                  <v>91.16331469115099</v>
                </pt>
                <pt idx="14">
                  <v>90.26845637583892</v>
                </pt>
                <pt idx="15">
                  <v>89.70917971787244</v>
                </pt>
                <pt idx="16">
                  <v>89.59731543624162</v>
                </pt>
                <pt idx="17">
                  <v>91.38703206686574</v>
                </pt>
                <pt idx="18">
                  <v>89.59731543624162</v>
                </pt>
                <pt idx="19">
                  <v>89.59731543624162</v>
                </pt>
                <pt idx="20">
                  <v>89.82103281195636</v>
                </pt>
                <pt idx="21">
                  <v>90.15660328175501</v>
                </pt>
                <pt idx="22">
                  <v>91.16331469115099</v>
                </pt>
                <pt idx="23">
                  <v>90.49217375155368</v>
                </pt>
                <pt idx="24">
                  <v>91.61073825503355</v>
                </pt>
                <pt idx="25">
                  <v>91.83445563074831</v>
                </pt>
                <pt idx="26">
                  <v>91.05146159706707</v>
                </pt>
                <pt idx="27">
                  <v>90.82774422135233</v>
                </pt>
                <pt idx="28">
                  <v>90.26845637583892</v>
                </pt>
                <pt idx="29">
                  <v>89.4854623421577</v>
                </pt>
                <pt idx="30">
                  <v>88.36689783867782</v>
                </pt>
                <pt idx="31">
                  <v>88.25503355704699</v>
                </pt>
                <pt idx="32">
                  <v>87.47203952336577</v>
                </pt>
                <pt idx="33">
                  <v>87.58389261744968</v>
                </pt>
                <pt idx="34">
                  <v>86.80089858376844</v>
                </pt>
                <pt idx="35">
                  <v>85.34675242294297</v>
                </pt>
                <pt idx="36">
                  <v>85.79418717437247</v>
                </pt>
                <pt idx="37">
                  <v>85.12304623477516</v>
                </pt>
                <pt idx="38">
                  <v>84.8993288590604</v>
                </pt>
                <pt idx="39">
                  <v>84.34005220109393</v>
                </pt>
                <pt idx="40">
                  <v>84.2281879194631</v>
                </pt>
                <pt idx="41">
                  <v>83.78076435558052</v>
                </pt>
                <pt idx="42">
                  <v>83.22147651006713</v>
                </pt>
                <pt idx="43">
                  <v>84.45190529517784</v>
                </pt>
                <pt idx="44">
                  <v>84.78747576497649</v>
                </pt>
                <pt idx="45">
                  <v>84.8993288590604</v>
                </pt>
                <pt idx="46">
                  <v>84.8993288590604</v>
                </pt>
                <pt idx="47">
                  <v>85.01119314069125</v>
                </pt>
                <pt idx="48">
                  <v>85.12304623477516</v>
                </pt>
                <pt idx="49">
                  <v>86.35346383233895</v>
                </pt>
                <pt idx="50">
                  <v>86.46532811396979</v>
                </pt>
                <pt idx="51">
                  <v>88.03131618133224</v>
                </pt>
                <pt idx="52">
                  <v>87.80760999316442</v>
                </pt>
                <pt idx="53">
                  <v>88.47875093276173</v>
                </pt>
                <pt idx="54">
                  <v>88.70246830847647</v>
                </pt>
                <pt idx="55">
                  <v>88.92618568419122</v>
                </pt>
                <pt idx="56">
                  <v>89.37360924807379</v>
                </pt>
                <pt idx="57">
                  <v>90.38032065746977</v>
                </pt>
                <pt idx="58">
                  <v>91.05146159706707</v>
                </pt>
                <pt idx="59">
                  <v>92.05817300646305</v>
                </pt>
                <pt idx="60">
                  <v>91.38703206686574</v>
                </pt>
                <pt idx="61">
                  <v>91.61073825503355</v>
                </pt>
                <pt idx="62">
                  <v>91.49888516094965</v>
                </pt>
                <pt idx="63">
                  <v>91.83445563074831</v>
                </pt>
                <pt idx="64">
                  <v>92.17002610054696</v>
                </pt>
                <pt idx="65">
                  <v>91.7226025366644</v>
                </pt>
                <pt idx="66">
                  <v>91.7226025366644</v>
                </pt>
                <pt idx="67">
                  <v>91.7226025366644</v>
                </pt>
                <pt idx="68">
                  <v>92.17002610054696</v>
                </pt>
                <pt idx="69">
                  <v>91.05146159706707</v>
                </pt>
                <pt idx="70">
                  <v>91.38703206686574</v>
                </pt>
                <pt idx="71">
                  <v>92.50559657034563</v>
                </pt>
                <pt idx="72">
                  <v>91.61073825503355</v>
                </pt>
                <pt idx="73">
                  <v>91.2751677852349</v>
                </pt>
                <pt idx="74">
                  <v>91.2751677852349</v>
                </pt>
                <pt idx="75">
                  <v>90.60402684563761</v>
                </pt>
                <pt idx="76">
                  <v>91.61073825503355</v>
                </pt>
                <pt idx="77">
                  <v>91.61073825503355</v>
                </pt>
                <pt idx="78">
                  <v>90.82774422135233</v>
                </pt>
                <pt idx="79">
                  <v>91.94630872483222</v>
                </pt>
                <pt idx="80">
                  <v>91.94630872483222</v>
                </pt>
                <pt idx="81">
                  <v>91.49888516094965</v>
                </pt>
                <pt idx="82">
                  <v>92.28187919463087</v>
                </pt>
                <pt idx="83">
                  <v>92.05817300646305</v>
                </pt>
                <pt idx="84">
                  <v>92.39374347626172</v>
                </pt>
                <pt idx="85">
                  <v>92.9530201342282</v>
                </pt>
                <pt idx="86">
                  <v>93.95973154362417</v>
                </pt>
                <pt idx="87">
                  <v>94.96644295302015</v>
                </pt>
                <pt idx="88">
                  <v>94.18344891933891</v>
                </pt>
                <pt idx="89">
                  <v>95.74944817424829</v>
                </pt>
                <pt idx="90">
                  <v>96.53244220792951</v>
                </pt>
                <pt idx="91">
                  <v>96.64429530201343</v>
                </pt>
                <pt idx="92">
                  <v>96.3087360197617</v>
                </pt>
                <pt idx="93">
                  <v>97.76287099304024</v>
                </pt>
                <pt idx="94">
                  <v>97.31543624161074</v>
                </pt>
                <pt idx="95">
                  <v>98.43401193263755</v>
                </pt>
                <pt idx="96">
                  <v>98.76958240243621</v>
                </pt>
                <pt idx="97">
                  <v>99.21700596631878</v>
                </pt>
                <pt idx="98">
                  <v>99.21700596631878</v>
                </pt>
                <pt idx="99">
                  <v>99.55257643611743</v>
                </pt>
                <pt idx="100">
                  <v>99.8881469059161</v>
                </pt>
                <pt idx="101">
                  <v>99.44072334203352</v>
                </pt>
                <pt idx="102">
                  <v>100.4474235638826</v>
                </pt>
                <pt idx="103">
                  <v>98.99328859060402</v>
                </pt>
                <pt idx="104">
                  <v>99.44072334203352</v>
                </pt>
                <pt idx="105">
                  <v>99.66442953020135</v>
                </pt>
                <pt idx="106">
                  <v>99.10515287223487</v>
                </pt>
                <pt idx="107">
                  <v>98.54586502672146</v>
                </pt>
                <pt idx="108">
                  <v>100</v>
                </pt>
                <pt idx="109">
                  <v>98.88143549652013</v>
                </pt>
                <pt idx="110">
                  <v>98.99328859060402</v>
                </pt>
                <pt idx="111">
                  <v>99.66442953020135</v>
                </pt>
                <pt idx="112">
                  <v>99.77628262428526</v>
                </pt>
                <pt idx="113">
                  <v>100.5592878455134</v>
                </pt>
                <pt idx="114">
                  <v>101.3422818791946</v>
                </pt>
                <pt idx="115">
                  <v>101.2304287851107</v>
                </pt>
                <pt idx="116">
                  <v>102.1252759128759</v>
                </pt>
                <pt idx="117">
                  <v>103.2438516039027</v>
                </pt>
                <pt idx="118">
                  <v>103.6912863553322</v>
                </pt>
                <pt idx="119">
                  <v>103.2438516039027</v>
                </pt>
                <pt idx="120">
                  <v>103.0201454157348</v>
                </pt>
                <pt idx="121">
                  <v>104.2505630132986</v>
                </pt>
                <pt idx="122">
                  <v>104.6979865771812</v>
                </pt>
                <pt idx="123">
                  <v>105.9284153622919</v>
                </pt>
                <pt idx="124">
                  <v>107.3825503355705</v>
                </pt>
                <pt idx="125">
                  <v>105.816562268208</v>
                </pt>
                <pt idx="126">
                  <v>107.1588329598557</v>
                </pt>
                <pt idx="127">
                  <v>107.2706972414866</v>
                </pt>
                <pt idx="128">
                  <v>107.3825503355705</v>
                </pt>
                <pt idx="129">
                  <v>107.6062677112852</v>
                </pt>
                <pt idx="130">
                  <v>108.6129791206812</v>
                </pt>
                <pt idx="131">
                  <v>109.2841200602785</v>
                </pt>
                <pt idx="132">
                  <v>108.3892617449664</v>
                </pt>
                <pt idx="133">
                  <v>108.836685308849</v>
                </pt>
                <pt idx="134">
                  <v>108.1655443692517</v>
                </pt>
                <pt idx="135">
                  <v>107.2706972414866</v>
                </pt>
                <pt idx="136">
                  <v>107.4944034296544</v>
                </pt>
                <pt idx="137">
                  <v>107.6062677112852</v>
                </pt>
                <pt idx="138">
                  <v>105.7046979865772</v>
                </pt>
                <pt idx="139">
                  <v>108.2774086508825</v>
                </pt>
                <pt idx="140">
                  <v>106.7114093959732</v>
                </pt>
                <pt idx="141">
                  <v>105.3691275167785</v>
                </pt>
                <pt idx="142">
                  <v>104.5861334830973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106.5995563018893</v>
                </pt>
                <pt idx="147">
                  <v>106.3758389261745</v>
                </pt>
                <pt idx="148">
                  <v>106.823273677604</v>
                </pt>
                <pt idx="149">
                  <v>107.2706972414866</v>
                </pt>
                <pt idx="150">
                  <v>106.4877032078053</v>
                </pt>
                <pt idx="151">
                  <v>106.9351267716879</v>
                </pt>
                <pt idx="152">
                  <v>107.2706972414866</v>
                </pt>
                <pt idx="153">
                  <v>106.5995563018893</v>
                </pt>
                <pt idx="154">
                  <v>107.2706972414866</v>
                </pt>
                <pt idx="155">
                  <v>105.5928448924933</v>
                </pt>
                <pt idx="156">
                  <v>107.3825503355705</v>
                </pt>
                <pt idx="157">
                  <v>107.6062677112852</v>
                </pt>
                <pt idx="158">
                  <v>106.7114093959732</v>
                </pt>
                <pt idx="159">
                  <v>107.1588329598557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107.1588329598557</v>
                </pt>
                <pt idx="163">
                  <v>106.0402684563758</v>
                </pt>
                <pt idx="164">
                  <v>105.7046979865772</v>
                </pt>
                <pt idx="165">
                  <v>108.3892617449664</v>
                </pt>
                <pt idx="166">
                  <v>107.9418381810839</v>
                </pt>
                <pt idx="167">
                  <v>108.2774086508825</v>
                </pt>
                <pt idx="168">
                  <v>108.1655443692517</v>
                </pt>
                <pt idx="169">
                  <v>108.6129791206812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109.5078262484463</v>
                </pt>
                <pt idx="173">
                  <v>109.5078262484463</v>
                </pt>
                <pt idx="174">
                  <v>110.4026957513053</v>
                </pt>
                <pt idx="175">
                  <v>108.1655443692517</v>
                </pt>
                <pt idx="176">
                  <v>109.731554811708</v>
                </pt>
                <pt idx="177">
                  <v>110.2908314696745</v>
                </pt>
                <pt idx="178">
                  <v>109.0604026845638</v>
                </pt>
                <pt idx="179">
                  <v>109.0604026845638</v>
                </pt>
                <pt idx="180">
                  <v>109.9552609998758</v>
                </pt>
                <pt idx="181">
                  <v>109.731554811708</v>
                </pt>
                <pt idx="182">
                  <v>109.6196905300772</v>
                </pt>
                <pt idx="183">
                  <v>111.1856897849865</v>
                </pt>
                <pt idx="184">
                  <v>109.731554811708</v>
                </pt>
                <pt idx="185">
                  <v>110.738266221104</v>
                </pt>
                <pt idx="186">
                  <v>111.2975428790704</v>
                </pt>
                <pt idx="187">
                  <v>110.0671252815067</v>
                </pt>
                <pt idx="188">
                  <v>111.5212602547852</v>
                </pt>
                <pt idx="189">
                  <v>111.744966442953</v>
                </pt>
                <pt idx="190">
                  <v>113.6465697303018</v>
                </pt>
                <pt idx="191">
                  <v>112.4161633202849</v>
                </pt>
                <pt idx="192">
                  <v>113.3109433227686</v>
                </pt>
                <pt idx="193">
                  <v>113.3109433227686</v>
                </pt>
                <pt idx="194">
                  <v>114.0939597315436</v>
                </pt>
                <pt idx="195">
                  <v>114.4295861390769</v>
                </pt>
                <pt idx="196">
                  <v>116.1073825503356</v>
                </pt>
                <pt idx="197">
                  <v>115.9955070811578</v>
                </pt>
                <pt idx="198">
                  <v>115.7717561428023</v>
                </pt>
                <pt idx="199">
                  <v>116.1073825503356</v>
                </pt>
                <pt idx="200">
                  <v>116.2192580195133</v>
                </pt>
                <pt idx="201">
                  <v>115.8836316119801</v>
                </pt>
                <pt idx="202">
                  <v>117.0022744282884</v>
                </pt>
                <pt idx="203">
                  <v>118.6800708395471</v>
                </pt>
                <pt idx="204">
                  <v>118.2326808383053</v>
                </pt>
                <pt idx="205">
                  <v>118.9038217779026</v>
                </pt>
                <pt idx="206">
                  <v>119.4630872483222</v>
                </pt>
                <pt idx="207">
                  <v>118.0089298999498</v>
                </pt>
                <pt idx="208">
                  <v>120.1342281879195</v>
                </pt>
                <pt idx="209">
                  <v>120.1342281879195</v>
                </pt>
                <pt idx="210">
                  <v>120.357979126275</v>
                </pt>
                <pt idx="211">
                  <v>121.14099553505</v>
                </pt>
                <pt idx="212">
                  <v>120.5816181891613</v>
                </pt>
                <pt idx="213">
                  <v>121.5883855362919</v>
                </pt>
                <pt idx="214">
                  <v>120.8053691275168</v>
                </pt>
                <pt idx="215">
                  <v>121.4765100671141</v>
                </pt>
                <pt idx="216">
                  <v>122.4832774142447</v>
                </pt>
                <pt idx="217">
                  <v>122.2595264758892</v>
                </pt>
                <pt idx="218">
                  <v>121.7002610054696</v>
                </pt>
                <pt idx="219">
                  <v>123.1543064783728</v>
                </pt>
                <pt idx="220">
                  <v>119.5749627174999</v>
                </pt>
                <pt idx="221">
                  <v>119.7987136558554</v>
                </pt>
                <pt idx="222">
                  <v>118.5681953703693</v>
                </pt>
                <pt idx="223">
                  <v>118.1208053691275</v>
                </pt>
                <pt idx="224">
                  <v>117.2259134911747</v>
                </pt>
                <pt idx="225">
                  <v>114.2058352007214</v>
                </pt>
                <pt idx="226">
                  <v>110.0671252815067</v>
                </pt>
                <pt idx="227">
                  <v>106.2639858320906</v>
                </pt>
                <pt idx="228">
                  <v>101.901569724708</v>
                </pt>
                <pt idx="229">
                  <v>99.55257643611743</v>
                </pt>
                <pt idx="230">
                  <v>98.32214765100672</v>
                </pt>
                <pt idx="231">
                  <v>96.9798657718121</v>
                </pt>
                <pt idx="232">
                  <v>99.21700596631878</v>
                </pt>
                <pt idx="233">
                  <v>99.8881469059161</v>
                </pt>
                <pt idx="234">
                  <v>100</v>
                </pt>
                <pt idx="235">
                  <v>100</v>
                </pt>
                <pt idx="236">
                  <v>102.4608575702214</v>
                </pt>
                <pt idx="237">
                  <v>102.013422818792</v>
                </pt>
                <pt idx="238">
                  <v>102.2371401945067</v>
                </pt>
                <pt idx="239">
                  <v>102.3489932885906</v>
                </pt>
                <pt idx="240">
                  <v>104.1387099192147</v>
                </pt>
                <pt idx="241">
                  <v>103.5794220737013</v>
                </pt>
                <pt idx="242">
                  <v>105.4809917984094</v>
                </pt>
                <pt idx="243">
                  <v>106.0402684563758</v>
                </pt>
                <pt idx="244">
                  <v>107.9418381810839</v>
                </pt>
                <pt idx="245">
                  <v>108.0536912751678</v>
                </pt>
                <pt idx="246">
                  <v>107.6062677112852</v>
                </pt>
                <pt idx="247">
                  <v>108.5011148390504</v>
                </pt>
                <pt idx="248">
                  <v>108.7248322147651</v>
                </pt>
                <pt idx="249">
                  <v>109.6196905300772</v>
                </pt>
                <pt idx="250">
                  <v>110.6264019394731</v>
                </pt>
                <pt idx="251">
                  <v>111.5212602547852</v>
                </pt>
                <pt idx="252">
                  <v>110.9619724092718</v>
                </pt>
                <pt idx="253">
                  <v>111.9686614435739</v>
                </pt>
                <pt idx="254">
                  <v>112.0805369127517</v>
                </pt>
                <pt idx="255">
                  <v>111.6331133488691</v>
                </pt>
                <pt idx="256">
                  <v>112.3042878511072</v>
                </pt>
                <pt idx="257">
                  <v>110.738266221104</v>
                </pt>
                <pt idx="258">
                  <v>111.8568307245839</v>
                </pt>
                <pt idx="259">
                  <v>111.9686614435739</v>
                </pt>
                <pt idx="260">
                  <v>110.8501193151879</v>
                </pt>
                <pt idx="261">
                  <v>110.5145488453892</v>
                </pt>
                <pt idx="262">
                  <v>110.8501193151879</v>
                </pt>
                <pt idx="263">
                  <v>110.1789783755906</v>
                </pt>
                <pt idx="264">
                  <v>109.3959731543624</v>
                </pt>
                <pt idx="265">
                  <v>110.0671252815067</v>
                </pt>
                <pt idx="266">
                  <v>109.9552609998758</v>
                </pt>
                <pt idx="267">
                  <v>109.0604026845638</v>
                </pt>
                <pt idx="268">
                  <v>109.8434079057919</v>
                </pt>
                <pt idx="269">
                  <v>108.9485495904798</v>
                </pt>
                <pt idx="270">
                  <v>109.2841200602785</v>
                </pt>
                <pt idx="271">
                  <v>110.0671252815067</v>
                </pt>
                <pt idx="272">
                  <v>107.9418381810839</v>
                </pt>
                <pt idx="273">
                  <v>107.1588329598557</v>
                </pt>
                <pt idx="274">
                  <v>106.3758389261745</v>
                </pt>
                <pt idx="275">
                  <v>106.9351267716879</v>
                </pt>
                <pt idx="276">
                  <v>106.4877032078053</v>
                </pt>
                <pt idx="277">
                  <v>106.7114093959732</v>
                </pt>
                <pt idx="278">
                  <v>107.8299738994531</v>
                </pt>
                <pt idx="279">
                  <v>108.0536912751678</v>
                </pt>
                <pt idx="280">
                  <v>108.2774086508825</v>
                </pt>
                <pt idx="281">
                  <v>108.2774086508825</v>
                </pt>
                <pt idx="282">
                  <v>107.3825503355705</v>
                </pt>
                <pt idx="283">
                  <v>107.9418381810839</v>
                </pt>
                <pt idx="284">
                  <v>108.0536912751678</v>
                </pt>
                <pt idx="285">
                  <v>107.4944034296544</v>
                </pt>
                <pt idx="286">
                  <v>108.9485495904798</v>
                </pt>
                <pt idx="287">
                  <v>108.7248322147651</v>
                </pt>
                <pt idx="288">
                  <v>108.3892617449664</v>
                </pt>
                <pt idx="289">
                  <v>109.1722557786477</v>
                </pt>
                <pt idx="290">
                  <v>108.5011148390504</v>
                </pt>
                <pt idx="291">
                  <v>110.2908314696745</v>
                </pt>
                <pt idx="292">
                  <v>109.3959731543624</v>
                </pt>
                <pt idx="293">
                  <v>108.836685308849</v>
                </pt>
                <pt idx="294">
                  <v>109.731554811708</v>
                </pt>
                <pt idx="295">
                  <v>107.8299738994531</v>
                </pt>
                <pt idx="296">
                  <v>108.9485495904798</v>
                </pt>
                <pt idx="297">
                  <v>108.6129791206812</v>
                </pt>
                <pt idx="298">
                  <v>108.2774086508825</v>
                </pt>
                <pt idx="299">
                  <v>109.731554811708</v>
                </pt>
                <pt idx="300">
                  <v>109.3959731543624</v>
                </pt>
                <pt idx="301">
                  <v>112.0805369127517</v>
                </pt>
                <pt idx="302">
                  <v>112.6398023831713</v>
                </pt>
                <pt idx="303">
                  <v>111.6331133488691</v>
                </pt>
                <pt idx="304">
                  <v>111.8568307245839</v>
                </pt>
                <pt idx="305">
                  <v>112.1924123819294</v>
                </pt>
                <pt idx="306">
                  <v>112.8635533215268</v>
                </pt>
                <pt idx="307">
                  <v>111.744966442953</v>
                </pt>
                <pt idx="308">
                  <v>112.0805369127517</v>
                </pt>
                <pt idx="309">
                  <v>112.1924123819294</v>
                </pt>
                <pt idx="310">
                  <v>111.6331133488691</v>
                </pt>
                <pt idx="311">
                  <v>111.744966442953</v>
                </pt>
                <pt idx="312">
                  <v>115.1007270786742</v>
                </pt>
                <pt idx="313">
                  <v>112.8635533215268</v>
                </pt>
                <pt idx="314">
                  <v>112.4161633202849</v>
                </pt>
                <pt idx="315">
                  <v>113.6465697303018</v>
                </pt>
                <pt idx="316">
                  <v>112.0805369127517</v>
                </pt>
                <pt idx="317">
                  <v>112.9754287907045</v>
                </pt>
                <pt idx="318">
                  <v>113.0873042598823</v>
                </pt>
                <pt idx="319">
                  <v>113.3109433227686</v>
                </pt>
                <pt idx="320">
                  <v>113.4228187919463</v>
                </pt>
                <pt idx="321">
                  <v>114.6532252019632</v>
                </pt>
                <pt idx="322">
                  <v>114.9888516094964</v>
                </pt>
                <pt idx="323">
                  <v>114.5413497327854</v>
                </pt>
                <pt idx="324">
                  <v>114.3177106698991</v>
                </pt>
                <pt idx="325">
                  <v>115.1007270786742</v>
                </pt>
                <pt idx="326">
                  <v>114.8769761403187</v>
                </pt>
                <pt idx="327">
                  <v>115.8836316119801</v>
                </pt>
                <pt idx="328">
                  <v>116.1073825503356</v>
                </pt>
                <pt idx="329">
                  <v>115.6599925490938</v>
                </pt>
                <pt idx="330">
                  <v>117.5615398987079</v>
                </pt>
                <pt idx="331">
                  <v>118.2326808383053</v>
                </pt>
                <pt idx="332">
                  <v>117.7852908370635</v>
                </pt>
                <pt idx="333">
                  <v>117.4496644295302</v>
                </pt>
                <pt idx="334">
                  <v>120.2461036570972</v>
                </pt>
                <pt idx="335">
                  <v>120.693493658339</v>
                </pt>
                <pt idx="336">
                  <v>118.4564317766608</v>
                </pt>
                <pt idx="337">
                  <v>117.5615398987079</v>
                </pt>
                <pt idx="338">
                  <v>117.6734153678857</v>
                </pt>
                <pt idx="339">
                  <v>117.6734153678857</v>
                </pt>
                <pt idx="340">
                  <v>118.7919463087248</v>
                </pt>
                <pt idx="341">
                  <v>118.7919463087248</v>
                </pt>
                <pt idx="342">
                  <v>117.5615398987079</v>
                </pt>
                <pt idx="343">
                  <v>118.6800708395471</v>
                </pt>
                <pt idx="344">
                  <v>118.0089298999498</v>
                </pt>
                <pt idx="345">
                  <v>117.897054430772</v>
                </pt>
                <pt idx="346">
                  <v>116.6666480207551</v>
                </pt>
                <pt idx="347">
                  <v>116.4428970823996</v>
                </pt>
                <pt idx="348">
                  <v>117.7852908370635</v>
                </pt>
                <pt idx="349">
                  <v>117.6734153678857</v>
                </pt>
                <pt idx="350">
                  <v>117.3377889603525</v>
                </pt>
                <pt idx="351">
                  <v>116.6666480207551</v>
                </pt>
                <pt idx="352">
                  <v>117.5615398987079</v>
                </pt>
                <pt idx="353">
                  <v>116.2192580195133</v>
                </pt>
                <pt idx="354">
                  <v>116.1073825503356</v>
                </pt>
                <pt idx="355">
                  <v>116.2192580195133</v>
                </pt>
              </numCache>
            </numRef>
          </val>
          <smooth val="0"/>
        </ser>
        <ser>
          <idx val="10"/>
          <order val="5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World'!$M$2:$M$358</f>
              <numCache>
                <formatCode>0.00</formatCode>
                <ptCount val="357"/>
                <pt idx="0">
                  <v>91.31831205287402</v>
                </pt>
                <pt idx="1">
                  <v>90.76985934397965</v>
                </pt>
                <pt idx="2">
                  <v>91.95818602687694</v>
                </pt>
                <pt idx="3">
                  <v>92.59805064066023</v>
                </pt>
                <pt idx="4">
                  <v>92.04959793176587</v>
                </pt>
                <pt idx="5">
                  <v>93.42073906422141</v>
                </pt>
                <pt idx="6">
                  <v>91.2269095082047</v>
                </pt>
                <pt idx="7">
                  <v>91.31831205287402</v>
                </pt>
                <pt idx="8">
                  <v>90.86126188864895</v>
                </pt>
                <pt idx="9">
                  <v>90.76985934397965</v>
                </pt>
                <pt idx="10">
                  <v>90.31280917975459</v>
                </pt>
                <pt idx="11">
                  <v>89.7643471106406</v>
                </pt>
                <pt idx="12">
                  <v>89.58153266108236</v>
                </pt>
                <pt idx="13">
                  <v>89.49012075619342</v>
                </pt>
                <pt idx="14">
                  <v>88.57602978796295</v>
                </pt>
                <pt idx="15">
                  <v>87.38769374484603</v>
                </pt>
                <pt idx="16">
                  <v>88.39320597818508</v>
                </pt>
                <pt idx="17">
                  <v>88.75884423752119</v>
                </pt>
                <pt idx="18">
                  <v>87.93615581396003</v>
                </pt>
                <pt idx="19">
                  <v>87.11346739039885</v>
                </pt>
                <pt idx="20">
                  <v>87.20487929528778</v>
                </pt>
                <pt idx="21">
                  <v>88.30179407329614</v>
                </pt>
                <pt idx="22">
                  <v>88.57602978796295</v>
                </pt>
                <pt idx="23">
                  <v>88.21038216840719</v>
                </pt>
                <pt idx="24">
                  <v>88.11897962373789</v>
                </pt>
                <pt idx="25">
                  <v>88.66743233263226</v>
                </pt>
                <pt idx="26">
                  <v>88.30179407329614</v>
                </pt>
                <pt idx="27">
                  <v>88.85025614241013</v>
                </pt>
                <pt idx="28">
                  <v>87.02206484572955</v>
                </pt>
                <pt idx="29">
                  <v>87.93615581396003</v>
                </pt>
                <pt idx="30">
                  <v>88.75884423752119</v>
                </pt>
                <pt idx="31">
                  <v>88.57602978796295</v>
                </pt>
                <pt idx="32">
                  <v>89.21589440174624</v>
                </pt>
                <pt idx="33">
                  <v>90.12999473019636</v>
                </pt>
                <pt idx="34">
                  <v>88.94165868707944</v>
                </pt>
                <pt idx="35">
                  <v>88.85025614241013</v>
                </pt>
                <pt idx="36">
                  <v>88.94165868707944</v>
                </pt>
                <pt idx="37">
                  <v>90.22139727486567</v>
                </pt>
                <pt idx="38">
                  <v>89.49012075619342</v>
                </pt>
                <pt idx="39">
                  <v>89.58153266108236</v>
                </pt>
                <pt idx="40">
                  <v>90.22139727486567</v>
                </pt>
                <pt idx="41">
                  <v>89.67294456597131</v>
                </pt>
                <pt idx="42">
                  <v>90.49563298953247</v>
                </pt>
                <pt idx="43">
                  <v>90.76985934397965</v>
                </pt>
                <pt idx="44">
                  <v>91.13549760331577</v>
                </pt>
                <pt idx="45">
                  <v>91.31831205287402</v>
                </pt>
                <pt idx="46">
                  <v>92.14100047643518</v>
                </pt>
                <pt idx="47">
                  <v>92.415236191102</v>
                </pt>
                <pt idx="48">
                  <v>92.96369826021598</v>
                </pt>
                <pt idx="49">
                  <v>93.23791525444354</v>
                </pt>
                <pt idx="50">
                  <v>93.60360031487778</v>
                </pt>
                <pt idx="51">
                  <v>94.79188019667694</v>
                </pt>
                <pt idx="52">
                  <v>96.07160942424353</v>
                </pt>
                <pt idx="53">
                  <v>94.88332954244439</v>
                </pt>
                <pt idx="54">
                  <v>95.43174481046023</v>
                </pt>
                <pt idx="55">
                  <v>95.79735498913747</v>
                </pt>
                <pt idx="56">
                  <v>96.71147403802682</v>
                </pt>
                <pt idx="57">
                  <v>96.89427912736545</v>
                </pt>
                <pt idx="58">
                  <v>96.80292338379428</v>
                </pt>
                <pt idx="59">
                  <v>97.80839817625481</v>
                </pt>
                <pt idx="60">
                  <v>96.07160942424353</v>
                </pt>
                <pt idx="61">
                  <v>96.07160942424353</v>
                </pt>
                <pt idx="62">
                  <v>96.43721960292076</v>
                </pt>
                <pt idx="63">
                  <v>97.25998290823895</v>
                </pt>
                <pt idx="64">
                  <v>97.16853356247152</v>
                </pt>
                <pt idx="65">
                  <v>96.62011829445566</v>
                </pt>
                <pt idx="66">
                  <v>97.16853356247152</v>
                </pt>
                <pt idx="67">
                  <v>97.35133865181012</v>
                </pt>
                <pt idx="68">
                  <v>97.6255930869162</v>
                </pt>
                <pt idx="69">
                  <v>97.25998290823895</v>
                </pt>
                <pt idx="70">
                  <v>97.80839817625481</v>
                </pt>
                <pt idx="71">
                  <v>98.35690704646694</v>
                </pt>
                <pt idx="72">
                  <v>97.89984752202226</v>
                </pt>
                <pt idx="73">
                  <v>98.63106787937673</v>
                </pt>
                <pt idx="74">
                  <v>98.72251722514417</v>
                </pt>
                <pt idx="75">
                  <v>97.53414374114874</v>
                </pt>
                <pt idx="76">
                  <v>98.26545770069949</v>
                </pt>
                <pt idx="77">
                  <v>97.6255930869162</v>
                </pt>
                <pt idx="78">
                  <v>97.6255930869162</v>
                </pt>
                <pt idx="79">
                  <v>98.26545770069949</v>
                </pt>
                <pt idx="80">
                  <v>98.81387296871533</v>
                </pt>
                <pt idx="81">
                  <v>98.72251722514417</v>
                </pt>
                <pt idx="82">
                  <v>99.27093249316003</v>
                </pt>
                <pt idx="83">
                  <v>99.72799201760471</v>
                </pt>
                <pt idx="84">
                  <v>99.90284092025937</v>
                </pt>
                <pt idx="85">
                  <v>100.0971590797406</v>
                </pt>
                <pt idx="86">
                  <v>99.31969923742291</v>
                </pt>
                <pt idx="87">
                  <v>99.51411099910048</v>
                </pt>
                <pt idx="88">
                  <v>99.12538107794161</v>
                </pt>
                <pt idx="89">
                  <v>99.22254015768226</v>
                </pt>
                <pt idx="90">
                  <v>100.6803007625771</v>
                </pt>
                <pt idx="91">
                  <v>99.02822199820096</v>
                </pt>
                <pt idx="92">
                  <v>99.51411099910048</v>
                </pt>
                <pt idx="93">
                  <v>100.1943181594813</v>
                </pt>
                <pt idx="94">
                  <v>100.4858890008995</v>
                </pt>
                <pt idx="95">
                  <v>100.2915708414182</v>
                </pt>
                <pt idx="96">
                  <v>100.0971590797406</v>
                </pt>
                <pt idx="97">
                  <v>101.2633488432173</v>
                </pt>
                <pt idx="98">
                  <v>101.5549196846355</v>
                </pt>
                <pt idx="99">
                  <v>101.4577606048948</v>
                </pt>
                <pt idx="100">
                  <v>100.4858890008995</v>
                </pt>
                <pt idx="101">
                  <v>100.3887299211589</v>
                </pt>
                <pt idx="102">
                  <v>100.7774598423177</v>
                </pt>
                <pt idx="103">
                  <v>100.0971590797406</v>
                </pt>
                <pt idx="104">
                  <v>100.0971590797406</v>
                </pt>
                <pt idx="105">
                  <v>100.1943181594813</v>
                </pt>
                <pt idx="106">
                  <v>100.0971590797406</v>
                </pt>
                <pt idx="107">
                  <v>100.2915708414182</v>
                </pt>
                <pt idx="108">
                  <v>100</v>
                </pt>
                <pt idx="109">
                  <v>99.80558823832241</v>
                </pt>
                <pt idx="110">
                  <v>100.6803007625771</v>
                </pt>
                <pt idx="111">
                  <v>99.80558823832241</v>
                </pt>
                <pt idx="112">
                  <v>100.5830480806402</v>
                </pt>
                <pt idx="113">
                  <v>101.2633488432173</v>
                </pt>
                <pt idx="114">
                  <v>101.6520787643761</v>
                </pt>
                <pt idx="115">
                  <v>103.109839369271</v>
                </pt>
                <pt idx="116">
                  <v>103.4013166084929</v>
                </pt>
                <pt idx="117">
                  <v>103.2069984490116</v>
                </pt>
                <pt idx="118">
                  <v>103.7900465296518</v>
                </pt>
                <pt idx="119">
                  <v>102.9154276075934</v>
                </pt>
                <pt idx="120">
                  <v>102.8182685278527</v>
                </pt>
                <pt idx="121">
                  <v>103.4985692904298</v>
                </pt>
                <pt idx="122">
                  <v>103.4013166084929</v>
                </pt>
                <pt idx="123">
                  <v>103.109839369271</v>
                </pt>
                <pt idx="124">
                  <v>103.3041575287523</v>
                </pt>
                <pt idx="125">
                  <v>103.8872992115887</v>
                </pt>
                <pt idx="126">
                  <v>102.8182685278527</v>
                </pt>
                <pt idx="127">
                  <v>103.8872992115887</v>
                </pt>
                <pt idx="128">
                  <v>102.9154276075934</v>
                </pt>
                <pt idx="129">
                  <v>103.109839369271</v>
                </pt>
                <pt idx="130">
                  <v>104.1787764508106</v>
                </pt>
                <pt idx="131">
                  <v>103.8872992115887</v>
                </pt>
                <pt idx="132">
                  <v>103.7900465296518</v>
                </pt>
                <pt idx="133">
                  <v>103.012586687334</v>
                </pt>
                <pt idx="134">
                  <v>102.8182685278527</v>
                </pt>
                <pt idx="135">
                  <v>102.040808685535</v>
                </pt>
                <pt idx="136">
                  <v>102.040808685535</v>
                </pt>
                <pt idx="137">
                  <v>101.9436496057944</v>
                </pt>
                <pt idx="138">
                  <v>101.1661897634766</v>
                </pt>
                <pt idx="139">
                  <v>102.9154276075934</v>
                </pt>
                <pt idx="140">
                  <v>101.4577606048948</v>
                </pt>
                <pt idx="141">
                  <v>100.5830480806402</v>
                </pt>
                <pt idx="142">
                  <v>100.1943181594813</v>
                </pt>
                <pt idx="143">
                  <v>100.2915708414182</v>
                </pt>
                <pt idx="144">
                  <v>100</v>
                </pt>
                <pt idx="145">
                  <v>100.5830480806402</v>
                </pt>
                <pt idx="146">
                  <v>102.4295386066939</v>
                </pt>
                <pt idx="147">
                  <v>100.6803007625771</v>
                </pt>
                <pt idx="148">
                  <v>101.8464905260537</v>
                </pt>
                <pt idx="149">
                  <v>98.44508031536452</v>
                </pt>
                <pt idx="150">
                  <v>99.51411099910048</v>
                </pt>
                <pt idx="151">
                  <v>100.2915708414182</v>
                </pt>
                <pt idx="152">
                  <v>101.5549196846355</v>
                </pt>
                <pt idx="153">
                  <v>99.90284092025937</v>
                </pt>
                <pt idx="154">
                  <v>99.61127007884113</v>
                </pt>
                <pt idx="155">
                  <v>99.90284092025937</v>
                </pt>
                <pt idx="156">
                  <v>99.31969923742291</v>
                </pt>
                <pt idx="157">
                  <v>100</v>
                </pt>
                <pt idx="158">
                  <v>99.80558823832241</v>
                </pt>
                <pt idx="159">
                  <v>99.31969923742291</v>
                </pt>
                <pt idx="160">
                  <v>99.02822199820096</v>
                </pt>
                <pt idx="161">
                  <v>99.70842915858178</v>
                </pt>
                <pt idx="162">
                  <v>100.3887299211589</v>
                </pt>
                <pt idx="163">
                  <v>100.2915708414182</v>
                </pt>
                <pt idx="164">
                  <v>100.2915708414182</v>
                </pt>
                <pt idx="165">
                  <v>101.069030683736</v>
                </pt>
                <pt idx="166">
                  <v>100.6803007625771</v>
                </pt>
                <pt idx="167">
                  <v>101.3605079229579</v>
                </pt>
                <pt idx="168">
                  <v>100.7774598423177</v>
                </pt>
                <pt idx="169">
                  <v>100.4858890008995</v>
                </pt>
                <pt idx="170">
                  <v>102.5266976864345</v>
                </pt>
                <pt idx="171">
                  <v>101.9436496057944</v>
                </pt>
                <pt idx="172">
                  <v>101.4577606048948</v>
                </pt>
                <pt idx="173">
                  <v>101.6520787643761</v>
                </pt>
                <pt idx="174">
                  <v>100</v>
                </pt>
                <pt idx="175">
                  <v>99.80558823832241</v>
                </pt>
                <pt idx="176">
                  <v>100.2915708414182</v>
                </pt>
                <pt idx="177">
                  <v>100.6803007625771</v>
                </pt>
                <pt idx="178">
                  <v>101.1661897634766</v>
                </pt>
                <pt idx="179">
                  <v>101.1661897634766</v>
                </pt>
                <pt idx="180">
                  <v>100.5830480806402</v>
                </pt>
                <pt idx="181">
                  <v>100.7774598423177</v>
                </pt>
                <pt idx="182">
                  <v>99.02822199820096</v>
                </pt>
                <pt idx="183">
                  <v>100.7774598423177</v>
                </pt>
                <pt idx="184">
                  <v>101.069030683736</v>
                </pt>
                <pt idx="185">
                  <v>101.1661897634766</v>
                </pt>
                <pt idx="186">
                  <v>100.6803007625771</v>
                </pt>
                <pt idx="187">
                  <v>99.90284092025937</v>
                </pt>
                <pt idx="188">
                  <v>99.41695191935983</v>
                </pt>
                <pt idx="189">
                  <v>99.31969923742291</v>
                </pt>
                <pt idx="190">
                  <v>100.4858890008995</v>
                </pt>
                <pt idx="191">
                  <v>101.3605079229579</v>
                </pt>
                <pt idx="192">
                  <v>101.7492378441168</v>
                </pt>
                <pt idx="193">
                  <v>101.1661897634766</v>
                </pt>
                <pt idx="194">
                  <v>101.5549196846355</v>
                </pt>
                <pt idx="195">
                  <v>101.069030683736</v>
                </pt>
                <pt idx="196">
                  <v>101.069030683736</v>
                </pt>
                <pt idx="197">
                  <v>101.8464905260537</v>
                </pt>
                <pt idx="198">
                  <v>100.971778001799</v>
                </pt>
                <pt idx="199">
                  <v>101.7492378441168</v>
                </pt>
                <pt idx="200">
                  <v>101.9436496057944</v>
                </pt>
                <pt idx="201">
                  <v>101.5549196846355</v>
                </pt>
                <pt idx="202">
                  <v>101.9436496057944</v>
                </pt>
                <pt idx="203">
                  <v>101.2633488432173</v>
                </pt>
                <pt idx="204">
                  <v>102.7211094481121</v>
                </pt>
                <pt idx="205">
                  <v>101.9436496057944</v>
                </pt>
                <pt idx="206">
                  <v>101.9436496057944</v>
                </pt>
                <pt idx="207">
                  <v>101.6520787643761</v>
                </pt>
                <pt idx="208">
                  <v>103.3041575287523</v>
                </pt>
                <pt idx="209">
                  <v>102.2351268450163</v>
                </pt>
                <pt idx="210">
                  <v>101.9436496057944</v>
                </pt>
                <pt idx="211">
                  <v>102.7211094481121</v>
                </pt>
                <pt idx="212">
                  <v>101.6520787643761</v>
                </pt>
                <pt idx="213">
                  <v>102.040808685535</v>
                </pt>
                <pt idx="214">
                  <v>102.5266976864345</v>
                </pt>
                <pt idx="215">
                  <v>102.3323795269532</v>
                </pt>
                <pt idx="216">
                  <v>102.7211094481121</v>
                </pt>
                <pt idx="217">
                  <v>102.4295386066939</v>
                </pt>
                <pt idx="218">
                  <v>101.069030683736</v>
                </pt>
                <pt idx="219">
                  <v>102.2351268450163</v>
                </pt>
                <pt idx="220">
                  <v>101.1661897634766</v>
                </pt>
                <pt idx="221">
                  <v>100.2915708414182</v>
                </pt>
                <pt idx="222">
                  <v>100</v>
                </pt>
                <pt idx="223">
                  <v>100.7774598423177</v>
                </pt>
                <pt idx="224">
                  <v>99.31969923742291</v>
                </pt>
                <pt idx="225">
                  <v>98.44508031536452</v>
                </pt>
                <pt idx="226">
                  <v>95.33524094609356</v>
                </pt>
                <pt idx="227">
                  <v>94.0718921028763</v>
                </pt>
                <pt idx="228">
                  <v>91.73954065658197</v>
                </pt>
                <pt idx="229">
                  <v>91.73954065658197</v>
                </pt>
                <pt idx="230">
                  <v>91.44799789582262</v>
                </pt>
                <pt idx="231">
                  <v>92.90573042005859</v>
                </pt>
                <pt idx="232">
                  <v>91.44799789582262</v>
                </pt>
                <pt idx="233">
                  <v>91.9339056171614</v>
                </pt>
                <pt idx="234">
                  <v>93.10009538063801</v>
                </pt>
                <pt idx="235">
                  <v>90.76772521390441</v>
                </pt>
                <pt idx="236">
                  <v>91.83672781698151</v>
                </pt>
                <pt idx="237">
                  <v>92.22545773814038</v>
                </pt>
                <pt idx="238">
                  <v>92.90573042005859</v>
                </pt>
                <pt idx="239">
                  <v>92.71136545947915</v>
                </pt>
                <pt idx="240">
                  <v>93.10009538063801</v>
                </pt>
                <pt idx="241">
                  <v>94.16905118261695</v>
                </pt>
                <pt idx="242">
                  <v>95.62681178751178</v>
                </pt>
                <pt idx="243">
                  <v>95.62681178751178</v>
                </pt>
                <pt idx="244">
                  <v>95.52965270777113</v>
                </pt>
                <pt idx="245">
                  <v>94.55778110377582</v>
                </pt>
                <pt idx="246">
                  <v>94.7521928654534</v>
                </pt>
                <pt idx="247">
                  <v>95.43249362803049</v>
                </pt>
                <pt idx="248">
                  <v>95.62681178751178</v>
                </pt>
                <pt idx="249">
                  <v>96.20985986815195</v>
                </pt>
                <pt idx="250">
                  <v>96.40427162982952</v>
                </pt>
                <pt idx="251">
                  <v>96.69584247124774</v>
                </pt>
                <pt idx="252">
                  <v>96.98731971046969</v>
                </pt>
                <pt idx="253">
                  <v>95.72397086725243</v>
                </pt>
                <pt idx="254">
                  <v>95.72397086725243</v>
                </pt>
                <pt idx="255">
                  <v>94.65503378571275</v>
                </pt>
                <pt idx="256">
                  <v>95.52965270777113</v>
                </pt>
                <pt idx="257">
                  <v>95.52965270777113</v>
                </pt>
                <pt idx="258">
                  <v>95.33524094609356</v>
                </pt>
                <pt idx="259">
                  <v>94.94651102493469</v>
                </pt>
                <pt idx="260">
                  <v>94.65503378571275</v>
                </pt>
                <pt idx="261">
                  <v>94.65503378571275</v>
                </pt>
                <pt idx="262">
                  <v>94.36346294429453</v>
                </pt>
                <pt idx="263">
                  <v>94.26630386455389</v>
                </pt>
                <pt idx="264">
                  <v>94.36346294429453</v>
                </pt>
                <pt idx="265">
                  <v>94.0718921028763</v>
                </pt>
                <pt idx="266">
                  <v>93.19727318081792</v>
                </pt>
                <pt idx="267">
                  <v>93.39163814139735</v>
                </pt>
                <pt idx="268">
                  <v>93.87757394339502</v>
                </pt>
                <pt idx="269">
                  <v>91.9339056171614</v>
                </pt>
                <pt idx="270">
                  <v>94.55778110377582</v>
                </pt>
                <pt idx="271">
                  <v>93.97473302313566</v>
                </pt>
                <pt idx="272">
                  <v>90.96209017448386</v>
                </pt>
                <pt idx="273">
                  <v>90.86490301408432</v>
                </pt>
                <pt idx="274">
                  <v>91.44799789582262</v>
                </pt>
                <pt idx="275">
                  <v>92.12827057774084</v>
                </pt>
                <pt idx="276">
                  <v>91.25363293524319</v>
                </pt>
                <pt idx="277">
                  <v>91.1564551350633</v>
                </pt>
                <pt idx="278">
                  <v>91.64236285640206</v>
                </pt>
                <pt idx="279">
                  <v>90.96209017448386</v>
                </pt>
                <pt idx="280">
                  <v>91.54518505622217</v>
                </pt>
                <pt idx="281">
                  <v>92.03109277756094</v>
                </pt>
                <pt idx="282">
                  <v>92.22545773814038</v>
                </pt>
                <pt idx="283">
                  <v>91.73954065658197</v>
                </pt>
                <pt idx="284">
                  <v>92.80854325965905</v>
                </pt>
                <pt idx="285">
                  <v>92.61417829907961</v>
                </pt>
                <pt idx="286">
                  <v>92.61417829907961</v>
                </pt>
                <pt idx="287">
                  <v>92.61417829907961</v>
                </pt>
                <pt idx="288">
                  <v>92.90573042005859</v>
                </pt>
                <pt idx="289">
                  <v>93.29446034121744</v>
                </pt>
                <pt idx="290">
                  <v>93.00290822023848</v>
                </pt>
                <pt idx="291">
                  <v>93.39163814139735</v>
                </pt>
                <pt idx="292">
                  <v>93.10009538063801</v>
                </pt>
                <pt idx="293">
                  <v>93.29446034121744</v>
                </pt>
                <pt idx="294">
                  <v>93.78032126145807</v>
                </pt>
                <pt idx="295">
                  <v>93.10009538063801</v>
                </pt>
                <pt idx="296">
                  <v>93.58600310197679</v>
                </pt>
                <pt idx="297">
                  <v>93.19727318081792</v>
                </pt>
                <pt idx="298">
                  <v>93.29446034121744</v>
                </pt>
                <pt idx="299">
                  <v>93.48881594157726</v>
                </pt>
                <pt idx="300">
                  <v>93.00290822023848</v>
                </pt>
                <pt idx="301">
                  <v>93.58600310197679</v>
                </pt>
                <pt idx="302">
                  <v>94.0718921028763</v>
                </pt>
                <pt idx="303">
                  <v>94.26630386455389</v>
                </pt>
                <pt idx="304">
                  <v>94.16905118261695</v>
                </pt>
                <pt idx="305">
                  <v>94.26630386455389</v>
                </pt>
                <pt idx="306">
                  <v>93.19727318081792</v>
                </pt>
                <pt idx="307">
                  <v>93.48881594157726</v>
                </pt>
                <pt idx="308">
                  <v>94.0718921028763</v>
                </pt>
                <pt idx="309">
                  <v>93.78032126145807</v>
                </pt>
                <pt idx="310">
                  <v>92.90573042005859</v>
                </pt>
                <pt idx="311">
                  <v>92.32263553832027</v>
                </pt>
                <pt idx="312">
                  <v>93.10009538063801</v>
                </pt>
                <pt idx="313">
                  <v>92.61417829907961</v>
                </pt>
                <pt idx="314">
                  <v>93.48881594157726</v>
                </pt>
                <pt idx="315">
                  <v>96.20985986815195</v>
                </pt>
                <pt idx="316">
                  <v>95.33524094609356</v>
                </pt>
                <pt idx="317">
                  <v>94.7521928654534</v>
                </pt>
                <pt idx="318">
                  <v>94.55778110377582</v>
                </pt>
                <pt idx="319">
                  <v>94.46062202403517</v>
                </pt>
                <pt idx="320">
                  <v>94.94651102493469</v>
                </pt>
                <pt idx="321">
                  <v>93.78032126145807</v>
                </pt>
                <pt idx="322">
                  <v>95.23808186635291</v>
                </pt>
                <pt idx="323">
                  <v>96.69584247124774</v>
                </pt>
                <pt idx="324">
                  <v>96.79300155098839</v>
                </pt>
                <pt idx="325">
                  <v>95.62681178751178</v>
                </pt>
                <pt idx="326">
                  <v>95.04376370687162</v>
                </pt>
                <pt idx="327">
                  <v>95.14092278661226</v>
                </pt>
                <pt idx="328">
                  <v>95.62681178751178</v>
                </pt>
                <pt idx="329">
                  <v>95.91838262893002</v>
                </pt>
                <pt idx="330">
                  <v>96.01554170867065</v>
                </pt>
                <pt idx="331">
                  <v>95.91838262893002</v>
                </pt>
                <pt idx="332">
                  <v>97.47330231356548</v>
                </pt>
                <pt idx="333">
                  <v>97.27889055188791</v>
                </pt>
                <pt idx="334">
                  <v>97.47330231356548</v>
                </pt>
                <pt idx="335">
                  <v>97.08457239240661</v>
                </pt>
                <pt idx="336">
                  <v>97.66762047304678</v>
                </pt>
                <pt idx="337">
                  <v>97.66762047304678</v>
                </pt>
                <pt idx="338">
                  <v>97.37604963162856</v>
                </pt>
                <pt idx="339">
                  <v>97.66762047304678</v>
                </pt>
                <pt idx="340">
                  <v>96.69584247124774</v>
                </pt>
                <pt idx="341">
                  <v>97.37604963162856</v>
                </pt>
                <pt idx="342">
                  <v>97.76477955278743</v>
                </pt>
                <pt idx="343">
                  <v>97.37604963162856</v>
                </pt>
                <pt idx="344">
                  <v>97.57046139330615</v>
                </pt>
                <pt idx="345">
                  <v>96.69584247124774</v>
                </pt>
                <pt idx="346">
                  <v>96.1127007884113</v>
                </pt>
                <pt idx="347">
                  <v>96.1127007884113</v>
                </pt>
                <pt idx="348">
                  <v>96.59858978931082</v>
                </pt>
                <pt idx="349">
                  <v>96.98731971046969</v>
                </pt>
                <pt idx="350">
                  <v>98.44508031536452</v>
                </pt>
                <pt idx="351">
                  <v>95.33524094609356</v>
                </pt>
                <pt idx="352">
                  <v>96.50143070957017</v>
                </pt>
                <pt idx="353">
                  <v>96.1127007884113</v>
                </pt>
                <pt idx="354">
                  <v>95.91838262893002</v>
                </pt>
                <pt idx="355">
                  <v>95.14092278661226</v>
                </pt>
              </numCache>
            </numRef>
          </val>
          <smooth val="0"/>
        </ser>
        <ser>
          <idx val="11"/>
          <order val="6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World'!$O$2:$O$358</f>
              <numCache>
                <formatCode>0.00</formatCode>
                <ptCount val="357"/>
                <pt idx="0">
                  <v>70.58004669403519</v>
                </pt>
                <pt idx="1">
                  <v>71.272011003025</v>
                </pt>
                <pt idx="2">
                  <v>71.62077380573766</v>
                </pt>
                <pt idx="3">
                  <v>71.51193460008079</v>
                </pt>
                <pt idx="4">
                  <v>71.66451108499618</v>
                </pt>
                <pt idx="5">
                  <v>71.89464448311863</v>
                </pt>
                <pt idx="6">
                  <v>71.80162021420028</v>
                </pt>
                <pt idx="7">
                  <v>72.03765090375121</v>
                </pt>
                <pt idx="8">
                  <v>72.12878664908833</v>
                </pt>
                <pt idx="9">
                  <v>71.58672245110432</v>
                </pt>
                <pt idx="10">
                  <v>70.74974733755829</v>
                </pt>
                <pt idx="11">
                  <v>70.28692002774623</v>
                </pt>
                <pt idx="12">
                  <v>69.98176705791545</v>
                </pt>
                <pt idx="13">
                  <v>69.49323033812334</v>
                </pt>
                <pt idx="14">
                  <v>69.12910445400755</v>
                </pt>
                <pt idx="15">
                  <v>69.26542573288327</v>
                </pt>
                <pt idx="16">
                  <v>69.95884988218741</v>
                </pt>
                <pt idx="17">
                  <v>70.59605859335579</v>
                </pt>
                <pt idx="18">
                  <v>70.68019637401154</v>
                </pt>
                <pt idx="19">
                  <v>70.74061754257664</v>
                </pt>
                <pt idx="20">
                  <v>71.37038801976253</v>
                </pt>
                <pt idx="21">
                  <v>71.24608145839437</v>
                </pt>
                <pt idx="22">
                  <v>71.16450419130581</v>
                </pt>
                <pt idx="23">
                  <v>70.88151530497744</v>
                </pt>
                <pt idx="24">
                  <v>70.48500645515897</v>
                </pt>
                <pt idx="25">
                  <v>70.98990265529891</v>
                </pt>
                <pt idx="26">
                  <v>71.57981717469688</v>
                </pt>
                <pt idx="27">
                  <v>72.12244908835868</v>
                </pt>
                <pt idx="28">
                  <v>72.3577035136155</v>
                </pt>
                <pt idx="29">
                  <v>72.36806142822667</v>
                </pt>
                <pt idx="30">
                  <v>73.02208147507827</v>
                </pt>
                <pt idx="31">
                  <v>72.66274062310387</v>
                </pt>
                <pt idx="32">
                  <v>72.83156072802468</v>
                </pt>
                <pt idx="33">
                  <v>73.37785382850653</v>
                </pt>
                <pt idx="34">
                  <v>73.69000476301868</v>
                </pt>
                <pt idx="35">
                  <v>73.75655494369708</v>
                </pt>
                <pt idx="36">
                  <v>74.07606300995205</v>
                </pt>
                <pt idx="37">
                  <v>74.40445756446961</v>
                </pt>
                <pt idx="38">
                  <v>74.30029911664599</v>
                </pt>
                <pt idx="39">
                  <v>74.56092695688987</v>
                </pt>
                <pt idx="40">
                  <v>74.30207177988481</v>
                </pt>
                <pt idx="41">
                  <v>74.42526608196586</v>
                </pt>
                <pt idx="42">
                  <v>74.65495921078715</v>
                </pt>
                <pt idx="43">
                  <v>74.57649858690934</v>
                </pt>
                <pt idx="44">
                  <v>74.93317465100839</v>
                </pt>
                <pt idx="45">
                  <v>75.50851393933158</v>
                </pt>
                <pt idx="46">
                  <v>75.82133686382969</v>
                </pt>
                <pt idx="47">
                  <v>76.23620957791961</v>
                </pt>
                <pt idx="48">
                  <v>76.52488720706015</v>
                </pt>
                <pt idx="49">
                  <v>76.54581158489881</v>
                </pt>
                <pt idx="50">
                  <v>77.31700119602631</v>
                </pt>
                <pt idx="51">
                  <v>77.75513866687152</v>
                </pt>
                <pt idx="52">
                  <v>78.15331590562062</v>
                </pt>
                <pt idx="53">
                  <v>78.65209467968148</v>
                </pt>
                <pt idx="54">
                  <v>78.77261260785293</v>
                </pt>
                <pt idx="55">
                  <v>79.24079266548419</v>
                </pt>
                <pt idx="56">
                  <v>79.54281740606999</v>
                </pt>
                <pt idx="57">
                  <v>80.21642943682257</v>
                </pt>
                <pt idx="58">
                  <v>80.71086344804317</v>
                </pt>
                <pt idx="59">
                  <v>81.55841661085094</v>
                </pt>
                <pt idx="60">
                  <v>81.70754045756262</v>
                </pt>
                <pt idx="61">
                  <v>81.57466023085635</v>
                </pt>
                <pt idx="62">
                  <v>81.69217737615949</v>
                </pt>
                <pt idx="63">
                  <v>81.63998229190526</v>
                </pt>
                <pt idx="64">
                  <v>81.91730560748995</v>
                </pt>
                <pt idx="65">
                  <v>82.19530091306061</v>
                </pt>
                <pt idx="66">
                  <v>81.86834302678888</v>
                </pt>
                <pt idx="67">
                  <v>82.90172459278276</v>
                </pt>
                <pt idx="68">
                  <v>83.23415108721608</v>
                </pt>
                <pt idx="69">
                  <v>83.13175371659702</v>
                </pt>
                <pt idx="70">
                  <v>83.34097432291506</v>
                </pt>
                <pt idx="71">
                  <v>83.65903413488994</v>
                </pt>
                <pt idx="72">
                  <v>83.1121733187303</v>
                </pt>
                <pt idx="73">
                  <v>84.39227948387924</v>
                </pt>
                <pt idx="74">
                  <v>84.31293832139913</v>
                </pt>
                <pt idx="75">
                  <v>85.08425537890328</v>
                </pt>
                <pt idx="76">
                  <v>85.7073407143323</v>
                </pt>
                <pt idx="77">
                  <v>86.43158371471661</v>
                </pt>
                <pt idx="78">
                  <v>86.3195120055066</v>
                </pt>
                <pt idx="79">
                  <v>86.82007502884053</v>
                </pt>
                <pt idx="80">
                  <v>87.41790280962488</v>
                </pt>
                <pt idx="81">
                  <v>87.36592786002123</v>
                </pt>
                <pt idx="82">
                  <v>88.13724491752538</v>
                </pt>
                <pt idx="83">
                  <v>88.71003527831566</v>
                </pt>
                <pt idx="84">
                  <v>88.83577850792966</v>
                </pt>
                <pt idx="85">
                  <v>89.91046428599152</v>
                </pt>
                <pt idx="86">
                  <v>90.51252096927372</v>
                </pt>
                <pt idx="87">
                  <v>90.53376975607111</v>
                </pt>
                <pt idx="88">
                  <v>91.06370337620513</v>
                </pt>
                <pt idx="89">
                  <v>91.50794668709516</v>
                </pt>
                <pt idx="90">
                  <v>92.20593573389012</v>
                </pt>
                <pt idx="91">
                  <v>93.1693260670361</v>
                </pt>
                <pt idx="92">
                  <v>93.99695125094991</v>
                </pt>
                <pt idx="93">
                  <v>94.80566802698294</v>
                </pt>
                <pt idx="94">
                  <v>95.63796238269575</v>
                </pt>
                <pt idx="95">
                  <v>95.93287329825776</v>
                </pt>
                <pt idx="96">
                  <v>96.42552306020532</v>
                </pt>
                <pt idx="97">
                  <v>96.55217000049008</v>
                </pt>
                <pt idx="98">
                  <v>96.61737620119658</v>
                </pt>
                <pt idx="99">
                  <v>96.97494438993215</v>
                </pt>
                <pt idx="100">
                  <v>97.59157630428911</v>
                </pt>
                <pt idx="101">
                  <v>96.9792891527724</v>
                </pt>
                <pt idx="102">
                  <v>96.6424252072249</v>
                </pt>
                <pt idx="103">
                  <v>98.62596585526192</v>
                </pt>
                <pt idx="104">
                  <v>98.43322058963413</v>
                </pt>
                <pt idx="105">
                  <v>99.2302354710841</v>
                </pt>
                <pt idx="106">
                  <v>99.16580553467173</v>
                </pt>
                <pt idx="107">
                  <v>99.53405604697718</v>
                </pt>
                <pt idx="108">
                  <v>100</v>
                </pt>
                <pt idx="109">
                  <v>100.5332819840296</v>
                </pt>
                <pt idx="110">
                  <v>100.6927521593182</v>
                </pt>
                <pt idx="111">
                  <v>100.9659508467132</v>
                </pt>
                <pt idx="112">
                  <v>101.661043384948</v>
                </pt>
                <pt idx="113">
                  <v>101.4912152950482</v>
                </pt>
                <pt idx="114">
                  <v>102.1335566193852</v>
                </pt>
                <pt idx="115">
                  <v>102.5634564198853</v>
                </pt>
                <pt idx="116">
                  <v>102.130660110825</v>
                </pt>
                <pt idx="117">
                  <v>103.4926795380556</v>
                </pt>
                <pt idx="118">
                  <v>103.9814363924982</v>
                </pt>
                <pt idx="119">
                  <v>104.7851364157051</v>
                </pt>
                <pt idx="120">
                  <v>104.8035118660108</v>
                </pt>
                <pt idx="121">
                  <v>105.1149908105369</v>
                </pt>
                <pt idx="122">
                  <v>105.4959164443017</v>
                </pt>
                <pt idx="123">
                  <v>106.2557749139418</v>
                </pt>
                <pt idx="124">
                  <v>106.4368298710208</v>
                </pt>
                <pt idx="125">
                  <v>106.538995520955</v>
                </pt>
                <pt idx="126">
                  <v>106.3779612310439</v>
                </pt>
                <pt idx="127">
                  <v>106.0670384161613</v>
                </pt>
                <pt idx="128">
                  <v>106.4763382477815</v>
                </pt>
                <pt idx="129">
                  <v>106.1625189243387</v>
                </pt>
                <pt idx="130">
                  <v>106.1913333914952</v>
                </pt>
                <pt idx="131">
                  <v>105.8957620719815</v>
                </pt>
                <pt idx="132">
                  <v>105.2141440915686</v>
                </pt>
                <pt idx="133">
                  <v>104.540868055809</v>
                </pt>
                <pt idx="134">
                  <v>104.2963795612624</v>
                </pt>
                <pt idx="135">
                  <v>103.9923504367529</v>
                </pt>
                <pt idx="136">
                  <v>103.3570186631315</v>
                </pt>
                <pt idx="137">
                  <v>102.7391702151793</v>
                </pt>
                <pt idx="138">
                  <v>102.1521406183073</v>
                </pt>
                <pt idx="139">
                  <v>102.0255052640567</v>
                </pt>
                <pt idx="140">
                  <v>101.6353339749679</v>
                </pt>
                <pt idx="141">
                  <v>101.1930950480015</v>
                </pt>
                <pt idx="142">
                  <v>100.697317056809</v>
                </pt>
                <pt idx="143">
                  <v>100.7210104968312</v>
                </pt>
                <pt idx="144">
                  <v>101.3576862504245</v>
                </pt>
                <pt idx="145">
                  <v>101.3308529951231</v>
                </pt>
                <pt idx="146">
                  <v>102.1573659197498</v>
                </pt>
                <pt idx="147">
                  <v>102.5792481845553</v>
                </pt>
                <pt idx="148">
                  <v>103.0129250322179</v>
                </pt>
                <pt idx="149">
                  <v>103.9931267010471</v>
                </pt>
                <pt idx="150">
                  <v>103.7439574486672</v>
                </pt>
                <pt idx="151">
                  <v>103.7575362807973</v>
                </pt>
                <pt idx="152">
                  <v>103.901654960717</v>
                </pt>
                <pt idx="153">
                  <v>103.5878240512399</v>
                </pt>
                <pt idx="154">
                  <v>104.1285674413205</v>
                </pt>
                <pt idx="155">
                  <v>103.6177623637178</v>
                </pt>
                <pt idx="156">
                  <v>104.407327425151</v>
                </pt>
                <pt idx="157">
                  <v>104.5557792818767</v>
                </pt>
                <pt idx="158">
                  <v>104.3138513008973</v>
                </pt>
                <pt idx="159">
                  <v>103.568139379065</v>
                </pt>
                <pt idx="160">
                  <v>103.5971739808721</v>
                </pt>
                <pt idx="161">
                  <v>103.7705589832838</v>
                </pt>
                <pt idx="162">
                  <v>104.2274890016674</v>
                </pt>
                <pt idx="163">
                  <v>104.0788170102911</v>
                </pt>
                <pt idx="164">
                  <v>104.6914401568007</v>
                </pt>
                <pt idx="165">
                  <v>104.8392316095747</v>
                </pt>
                <pt idx="166">
                  <v>105.647044674937</v>
                </pt>
                <pt idx="167">
                  <v>105.5718165546123</v>
                </pt>
                <pt idx="168">
                  <v>105.8414583294955</v>
                </pt>
                <pt idx="169">
                  <v>106.4826873945454</v>
                </pt>
                <pt idx="170">
                  <v>105.9530781833701</v>
                </pt>
                <pt idx="171">
                  <v>106.4312685745853</v>
                </pt>
                <pt idx="172">
                  <v>107.2749172438539</v>
                </pt>
                <pt idx="173">
                  <v>106.3905436642293</v>
                </pt>
                <pt idx="174">
                  <v>107.210267172791</v>
                </pt>
                <pt idx="175">
                  <v>107.2892723402781</v>
                </pt>
                <pt idx="176">
                  <v>107.3796434073553</v>
                </pt>
                <pt idx="177">
                  <v>108.4020182408206</v>
                </pt>
                <pt idx="178">
                  <v>108.6293709907252</v>
                </pt>
                <pt idx="179">
                  <v>109.4285061164413</v>
                </pt>
                <pt idx="180">
                  <v>109.9322900572941</v>
                </pt>
                <pt idx="181">
                  <v>110.6883714797718</v>
                </pt>
                <pt idx="182">
                  <v>110.5127503727517</v>
                </pt>
                <pt idx="183">
                  <v>110.6989379429993</v>
                </pt>
                <pt idx="184">
                  <v>110.8434968922201</v>
                </pt>
                <pt idx="185">
                  <v>111.2686000745445</v>
                </pt>
                <pt idx="186">
                  <v>110.9168364889636</v>
                </pt>
                <pt idx="187">
                  <v>111.2220821470682</v>
                </pt>
                <pt idx="188">
                  <v>109.145957499414</v>
                </pt>
                <pt idx="189">
                  <v>110.5225521577193</v>
                </pt>
                <pt idx="190">
                  <v>111.6428637386209</v>
                </pt>
                <pt idx="191">
                  <v>112.3351524565695</v>
                </pt>
                <pt idx="192">
                  <v>112.4675924139746</v>
                </pt>
                <pt idx="193">
                  <v>112.4722615857736</v>
                </pt>
                <pt idx="194">
                  <v>112.7039590985185</v>
                </pt>
                <pt idx="195">
                  <v>113.1559998104525</v>
                </pt>
                <pt idx="196">
                  <v>113.0421554380036</v>
                </pt>
                <pt idx="197">
                  <v>113.4764926896179</v>
                </pt>
                <pt idx="198">
                  <v>113.4348756546254</v>
                </pt>
                <pt idx="199">
                  <v>113.8809032147885</v>
                </pt>
                <pt idx="200">
                  <v>113.6499935523719</v>
                </pt>
                <pt idx="201">
                  <v>113.5849959002818</v>
                </pt>
                <pt idx="202">
                  <v>113.4759365599743</v>
                </pt>
                <pt idx="203">
                  <v>114.6560089054894</v>
                </pt>
                <pt idx="204">
                  <v>114.0596293789851</v>
                </pt>
                <pt idx="205">
                  <v>115.2093231427211</v>
                </pt>
                <pt idx="206">
                  <v>115.4604851929903</v>
                </pt>
                <pt idx="207">
                  <v>116.2721100636178</v>
                </pt>
                <pt idx="208">
                  <v>116.3286499107122</v>
                </pt>
                <pt idx="209">
                  <v>116.3614383876133</v>
                </pt>
                <pt idx="210">
                  <v>116.3181066195532</v>
                </pt>
                <pt idx="211">
                  <v>116.577286205517</v>
                </pt>
                <pt idx="212">
                  <v>117.0284463788487</v>
                </pt>
                <pt idx="213">
                  <v>116.5344178788265</v>
                </pt>
                <pt idx="214">
                  <v>117.2206586869014</v>
                </pt>
                <pt idx="215">
                  <v>117.2338667659358</v>
                </pt>
                <pt idx="216">
                  <v>116.9181473328775</v>
                </pt>
                <pt idx="217">
                  <v>116.5258442134884</v>
                </pt>
                <pt idx="218">
                  <v>116.2500965985605</v>
                </pt>
                <pt idx="219">
                  <v>115.3695695823038</v>
                </pt>
                <pt idx="220">
                  <v>114.7195467172652</v>
                </pt>
                <pt idx="221">
                  <v>114.4504610720256</v>
                </pt>
                <pt idx="222">
                  <v>113.8447316158891</v>
                </pt>
                <pt idx="223">
                  <v>112.1032463952082</v>
                </pt>
                <pt idx="224">
                  <v>107.2415378792066</v>
                </pt>
                <pt idx="225">
                  <v>108.2615723337552</v>
                </pt>
                <pt idx="226">
                  <v>106.9008968864966</v>
                </pt>
                <pt idx="227">
                  <v>103.7755641500758</v>
                </pt>
                <pt idx="228">
                  <v>101.310820741921</v>
                </pt>
                <pt idx="229">
                  <v>100.6574726850553</v>
                </pt>
                <pt idx="230">
                  <v>99.06142695219752</v>
                </pt>
                <pt idx="231">
                  <v>98.27085390578537</v>
                </pt>
                <pt idx="232">
                  <v>97.28030590837926</v>
                </pt>
                <pt idx="233">
                  <v>96.9004925339016</v>
                </pt>
                <pt idx="234">
                  <v>97.96670892093353</v>
                </pt>
                <pt idx="235">
                  <v>99.06476373005884</v>
                </pt>
                <pt idx="236">
                  <v>99.81438014543021</v>
                </pt>
                <pt idx="237">
                  <v>100.1338766256509</v>
                </pt>
                <pt idx="238">
                  <v>100.5320538644001</v>
                </pt>
                <pt idx="239">
                  <v>100.8388636371273</v>
                </pt>
                <pt idx="240">
                  <v>102.0084622076887</v>
                </pt>
                <pt idx="241">
                  <v>102.3754846003646</v>
                </pt>
                <pt idx="242">
                  <v>103.0490966311172</v>
                </pt>
                <pt idx="243">
                  <v>103.4322583694904</v>
                </pt>
                <pt idx="244">
                  <v>104.9413856734747</v>
                </pt>
                <pt idx="245">
                  <v>105.0971946619433</v>
                </pt>
                <pt idx="246">
                  <v>105.5577974531811</v>
                </pt>
                <pt idx="247">
                  <v>105.8818588308927</v>
                </pt>
                <pt idx="248">
                  <v>106.1254552008028</v>
                </pt>
                <pt idx="249">
                  <v>105.844134703405</v>
                </pt>
                <pt idx="250">
                  <v>105.8746175594923</v>
                </pt>
                <pt idx="251">
                  <v>106.9002248965107</v>
                </pt>
                <pt idx="252">
                  <v>106.7627913583478</v>
                </pt>
                <pt idx="253">
                  <v>106.2942753057236</v>
                </pt>
                <pt idx="254">
                  <v>107.350261224521</v>
                </pt>
                <pt idx="255">
                  <v>106.9656628179019</v>
                </pt>
                <pt idx="256">
                  <v>107.2093750481545</v>
                </pt>
                <pt idx="257">
                  <v>107.5184093394559</v>
                </pt>
                <pt idx="258">
                  <v>108.0902033013014</v>
                </pt>
                <pt idx="259">
                  <v>108.6954693160683</v>
                </pt>
                <pt idx="260">
                  <v>108.6690995021365</v>
                </pt>
                <pt idx="261">
                  <v>109.4178237928714</v>
                </pt>
                <pt idx="262">
                  <v>109.3300132393613</v>
                </pt>
                <pt idx="263">
                  <v>109.9357426954978</v>
                </pt>
                <pt idx="264">
                  <v>110.6089144569493</v>
                </pt>
                <pt idx="265">
                  <v>110.8624168861351</v>
                </pt>
                <pt idx="266">
                  <v>110.3447181181592</v>
                </pt>
                <pt idx="267">
                  <v>111.1743360999624</v>
                </pt>
                <pt idx="268">
                  <v>111.3877856087783</v>
                </pt>
                <pt idx="269">
                  <v>111.3659806923374</v>
                </pt>
                <pt idx="270">
                  <v>111.6582152339898</v>
                </pt>
                <pt idx="271">
                  <v>111.1247131153096</v>
                </pt>
                <pt idx="272">
                  <v>111.1791327181381</v>
                </pt>
                <pt idx="273">
                  <v>111.4148389987303</v>
                </pt>
                <pt idx="274">
                  <v>111.9516778952718</v>
                </pt>
                <pt idx="275">
                  <v>112.3468427651183</v>
                </pt>
                <pt idx="276">
                  <v>112.1979506390914</v>
                </pt>
                <pt idx="277">
                  <v>112.8424006216602</v>
                </pt>
                <pt idx="278">
                  <v>113.3007788943239</v>
                </pt>
                <pt idx="279">
                  <v>113.1060292447725</v>
                </pt>
                <pt idx="280">
                  <v>113.2297796764971</v>
                </pt>
                <pt idx="281">
                  <v>113.4604692042631</v>
                </pt>
                <pt idx="282">
                  <v>112.9769376512629</v>
                </pt>
                <pt idx="283">
                  <v>113.72288129378</v>
                </pt>
                <pt idx="284">
                  <v>114.3085784967144</v>
                </pt>
                <pt idx="285">
                  <v>114.1083718250356</v>
                </pt>
                <pt idx="286">
                  <v>114.4431271123513</v>
                </pt>
                <pt idx="287">
                  <v>114.790881930085</v>
                </pt>
                <pt idx="288">
                  <v>114.3136995238488</v>
                </pt>
                <pt idx="289">
                  <v>115.2819907494785</v>
                </pt>
                <pt idx="290">
                  <v>116.3916779369815</v>
                </pt>
                <pt idx="291">
                  <v>116.4453212755158</v>
                </pt>
                <pt idx="292">
                  <v>116.8661260391369</v>
                </pt>
                <pt idx="293">
                  <v>117.3033829713798</v>
                </pt>
                <pt idx="294">
                  <v>117.5344084941388</v>
                </pt>
                <pt idx="295">
                  <v>117.4040656089313</v>
                </pt>
                <pt idx="296">
                  <v>117.7548907257387</v>
                </pt>
                <pt idx="297">
                  <v>117.7792213976442</v>
                </pt>
                <pt idx="298">
                  <v>118.7003111197775</v>
                </pt>
                <pt idx="299">
                  <v>118.5279109302763</v>
                </pt>
                <pt idx="300">
                  <v>117.9404989942743</v>
                </pt>
                <pt idx="301">
                  <v>117.341616884374</v>
                </pt>
                <pt idx="302">
                  <v>117.0121100705694</v>
                </pt>
                <pt idx="303">
                  <v>116.3230886142767</v>
                </pt>
                <pt idx="304">
                  <v>115.8189339203282</v>
                </pt>
                <pt idx="305">
                  <v>115.4218689408661</v>
                </pt>
                <pt idx="306">
                  <v>116.097276806926</v>
                </pt>
                <pt idx="307">
                  <v>115.9167663934564</v>
                </pt>
                <pt idx="308">
                  <v>115.4879672662092</v>
                </pt>
                <pt idx="309">
                  <v>115.0659807270955</v>
                </pt>
                <pt idx="310">
                  <v>114.2747356906974</v>
                </pt>
                <pt idx="311">
                  <v>113.6235078780978</v>
                </pt>
                <pt idx="312">
                  <v>114.5706545912383</v>
                </pt>
                <pt idx="313">
                  <v>113.758265042351</v>
                </pt>
                <pt idx="314">
                  <v>112.8601967702539</v>
                </pt>
                <pt idx="315">
                  <v>112.9728246091075</v>
                </pt>
                <pt idx="316">
                  <v>112.8761159813006</v>
                </pt>
                <pt idx="317">
                  <v>113.3712219825072</v>
                </pt>
                <pt idx="318">
                  <v>113.6581153623746</v>
                </pt>
                <pt idx="319">
                  <v>113.5559497124404</v>
                </pt>
                <pt idx="320">
                  <v>113.5637471134844</v>
                </pt>
                <pt idx="321">
                  <v>113.7872069558842</v>
                </pt>
                <pt idx="322">
                  <v>113.5670838913457</v>
                </pt>
                <pt idx="323">
                  <v>114.5434969269782</v>
                </pt>
                <pt idx="324">
                  <v>114.6642465758345</v>
                </pt>
                <pt idx="325">
                  <v>114.2316704014248</v>
                </pt>
                <pt idx="326">
                  <v>115.0052235635374</v>
                </pt>
                <pt idx="327">
                  <v>116.0391149150379</v>
                </pt>
                <pt idx="328">
                  <v>116.1958739583141</v>
                </pt>
                <pt idx="329">
                  <v>116.38727524397</v>
                </pt>
                <pt idx="330">
                  <v>116.3403518052953</v>
                </pt>
                <pt idx="331">
                  <v>115.7892157425008</v>
                </pt>
                <pt idx="332">
                  <v>115.7922281114034</v>
                </pt>
                <pt idx="333">
                  <v>117.5488910369396</v>
                </pt>
                <pt idx="334">
                  <v>118.176854092784</v>
                </pt>
                <pt idx="335">
                  <v>118.5584980606717</v>
                </pt>
                <pt idx="336">
                  <v>118.257492891099</v>
                </pt>
                <pt idx="337">
                  <v>118.6764438892417</v>
                </pt>
                <pt idx="338">
                  <v>119.3552696354025</v>
                </pt>
                <pt idx="339">
                  <v>120.435088026633</v>
                </pt>
                <pt idx="340">
                  <v>119.4798195034898</v>
                </pt>
                <pt idx="341">
                  <v>120.3777371571417</v>
                </pt>
                <pt idx="342">
                  <v>120.9133595200879</v>
                </pt>
                <pt idx="343">
                  <v>121.8843850497985</v>
                </pt>
                <pt idx="344">
                  <v>122.0516873842338</v>
                </pt>
                <pt idx="345">
                  <v>122.3204833786174</v>
                </pt>
                <pt idx="346">
                  <v>122.977295659721</v>
                </pt>
                <pt idx="347">
                  <v>123.0273473276407</v>
                </pt>
                <pt idx="348">
                  <v>122.5453683032288</v>
                </pt>
                <pt idx="349">
                  <v>121.927253376489</v>
                </pt>
                <pt idx="350">
                  <v>122.0585231444358</v>
                </pt>
                <pt idx="351">
                  <v>121.2881677277736</v>
                </pt>
                <pt idx="352">
                  <v>121.5525610291457</v>
                </pt>
                <pt idx="353">
                  <v>121.609332596925</v>
                </pt>
                <pt idx="354">
                  <v>121.3954544048422</v>
                </pt>
                <pt idx="355">
                  <v>122.2513147542005</v>
                </pt>
              </numCache>
            </numRef>
          </val>
          <smooth val="0"/>
        </ser>
        <ser>
          <idx val="12"/>
          <order val="7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World'!$Q$2:$Q$358</f>
              <numCache>
                <formatCode>0.00</formatCode>
                <ptCount val="357"/>
                <pt idx="0">
                  <v>101.304741604297</v>
                </pt>
                <pt idx="1">
                  <v>101.8137591973305</v>
                </pt>
                <pt idx="2">
                  <v>103.6464233281458</v>
                </pt>
                <pt idx="3">
                  <v>103.8500303653592</v>
                </pt>
                <pt idx="4">
                  <v>104.5627553935534</v>
                </pt>
                <pt idx="5">
                  <v>104.8681659493735</v>
                </pt>
                <pt idx="6">
                  <v>105.7844980147812</v>
                </pt>
                <pt idx="7">
                  <v>106.7008300801889</v>
                </pt>
                <pt idx="8">
                  <v>105.7844980147812</v>
                </pt>
                <pt idx="9">
                  <v>107.9225727014166</v>
                </pt>
                <pt idx="10">
                  <v>107.2098476732224</v>
                </pt>
                <pt idx="11">
                  <v>107.3117515897764</v>
                </pt>
                <pt idx="12">
                  <v>108.0243762200233</v>
                </pt>
                <pt idx="13">
                  <v>108.4316906923975</v>
                </pt>
                <pt idx="14">
                  <v>107.4135551083831</v>
                </pt>
                <pt idx="15">
                  <v>107.8207691828099</v>
                </pt>
                <pt idx="16">
                  <v>108.940708285431</v>
                </pt>
                <pt idx="17">
                  <v>105.7844980147812</v>
                </pt>
                <pt idx="18">
                  <v>108.12617973863</v>
                </pt>
                <pt idx="19">
                  <v>106.3954195243687</v>
                </pt>
                <pt idx="20">
                  <v>106.4972230429754</v>
                </pt>
                <pt idx="21">
                  <v>105.7844980147812</v>
                </pt>
                <pt idx="22">
                  <v>106.4972230429754</v>
                </pt>
                <pt idx="23">
                  <v>105.0717729865869</v>
                </pt>
                <pt idx="24">
                  <v>104.35914835634</v>
                </pt>
                <pt idx="25">
                  <v>104.0536374025726</v>
                </pt>
                <pt idx="26">
                  <v>102.5264842255247</v>
                </pt>
                <pt idx="27">
                  <v>102.0173662345439</v>
                </pt>
                <pt idx="28">
                  <v>99.67567447090032</v>
                </pt>
                <pt idx="29">
                  <v>101.7119556787238</v>
                </pt>
                <pt idx="30">
                  <v>101.5083486415104</v>
                </pt>
                <pt idx="31">
                  <v>98.55572532848453</v>
                </pt>
                <pt idx="32">
                  <v>102.3228771883113</v>
                </pt>
                <pt idx="33">
                  <v>99.16660667889313</v>
                </pt>
                <pt idx="34">
                  <v>97.94484397807589</v>
                </pt>
                <pt idx="35">
                  <v>97.53757970467542</v>
                </pt>
                <pt idx="36">
                  <v>99.57386091249887</v>
                </pt>
                <pt idx="37">
                  <v>99.77748802930175</v>
                </pt>
                <pt idx="38">
                  <v>96.41763056225963</v>
                </pt>
                <pt idx="39">
                  <v>98.2502846532802</v>
                </pt>
                <pt idx="40">
                  <v>99.57386091249887</v>
                </pt>
                <pt idx="41">
                  <v>97.74121686127305</v>
                </pt>
                <pt idx="42">
                  <v>97.63939326307687</v>
                </pt>
                <pt idx="43">
                  <v>96.72307123746394</v>
                </pt>
                <pt idx="44">
                  <v>97.02851191266824</v>
                </pt>
                <pt idx="45">
                  <v>96.21400344545675</v>
                </pt>
                <pt idx="46">
                  <v>96.01037632865389</v>
                </pt>
                <pt idx="47">
                  <v>95.29768141984384</v>
                </pt>
                <pt idx="48">
                  <v>94.89042718623809</v>
                </pt>
                <pt idx="49">
                  <v>95.70493565344958</v>
                </pt>
                <pt idx="50">
                  <v>96.72307123746394</v>
                </pt>
                <pt idx="51">
                  <v>97.63939326307687</v>
                </pt>
                <pt idx="52">
                  <v>97.53757970467542</v>
                </pt>
                <pt idx="53">
                  <v>98.75935244528739</v>
                </pt>
                <pt idx="54">
                  <v>99.77748802930175</v>
                </pt>
                <pt idx="55">
                  <v>100.5920165761027</v>
                </pt>
                <pt idx="56">
                  <v>99.57386091249887</v>
                </pt>
                <pt idx="57">
                  <v>100.5920165761027</v>
                </pt>
                <pt idx="58">
                  <v>101.2028376877429</v>
                </pt>
                <pt idx="59">
                  <v>101.9155627159372</v>
                </pt>
                <pt idx="60">
                  <v>99.8793015877032</v>
                </pt>
                <pt idx="61">
                  <v>101.304741604297</v>
                </pt>
                <pt idx="62">
                  <v>102.3228771883113</v>
                </pt>
                <pt idx="63">
                  <v>103.5446198095391</v>
                </pt>
                <pt idx="64">
                  <v>101.8137591973305</v>
                </pt>
                <pt idx="65">
                  <v>101.7119556787238</v>
                </pt>
                <pt idx="66">
                  <v>100.2865558213089</v>
                </pt>
                <pt idx="67">
                  <v>101.8137591973305</v>
                </pt>
                <pt idx="68">
                  <v>100.1847422629075</v>
                </pt>
                <pt idx="69">
                  <v>101.7119556787238</v>
                </pt>
                <pt idx="70">
                  <v>102.5264842255247</v>
                </pt>
                <pt idx="71">
                  <v>103.8500303653592</v>
                </pt>
                <pt idx="72">
                  <v>102.3228771883113</v>
                </pt>
                <pt idx="73">
                  <v>102.2209732717573</v>
                </pt>
                <pt idx="74">
                  <v>102.1191697531506</v>
                </pt>
                <pt idx="75">
                  <v>102.424680706918</v>
                </pt>
                <pt idx="76">
                  <v>103.0355018185582</v>
                </pt>
                <pt idx="77">
                  <v>103.2391088557716</v>
                </pt>
                <pt idx="78">
                  <v>103.8500303653592</v>
                </pt>
                <pt idx="79">
                  <v>103.9518338839659</v>
                </pt>
                <pt idx="80">
                  <v>105.0717729865869</v>
                </pt>
                <pt idx="81">
                  <v>105.6826944961745</v>
                </pt>
                <pt idx="82">
                  <v>106.191712089208</v>
                </pt>
                <pt idx="83">
                  <v>107.2098476732224</v>
                </pt>
                <pt idx="84">
                  <v>108.8389047668243</v>
                </pt>
                <pt idx="85">
                  <v>108.8389047668243</v>
                </pt>
                <pt idx="86">
                  <v>109.2461188412511</v>
                </pt>
                <pt idx="87">
                  <v>106.4972230429754</v>
                </pt>
                <pt idx="88">
                  <v>109.6534333136252</v>
                </pt>
                <pt idx="89">
                  <v>109.0425118040377</v>
                </pt>
                <pt idx="90">
                  <v>109.3480227578051</v>
                </pt>
                <pt idx="91">
                  <v>108.8389047668243</v>
                </pt>
                <pt idx="92">
                  <v>108.12617973863</v>
                </pt>
                <pt idx="93">
                  <v>107.4135551083831</v>
                </pt>
                <pt idx="94">
                  <v>106.0899085706013</v>
                </pt>
                <pt idx="95">
                  <v>105.0717729865869</v>
                </pt>
                <pt idx="96">
                  <v>106.6168973962094</v>
                </pt>
                <pt idx="97">
                  <v>103.842098927519</v>
                </pt>
                <pt idx="98">
                  <v>101.6008151510141</v>
                </pt>
                <pt idx="99">
                  <v>101.387369114961</v>
                </pt>
                <pt idx="100">
                  <v>100.6403079887751</v>
                </pt>
                <pt idx="101">
                  <v>100.6403079887751</v>
                </pt>
                <pt idx="102">
                  <v>100.426861952722</v>
                </pt>
                <pt idx="103">
                  <v>98.61260076565482</v>
                </pt>
                <pt idx="104">
                  <v>99.89327698197346</v>
                </pt>
                <pt idx="105">
                  <v>99.35966189184069</v>
                </pt>
                <pt idx="106">
                  <v>98.82604680170793</v>
                </pt>
                <pt idx="107">
                  <v>98.71932378368138</v>
                </pt>
                <pt idx="108">
                  <v>100</v>
                </pt>
                <pt idx="109">
                  <v>100</v>
                </pt>
                <pt idx="110">
                  <v>101.2806460969344</v>
                </pt>
                <pt idx="111">
                  <v>99.5731079278938</v>
                </pt>
                <pt idx="112">
                  <v>101.1739230789079</v>
                </pt>
                <pt idx="113">
                  <v>100.426861952722</v>
                </pt>
                <pt idx="114">
                  <v>100.9604770428548</v>
                </pt>
                <pt idx="115">
                  <v>101.9209842050937</v>
                </pt>
                <pt idx="116">
                  <v>102.6680453312796</v>
                </pt>
                <pt idx="117">
                  <v>102.561322313253</v>
                </pt>
                <pt idx="118">
                  <v>103.6285524935186</v>
                </pt>
                <pt idx="119">
                  <v>103.521829475492</v>
                </pt>
                <pt idx="120">
                  <v>103.4151064574655</v>
                </pt>
                <pt idx="121">
                  <v>103.3083834394389</v>
                </pt>
                <pt idx="122">
                  <v>104.802606089758</v>
                </pt>
                <pt idx="123">
                  <v>106.4034513601563</v>
                </pt>
                <pt idx="124">
                  <v>105.763113251997</v>
                </pt>
                <pt idx="125">
                  <v>107.1505124863421</v>
                </pt>
                <pt idx="126">
                  <v>106.937066450289</v>
                </pt>
                <pt idx="127">
                  <v>108.4311887026607</v>
                </pt>
                <pt idx="128">
                  <v>106.1900053241031</v>
                </pt>
                <pt idx="129">
                  <v>107.7908505945014</v>
                </pt>
                <pt idx="130">
                  <v>108.2177426666076</v>
                </pt>
                <pt idx="131">
                  <v>109.2849728468732</v>
                </pt>
                <pt idx="132">
                  <v>105.2294981618642</v>
                </pt>
                <pt idx="133">
                  <v>106.1900053241031</v>
                </pt>
                <pt idx="134">
                  <v>104.3757140176518</v>
                </pt>
                <pt idx="135">
                  <v>103.6285524935186</v>
                </pt>
                <pt idx="136">
                  <v>101.6008151510141</v>
                </pt>
                <pt idx="137">
                  <v>100.5335849707485</v>
                </pt>
                <pt idx="138">
                  <v>99.14621585578759</v>
                </pt>
                <pt idx="139">
                  <v>97.75880658164768</v>
                </pt>
                <pt idx="140">
                  <v>95.94450523540156</v>
                </pt>
                <pt idx="141">
                  <v>95.94450523540156</v>
                </pt>
                <pt idx="142">
                  <v>94.4503729432351</v>
                </pt>
                <pt idx="143">
                  <v>95.41089014526879</v>
                </pt>
                <pt idx="144">
                  <v>94.87727505513605</v>
                </pt>
                <pt idx="145">
                  <v>96.05122825342811</v>
                </pt>
                <pt idx="146">
                  <v>96.47812032553432</v>
                </pt>
                <pt idx="147">
                  <v>96.37139730750778</v>
                </pt>
                <pt idx="148">
                  <v>100.2134460360531</v>
                </pt>
                <pt idx="149">
                  <v>99.03949283776103</v>
                </pt>
                <pt idx="150">
                  <v>99.7865539639469</v>
                </pt>
                <pt idx="151">
                  <v>100.2134460360531</v>
                </pt>
                <pt idx="152">
                  <v>100.8537540248282</v>
                </pt>
                <pt idx="153">
                  <v>100.8537540248282</v>
                </pt>
                <pt idx="154">
                  <v>100.7470310068017</v>
                </pt>
                <pt idx="155">
                  <v>100.6403079887751</v>
                </pt>
                <pt idx="156">
                  <v>102.0277072231203</v>
                </pt>
                <pt idx="157">
                  <v>101.5912773460164</v>
                </pt>
                <pt idx="158">
                  <v>102.3551049294087</v>
                </pt>
                <pt idx="159">
                  <v>100.9365823313869</v>
                </pt>
                <pt idx="160">
                  <v>102.2459723606459</v>
                </pt>
                <pt idx="161">
                  <v>101.3730122084908</v>
                </pt>
                <pt idx="162">
                  <v>101.809542483542</v>
                </pt>
                <pt idx="163">
                  <v>100.8274497626241</v>
                </pt>
                <pt idx="164">
                  <v>103.8827600961933</v>
                </pt>
                <pt idx="165">
                  <v>105.0831179546368</v>
                </pt>
                <pt idx="166">
                  <v>105.3013830921624</v>
                </pt>
                <pt idx="167">
                  <v>104.973985385874</v>
                </pt>
                <pt idx="168">
                  <v>106.829038258947</v>
                </pt>
                <pt idx="169">
                  <v>106.5017409506059</v>
                </pt>
                <pt idx="170">
                  <v>105.9560781067919</v>
                </pt>
                <pt idx="171">
                  <v>107.8111309798649</v>
                </pt>
                <pt idx="172">
                  <v>107.9202635486277</v>
                </pt>
                <pt idx="173">
                  <v>108.2476612549161</v>
                </pt>
                <pt idx="174">
                  <v>109.7753164217007</v>
                </pt>
                <pt idx="175">
                  <v>108.2476612549161</v>
                </pt>
                <pt idx="176">
                  <v>108.5749585632572</v>
                </pt>
                <pt idx="177">
                  <v>106.5017409506059</v>
                </pt>
                <pt idx="178">
                  <v>107.8111309798649</v>
                </pt>
                <pt idx="179">
                  <v>106.3926083818431</v>
                </pt>
                <pt idx="180">
                  <v>108.9023562695456</v>
                </pt>
                <pt idx="181">
                  <v>108.9023562695456</v>
                </pt>
                <pt idx="182">
                  <v>109.229753975834</v>
                </pt>
                <pt idx="183">
                  <v>109.6661838529379</v>
                </pt>
                <pt idx="184">
                  <v>108.7932237007828</v>
                </pt>
                <pt idx="185">
                  <v>109.229753975834</v>
                </pt>
                <pt idx="186">
                  <v>108.5749585632572</v>
                </pt>
                <pt idx="187">
                  <v>108.5749585632572</v>
                </pt>
                <pt idx="188">
                  <v>109.4479187154123</v>
                </pt>
                <pt idx="189">
                  <v>108.4658259944944</v>
                </pt>
                <pt idx="190">
                  <v>110.6482765738558</v>
                </pt>
                <pt idx="191">
                  <v>111.0847064509597</v>
                </pt>
                <pt idx="192">
                  <v>111.4121041572481</v>
                </pt>
                <pt idx="193">
                  <v>111.1938390197225</v>
                </pt>
                <pt idx="194">
                  <v>111.9577670010621</v>
                </pt>
                <pt idx="195">
                  <v>114.0309846137134</v>
                </pt>
                <pt idx="196">
                  <v>112.2850643094032</v>
                </pt>
                <pt idx="197">
                  <v>113.8127194761878</v>
                </pt>
                <pt idx="198">
                  <v>114.249249751239</v>
                </pt>
                <pt idx="199">
                  <v>114.5766474575274</v>
                </pt>
                <pt idx="200">
                  <v>114.4675148887646</v>
                </pt>
                <pt idx="201">
                  <v>114.9039447658685</v>
                </pt>
                <pt idx="202">
                  <v>115.9951700555492</v>
                </pt>
                <pt idx="203">
                  <v>116.104302624312</v>
                </pt>
                <pt idx="204">
                  <v>114.9039447658685</v>
                </pt>
                <pt idx="205">
                  <v>115.5587401784453</v>
                </pt>
                <pt idx="206">
                  <v>115.5587401784453</v>
                </pt>
                <pt idx="207">
                  <v>115.2313424721569</v>
                </pt>
                <pt idx="208">
                  <v>116.5407325014159</v>
                </pt>
                <pt idx="209">
                  <v>116.5407325014159</v>
                </pt>
                <pt idx="210">
                  <v>116.6498650701787</v>
                </pt>
                <pt idx="211">
                  <v>119.5961432329324</v>
                </pt>
                <pt idx="212">
                  <v>117.8502229286222</v>
                </pt>
                <pt idx="213">
                  <v>119.3778780954068</v>
                </pt>
                <pt idx="214">
                  <v>118.1776206349106</v>
                </pt>
                <pt idx="215">
                  <v>118.8323156495401</v>
                </pt>
                <pt idx="216">
                  <v>119.6395151461849</v>
                </pt>
                <pt idx="217">
                  <v>119.9486404260568</v>
                </pt>
                <pt idx="218">
                  <v>118.7120389086221</v>
                </pt>
                <pt idx="219">
                  <v>118.1967966428533</v>
                </pt>
                <pt idx="220">
                  <v>118.8151476005443</v>
                </pt>
                <pt idx="221">
                  <v>115.6205853140091</v>
                </pt>
                <pt idx="222">
                  <v>115.6205853140091</v>
                </pt>
                <pt idx="223">
                  <v>111.3956388938837</v>
                </pt>
                <pt idx="224">
                  <v>112.838256999268</v>
                </pt>
                <pt idx="225">
                  <v>110.365154362346</v>
                </pt>
                <pt idx="226">
                  <v>103.2547709355573</v>
                </pt>
                <pt idx="227">
                  <v>94.90783619030752</v>
                </pt>
                <pt idx="228">
                  <v>87.28223057733939</v>
                </pt>
                <pt idx="229">
                  <v>79.96577032383257</v>
                </pt>
                <pt idx="230">
                  <v>80.68710949590894</v>
                </pt>
                <pt idx="231">
                  <v>84.1907669429317</v>
                </pt>
                <pt idx="232">
                  <v>87.28223057733939</v>
                </pt>
                <pt idx="233">
                  <v>88.72491896128685</v>
                </pt>
                <pt idx="234">
                  <v>89.75540349282451</v>
                </pt>
                <pt idx="235">
                  <v>91.09503338382346</v>
                </pt>
                <pt idx="236">
                  <v>93.87735165876987</v>
                </pt>
                <pt idx="237">
                  <v>96.45356298761402</v>
                </pt>
                <pt idx="238">
                  <v>98.4114936373303</v>
                </pt>
                <pt idx="239">
                  <v>99.23588126256041</v>
                </pt>
                <pt idx="240">
                  <v>101.5029271523538</v>
                </pt>
                <pt idx="241">
                  <v>101.8120524322256</v>
                </pt>
                <pt idx="242">
                  <v>102.1212781100448</v>
                </pt>
                <pt idx="243">
                  <v>103.3577792295321</v>
                </pt>
                <pt idx="244">
                  <v>102.9456456556854</v>
                </pt>
                <pt idx="245">
                  <v>102.3272946979944</v>
                </pt>
                <pt idx="246">
                  <v>103.5638962154291</v>
                </pt>
                <pt idx="247">
                  <v>104.0791384811979</v>
                </pt>
                <pt idx="248">
                  <v>105.4188486905548</v>
                </pt>
                <pt idx="249">
                  <v>102.4304033899166</v>
                </pt>
                <pt idx="250">
                  <v>104.1822471731201</v>
                </pt>
                <pt idx="251">
                  <v>104.4913724529919</v>
                </pt>
                <pt idx="252">
                  <v>105.2127317046578</v>
                </pt>
                <pt idx="253">
                  <v>105.6248652785044</v>
                </pt>
                <pt idx="254">
                  <v>88.93100582779965</v>
                </pt>
                <pt idx="255">
                  <v>90.57979111805463</v>
                </pt>
                <pt idx="256">
                  <v>96.55661144076778</v>
                </pt>
                <pt idx="257">
                  <v>100.4724426208161</v>
                </pt>
                <pt idx="258">
                  <v>101.399918858379</v>
                </pt>
                <pt idx="259">
                  <v>102.9456456556854</v>
                </pt>
                <pt idx="260">
                  <v>102.3272946979944</v>
                </pt>
                <pt idx="261">
                  <v>103.9761301872231</v>
                </pt>
                <pt idx="262">
                  <v>101.9151611241478</v>
                </pt>
                <pt idx="263">
                  <v>103.9761301872231</v>
                </pt>
                <pt idx="264">
                  <v>104.2852554670949</v>
                </pt>
                <pt idx="265">
                  <v>104.0791384811979</v>
                </pt>
                <pt idx="266">
                  <v>103.8730214953009</v>
                </pt>
                <pt idx="267">
                  <v>103.3577792295321</v>
                </pt>
                <pt idx="268">
                  <v>101.5029271523538</v>
                </pt>
                <pt idx="269">
                  <v>100.781567900688</v>
                </pt>
                <pt idx="270">
                  <v>100.2663657940981</v>
                </pt>
                <pt idx="271">
                  <v>99.02978435625288</v>
                </pt>
                <pt idx="272">
                  <v>96.86575680022906</v>
                </pt>
                <pt idx="273">
                  <v>97.17490215969038</v>
                </pt>
                <pt idx="274">
                  <v>96.45356298761402</v>
                </pt>
                <pt idx="275">
                  <v>97.79319287861296</v>
                </pt>
                <pt idx="276">
                  <v>95.77166012925433</v>
                </pt>
                <pt idx="277">
                  <v>97.37789676942496</v>
                </pt>
                <pt idx="278">
                  <v>98.28140801695682</v>
                </pt>
                <pt idx="279">
                  <v>98.48218383205513</v>
                </pt>
                <pt idx="280">
                  <v>99.98802252488188</v>
                </pt>
                <pt idx="281">
                  <v>98.98412336980088</v>
                </pt>
                <pt idx="282">
                  <v>100.4900122616013</v>
                </pt>
                <pt idx="283">
                  <v>100.7911057056856</v>
                </pt>
                <pt idx="284">
                  <v>101.5942892844367</v>
                </pt>
                <pt idx="285">
                  <v>101.895382728521</v>
                </pt>
                <pt idx="286">
                  <v>102.2969745178966</v>
                </pt>
                <pt idx="287">
                  <v>102.2969745178966</v>
                </pt>
                <pt idx="288">
                  <v>104.0036392247953</v>
                </pt>
                <pt idx="289">
                  <v>103.3008535933881</v>
                </pt>
                <pt idx="290">
                  <v>104.7063244582552</v>
                </pt>
                <pt idx="291">
                  <v>100.1888083797749</v>
                </pt>
                <pt idx="292">
                  <v>102.2969745178966</v>
                </pt>
                <pt idx="293">
                  <v>100.9919016003734</v>
                </pt>
                <pt idx="294">
                  <v>100.7911057056856</v>
                </pt>
                <pt idx="295">
                  <v>99.88763461733272</v>
                </pt>
                <pt idx="296">
                  <v>100.9919016003734</v>
                </pt>
                <pt idx="297">
                  <v>100.9919016003734</v>
                </pt>
                <pt idx="298">
                  <v>100.9919016003734</v>
                </pt>
                <pt idx="299">
                  <v>100.5904102089452</v>
                </pt>
                <pt idx="300">
                  <v>103.1000576987003</v>
                </pt>
                <pt idx="301">
                  <v>100.1888083797749</v>
                </pt>
                <pt idx="302">
                  <v>99.68685880223443</v>
                </pt>
                <pt idx="303">
                  <v>100.0884204722258</v>
                </pt>
                <pt idx="304">
                  <v>100.0884204722258</v>
                </pt>
                <pt idx="305">
                  <v>100.8915036530295</v>
                </pt>
                <pt idx="306">
                  <v>100.7911057056856</v>
                </pt>
                <pt idx="307">
                  <v>99.18490922469393</v>
                </pt>
                <pt idx="308">
                  <v>100.8915036530295</v>
                </pt>
                <pt idx="309">
                  <v>100.9919016003734</v>
                </pt>
                <pt idx="310">
                  <v>100.3895841948732</v>
                </pt>
                <pt idx="311">
                  <v>98.48218383205513</v>
                </pt>
                <pt idx="312">
                  <v>100.6907077583417</v>
                </pt>
                <pt idx="313">
                  <v>99.88763461733272</v>
                </pt>
                <pt idx="314">
                  <v>100.2891962873241</v>
                </pt>
                <pt idx="315">
                  <v>99.58646085489055</v>
                </pt>
                <pt idx="316">
                  <v>99.08451127735005</v>
                </pt>
                <pt idx="317">
                  <v>99.58646085489055</v>
                </pt>
                <pt idx="318">
                  <v>100.0884204722258</v>
                </pt>
                <pt idx="319">
                  <v>100.9919016003734</v>
                </pt>
                <pt idx="320">
                  <v>101.393493389749</v>
                </pt>
                <pt idx="321">
                  <v>101.4938913370928</v>
                </pt>
                <pt idx="322">
                  <v>102.4977704125844</v>
                </pt>
                <pt idx="323">
                  <v>101.895382728521</v>
                </pt>
                <pt idx="324">
                  <v>101.0922995477173</v>
                </pt>
                <pt idx="325">
                  <v>101.7949847811771</v>
                </pt>
                <pt idx="326">
                  <v>101.895382728521</v>
                </pt>
                <pt idx="327">
                  <v>104.2044351194831</v>
                </pt>
                <pt idx="328">
                  <v>102.5981683599283</v>
                </pt>
                <pt idx="329">
                  <v>103.401251540732</v>
                </pt>
                <pt idx="330">
                  <v>102.8993622019599</v>
                </pt>
                <pt idx="331">
                  <v>104.2044351194831</v>
                </pt>
                <pt idx="332">
                  <v>102.9997601493038</v>
                </pt>
                <pt idx="333">
                  <v>103.6020474354198</v>
                </pt>
                <pt idx="334">
                  <v>104.4051306162235</v>
                </pt>
                <pt idx="335">
                  <v>105.9109994284345</v>
                </pt>
                <pt idx="336">
                  <v>101.6946872317806</v>
                </pt>
                <pt idx="337">
                  <v>104.2044351194831</v>
                </pt>
                <pt idx="338">
                  <v>105.3087121423185</v>
                </pt>
                <pt idx="339">
                  <v>104.7063244582552</v>
                </pt>
                <pt idx="340">
                  <v>105.0075183002869</v>
                </pt>
                <pt idx="341">
                  <v>104.0036392247953</v>
                </pt>
                <pt idx="342">
                  <v>104.2044351194831</v>
                </pt>
                <pt idx="343">
                  <v>104.0036392247953</v>
                </pt>
                <pt idx="344">
                  <v>103.7024453827637</v>
                </pt>
                <pt idx="345">
                  <v>105.7102035337467</v>
                </pt>
                <pt idx="346">
                  <v>104.5055285635674</v>
                </pt>
                <pt idx="347">
                  <v>104.8067224055991</v>
                </pt>
                <pt idx="348">
                  <v>102.798964254616</v>
                </pt>
                <pt idx="349">
                  <v>103.3008535933881</v>
                </pt>
                <pt idx="350">
                  <v>102.8993622019599</v>
                </pt>
                <pt idx="351">
                  <v>103.1000576987003</v>
                </pt>
                <pt idx="352">
                  <v>104.3047326688796</v>
                </pt>
                <pt idx="353">
                  <v>101.7949847811771</v>
                </pt>
                <pt idx="354">
                  <v>102.1965765705527</v>
                </pt>
                <pt idx="355">
                  <v>100.8915036530295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9"/>
          <order val="0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World'!$A$2:$A$358</f>
              <numCache>
                <formatCode>mmm\-yy</formatCode>
                <ptCount val="357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</numCache>
            </numRef>
          </cat>
          <val>
            <numRef>
              <f>'IP World'!$L$2:$L$358</f>
              <numCache>
                <formatCode>0.00</formatCode>
                <ptCount val="357"/>
                <pt idx="0">
                  <v>88.22782544294296</v>
                </pt>
                <pt idx="1">
                  <v>89.26128627701932</v>
                </pt>
                <pt idx="2">
                  <v>89.00557251711976</v>
                </pt>
                <pt idx="3">
                  <v>89.3678252863173</v>
                </pt>
                <pt idx="4">
                  <v>89.34651300943894</v>
                </pt>
                <pt idx="5">
                  <v>88.77118222164545</v>
                </pt>
                <pt idx="6">
                  <v>89.11212271396462</v>
                </pt>
                <pt idx="7">
                  <v>89.70875459108957</v>
                </pt>
                <pt idx="8">
                  <v>90.15623409270674</v>
                </pt>
                <pt idx="9">
                  <v>90.33736047730551</v>
                </pt>
                <pt idx="10">
                  <v>89.485014840281</v>
                </pt>
                <pt idx="11">
                  <v>90.42259839727204</v>
                </pt>
                <pt idx="12">
                  <v>92.17002610054696</v>
                </pt>
                <pt idx="13">
                  <v>91.16331469115099</v>
                </pt>
                <pt idx="14">
                  <v>90.26845637583892</v>
                </pt>
                <pt idx="15">
                  <v>89.70917971787244</v>
                </pt>
                <pt idx="16">
                  <v>89.59731543624162</v>
                </pt>
                <pt idx="17">
                  <v>91.38703206686574</v>
                </pt>
                <pt idx="18">
                  <v>89.59731543624162</v>
                </pt>
                <pt idx="19">
                  <v>89.59731543624162</v>
                </pt>
                <pt idx="20">
                  <v>89.82103281195636</v>
                </pt>
                <pt idx="21">
                  <v>90.15660328175501</v>
                </pt>
                <pt idx="22">
                  <v>91.16331469115099</v>
                </pt>
                <pt idx="23">
                  <v>90.49217375155368</v>
                </pt>
                <pt idx="24">
                  <v>91.61073825503355</v>
                </pt>
                <pt idx="25">
                  <v>91.83445563074831</v>
                </pt>
                <pt idx="26">
                  <v>91.05146159706707</v>
                </pt>
                <pt idx="27">
                  <v>90.82774422135233</v>
                </pt>
                <pt idx="28">
                  <v>90.26845637583892</v>
                </pt>
                <pt idx="29">
                  <v>89.4854623421577</v>
                </pt>
                <pt idx="30">
                  <v>88.36689783867782</v>
                </pt>
                <pt idx="31">
                  <v>88.25503355704699</v>
                </pt>
                <pt idx="32">
                  <v>87.47203952336577</v>
                </pt>
                <pt idx="33">
                  <v>87.58389261744968</v>
                </pt>
                <pt idx="34">
                  <v>86.80089858376844</v>
                </pt>
                <pt idx="35">
                  <v>85.34675242294297</v>
                </pt>
                <pt idx="36">
                  <v>85.79418717437247</v>
                </pt>
                <pt idx="37">
                  <v>85.12304623477516</v>
                </pt>
                <pt idx="38">
                  <v>84.8993288590604</v>
                </pt>
                <pt idx="39">
                  <v>84.34005220109393</v>
                </pt>
                <pt idx="40">
                  <v>84.2281879194631</v>
                </pt>
                <pt idx="41">
                  <v>83.78076435558052</v>
                </pt>
                <pt idx="42">
                  <v>83.22147651006713</v>
                </pt>
                <pt idx="43">
                  <v>84.45190529517784</v>
                </pt>
                <pt idx="44">
                  <v>84.78747576497649</v>
                </pt>
                <pt idx="45">
                  <v>84.8993288590604</v>
                </pt>
                <pt idx="46">
                  <v>84.8993288590604</v>
                </pt>
                <pt idx="47">
                  <v>85.01119314069125</v>
                </pt>
                <pt idx="48">
                  <v>85.12304623477516</v>
                </pt>
                <pt idx="49">
                  <v>86.35346383233895</v>
                </pt>
                <pt idx="50">
                  <v>86.46532811396979</v>
                </pt>
                <pt idx="51">
                  <v>88.03131618133224</v>
                </pt>
                <pt idx="52">
                  <v>87.80760999316442</v>
                </pt>
                <pt idx="53">
                  <v>88.47875093276173</v>
                </pt>
                <pt idx="54">
                  <v>88.70246830847647</v>
                </pt>
                <pt idx="55">
                  <v>88.92618568419122</v>
                </pt>
                <pt idx="56">
                  <v>89.37360924807379</v>
                </pt>
                <pt idx="57">
                  <v>90.38032065746977</v>
                </pt>
                <pt idx="58">
                  <v>91.05146159706707</v>
                </pt>
                <pt idx="59">
                  <v>92.05817300646305</v>
                </pt>
                <pt idx="60">
                  <v>91.38703206686574</v>
                </pt>
                <pt idx="61">
                  <v>91.61073825503355</v>
                </pt>
                <pt idx="62">
                  <v>91.49888516094965</v>
                </pt>
                <pt idx="63">
                  <v>91.83445563074831</v>
                </pt>
                <pt idx="64">
                  <v>92.17002610054696</v>
                </pt>
                <pt idx="65">
                  <v>91.7226025366644</v>
                </pt>
                <pt idx="66">
                  <v>91.7226025366644</v>
                </pt>
                <pt idx="67">
                  <v>91.7226025366644</v>
                </pt>
                <pt idx="68">
                  <v>92.17002610054696</v>
                </pt>
                <pt idx="69">
                  <v>91.05146159706707</v>
                </pt>
                <pt idx="70">
                  <v>91.38703206686574</v>
                </pt>
                <pt idx="71">
                  <v>92.50559657034563</v>
                </pt>
                <pt idx="72">
                  <v>91.61073825503355</v>
                </pt>
                <pt idx="73">
                  <v>91.2751677852349</v>
                </pt>
                <pt idx="74">
                  <v>91.2751677852349</v>
                </pt>
                <pt idx="75">
                  <v>90.60402684563761</v>
                </pt>
                <pt idx="76">
                  <v>91.61073825503355</v>
                </pt>
                <pt idx="77">
                  <v>91.61073825503355</v>
                </pt>
                <pt idx="78">
                  <v>90.82774422135233</v>
                </pt>
                <pt idx="79">
                  <v>91.94630872483222</v>
                </pt>
                <pt idx="80">
                  <v>91.94630872483222</v>
                </pt>
                <pt idx="81">
                  <v>91.49888516094965</v>
                </pt>
                <pt idx="82">
                  <v>92.28187919463087</v>
                </pt>
                <pt idx="83">
                  <v>92.05817300646305</v>
                </pt>
                <pt idx="84">
                  <v>92.39374347626172</v>
                </pt>
                <pt idx="85">
                  <v>92.9530201342282</v>
                </pt>
                <pt idx="86">
                  <v>93.95973154362417</v>
                </pt>
                <pt idx="87">
                  <v>94.96644295302015</v>
                </pt>
                <pt idx="88">
                  <v>94.18344891933891</v>
                </pt>
                <pt idx="89">
                  <v>95.74944817424829</v>
                </pt>
                <pt idx="90">
                  <v>96.53244220792951</v>
                </pt>
                <pt idx="91">
                  <v>96.64429530201343</v>
                </pt>
                <pt idx="92">
                  <v>96.3087360197617</v>
                </pt>
                <pt idx="93">
                  <v>97.76287099304024</v>
                </pt>
                <pt idx="94">
                  <v>97.31543624161074</v>
                </pt>
                <pt idx="95">
                  <v>98.43401193263755</v>
                </pt>
                <pt idx="96">
                  <v>98.76958240243621</v>
                </pt>
                <pt idx="97">
                  <v>99.21700596631878</v>
                </pt>
                <pt idx="98">
                  <v>99.21700596631878</v>
                </pt>
                <pt idx="99">
                  <v>99.55257643611743</v>
                </pt>
                <pt idx="100">
                  <v>99.8881469059161</v>
                </pt>
                <pt idx="101">
                  <v>99.44072334203352</v>
                </pt>
                <pt idx="102">
                  <v>100.4474235638826</v>
                </pt>
                <pt idx="103">
                  <v>98.99328859060402</v>
                </pt>
                <pt idx="104">
                  <v>99.44072334203352</v>
                </pt>
                <pt idx="105">
                  <v>99.66442953020135</v>
                </pt>
                <pt idx="106">
                  <v>99.10515287223487</v>
                </pt>
                <pt idx="107">
                  <v>98.54586502672146</v>
                </pt>
                <pt idx="108">
                  <v>100</v>
                </pt>
                <pt idx="109">
                  <v>98.88143549652013</v>
                </pt>
                <pt idx="110">
                  <v>98.99328859060402</v>
                </pt>
                <pt idx="111">
                  <v>99.66442953020135</v>
                </pt>
                <pt idx="112">
                  <v>99.77628262428526</v>
                </pt>
                <pt idx="113">
                  <v>100.5592878455134</v>
                </pt>
                <pt idx="114">
                  <v>101.3422818791946</v>
                </pt>
                <pt idx="115">
                  <v>101.2304287851107</v>
                </pt>
                <pt idx="116">
                  <v>102.1252759128759</v>
                </pt>
                <pt idx="117">
                  <v>103.2438516039027</v>
                </pt>
                <pt idx="118">
                  <v>103.6912863553322</v>
                </pt>
                <pt idx="119">
                  <v>103.2438516039027</v>
                </pt>
                <pt idx="120">
                  <v>103.0201454157348</v>
                </pt>
                <pt idx="121">
                  <v>104.2505630132986</v>
                </pt>
                <pt idx="122">
                  <v>104.6979865771812</v>
                </pt>
                <pt idx="123">
                  <v>105.9284153622919</v>
                </pt>
                <pt idx="124">
                  <v>107.3825503355705</v>
                </pt>
                <pt idx="125">
                  <v>105.816562268208</v>
                </pt>
                <pt idx="126">
                  <v>107.1588329598557</v>
                </pt>
                <pt idx="127">
                  <v>107.2706972414866</v>
                </pt>
                <pt idx="128">
                  <v>107.3825503355705</v>
                </pt>
                <pt idx="129">
                  <v>107.6062677112852</v>
                </pt>
                <pt idx="130">
                  <v>108.6129791206812</v>
                </pt>
                <pt idx="131">
                  <v>109.2841200602785</v>
                </pt>
                <pt idx="132">
                  <v>108.3892617449664</v>
                </pt>
                <pt idx="133">
                  <v>108.836685308849</v>
                </pt>
                <pt idx="134">
                  <v>108.1655443692517</v>
                </pt>
                <pt idx="135">
                  <v>107.2706972414866</v>
                </pt>
                <pt idx="136">
                  <v>107.4944034296544</v>
                </pt>
                <pt idx="137">
                  <v>107.6062677112852</v>
                </pt>
                <pt idx="138">
                  <v>105.7046979865772</v>
                </pt>
                <pt idx="139">
                  <v>108.2774086508825</v>
                </pt>
                <pt idx="140">
                  <v>106.7114093959732</v>
                </pt>
                <pt idx="141">
                  <v>105.3691275167785</v>
                </pt>
                <pt idx="142">
                  <v>104.5861334830973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106.5995563018893</v>
                </pt>
                <pt idx="147">
                  <v>106.3758389261745</v>
                </pt>
                <pt idx="148">
                  <v>106.823273677604</v>
                </pt>
                <pt idx="149">
                  <v>107.2706972414866</v>
                </pt>
                <pt idx="150">
                  <v>106.4877032078053</v>
                </pt>
                <pt idx="151">
                  <v>106.9351267716879</v>
                </pt>
                <pt idx="152">
                  <v>107.2706972414866</v>
                </pt>
                <pt idx="153">
                  <v>106.5995563018893</v>
                </pt>
                <pt idx="154">
                  <v>107.2706972414866</v>
                </pt>
                <pt idx="155">
                  <v>105.5928448924933</v>
                </pt>
                <pt idx="156">
                  <v>107.3825503355705</v>
                </pt>
                <pt idx="157">
                  <v>107.6062677112852</v>
                </pt>
                <pt idx="158">
                  <v>106.7114093959732</v>
                </pt>
                <pt idx="159">
                  <v>107.1588329598557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107.1588329598557</v>
                </pt>
                <pt idx="163">
                  <v>106.0402684563758</v>
                </pt>
                <pt idx="164">
                  <v>105.7046979865772</v>
                </pt>
                <pt idx="165">
                  <v>108.3892617449664</v>
                </pt>
                <pt idx="166">
                  <v>107.9418381810839</v>
                </pt>
                <pt idx="167">
                  <v>108.2774086508825</v>
                </pt>
                <pt idx="168">
                  <v>108.1655443692517</v>
                </pt>
                <pt idx="169">
                  <v>108.6129791206812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109.5078262484463</v>
                </pt>
                <pt idx="173">
                  <v>109.5078262484463</v>
                </pt>
                <pt idx="174">
                  <v>110.4026957513053</v>
                </pt>
                <pt idx="175">
                  <v>108.1655443692517</v>
                </pt>
                <pt idx="176">
                  <v>109.731554811708</v>
                </pt>
                <pt idx="177">
                  <v>110.2908314696745</v>
                </pt>
                <pt idx="178">
                  <v>109.0604026845638</v>
                </pt>
                <pt idx="179">
                  <v>109.0604026845638</v>
                </pt>
                <pt idx="180">
                  <v>109.9552609998758</v>
                </pt>
                <pt idx="181">
                  <v>109.731554811708</v>
                </pt>
                <pt idx="182">
                  <v>109.6196905300772</v>
                </pt>
                <pt idx="183">
                  <v>111.1856897849865</v>
                </pt>
                <pt idx="184">
                  <v>109.731554811708</v>
                </pt>
                <pt idx="185">
                  <v>110.738266221104</v>
                </pt>
                <pt idx="186">
                  <v>111.2975428790704</v>
                </pt>
                <pt idx="187">
                  <v>110.0671252815067</v>
                </pt>
                <pt idx="188">
                  <v>111.5212602547852</v>
                </pt>
                <pt idx="189">
                  <v>111.744966442953</v>
                </pt>
                <pt idx="190">
                  <v>113.6465697303018</v>
                </pt>
                <pt idx="191">
                  <v>112.4161633202849</v>
                </pt>
                <pt idx="192">
                  <v>113.3109433227686</v>
                </pt>
                <pt idx="193">
                  <v>113.3109433227686</v>
                </pt>
                <pt idx="194">
                  <v>114.0939597315436</v>
                </pt>
                <pt idx="195">
                  <v>114.4295861390769</v>
                </pt>
                <pt idx="196">
                  <v>116.1073825503356</v>
                </pt>
                <pt idx="197">
                  <v>115.9955070811578</v>
                </pt>
                <pt idx="198">
                  <v>115.7717561428023</v>
                </pt>
                <pt idx="199">
                  <v>116.1073825503356</v>
                </pt>
                <pt idx="200">
                  <v>116.2192580195133</v>
                </pt>
                <pt idx="201">
                  <v>115.8836316119801</v>
                </pt>
                <pt idx="202">
                  <v>117.0022744282884</v>
                </pt>
                <pt idx="203">
                  <v>118.6800708395471</v>
                </pt>
                <pt idx="204">
                  <v>118.2326808383053</v>
                </pt>
                <pt idx="205">
                  <v>118.9038217779026</v>
                </pt>
                <pt idx="206">
                  <v>119.4630872483222</v>
                </pt>
                <pt idx="207">
                  <v>118.0089298999498</v>
                </pt>
                <pt idx="208">
                  <v>120.1342281879195</v>
                </pt>
                <pt idx="209">
                  <v>120.1342281879195</v>
                </pt>
                <pt idx="210">
                  <v>120.357979126275</v>
                </pt>
                <pt idx="211">
                  <v>121.14099553505</v>
                </pt>
                <pt idx="212">
                  <v>120.5816181891613</v>
                </pt>
                <pt idx="213">
                  <v>121.5883855362919</v>
                </pt>
                <pt idx="214">
                  <v>120.8053691275168</v>
                </pt>
                <pt idx="215">
                  <v>121.4765100671141</v>
                </pt>
                <pt idx="216">
                  <v>122.4832774142447</v>
                </pt>
                <pt idx="217">
                  <v>122.2595264758892</v>
                </pt>
                <pt idx="218">
                  <v>121.7002610054696</v>
                </pt>
                <pt idx="219">
                  <v>123.1543064783728</v>
                </pt>
                <pt idx="220">
                  <v>119.5749627174999</v>
                </pt>
                <pt idx="221">
                  <v>119.7987136558554</v>
                </pt>
                <pt idx="222">
                  <v>118.5681953703693</v>
                </pt>
                <pt idx="223">
                  <v>118.1208053691275</v>
                </pt>
                <pt idx="224">
                  <v>117.2259134911747</v>
                </pt>
                <pt idx="225">
                  <v>114.2058352007214</v>
                </pt>
                <pt idx="226">
                  <v>110.0671252815067</v>
                </pt>
                <pt idx="227">
                  <v>106.2639858320906</v>
                </pt>
                <pt idx="228">
                  <v>101.901569724708</v>
                </pt>
                <pt idx="229">
                  <v>99.55257643611743</v>
                </pt>
                <pt idx="230">
                  <v>98.32214765100672</v>
                </pt>
                <pt idx="231">
                  <v>96.9798657718121</v>
                </pt>
                <pt idx="232">
                  <v>99.21700596631878</v>
                </pt>
                <pt idx="233">
                  <v>99.8881469059161</v>
                </pt>
                <pt idx="234">
                  <v>100</v>
                </pt>
                <pt idx="235">
                  <v>100</v>
                </pt>
                <pt idx="236">
                  <v>102.4608575702214</v>
                </pt>
                <pt idx="237">
                  <v>102.013422818792</v>
                </pt>
                <pt idx="238">
                  <v>102.2371401945067</v>
                </pt>
                <pt idx="239">
                  <v>102.3489932885906</v>
                </pt>
                <pt idx="240">
                  <v>104.1387099192147</v>
                </pt>
                <pt idx="241">
                  <v>103.5794220737013</v>
                </pt>
                <pt idx="242">
                  <v>105.4809917984094</v>
                </pt>
                <pt idx="243">
                  <v>106.0402684563758</v>
                </pt>
                <pt idx="244">
                  <v>107.9418381810839</v>
                </pt>
                <pt idx="245">
                  <v>108.0536912751678</v>
                </pt>
                <pt idx="246">
                  <v>107.6062677112852</v>
                </pt>
                <pt idx="247">
                  <v>108.5011148390504</v>
                </pt>
                <pt idx="248">
                  <v>108.7248322147651</v>
                </pt>
                <pt idx="249">
                  <v>109.6196905300772</v>
                </pt>
                <pt idx="250">
                  <v>110.6264019394731</v>
                </pt>
                <pt idx="251">
                  <v>111.5212602547852</v>
                </pt>
                <pt idx="252">
                  <v>110.9619724092718</v>
                </pt>
                <pt idx="253">
                  <v>111.9686614435739</v>
                </pt>
                <pt idx="254">
                  <v>112.0805369127517</v>
                </pt>
                <pt idx="255">
                  <v>111.6331133488691</v>
                </pt>
                <pt idx="256">
                  <v>112.3042878511072</v>
                </pt>
                <pt idx="257">
                  <v>110.738266221104</v>
                </pt>
                <pt idx="258">
                  <v>111.8568307245839</v>
                </pt>
                <pt idx="259">
                  <v>111.9686614435739</v>
                </pt>
                <pt idx="260">
                  <v>110.8501193151879</v>
                </pt>
                <pt idx="261">
                  <v>110.5145488453892</v>
                </pt>
                <pt idx="262">
                  <v>110.8501193151879</v>
                </pt>
                <pt idx="263">
                  <v>110.1789783755906</v>
                </pt>
                <pt idx="264">
                  <v>109.3959731543624</v>
                </pt>
                <pt idx="265">
                  <v>110.0671252815067</v>
                </pt>
                <pt idx="266">
                  <v>109.9552609998758</v>
                </pt>
                <pt idx="267">
                  <v>109.0604026845638</v>
                </pt>
                <pt idx="268">
                  <v>109.8434079057919</v>
                </pt>
                <pt idx="269">
                  <v>108.9485495904798</v>
                </pt>
                <pt idx="270">
                  <v>109.2841200602785</v>
                </pt>
                <pt idx="271">
                  <v>110.0671252815067</v>
                </pt>
                <pt idx="272">
                  <v>107.9418381810839</v>
                </pt>
                <pt idx="273">
                  <v>107.1588329598557</v>
                </pt>
                <pt idx="274">
                  <v>106.3758389261745</v>
                </pt>
                <pt idx="275">
                  <v>106.9351267716879</v>
                </pt>
                <pt idx="276">
                  <v>106.4877032078053</v>
                </pt>
                <pt idx="277">
                  <v>106.7114093959732</v>
                </pt>
                <pt idx="278">
                  <v>107.8299738994531</v>
                </pt>
                <pt idx="279">
                  <v>108.0536912751678</v>
                </pt>
                <pt idx="280">
                  <v>108.2774086508825</v>
                </pt>
                <pt idx="281">
                  <v>108.2774086508825</v>
                </pt>
                <pt idx="282">
                  <v>107.3825503355705</v>
                </pt>
                <pt idx="283">
                  <v>107.9418381810839</v>
                </pt>
                <pt idx="284">
                  <v>108.0536912751678</v>
                </pt>
                <pt idx="285">
                  <v>107.4944034296544</v>
                </pt>
                <pt idx="286">
                  <v>108.9485495904798</v>
                </pt>
                <pt idx="287">
                  <v>108.7248322147651</v>
                </pt>
                <pt idx="288">
                  <v>108.3892617449664</v>
                </pt>
                <pt idx="289">
                  <v>109.1722557786477</v>
                </pt>
                <pt idx="290">
                  <v>108.5011148390504</v>
                </pt>
                <pt idx="291">
                  <v>110.2908314696745</v>
                </pt>
                <pt idx="292">
                  <v>109.3959731543624</v>
                </pt>
                <pt idx="293">
                  <v>108.836685308849</v>
                </pt>
                <pt idx="294">
                  <v>109.731554811708</v>
                </pt>
                <pt idx="295">
                  <v>107.8299738994531</v>
                </pt>
                <pt idx="296">
                  <v>108.9485495904798</v>
                </pt>
                <pt idx="297">
                  <v>108.6129791206812</v>
                </pt>
                <pt idx="298">
                  <v>108.2774086508825</v>
                </pt>
                <pt idx="299">
                  <v>109.731554811708</v>
                </pt>
                <pt idx="300">
                  <v>109.3959731543624</v>
                </pt>
                <pt idx="301">
                  <v>112.0805369127517</v>
                </pt>
                <pt idx="302">
                  <v>112.6398023831713</v>
                </pt>
                <pt idx="303">
                  <v>111.6331133488691</v>
                </pt>
                <pt idx="304">
                  <v>111.8568307245839</v>
                </pt>
                <pt idx="305">
                  <v>112.1924123819294</v>
                </pt>
                <pt idx="306">
                  <v>112.8635533215268</v>
                </pt>
                <pt idx="307">
                  <v>111.744966442953</v>
                </pt>
                <pt idx="308">
                  <v>112.0805369127517</v>
                </pt>
                <pt idx="309">
                  <v>112.1924123819294</v>
                </pt>
                <pt idx="310">
                  <v>111.6331133488691</v>
                </pt>
                <pt idx="311">
                  <v>111.744966442953</v>
                </pt>
                <pt idx="312">
                  <v>115.1007270786742</v>
                </pt>
                <pt idx="313">
                  <v>112.8635533215268</v>
                </pt>
                <pt idx="314">
                  <v>112.4161633202849</v>
                </pt>
                <pt idx="315">
                  <v>113.6465697303018</v>
                </pt>
                <pt idx="316">
                  <v>112.0805369127517</v>
                </pt>
                <pt idx="317">
                  <v>112.9754287907045</v>
                </pt>
                <pt idx="318">
                  <v>113.0873042598823</v>
                </pt>
                <pt idx="319">
                  <v>113.3109433227686</v>
                </pt>
                <pt idx="320">
                  <v>113.4228187919463</v>
                </pt>
                <pt idx="321">
                  <v>114.6532252019632</v>
                </pt>
                <pt idx="322">
                  <v>114.9888516094964</v>
                </pt>
                <pt idx="323">
                  <v>114.5413497327854</v>
                </pt>
                <pt idx="324">
                  <v>114.3177106698991</v>
                </pt>
                <pt idx="325">
                  <v>115.1007270786742</v>
                </pt>
                <pt idx="326">
                  <v>114.8769761403187</v>
                </pt>
                <pt idx="327">
                  <v>115.8836316119801</v>
                </pt>
                <pt idx="328">
                  <v>116.1073825503356</v>
                </pt>
                <pt idx="329">
                  <v>115.6599925490938</v>
                </pt>
                <pt idx="330">
                  <v>117.5615398987079</v>
                </pt>
                <pt idx="331">
                  <v>118.2326808383053</v>
                </pt>
                <pt idx="332">
                  <v>117.7852908370635</v>
                </pt>
                <pt idx="333">
                  <v>117.4496644295302</v>
                </pt>
                <pt idx="334">
                  <v>120.2461036570972</v>
                </pt>
                <pt idx="335">
                  <v>120.693493658339</v>
                </pt>
                <pt idx="336">
                  <v>118.4564317766608</v>
                </pt>
                <pt idx="337">
                  <v>117.5615398987079</v>
                </pt>
                <pt idx="338">
                  <v>117.6734153678857</v>
                </pt>
                <pt idx="339">
                  <v>117.6734153678857</v>
                </pt>
                <pt idx="340">
                  <v>118.7919463087248</v>
                </pt>
                <pt idx="341">
                  <v>118.7919463087248</v>
                </pt>
                <pt idx="342">
                  <v>117.5615398987079</v>
                </pt>
                <pt idx="343">
                  <v>118.6800708395471</v>
                </pt>
                <pt idx="344">
                  <v>118.0089298999498</v>
                </pt>
                <pt idx="345">
                  <v>117.897054430772</v>
                </pt>
                <pt idx="346">
                  <v>116.6666480207551</v>
                </pt>
                <pt idx="347">
                  <v>116.4428970823996</v>
                </pt>
                <pt idx="348">
                  <v>117.7852908370635</v>
                </pt>
                <pt idx="349">
                  <v>117.6734153678857</v>
                </pt>
                <pt idx="350">
                  <v>117.3377889603525</v>
                </pt>
                <pt idx="351">
                  <v>116.6666480207551</v>
                </pt>
                <pt idx="352">
                  <v>117.5615398987079</v>
                </pt>
                <pt idx="353">
                  <v>116.2192580195133</v>
                </pt>
                <pt idx="354">
                  <v>116.1073825503356</v>
                </pt>
                <pt idx="355">
                  <v>116.2192580195133</v>
                </pt>
              </numCache>
            </numRef>
          </val>
          <smooth val="0"/>
        </ser>
        <ser>
          <idx val="10"/>
          <order val="1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World'!$O$2:$O$358</f>
              <numCache>
                <formatCode>0.00</formatCode>
                <ptCount val="357"/>
                <pt idx="0">
                  <v>70.58004669403519</v>
                </pt>
                <pt idx="1">
                  <v>71.272011003025</v>
                </pt>
                <pt idx="2">
                  <v>71.62077380573766</v>
                </pt>
                <pt idx="3">
                  <v>71.51193460008079</v>
                </pt>
                <pt idx="4">
                  <v>71.66451108499618</v>
                </pt>
                <pt idx="5">
                  <v>71.89464448311863</v>
                </pt>
                <pt idx="6">
                  <v>71.80162021420028</v>
                </pt>
                <pt idx="7">
                  <v>72.03765090375121</v>
                </pt>
                <pt idx="8">
                  <v>72.12878664908833</v>
                </pt>
                <pt idx="9">
                  <v>71.58672245110432</v>
                </pt>
                <pt idx="10">
                  <v>70.74974733755829</v>
                </pt>
                <pt idx="11">
                  <v>70.28692002774623</v>
                </pt>
                <pt idx="12">
                  <v>69.98176705791545</v>
                </pt>
                <pt idx="13">
                  <v>69.49323033812334</v>
                </pt>
                <pt idx="14">
                  <v>69.12910445400755</v>
                </pt>
                <pt idx="15">
                  <v>69.26542573288327</v>
                </pt>
                <pt idx="16">
                  <v>69.95884988218741</v>
                </pt>
                <pt idx="17">
                  <v>70.59605859335579</v>
                </pt>
                <pt idx="18">
                  <v>70.68019637401154</v>
                </pt>
                <pt idx="19">
                  <v>70.74061754257664</v>
                </pt>
                <pt idx="20">
                  <v>71.37038801976253</v>
                </pt>
                <pt idx="21">
                  <v>71.24608145839437</v>
                </pt>
                <pt idx="22">
                  <v>71.16450419130581</v>
                </pt>
                <pt idx="23">
                  <v>70.88151530497744</v>
                </pt>
                <pt idx="24">
                  <v>70.48500645515897</v>
                </pt>
                <pt idx="25">
                  <v>70.98990265529891</v>
                </pt>
                <pt idx="26">
                  <v>71.57981717469688</v>
                </pt>
                <pt idx="27">
                  <v>72.12244908835868</v>
                </pt>
                <pt idx="28">
                  <v>72.3577035136155</v>
                </pt>
                <pt idx="29">
                  <v>72.36806142822667</v>
                </pt>
                <pt idx="30">
                  <v>73.02208147507827</v>
                </pt>
                <pt idx="31">
                  <v>72.66274062310387</v>
                </pt>
                <pt idx="32">
                  <v>72.83156072802468</v>
                </pt>
                <pt idx="33">
                  <v>73.37785382850653</v>
                </pt>
                <pt idx="34">
                  <v>73.69000476301868</v>
                </pt>
                <pt idx="35">
                  <v>73.75655494369708</v>
                </pt>
                <pt idx="36">
                  <v>74.07606300995205</v>
                </pt>
                <pt idx="37">
                  <v>74.40445756446961</v>
                </pt>
                <pt idx="38">
                  <v>74.30029911664599</v>
                </pt>
                <pt idx="39">
                  <v>74.56092695688987</v>
                </pt>
                <pt idx="40">
                  <v>74.30207177988481</v>
                </pt>
                <pt idx="41">
                  <v>74.42526608196586</v>
                </pt>
                <pt idx="42">
                  <v>74.65495921078715</v>
                </pt>
                <pt idx="43">
                  <v>74.57649858690934</v>
                </pt>
                <pt idx="44">
                  <v>74.93317465100839</v>
                </pt>
                <pt idx="45">
                  <v>75.50851393933158</v>
                </pt>
                <pt idx="46">
                  <v>75.82133686382969</v>
                </pt>
                <pt idx="47">
                  <v>76.23620957791961</v>
                </pt>
                <pt idx="48">
                  <v>76.52488720706015</v>
                </pt>
                <pt idx="49">
                  <v>76.54581158489881</v>
                </pt>
                <pt idx="50">
                  <v>77.31700119602631</v>
                </pt>
                <pt idx="51">
                  <v>77.75513866687152</v>
                </pt>
                <pt idx="52">
                  <v>78.15331590562062</v>
                </pt>
                <pt idx="53">
                  <v>78.65209467968148</v>
                </pt>
                <pt idx="54">
                  <v>78.77261260785293</v>
                </pt>
                <pt idx="55">
                  <v>79.24079266548419</v>
                </pt>
                <pt idx="56">
                  <v>79.54281740606999</v>
                </pt>
                <pt idx="57">
                  <v>80.21642943682257</v>
                </pt>
                <pt idx="58">
                  <v>80.71086344804317</v>
                </pt>
                <pt idx="59">
                  <v>81.55841661085094</v>
                </pt>
                <pt idx="60">
                  <v>81.70754045756262</v>
                </pt>
                <pt idx="61">
                  <v>81.57466023085635</v>
                </pt>
                <pt idx="62">
                  <v>81.69217737615949</v>
                </pt>
                <pt idx="63">
                  <v>81.63998229190526</v>
                </pt>
                <pt idx="64">
                  <v>81.91730560748995</v>
                </pt>
                <pt idx="65">
                  <v>82.19530091306061</v>
                </pt>
                <pt idx="66">
                  <v>81.86834302678888</v>
                </pt>
                <pt idx="67">
                  <v>82.90172459278276</v>
                </pt>
                <pt idx="68">
                  <v>83.23415108721608</v>
                </pt>
                <pt idx="69">
                  <v>83.13175371659702</v>
                </pt>
                <pt idx="70">
                  <v>83.34097432291506</v>
                </pt>
                <pt idx="71">
                  <v>83.65903413488994</v>
                </pt>
                <pt idx="72">
                  <v>83.1121733187303</v>
                </pt>
                <pt idx="73">
                  <v>84.39227948387924</v>
                </pt>
                <pt idx="74">
                  <v>84.31293832139913</v>
                </pt>
                <pt idx="75">
                  <v>85.08425537890328</v>
                </pt>
                <pt idx="76">
                  <v>85.7073407143323</v>
                </pt>
                <pt idx="77">
                  <v>86.43158371471661</v>
                </pt>
                <pt idx="78">
                  <v>86.3195120055066</v>
                </pt>
                <pt idx="79">
                  <v>86.82007502884053</v>
                </pt>
                <pt idx="80">
                  <v>87.41790280962488</v>
                </pt>
                <pt idx="81">
                  <v>87.36592786002123</v>
                </pt>
                <pt idx="82">
                  <v>88.13724491752538</v>
                </pt>
                <pt idx="83">
                  <v>88.71003527831566</v>
                </pt>
                <pt idx="84">
                  <v>88.83577850792966</v>
                </pt>
                <pt idx="85">
                  <v>89.91046428599152</v>
                </pt>
                <pt idx="86">
                  <v>90.51252096927372</v>
                </pt>
                <pt idx="87">
                  <v>90.53376975607111</v>
                </pt>
                <pt idx="88">
                  <v>91.06370337620513</v>
                </pt>
                <pt idx="89">
                  <v>91.50794668709516</v>
                </pt>
                <pt idx="90">
                  <v>92.20593573389012</v>
                </pt>
                <pt idx="91">
                  <v>93.1693260670361</v>
                </pt>
                <pt idx="92">
                  <v>93.99695125094991</v>
                </pt>
                <pt idx="93">
                  <v>94.80566802698294</v>
                </pt>
                <pt idx="94">
                  <v>95.63796238269575</v>
                </pt>
                <pt idx="95">
                  <v>95.93287329825776</v>
                </pt>
                <pt idx="96">
                  <v>96.42552306020532</v>
                </pt>
                <pt idx="97">
                  <v>96.55217000049008</v>
                </pt>
                <pt idx="98">
                  <v>96.61737620119658</v>
                </pt>
                <pt idx="99">
                  <v>96.97494438993215</v>
                </pt>
                <pt idx="100">
                  <v>97.59157630428911</v>
                </pt>
                <pt idx="101">
                  <v>96.9792891527724</v>
                </pt>
                <pt idx="102">
                  <v>96.6424252072249</v>
                </pt>
                <pt idx="103">
                  <v>98.62596585526192</v>
                </pt>
                <pt idx="104">
                  <v>98.43322058963413</v>
                </pt>
                <pt idx="105">
                  <v>99.2302354710841</v>
                </pt>
                <pt idx="106">
                  <v>99.16580553467173</v>
                </pt>
                <pt idx="107">
                  <v>99.53405604697718</v>
                </pt>
                <pt idx="108">
                  <v>100</v>
                </pt>
                <pt idx="109">
                  <v>100.5332819840296</v>
                </pt>
                <pt idx="110">
                  <v>100.6927521593182</v>
                </pt>
                <pt idx="111">
                  <v>100.9659508467132</v>
                </pt>
                <pt idx="112">
                  <v>101.661043384948</v>
                </pt>
                <pt idx="113">
                  <v>101.4912152950482</v>
                </pt>
                <pt idx="114">
                  <v>102.1335566193852</v>
                </pt>
                <pt idx="115">
                  <v>102.5634564198853</v>
                </pt>
                <pt idx="116">
                  <v>102.130660110825</v>
                </pt>
                <pt idx="117">
                  <v>103.4926795380556</v>
                </pt>
                <pt idx="118">
                  <v>103.9814363924982</v>
                </pt>
                <pt idx="119">
                  <v>104.7851364157051</v>
                </pt>
                <pt idx="120">
                  <v>104.8035118660108</v>
                </pt>
                <pt idx="121">
                  <v>105.1149908105369</v>
                </pt>
                <pt idx="122">
                  <v>105.4959164443017</v>
                </pt>
                <pt idx="123">
                  <v>106.2557749139418</v>
                </pt>
                <pt idx="124">
                  <v>106.4368298710208</v>
                </pt>
                <pt idx="125">
                  <v>106.538995520955</v>
                </pt>
                <pt idx="126">
                  <v>106.3779612310439</v>
                </pt>
                <pt idx="127">
                  <v>106.0670384161613</v>
                </pt>
                <pt idx="128">
                  <v>106.4763382477815</v>
                </pt>
                <pt idx="129">
                  <v>106.1625189243387</v>
                </pt>
                <pt idx="130">
                  <v>106.1913333914952</v>
                </pt>
                <pt idx="131">
                  <v>105.8957620719815</v>
                </pt>
                <pt idx="132">
                  <v>105.2141440915686</v>
                </pt>
                <pt idx="133">
                  <v>104.540868055809</v>
                </pt>
                <pt idx="134">
                  <v>104.2963795612624</v>
                </pt>
                <pt idx="135">
                  <v>103.9923504367529</v>
                </pt>
                <pt idx="136">
                  <v>103.3570186631315</v>
                </pt>
                <pt idx="137">
                  <v>102.7391702151793</v>
                </pt>
                <pt idx="138">
                  <v>102.1521406183073</v>
                </pt>
                <pt idx="139">
                  <v>102.0255052640567</v>
                </pt>
                <pt idx="140">
                  <v>101.6353339749679</v>
                </pt>
                <pt idx="141">
                  <v>101.1930950480015</v>
                </pt>
                <pt idx="142">
                  <v>100.697317056809</v>
                </pt>
                <pt idx="143">
                  <v>100.7210104968312</v>
                </pt>
                <pt idx="144">
                  <v>101.3576862504245</v>
                </pt>
                <pt idx="145">
                  <v>101.3308529951231</v>
                </pt>
                <pt idx="146">
                  <v>102.1573659197498</v>
                </pt>
                <pt idx="147">
                  <v>102.5792481845553</v>
                </pt>
                <pt idx="148">
                  <v>103.0129250322179</v>
                </pt>
                <pt idx="149">
                  <v>103.9931267010471</v>
                </pt>
                <pt idx="150">
                  <v>103.7439574486672</v>
                </pt>
                <pt idx="151">
                  <v>103.7575362807973</v>
                </pt>
                <pt idx="152">
                  <v>103.901654960717</v>
                </pt>
                <pt idx="153">
                  <v>103.5878240512399</v>
                </pt>
                <pt idx="154">
                  <v>104.1285674413205</v>
                </pt>
                <pt idx="155">
                  <v>103.6177623637178</v>
                </pt>
                <pt idx="156">
                  <v>104.407327425151</v>
                </pt>
                <pt idx="157">
                  <v>104.5557792818767</v>
                </pt>
                <pt idx="158">
                  <v>104.3138513008973</v>
                </pt>
                <pt idx="159">
                  <v>103.568139379065</v>
                </pt>
                <pt idx="160">
                  <v>103.5971739808721</v>
                </pt>
                <pt idx="161">
                  <v>103.7705589832838</v>
                </pt>
                <pt idx="162">
                  <v>104.2274890016674</v>
                </pt>
                <pt idx="163">
                  <v>104.0788170102911</v>
                </pt>
                <pt idx="164">
                  <v>104.6914401568007</v>
                </pt>
                <pt idx="165">
                  <v>104.8392316095747</v>
                </pt>
                <pt idx="166">
                  <v>105.647044674937</v>
                </pt>
                <pt idx="167">
                  <v>105.5718165546123</v>
                </pt>
                <pt idx="168">
                  <v>105.8414583294955</v>
                </pt>
                <pt idx="169">
                  <v>106.4826873945454</v>
                </pt>
                <pt idx="170">
                  <v>105.9530781833701</v>
                </pt>
                <pt idx="171">
                  <v>106.4312685745853</v>
                </pt>
                <pt idx="172">
                  <v>107.2749172438539</v>
                </pt>
                <pt idx="173">
                  <v>106.3905436642293</v>
                </pt>
                <pt idx="174">
                  <v>107.210267172791</v>
                </pt>
                <pt idx="175">
                  <v>107.2892723402781</v>
                </pt>
                <pt idx="176">
                  <v>107.3796434073553</v>
                </pt>
                <pt idx="177">
                  <v>108.4020182408206</v>
                </pt>
                <pt idx="178">
                  <v>108.6293709907252</v>
                </pt>
                <pt idx="179">
                  <v>109.4285061164413</v>
                </pt>
                <pt idx="180">
                  <v>109.9322900572941</v>
                </pt>
                <pt idx="181">
                  <v>110.6883714797718</v>
                </pt>
                <pt idx="182">
                  <v>110.5127503727517</v>
                </pt>
                <pt idx="183">
                  <v>110.6989379429993</v>
                </pt>
                <pt idx="184">
                  <v>110.8434968922201</v>
                </pt>
                <pt idx="185">
                  <v>111.2686000745445</v>
                </pt>
                <pt idx="186">
                  <v>110.9168364889636</v>
                </pt>
                <pt idx="187">
                  <v>111.2220821470682</v>
                </pt>
                <pt idx="188">
                  <v>109.145957499414</v>
                </pt>
                <pt idx="189">
                  <v>110.5225521577193</v>
                </pt>
                <pt idx="190">
                  <v>111.6428637386209</v>
                </pt>
                <pt idx="191">
                  <v>112.3351524565695</v>
                </pt>
                <pt idx="192">
                  <v>112.4675924139746</v>
                </pt>
                <pt idx="193">
                  <v>112.4722615857736</v>
                </pt>
                <pt idx="194">
                  <v>112.7039590985185</v>
                </pt>
                <pt idx="195">
                  <v>113.1559998104525</v>
                </pt>
                <pt idx="196">
                  <v>113.0421554380036</v>
                </pt>
                <pt idx="197">
                  <v>113.4764926896179</v>
                </pt>
                <pt idx="198">
                  <v>113.4348756546254</v>
                </pt>
                <pt idx="199">
                  <v>113.8809032147885</v>
                </pt>
                <pt idx="200">
                  <v>113.6499935523719</v>
                </pt>
                <pt idx="201">
                  <v>113.5849959002818</v>
                </pt>
                <pt idx="202">
                  <v>113.4759365599743</v>
                </pt>
                <pt idx="203">
                  <v>114.6560089054894</v>
                </pt>
                <pt idx="204">
                  <v>114.0596293789851</v>
                </pt>
                <pt idx="205">
                  <v>115.2093231427211</v>
                </pt>
                <pt idx="206">
                  <v>115.4604851929903</v>
                </pt>
                <pt idx="207">
                  <v>116.2721100636178</v>
                </pt>
                <pt idx="208">
                  <v>116.3286499107122</v>
                </pt>
                <pt idx="209">
                  <v>116.3614383876133</v>
                </pt>
                <pt idx="210">
                  <v>116.3181066195532</v>
                </pt>
                <pt idx="211">
                  <v>116.577286205517</v>
                </pt>
                <pt idx="212">
                  <v>117.0284463788487</v>
                </pt>
                <pt idx="213">
                  <v>116.5344178788265</v>
                </pt>
                <pt idx="214">
                  <v>117.2206586869014</v>
                </pt>
                <pt idx="215">
                  <v>117.2338667659358</v>
                </pt>
                <pt idx="216">
                  <v>116.9181473328775</v>
                </pt>
                <pt idx="217">
                  <v>116.5258442134884</v>
                </pt>
                <pt idx="218">
                  <v>116.2500965985605</v>
                </pt>
                <pt idx="219">
                  <v>115.3695695823038</v>
                </pt>
                <pt idx="220">
                  <v>114.7195467172652</v>
                </pt>
                <pt idx="221">
                  <v>114.4504610720256</v>
                </pt>
                <pt idx="222">
                  <v>113.8447316158891</v>
                </pt>
                <pt idx="223">
                  <v>112.1032463952082</v>
                </pt>
                <pt idx="224">
                  <v>107.2415378792066</v>
                </pt>
                <pt idx="225">
                  <v>108.2615723337552</v>
                </pt>
                <pt idx="226">
                  <v>106.9008968864966</v>
                </pt>
                <pt idx="227">
                  <v>103.7755641500758</v>
                </pt>
                <pt idx="228">
                  <v>101.310820741921</v>
                </pt>
                <pt idx="229">
                  <v>100.6574726850553</v>
                </pt>
                <pt idx="230">
                  <v>99.06142695219752</v>
                </pt>
                <pt idx="231">
                  <v>98.27085390578537</v>
                </pt>
                <pt idx="232">
                  <v>97.28030590837926</v>
                </pt>
                <pt idx="233">
                  <v>96.9004925339016</v>
                </pt>
                <pt idx="234">
                  <v>97.96670892093353</v>
                </pt>
                <pt idx="235">
                  <v>99.06476373005884</v>
                </pt>
                <pt idx="236">
                  <v>99.81438014543021</v>
                </pt>
                <pt idx="237">
                  <v>100.1338766256509</v>
                </pt>
                <pt idx="238">
                  <v>100.5320538644001</v>
                </pt>
                <pt idx="239">
                  <v>100.8388636371273</v>
                </pt>
                <pt idx="240">
                  <v>102.0084622076887</v>
                </pt>
                <pt idx="241">
                  <v>102.3754846003646</v>
                </pt>
                <pt idx="242">
                  <v>103.0490966311172</v>
                </pt>
                <pt idx="243">
                  <v>103.4322583694904</v>
                </pt>
                <pt idx="244">
                  <v>104.9413856734747</v>
                </pt>
                <pt idx="245">
                  <v>105.0971946619433</v>
                </pt>
                <pt idx="246">
                  <v>105.5577974531811</v>
                </pt>
                <pt idx="247">
                  <v>105.8818588308927</v>
                </pt>
                <pt idx="248">
                  <v>106.1254552008028</v>
                </pt>
                <pt idx="249">
                  <v>105.844134703405</v>
                </pt>
                <pt idx="250">
                  <v>105.8746175594923</v>
                </pt>
                <pt idx="251">
                  <v>106.9002248965107</v>
                </pt>
                <pt idx="252">
                  <v>106.7627913583478</v>
                </pt>
                <pt idx="253">
                  <v>106.2942753057236</v>
                </pt>
                <pt idx="254">
                  <v>107.350261224521</v>
                </pt>
                <pt idx="255">
                  <v>106.9656628179019</v>
                </pt>
                <pt idx="256">
                  <v>107.2093750481545</v>
                </pt>
                <pt idx="257">
                  <v>107.5184093394559</v>
                </pt>
                <pt idx="258">
                  <v>108.0902033013014</v>
                </pt>
                <pt idx="259">
                  <v>108.6954693160683</v>
                </pt>
                <pt idx="260">
                  <v>108.6690995021365</v>
                </pt>
                <pt idx="261">
                  <v>109.4178237928714</v>
                </pt>
                <pt idx="262">
                  <v>109.3300132393613</v>
                </pt>
                <pt idx="263">
                  <v>109.9357426954978</v>
                </pt>
                <pt idx="264">
                  <v>110.6089144569493</v>
                </pt>
                <pt idx="265">
                  <v>110.8624168861351</v>
                </pt>
                <pt idx="266">
                  <v>110.3447181181592</v>
                </pt>
                <pt idx="267">
                  <v>111.1743360999624</v>
                </pt>
                <pt idx="268">
                  <v>111.3877856087783</v>
                </pt>
                <pt idx="269">
                  <v>111.3659806923374</v>
                </pt>
                <pt idx="270">
                  <v>111.6582152339898</v>
                </pt>
                <pt idx="271">
                  <v>111.1247131153096</v>
                </pt>
                <pt idx="272">
                  <v>111.1791327181381</v>
                </pt>
                <pt idx="273">
                  <v>111.4148389987303</v>
                </pt>
                <pt idx="274">
                  <v>111.9516778952718</v>
                </pt>
                <pt idx="275">
                  <v>112.3468427651183</v>
                </pt>
                <pt idx="276">
                  <v>112.1979506390914</v>
                </pt>
                <pt idx="277">
                  <v>112.8424006216602</v>
                </pt>
                <pt idx="278">
                  <v>113.3007788943239</v>
                </pt>
                <pt idx="279">
                  <v>113.1060292447725</v>
                </pt>
                <pt idx="280">
                  <v>113.2297796764971</v>
                </pt>
                <pt idx="281">
                  <v>113.4604692042631</v>
                </pt>
                <pt idx="282">
                  <v>112.9769376512629</v>
                </pt>
                <pt idx="283">
                  <v>113.72288129378</v>
                </pt>
                <pt idx="284">
                  <v>114.3085784967144</v>
                </pt>
                <pt idx="285">
                  <v>114.1083718250356</v>
                </pt>
                <pt idx="286">
                  <v>114.4431271123513</v>
                </pt>
                <pt idx="287">
                  <v>114.790881930085</v>
                </pt>
                <pt idx="288">
                  <v>114.3136995238488</v>
                </pt>
                <pt idx="289">
                  <v>115.2819907494785</v>
                </pt>
                <pt idx="290">
                  <v>116.3916779369815</v>
                </pt>
                <pt idx="291">
                  <v>116.4453212755158</v>
                </pt>
                <pt idx="292">
                  <v>116.8661260391369</v>
                </pt>
                <pt idx="293">
                  <v>117.3033829713798</v>
                </pt>
                <pt idx="294">
                  <v>117.5344084941388</v>
                </pt>
                <pt idx="295">
                  <v>117.4040656089313</v>
                </pt>
                <pt idx="296">
                  <v>117.7548907257387</v>
                </pt>
                <pt idx="297">
                  <v>117.7792213976442</v>
                </pt>
                <pt idx="298">
                  <v>118.7003111197775</v>
                </pt>
                <pt idx="299">
                  <v>118.5279109302763</v>
                </pt>
                <pt idx="300">
                  <v>117.9404989942743</v>
                </pt>
                <pt idx="301">
                  <v>117.341616884374</v>
                </pt>
                <pt idx="302">
                  <v>117.0121100705694</v>
                </pt>
                <pt idx="303">
                  <v>116.3230886142767</v>
                </pt>
                <pt idx="304">
                  <v>115.8189339203282</v>
                </pt>
                <pt idx="305">
                  <v>115.4218689408661</v>
                </pt>
                <pt idx="306">
                  <v>116.097276806926</v>
                </pt>
                <pt idx="307">
                  <v>115.9167663934564</v>
                </pt>
                <pt idx="308">
                  <v>115.4879672662092</v>
                </pt>
                <pt idx="309">
                  <v>115.0659807270955</v>
                </pt>
                <pt idx="310">
                  <v>114.2747356906974</v>
                </pt>
                <pt idx="311">
                  <v>113.6235078780978</v>
                </pt>
                <pt idx="312">
                  <v>114.5706545912383</v>
                </pt>
                <pt idx="313">
                  <v>113.758265042351</v>
                </pt>
                <pt idx="314">
                  <v>112.8601967702539</v>
                </pt>
                <pt idx="315">
                  <v>112.9728246091075</v>
                </pt>
                <pt idx="316">
                  <v>112.8761159813006</v>
                </pt>
                <pt idx="317">
                  <v>113.3712219825072</v>
                </pt>
                <pt idx="318">
                  <v>113.6581153623746</v>
                </pt>
                <pt idx="319">
                  <v>113.5559497124404</v>
                </pt>
                <pt idx="320">
                  <v>113.5637471134844</v>
                </pt>
                <pt idx="321">
                  <v>113.7872069558842</v>
                </pt>
                <pt idx="322">
                  <v>113.5670838913457</v>
                </pt>
                <pt idx="323">
                  <v>114.5434969269782</v>
                </pt>
                <pt idx="324">
                  <v>114.6642465758345</v>
                </pt>
                <pt idx="325">
                  <v>114.2316704014248</v>
                </pt>
                <pt idx="326">
                  <v>115.0052235635374</v>
                </pt>
                <pt idx="327">
                  <v>116.0391149150379</v>
                </pt>
                <pt idx="328">
                  <v>116.1958739583141</v>
                </pt>
                <pt idx="329">
                  <v>116.38727524397</v>
                </pt>
                <pt idx="330">
                  <v>116.3403518052953</v>
                </pt>
                <pt idx="331">
                  <v>115.7892157425008</v>
                </pt>
                <pt idx="332">
                  <v>115.7922281114034</v>
                </pt>
                <pt idx="333">
                  <v>117.5488910369396</v>
                </pt>
                <pt idx="334">
                  <v>118.176854092784</v>
                </pt>
                <pt idx="335">
                  <v>118.5584980606717</v>
                </pt>
                <pt idx="336">
                  <v>118.257492891099</v>
                </pt>
                <pt idx="337">
                  <v>118.6764438892417</v>
                </pt>
                <pt idx="338">
                  <v>119.3552696354025</v>
                </pt>
                <pt idx="339">
                  <v>120.435088026633</v>
                </pt>
                <pt idx="340">
                  <v>119.4798195034898</v>
                </pt>
                <pt idx="341">
                  <v>120.3777371571417</v>
                </pt>
                <pt idx="342">
                  <v>120.9133595200879</v>
                </pt>
                <pt idx="343">
                  <v>121.8843850497985</v>
                </pt>
                <pt idx="344">
                  <v>122.0516873842338</v>
                </pt>
                <pt idx="345">
                  <v>122.3204833786174</v>
                </pt>
                <pt idx="346">
                  <v>122.977295659721</v>
                </pt>
                <pt idx="347">
                  <v>123.0273473276407</v>
                </pt>
                <pt idx="348">
                  <v>122.5453683032288</v>
                </pt>
                <pt idx="349">
                  <v>121.927253376489</v>
                </pt>
                <pt idx="350">
                  <v>122.0585231444358</v>
                </pt>
                <pt idx="351">
                  <v>121.2881677277736</v>
                </pt>
                <pt idx="352">
                  <v>121.5525610291457</v>
                </pt>
                <pt idx="353">
                  <v>121.609332596925</v>
                </pt>
                <pt idx="354">
                  <v>121.3954544048422</v>
                </pt>
                <pt idx="355">
                  <v>122.2513147542005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Industrial Production - base January</a:t>
            </a:r>
            <a:r>
              <a:rPr lang="en-GB" b="1" baseline="0"/>
              <a:t xml:space="preserve"> 1999</a:t>
            </a:r>
            <a:r>
              <a:rPr lang="en-GB" b="1"/>
              <a:t xml:space="preserve"> 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7"/>
          <order val="0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World'!$A$2:$A$358</f>
              <numCache>
                <formatCode>mmm\-yy</formatCode>
                <ptCount val="357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</numCache>
            </numRef>
          </cat>
          <val>
            <numRef>
              <f>'IP World'!$J$2:$J$358</f>
              <numCache>
                <formatCode>0.00</formatCode>
                <ptCount val="357"/>
                <pt idx="0">
                  <v>94.3897449960256</v>
                </pt>
                <pt idx="1">
                  <v>93.97936503482404</v>
                </pt>
                <pt idx="2">
                  <v>94.88221956804111</v>
                </pt>
                <pt idx="3">
                  <v>93.24065982629136</v>
                </pt>
                <pt idx="4">
                  <v>95.6209247765738</v>
                </pt>
                <pt idx="5">
                  <v>95.6209247765738</v>
                </pt>
                <pt idx="6">
                  <v>96.52377930979085</v>
                </pt>
                <pt idx="7">
                  <v>97.09833519363914</v>
                </pt>
                <pt idx="8">
                  <v>98.00118972685621</v>
                </pt>
                <pt idx="9">
                  <v>98.16533905154058</v>
                </pt>
                <pt idx="10">
                  <v>98.16533905154058</v>
                </pt>
                <pt idx="11">
                  <v>98.57573231172333</v>
                </pt>
                <pt idx="12">
                  <v>101.5957447515903</v>
                </pt>
                <pt idx="13">
                  <v>100.3989428373882</v>
                </pt>
                <pt idx="14">
                  <v>99.73404697439534</v>
                </pt>
                <pt idx="15">
                  <v>98.93617459860018</v>
                </pt>
                <pt idx="16">
                  <v>97.34042984700984</v>
                </pt>
                <pt idx="17">
                  <v>101.5957447515903</v>
                </pt>
                <pt idx="18">
                  <v>98.67022157299552</v>
                </pt>
                <pt idx="19">
                  <v>97.07447682140518</v>
                </pt>
                <pt idx="20">
                  <v>96.80851049681935</v>
                </pt>
                <pt idx="21">
                  <v>98.27127873560734</v>
                </pt>
                <pt idx="22">
                  <v>99.33511743598835</v>
                </pt>
                <pt idx="23">
                  <v>99.46809394879067</v>
                </pt>
                <pt idx="24">
                  <v>100.664909161974</v>
                </pt>
                <pt idx="25">
                  <v>102.3936171273855</v>
                </pt>
                <pt idx="26">
                  <v>99.46809394879067</v>
                </pt>
                <pt idx="27">
                  <v>99.33511743598835</v>
                </pt>
                <pt idx="28">
                  <v>98.67022157299552</v>
                </pt>
                <pt idx="29">
                  <v>97.07447682140518</v>
                </pt>
                <pt idx="30">
                  <v>95.34574225803135</v>
                </pt>
                <pt idx="31">
                  <v>95.61170858261718</v>
                </pt>
                <pt idx="32">
                  <v>94.81383620682203</v>
                </pt>
                <pt idx="33">
                  <v>94.68085969401969</v>
                </pt>
                <pt idx="34">
                  <v>93.2180914552317</v>
                </pt>
                <pt idx="35">
                  <v>91.62234670364138</v>
                </pt>
                <pt idx="36">
                  <v>90.55850800326037</v>
                </pt>
                <pt idx="37">
                  <v>89.22872957625589</v>
                </pt>
                <pt idx="38">
                  <v>89.36170608905822</v>
                </pt>
                <pt idx="39">
                  <v>88.69681022606539</v>
                </pt>
                <pt idx="40">
                  <v>88.69681022606539</v>
                </pt>
                <pt idx="41">
                  <v>88.03191436307256</v>
                </pt>
                <pt idx="42">
                  <v>86.03724007307524</v>
                </pt>
                <pt idx="43">
                  <v>89.76064892644641</v>
                </pt>
                <pt idx="44">
                  <v>89.36170608905822</v>
                </pt>
                <pt idx="45">
                  <v>89.36170608905822</v>
                </pt>
                <pt idx="46">
                  <v>88.56383371326305</v>
                </pt>
                <pt idx="47">
                  <v>89.62767241364406</v>
                </pt>
                <pt idx="48">
                  <v>89.22872957625589</v>
                </pt>
                <pt idx="49">
                  <v>90.55850800326037</v>
                </pt>
                <pt idx="50">
                  <v>90.15957846485338</v>
                </pt>
                <pt idx="51">
                  <v>91.22340386625321</v>
                </pt>
                <pt idx="52">
                  <v>90.8244743278462</v>
                </pt>
                <pt idx="53">
                  <v>91.48937019083904</v>
                </pt>
                <pt idx="54">
                  <v>91.09042735345088</v>
                </pt>
                <pt idx="55">
                  <v>91.09042735345088</v>
                </pt>
                <pt idx="56">
                  <v>92.42021907943654</v>
                </pt>
                <pt idx="57">
                  <v>94.1489403438292</v>
                </pt>
                <pt idx="58">
                  <v>94.68085969401969</v>
                </pt>
                <pt idx="59">
                  <v>94.68085969401969</v>
                </pt>
                <pt idx="60">
                  <v>92.81914861784352</v>
                </pt>
                <pt idx="61">
                  <v>94.1489403438292</v>
                </pt>
                <pt idx="62">
                  <v>93.08510164344818</v>
                </pt>
                <pt idx="63">
                  <v>93.6170209936387</v>
                </pt>
                <pt idx="64">
                  <v>94.1489403438292</v>
                </pt>
                <pt idx="65">
                  <v>93.08510164344818</v>
                </pt>
                <pt idx="66">
                  <v>92.81914861784352</v>
                </pt>
                <pt idx="67">
                  <v>91.7553232164437</v>
                </pt>
                <pt idx="68">
                  <v>93.6170209936387</v>
                </pt>
                <pt idx="69">
                  <v>91.22340386625321</v>
                </pt>
                <pt idx="70">
                  <v>91.7553232164437</v>
                </pt>
                <pt idx="71">
                  <v>91.7553232164437</v>
                </pt>
                <pt idx="72">
                  <v>92.15426605383188</v>
                </pt>
                <pt idx="73">
                  <v>91.35638037905554</v>
                </pt>
                <pt idx="74">
                  <v>91.48937019083904</v>
                </pt>
                <pt idx="75">
                  <v>91.48937019083904</v>
                </pt>
                <pt idx="76">
                  <v>92.28724256663422</v>
                </pt>
                <pt idx="77">
                  <v>92.81914861784352</v>
                </pt>
                <pt idx="78">
                  <v>91.7553232164437</v>
                </pt>
                <pt idx="79">
                  <v>92.95212513064587</v>
                </pt>
                <pt idx="80">
                  <v>93.75001080542221</v>
                </pt>
                <pt idx="81">
                  <v>92.42021907943654</v>
                </pt>
                <pt idx="82">
                  <v>93.75001080542221</v>
                </pt>
                <pt idx="83">
                  <v>93.75001080542221</v>
                </pt>
                <pt idx="84">
                  <v>92.55319559223888</v>
                </pt>
                <pt idx="85">
                  <v>93.88298731822454</v>
                </pt>
                <pt idx="86">
                  <v>94.94681271962435</v>
                </pt>
                <pt idx="87">
                  <v>94.54788318121737</v>
                </pt>
                <pt idx="88">
                  <v>93.35106796803403</v>
                </pt>
                <pt idx="89">
                  <v>97.07447682140518</v>
                </pt>
                <pt idx="90">
                  <v>98.13830222280502</v>
                </pt>
                <pt idx="91">
                  <v>94.94681271962435</v>
                </pt>
                <pt idx="92">
                  <v>95.74468509541953</v>
                </pt>
                <pt idx="93">
                  <v>97.07447682140518</v>
                </pt>
                <pt idx="94">
                  <v>97.6063828726145</v>
                </pt>
                <pt idx="95">
                  <v>98.53724506019317</v>
                </pt>
                <pt idx="96">
                  <v>99.60107046159301</v>
                </pt>
                <pt idx="97">
                  <v>99.33511743598835</v>
                </pt>
                <pt idx="98">
                  <v>100.664909161974</v>
                </pt>
                <pt idx="99">
                  <v>99.73404697439534</v>
                </pt>
                <pt idx="100">
                  <v>100.2659530256047</v>
                </pt>
                <pt idx="101">
                  <v>99.46809394879067</v>
                </pt>
                <pt idx="102">
                  <v>101.5957447515903</v>
                </pt>
                <pt idx="103">
                  <v>99.33511743598835</v>
                </pt>
                <pt idx="104">
                  <v>98.67022157299552</v>
                </pt>
                <pt idx="105">
                  <v>99.33511743598835</v>
                </pt>
                <pt idx="106">
                  <v>98.00532571000268</v>
                </pt>
                <pt idx="107">
                  <v>98.40426854739086</v>
                </pt>
                <pt idx="108">
                  <v>100</v>
                </pt>
                <pt idx="109">
                  <v>98.13830222280502</v>
                </pt>
                <pt idx="110">
                  <v>98.80319808579783</v>
                </pt>
                <pt idx="111">
                  <v>99.46809394879067</v>
                </pt>
                <pt idx="112">
                  <v>100.1329765128023</v>
                </pt>
                <pt idx="113">
                  <v>100.1329765128023</v>
                </pt>
                <pt idx="114">
                  <v>100.9308621875787</v>
                </pt>
                <pt idx="115">
                  <v>101.8617110761762</v>
                </pt>
                <pt idx="116">
                  <v>101.462768238788</v>
                </pt>
                <pt idx="117">
                  <v>102.5265936401878</v>
                </pt>
                <pt idx="118">
                  <v>102.3936171273855</v>
                </pt>
                <pt idx="119">
                  <v>102.5265936401878</v>
                </pt>
                <pt idx="120">
                  <v>101.7287212643927</v>
                </pt>
                <pt idx="121">
                  <v>104.2553282035616</v>
                </pt>
                <pt idx="122">
                  <v>104.388304716364</v>
                </pt>
                <pt idx="123">
                  <v>105.7180964423496</v>
                </pt>
                <pt idx="124">
                  <v>108.2446900825375</v>
                </pt>
                <pt idx="125">
                  <v>105.851072955152</v>
                </pt>
                <pt idx="126">
                  <v>107.5797942195446</v>
                </pt>
                <pt idx="127">
                  <v>108.6436196209445</v>
                </pt>
                <pt idx="128">
                  <v>108.7765961337468</v>
                </pt>
                <pt idx="129">
                  <v>108.3776665953398</v>
                </pt>
                <pt idx="130">
                  <v>109.3085154839373</v>
                </pt>
                <pt idx="131">
                  <v>109.9734113469301</v>
                </pt>
                <pt idx="132">
                  <v>109.7074583213254</v>
                </pt>
                <pt idx="133">
                  <v>110.9042602355276</v>
                </pt>
                <pt idx="134">
                  <v>109.0425491593515</v>
                </pt>
                <pt idx="135">
                  <v>107.1808513821564</v>
                </pt>
                <pt idx="136">
                  <v>108.3776665953398</v>
                </pt>
                <pt idx="137">
                  <v>108.9095726465491</v>
                </pt>
                <pt idx="138">
                  <v>105.5851199295473</v>
                </pt>
                <pt idx="139">
                  <v>108.5106431081421</v>
                </pt>
                <pt idx="140">
                  <v>107.0478748693541</v>
                </pt>
                <pt idx="141">
                  <v>105.1861770921592</v>
                </pt>
                <pt idx="142">
                  <v>103.8563853661735</v>
                </pt>
                <pt idx="143">
                  <v>104.5212812291663</v>
                </pt>
                <pt idx="144">
                  <v>105.0532005793568</v>
                </pt>
                <pt idx="145">
                  <v>105.3191536049615</v>
                </pt>
                <pt idx="146">
                  <v>105.5851199295473</v>
                </pt>
                <pt idx="147">
                  <v>105.7180964423496</v>
                </pt>
                <pt idx="148">
                  <v>104.6542577419686</v>
                </pt>
                <pt idx="149">
                  <v>107.5797942195446</v>
                </pt>
                <pt idx="150">
                  <v>105.5851199295473</v>
                </pt>
                <pt idx="151">
                  <v>108.1117135697351</v>
                </pt>
                <pt idx="152">
                  <v>106.648932031966</v>
                </pt>
                <pt idx="153">
                  <v>105.851072955152</v>
                </pt>
                <pt idx="154">
                  <v>107.712770732347</v>
                </pt>
                <pt idx="155">
                  <v>105.851072955152</v>
                </pt>
                <pt idx="156">
                  <v>106.648932031966</v>
                </pt>
                <pt idx="157">
                  <v>106.648932031966</v>
                </pt>
                <pt idx="158">
                  <v>106.3829790063613</v>
                </pt>
                <pt idx="159">
                  <v>106.1170259807566</v>
                </pt>
                <pt idx="160">
                  <v>105.1861770921592</v>
                </pt>
                <pt idx="161">
                  <v>104.6542577419686</v>
                </pt>
                <pt idx="162">
                  <v>107.1808513821564</v>
                </pt>
                <pt idx="163">
                  <v>104.5212812291663</v>
                </pt>
                <pt idx="164">
                  <v>104.2553282035616</v>
                </pt>
                <pt idx="165">
                  <v>107.4468177067423</v>
                </pt>
                <pt idx="166">
                  <v>108.5106431081421</v>
                </pt>
                <pt idx="167">
                  <v>109.0425491593515</v>
                </pt>
                <pt idx="168">
                  <v>108.1117135697351</v>
                </pt>
                <pt idx="169">
                  <v>108.6436196209445</v>
                </pt>
                <pt idx="170">
                  <v>107.9787370569328</v>
                </pt>
                <pt idx="171">
                  <v>109.5744818085231</v>
                </pt>
                <pt idx="172">
                  <v>110.7712837227253</v>
                </pt>
                <pt idx="173">
                  <v>109.9734113469301</v>
                </pt>
                <pt idx="174">
                  <v>111.3031897739346</v>
                </pt>
                <pt idx="175">
                  <v>110.2393643725348</v>
                </pt>
                <pt idx="176">
                  <v>109.9734113469301</v>
                </pt>
                <pt idx="177">
                  <v>111.3031897739346</v>
                </pt>
                <pt idx="178">
                  <v>109.4414919967396</v>
                </pt>
                <pt idx="179">
                  <v>108.9095726465491</v>
                </pt>
                <pt idx="180">
                  <v>112.2340519615133</v>
                </pt>
                <pt idx="181">
                  <v>110.5053306971206</v>
                </pt>
                <pt idx="182">
                  <v>111.9680989359086</v>
                </pt>
                <pt idx="183">
                  <v>112.7659580127226</v>
                </pt>
                <pt idx="184">
                  <v>111.3031897739346</v>
                </pt>
                <pt idx="185">
                  <v>113.6968069013201</v>
                </pt>
                <pt idx="186">
                  <v>115.4255414646939</v>
                </pt>
                <pt idx="187">
                  <v>112.1010754487109</v>
                </pt>
                <pt idx="188">
                  <v>115.2925516529104</v>
                </pt>
                <pt idx="189">
                  <v>117.5531922674936</v>
                </pt>
                <pt idx="190">
                  <v>116.2234138404891</v>
                </pt>
                <pt idx="191">
                  <v>115.9574475159033</v>
                </pt>
                <pt idx="192">
                  <v>116.6223566778773</v>
                </pt>
                <pt idx="193">
                  <v>117.2872392418889</v>
                </pt>
                <pt idx="194">
                  <v>116.2234138404891</v>
                </pt>
                <pt idx="195">
                  <v>118.8829839934792</v>
                </pt>
                <pt idx="196">
                  <v>120.6117052578719</v>
                </pt>
                <pt idx="197">
                  <v>119.9468093948791</v>
                </pt>
                <pt idx="198">
                  <v>122.0744734966599</v>
                </pt>
                <pt idx="199">
                  <v>122.8723458724551</v>
                </pt>
                <pt idx="200">
                  <v>122.7393693596527</v>
                </pt>
                <pt idx="201">
                  <v>122.4734030350669</v>
                </pt>
                <pt idx="202">
                  <v>124.6010671368477</v>
                </pt>
                <pt idx="203">
                  <v>125.797882350031</v>
                </pt>
                <pt idx="204">
                  <v>126.4627782130239</v>
                </pt>
                <pt idx="205">
                  <v>126.9946842642332</v>
                </pt>
                <pt idx="206">
                  <v>127.659580127226</v>
                </pt>
                <pt idx="207">
                  <v>126.4627782130239</v>
                </pt>
                <pt idx="208">
                  <v>128.7234055286258</v>
                </pt>
                <pt idx="209">
                  <v>128.5904290158235</v>
                </pt>
                <pt idx="210">
                  <v>129.521277904421</v>
                </pt>
                <pt idx="211">
                  <v>129.9202207418092</v>
                </pt>
                <pt idx="212">
                  <v>131.2499991688137</v>
                </pt>
                <pt idx="213">
                  <v>131.3829889805972</v>
                </pt>
                <pt idx="214">
                  <v>131.1170226560113</v>
                </pt>
                <pt idx="215">
                  <v>132.446814381997</v>
                </pt>
                <pt idx="216">
                  <v>134.4415285689379</v>
                </pt>
                <pt idx="217">
                  <v>134.0425591335873</v>
                </pt>
                <pt idx="218">
                  <v>133.1117634409146</v>
                </pt>
                <pt idx="219">
                  <v>133.3776100746698</v>
                </pt>
                <pt idx="220">
                  <v>130.7180931176044</v>
                </pt>
                <pt idx="221">
                  <v>132.1808613563924</v>
                </pt>
                <pt idx="222">
                  <v>129.9202207418092</v>
                </pt>
                <pt idx="223">
                  <v>132.5798041937805</v>
                </pt>
                <pt idx="224">
                  <v>129.521277904421</v>
                </pt>
                <pt idx="225">
                  <v>126.7287312386285</v>
                </pt>
                <pt idx="226">
                  <v>121.1436246080624</v>
                </pt>
                <pt idx="227">
                  <v>116.6223566778773</v>
                </pt>
                <pt idx="228">
                  <v>107.31384119394</v>
                </pt>
                <pt idx="229">
                  <v>103.9893618789758</v>
                </pt>
                <pt idx="230">
                  <v>104.388304716364</v>
                </pt>
                <pt idx="231">
                  <v>101.3297917259857</v>
                </pt>
                <pt idx="232">
                  <v>105.9840494679543</v>
                </pt>
                <pt idx="233">
                  <v>106.7819218437495</v>
                </pt>
                <pt idx="234">
                  <v>105.7180964423496</v>
                </pt>
                <pt idx="235">
                  <v>107.0478748693541</v>
                </pt>
                <pt idx="236">
                  <v>111.8351091241251</v>
                </pt>
                <pt idx="237">
                  <v>109.4414919967396</v>
                </pt>
                <pt idx="238">
                  <v>110.7712837227253</v>
                </pt>
                <pt idx="239">
                  <v>110.7712837227253</v>
                </pt>
                <pt idx="240">
                  <v>111.8351091241251</v>
                </pt>
                <pt idx="241">
                  <v>110.7712837227253</v>
                </pt>
                <pt idx="242">
                  <v>114.4946925760964</v>
                </pt>
                <pt idx="243">
                  <v>116.6223566778773</v>
                </pt>
                <pt idx="244">
                  <v>120.2127624204837</v>
                </pt>
                <pt idx="245">
                  <v>119.8138328820767</v>
                </pt>
                <pt idx="246">
                  <v>119.0159738052627</v>
                </pt>
                <pt idx="247">
                  <v>121.0106480952601</v>
                </pt>
                <pt idx="248">
                  <v>122.8723458724551</v>
                </pt>
                <pt idx="249">
                  <v>125.5319293244264</v>
                </pt>
                <pt idx="250">
                  <v>124.8670201624524</v>
                </pt>
                <pt idx="251">
                  <v>126.8617077514309</v>
                </pt>
                <pt idx="252">
                  <v>126.5957547258262</v>
                </pt>
                <pt idx="253">
                  <v>128.0585229646142</v>
                </pt>
                <pt idx="254">
                  <v>128.8563820414282</v>
                </pt>
                <pt idx="255">
                  <v>129.6542544172233</v>
                </pt>
                <pt idx="256">
                  <v>131.2499991688137</v>
                </pt>
                <pt idx="257">
                  <v>129.122348366014</v>
                </pt>
                <pt idx="258">
                  <v>133.1117634409146</v>
                </pt>
                <pt idx="259">
                  <v>132.04788484359</v>
                </pt>
                <pt idx="260">
                  <v>130.0531972546115</v>
                </pt>
                <pt idx="261">
                  <v>131.5159654933995</v>
                </pt>
                <pt idx="262">
                  <v>130.585116604802</v>
                </pt>
                <pt idx="263">
                  <v>128.7234055286258</v>
                </pt>
                <pt idx="264">
                  <v>129.3883013916187</v>
                </pt>
                <pt idx="265">
                  <v>129.2553248788164</v>
                </pt>
                <pt idx="266">
                  <v>130.8510696304067</v>
                </pt>
                <pt idx="267">
                  <v>128.4574525030212</v>
                </pt>
                <pt idx="268">
                  <v>130.984046143209</v>
                </pt>
                <pt idx="269">
                  <v>129.3883013916187</v>
                </pt>
                <pt idx="270">
                  <v>130.8510696304067</v>
                </pt>
                <pt idx="271">
                  <v>130.8510696304067</v>
                </pt>
                <pt idx="272">
                  <v>129.122348366014</v>
                </pt>
                <pt idx="273">
                  <v>127.3936271016214</v>
                </pt>
                <pt idx="274">
                  <v>126.4627782130239</v>
                </pt>
                <pt idx="275">
                  <v>127.5266036144237</v>
                </pt>
                <pt idx="276">
                  <v>125.9308588628334</v>
                </pt>
                <pt idx="277">
                  <v>126.9946842642332</v>
                </pt>
                <pt idx="278">
                  <v>128.7234055286258</v>
                </pt>
                <pt idx="279">
                  <v>129.122348366014</v>
                </pt>
                <pt idx="280">
                  <v>128.3244759902189</v>
                </pt>
                <pt idx="281">
                  <v>130.585116604802</v>
                </pt>
                <pt idx="282">
                  <v>128.3244759902189</v>
                </pt>
                <pt idx="283">
                  <v>131.2499991688137</v>
                </pt>
                <pt idx="284">
                  <v>130.585116604802</v>
                </pt>
                <pt idx="285">
                  <v>129.6542544172233</v>
                </pt>
                <pt idx="286">
                  <v>132.5798041937805</v>
                </pt>
                <pt idx="287">
                  <v>132.7127807065829</v>
                </pt>
                <pt idx="288">
                  <v>132.04788484359</v>
                </pt>
                <pt idx="289">
                  <v>132.1808613563924</v>
                </pt>
                <pt idx="290">
                  <v>132.7127807065829</v>
                </pt>
                <pt idx="291">
                  <v>132.1808613563924</v>
                </pt>
                <pt idx="292">
                  <v>131.2499991688137</v>
                </pt>
                <pt idx="293">
                  <v>131.3829889805972</v>
                </pt>
                <pt idx="294">
                  <v>134.1755489453708</v>
                </pt>
                <pt idx="295">
                  <v>128.5904290158235</v>
                </pt>
                <pt idx="296">
                  <v>131.7819185190042</v>
                </pt>
                <pt idx="297">
                  <v>132.04788484359</v>
                </pt>
                <pt idx="298">
                  <v>132.1808613563924</v>
                </pt>
                <pt idx="299">
                  <v>134.4415285689379</v>
                </pt>
                <pt idx="300">
                  <v>131.5159654933995</v>
                </pt>
                <pt idx="301">
                  <v>132.1808613563924</v>
                </pt>
                <pt idx="302">
                  <v>132.1808613563924</v>
                </pt>
                <pt idx="303">
                  <v>132.9787337321875</v>
                </pt>
                <pt idx="304">
                  <v>133.1117634409146</v>
                </pt>
                <pt idx="305">
                  <v>132.9787337321875</v>
                </pt>
                <pt idx="306">
                  <v>134.8403650144766</v>
                </pt>
                <pt idx="307">
                  <v>131.2499991688137</v>
                </pt>
                <pt idx="308">
                  <v>132.04788484359</v>
                </pt>
                <pt idx="309">
                  <v>133.244753252698</v>
                </pt>
                <pt idx="310">
                  <v>132.04788484359</v>
                </pt>
                <pt idx="311">
                  <v>133.1117634409146</v>
                </pt>
                <pt idx="312">
                  <v>135.6383038851777</v>
                </pt>
                <pt idx="313">
                  <v>135.2393344498271</v>
                </pt>
                <pt idx="314">
                  <v>133.6435896982368</v>
                </pt>
                <pt idx="315">
                  <v>134.5745183807214</v>
                </pt>
                <pt idx="316">
                  <v>132.04788484359</v>
                </pt>
                <pt idx="317">
                  <v>134.9733548262601</v>
                </pt>
                <pt idx="318">
                  <v>132.9787337321875</v>
                </pt>
                <pt idx="319">
                  <v>135.1063446380436</v>
                </pt>
                <pt idx="320">
                  <v>134.9733548262601</v>
                </pt>
                <pt idx="321">
                  <v>135.9042835087447</v>
                </pt>
                <pt idx="322">
                  <v>135.5053140733941</v>
                </pt>
                <pt idx="323">
                  <v>133.3776100746698</v>
                </pt>
                <pt idx="324">
                  <v>135.3723242616106</v>
                </pt>
                <pt idx="325">
                  <v>136.702089389634</v>
                </pt>
                <pt idx="326">
                  <v>136.0372733205282</v>
                </pt>
                <pt idx="327">
                  <v>137.766007883902</v>
                </pt>
                <pt idx="328">
                  <v>138.2978341412243</v>
                </pt>
                <pt idx="329">
                  <v>138.1648443294408</v>
                </pt>
                <pt idx="330">
                  <v>139.2287628237088</v>
                </pt>
                <pt idx="331">
                  <v>142.021282891539</v>
                </pt>
                <pt idx="332">
                  <v>141.0904871988662</v>
                </pt>
                <pt idx="333">
                  <v>138.8297933883583</v>
                </pt>
                <pt idx="334">
                  <v>144.4149665138303</v>
                </pt>
                <pt idx="335">
                  <v>143.8830072666963</v>
                </pt>
                <pt idx="336">
                  <v>142.6862319504565</v>
                </pt>
                <pt idx="337">
                  <v>140.0265687045981</v>
                </pt>
                <pt idx="338">
                  <v>141.755303267972</v>
                </pt>
                <pt idx="339">
                  <v>141.0904871988662</v>
                </pt>
                <pt idx="340">
                  <v>143.3510480195623</v>
                </pt>
                <pt idx="341">
                  <v>142.9520785842117</v>
                </pt>
                <pt idx="342">
                  <v>140.2925483281651</v>
                </pt>
                <pt idx="343">
                  <v>140.4255381399486</v>
                </pt>
                <pt idx="344">
                  <v>140.5585279517321</v>
                </pt>
                <pt idx="345">
                  <v>140.2925483281651</v>
                </pt>
                <pt idx="346">
                  <v>138.031987507469</v>
                </pt>
                <pt idx="347">
                  <v>139.4947424472759</v>
                </pt>
                <pt idx="348">
                  <v>138.031987507469</v>
                </pt>
                <pt idx="349">
                  <v>137.8989976956855</v>
                </pt>
                <pt idx="350">
                  <v>138.9627832001418</v>
                </pt>
                <pt idx="351">
                  <v>135.3723242616106</v>
                </pt>
                <pt idx="352">
                  <v>136.5690995778504</v>
                </pt>
                <pt idx="353">
                  <v>134.9733548262601</v>
                </pt>
                <pt idx="354">
                  <v>134.7075081925049</v>
                </pt>
                <pt idx="355">
                  <v>134.9733548262601</v>
                </pt>
              </numCache>
            </numRef>
          </val>
          <smooth val="0"/>
        </ser>
        <ser>
          <idx val="8"/>
          <order val="1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World'!$A$2:$A$358</f>
              <numCache>
                <formatCode>mmm\-yy</formatCode>
                <ptCount val="357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</numCache>
            </numRef>
          </cat>
          <val>
            <numRef>
              <f>'IP World'!$L$2:$L$358</f>
              <numCache>
                <formatCode>0.00</formatCode>
                <ptCount val="357"/>
                <pt idx="0">
                  <v>88.22782544294296</v>
                </pt>
                <pt idx="1">
                  <v>89.26128627701932</v>
                </pt>
                <pt idx="2">
                  <v>89.00557251711976</v>
                </pt>
                <pt idx="3">
                  <v>89.3678252863173</v>
                </pt>
                <pt idx="4">
                  <v>89.34651300943894</v>
                </pt>
                <pt idx="5">
                  <v>88.77118222164545</v>
                </pt>
                <pt idx="6">
                  <v>89.11212271396462</v>
                </pt>
                <pt idx="7">
                  <v>89.70875459108957</v>
                </pt>
                <pt idx="8">
                  <v>90.15623409270674</v>
                </pt>
                <pt idx="9">
                  <v>90.33736047730551</v>
                </pt>
                <pt idx="10">
                  <v>89.485014840281</v>
                </pt>
                <pt idx="11">
                  <v>90.42259839727204</v>
                </pt>
                <pt idx="12">
                  <v>92.17002610054696</v>
                </pt>
                <pt idx="13">
                  <v>91.16331469115099</v>
                </pt>
                <pt idx="14">
                  <v>90.26845637583892</v>
                </pt>
                <pt idx="15">
                  <v>89.70917971787244</v>
                </pt>
                <pt idx="16">
                  <v>89.59731543624162</v>
                </pt>
                <pt idx="17">
                  <v>91.38703206686574</v>
                </pt>
                <pt idx="18">
                  <v>89.59731543624162</v>
                </pt>
                <pt idx="19">
                  <v>89.59731543624162</v>
                </pt>
                <pt idx="20">
                  <v>89.82103281195636</v>
                </pt>
                <pt idx="21">
                  <v>90.15660328175501</v>
                </pt>
                <pt idx="22">
                  <v>91.16331469115099</v>
                </pt>
                <pt idx="23">
                  <v>90.49217375155368</v>
                </pt>
                <pt idx="24">
                  <v>91.61073825503355</v>
                </pt>
                <pt idx="25">
                  <v>91.83445563074831</v>
                </pt>
                <pt idx="26">
                  <v>91.05146159706707</v>
                </pt>
                <pt idx="27">
                  <v>90.82774422135233</v>
                </pt>
                <pt idx="28">
                  <v>90.26845637583892</v>
                </pt>
                <pt idx="29">
                  <v>89.4854623421577</v>
                </pt>
                <pt idx="30">
                  <v>88.36689783867782</v>
                </pt>
                <pt idx="31">
                  <v>88.25503355704699</v>
                </pt>
                <pt idx="32">
                  <v>87.47203952336577</v>
                </pt>
                <pt idx="33">
                  <v>87.58389261744968</v>
                </pt>
                <pt idx="34">
                  <v>86.80089858376844</v>
                </pt>
                <pt idx="35">
                  <v>85.34675242294297</v>
                </pt>
                <pt idx="36">
                  <v>85.79418717437247</v>
                </pt>
                <pt idx="37">
                  <v>85.12304623477516</v>
                </pt>
                <pt idx="38">
                  <v>84.8993288590604</v>
                </pt>
                <pt idx="39">
                  <v>84.34005220109393</v>
                </pt>
                <pt idx="40">
                  <v>84.2281879194631</v>
                </pt>
                <pt idx="41">
                  <v>83.78076435558052</v>
                </pt>
                <pt idx="42">
                  <v>83.22147651006713</v>
                </pt>
                <pt idx="43">
                  <v>84.45190529517784</v>
                </pt>
                <pt idx="44">
                  <v>84.78747576497649</v>
                </pt>
                <pt idx="45">
                  <v>84.8993288590604</v>
                </pt>
                <pt idx="46">
                  <v>84.8993288590604</v>
                </pt>
                <pt idx="47">
                  <v>85.01119314069125</v>
                </pt>
                <pt idx="48">
                  <v>85.12304623477516</v>
                </pt>
                <pt idx="49">
                  <v>86.35346383233895</v>
                </pt>
                <pt idx="50">
                  <v>86.46532811396979</v>
                </pt>
                <pt idx="51">
                  <v>88.03131618133224</v>
                </pt>
                <pt idx="52">
                  <v>87.80760999316442</v>
                </pt>
                <pt idx="53">
                  <v>88.47875093276173</v>
                </pt>
                <pt idx="54">
                  <v>88.70246830847647</v>
                </pt>
                <pt idx="55">
                  <v>88.92618568419122</v>
                </pt>
                <pt idx="56">
                  <v>89.37360924807379</v>
                </pt>
                <pt idx="57">
                  <v>90.38032065746977</v>
                </pt>
                <pt idx="58">
                  <v>91.05146159706707</v>
                </pt>
                <pt idx="59">
                  <v>92.05817300646305</v>
                </pt>
                <pt idx="60">
                  <v>91.38703206686574</v>
                </pt>
                <pt idx="61">
                  <v>91.61073825503355</v>
                </pt>
                <pt idx="62">
                  <v>91.49888516094965</v>
                </pt>
                <pt idx="63">
                  <v>91.83445563074831</v>
                </pt>
                <pt idx="64">
                  <v>92.17002610054696</v>
                </pt>
                <pt idx="65">
                  <v>91.7226025366644</v>
                </pt>
                <pt idx="66">
                  <v>91.7226025366644</v>
                </pt>
                <pt idx="67">
                  <v>91.7226025366644</v>
                </pt>
                <pt idx="68">
                  <v>92.17002610054696</v>
                </pt>
                <pt idx="69">
                  <v>91.05146159706707</v>
                </pt>
                <pt idx="70">
                  <v>91.38703206686574</v>
                </pt>
                <pt idx="71">
                  <v>92.50559657034563</v>
                </pt>
                <pt idx="72">
                  <v>91.61073825503355</v>
                </pt>
                <pt idx="73">
                  <v>91.2751677852349</v>
                </pt>
                <pt idx="74">
                  <v>91.2751677852349</v>
                </pt>
                <pt idx="75">
                  <v>90.60402684563761</v>
                </pt>
                <pt idx="76">
                  <v>91.61073825503355</v>
                </pt>
                <pt idx="77">
                  <v>91.61073825503355</v>
                </pt>
                <pt idx="78">
                  <v>90.82774422135233</v>
                </pt>
                <pt idx="79">
                  <v>91.94630872483222</v>
                </pt>
                <pt idx="80">
                  <v>91.94630872483222</v>
                </pt>
                <pt idx="81">
                  <v>91.49888516094965</v>
                </pt>
                <pt idx="82">
                  <v>92.28187919463087</v>
                </pt>
                <pt idx="83">
                  <v>92.05817300646305</v>
                </pt>
                <pt idx="84">
                  <v>92.39374347626172</v>
                </pt>
                <pt idx="85">
                  <v>92.9530201342282</v>
                </pt>
                <pt idx="86">
                  <v>93.95973154362417</v>
                </pt>
                <pt idx="87">
                  <v>94.96644295302015</v>
                </pt>
                <pt idx="88">
                  <v>94.18344891933891</v>
                </pt>
                <pt idx="89">
                  <v>95.74944817424829</v>
                </pt>
                <pt idx="90">
                  <v>96.53244220792951</v>
                </pt>
                <pt idx="91">
                  <v>96.64429530201343</v>
                </pt>
                <pt idx="92">
                  <v>96.3087360197617</v>
                </pt>
                <pt idx="93">
                  <v>97.76287099304024</v>
                </pt>
                <pt idx="94">
                  <v>97.31543624161074</v>
                </pt>
                <pt idx="95">
                  <v>98.43401193263755</v>
                </pt>
                <pt idx="96">
                  <v>98.76958240243621</v>
                </pt>
                <pt idx="97">
                  <v>99.21700596631878</v>
                </pt>
                <pt idx="98">
                  <v>99.21700596631878</v>
                </pt>
                <pt idx="99">
                  <v>99.55257643611743</v>
                </pt>
                <pt idx="100">
                  <v>99.8881469059161</v>
                </pt>
                <pt idx="101">
                  <v>99.44072334203352</v>
                </pt>
                <pt idx="102">
                  <v>100.4474235638826</v>
                </pt>
                <pt idx="103">
                  <v>98.99328859060402</v>
                </pt>
                <pt idx="104">
                  <v>99.44072334203352</v>
                </pt>
                <pt idx="105">
                  <v>99.66442953020135</v>
                </pt>
                <pt idx="106">
                  <v>99.10515287223487</v>
                </pt>
                <pt idx="107">
                  <v>98.54586502672146</v>
                </pt>
                <pt idx="108">
                  <v>100</v>
                </pt>
                <pt idx="109">
                  <v>98.88143549652013</v>
                </pt>
                <pt idx="110">
                  <v>98.99328859060402</v>
                </pt>
                <pt idx="111">
                  <v>99.66442953020135</v>
                </pt>
                <pt idx="112">
                  <v>99.77628262428526</v>
                </pt>
                <pt idx="113">
                  <v>100.5592878455134</v>
                </pt>
                <pt idx="114">
                  <v>101.3422818791946</v>
                </pt>
                <pt idx="115">
                  <v>101.2304287851107</v>
                </pt>
                <pt idx="116">
                  <v>102.1252759128759</v>
                </pt>
                <pt idx="117">
                  <v>103.2438516039027</v>
                </pt>
                <pt idx="118">
                  <v>103.6912863553322</v>
                </pt>
                <pt idx="119">
                  <v>103.2438516039027</v>
                </pt>
                <pt idx="120">
                  <v>103.0201454157348</v>
                </pt>
                <pt idx="121">
                  <v>104.2505630132986</v>
                </pt>
                <pt idx="122">
                  <v>104.6979865771812</v>
                </pt>
                <pt idx="123">
                  <v>105.9284153622919</v>
                </pt>
                <pt idx="124">
                  <v>107.3825503355705</v>
                </pt>
                <pt idx="125">
                  <v>105.816562268208</v>
                </pt>
                <pt idx="126">
                  <v>107.1588329598557</v>
                </pt>
                <pt idx="127">
                  <v>107.2706972414866</v>
                </pt>
                <pt idx="128">
                  <v>107.3825503355705</v>
                </pt>
                <pt idx="129">
                  <v>107.6062677112852</v>
                </pt>
                <pt idx="130">
                  <v>108.6129791206812</v>
                </pt>
                <pt idx="131">
                  <v>109.2841200602785</v>
                </pt>
                <pt idx="132">
                  <v>108.3892617449664</v>
                </pt>
                <pt idx="133">
                  <v>108.836685308849</v>
                </pt>
                <pt idx="134">
                  <v>108.1655443692517</v>
                </pt>
                <pt idx="135">
                  <v>107.2706972414866</v>
                </pt>
                <pt idx="136">
                  <v>107.4944034296544</v>
                </pt>
                <pt idx="137">
                  <v>107.6062677112852</v>
                </pt>
                <pt idx="138">
                  <v>105.7046979865772</v>
                </pt>
                <pt idx="139">
                  <v>108.2774086508825</v>
                </pt>
                <pt idx="140">
                  <v>106.7114093959732</v>
                </pt>
                <pt idx="141">
                  <v>105.3691275167785</v>
                </pt>
                <pt idx="142">
                  <v>104.5861334830973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106.5995563018893</v>
                </pt>
                <pt idx="147">
                  <v>106.3758389261745</v>
                </pt>
                <pt idx="148">
                  <v>106.823273677604</v>
                </pt>
                <pt idx="149">
                  <v>107.2706972414866</v>
                </pt>
                <pt idx="150">
                  <v>106.4877032078053</v>
                </pt>
                <pt idx="151">
                  <v>106.9351267716879</v>
                </pt>
                <pt idx="152">
                  <v>107.2706972414866</v>
                </pt>
                <pt idx="153">
                  <v>106.5995563018893</v>
                </pt>
                <pt idx="154">
                  <v>107.2706972414866</v>
                </pt>
                <pt idx="155">
                  <v>105.5928448924933</v>
                </pt>
                <pt idx="156">
                  <v>107.3825503355705</v>
                </pt>
                <pt idx="157">
                  <v>107.6062677112852</v>
                </pt>
                <pt idx="158">
                  <v>106.7114093959732</v>
                </pt>
                <pt idx="159">
                  <v>107.1588329598557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107.1588329598557</v>
                </pt>
                <pt idx="163">
                  <v>106.0402684563758</v>
                </pt>
                <pt idx="164">
                  <v>105.7046979865772</v>
                </pt>
                <pt idx="165">
                  <v>108.3892617449664</v>
                </pt>
                <pt idx="166">
                  <v>107.9418381810839</v>
                </pt>
                <pt idx="167">
                  <v>108.2774086508825</v>
                </pt>
                <pt idx="168">
                  <v>108.1655443692517</v>
                </pt>
                <pt idx="169">
                  <v>108.6129791206812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109.5078262484463</v>
                </pt>
                <pt idx="173">
                  <v>109.5078262484463</v>
                </pt>
                <pt idx="174">
                  <v>110.4026957513053</v>
                </pt>
                <pt idx="175">
                  <v>108.1655443692517</v>
                </pt>
                <pt idx="176">
                  <v>109.731554811708</v>
                </pt>
                <pt idx="177">
                  <v>110.2908314696745</v>
                </pt>
                <pt idx="178">
                  <v>109.0604026845638</v>
                </pt>
                <pt idx="179">
                  <v>109.0604026845638</v>
                </pt>
                <pt idx="180">
                  <v>109.9552609998758</v>
                </pt>
                <pt idx="181">
                  <v>109.731554811708</v>
                </pt>
                <pt idx="182">
                  <v>109.6196905300772</v>
                </pt>
                <pt idx="183">
                  <v>111.1856897849865</v>
                </pt>
                <pt idx="184">
                  <v>109.731554811708</v>
                </pt>
                <pt idx="185">
                  <v>110.738266221104</v>
                </pt>
                <pt idx="186">
                  <v>111.2975428790704</v>
                </pt>
                <pt idx="187">
                  <v>110.0671252815067</v>
                </pt>
                <pt idx="188">
                  <v>111.5212602547852</v>
                </pt>
                <pt idx="189">
                  <v>111.744966442953</v>
                </pt>
                <pt idx="190">
                  <v>113.6465697303018</v>
                </pt>
                <pt idx="191">
                  <v>112.4161633202849</v>
                </pt>
                <pt idx="192">
                  <v>113.3109433227686</v>
                </pt>
                <pt idx="193">
                  <v>113.3109433227686</v>
                </pt>
                <pt idx="194">
                  <v>114.0939597315436</v>
                </pt>
                <pt idx="195">
                  <v>114.4295861390769</v>
                </pt>
                <pt idx="196">
                  <v>116.1073825503356</v>
                </pt>
                <pt idx="197">
                  <v>115.9955070811578</v>
                </pt>
                <pt idx="198">
                  <v>115.7717561428023</v>
                </pt>
                <pt idx="199">
                  <v>116.1073825503356</v>
                </pt>
                <pt idx="200">
                  <v>116.2192580195133</v>
                </pt>
                <pt idx="201">
                  <v>115.8836316119801</v>
                </pt>
                <pt idx="202">
                  <v>117.0022744282884</v>
                </pt>
                <pt idx="203">
                  <v>118.6800708395471</v>
                </pt>
                <pt idx="204">
                  <v>118.2326808383053</v>
                </pt>
                <pt idx="205">
                  <v>118.9038217779026</v>
                </pt>
                <pt idx="206">
                  <v>119.4630872483222</v>
                </pt>
                <pt idx="207">
                  <v>118.0089298999498</v>
                </pt>
                <pt idx="208">
                  <v>120.1342281879195</v>
                </pt>
                <pt idx="209">
                  <v>120.1342281879195</v>
                </pt>
                <pt idx="210">
                  <v>120.357979126275</v>
                </pt>
                <pt idx="211">
                  <v>121.14099553505</v>
                </pt>
                <pt idx="212">
                  <v>120.5816181891613</v>
                </pt>
                <pt idx="213">
                  <v>121.5883855362919</v>
                </pt>
                <pt idx="214">
                  <v>120.8053691275168</v>
                </pt>
                <pt idx="215">
                  <v>121.4765100671141</v>
                </pt>
                <pt idx="216">
                  <v>122.4832774142447</v>
                </pt>
                <pt idx="217">
                  <v>122.2595264758892</v>
                </pt>
                <pt idx="218">
                  <v>121.7002610054696</v>
                </pt>
                <pt idx="219">
                  <v>123.1543064783728</v>
                </pt>
                <pt idx="220">
                  <v>119.5749627174999</v>
                </pt>
                <pt idx="221">
                  <v>119.7987136558554</v>
                </pt>
                <pt idx="222">
                  <v>118.5681953703693</v>
                </pt>
                <pt idx="223">
                  <v>118.1208053691275</v>
                </pt>
                <pt idx="224">
                  <v>117.2259134911747</v>
                </pt>
                <pt idx="225">
                  <v>114.2058352007214</v>
                </pt>
                <pt idx="226">
                  <v>110.0671252815067</v>
                </pt>
                <pt idx="227">
                  <v>106.2639858320906</v>
                </pt>
                <pt idx="228">
                  <v>101.901569724708</v>
                </pt>
                <pt idx="229">
                  <v>99.55257643611743</v>
                </pt>
                <pt idx="230">
                  <v>98.32214765100672</v>
                </pt>
                <pt idx="231">
                  <v>96.9798657718121</v>
                </pt>
                <pt idx="232">
                  <v>99.21700596631878</v>
                </pt>
                <pt idx="233">
                  <v>99.8881469059161</v>
                </pt>
                <pt idx="234">
                  <v>100</v>
                </pt>
                <pt idx="235">
                  <v>100</v>
                </pt>
                <pt idx="236">
                  <v>102.4608575702214</v>
                </pt>
                <pt idx="237">
                  <v>102.013422818792</v>
                </pt>
                <pt idx="238">
                  <v>102.2371401945067</v>
                </pt>
                <pt idx="239">
                  <v>102.3489932885906</v>
                </pt>
                <pt idx="240">
                  <v>104.1387099192147</v>
                </pt>
                <pt idx="241">
                  <v>103.5794220737013</v>
                </pt>
                <pt idx="242">
                  <v>105.4809917984094</v>
                </pt>
                <pt idx="243">
                  <v>106.0402684563758</v>
                </pt>
                <pt idx="244">
                  <v>107.9418381810839</v>
                </pt>
                <pt idx="245">
                  <v>108.0536912751678</v>
                </pt>
                <pt idx="246">
                  <v>107.6062677112852</v>
                </pt>
                <pt idx="247">
                  <v>108.5011148390504</v>
                </pt>
                <pt idx="248">
                  <v>108.7248322147651</v>
                </pt>
                <pt idx="249">
                  <v>109.6196905300772</v>
                </pt>
                <pt idx="250">
                  <v>110.6264019394731</v>
                </pt>
                <pt idx="251">
                  <v>111.5212602547852</v>
                </pt>
                <pt idx="252">
                  <v>110.9619724092718</v>
                </pt>
                <pt idx="253">
                  <v>111.9686614435739</v>
                </pt>
                <pt idx="254">
                  <v>112.0805369127517</v>
                </pt>
                <pt idx="255">
                  <v>111.6331133488691</v>
                </pt>
                <pt idx="256">
                  <v>112.3042878511072</v>
                </pt>
                <pt idx="257">
                  <v>110.738266221104</v>
                </pt>
                <pt idx="258">
                  <v>111.8568307245839</v>
                </pt>
                <pt idx="259">
                  <v>111.9686614435739</v>
                </pt>
                <pt idx="260">
                  <v>110.8501193151879</v>
                </pt>
                <pt idx="261">
                  <v>110.5145488453892</v>
                </pt>
                <pt idx="262">
                  <v>110.8501193151879</v>
                </pt>
                <pt idx="263">
                  <v>110.1789783755906</v>
                </pt>
                <pt idx="264">
                  <v>109.3959731543624</v>
                </pt>
                <pt idx="265">
                  <v>110.0671252815067</v>
                </pt>
                <pt idx="266">
                  <v>109.9552609998758</v>
                </pt>
                <pt idx="267">
                  <v>109.0604026845638</v>
                </pt>
                <pt idx="268">
                  <v>109.8434079057919</v>
                </pt>
                <pt idx="269">
                  <v>108.9485495904798</v>
                </pt>
                <pt idx="270">
                  <v>109.2841200602785</v>
                </pt>
                <pt idx="271">
                  <v>110.0671252815067</v>
                </pt>
                <pt idx="272">
                  <v>107.9418381810839</v>
                </pt>
                <pt idx="273">
                  <v>107.1588329598557</v>
                </pt>
                <pt idx="274">
                  <v>106.3758389261745</v>
                </pt>
                <pt idx="275">
                  <v>106.9351267716879</v>
                </pt>
                <pt idx="276">
                  <v>106.4877032078053</v>
                </pt>
                <pt idx="277">
                  <v>106.7114093959732</v>
                </pt>
                <pt idx="278">
                  <v>107.8299738994531</v>
                </pt>
                <pt idx="279">
                  <v>108.0536912751678</v>
                </pt>
                <pt idx="280">
                  <v>108.2774086508825</v>
                </pt>
                <pt idx="281">
                  <v>108.2774086508825</v>
                </pt>
                <pt idx="282">
                  <v>107.3825503355705</v>
                </pt>
                <pt idx="283">
                  <v>107.9418381810839</v>
                </pt>
                <pt idx="284">
                  <v>108.0536912751678</v>
                </pt>
                <pt idx="285">
                  <v>107.4944034296544</v>
                </pt>
                <pt idx="286">
                  <v>108.9485495904798</v>
                </pt>
                <pt idx="287">
                  <v>108.7248322147651</v>
                </pt>
                <pt idx="288">
                  <v>108.3892617449664</v>
                </pt>
                <pt idx="289">
                  <v>109.1722557786477</v>
                </pt>
                <pt idx="290">
                  <v>108.5011148390504</v>
                </pt>
                <pt idx="291">
                  <v>110.2908314696745</v>
                </pt>
                <pt idx="292">
                  <v>109.3959731543624</v>
                </pt>
                <pt idx="293">
                  <v>108.836685308849</v>
                </pt>
                <pt idx="294">
                  <v>109.731554811708</v>
                </pt>
                <pt idx="295">
                  <v>107.8299738994531</v>
                </pt>
                <pt idx="296">
                  <v>108.9485495904798</v>
                </pt>
                <pt idx="297">
                  <v>108.6129791206812</v>
                </pt>
                <pt idx="298">
                  <v>108.2774086508825</v>
                </pt>
                <pt idx="299">
                  <v>109.731554811708</v>
                </pt>
                <pt idx="300">
                  <v>109.3959731543624</v>
                </pt>
                <pt idx="301">
                  <v>112.0805369127517</v>
                </pt>
                <pt idx="302">
                  <v>112.6398023831713</v>
                </pt>
                <pt idx="303">
                  <v>111.6331133488691</v>
                </pt>
                <pt idx="304">
                  <v>111.8568307245839</v>
                </pt>
                <pt idx="305">
                  <v>112.1924123819294</v>
                </pt>
                <pt idx="306">
                  <v>112.8635533215268</v>
                </pt>
                <pt idx="307">
                  <v>111.744966442953</v>
                </pt>
                <pt idx="308">
                  <v>112.0805369127517</v>
                </pt>
                <pt idx="309">
                  <v>112.1924123819294</v>
                </pt>
                <pt idx="310">
                  <v>111.6331133488691</v>
                </pt>
                <pt idx="311">
                  <v>111.744966442953</v>
                </pt>
                <pt idx="312">
                  <v>115.1007270786742</v>
                </pt>
                <pt idx="313">
                  <v>112.8635533215268</v>
                </pt>
                <pt idx="314">
                  <v>112.4161633202849</v>
                </pt>
                <pt idx="315">
                  <v>113.6465697303018</v>
                </pt>
                <pt idx="316">
                  <v>112.0805369127517</v>
                </pt>
                <pt idx="317">
                  <v>112.9754287907045</v>
                </pt>
                <pt idx="318">
                  <v>113.0873042598823</v>
                </pt>
                <pt idx="319">
                  <v>113.3109433227686</v>
                </pt>
                <pt idx="320">
                  <v>113.4228187919463</v>
                </pt>
                <pt idx="321">
                  <v>114.6532252019632</v>
                </pt>
                <pt idx="322">
                  <v>114.9888516094964</v>
                </pt>
                <pt idx="323">
                  <v>114.5413497327854</v>
                </pt>
                <pt idx="324">
                  <v>114.3177106698991</v>
                </pt>
                <pt idx="325">
                  <v>115.1007270786742</v>
                </pt>
                <pt idx="326">
                  <v>114.8769761403187</v>
                </pt>
                <pt idx="327">
                  <v>115.8836316119801</v>
                </pt>
                <pt idx="328">
                  <v>116.1073825503356</v>
                </pt>
                <pt idx="329">
                  <v>115.6599925490938</v>
                </pt>
                <pt idx="330">
                  <v>117.5615398987079</v>
                </pt>
                <pt idx="331">
                  <v>118.2326808383053</v>
                </pt>
                <pt idx="332">
                  <v>117.7852908370635</v>
                </pt>
                <pt idx="333">
                  <v>117.4496644295302</v>
                </pt>
                <pt idx="334">
                  <v>120.2461036570972</v>
                </pt>
                <pt idx="335">
                  <v>120.693493658339</v>
                </pt>
                <pt idx="336">
                  <v>118.4564317766608</v>
                </pt>
                <pt idx="337">
                  <v>117.5615398987079</v>
                </pt>
                <pt idx="338">
                  <v>117.6734153678857</v>
                </pt>
                <pt idx="339">
                  <v>117.6734153678857</v>
                </pt>
                <pt idx="340">
                  <v>118.7919463087248</v>
                </pt>
                <pt idx="341">
                  <v>118.7919463087248</v>
                </pt>
                <pt idx="342">
                  <v>117.5615398987079</v>
                </pt>
                <pt idx="343">
                  <v>118.6800708395471</v>
                </pt>
                <pt idx="344">
                  <v>118.0089298999498</v>
                </pt>
                <pt idx="345">
                  <v>117.897054430772</v>
                </pt>
                <pt idx="346">
                  <v>116.6666480207551</v>
                </pt>
                <pt idx="347">
                  <v>116.4428970823996</v>
                </pt>
                <pt idx="348">
                  <v>117.7852908370635</v>
                </pt>
                <pt idx="349">
                  <v>117.6734153678857</v>
                </pt>
                <pt idx="350">
                  <v>117.3377889603525</v>
                </pt>
                <pt idx="351">
                  <v>116.6666480207551</v>
                </pt>
                <pt idx="352">
                  <v>117.5615398987079</v>
                </pt>
                <pt idx="353">
                  <v>116.2192580195133</v>
                </pt>
                <pt idx="354">
                  <v>116.1073825503356</v>
                </pt>
                <pt idx="355">
                  <v>116.2192580195133</v>
                </pt>
              </numCache>
            </numRef>
          </val>
          <smooth val="0"/>
        </ser>
        <ser>
          <idx val="9"/>
          <order val="2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World'!$M$2:$M$358</f>
              <numCache>
                <formatCode>0.00</formatCode>
                <ptCount val="357"/>
                <pt idx="0">
                  <v>91.31831205287402</v>
                </pt>
                <pt idx="1">
                  <v>90.76985934397965</v>
                </pt>
                <pt idx="2">
                  <v>91.95818602687694</v>
                </pt>
                <pt idx="3">
                  <v>92.59805064066023</v>
                </pt>
                <pt idx="4">
                  <v>92.04959793176587</v>
                </pt>
                <pt idx="5">
                  <v>93.42073906422141</v>
                </pt>
                <pt idx="6">
                  <v>91.2269095082047</v>
                </pt>
                <pt idx="7">
                  <v>91.31831205287402</v>
                </pt>
                <pt idx="8">
                  <v>90.86126188864895</v>
                </pt>
                <pt idx="9">
                  <v>90.76985934397965</v>
                </pt>
                <pt idx="10">
                  <v>90.31280917975459</v>
                </pt>
                <pt idx="11">
                  <v>89.7643471106406</v>
                </pt>
                <pt idx="12">
                  <v>89.58153266108236</v>
                </pt>
                <pt idx="13">
                  <v>89.49012075619342</v>
                </pt>
                <pt idx="14">
                  <v>88.57602978796295</v>
                </pt>
                <pt idx="15">
                  <v>87.38769374484603</v>
                </pt>
                <pt idx="16">
                  <v>88.39320597818508</v>
                </pt>
                <pt idx="17">
                  <v>88.75884423752119</v>
                </pt>
                <pt idx="18">
                  <v>87.93615581396003</v>
                </pt>
                <pt idx="19">
                  <v>87.11346739039885</v>
                </pt>
                <pt idx="20">
                  <v>87.20487929528778</v>
                </pt>
                <pt idx="21">
                  <v>88.30179407329614</v>
                </pt>
                <pt idx="22">
                  <v>88.57602978796295</v>
                </pt>
                <pt idx="23">
                  <v>88.21038216840719</v>
                </pt>
                <pt idx="24">
                  <v>88.11897962373789</v>
                </pt>
                <pt idx="25">
                  <v>88.66743233263226</v>
                </pt>
                <pt idx="26">
                  <v>88.30179407329614</v>
                </pt>
                <pt idx="27">
                  <v>88.85025614241013</v>
                </pt>
                <pt idx="28">
                  <v>87.02206484572955</v>
                </pt>
                <pt idx="29">
                  <v>87.93615581396003</v>
                </pt>
                <pt idx="30">
                  <v>88.75884423752119</v>
                </pt>
                <pt idx="31">
                  <v>88.57602978796295</v>
                </pt>
                <pt idx="32">
                  <v>89.21589440174624</v>
                </pt>
                <pt idx="33">
                  <v>90.12999473019636</v>
                </pt>
                <pt idx="34">
                  <v>88.94165868707944</v>
                </pt>
                <pt idx="35">
                  <v>88.85025614241013</v>
                </pt>
                <pt idx="36">
                  <v>88.94165868707944</v>
                </pt>
                <pt idx="37">
                  <v>90.22139727486567</v>
                </pt>
                <pt idx="38">
                  <v>89.49012075619342</v>
                </pt>
                <pt idx="39">
                  <v>89.58153266108236</v>
                </pt>
                <pt idx="40">
                  <v>90.22139727486567</v>
                </pt>
                <pt idx="41">
                  <v>89.67294456597131</v>
                </pt>
                <pt idx="42">
                  <v>90.49563298953247</v>
                </pt>
                <pt idx="43">
                  <v>90.76985934397965</v>
                </pt>
                <pt idx="44">
                  <v>91.13549760331577</v>
                </pt>
                <pt idx="45">
                  <v>91.31831205287402</v>
                </pt>
                <pt idx="46">
                  <v>92.14100047643518</v>
                </pt>
                <pt idx="47">
                  <v>92.415236191102</v>
                </pt>
                <pt idx="48">
                  <v>92.96369826021598</v>
                </pt>
                <pt idx="49">
                  <v>93.23791525444354</v>
                </pt>
                <pt idx="50">
                  <v>93.60360031487778</v>
                </pt>
                <pt idx="51">
                  <v>94.79188019667694</v>
                </pt>
                <pt idx="52">
                  <v>96.07160942424353</v>
                </pt>
                <pt idx="53">
                  <v>94.88332954244439</v>
                </pt>
                <pt idx="54">
                  <v>95.43174481046023</v>
                </pt>
                <pt idx="55">
                  <v>95.79735498913747</v>
                </pt>
                <pt idx="56">
                  <v>96.71147403802682</v>
                </pt>
                <pt idx="57">
                  <v>96.89427912736545</v>
                </pt>
                <pt idx="58">
                  <v>96.80292338379428</v>
                </pt>
                <pt idx="59">
                  <v>97.80839817625481</v>
                </pt>
                <pt idx="60">
                  <v>96.07160942424353</v>
                </pt>
                <pt idx="61">
                  <v>96.07160942424353</v>
                </pt>
                <pt idx="62">
                  <v>96.43721960292076</v>
                </pt>
                <pt idx="63">
                  <v>97.25998290823895</v>
                </pt>
                <pt idx="64">
                  <v>97.16853356247152</v>
                </pt>
                <pt idx="65">
                  <v>96.62011829445566</v>
                </pt>
                <pt idx="66">
                  <v>97.16853356247152</v>
                </pt>
                <pt idx="67">
                  <v>97.35133865181012</v>
                </pt>
                <pt idx="68">
                  <v>97.6255930869162</v>
                </pt>
                <pt idx="69">
                  <v>97.25998290823895</v>
                </pt>
                <pt idx="70">
                  <v>97.80839817625481</v>
                </pt>
                <pt idx="71">
                  <v>98.35690704646694</v>
                </pt>
                <pt idx="72">
                  <v>97.89984752202226</v>
                </pt>
                <pt idx="73">
                  <v>98.63106787937673</v>
                </pt>
                <pt idx="74">
                  <v>98.72251722514417</v>
                </pt>
                <pt idx="75">
                  <v>97.53414374114874</v>
                </pt>
                <pt idx="76">
                  <v>98.26545770069949</v>
                </pt>
                <pt idx="77">
                  <v>97.6255930869162</v>
                </pt>
                <pt idx="78">
                  <v>97.6255930869162</v>
                </pt>
                <pt idx="79">
                  <v>98.26545770069949</v>
                </pt>
                <pt idx="80">
                  <v>98.81387296871533</v>
                </pt>
                <pt idx="81">
                  <v>98.72251722514417</v>
                </pt>
                <pt idx="82">
                  <v>99.27093249316003</v>
                </pt>
                <pt idx="83">
                  <v>99.72799201760471</v>
                </pt>
                <pt idx="84">
                  <v>99.90284092025937</v>
                </pt>
                <pt idx="85">
                  <v>100.0971590797406</v>
                </pt>
                <pt idx="86">
                  <v>99.31969923742291</v>
                </pt>
                <pt idx="87">
                  <v>99.51411099910048</v>
                </pt>
                <pt idx="88">
                  <v>99.12538107794161</v>
                </pt>
                <pt idx="89">
                  <v>99.22254015768226</v>
                </pt>
                <pt idx="90">
                  <v>100.6803007625771</v>
                </pt>
                <pt idx="91">
                  <v>99.02822199820096</v>
                </pt>
                <pt idx="92">
                  <v>99.51411099910048</v>
                </pt>
                <pt idx="93">
                  <v>100.1943181594813</v>
                </pt>
                <pt idx="94">
                  <v>100.4858890008995</v>
                </pt>
                <pt idx="95">
                  <v>100.2915708414182</v>
                </pt>
                <pt idx="96">
                  <v>100.0971590797406</v>
                </pt>
                <pt idx="97">
                  <v>101.2633488432173</v>
                </pt>
                <pt idx="98">
                  <v>101.5549196846355</v>
                </pt>
                <pt idx="99">
                  <v>101.4577606048948</v>
                </pt>
                <pt idx="100">
                  <v>100.4858890008995</v>
                </pt>
                <pt idx="101">
                  <v>100.3887299211589</v>
                </pt>
                <pt idx="102">
                  <v>100.7774598423177</v>
                </pt>
                <pt idx="103">
                  <v>100.0971590797406</v>
                </pt>
                <pt idx="104">
                  <v>100.0971590797406</v>
                </pt>
                <pt idx="105">
                  <v>100.1943181594813</v>
                </pt>
                <pt idx="106">
                  <v>100.0971590797406</v>
                </pt>
                <pt idx="107">
                  <v>100.2915708414182</v>
                </pt>
                <pt idx="108">
                  <v>100</v>
                </pt>
                <pt idx="109">
                  <v>99.80558823832241</v>
                </pt>
                <pt idx="110">
                  <v>100.6803007625771</v>
                </pt>
                <pt idx="111">
                  <v>99.80558823832241</v>
                </pt>
                <pt idx="112">
                  <v>100.5830480806402</v>
                </pt>
                <pt idx="113">
                  <v>101.2633488432173</v>
                </pt>
                <pt idx="114">
                  <v>101.6520787643761</v>
                </pt>
                <pt idx="115">
                  <v>103.109839369271</v>
                </pt>
                <pt idx="116">
                  <v>103.4013166084929</v>
                </pt>
                <pt idx="117">
                  <v>103.2069984490116</v>
                </pt>
                <pt idx="118">
                  <v>103.7900465296518</v>
                </pt>
                <pt idx="119">
                  <v>102.9154276075934</v>
                </pt>
                <pt idx="120">
                  <v>102.8182685278527</v>
                </pt>
                <pt idx="121">
                  <v>103.4985692904298</v>
                </pt>
                <pt idx="122">
                  <v>103.4013166084929</v>
                </pt>
                <pt idx="123">
                  <v>103.109839369271</v>
                </pt>
                <pt idx="124">
                  <v>103.3041575287523</v>
                </pt>
                <pt idx="125">
                  <v>103.8872992115887</v>
                </pt>
                <pt idx="126">
                  <v>102.8182685278527</v>
                </pt>
                <pt idx="127">
                  <v>103.8872992115887</v>
                </pt>
                <pt idx="128">
                  <v>102.9154276075934</v>
                </pt>
                <pt idx="129">
                  <v>103.109839369271</v>
                </pt>
                <pt idx="130">
                  <v>104.1787764508106</v>
                </pt>
                <pt idx="131">
                  <v>103.8872992115887</v>
                </pt>
                <pt idx="132">
                  <v>103.7900465296518</v>
                </pt>
                <pt idx="133">
                  <v>103.012586687334</v>
                </pt>
                <pt idx="134">
                  <v>102.8182685278527</v>
                </pt>
                <pt idx="135">
                  <v>102.040808685535</v>
                </pt>
                <pt idx="136">
                  <v>102.040808685535</v>
                </pt>
                <pt idx="137">
                  <v>101.9436496057944</v>
                </pt>
                <pt idx="138">
                  <v>101.1661897634766</v>
                </pt>
                <pt idx="139">
                  <v>102.9154276075934</v>
                </pt>
                <pt idx="140">
                  <v>101.4577606048948</v>
                </pt>
                <pt idx="141">
                  <v>100.5830480806402</v>
                </pt>
                <pt idx="142">
                  <v>100.1943181594813</v>
                </pt>
                <pt idx="143">
                  <v>100.2915708414182</v>
                </pt>
                <pt idx="144">
                  <v>100</v>
                </pt>
                <pt idx="145">
                  <v>100.5830480806402</v>
                </pt>
                <pt idx="146">
                  <v>102.4295386066939</v>
                </pt>
                <pt idx="147">
                  <v>100.6803007625771</v>
                </pt>
                <pt idx="148">
                  <v>101.8464905260537</v>
                </pt>
                <pt idx="149">
                  <v>98.44508031536452</v>
                </pt>
                <pt idx="150">
                  <v>99.51411099910048</v>
                </pt>
                <pt idx="151">
                  <v>100.2915708414182</v>
                </pt>
                <pt idx="152">
                  <v>101.5549196846355</v>
                </pt>
                <pt idx="153">
                  <v>99.90284092025937</v>
                </pt>
                <pt idx="154">
                  <v>99.61127007884113</v>
                </pt>
                <pt idx="155">
                  <v>99.90284092025937</v>
                </pt>
                <pt idx="156">
                  <v>99.31969923742291</v>
                </pt>
                <pt idx="157">
                  <v>100</v>
                </pt>
                <pt idx="158">
                  <v>99.80558823832241</v>
                </pt>
                <pt idx="159">
                  <v>99.31969923742291</v>
                </pt>
                <pt idx="160">
                  <v>99.02822199820096</v>
                </pt>
                <pt idx="161">
                  <v>99.70842915858178</v>
                </pt>
                <pt idx="162">
                  <v>100.3887299211589</v>
                </pt>
                <pt idx="163">
                  <v>100.2915708414182</v>
                </pt>
                <pt idx="164">
                  <v>100.2915708414182</v>
                </pt>
                <pt idx="165">
                  <v>101.069030683736</v>
                </pt>
                <pt idx="166">
                  <v>100.6803007625771</v>
                </pt>
                <pt idx="167">
                  <v>101.3605079229579</v>
                </pt>
                <pt idx="168">
                  <v>100.7774598423177</v>
                </pt>
                <pt idx="169">
                  <v>100.4858890008995</v>
                </pt>
                <pt idx="170">
                  <v>102.5266976864345</v>
                </pt>
                <pt idx="171">
                  <v>101.9436496057944</v>
                </pt>
                <pt idx="172">
                  <v>101.4577606048948</v>
                </pt>
                <pt idx="173">
                  <v>101.6520787643761</v>
                </pt>
                <pt idx="174">
                  <v>100</v>
                </pt>
                <pt idx="175">
                  <v>99.80558823832241</v>
                </pt>
                <pt idx="176">
                  <v>100.2915708414182</v>
                </pt>
                <pt idx="177">
                  <v>100.6803007625771</v>
                </pt>
                <pt idx="178">
                  <v>101.1661897634766</v>
                </pt>
                <pt idx="179">
                  <v>101.1661897634766</v>
                </pt>
                <pt idx="180">
                  <v>100.5830480806402</v>
                </pt>
                <pt idx="181">
                  <v>100.7774598423177</v>
                </pt>
                <pt idx="182">
                  <v>99.02822199820096</v>
                </pt>
                <pt idx="183">
                  <v>100.7774598423177</v>
                </pt>
                <pt idx="184">
                  <v>101.069030683736</v>
                </pt>
                <pt idx="185">
                  <v>101.1661897634766</v>
                </pt>
                <pt idx="186">
                  <v>100.6803007625771</v>
                </pt>
                <pt idx="187">
                  <v>99.90284092025937</v>
                </pt>
                <pt idx="188">
                  <v>99.41695191935983</v>
                </pt>
                <pt idx="189">
                  <v>99.31969923742291</v>
                </pt>
                <pt idx="190">
                  <v>100.4858890008995</v>
                </pt>
                <pt idx="191">
                  <v>101.3605079229579</v>
                </pt>
                <pt idx="192">
                  <v>101.7492378441168</v>
                </pt>
                <pt idx="193">
                  <v>101.1661897634766</v>
                </pt>
                <pt idx="194">
                  <v>101.5549196846355</v>
                </pt>
                <pt idx="195">
                  <v>101.069030683736</v>
                </pt>
                <pt idx="196">
                  <v>101.069030683736</v>
                </pt>
                <pt idx="197">
                  <v>101.8464905260537</v>
                </pt>
                <pt idx="198">
                  <v>100.971778001799</v>
                </pt>
                <pt idx="199">
                  <v>101.7492378441168</v>
                </pt>
                <pt idx="200">
                  <v>101.9436496057944</v>
                </pt>
                <pt idx="201">
                  <v>101.5549196846355</v>
                </pt>
                <pt idx="202">
                  <v>101.9436496057944</v>
                </pt>
                <pt idx="203">
                  <v>101.2633488432173</v>
                </pt>
                <pt idx="204">
                  <v>102.7211094481121</v>
                </pt>
                <pt idx="205">
                  <v>101.9436496057944</v>
                </pt>
                <pt idx="206">
                  <v>101.9436496057944</v>
                </pt>
                <pt idx="207">
                  <v>101.6520787643761</v>
                </pt>
                <pt idx="208">
                  <v>103.3041575287523</v>
                </pt>
                <pt idx="209">
                  <v>102.2351268450163</v>
                </pt>
                <pt idx="210">
                  <v>101.9436496057944</v>
                </pt>
                <pt idx="211">
                  <v>102.7211094481121</v>
                </pt>
                <pt idx="212">
                  <v>101.6520787643761</v>
                </pt>
                <pt idx="213">
                  <v>102.040808685535</v>
                </pt>
                <pt idx="214">
                  <v>102.5266976864345</v>
                </pt>
                <pt idx="215">
                  <v>102.3323795269532</v>
                </pt>
                <pt idx="216">
                  <v>102.7211094481121</v>
                </pt>
                <pt idx="217">
                  <v>102.4295386066939</v>
                </pt>
                <pt idx="218">
                  <v>101.069030683736</v>
                </pt>
                <pt idx="219">
                  <v>102.2351268450163</v>
                </pt>
                <pt idx="220">
                  <v>101.1661897634766</v>
                </pt>
                <pt idx="221">
                  <v>100.2915708414182</v>
                </pt>
                <pt idx="222">
                  <v>100</v>
                </pt>
                <pt idx="223">
                  <v>100.7774598423177</v>
                </pt>
                <pt idx="224">
                  <v>99.31969923742291</v>
                </pt>
                <pt idx="225">
                  <v>98.44508031536452</v>
                </pt>
                <pt idx="226">
                  <v>95.33524094609356</v>
                </pt>
                <pt idx="227">
                  <v>94.0718921028763</v>
                </pt>
                <pt idx="228">
                  <v>91.73954065658197</v>
                </pt>
                <pt idx="229">
                  <v>91.73954065658197</v>
                </pt>
                <pt idx="230">
                  <v>91.44799789582262</v>
                </pt>
                <pt idx="231">
                  <v>92.90573042005859</v>
                </pt>
                <pt idx="232">
                  <v>91.44799789582262</v>
                </pt>
                <pt idx="233">
                  <v>91.9339056171614</v>
                </pt>
                <pt idx="234">
                  <v>93.10009538063801</v>
                </pt>
                <pt idx="235">
                  <v>90.76772521390441</v>
                </pt>
                <pt idx="236">
                  <v>91.83672781698151</v>
                </pt>
                <pt idx="237">
                  <v>92.22545773814038</v>
                </pt>
                <pt idx="238">
                  <v>92.90573042005859</v>
                </pt>
                <pt idx="239">
                  <v>92.71136545947915</v>
                </pt>
                <pt idx="240">
                  <v>93.10009538063801</v>
                </pt>
                <pt idx="241">
                  <v>94.16905118261695</v>
                </pt>
                <pt idx="242">
                  <v>95.62681178751178</v>
                </pt>
                <pt idx="243">
                  <v>95.62681178751178</v>
                </pt>
                <pt idx="244">
                  <v>95.52965270777113</v>
                </pt>
                <pt idx="245">
                  <v>94.55778110377582</v>
                </pt>
                <pt idx="246">
                  <v>94.7521928654534</v>
                </pt>
                <pt idx="247">
                  <v>95.43249362803049</v>
                </pt>
                <pt idx="248">
                  <v>95.62681178751178</v>
                </pt>
                <pt idx="249">
                  <v>96.20985986815195</v>
                </pt>
                <pt idx="250">
                  <v>96.40427162982952</v>
                </pt>
                <pt idx="251">
                  <v>96.69584247124774</v>
                </pt>
                <pt idx="252">
                  <v>96.98731971046969</v>
                </pt>
                <pt idx="253">
                  <v>95.72397086725243</v>
                </pt>
                <pt idx="254">
                  <v>95.72397086725243</v>
                </pt>
                <pt idx="255">
                  <v>94.65503378571275</v>
                </pt>
                <pt idx="256">
                  <v>95.52965270777113</v>
                </pt>
                <pt idx="257">
                  <v>95.52965270777113</v>
                </pt>
                <pt idx="258">
                  <v>95.33524094609356</v>
                </pt>
                <pt idx="259">
                  <v>94.94651102493469</v>
                </pt>
                <pt idx="260">
                  <v>94.65503378571275</v>
                </pt>
                <pt idx="261">
                  <v>94.65503378571275</v>
                </pt>
                <pt idx="262">
                  <v>94.36346294429453</v>
                </pt>
                <pt idx="263">
                  <v>94.26630386455389</v>
                </pt>
                <pt idx="264">
                  <v>94.36346294429453</v>
                </pt>
                <pt idx="265">
                  <v>94.0718921028763</v>
                </pt>
                <pt idx="266">
                  <v>93.19727318081792</v>
                </pt>
                <pt idx="267">
                  <v>93.39163814139735</v>
                </pt>
                <pt idx="268">
                  <v>93.87757394339502</v>
                </pt>
                <pt idx="269">
                  <v>91.9339056171614</v>
                </pt>
                <pt idx="270">
                  <v>94.55778110377582</v>
                </pt>
                <pt idx="271">
                  <v>93.97473302313566</v>
                </pt>
                <pt idx="272">
                  <v>90.96209017448386</v>
                </pt>
                <pt idx="273">
                  <v>90.86490301408432</v>
                </pt>
                <pt idx="274">
                  <v>91.44799789582262</v>
                </pt>
                <pt idx="275">
                  <v>92.12827057774084</v>
                </pt>
                <pt idx="276">
                  <v>91.25363293524319</v>
                </pt>
                <pt idx="277">
                  <v>91.1564551350633</v>
                </pt>
                <pt idx="278">
                  <v>91.64236285640206</v>
                </pt>
                <pt idx="279">
                  <v>90.96209017448386</v>
                </pt>
                <pt idx="280">
                  <v>91.54518505622217</v>
                </pt>
                <pt idx="281">
                  <v>92.03109277756094</v>
                </pt>
                <pt idx="282">
                  <v>92.22545773814038</v>
                </pt>
                <pt idx="283">
                  <v>91.73954065658197</v>
                </pt>
                <pt idx="284">
                  <v>92.80854325965905</v>
                </pt>
                <pt idx="285">
                  <v>92.61417829907961</v>
                </pt>
                <pt idx="286">
                  <v>92.61417829907961</v>
                </pt>
                <pt idx="287">
                  <v>92.61417829907961</v>
                </pt>
                <pt idx="288">
                  <v>92.90573042005859</v>
                </pt>
                <pt idx="289">
                  <v>93.29446034121744</v>
                </pt>
                <pt idx="290">
                  <v>93.00290822023848</v>
                </pt>
                <pt idx="291">
                  <v>93.39163814139735</v>
                </pt>
                <pt idx="292">
                  <v>93.10009538063801</v>
                </pt>
                <pt idx="293">
                  <v>93.29446034121744</v>
                </pt>
                <pt idx="294">
                  <v>93.78032126145807</v>
                </pt>
                <pt idx="295">
                  <v>93.10009538063801</v>
                </pt>
                <pt idx="296">
                  <v>93.58600310197679</v>
                </pt>
                <pt idx="297">
                  <v>93.19727318081792</v>
                </pt>
                <pt idx="298">
                  <v>93.29446034121744</v>
                </pt>
                <pt idx="299">
                  <v>93.48881594157726</v>
                </pt>
                <pt idx="300">
                  <v>93.00290822023848</v>
                </pt>
                <pt idx="301">
                  <v>93.58600310197679</v>
                </pt>
                <pt idx="302">
                  <v>94.0718921028763</v>
                </pt>
                <pt idx="303">
                  <v>94.26630386455389</v>
                </pt>
                <pt idx="304">
                  <v>94.16905118261695</v>
                </pt>
                <pt idx="305">
                  <v>94.26630386455389</v>
                </pt>
                <pt idx="306">
                  <v>93.19727318081792</v>
                </pt>
                <pt idx="307">
                  <v>93.48881594157726</v>
                </pt>
                <pt idx="308">
                  <v>94.0718921028763</v>
                </pt>
                <pt idx="309">
                  <v>93.78032126145807</v>
                </pt>
                <pt idx="310">
                  <v>92.90573042005859</v>
                </pt>
                <pt idx="311">
                  <v>92.32263553832027</v>
                </pt>
                <pt idx="312">
                  <v>93.10009538063801</v>
                </pt>
                <pt idx="313">
                  <v>92.61417829907961</v>
                </pt>
                <pt idx="314">
                  <v>93.48881594157726</v>
                </pt>
                <pt idx="315">
                  <v>96.20985986815195</v>
                </pt>
                <pt idx="316">
                  <v>95.33524094609356</v>
                </pt>
                <pt idx="317">
                  <v>94.7521928654534</v>
                </pt>
                <pt idx="318">
                  <v>94.55778110377582</v>
                </pt>
                <pt idx="319">
                  <v>94.46062202403517</v>
                </pt>
                <pt idx="320">
                  <v>94.94651102493469</v>
                </pt>
                <pt idx="321">
                  <v>93.78032126145807</v>
                </pt>
                <pt idx="322">
                  <v>95.23808186635291</v>
                </pt>
                <pt idx="323">
                  <v>96.69584247124774</v>
                </pt>
                <pt idx="324">
                  <v>96.79300155098839</v>
                </pt>
                <pt idx="325">
                  <v>95.62681178751178</v>
                </pt>
                <pt idx="326">
                  <v>95.04376370687162</v>
                </pt>
                <pt idx="327">
                  <v>95.14092278661226</v>
                </pt>
                <pt idx="328">
                  <v>95.62681178751178</v>
                </pt>
                <pt idx="329">
                  <v>95.91838262893002</v>
                </pt>
                <pt idx="330">
                  <v>96.01554170867065</v>
                </pt>
                <pt idx="331">
                  <v>95.91838262893002</v>
                </pt>
                <pt idx="332">
                  <v>97.47330231356548</v>
                </pt>
                <pt idx="333">
                  <v>97.27889055188791</v>
                </pt>
                <pt idx="334">
                  <v>97.47330231356548</v>
                </pt>
                <pt idx="335">
                  <v>97.08457239240661</v>
                </pt>
                <pt idx="336">
                  <v>97.66762047304678</v>
                </pt>
                <pt idx="337">
                  <v>97.66762047304678</v>
                </pt>
                <pt idx="338">
                  <v>97.37604963162856</v>
                </pt>
                <pt idx="339">
                  <v>97.66762047304678</v>
                </pt>
                <pt idx="340">
                  <v>96.69584247124774</v>
                </pt>
                <pt idx="341">
                  <v>97.37604963162856</v>
                </pt>
                <pt idx="342">
                  <v>97.76477955278743</v>
                </pt>
                <pt idx="343">
                  <v>97.37604963162856</v>
                </pt>
                <pt idx="344">
                  <v>97.57046139330615</v>
                </pt>
                <pt idx="345">
                  <v>96.69584247124774</v>
                </pt>
                <pt idx="346">
                  <v>96.1127007884113</v>
                </pt>
                <pt idx="347">
                  <v>96.1127007884113</v>
                </pt>
                <pt idx="348">
                  <v>96.59858978931082</v>
                </pt>
                <pt idx="349">
                  <v>96.98731971046969</v>
                </pt>
                <pt idx="350">
                  <v>98.44508031536452</v>
                </pt>
                <pt idx="351">
                  <v>95.33524094609356</v>
                </pt>
                <pt idx="352">
                  <v>96.50143070957017</v>
                </pt>
                <pt idx="353">
                  <v>96.1127007884113</v>
                </pt>
                <pt idx="354">
                  <v>95.91838262893002</v>
                </pt>
                <pt idx="355">
                  <v>95.14092278661226</v>
                </pt>
              </numCache>
            </numRef>
          </val>
          <smooth val="0"/>
        </ser>
        <ser>
          <idx val="10"/>
          <order val="3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World'!$O$2:$O$358</f>
              <numCache>
                <formatCode>0.00</formatCode>
                <ptCount val="357"/>
                <pt idx="0">
                  <v>70.58004669403519</v>
                </pt>
                <pt idx="1">
                  <v>71.272011003025</v>
                </pt>
                <pt idx="2">
                  <v>71.62077380573766</v>
                </pt>
                <pt idx="3">
                  <v>71.51193460008079</v>
                </pt>
                <pt idx="4">
                  <v>71.66451108499618</v>
                </pt>
                <pt idx="5">
                  <v>71.89464448311863</v>
                </pt>
                <pt idx="6">
                  <v>71.80162021420028</v>
                </pt>
                <pt idx="7">
                  <v>72.03765090375121</v>
                </pt>
                <pt idx="8">
                  <v>72.12878664908833</v>
                </pt>
                <pt idx="9">
                  <v>71.58672245110432</v>
                </pt>
                <pt idx="10">
                  <v>70.74974733755829</v>
                </pt>
                <pt idx="11">
                  <v>70.28692002774623</v>
                </pt>
                <pt idx="12">
                  <v>69.98176705791545</v>
                </pt>
                <pt idx="13">
                  <v>69.49323033812334</v>
                </pt>
                <pt idx="14">
                  <v>69.12910445400755</v>
                </pt>
                <pt idx="15">
                  <v>69.26542573288327</v>
                </pt>
                <pt idx="16">
                  <v>69.95884988218741</v>
                </pt>
                <pt idx="17">
                  <v>70.59605859335579</v>
                </pt>
                <pt idx="18">
                  <v>70.68019637401154</v>
                </pt>
                <pt idx="19">
                  <v>70.74061754257664</v>
                </pt>
                <pt idx="20">
                  <v>71.37038801976253</v>
                </pt>
                <pt idx="21">
                  <v>71.24608145839437</v>
                </pt>
                <pt idx="22">
                  <v>71.16450419130581</v>
                </pt>
                <pt idx="23">
                  <v>70.88151530497744</v>
                </pt>
                <pt idx="24">
                  <v>70.48500645515897</v>
                </pt>
                <pt idx="25">
                  <v>70.98990265529891</v>
                </pt>
                <pt idx="26">
                  <v>71.57981717469688</v>
                </pt>
                <pt idx="27">
                  <v>72.12244908835868</v>
                </pt>
                <pt idx="28">
                  <v>72.3577035136155</v>
                </pt>
                <pt idx="29">
                  <v>72.36806142822667</v>
                </pt>
                <pt idx="30">
                  <v>73.02208147507827</v>
                </pt>
                <pt idx="31">
                  <v>72.66274062310387</v>
                </pt>
                <pt idx="32">
                  <v>72.83156072802468</v>
                </pt>
                <pt idx="33">
                  <v>73.37785382850653</v>
                </pt>
                <pt idx="34">
                  <v>73.69000476301868</v>
                </pt>
                <pt idx="35">
                  <v>73.75655494369708</v>
                </pt>
                <pt idx="36">
                  <v>74.07606300995205</v>
                </pt>
                <pt idx="37">
                  <v>74.40445756446961</v>
                </pt>
                <pt idx="38">
                  <v>74.30029911664599</v>
                </pt>
                <pt idx="39">
                  <v>74.56092695688987</v>
                </pt>
                <pt idx="40">
                  <v>74.30207177988481</v>
                </pt>
                <pt idx="41">
                  <v>74.42526608196586</v>
                </pt>
                <pt idx="42">
                  <v>74.65495921078715</v>
                </pt>
                <pt idx="43">
                  <v>74.57649858690934</v>
                </pt>
                <pt idx="44">
                  <v>74.93317465100839</v>
                </pt>
                <pt idx="45">
                  <v>75.50851393933158</v>
                </pt>
                <pt idx="46">
                  <v>75.82133686382969</v>
                </pt>
                <pt idx="47">
                  <v>76.23620957791961</v>
                </pt>
                <pt idx="48">
                  <v>76.52488720706015</v>
                </pt>
                <pt idx="49">
                  <v>76.54581158489881</v>
                </pt>
                <pt idx="50">
                  <v>77.31700119602631</v>
                </pt>
                <pt idx="51">
                  <v>77.75513866687152</v>
                </pt>
                <pt idx="52">
                  <v>78.15331590562062</v>
                </pt>
                <pt idx="53">
                  <v>78.65209467968148</v>
                </pt>
                <pt idx="54">
                  <v>78.77261260785293</v>
                </pt>
                <pt idx="55">
                  <v>79.24079266548419</v>
                </pt>
                <pt idx="56">
                  <v>79.54281740606999</v>
                </pt>
                <pt idx="57">
                  <v>80.21642943682257</v>
                </pt>
                <pt idx="58">
                  <v>80.71086344804317</v>
                </pt>
                <pt idx="59">
                  <v>81.55841661085094</v>
                </pt>
                <pt idx="60">
                  <v>81.70754045756262</v>
                </pt>
                <pt idx="61">
                  <v>81.57466023085635</v>
                </pt>
                <pt idx="62">
                  <v>81.69217737615949</v>
                </pt>
                <pt idx="63">
                  <v>81.63998229190526</v>
                </pt>
                <pt idx="64">
                  <v>81.91730560748995</v>
                </pt>
                <pt idx="65">
                  <v>82.19530091306061</v>
                </pt>
                <pt idx="66">
                  <v>81.86834302678888</v>
                </pt>
                <pt idx="67">
                  <v>82.90172459278276</v>
                </pt>
                <pt idx="68">
                  <v>83.23415108721608</v>
                </pt>
                <pt idx="69">
                  <v>83.13175371659702</v>
                </pt>
                <pt idx="70">
                  <v>83.34097432291506</v>
                </pt>
                <pt idx="71">
                  <v>83.65903413488994</v>
                </pt>
                <pt idx="72">
                  <v>83.1121733187303</v>
                </pt>
                <pt idx="73">
                  <v>84.39227948387924</v>
                </pt>
                <pt idx="74">
                  <v>84.31293832139913</v>
                </pt>
                <pt idx="75">
                  <v>85.08425537890328</v>
                </pt>
                <pt idx="76">
                  <v>85.7073407143323</v>
                </pt>
                <pt idx="77">
                  <v>86.43158371471661</v>
                </pt>
                <pt idx="78">
                  <v>86.3195120055066</v>
                </pt>
                <pt idx="79">
                  <v>86.82007502884053</v>
                </pt>
                <pt idx="80">
                  <v>87.41790280962488</v>
                </pt>
                <pt idx="81">
                  <v>87.36592786002123</v>
                </pt>
                <pt idx="82">
                  <v>88.13724491752538</v>
                </pt>
                <pt idx="83">
                  <v>88.71003527831566</v>
                </pt>
                <pt idx="84">
                  <v>88.83577850792966</v>
                </pt>
                <pt idx="85">
                  <v>89.91046428599152</v>
                </pt>
                <pt idx="86">
                  <v>90.51252096927372</v>
                </pt>
                <pt idx="87">
                  <v>90.53376975607111</v>
                </pt>
                <pt idx="88">
                  <v>91.06370337620513</v>
                </pt>
                <pt idx="89">
                  <v>91.50794668709516</v>
                </pt>
                <pt idx="90">
                  <v>92.20593573389012</v>
                </pt>
                <pt idx="91">
                  <v>93.1693260670361</v>
                </pt>
                <pt idx="92">
                  <v>93.99695125094991</v>
                </pt>
                <pt idx="93">
                  <v>94.80566802698294</v>
                </pt>
                <pt idx="94">
                  <v>95.63796238269575</v>
                </pt>
                <pt idx="95">
                  <v>95.93287329825776</v>
                </pt>
                <pt idx="96">
                  <v>96.42552306020532</v>
                </pt>
                <pt idx="97">
                  <v>96.55217000049008</v>
                </pt>
                <pt idx="98">
                  <v>96.61737620119658</v>
                </pt>
                <pt idx="99">
                  <v>96.97494438993215</v>
                </pt>
                <pt idx="100">
                  <v>97.59157630428911</v>
                </pt>
                <pt idx="101">
                  <v>96.9792891527724</v>
                </pt>
                <pt idx="102">
                  <v>96.6424252072249</v>
                </pt>
                <pt idx="103">
                  <v>98.62596585526192</v>
                </pt>
                <pt idx="104">
                  <v>98.43322058963413</v>
                </pt>
                <pt idx="105">
                  <v>99.2302354710841</v>
                </pt>
                <pt idx="106">
                  <v>99.16580553467173</v>
                </pt>
                <pt idx="107">
                  <v>99.53405604697718</v>
                </pt>
                <pt idx="108">
                  <v>100</v>
                </pt>
                <pt idx="109">
                  <v>100.5332819840296</v>
                </pt>
                <pt idx="110">
                  <v>100.6927521593182</v>
                </pt>
                <pt idx="111">
                  <v>100.9659508467132</v>
                </pt>
                <pt idx="112">
                  <v>101.661043384948</v>
                </pt>
                <pt idx="113">
                  <v>101.4912152950482</v>
                </pt>
                <pt idx="114">
                  <v>102.1335566193852</v>
                </pt>
                <pt idx="115">
                  <v>102.5634564198853</v>
                </pt>
                <pt idx="116">
                  <v>102.130660110825</v>
                </pt>
                <pt idx="117">
                  <v>103.4926795380556</v>
                </pt>
                <pt idx="118">
                  <v>103.9814363924982</v>
                </pt>
                <pt idx="119">
                  <v>104.7851364157051</v>
                </pt>
                <pt idx="120">
                  <v>104.8035118660108</v>
                </pt>
                <pt idx="121">
                  <v>105.1149908105369</v>
                </pt>
                <pt idx="122">
                  <v>105.4959164443017</v>
                </pt>
                <pt idx="123">
                  <v>106.2557749139418</v>
                </pt>
                <pt idx="124">
                  <v>106.4368298710208</v>
                </pt>
                <pt idx="125">
                  <v>106.538995520955</v>
                </pt>
                <pt idx="126">
                  <v>106.3779612310439</v>
                </pt>
                <pt idx="127">
                  <v>106.0670384161613</v>
                </pt>
                <pt idx="128">
                  <v>106.4763382477815</v>
                </pt>
                <pt idx="129">
                  <v>106.1625189243387</v>
                </pt>
                <pt idx="130">
                  <v>106.1913333914952</v>
                </pt>
                <pt idx="131">
                  <v>105.8957620719815</v>
                </pt>
                <pt idx="132">
                  <v>105.2141440915686</v>
                </pt>
                <pt idx="133">
                  <v>104.540868055809</v>
                </pt>
                <pt idx="134">
                  <v>104.2963795612624</v>
                </pt>
                <pt idx="135">
                  <v>103.9923504367529</v>
                </pt>
                <pt idx="136">
                  <v>103.3570186631315</v>
                </pt>
                <pt idx="137">
                  <v>102.7391702151793</v>
                </pt>
                <pt idx="138">
                  <v>102.1521406183073</v>
                </pt>
                <pt idx="139">
                  <v>102.0255052640567</v>
                </pt>
                <pt idx="140">
                  <v>101.6353339749679</v>
                </pt>
                <pt idx="141">
                  <v>101.1930950480015</v>
                </pt>
                <pt idx="142">
                  <v>100.697317056809</v>
                </pt>
                <pt idx="143">
                  <v>100.7210104968312</v>
                </pt>
                <pt idx="144">
                  <v>101.3576862504245</v>
                </pt>
                <pt idx="145">
                  <v>101.3308529951231</v>
                </pt>
                <pt idx="146">
                  <v>102.1573659197498</v>
                </pt>
                <pt idx="147">
                  <v>102.5792481845553</v>
                </pt>
                <pt idx="148">
                  <v>103.0129250322179</v>
                </pt>
                <pt idx="149">
                  <v>103.9931267010471</v>
                </pt>
                <pt idx="150">
                  <v>103.7439574486672</v>
                </pt>
                <pt idx="151">
                  <v>103.7575362807973</v>
                </pt>
                <pt idx="152">
                  <v>103.901654960717</v>
                </pt>
                <pt idx="153">
                  <v>103.5878240512399</v>
                </pt>
                <pt idx="154">
                  <v>104.1285674413205</v>
                </pt>
                <pt idx="155">
                  <v>103.6177623637178</v>
                </pt>
                <pt idx="156">
                  <v>104.407327425151</v>
                </pt>
                <pt idx="157">
                  <v>104.5557792818767</v>
                </pt>
                <pt idx="158">
                  <v>104.3138513008973</v>
                </pt>
                <pt idx="159">
                  <v>103.568139379065</v>
                </pt>
                <pt idx="160">
                  <v>103.5971739808721</v>
                </pt>
                <pt idx="161">
                  <v>103.7705589832838</v>
                </pt>
                <pt idx="162">
                  <v>104.2274890016674</v>
                </pt>
                <pt idx="163">
                  <v>104.0788170102911</v>
                </pt>
                <pt idx="164">
                  <v>104.6914401568007</v>
                </pt>
                <pt idx="165">
                  <v>104.8392316095747</v>
                </pt>
                <pt idx="166">
                  <v>105.647044674937</v>
                </pt>
                <pt idx="167">
                  <v>105.5718165546123</v>
                </pt>
                <pt idx="168">
                  <v>105.8414583294955</v>
                </pt>
                <pt idx="169">
                  <v>106.4826873945454</v>
                </pt>
                <pt idx="170">
                  <v>105.9530781833701</v>
                </pt>
                <pt idx="171">
                  <v>106.4312685745853</v>
                </pt>
                <pt idx="172">
                  <v>107.2749172438539</v>
                </pt>
                <pt idx="173">
                  <v>106.3905436642293</v>
                </pt>
                <pt idx="174">
                  <v>107.210267172791</v>
                </pt>
                <pt idx="175">
                  <v>107.2892723402781</v>
                </pt>
                <pt idx="176">
                  <v>107.3796434073553</v>
                </pt>
                <pt idx="177">
                  <v>108.4020182408206</v>
                </pt>
                <pt idx="178">
                  <v>108.6293709907252</v>
                </pt>
                <pt idx="179">
                  <v>109.4285061164413</v>
                </pt>
                <pt idx="180">
                  <v>109.9322900572941</v>
                </pt>
                <pt idx="181">
                  <v>110.6883714797718</v>
                </pt>
                <pt idx="182">
                  <v>110.5127503727517</v>
                </pt>
                <pt idx="183">
                  <v>110.6989379429993</v>
                </pt>
                <pt idx="184">
                  <v>110.8434968922201</v>
                </pt>
                <pt idx="185">
                  <v>111.2686000745445</v>
                </pt>
                <pt idx="186">
                  <v>110.9168364889636</v>
                </pt>
                <pt idx="187">
                  <v>111.2220821470682</v>
                </pt>
                <pt idx="188">
                  <v>109.145957499414</v>
                </pt>
                <pt idx="189">
                  <v>110.5225521577193</v>
                </pt>
                <pt idx="190">
                  <v>111.6428637386209</v>
                </pt>
                <pt idx="191">
                  <v>112.3351524565695</v>
                </pt>
                <pt idx="192">
                  <v>112.4675924139746</v>
                </pt>
                <pt idx="193">
                  <v>112.4722615857736</v>
                </pt>
                <pt idx="194">
                  <v>112.7039590985185</v>
                </pt>
                <pt idx="195">
                  <v>113.1559998104525</v>
                </pt>
                <pt idx="196">
                  <v>113.0421554380036</v>
                </pt>
                <pt idx="197">
                  <v>113.4764926896179</v>
                </pt>
                <pt idx="198">
                  <v>113.4348756546254</v>
                </pt>
                <pt idx="199">
                  <v>113.8809032147885</v>
                </pt>
                <pt idx="200">
                  <v>113.6499935523719</v>
                </pt>
                <pt idx="201">
                  <v>113.5849959002818</v>
                </pt>
                <pt idx="202">
                  <v>113.4759365599743</v>
                </pt>
                <pt idx="203">
                  <v>114.6560089054894</v>
                </pt>
                <pt idx="204">
                  <v>114.0596293789851</v>
                </pt>
                <pt idx="205">
                  <v>115.2093231427211</v>
                </pt>
                <pt idx="206">
                  <v>115.4604851929903</v>
                </pt>
                <pt idx="207">
                  <v>116.2721100636178</v>
                </pt>
                <pt idx="208">
                  <v>116.3286499107122</v>
                </pt>
                <pt idx="209">
                  <v>116.3614383876133</v>
                </pt>
                <pt idx="210">
                  <v>116.3181066195532</v>
                </pt>
                <pt idx="211">
                  <v>116.577286205517</v>
                </pt>
                <pt idx="212">
                  <v>117.0284463788487</v>
                </pt>
                <pt idx="213">
                  <v>116.5344178788265</v>
                </pt>
                <pt idx="214">
                  <v>117.2206586869014</v>
                </pt>
                <pt idx="215">
                  <v>117.2338667659358</v>
                </pt>
                <pt idx="216">
                  <v>116.9181473328775</v>
                </pt>
                <pt idx="217">
                  <v>116.5258442134884</v>
                </pt>
                <pt idx="218">
                  <v>116.2500965985605</v>
                </pt>
                <pt idx="219">
                  <v>115.3695695823038</v>
                </pt>
                <pt idx="220">
                  <v>114.7195467172652</v>
                </pt>
                <pt idx="221">
                  <v>114.4504610720256</v>
                </pt>
                <pt idx="222">
                  <v>113.8447316158891</v>
                </pt>
                <pt idx="223">
                  <v>112.1032463952082</v>
                </pt>
                <pt idx="224">
                  <v>107.2415378792066</v>
                </pt>
                <pt idx="225">
                  <v>108.2615723337552</v>
                </pt>
                <pt idx="226">
                  <v>106.9008968864966</v>
                </pt>
                <pt idx="227">
                  <v>103.7755641500758</v>
                </pt>
                <pt idx="228">
                  <v>101.310820741921</v>
                </pt>
                <pt idx="229">
                  <v>100.6574726850553</v>
                </pt>
                <pt idx="230">
                  <v>99.06142695219752</v>
                </pt>
                <pt idx="231">
                  <v>98.27085390578537</v>
                </pt>
                <pt idx="232">
                  <v>97.28030590837926</v>
                </pt>
                <pt idx="233">
                  <v>96.9004925339016</v>
                </pt>
                <pt idx="234">
                  <v>97.96670892093353</v>
                </pt>
                <pt idx="235">
                  <v>99.06476373005884</v>
                </pt>
                <pt idx="236">
                  <v>99.81438014543021</v>
                </pt>
                <pt idx="237">
                  <v>100.1338766256509</v>
                </pt>
                <pt idx="238">
                  <v>100.5320538644001</v>
                </pt>
                <pt idx="239">
                  <v>100.8388636371273</v>
                </pt>
                <pt idx="240">
                  <v>102.0084622076887</v>
                </pt>
                <pt idx="241">
                  <v>102.3754846003646</v>
                </pt>
                <pt idx="242">
                  <v>103.0490966311172</v>
                </pt>
                <pt idx="243">
                  <v>103.4322583694904</v>
                </pt>
                <pt idx="244">
                  <v>104.9413856734747</v>
                </pt>
                <pt idx="245">
                  <v>105.0971946619433</v>
                </pt>
                <pt idx="246">
                  <v>105.5577974531811</v>
                </pt>
                <pt idx="247">
                  <v>105.8818588308927</v>
                </pt>
                <pt idx="248">
                  <v>106.1254552008028</v>
                </pt>
                <pt idx="249">
                  <v>105.844134703405</v>
                </pt>
                <pt idx="250">
                  <v>105.8746175594923</v>
                </pt>
                <pt idx="251">
                  <v>106.9002248965107</v>
                </pt>
                <pt idx="252">
                  <v>106.7627913583478</v>
                </pt>
                <pt idx="253">
                  <v>106.2942753057236</v>
                </pt>
                <pt idx="254">
                  <v>107.350261224521</v>
                </pt>
                <pt idx="255">
                  <v>106.9656628179019</v>
                </pt>
                <pt idx="256">
                  <v>107.2093750481545</v>
                </pt>
                <pt idx="257">
                  <v>107.5184093394559</v>
                </pt>
                <pt idx="258">
                  <v>108.0902033013014</v>
                </pt>
                <pt idx="259">
                  <v>108.6954693160683</v>
                </pt>
                <pt idx="260">
                  <v>108.6690995021365</v>
                </pt>
                <pt idx="261">
                  <v>109.4178237928714</v>
                </pt>
                <pt idx="262">
                  <v>109.3300132393613</v>
                </pt>
                <pt idx="263">
                  <v>109.9357426954978</v>
                </pt>
                <pt idx="264">
                  <v>110.6089144569493</v>
                </pt>
                <pt idx="265">
                  <v>110.8624168861351</v>
                </pt>
                <pt idx="266">
                  <v>110.3447181181592</v>
                </pt>
                <pt idx="267">
                  <v>111.1743360999624</v>
                </pt>
                <pt idx="268">
                  <v>111.3877856087783</v>
                </pt>
                <pt idx="269">
                  <v>111.3659806923374</v>
                </pt>
                <pt idx="270">
                  <v>111.6582152339898</v>
                </pt>
                <pt idx="271">
                  <v>111.1247131153096</v>
                </pt>
                <pt idx="272">
                  <v>111.1791327181381</v>
                </pt>
                <pt idx="273">
                  <v>111.4148389987303</v>
                </pt>
                <pt idx="274">
                  <v>111.9516778952718</v>
                </pt>
                <pt idx="275">
                  <v>112.3468427651183</v>
                </pt>
                <pt idx="276">
                  <v>112.1979506390914</v>
                </pt>
                <pt idx="277">
                  <v>112.8424006216602</v>
                </pt>
                <pt idx="278">
                  <v>113.3007788943239</v>
                </pt>
                <pt idx="279">
                  <v>113.1060292447725</v>
                </pt>
                <pt idx="280">
                  <v>113.2297796764971</v>
                </pt>
                <pt idx="281">
                  <v>113.4604692042631</v>
                </pt>
                <pt idx="282">
                  <v>112.9769376512629</v>
                </pt>
                <pt idx="283">
                  <v>113.72288129378</v>
                </pt>
                <pt idx="284">
                  <v>114.3085784967144</v>
                </pt>
                <pt idx="285">
                  <v>114.1083718250356</v>
                </pt>
                <pt idx="286">
                  <v>114.4431271123513</v>
                </pt>
                <pt idx="287">
                  <v>114.790881930085</v>
                </pt>
                <pt idx="288">
                  <v>114.3136995238488</v>
                </pt>
                <pt idx="289">
                  <v>115.2819907494785</v>
                </pt>
                <pt idx="290">
                  <v>116.3916779369815</v>
                </pt>
                <pt idx="291">
                  <v>116.4453212755158</v>
                </pt>
                <pt idx="292">
                  <v>116.8661260391369</v>
                </pt>
                <pt idx="293">
                  <v>117.3033829713798</v>
                </pt>
                <pt idx="294">
                  <v>117.5344084941388</v>
                </pt>
                <pt idx="295">
                  <v>117.4040656089313</v>
                </pt>
                <pt idx="296">
                  <v>117.7548907257387</v>
                </pt>
                <pt idx="297">
                  <v>117.7792213976442</v>
                </pt>
                <pt idx="298">
                  <v>118.7003111197775</v>
                </pt>
                <pt idx="299">
                  <v>118.5279109302763</v>
                </pt>
                <pt idx="300">
                  <v>117.9404989942743</v>
                </pt>
                <pt idx="301">
                  <v>117.341616884374</v>
                </pt>
                <pt idx="302">
                  <v>117.0121100705694</v>
                </pt>
                <pt idx="303">
                  <v>116.3230886142767</v>
                </pt>
                <pt idx="304">
                  <v>115.8189339203282</v>
                </pt>
                <pt idx="305">
                  <v>115.4218689408661</v>
                </pt>
                <pt idx="306">
                  <v>116.097276806926</v>
                </pt>
                <pt idx="307">
                  <v>115.9167663934564</v>
                </pt>
                <pt idx="308">
                  <v>115.4879672662092</v>
                </pt>
                <pt idx="309">
                  <v>115.0659807270955</v>
                </pt>
                <pt idx="310">
                  <v>114.2747356906974</v>
                </pt>
                <pt idx="311">
                  <v>113.6235078780978</v>
                </pt>
                <pt idx="312">
                  <v>114.5706545912383</v>
                </pt>
                <pt idx="313">
                  <v>113.758265042351</v>
                </pt>
                <pt idx="314">
                  <v>112.8601967702539</v>
                </pt>
                <pt idx="315">
                  <v>112.9728246091075</v>
                </pt>
                <pt idx="316">
                  <v>112.8761159813006</v>
                </pt>
                <pt idx="317">
                  <v>113.3712219825072</v>
                </pt>
                <pt idx="318">
                  <v>113.6581153623746</v>
                </pt>
                <pt idx="319">
                  <v>113.5559497124404</v>
                </pt>
                <pt idx="320">
                  <v>113.5637471134844</v>
                </pt>
                <pt idx="321">
                  <v>113.7872069558842</v>
                </pt>
                <pt idx="322">
                  <v>113.5670838913457</v>
                </pt>
                <pt idx="323">
                  <v>114.5434969269782</v>
                </pt>
                <pt idx="324">
                  <v>114.6642465758345</v>
                </pt>
                <pt idx="325">
                  <v>114.2316704014248</v>
                </pt>
                <pt idx="326">
                  <v>115.0052235635374</v>
                </pt>
                <pt idx="327">
                  <v>116.0391149150379</v>
                </pt>
                <pt idx="328">
                  <v>116.1958739583141</v>
                </pt>
                <pt idx="329">
                  <v>116.38727524397</v>
                </pt>
                <pt idx="330">
                  <v>116.3403518052953</v>
                </pt>
                <pt idx="331">
                  <v>115.7892157425008</v>
                </pt>
                <pt idx="332">
                  <v>115.7922281114034</v>
                </pt>
                <pt idx="333">
                  <v>117.5488910369396</v>
                </pt>
                <pt idx="334">
                  <v>118.176854092784</v>
                </pt>
                <pt idx="335">
                  <v>118.5584980606717</v>
                </pt>
                <pt idx="336">
                  <v>118.257492891099</v>
                </pt>
                <pt idx="337">
                  <v>118.6764438892417</v>
                </pt>
                <pt idx="338">
                  <v>119.3552696354025</v>
                </pt>
                <pt idx="339">
                  <v>120.435088026633</v>
                </pt>
                <pt idx="340">
                  <v>119.4798195034898</v>
                </pt>
                <pt idx="341">
                  <v>120.3777371571417</v>
                </pt>
                <pt idx="342">
                  <v>120.9133595200879</v>
                </pt>
                <pt idx="343">
                  <v>121.8843850497985</v>
                </pt>
                <pt idx="344">
                  <v>122.0516873842338</v>
                </pt>
                <pt idx="345">
                  <v>122.3204833786174</v>
                </pt>
                <pt idx="346">
                  <v>122.977295659721</v>
                </pt>
                <pt idx="347">
                  <v>123.0273473276407</v>
                </pt>
                <pt idx="348">
                  <v>122.5453683032288</v>
                </pt>
                <pt idx="349">
                  <v>121.927253376489</v>
                </pt>
                <pt idx="350">
                  <v>122.0585231444358</v>
                </pt>
                <pt idx="351">
                  <v>121.2881677277736</v>
                </pt>
                <pt idx="352">
                  <v>121.5525610291457</v>
                </pt>
                <pt idx="353">
                  <v>121.609332596925</v>
                </pt>
                <pt idx="354">
                  <v>121.3954544048422</v>
                </pt>
                <pt idx="355">
                  <v>122.2513147542005</v>
                </pt>
              </numCache>
            </numRef>
          </val>
          <smooth val="0"/>
        </ser>
        <ser>
          <idx val="11"/>
          <order val="4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World'!$Q$2:$Q$358</f>
              <numCache>
                <formatCode>0.00</formatCode>
                <ptCount val="357"/>
                <pt idx="0">
                  <v>101.304741604297</v>
                </pt>
                <pt idx="1">
                  <v>101.8137591973305</v>
                </pt>
                <pt idx="2">
                  <v>103.6464233281458</v>
                </pt>
                <pt idx="3">
                  <v>103.8500303653592</v>
                </pt>
                <pt idx="4">
                  <v>104.5627553935534</v>
                </pt>
                <pt idx="5">
                  <v>104.8681659493735</v>
                </pt>
                <pt idx="6">
                  <v>105.7844980147812</v>
                </pt>
                <pt idx="7">
                  <v>106.7008300801889</v>
                </pt>
                <pt idx="8">
                  <v>105.7844980147812</v>
                </pt>
                <pt idx="9">
                  <v>107.9225727014166</v>
                </pt>
                <pt idx="10">
                  <v>107.2098476732224</v>
                </pt>
                <pt idx="11">
                  <v>107.3117515897764</v>
                </pt>
                <pt idx="12">
                  <v>108.0243762200233</v>
                </pt>
                <pt idx="13">
                  <v>108.4316906923975</v>
                </pt>
                <pt idx="14">
                  <v>107.4135551083831</v>
                </pt>
                <pt idx="15">
                  <v>107.8207691828099</v>
                </pt>
                <pt idx="16">
                  <v>108.940708285431</v>
                </pt>
                <pt idx="17">
                  <v>105.7844980147812</v>
                </pt>
                <pt idx="18">
                  <v>108.12617973863</v>
                </pt>
                <pt idx="19">
                  <v>106.3954195243687</v>
                </pt>
                <pt idx="20">
                  <v>106.4972230429754</v>
                </pt>
                <pt idx="21">
                  <v>105.7844980147812</v>
                </pt>
                <pt idx="22">
                  <v>106.4972230429754</v>
                </pt>
                <pt idx="23">
                  <v>105.0717729865869</v>
                </pt>
                <pt idx="24">
                  <v>104.35914835634</v>
                </pt>
                <pt idx="25">
                  <v>104.0536374025726</v>
                </pt>
                <pt idx="26">
                  <v>102.5264842255247</v>
                </pt>
                <pt idx="27">
                  <v>102.0173662345439</v>
                </pt>
                <pt idx="28">
                  <v>99.67567447090032</v>
                </pt>
                <pt idx="29">
                  <v>101.7119556787238</v>
                </pt>
                <pt idx="30">
                  <v>101.5083486415104</v>
                </pt>
                <pt idx="31">
                  <v>98.55572532848453</v>
                </pt>
                <pt idx="32">
                  <v>102.3228771883113</v>
                </pt>
                <pt idx="33">
                  <v>99.16660667889313</v>
                </pt>
                <pt idx="34">
                  <v>97.94484397807589</v>
                </pt>
                <pt idx="35">
                  <v>97.53757970467542</v>
                </pt>
                <pt idx="36">
                  <v>99.57386091249887</v>
                </pt>
                <pt idx="37">
                  <v>99.77748802930175</v>
                </pt>
                <pt idx="38">
                  <v>96.41763056225963</v>
                </pt>
                <pt idx="39">
                  <v>98.2502846532802</v>
                </pt>
                <pt idx="40">
                  <v>99.57386091249887</v>
                </pt>
                <pt idx="41">
                  <v>97.74121686127305</v>
                </pt>
                <pt idx="42">
                  <v>97.63939326307687</v>
                </pt>
                <pt idx="43">
                  <v>96.72307123746394</v>
                </pt>
                <pt idx="44">
                  <v>97.02851191266824</v>
                </pt>
                <pt idx="45">
                  <v>96.21400344545675</v>
                </pt>
                <pt idx="46">
                  <v>96.01037632865389</v>
                </pt>
                <pt idx="47">
                  <v>95.29768141984384</v>
                </pt>
                <pt idx="48">
                  <v>94.89042718623809</v>
                </pt>
                <pt idx="49">
                  <v>95.70493565344958</v>
                </pt>
                <pt idx="50">
                  <v>96.72307123746394</v>
                </pt>
                <pt idx="51">
                  <v>97.63939326307687</v>
                </pt>
                <pt idx="52">
                  <v>97.53757970467542</v>
                </pt>
                <pt idx="53">
                  <v>98.75935244528739</v>
                </pt>
                <pt idx="54">
                  <v>99.77748802930175</v>
                </pt>
                <pt idx="55">
                  <v>100.5920165761027</v>
                </pt>
                <pt idx="56">
                  <v>99.57386091249887</v>
                </pt>
                <pt idx="57">
                  <v>100.5920165761027</v>
                </pt>
                <pt idx="58">
                  <v>101.2028376877429</v>
                </pt>
                <pt idx="59">
                  <v>101.9155627159372</v>
                </pt>
                <pt idx="60">
                  <v>99.8793015877032</v>
                </pt>
                <pt idx="61">
                  <v>101.304741604297</v>
                </pt>
                <pt idx="62">
                  <v>102.3228771883113</v>
                </pt>
                <pt idx="63">
                  <v>103.5446198095391</v>
                </pt>
                <pt idx="64">
                  <v>101.8137591973305</v>
                </pt>
                <pt idx="65">
                  <v>101.7119556787238</v>
                </pt>
                <pt idx="66">
                  <v>100.2865558213089</v>
                </pt>
                <pt idx="67">
                  <v>101.8137591973305</v>
                </pt>
                <pt idx="68">
                  <v>100.1847422629075</v>
                </pt>
                <pt idx="69">
                  <v>101.7119556787238</v>
                </pt>
                <pt idx="70">
                  <v>102.5264842255247</v>
                </pt>
                <pt idx="71">
                  <v>103.8500303653592</v>
                </pt>
                <pt idx="72">
                  <v>102.3228771883113</v>
                </pt>
                <pt idx="73">
                  <v>102.2209732717573</v>
                </pt>
                <pt idx="74">
                  <v>102.1191697531506</v>
                </pt>
                <pt idx="75">
                  <v>102.424680706918</v>
                </pt>
                <pt idx="76">
                  <v>103.0355018185582</v>
                </pt>
                <pt idx="77">
                  <v>103.2391088557716</v>
                </pt>
                <pt idx="78">
                  <v>103.8500303653592</v>
                </pt>
                <pt idx="79">
                  <v>103.9518338839659</v>
                </pt>
                <pt idx="80">
                  <v>105.0717729865869</v>
                </pt>
                <pt idx="81">
                  <v>105.6826944961745</v>
                </pt>
                <pt idx="82">
                  <v>106.191712089208</v>
                </pt>
                <pt idx="83">
                  <v>107.2098476732224</v>
                </pt>
                <pt idx="84">
                  <v>108.8389047668243</v>
                </pt>
                <pt idx="85">
                  <v>108.8389047668243</v>
                </pt>
                <pt idx="86">
                  <v>109.2461188412511</v>
                </pt>
                <pt idx="87">
                  <v>106.4972230429754</v>
                </pt>
                <pt idx="88">
                  <v>109.6534333136252</v>
                </pt>
                <pt idx="89">
                  <v>109.0425118040377</v>
                </pt>
                <pt idx="90">
                  <v>109.3480227578051</v>
                </pt>
                <pt idx="91">
                  <v>108.8389047668243</v>
                </pt>
                <pt idx="92">
                  <v>108.12617973863</v>
                </pt>
                <pt idx="93">
                  <v>107.4135551083831</v>
                </pt>
                <pt idx="94">
                  <v>106.0899085706013</v>
                </pt>
                <pt idx="95">
                  <v>105.0717729865869</v>
                </pt>
                <pt idx="96">
                  <v>106.6168973962094</v>
                </pt>
                <pt idx="97">
                  <v>103.842098927519</v>
                </pt>
                <pt idx="98">
                  <v>101.6008151510141</v>
                </pt>
                <pt idx="99">
                  <v>101.387369114961</v>
                </pt>
                <pt idx="100">
                  <v>100.6403079887751</v>
                </pt>
                <pt idx="101">
                  <v>100.6403079887751</v>
                </pt>
                <pt idx="102">
                  <v>100.426861952722</v>
                </pt>
                <pt idx="103">
                  <v>98.61260076565482</v>
                </pt>
                <pt idx="104">
                  <v>99.89327698197346</v>
                </pt>
                <pt idx="105">
                  <v>99.35966189184069</v>
                </pt>
                <pt idx="106">
                  <v>98.82604680170793</v>
                </pt>
                <pt idx="107">
                  <v>98.71932378368138</v>
                </pt>
                <pt idx="108">
                  <v>100</v>
                </pt>
                <pt idx="109">
                  <v>100</v>
                </pt>
                <pt idx="110">
                  <v>101.2806460969344</v>
                </pt>
                <pt idx="111">
                  <v>99.5731079278938</v>
                </pt>
                <pt idx="112">
                  <v>101.1739230789079</v>
                </pt>
                <pt idx="113">
                  <v>100.426861952722</v>
                </pt>
                <pt idx="114">
                  <v>100.9604770428548</v>
                </pt>
                <pt idx="115">
                  <v>101.9209842050937</v>
                </pt>
                <pt idx="116">
                  <v>102.6680453312796</v>
                </pt>
                <pt idx="117">
                  <v>102.561322313253</v>
                </pt>
                <pt idx="118">
                  <v>103.6285524935186</v>
                </pt>
                <pt idx="119">
                  <v>103.521829475492</v>
                </pt>
                <pt idx="120">
                  <v>103.4151064574655</v>
                </pt>
                <pt idx="121">
                  <v>103.3083834394389</v>
                </pt>
                <pt idx="122">
                  <v>104.802606089758</v>
                </pt>
                <pt idx="123">
                  <v>106.4034513601563</v>
                </pt>
                <pt idx="124">
                  <v>105.763113251997</v>
                </pt>
                <pt idx="125">
                  <v>107.1505124863421</v>
                </pt>
                <pt idx="126">
                  <v>106.937066450289</v>
                </pt>
                <pt idx="127">
                  <v>108.4311887026607</v>
                </pt>
                <pt idx="128">
                  <v>106.1900053241031</v>
                </pt>
                <pt idx="129">
                  <v>107.7908505945014</v>
                </pt>
                <pt idx="130">
                  <v>108.2177426666076</v>
                </pt>
                <pt idx="131">
                  <v>109.2849728468732</v>
                </pt>
                <pt idx="132">
                  <v>105.2294981618642</v>
                </pt>
                <pt idx="133">
                  <v>106.1900053241031</v>
                </pt>
                <pt idx="134">
                  <v>104.3757140176518</v>
                </pt>
                <pt idx="135">
                  <v>103.6285524935186</v>
                </pt>
                <pt idx="136">
                  <v>101.6008151510141</v>
                </pt>
                <pt idx="137">
                  <v>100.5335849707485</v>
                </pt>
                <pt idx="138">
                  <v>99.14621585578759</v>
                </pt>
                <pt idx="139">
                  <v>97.75880658164768</v>
                </pt>
                <pt idx="140">
                  <v>95.94450523540156</v>
                </pt>
                <pt idx="141">
                  <v>95.94450523540156</v>
                </pt>
                <pt idx="142">
                  <v>94.4503729432351</v>
                </pt>
                <pt idx="143">
                  <v>95.41089014526879</v>
                </pt>
                <pt idx="144">
                  <v>94.87727505513605</v>
                </pt>
                <pt idx="145">
                  <v>96.05122825342811</v>
                </pt>
                <pt idx="146">
                  <v>96.47812032553432</v>
                </pt>
                <pt idx="147">
                  <v>96.37139730750778</v>
                </pt>
                <pt idx="148">
                  <v>100.2134460360531</v>
                </pt>
                <pt idx="149">
                  <v>99.03949283776103</v>
                </pt>
                <pt idx="150">
                  <v>99.7865539639469</v>
                </pt>
                <pt idx="151">
                  <v>100.2134460360531</v>
                </pt>
                <pt idx="152">
                  <v>100.8537540248282</v>
                </pt>
                <pt idx="153">
                  <v>100.8537540248282</v>
                </pt>
                <pt idx="154">
                  <v>100.7470310068017</v>
                </pt>
                <pt idx="155">
                  <v>100.6403079887751</v>
                </pt>
                <pt idx="156">
                  <v>102.0277072231203</v>
                </pt>
                <pt idx="157">
                  <v>101.5912773460164</v>
                </pt>
                <pt idx="158">
                  <v>102.3551049294087</v>
                </pt>
                <pt idx="159">
                  <v>100.9365823313869</v>
                </pt>
                <pt idx="160">
                  <v>102.2459723606459</v>
                </pt>
                <pt idx="161">
                  <v>101.3730122084908</v>
                </pt>
                <pt idx="162">
                  <v>101.809542483542</v>
                </pt>
                <pt idx="163">
                  <v>100.8274497626241</v>
                </pt>
                <pt idx="164">
                  <v>103.8827600961933</v>
                </pt>
                <pt idx="165">
                  <v>105.0831179546368</v>
                </pt>
                <pt idx="166">
                  <v>105.3013830921624</v>
                </pt>
                <pt idx="167">
                  <v>104.973985385874</v>
                </pt>
                <pt idx="168">
                  <v>106.829038258947</v>
                </pt>
                <pt idx="169">
                  <v>106.5017409506059</v>
                </pt>
                <pt idx="170">
                  <v>105.9560781067919</v>
                </pt>
                <pt idx="171">
                  <v>107.8111309798649</v>
                </pt>
                <pt idx="172">
                  <v>107.9202635486277</v>
                </pt>
                <pt idx="173">
                  <v>108.2476612549161</v>
                </pt>
                <pt idx="174">
                  <v>109.7753164217007</v>
                </pt>
                <pt idx="175">
                  <v>108.2476612549161</v>
                </pt>
                <pt idx="176">
                  <v>108.5749585632572</v>
                </pt>
                <pt idx="177">
                  <v>106.5017409506059</v>
                </pt>
                <pt idx="178">
                  <v>107.8111309798649</v>
                </pt>
                <pt idx="179">
                  <v>106.3926083818431</v>
                </pt>
                <pt idx="180">
                  <v>108.9023562695456</v>
                </pt>
                <pt idx="181">
                  <v>108.9023562695456</v>
                </pt>
                <pt idx="182">
                  <v>109.229753975834</v>
                </pt>
                <pt idx="183">
                  <v>109.6661838529379</v>
                </pt>
                <pt idx="184">
                  <v>108.7932237007828</v>
                </pt>
                <pt idx="185">
                  <v>109.229753975834</v>
                </pt>
                <pt idx="186">
                  <v>108.5749585632572</v>
                </pt>
                <pt idx="187">
                  <v>108.5749585632572</v>
                </pt>
                <pt idx="188">
                  <v>109.4479187154123</v>
                </pt>
                <pt idx="189">
                  <v>108.4658259944944</v>
                </pt>
                <pt idx="190">
                  <v>110.6482765738558</v>
                </pt>
                <pt idx="191">
                  <v>111.0847064509597</v>
                </pt>
                <pt idx="192">
                  <v>111.4121041572481</v>
                </pt>
                <pt idx="193">
                  <v>111.1938390197225</v>
                </pt>
                <pt idx="194">
                  <v>111.9577670010621</v>
                </pt>
                <pt idx="195">
                  <v>114.0309846137134</v>
                </pt>
                <pt idx="196">
                  <v>112.2850643094032</v>
                </pt>
                <pt idx="197">
                  <v>113.8127194761878</v>
                </pt>
                <pt idx="198">
                  <v>114.249249751239</v>
                </pt>
                <pt idx="199">
                  <v>114.5766474575274</v>
                </pt>
                <pt idx="200">
                  <v>114.4675148887646</v>
                </pt>
                <pt idx="201">
                  <v>114.9039447658685</v>
                </pt>
                <pt idx="202">
                  <v>115.9951700555492</v>
                </pt>
                <pt idx="203">
                  <v>116.104302624312</v>
                </pt>
                <pt idx="204">
                  <v>114.9039447658685</v>
                </pt>
                <pt idx="205">
                  <v>115.5587401784453</v>
                </pt>
                <pt idx="206">
                  <v>115.5587401784453</v>
                </pt>
                <pt idx="207">
                  <v>115.2313424721569</v>
                </pt>
                <pt idx="208">
                  <v>116.5407325014159</v>
                </pt>
                <pt idx="209">
                  <v>116.5407325014159</v>
                </pt>
                <pt idx="210">
                  <v>116.6498650701787</v>
                </pt>
                <pt idx="211">
                  <v>119.5961432329324</v>
                </pt>
                <pt idx="212">
                  <v>117.8502229286222</v>
                </pt>
                <pt idx="213">
                  <v>119.3778780954068</v>
                </pt>
                <pt idx="214">
                  <v>118.1776206349106</v>
                </pt>
                <pt idx="215">
                  <v>118.8323156495401</v>
                </pt>
                <pt idx="216">
                  <v>119.6395151461849</v>
                </pt>
                <pt idx="217">
                  <v>119.9486404260568</v>
                </pt>
                <pt idx="218">
                  <v>118.7120389086221</v>
                </pt>
                <pt idx="219">
                  <v>118.1967966428533</v>
                </pt>
                <pt idx="220">
                  <v>118.8151476005443</v>
                </pt>
                <pt idx="221">
                  <v>115.6205853140091</v>
                </pt>
                <pt idx="222">
                  <v>115.6205853140091</v>
                </pt>
                <pt idx="223">
                  <v>111.3956388938837</v>
                </pt>
                <pt idx="224">
                  <v>112.838256999268</v>
                </pt>
                <pt idx="225">
                  <v>110.365154362346</v>
                </pt>
                <pt idx="226">
                  <v>103.2547709355573</v>
                </pt>
                <pt idx="227">
                  <v>94.90783619030752</v>
                </pt>
                <pt idx="228">
                  <v>87.28223057733939</v>
                </pt>
                <pt idx="229">
                  <v>79.96577032383257</v>
                </pt>
                <pt idx="230">
                  <v>80.68710949590894</v>
                </pt>
                <pt idx="231">
                  <v>84.1907669429317</v>
                </pt>
                <pt idx="232">
                  <v>87.28223057733939</v>
                </pt>
                <pt idx="233">
                  <v>88.72491896128685</v>
                </pt>
                <pt idx="234">
                  <v>89.75540349282451</v>
                </pt>
                <pt idx="235">
                  <v>91.09503338382346</v>
                </pt>
                <pt idx="236">
                  <v>93.87735165876987</v>
                </pt>
                <pt idx="237">
                  <v>96.45356298761402</v>
                </pt>
                <pt idx="238">
                  <v>98.4114936373303</v>
                </pt>
                <pt idx="239">
                  <v>99.23588126256041</v>
                </pt>
                <pt idx="240">
                  <v>101.5029271523538</v>
                </pt>
                <pt idx="241">
                  <v>101.8120524322256</v>
                </pt>
                <pt idx="242">
                  <v>102.1212781100448</v>
                </pt>
                <pt idx="243">
                  <v>103.3577792295321</v>
                </pt>
                <pt idx="244">
                  <v>102.9456456556854</v>
                </pt>
                <pt idx="245">
                  <v>102.3272946979944</v>
                </pt>
                <pt idx="246">
                  <v>103.5638962154291</v>
                </pt>
                <pt idx="247">
                  <v>104.0791384811979</v>
                </pt>
                <pt idx="248">
                  <v>105.4188486905548</v>
                </pt>
                <pt idx="249">
                  <v>102.4304033899166</v>
                </pt>
                <pt idx="250">
                  <v>104.1822471731201</v>
                </pt>
                <pt idx="251">
                  <v>104.4913724529919</v>
                </pt>
                <pt idx="252">
                  <v>105.2127317046578</v>
                </pt>
                <pt idx="253">
                  <v>105.6248652785044</v>
                </pt>
                <pt idx="254">
                  <v>88.93100582779965</v>
                </pt>
                <pt idx="255">
                  <v>90.57979111805463</v>
                </pt>
                <pt idx="256">
                  <v>96.55661144076778</v>
                </pt>
                <pt idx="257">
                  <v>100.4724426208161</v>
                </pt>
                <pt idx="258">
                  <v>101.399918858379</v>
                </pt>
                <pt idx="259">
                  <v>102.9456456556854</v>
                </pt>
                <pt idx="260">
                  <v>102.3272946979944</v>
                </pt>
                <pt idx="261">
                  <v>103.9761301872231</v>
                </pt>
                <pt idx="262">
                  <v>101.9151611241478</v>
                </pt>
                <pt idx="263">
                  <v>103.9761301872231</v>
                </pt>
                <pt idx="264">
                  <v>104.2852554670949</v>
                </pt>
                <pt idx="265">
                  <v>104.0791384811979</v>
                </pt>
                <pt idx="266">
                  <v>103.8730214953009</v>
                </pt>
                <pt idx="267">
                  <v>103.3577792295321</v>
                </pt>
                <pt idx="268">
                  <v>101.5029271523538</v>
                </pt>
                <pt idx="269">
                  <v>100.781567900688</v>
                </pt>
                <pt idx="270">
                  <v>100.2663657940981</v>
                </pt>
                <pt idx="271">
                  <v>99.02978435625288</v>
                </pt>
                <pt idx="272">
                  <v>96.86575680022906</v>
                </pt>
                <pt idx="273">
                  <v>97.17490215969038</v>
                </pt>
                <pt idx="274">
                  <v>96.45356298761402</v>
                </pt>
                <pt idx="275">
                  <v>97.79319287861296</v>
                </pt>
                <pt idx="276">
                  <v>95.77166012925433</v>
                </pt>
                <pt idx="277">
                  <v>97.37789676942496</v>
                </pt>
                <pt idx="278">
                  <v>98.28140801695682</v>
                </pt>
                <pt idx="279">
                  <v>98.48218383205513</v>
                </pt>
                <pt idx="280">
                  <v>99.98802252488188</v>
                </pt>
                <pt idx="281">
                  <v>98.98412336980088</v>
                </pt>
                <pt idx="282">
                  <v>100.4900122616013</v>
                </pt>
                <pt idx="283">
                  <v>100.7911057056856</v>
                </pt>
                <pt idx="284">
                  <v>101.5942892844367</v>
                </pt>
                <pt idx="285">
                  <v>101.895382728521</v>
                </pt>
                <pt idx="286">
                  <v>102.2969745178966</v>
                </pt>
                <pt idx="287">
                  <v>102.2969745178966</v>
                </pt>
                <pt idx="288">
                  <v>104.0036392247953</v>
                </pt>
                <pt idx="289">
                  <v>103.3008535933881</v>
                </pt>
                <pt idx="290">
                  <v>104.7063244582552</v>
                </pt>
                <pt idx="291">
                  <v>100.1888083797749</v>
                </pt>
                <pt idx="292">
                  <v>102.2969745178966</v>
                </pt>
                <pt idx="293">
                  <v>100.9919016003734</v>
                </pt>
                <pt idx="294">
                  <v>100.7911057056856</v>
                </pt>
                <pt idx="295">
                  <v>99.88763461733272</v>
                </pt>
                <pt idx="296">
                  <v>100.9919016003734</v>
                </pt>
                <pt idx="297">
                  <v>100.9919016003734</v>
                </pt>
                <pt idx="298">
                  <v>100.9919016003734</v>
                </pt>
                <pt idx="299">
                  <v>100.5904102089452</v>
                </pt>
                <pt idx="300">
                  <v>103.1000576987003</v>
                </pt>
                <pt idx="301">
                  <v>100.1888083797749</v>
                </pt>
                <pt idx="302">
                  <v>99.68685880223443</v>
                </pt>
                <pt idx="303">
                  <v>100.0884204722258</v>
                </pt>
                <pt idx="304">
                  <v>100.0884204722258</v>
                </pt>
                <pt idx="305">
                  <v>100.8915036530295</v>
                </pt>
                <pt idx="306">
                  <v>100.7911057056856</v>
                </pt>
                <pt idx="307">
                  <v>99.18490922469393</v>
                </pt>
                <pt idx="308">
                  <v>100.8915036530295</v>
                </pt>
                <pt idx="309">
                  <v>100.9919016003734</v>
                </pt>
                <pt idx="310">
                  <v>100.3895841948732</v>
                </pt>
                <pt idx="311">
                  <v>98.48218383205513</v>
                </pt>
                <pt idx="312">
                  <v>100.6907077583417</v>
                </pt>
                <pt idx="313">
                  <v>99.88763461733272</v>
                </pt>
                <pt idx="314">
                  <v>100.2891962873241</v>
                </pt>
                <pt idx="315">
                  <v>99.58646085489055</v>
                </pt>
                <pt idx="316">
                  <v>99.08451127735005</v>
                </pt>
                <pt idx="317">
                  <v>99.58646085489055</v>
                </pt>
                <pt idx="318">
                  <v>100.0884204722258</v>
                </pt>
                <pt idx="319">
                  <v>100.9919016003734</v>
                </pt>
                <pt idx="320">
                  <v>101.393493389749</v>
                </pt>
                <pt idx="321">
                  <v>101.4938913370928</v>
                </pt>
                <pt idx="322">
                  <v>102.4977704125844</v>
                </pt>
                <pt idx="323">
                  <v>101.895382728521</v>
                </pt>
                <pt idx="324">
                  <v>101.0922995477173</v>
                </pt>
                <pt idx="325">
                  <v>101.7949847811771</v>
                </pt>
                <pt idx="326">
                  <v>101.895382728521</v>
                </pt>
                <pt idx="327">
                  <v>104.2044351194831</v>
                </pt>
                <pt idx="328">
                  <v>102.5981683599283</v>
                </pt>
                <pt idx="329">
                  <v>103.401251540732</v>
                </pt>
                <pt idx="330">
                  <v>102.8993622019599</v>
                </pt>
                <pt idx="331">
                  <v>104.2044351194831</v>
                </pt>
                <pt idx="332">
                  <v>102.9997601493038</v>
                </pt>
                <pt idx="333">
                  <v>103.6020474354198</v>
                </pt>
                <pt idx="334">
                  <v>104.4051306162235</v>
                </pt>
                <pt idx="335">
                  <v>105.9109994284345</v>
                </pt>
                <pt idx="336">
                  <v>101.6946872317806</v>
                </pt>
                <pt idx="337">
                  <v>104.2044351194831</v>
                </pt>
                <pt idx="338">
                  <v>105.3087121423185</v>
                </pt>
                <pt idx="339">
                  <v>104.7063244582552</v>
                </pt>
                <pt idx="340">
                  <v>105.0075183002869</v>
                </pt>
                <pt idx="341">
                  <v>104.0036392247953</v>
                </pt>
                <pt idx="342">
                  <v>104.2044351194831</v>
                </pt>
                <pt idx="343">
                  <v>104.0036392247953</v>
                </pt>
                <pt idx="344">
                  <v>103.7024453827637</v>
                </pt>
                <pt idx="345">
                  <v>105.7102035337467</v>
                </pt>
                <pt idx="346">
                  <v>104.5055285635674</v>
                </pt>
                <pt idx="347">
                  <v>104.8067224055991</v>
                </pt>
                <pt idx="348">
                  <v>102.798964254616</v>
                </pt>
                <pt idx="349">
                  <v>103.3008535933881</v>
                </pt>
                <pt idx="350">
                  <v>102.8993622019599</v>
                </pt>
                <pt idx="351">
                  <v>103.1000576987003</v>
                </pt>
                <pt idx="352">
                  <v>104.3047326688796</v>
                </pt>
                <pt idx="353">
                  <v>101.7949847811771</v>
                </pt>
                <pt idx="354">
                  <v>102.1965765705527</v>
                </pt>
                <pt idx="355">
                  <v>100.8915036530295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France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country'!$A$5:$A$351</f>
              <numCache>
                <formatCode>mmm\-yy</formatCode>
                <ptCount val="347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</numCache>
            </numRef>
          </cat>
          <val>
            <numRef>
              <f>'Per country'!$C$5:$C$351</f>
              <numCache>
                <formatCode>0.0%</formatCode>
                <ptCount val="347"/>
                <pt idx="1">
                  <v>0.0130619347154705</v>
                </pt>
                <pt idx="2">
                  <v>-0.004405356869255848</v>
                </pt>
                <pt idx="3">
                  <v>-0.0123030490681224</v>
                </pt>
                <pt idx="4">
                  <v>-0.0002185296538183907</v>
                </pt>
                <pt idx="5">
                  <v>0.001202175807064329</v>
                </pt>
                <pt idx="6">
                  <v>0.003929669396913632</v>
                </pt>
                <pt idx="7">
                  <v>-0.01674445225852208</v>
                </pt>
                <pt idx="8">
                  <v>0.01050527497501944</v>
                </pt>
                <pt idx="9">
                  <v>0.003392508444884957</v>
                </pt>
                <pt idx="10">
                  <v>-0.004689785024163237</v>
                </pt>
                <pt idx="11">
                  <v>0.0159982231136361</v>
                </pt>
                <pt idx="12">
                  <v>-0.008951715996318856</v>
                </pt>
                <pt idx="13">
                  <v>0.00272073057182249</v>
                </pt>
                <pt idx="14">
                  <v>-0.007488650246790871</v>
                </pt>
                <pt idx="15">
                  <v>0.009732122510518269</v>
                </pt>
                <pt idx="16">
                  <v>-0.007039144247984998</v>
                </pt>
                <pt idx="17">
                  <v>0.0003270776327867894</v>
                </pt>
                <pt idx="18">
                  <v>-0.01188400532224103</v>
                </pt>
                <pt idx="19">
                  <v>-0.003861823939446694</v>
                </pt>
                <pt idx="20">
                  <v>0.003101436352710862</v>
                </pt>
                <pt idx="21">
                  <v>-0.0140238458714178</v>
                </pt>
                <pt idx="22">
                  <v>0.0106395131230854</v>
                </pt>
                <pt idx="23">
                  <v>-0.01296542858963389</v>
                </pt>
                <pt idx="24">
                  <v>-0.01336027970577095</v>
                </pt>
                <pt idx="25">
                  <v>-0.001024115298086434</v>
                </pt>
                <pt idx="26">
                  <v>0.001594701399566908</v>
                </pt>
                <pt idx="27">
                  <v>-0.005003938895992308</v>
                </pt>
                <pt idx="28">
                  <v>-0.006743571576097301</v>
                </pt>
                <pt idx="29">
                  <v>-0.0008055168236215413</v>
                </pt>
                <pt idx="30">
                  <v>-0.007716277405476204</v>
                </pt>
                <pt idx="31">
                  <v>0.01357938977297317</v>
                </pt>
                <pt idx="32">
                  <v>-0.007214070007201344</v>
                </pt>
                <pt idx="33">
                  <v>0.006689679162987323</v>
                </pt>
                <pt idx="34">
                  <v>0.004468455347297819</v>
                </pt>
                <pt idx="35">
                  <v>-0.007071915564065732</v>
                </pt>
                <pt idx="36">
                  <v>-0.008960407339490483</v>
                </pt>
                <pt idx="37">
                  <v>0.01866229932936694</v>
                </pt>
                <pt idx="38">
                  <v>-0.00307234589425914</v>
                </pt>
                <pt idx="39">
                  <v>-0.0006848476208336841</v>
                </pt>
                <pt idx="40">
                  <v>0.02809822373839715</v>
                </pt>
                <pt idx="41">
                  <v>-0.001110978410912125</v>
                </pt>
                <pt idx="42">
                  <v>0.005672291689258572</v>
                </pt>
                <pt idx="43">
                  <v>0.008737043211873328</v>
                </pt>
                <pt idx="44">
                  <v>0.005481809383015776</v>
                </pt>
                <pt idx="45">
                  <v>-0.003380192247888777</v>
                </pt>
                <pt idx="46">
                  <v>0.009737446384471962</v>
                </pt>
                <pt idx="47">
                  <v>0.008776717325037006</v>
                </pt>
                <pt idx="48">
                  <v>-0.001503746799973111</v>
                </pt>
                <pt idx="49">
                  <v>0.007207340558028899</v>
                </pt>
                <pt idx="50">
                  <v>-0.006728556570819931</v>
                </pt>
                <pt idx="51">
                  <v>0.00838702643139108</v>
                </pt>
                <pt idx="52">
                  <v>0.0004266332611011492</v>
                </pt>
                <pt idx="53">
                  <v>-0.004903071057065251</v>
                </pt>
                <pt idx="54">
                  <v>0.006533792883906919</v>
                </pt>
                <pt idx="55">
                  <v>0.004682412979864601</v>
                </pt>
                <pt idx="56">
                  <v>-0.006037551428179031</v>
                </pt>
                <pt idx="57">
                  <v>0.001491888707659938</v>
                </pt>
                <pt idx="58">
                  <v>-0.01925936345708124</v>
                </pt>
                <pt idx="59">
                  <v>-0.0004339770623594253</v>
                </pt>
                <pt idx="60">
                  <v>0.02127421707210302</v>
                </pt>
                <pt idx="61">
                  <v>-0.008821268141256756</v>
                </pt>
                <pt idx="62">
                  <v>0.002895107675487982</v>
                </pt>
                <pt idx="63">
                  <v>0.006949690786284568</v>
                </pt>
                <pt idx="64">
                  <v>-0.009768552589121463</v>
                </pt>
                <pt idx="65">
                  <v>0.01983695611381331</v>
                </pt>
                <pt idx="66">
                  <v>-0.007990786324033205</v>
                </pt>
                <pt idx="67">
                  <v>-0.01748793173728935</v>
                </pt>
                <pt idx="68">
                  <v>0.0221142691571743</v>
                </pt>
                <pt idx="69">
                  <v>0.0009498601542003335</v>
                </pt>
                <pt idx="70">
                  <v>-0.01022777224862849</v>
                </pt>
                <pt idx="71">
                  <v>0.01246404898308084</v>
                </pt>
                <pt idx="72">
                  <v>0.001578374927228558</v>
                </pt>
                <pt idx="73">
                  <v>-0.00903459157817775</v>
                </pt>
                <pt idx="74">
                  <v>0.008056754321680177</v>
                </pt>
                <pt idx="75">
                  <v>0.003470367634972833</v>
                </pt>
                <pt idx="76">
                  <v>0.03510796756136691</v>
                </pt>
                <pt idx="77">
                  <v>-0.01862908498684132</v>
                </pt>
                <pt idx="78">
                  <v>0.007427978781978745</v>
                </pt>
                <pt idx="79">
                  <v>0.001740999383415157</v>
                </pt>
                <pt idx="80">
                  <v>0.03874410376032424</v>
                </pt>
                <pt idx="81">
                  <v>-0.02342241179087262</v>
                </pt>
                <pt idx="82">
                  <v>0.02509270556338186</v>
                </pt>
                <pt idx="83">
                  <v>-0.0230038497534427</v>
                </pt>
                <pt idx="84">
                  <v>0.02002368062331538</v>
                </pt>
                <pt idx="85">
                  <v>0</v>
                </pt>
                <pt idx="86">
                  <v>0.006906328055021682</v>
                </pt>
                <pt idx="87">
                  <v>-0.01195345588213671</v>
                </pt>
                <pt idx="88">
                  <v>0.01289032908018575</v>
                </pt>
                <pt idx="89">
                  <v>0.01262936756246642</v>
                </pt>
                <pt idx="90">
                  <v>-0.0065738020454191</v>
                </pt>
                <pt idx="91">
                  <v>0.005838796662933025</v>
                </pt>
                <pt idx="92">
                  <v>-0.02563928913157678</v>
                </pt>
                <pt idx="93">
                  <v>0.0180725403829579</v>
                </pt>
                <pt idx="94">
                  <v>0.001072847307494613</v>
                </pt>
                <pt idx="95">
                  <v>0.00574819589461904</v>
                </pt>
                <pt idx="96">
                  <v>-0.007459006944626175</v>
                </pt>
                <pt idx="97">
                  <v>0.002732749761128403</v>
                </pt>
                <pt idx="98">
                  <v>-0.003017298855665098</v>
                </pt>
                <pt idx="99">
                  <v>-0.0005867370100232584</v>
                </pt>
                <pt idx="100">
                  <v>0.008011073470169194</v>
                </pt>
                <pt idx="101">
                  <v>0.003973218568691586</v>
                </pt>
                <pt idx="102">
                  <v>0.01380296889312744</v>
                </pt>
                <pt idx="103">
                  <v>0.002380251906819802</v>
                </pt>
                <pt idx="104">
                  <v>-0.0184268941469915</v>
                </pt>
                <pt idx="105">
                  <v>0.02709479015568857</v>
                </pt>
                <pt idx="106">
                  <v>0.012530513685111</v>
                </pt>
                <pt idx="107">
                  <v>0.000744387550490396</v>
                </pt>
                <pt idx="108">
                  <v>-0.008740047735537292</v>
                </pt>
                <pt idx="109">
                  <v>0.007410124105508837</v>
                </pt>
                <pt idx="110">
                  <v>0.003072599950279863</v>
                </pt>
                <pt idx="111">
                  <v>0.006683319270515691</v>
                </pt>
                <pt idx="112">
                  <v>0.005624665171058972</v>
                </pt>
                <pt idx="113">
                  <v>0.0124700969825116</v>
                </pt>
                <pt idx="114">
                  <v>-0.0130410094465812</v>
                </pt>
                <pt idx="115">
                  <v>0.01183693656411345</v>
                </pt>
                <pt idx="116">
                  <v>-0.008887204149054773</v>
                </pt>
                <pt idx="117">
                  <v>0.00256196993528282</v>
                </pt>
                <pt idx="118">
                  <v>0.0110430780435317</v>
                </pt>
                <pt idx="119">
                  <v>-0.001805365365329248</v>
                </pt>
                <pt idx="120">
                  <v>0.009224016082343299</v>
                </pt>
                <pt idx="121">
                  <v>-0.00448025060729797</v>
                </pt>
                <pt idx="122">
                  <v>0.006660612110253014</v>
                </pt>
                <pt idx="123">
                  <v>0.004112985499937802</v>
                </pt>
                <pt idx="124">
                  <v>-0.01620645960985169</v>
                </pt>
                <pt idx="125">
                  <v>0.00733158401135389</v>
                </pt>
                <pt idx="126">
                  <v>0.0002695638187848345</v>
                </pt>
                <pt idx="127">
                  <v>-0.01374404985946036</v>
                </pt>
                <pt idx="128">
                  <v>0.02477436654586139</v>
                </pt>
                <pt idx="129">
                  <v>-0.0154651682636972</v>
                </pt>
                <pt idx="130">
                  <v>-0.007131836971623342</v>
                </pt>
                <pt idx="131">
                  <v>-0.01091098545292867</v>
                </pt>
                <pt idx="132">
                  <v>0.006434953194908323</v>
                </pt>
                <pt idx="133">
                  <v>-0.000274020399905382</v>
                </pt>
                <pt idx="134">
                  <v>0.003563241599657934</v>
                </pt>
                <pt idx="135">
                  <v>0.004825160755237813</v>
                </pt>
                <pt idx="136">
                  <v>0.006523458629040796</v>
                </pt>
                <pt idx="137">
                  <v>-0.008641571901929032</v>
                </pt>
                <pt idx="138">
                  <v>-0.001725219715810892</v>
                </pt>
                <pt idx="139">
                  <v>-0.01027824949586546</v>
                </pt>
                <pt idx="140">
                  <v>0.01865621918392368</v>
                </pt>
                <pt idx="141">
                  <v>-0.01245027783065646</v>
                </pt>
                <pt idx="142">
                  <v>-0.007856686725579631</v>
                </pt>
                <pt idx="143">
                  <v>0.009668428162197524</v>
                </pt>
                <pt idx="144">
                  <v>-0.02380281420398738</v>
                </pt>
                <pt idx="145">
                  <v>0.0206463136987825</v>
                </pt>
                <pt idx="146">
                  <v>0.008970177820045454</v>
                </pt>
                <pt idx="147">
                  <v>-0.007801805119979964</v>
                </pt>
                <pt idx="148">
                  <v>0.0001828639976446753</v>
                </pt>
                <pt idx="149">
                  <v>-0.02404221923395818</v>
                </pt>
                <pt idx="150">
                  <v>-0.002435348521790329</v>
                </pt>
                <pt idx="151">
                  <v>0.0179341207445195</v>
                </pt>
                <pt idx="152">
                  <v>-0.004335357422546984</v>
                </pt>
                <pt idx="153">
                  <v>-0.003520444984245967</v>
                </pt>
                <pt idx="154">
                  <v>0.02417235259281016</v>
                </pt>
                <pt idx="155">
                  <v>-0.01951690663384188</v>
                </pt>
                <pt idx="156">
                  <v>0.005832744658177975</v>
                </pt>
                <pt idx="157">
                  <v>0.00662733832285998</v>
                </pt>
                <pt idx="158">
                  <v>0.01014987989308793</v>
                </pt>
                <pt idx="159">
                  <v>-0.003349298322001582</v>
                </pt>
                <pt idx="160">
                  <v>0.0002724773366975305</v>
                </pt>
                <pt idx="161">
                  <v>-0.005357261222781285</v>
                </pt>
                <pt idx="162">
                  <v>0.009585460773099467</v>
                </pt>
                <pt idx="163">
                  <v>0.004069050889358787</v>
                </pt>
                <pt idx="164">
                  <v>-0.03539236443508647</v>
                </pt>
                <pt idx="165">
                  <v>0.03501044244796748</v>
                </pt>
                <pt idx="166">
                  <v>0.007396656530841741</v>
                </pt>
                <pt idx="167">
                  <v>-0.01665459357866922</v>
                </pt>
                <pt idx="168">
                  <v>0.002094319023063952</v>
                </pt>
                <pt idx="169">
                  <v>0.01653780205341353</v>
                </pt>
                <pt idx="170">
                  <v>-0.01162053760182506</v>
                </pt>
                <pt idx="171">
                  <v>-0.02152465069923457</v>
                </pt>
                <pt idx="172">
                  <v>0.025602892664725</v>
                </pt>
                <pt idx="173">
                  <v>-0.01108498579229251</v>
                </pt>
                <pt idx="174">
                  <v>-0.0005467921980044114</v>
                </pt>
                <pt idx="175">
                  <v>-0.003191366169147955</v>
                </pt>
                <pt idx="176">
                  <v>-0.005579902836511586</v>
                </pt>
                <pt idx="177">
                  <v>0.02557241270194618</v>
                </pt>
                <pt idx="178">
                  <v>-0.02941944140732563</v>
                </pt>
                <pt idx="179">
                  <v>0.04010686538971586</v>
                </pt>
                <pt idx="180">
                  <v>-0.01172802705264901</v>
                </pt>
                <pt idx="181">
                  <v>-0.006383118360096052</v>
                </pt>
                <pt idx="182">
                  <v>-0.00687652742603427</v>
                </pt>
                <pt idx="183">
                  <v>0.01849474630765589</v>
                </pt>
                <pt idx="184">
                  <v>-0.005098805001122571</v>
                </pt>
                <pt idx="185">
                  <v>0.01609409742233705</v>
                </pt>
                <pt idx="186">
                  <v>-0.001681253755168855</v>
                </pt>
                <pt idx="187">
                  <v>-0.01382722527474952</v>
                </pt>
                <pt idx="188">
                  <v>-0.006740912575756622</v>
                </pt>
                <pt idx="189">
                  <v>0.01538309795685302</v>
                </pt>
                <pt idx="190">
                  <v>-0.008020611188396061</v>
                </pt>
                <pt idx="191">
                  <v>-0.005659823072134082</v>
                </pt>
                <pt idx="192">
                  <v>0.01671471771552281</v>
                </pt>
                <pt idx="193">
                  <v>-0.01093033113571476</v>
                </pt>
                <pt idx="194">
                  <v>0.009074499846811707</v>
                </pt>
                <pt idx="195">
                  <v>0.007479238435450069</v>
                </pt>
                <pt idx="196">
                  <v>-0.0166149805260055</v>
                </pt>
                <pt idx="197">
                  <v>0.02399549208283569</v>
                </pt>
                <pt idx="198">
                  <v>-0.003773886286662582</v>
                </pt>
                <pt idx="199">
                  <v>0.001321458996448724</v>
                </pt>
                <pt idx="200">
                  <v>0.006071569026815739</v>
                </pt>
                <pt idx="201">
                  <v>-0.02300023611511923</v>
                </pt>
                <pt idx="202">
                  <v>0.02264661312252233</v>
                </pt>
                <pt idx="203">
                  <v>-0.01733113933357264</v>
                </pt>
                <pt idx="204">
                  <v>0.001603264960020868</v>
                </pt>
                <pt idx="205">
                  <v>0.008625986986320241</v>
                </pt>
                <pt idx="206">
                  <v>0.00908210038890531</v>
                </pt>
                <pt idx="207">
                  <v>-0.01162156730828029</v>
                </pt>
                <pt idx="208">
                  <v>0.02165912753522993</v>
                </pt>
                <pt idx="209">
                  <v>-0.04715802407178264</v>
                </pt>
                <pt idx="210">
                  <v>-0.00290589706404513</v>
                </pt>
                <pt idx="211">
                  <v>0.007832358386862033</v>
                </pt>
                <pt idx="212">
                  <v>-0.01409712012101838</v>
                </pt>
                <pt idx="213">
                  <v>-0.004307938797938412</v>
                </pt>
                <pt idx="214">
                  <v>-0.01868713229845284</v>
                </pt>
                <pt idx="215">
                  <v>-0.05018813161990188</v>
                </pt>
                <pt idx="216">
                  <v>-0.01382675494909666</v>
                </pt>
                <pt idx="217">
                  <v>-0.0367551276238765</v>
                </pt>
                <pt idx="218">
                  <v>-0.01393219852610923</v>
                </pt>
                <pt idx="219">
                  <v>-0.01834664177723528</v>
                </pt>
                <pt idx="220">
                  <v>-0.0004296419428495256</v>
                </pt>
                <pt idx="221">
                  <v>0.01182023189575682</v>
                </pt>
                <pt idx="222">
                  <v>0.01306286970010224</v>
                </pt>
                <pt idx="223">
                  <v>-0.003983613093045938</v>
                </pt>
                <pt idx="224">
                  <v>0.01673515187064538</v>
                </pt>
                <pt idx="225">
                  <v>0.005072421235391392</v>
                </pt>
                <pt idx="226">
                  <v>-0.006694866383337505</v>
                </pt>
                <pt idx="227">
                  <v>0.009747015785849982</v>
                </pt>
                <pt idx="228">
                  <v>-0.003080689100860808</v>
                </pt>
                <pt idx="229">
                  <v>0.01071282779779027</v>
                </pt>
                <pt idx="230">
                  <v>-0.006318842423045318</v>
                </pt>
                <pt idx="231">
                  <v>0.0196923492225346</v>
                </pt>
                <pt idx="232">
                  <v>-0.003822237251489438</v>
                </pt>
                <pt idx="233">
                  <v>0.008077679486094759</v>
                </pt>
                <pt idx="234">
                  <v>-0.004206795535774788</v>
                </pt>
                <pt idx="235">
                  <v>0.006839311238902467</v>
                </pt>
                <pt idx="236">
                  <v>-0.01018942905551205</v>
                </pt>
                <pt idx="237">
                  <v>0.01221194856764925</v>
                </pt>
                <pt idx="238">
                  <v>-0.001495650647915917</v>
                </pt>
                <pt idx="239">
                  <v>0.01268214354189297</v>
                </pt>
                <pt idx="240">
                  <v>0.01311596003581474</v>
                </pt>
                <pt idx="241">
                  <v>0.01197186320150986</v>
                </pt>
                <pt idx="242">
                  <v>0.003173965022905431</v>
                </pt>
                <pt idx="243">
                  <v>-0.01255981492010138</v>
                </pt>
                <pt idx="244">
                  <v>-0.01689566748130173</v>
                </pt>
                <pt idx="245">
                  <v>0.03269208737116157</v>
                </pt>
                <pt idx="246">
                  <v>-0.0274490751322914</v>
                </pt>
                <pt idx="247">
                  <v>0.01130977433553487</v>
                </pt>
                <pt idx="248">
                  <v>-0.008362431678446993</v>
                </pt>
                <pt idx="249">
                  <v>-0.007551414039295587</v>
                </pt>
                <pt idx="250">
                  <v>0.002371288439573592</v>
                </pt>
                <pt idx="251">
                  <v>0.02139066424316028</v>
                </pt>
                <pt idx="252">
                  <v>-0.02103919190047577</v>
                </pt>
                <pt idx="253">
                  <v>-0.005816200187695574</v>
                </pt>
                <pt idx="254">
                  <v>0.009520003807604868</v>
                </pt>
                <pt idx="255">
                  <v>-0.007956908346748781</v>
                </pt>
                <pt idx="256">
                  <v>0.002277209685467877</v>
                </pt>
                <pt idx="257">
                  <v>-0.01432340750048412</v>
                </pt>
                <pt idx="258">
                  <v>-0.006013279304251102</v>
                </pt>
                <pt idx="259">
                  <v>0.005747179747051863</v>
                </pt>
                <pt idx="260">
                  <v>0.01994940793976351</v>
                </pt>
                <pt idx="261">
                  <v>-0.01749514452412397</v>
                </pt>
                <pt idx="262">
                  <v>-0.01770703584594085</v>
                </pt>
                <pt idx="263">
                  <v>-0.0001018425144021113</v>
                </pt>
                <pt idx="264">
                  <v>0.01334283009655048</v>
                </pt>
                <pt idx="265">
                  <v>-0.009347695662002175</v>
                </pt>
                <pt idx="266">
                  <v>0.01136364328137685</v>
                </pt>
                <pt idx="267">
                  <v>0.00130416249543664</v>
                </pt>
                <pt idx="268">
                  <v>0.01592983446786294</v>
                </pt>
                <pt idx="269">
                  <v>-0.003353030745319597</v>
                </pt>
                <pt idx="270">
                  <v>-0.01187374333074736</v>
                </pt>
                <pt idx="271">
                  <v>-0.007710731024366713</v>
                </pt>
                <pt idx="272">
                  <v>-0.005146894016328192</v>
                </pt>
                <pt idx="273">
                  <v>0.003246168980943721</v>
                </pt>
                <pt idx="274">
                  <v>0.00111222524623908</v>
                </pt>
                <pt idx="275">
                  <v>0.01797752831685186</v>
                </pt>
                <pt idx="276">
                  <v>-0.01260005873551952</v>
                </pt>
                <pt idx="277">
                  <v>-0.01607723729796064</v>
                </pt>
                <pt idx="278">
                  <v>0.01562507499682645</v>
                </pt>
                <pt idx="279">
                  <v>-0.007340310784736435</v>
                </pt>
                <pt idx="280">
                  <v>0.003545249771502034</v>
                </pt>
                <pt idx="281">
                  <v>-0.02230737567328096</v>
                </pt>
                <pt idx="282">
                  <v>0.02312607131821423</v>
                </pt>
                <pt idx="283">
                  <v>0.01241140083401931</v>
                </pt>
                <pt idx="284">
                  <v>-0.01963484792307041</v>
                </pt>
                <pt idx="285">
                  <v>0.007726755429651705</v>
                </pt>
                <pt idx="286">
                  <v>-0.01543590787123144</v>
                </pt>
                <pt idx="287">
                  <v>-0.009427117164003471</v>
                </pt>
                <pt idx="288">
                  <v>0.02772315655573796</v>
                </pt>
                <pt idx="289">
                  <v>0.001610454588049205</v>
                </pt>
                <pt idx="290">
                  <v>0.005627226704872293</v>
                </pt>
                <pt idx="291">
                  <v>-0.002497931464523164</v>
                </pt>
                <pt idx="292">
                  <v>-0.004608356792865747</v>
                </pt>
                <pt idx="293">
                  <v>0.009258981558324452</v>
                </pt>
                <pt idx="294">
                  <v>-0.001296359821620843</v>
                </pt>
                <pt idx="295">
                  <v>-0.0100845924346086</v>
                </pt>
                <pt idx="296">
                  <v>0.008271164188474499</v>
                </pt>
                <pt idx="297">
                  <v>0.01190436293896322</v>
                </pt>
                <pt idx="298">
                  <v>0.004053354002143301</v>
                </pt>
                <pt idx="299">
                  <v>-0.02166170412206281</v>
                </pt>
                <pt idx="300">
                  <v>0.00291875610527364</v>
                </pt>
                <pt idx="301">
                  <v>0.02067188000340797</v>
                </pt>
                <pt idx="302">
                  <v>-0.01091329534326737</v>
                </pt>
                <pt idx="303">
                  <v>-0.004771333826371202</v>
                </pt>
                <pt idx="304">
                  <v>0.010487331303785</v>
                </pt>
                <pt idx="305">
                  <v>-0.01522148683216893</v>
                </pt>
                <pt idx="306">
                  <v>-0.003613339364933519</v>
                </pt>
                <pt idx="307">
                  <v>-0.001410283363199447</v>
                </pt>
                <pt idx="308">
                  <v>0.01926716441292786</v>
                </pt>
                <pt idx="309">
                  <v>-0.01009493194828238</v>
                </pt>
                <pt idx="310">
                  <v>-0.003598951418104933</v>
                </pt>
                <pt idx="311">
                  <v>0.02598884637023389</v>
                </pt>
                <pt idx="312">
                  <v>-0.01447517821359037</v>
                </pt>
                <pt idx="313">
                  <v>0.006053340848737923</v>
                </pt>
                <pt idx="314">
                  <v>-0.01272430282657063</v>
                </pt>
                <pt idx="315">
                  <v>0.01108993034324833</v>
                </pt>
                <pt idx="316">
                  <v>-0.0005928806886902304</v>
                </pt>
                <pt idx="317">
                  <v>0.02125848322338754</v>
                </pt>
                <pt idx="318">
                  <v>-0.01103775840853347</v>
                </pt>
                <pt idx="319">
                  <v>0.00558096461310138</v>
                </pt>
                <pt idx="320">
                  <v>0.001947023439241701</v>
                </pt>
                <pt idx="321">
                  <v>0.008453093589348619</v>
                </pt>
                <pt idx="322">
                  <v>0.004239292654751158</v>
                </pt>
                <pt idx="323">
                  <v>0.00412545607876352</v>
                </pt>
                <pt idx="324">
                  <v>0.0099368532087915</v>
                </pt>
                <pt idx="325">
                  <v>-0.03481521917031933</v>
                </pt>
                <pt idx="326">
                  <v>0.01107616184526891</v>
                </pt>
                <pt idx="327">
                  <v>0.007270901174880685</v>
                </pt>
                <pt idx="328">
                  <v>-0.01212694019012339</v>
                </pt>
                <pt idx="329">
                  <v>-0.009159116882256499</v>
                </pt>
                <pt idx="330">
                  <v>0.01750330380881964</v>
                </pt>
                <pt idx="331">
                  <v>-0.0004831809541665309</v>
                </pt>
                <pt idx="332">
                  <v>0.006961169244394072</v>
                </pt>
                <pt idx="333">
                  <v>-0.0120978311277194</v>
                </pt>
                <pt idx="334">
                  <v>0.007386464692212731</v>
                </pt>
                <pt idx="335">
                  <v>-0.008297081839135014</v>
                </pt>
                <pt idx="336">
                  <v>0.008852923751032542</v>
                </pt>
                <pt idx="337">
                  <v>0.01031813610103667</v>
                </pt>
                <pt idx="338">
                  <v>-0.004676871154108583</v>
                </pt>
                <pt idx="339">
                  <v>-0.006233164462523872</v>
                </pt>
                <pt idx="340">
                  <v>0.00434233418796906</v>
                </pt>
                <pt idx="341">
                  <v>0.01662168563108125</v>
                </pt>
                <pt idx="342">
                  <v>-0.0232490225487167</v>
                </pt>
                <pt idx="343">
                  <v>0.003096247831417118</v>
                </pt>
                <pt idx="344">
                  <v>-0.01012820376788469</v>
                </pt>
                <pt idx="345">
                  <v>0.01032927990302159</v>
                </pt>
                <pt idx="346">
                  <v>-0.001157397360555226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2"/>
          <order val="0"/>
          <tx>
            <strRef>
              <f>'Per country'!$G$3</f>
              <strCache>
                <ptCount val="1"/>
                <pt idx="0">
                  <v>France Industrial Production yoy</v>
                </pt>
              </strCache>
            </strRef>
          </tx>
          <spPr>
            <a:ln xmlns:a="http://schemas.openxmlformats.org/drawingml/2006/main" w="28575" cap="rnd">
              <a:solidFill>
                <a:sysClr val="windowText" lastClr="00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country'!$A$5:$A$351</f>
              <numCache>
                <formatCode>mmm\-yy</formatCode>
                <ptCount val="347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</numCache>
            </numRef>
          </cat>
          <val>
            <numRef>
              <f>'Per country'!$D$5:$D$351</f>
              <numCache>
                <formatCode>0.0%</formatCode>
                <ptCount val="347"/>
                <pt idx="12">
                  <v>0.0002175882492332116</v>
                </pt>
                <pt idx="13">
                  <v>-0.009992502480370272</v>
                </pt>
                <pt idx="14">
                  <v>-0.01305849282279866</v>
                </pt>
                <pt idx="15">
                  <v>0.008959825071382828</v>
                </pt>
                <pt idx="16">
                  <v>0.002076594773639048</v>
                </pt>
                <pt idx="17">
                  <v>0.001200732315723605</v>
                </pt>
                <pt idx="18">
                  <v>-0.01456995679931309</v>
                </pt>
                <pt idx="19">
                  <v>-0.001658838209476608</v>
                </pt>
                <pt idx="20">
                  <v>-0.008973551981839464</v>
                </pt>
                <pt idx="21">
                  <v>-0.02617526278817378</v>
                </pt>
                <pt idx="22">
                  <v>-0.01117687382835733</v>
                </pt>
                <pt idx="23">
                  <v>-0.03936582925271221</v>
                </pt>
                <pt idx="24">
                  <v>-0.04363909929572898</v>
                </pt>
                <pt idx="25">
                  <v>-0.04721080581375657</v>
                </pt>
                <pt idx="26">
                  <v>-0.03849098684363045</v>
                </pt>
                <pt idx="27">
                  <v>-0.05252327872076448</v>
                </pt>
                <pt idx="28">
                  <v>-0.05224124522021142</v>
                </pt>
                <pt idx="29">
                  <v>-0.05331432055294784</v>
                </pt>
                <pt idx="30">
                  <v>-0.04932133961155577</v>
                </pt>
                <pt idx="31">
                  <v>-0.0326760688186573</v>
                </pt>
                <pt idx="32">
                  <v>-0.04262365318308423</v>
                </pt>
                <pt idx="33">
                  <v>-0.0225109569032578</v>
                </pt>
                <pt idx="34">
                  <v>-0.0284795948615232</v>
                </pt>
                <pt idx="35">
                  <v>-0.02267871581621528</v>
                </pt>
                <pt idx="36">
                  <v>-0.01832039856746755</v>
                </pt>
                <pt idx="37">
                  <v>0.001025165185435904</v>
                </pt>
                <pt idx="38">
                  <v>-0.003639228287994347</v>
                </pt>
                <pt idx="39">
                  <v>0.0006857869399421204</v>
                </pt>
                <pt idx="40">
                  <v>0.03578819188285307</v>
                </pt>
                <pt idx="41">
                  <v>0.03547154331191262</v>
                </pt>
                <pt idx="42">
                  <v>0.04944283195405053</v>
                </pt>
                <pt idx="43">
                  <v>0.0444291488231003</v>
                </pt>
                <pt idx="44">
                  <v>0.05778544860988454</v>
                </pt>
                <pt idx="45">
                  <v>0.04720446852409103</v>
                </pt>
                <pt idx="46">
                  <v>0.05269763352033214</v>
                </pt>
                <pt idx="47">
                  <v>0.0695002787455085</v>
                </pt>
                <pt idx="48">
                  <v>0.07754728371340824</v>
                </pt>
                <pt idx="49">
                  <v>0.06543015744179642</v>
                </pt>
                <pt idx="50">
                  <v>0.06152271531124101</v>
                </pt>
                <pt idx="51">
                  <v>0.07115931529068908</v>
                </pt>
                <pt idx="52">
                  <v>0.04232872184711271</v>
                </pt>
                <pt idx="53">
                  <v>0.03837171862096593</v>
                </pt>
                <pt idx="54">
                  <v>0.03926123152041989</v>
                </pt>
                <pt idx="55">
                  <v>0.03508390895986408</v>
                </pt>
                <pt idx="56">
                  <v>0.02322540997370431</v>
                </pt>
                <pt idx="57">
                  <v>0.02822755521945321</v>
                </pt>
                <pt idx="58">
                  <v>-0.001300238366198379</v>
                </pt>
                <pt idx="59">
                  <v>-0.0104189245245851</v>
                </pt>
                <pt idx="60">
                  <v>0.01215566392622777</v>
                </pt>
                <pt idx="61">
                  <v>-0.003951691954291148</v>
                </pt>
                <pt idx="62">
                  <v>0.005698876934150303</v>
                </pt>
                <pt idx="63">
                  <v>0.004265372926094333</v>
                </pt>
                <pt idx="64">
                  <v>-0.005968932898561241</v>
                </pt>
                <pt idx="65">
                  <v>0.01874459489305883</v>
                </pt>
                <pt idx="66">
                  <v>0.004043810214196321</v>
                </pt>
                <pt idx="67">
                  <v>-0.01811244244434361</v>
                </pt>
                <pt idx="68">
                  <v>0.009697383163268675</v>
                </pt>
                <pt idx="69">
                  <v>0.009150913622976981</v>
                </pt>
                <pt idx="70">
                  <v>0.0184441336445382</v>
                </pt>
                <pt idx="71">
                  <v>0.03158575576867536</v>
                </pt>
                <pt idx="72">
                  <v>0.01169104985631962</v>
                </pt>
                <pt idx="73">
                  <v>0.011473311717959</v>
                </pt>
                <pt idx="74">
                  <v>0.01667910820373791</v>
                </pt>
                <pt idx="75">
                  <v>0.01316616690091466</v>
                </pt>
                <pt idx="76">
                  <v>0.0590820707268372</v>
                </pt>
                <pt idx="77">
                  <v>0.01913578890470786</v>
                </pt>
                <pt idx="78">
                  <v>0.03497618143697388</v>
                </pt>
                <pt idx="79">
                  <v>0.05523189772513245</v>
                </pt>
                <pt idx="80">
                  <v>0.0724005572935065</v>
                </pt>
                <pt idx="81">
                  <v>0.04628852205891578</v>
                </pt>
                <pt idx="82">
                  <v>0.08362580986330359</v>
                </pt>
                <pt idx="83">
                  <v>0.04566502445949788</v>
                </pt>
                <pt idx="84">
                  <v>0.06492224038457506</v>
                </pt>
                <pt idx="85">
                  <v>0.07463109341075178</v>
                </pt>
                <pt idx="86">
                  <v>0.07340469040166768</v>
                </pt>
                <pt idx="87">
                  <v>0.05690594261481183</v>
                </pt>
                <pt idx="88">
                  <v>0.03422043068995482</v>
                </pt>
                <pt idx="89">
                  <v>0.06716223665107106</v>
                </pt>
                <pt idx="90">
                  <v>0.05233023668723279</v>
                </pt>
                <pt idx="91">
                  <v>0.05663497811611069</v>
                </pt>
                <pt idx="92">
                  <v>-0.008857326189735653</v>
                </pt>
                <pt idx="93">
                  <v>0.0332564990134619</v>
                </pt>
                <pt idx="94">
                  <v>0.009045347657509625</v>
                </pt>
                <pt idx="95">
                  <v>0.03874056998718971</v>
                </pt>
                <pt idx="96">
                  <v>0.01075358979114294</v>
                </pt>
                <pt idx="97">
                  <v>0.01351572642220436</v>
                </pt>
                <pt idx="98">
                  <v>0.003526960181599256</v>
                </pt>
                <pt idx="99">
                  <v>0.01507176938606333</v>
                </pt>
                <pt idx="100">
                  <v>0.01018200542727023</v>
                </pt>
                <pt idx="101">
                  <v>0.001546776951863302</v>
                </pt>
                <pt idx="102">
                  <v>0.02209011404143011</v>
                </pt>
                <pt idx="103">
                  <v>0.01857568964666525</v>
                </pt>
                <pt idx="104">
                  <v>0.02611537193627693</v>
                </pt>
                <pt idx="105">
                  <v>0.03520889800050521</v>
                </pt>
                <pt idx="106">
                  <v>0.04705726469662676</v>
                </pt>
                <pt idx="107">
                  <v>0.04184793506595402</v>
                </pt>
                <pt idx="108">
                  <v>0.040503255388153</v>
                </pt>
                <pt idx="109">
                  <v>0.04535681505612659</v>
                </pt>
                <pt idx="110">
                  <v>0.05174219888724996</v>
                </pt>
                <pt idx="111">
                  <v>0.05939291282279714</v>
                </pt>
                <pt idx="112">
                  <v>0.05688486097126786</v>
                </pt>
                <pt idx="113">
                  <v>0.06582954395183833</v>
                </pt>
                <pt idx="114">
                  <v>0.0376079801277529</v>
                </pt>
                <pt idx="115">
                  <v>0.0473970112337565</v>
                </pt>
                <pt idx="116">
                  <v>0.05757642908083816</v>
                </pt>
                <pt idx="117">
                  <v>0.03231553529318097</v>
                </pt>
                <pt idx="118">
                  <v>0.03079903490154081</v>
                </pt>
                <pt idx="119">
                  <v>0.02817270706242348</v>
                </pt>
                <pt idx="120">
                  <v>0.04680572061580941</v>
                </pt>
                <pt idx="121">
                  <v>0.03445036307889415</v>
                </pt>
                <pt idx="122">
                  <v>0.03815061416919379</v>
                </pt>
                <pt idx="123">
                  <v>0.03549993591570005</v>
                </pt>
                <pt idx="124">
                  <v>0.01302024831997537</v>
                </pt>
                <pt idx="125">
                  <v>0.007878943207309398</v>
                </pt>
                <pt idx="126">
                  <v>0.02147165237211281</v>
                </pt>
                <pt idx="127">
                  <v>-0.004352916317904397</v>
                </pt>
                <pt idx="128">
                  <v>0.02946265425575243</v>
                </pt>
                <pt idx="129">
                  <v>0.01095181293573388</v>
                </pt>
                <pt idx="130">
                  <v>-0.007221461461316862</v>
                </pt>
                <pt idx="131">
                  <v>-0.01627767543942939</v>
                </pt>
                <pt idx="132">
                  <v>-0.0189962625749433</v>
                </pt>
                <pt idx="133">
                  <v>-0.01485136484042876</v>
                </pt>
                <pt idx="134">
                  <v>-0.01788254565190373</v>
                </pt>
                <pt idx="135">
                  <v>-0.01718597090495261</v>
                </pt>
                <pt idx="136">
                  <v>0.005521316354229549</v>
                </pt>
                <pt idx="137">
                  <v>-0.01042313432634651</v>
                </pt>
                <pt idx="138">
                  <v>-0.01239659399088577</v>
                </pt>
                <pt idx="139">
                  <v>-0.008926058534905806</v>
                </pt>
                <pt idx="140">
                  <v>-0.01484300632205414</v>
                </pt>
                <pt idx="141">
                  <v>-0.01182621067446416</v>
                </pt>
                <pt idx="142">
                  <v>-0.01254763327086803</v>
                </pt>
                <pt idx="143">
                  <v>0.00799772754224308</v>
                </pt>
                <pt idx="144">
                  <v>-0.022286992525637</v>
                </pt>
                <pt idx="145">
                  <v>-0.001827303384439989</v>
                </pt>
                <pt idx="146">
                  <v>0.003550589989703294</v>
                </pt>
                <pt idx="147">
                  <v>-0.00906035920700112</v>
                </pt>
                <pt idx="148">
                  <v>-0.01530278357633256</v>
                </pt>
                <pt idx="149">
                  <v>-0.03059994969622504</v>
                </pt>
                <pt idx="150">
                  <v>-0.03128953828829851</v>
                </pt>
                <pt idx="151">
                  <v>-0.003676102302251022</v>
                </pt>
                <pt idx="152">
                  <v>-0.02616362732529243</v>
                </pt>
                <pt idx="153">
                  <v>-0.01735779625418749</v>
                </pt>
                <pt idx="154">
                  <v>0.01436452184097924</v>
                </pt>
                <pt idx="155">
                  <v>-0.01495655758411455</v>
                </pt>
                <pt idx="156">
                  <v>0.01494755742898283</v>
                </pt>
                <pt idx="157">
                  <v>0.001006856694086725</v>
                </pt>
                <pt idx="158">
                  <v>0.00217724794045948</v>
                </pt>
                <pt idx="159">
                  <v>0.006674535914031884</v>
                </pt>
                <pt idx="160">
                  <v>0.006764730887121277</v>
                </pt>
                <pt idx="161">
                  <v>0.02603949573298826</v>
                </pt>
                <pt idx="162">
                  <v>0.03840343133250521</v>
                </pt>
                <pt idx="163">
                  <v>0.02425955323680548</v>
                </pt>
                <pt idx="164">
                  <v>-0.00768939299190574</v>
                </pt>
                <pt idx="165">
                  <v>0.03068029367548986</v>
                </pt>
                <pt idx="166">
                  <v>0.0137979991085766</v>
                </pt>
                <pt idx="167">
                  <v>0.01675756798619387</v>
                </pt>
                <pt idx="168">
                  <v>0.01297853754893412</v>
                </pt>
                <pt idx="169">
                  <v>0.02295153020869438</v>
                </pt>
                <pt idx="170">
                  <v>0.0009052157627030676</v>
                </pt>
                <pt idx="171">
                  <v>-0.01734772376974209</v>
                </pt>
                <pt idx="172">
                  <v>0.007536486126963443</v>
                </pt>
                <pt idx="173">
                  <v>0.001734511949418089</v>
                </pt>
                <pt idx="174">
                  <v>-0.008318948484911522</v>
                </pt>
                <pt idx="175">
                  <v>-0.01548978799703532</v>
                </pt>
                <pt idx="176">
                  <v>0.01493778877779941</v>
                </pt>
                <pt idx="177">
                  <v>0.005682797090768661</v>
                </pt>
                <pt idx="178">
                  <v>-0.03107066651504419</v>
                </pt>
                <pt idx="179">
                  <v>0.02485865623028043</v>
                </pt>
                <pt idx="180">
                  <v>0.01072231122144396</v>
                </pt>
                <pt idx="181">
                  <v>-0.01206748135574138</v>
                </pt>
                <pt idx="182">
                  <v>-0.007325616414445285</v>
                </pt>
                <pt idx="183">
                  <v>0.03327451754260288</v>
                </pt>
                <pt idx="184">
                  <v>0.002343167728452141</v>
                </pt>
                <pt idx="185">
                  <v>0.02989130682424004</v>
                </pt>
                <pt idx="186">
                  <v>0.02872229552233082</v>
                </pt>
                <pt idx="187">
                  <v>0.01774592049644681</v>
                </pt>
                <pt idx="188">
                  <v>0.01655767728903</v>
                </pt>
                <pt idx="189">
                  <v>0.006457926162583663</v>
                </pt>
                <pt idx="190">
                  <v>0.02864776099265424</v>
                </pt>
                <pt idx="191">
                  <v>-0.01661470499125289</v>
                </pt>
                <pt idx="192">
                  <v>0.01168739981426022</v>
                </pt>
                <pt idx="193">
                  <v>0.007057488674087898</v>
                </pt>
                <pt idx="194">
                  <v>0.0232323167904053</v>
                </pt>
                <pt idx="195">
                  <v>0.01216556982723996</v>
                </pt>
                <pt idx="196">
                  <v>0.0004495557939200021</v>
                </pt>
                <pt idx="197">
                  <v>0.008229294696352233</v>
                </pt>
                <pt idx="198">
                  <v>0.006115888102293209</v>
                </pt>
                <pt idx="199">
                  <v>0.02157092024242111</v>
                </pt>
                <pt idx="200">
                  <v>0.03474860850830092</v>
                </pt>
                <pt idx="201">
                  <v>-0.004366777202571184</v>
                </pt>
                <pt idx="202">
                  <v>0.02641340605457328</v>
                </pt>
                <pt idx="203">
                  <v>0.01436562225280065</v>
                </pt>
                <pt idx="204">
                  <v>-0.0007109158462253328</v>
                </pt>
                <pt idx="205">
                  <v>0.01904746502499085</v>
                </pt>
                <pt idx="206">
                  <v>0.01905514068536526</v>
                </pt>
                <pt idx="207">
                  <v>-0.0002651326679680579</v>
                </pt>
                <pt idx="208">
                  <v>0.03864532415932648</v>
                </pt>
                <pt idx="209">
                  <v>-0.03352615259314252</v>
                </pt>
                <pt idx="210">
                  <v>-0.03268408584550037</v>
                </pt>
                <pt idx="211">
                  <v>-0.02639430094254049</v>
                </pt>
                <pt idx="212">
                  <v>-0.04591214768563461</v>
                </pt>
                <pt idx="213">
                  <v>-0.0276582089832789</v>
                </pt>
                <pt idx="214">
                  <v>-0.06695871370928927</v>
                </pt>
                <pt idx="215">
                  <v>-0.09815633436625162</v>
                </pt>
                <pt idx="216">
                  <v>-0.1120495256151796</v>
                </pt>
                <pt idx="217">
                  <v>-0.1520010862195592</v>
                </pt>
                <pt idx="218">
                  <v>-0.1713415348052878</v>
                </pt>
                <pt idx="219">
                  <v>-0.176979850761442</v>
                </pt>
                <pt idx="220">
                  <v>-0.1947739484818856</v>
                </pt>
                <pt idx="221">
                  <v>-0.1449327057806466</v>
                </pt>
                <pt idx="222">
                  <v>-0.1312385417605867</v>
                </pt>
                <pt idx="223">
                  <v>-0.1414240260109939</v>
                </pt>
                <pt idx="224">
                  <v>-0.1145736652951534</v>
                </pt>
                <pt idx="225">
                  <v>-0.1062321125941145</v>
                </pt>
                <pt idx="226">
                  <v>-0.09530970188807036</v>
                </pt>
                <pt idx="227">
                  <v>-0.03822182145721319</v>
                </pt>
                <pt idx="228">
                  <v>-0.02774158211804551</v>
                </pt>
                <pt idx="229">
                  <v>0.02017055379036138</v>
                </pt>
                <pt idx="230">
                  <v>0.02804721470582439</v>
                </pt>
                <pt idx="231">
                  <v>0.06788396402264293</v>
                </pt>
                <pt idx="232">
                  <v>0.06425950867809192</v>
                </pt>
                <pt idx="233">
                  <v>0.06032299222669988</v>
                </pt>
                <pt idx="234">
                  <v>0.04224768449868169</v>
                </pt>
                <pt idx="235">
                  <v>0.05357296787028091</v>
                </pt>
                <pt idx="236">
                  <v>0.02567286961672485</v>
                </pt>
                <pt idx="237">
                  <v>0.03295873213952999</v>
                </pt>
                <pt idx="238">
                  <v>0.03836550505595145</v>
                </pt>
                <pt idx="239">
                  <v>0.04138382089859386</v>
                </pt>
                <pt idx="240">
                  <v>0.05830287159738363</v>
                </pt>
                <pt idx="241">
                  <v>0.05962118946824951</v>
                </pt>
                <pt idx="242">
                  <v>0.0697439334093737</v>
                </pt>
                <pt idx="243">
                  <v>0.03590867225711153</v>
                </pt>
                <pt idx="244">
                  <v>0.02231382979260472</v>
                </pt>
                <pt idx="245">
                  <v>0.04727584423368236</v>
                </pt>
                <pt idx="246">
                  <v>0.02283193572212182</v>
                </pt>
                <pt idx="247">
                  <v>0.027373407605134</v>
                </pt>
                <pt idx="248">
                  <v>0.02926973865681181</v>
                </pt>
                <pt idx="249">
                  <v>0.009173323973883962</v>
                </pt>
                <pt idx="250">
                  <v>0.01308158113376368</v>
                </pt>
                <pt idx="251">
                  <v>0.02179353678306464</v>
                </pt>
                <pt idx="252">
                  <v>-0.01265416207177473</v>
                </pt>
                <pt idx="253">
                  <v>-0.0300093583877796</v>
                </pt>
                <pt idx="254">
                  <v>-0.02387323599316971</v>
                </pt>
                <pt idx="255">
                  <v>-0.01932306640683787</v>
                </pt>
                <pt idx="256">
                  <v>-0.0001975293034721308</v>
                </pt>
                <pt idx="257">
                  <v>-0.04571565470457895</v>
                </pt>
                <pt idx="258">
                  <v>-0.02468246881723813</v>
                </pt>
                <pt idx="259">
                  <v>-0.03004709215885909</v>
                </pt>
                <pt idx="260">
                  <v>-0.002354362434534431</v>
                </pt>
                <pt idx="261">
                  <v>-0.01235016421172449</v>
                </pt>
                <pt idx="262">
                  <v>-0.0321336056492408</v>
                </pt>
                <pt idx="263">
                  <v>-0.05249983352779226</v>
                </pt>
                <pt idx="264">
                  <v>-0.01922273877966256</v>
                </pt>
                <pt idx="265">
                  <v>-0.02270661214387987</v>
                </pt>
                <pt idx="266">
                  <v>-0.0209218266413518</v>
                </pt>
                <pt idx="267">
                  <v>-0.01178178786702682</v>
                </pt>
                <pt idx="268">
                  <v>0.001679330796556006</v>
                </pt>
                <pt idx="269">
                  <v>0.01282781472152523</v>
                </pt>
                <pt idx="270">
                  <v>0.006856265152879459</v>
                </pt>
                <pt idx="271">
                  <v>-0.006616486298910962</v>
                </pt>
                <pt idx="272">
                  <v>-0.03105912279046352</v>
                </pt>
                <pt idx="273">
                  <v>-0.01060415364698355</v>
                </pt>
                <pt idx="274">
                  <v>0.008351188023483218</v>
                </pt>
                <pt idx="275">
                  <v>0.02658339989419529</v>
                </pt>
                <pt idx="276">
                  <v>0.0003015353274266697</v>
                </pt>
                <pt idx="277">
                  <v>-0.006493553929441777</v>
                </pt>
                <pt idx="278">
                  <v>-0.002307364415003406</v>
                </pt>
                <pt idx="279">
                  <v>-0.01092065860989223</v>
                </pt>
                <pt idx="280">
                  <v>-0.0229779252234697</v>
                </pt>
                <pt idx="281">
                  <v>-0.04155904168579706</v>
                </pt>
                <pt idx="282">
                  <v>-0.007610691799777834</v>
                </pt>
                <pt idx="283">
                  <v>0.0125134687034108</v>
                </pt>
                <pt idx="284">
                  <v>-0.002231671434666488</v>
                </pt>
                <pt idx="285">
                  <v>0.002224450492478161</v>
                </pt>
                <pt idx="286">
                  <v>-0.01434206742838126</v>
                </pt>
                <pt idx="287">
                  <v>-0.04087664747179307</v>
                </pt>
                <pt idx="288">
                  <v>-0.001708185110594453</v>
                </pt>
                <pt idx="289">
                  <v>0.01623781502624412</v>
                </pt>
                <pt idx="290">
                  <v>0.006233934900292027</v>
                </pt>
                <pt idx="291">
                  <v>0.01114253192563306</v>
                </pt>
                <pt idx="292">
                  <v>0.002927198947177446</v>
                </pt>
                <pt idx="293">
                  <v>0.03530829444849778</v>
                </pt>
                <pt idx="294">
                  <v>0.01059506873908818</v>
                </pt>
                <pt idx="295">
                  <v>-0.01186056525015241</v>
                </pt>
                <pt idx="296">
                  <v>0.01626674116787556</v>
                </pt>
                <pt idx="297">
                  <v>0.0204797518342008</v>
                </pt>
                <pt idx="298">
                  <v>0.04067995746730656</v>
                </pt>
                <pt idx="299">
                  <v>0.02782649695394092</v>
                </pt>
                <pt idx="300">
                  <v>0.003019602352592295</v>
                </pt>
                <pt idx="301">
                  <v>0.02210784494511811</v>
                </pt>
                <pt idx="302">
                  <v>0.005296250254819599</v>
                </pt>
                <pt idx="303">
                  <v>0.003005084209377961</v>
                </pt>
                <pt idx="304">
                  <v>0.0182162345278551</v>
                </pt>
                <pt idx="305">
                  <v>-0.006481499948145569</v>
                </pt>
                <pt idx="306">
                  <v>-0.00878645003334971</v>
                </pt>
                <pt idx="307">
                  <v>-0.0001007657592503465</v>
                </pt>
                <pt idx="308">
                  <v>0.01080393190012531</v>
                </pt>
                <pt idx="309">
                  <v>-0.01117143907907807</v>
                </pt>
                <pt idx="310">
                  <v>-0.01870771006136222</v>
                </pt>
                <pt idx="311">
                  <v>0.02908671647436079</v>
                </pt>
                <pt idx="312">
                  <v>0.01123894301733357</v>
                </pt>
                <pt idx="313">
                  <v>-0.003244493210160695</v>
                </pt>
                <pt idx="314">
                  <v>-0.00506954219051941</v>
                </pt>
                <pt idx="315">
                  <v>0.01078696934103601</v>
                </pt>
                <pt idx="316">
                  <v>-0.0002965282472808472</v>
                </pt>
                <pt idx="317">
                  <v>0.03673631947058948</v>
                </pt>
                <pt idx="318">
                  <v>0.02901124126795354</v>
                </pt>
                <pt idx="319">
                  <v>0.03621547403567586</v>
                </pt>
                <pt idx="320">
                  <v>0.0186073348587897</v>
                </pt>
                <pt idx="321">
                  <v>0.03769315982275686</v>
                </pt>
                <pt idx="322">
                  <v>0.04585623057724886</v>
                </pt>
                <pt idx="323">
                  <v>0.02356947469411024</v>
                </pt>
                <pt idx="324">
                  <v>0.04892389462026708</v>
                </pt>
                <pt idx="325">
                  <v>0.006313818790145707</v>
                </pt>
                <pt idx="326">
                  <v>0.03057323949853524</v>
                </pt>
                <pt idx="327">
                  <v>0.02668061912554043</v>
                </pt>
                <pt idx="328">
                  <v>0.01483179883884647</v>
                </pt>
                <pt idx="329">
                  <v>-0.01539438614631098</v>
                </pt>
                <pt idx="330">
                  <v>0.01302094550409788</v>
                </pt>
                <pt idx="331">
                  <v>0.00691193320930788</v>
                </pt>
                <pt idx="332">
                  <v>0.01195092541942394</v>
                </pt>
                <pt idx="333">
                  <v>-0.008671280430172505</v>
                </pt>
                <pt idx="334">
                  <v>-0.005564568664378917</v>
                </pt>
                <pt idx="335">
                  <v>-0.01786722644273081</v>
                </pt>
                <pt idx="336">
                  <v>-0.01892131476647786</v>
                </pt>
                <pt idx="337">
                  <v>0.02695526112786694</v>
                </pt>
                <pt idx="338">
                  <v>0.01095482443682033</v>
                </pt>
                <pt idx="339">
                  <v>-0.002598630040740706</v>
                </pt>
                <pt idx="340">
                  <v>0.01402949506483281</v>
                </pt>
                <pt idx="341">
                  <v>0.04041364473042496</v>
                </pt>
                <pt idx="342">
                  <v>-0.001256270480832788</v>
                </pt>
                <pt idx="343">
                  <v>0.002320389748131449</v>
                </pt>
                <pt idx="344">
                  <v>-0.01469022351223069</v>
                </pt>
                <pt idx="345">
                  <v>0.007678035666905354</v>
                </pt>
                <pt idx="346">
                  <v>-0.0008682992622349561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'Per country'!$G$4</f>
              <strCache>
                <ptCount val="1"/>
                <pt idx="0">
                  <v>France Industrial Production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country'!$A$5:$A$351</f>
              <numCache>
                <formatCode>mmm\-yy</formatCode>
                <ptCount val="347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</numCache>
            </numRef>
          </cat>
          <val>
            <numRef>
              <f>'Per country'!$B$5:$B$351</f>
              <numCache>
                <formatCode>0.00</formatCode>
                <ptCount val="347"/>
                <pt idx="0">
                  <v>91.87076999999999</v>
                </pt>
                <pt idx="1">
                  <v>93.07078</v>
                </pt>
                <pt idx="2">
                  <v>92.66077</v>
                </pt>
                <pt idx="3">
                  <v>91.52076</v>
                </pt>
                <pt idx="4">
                  <v>91.50076</v>
                </pt>
                <pt idx="5">
                  <v>91.61076</v>
                </pt>
                <pt idx="6">
                  <v>91.97076</v>
                </pt>
                <pt idx="7">
                  <v>90.43076000000001</v>
                </pt>
                <pt idx="8">
                  <v>91.38076</v>
                </pt>
                <pt idx="9">
                  <v>91.69077</v>
                </pt>
                <pt idx="10">
                  <v>91.26076</v>
                </pt>
                <pt idx="11">
                  <v>92.72077</v>
                </pt>
                <pt idx="12">
                  <v>91.89076</v>
                </pt>
                <pt idx="13">
                  <v>92.14077</v>
                </pt>
                <pt idx="14">
                  <v>91.45076</v>
                </pt>
                <pt idx="15">
                  <v>92.34077000000001</v>
                </pt>
                <pt idx="16">
                  <v>91.69077</v>
                </pt>
                <pt idx="17">
                  <v>91.72076</v>
                </pt>
                <pt idx="18">
                  <v>90.63075000000001</v>
                </pt>
                <pt idx="19">
                  <v>90.28075</v>
                </pt>
                <pt idx="20">
                  <v>90.56075</v>
                </pt>
                <pt idx="21">
                  <v>89.29074</v>
                </pt>
                <pt idx="22">
                  <v>90.24075000000001</v>
                </pt>
                <pt idx="23">
                  <v>89.07074</v>
                </pt>
                <pt idx="24">
                  <v>87.88073</v>
                </pt>
                <pt idx="25">
                  <v>87.79073</v>
                </pt>
                <pt idx="26">
                  <v>87.93073</v>
                </pt>
                <pt idx="27">
                  <v>87.49073</v>
                </pt>
                <pt idx="28">
                  <v>86.90073</v>
                </pt>
                <pt idx="29">
                  <v>86.83073</v>
                </pt>
                <pt idx="30">
                  <v>86.16072</v>
                </pt>
                <pt idx="31">
                  <v>87.33073</v>
                </pt>
                <pt idx="32">
                  <v>86.70072</v>
                </pt>
                <pt idx="33">
                  <v>87.28072</v>
                </pt>
                <pt idx="34">
                  <v>87.67073000000001</v>
                </pt>
                <pt idx="35">
                  <v>87.05073</v>
                </pt>
                <pt idx="36">
                  <v>86.27072</v>
                </pt>
                <pt idx="37">
                  <v>87.88073</v>
                </pt>
                <pt idx="38">
                  <v>87.61073</v>
                </pt>
                <pt idx="39">
                  <v>87.55073</v>
                </pt>
                <pt idx="40">
                  <v>90.01075</v>
                </pt>
                <pt idx="41">
                  <v>89.91074999999999</v>
                </pt>
                <pt idx="42">
                  <v>90.42075</v>
                </pt>
                <pt idx="43">
                  <v>91.21075999999999</v>
                </pt>
                <pt idx="44">
                  <v>91.71075999999999</v>
                </pt>
                <pt idx="45">
                  <v>91.40076000000001</v>
                </pt>
                <pt idx="46">
                  <v>92.29076999999999</v>
                </pt>
                <pt idx="47">
                  <v>93.10078</v>
                </pt>
                <pt idx="48">
                  <v>92.96078</v>
                </pt>
                <pt idx="49">
                  <v>93.63078</v>
                </pt>
                <pt idx="50">
                  <v>93.00078000000001</v>
                </pt>
                <pt idx="51">
                  <v>93.78077999999999</v>
                </pt>
                <pt idx="52">
                  <v>93.82079</v>
                </pt>
                <pt idx="53">
                  <v>93.36078000000001</v>
                </pt>
                <pt idx="54">
                  <v>93.97078</v>
                </pt>
                <pt idx="55">
                  <v>94.41079000000001</v>
                </pt>
                <pt idx="56">
                  <v>93.84078</v>
                </pt>
                <pt idx="57">
                  <v>93.98078</v>
                </pt>
                <pt idx="58">
                  <v>92.17077</v>
                </pt>
                <pt idx="59">
                  <v>92.13077</v>
                </pt>
                <pt idx="60">
                  <v>94.09078</v>
                </pt>
                <pt idx="61">
                  <v>93.26078</v>
                </pt>
                <pt idx="62">
                  <v>93.53077999999999</v>
                </pt>
                <pt idx="63">
                  <v>94.18079</v>
                </pt>
                <pt idx="64">
                  <v>93.26078</v>
                </pt>
                <pt idx="65">
                  <v>95.11078999999999</v>
                </pt>
                <pt idx="66">
                  <v>94.35078</v>
                </pt>
                <pt idx="67">
                  <v>92.70077999999999</v>
                </pt>
                <pt idx="68">
                  <v>94.75078999999999</v>
                </pt>
                <pt idx="69">
                  <v>94.84079</v>
                </pt>
                <pt idx="70">
                  <v>93.87078</v>
                </pt>
                <pt idx="71">
                  <v>95.04079</v>
                </pt>
                <pt idx="72">
                  <v>95.1908</v>
                </pt>
                <pt idx="73">
                  <v>94.33078999999999</v>
                </pt>
                <pt idx="74">
                  <v>95.09079</v>
                </pt>
                <pt idx="75">
                  <v>95.42079</v>
                </pt>
                <pt idx="76">
                  <v>98.77082</v>
                </pt>
                <pt idx="77">
                  <v>96.93080999999999</v>
                </pt>
                <pt idx="78">
                  <v>97.65081000000001</v>
                </pt>
                <pt idx="79">
                  <v>97.82082</v>
                </pt>
                <pt idx="80">
                  <v>101.6108</v>
                </pt>
                <pt idx="81">
                  <v>99.23083</v>
                </pt>
                <pt idx="82">
                  <v>101.7208</v>
                </pt>
                <pt idx="83">
                  <v>99.38083</v>
                </pt>
                <pt idx="84">
                  <v>101.3708</v>
                </pt>
                <pt idx="85">
                  <v>101.3708</v>
                </pt>
                <pt idx="86">
                  <v>102.0709</v>
                </pt>
                <pt idx="87">
                  <v>100.8508</v>
                </pt>
                <pt idx="88">
                  <v>102.1508</v>
                </pt>
                <pt idx="89">
                  <v>103.4409</v>
                </pt>
                <pt idx="90">
                  <v>102.7609</v>
                </pt>
                <pt idx="91">
                  <v>103.3609</v>
                </pt>
                <pt idx="92">
                  <v>100.7108</v>
                </pt>
                <pt idx="93">
                  <v>102.5309</v>
                </pt>
                <pt idx="94">
                  <v>102.6409</v>
                </pt>
                <pt idx="95">
                  <v>103.2309</v>
                </pt>
                <pt idx="96">
                  <v>102.4609</v>
                </pt>
                <pt idx="97">
                  <v>102.7409</v>
                </pt>
                <pt idx="98">
                  <v>102.4309</v>
                </pt>
                <pt idx="99">
                  <v>102.3708</v>
                </pt>
                <pt idx="100">
                  <v>103.1909</v>
                </pt>
                <pt idx="101">
                  <v>103.6009</v>
                </pt>
                <pt idx="102">
                  <v>105.0309</v>
                </pt>
                <pt idx="103">
                  <v>105.2809</v>
                </pt>
                <pt idx="104">
                  <v>103.3409</v>
                </pt>
                <pt idx="105">
                  <v>106.1409</v>
                </pt>
                <pt idx="106">
                  <v>107.4709</v>
                </pt>
                <pt idx="107">
                  <v>107.5509</v>
                </pt>
                <pt idx="108">
                  <v>106.6109</v>
                </pt>
                <pt idx="109">
                  <v>107.4009</v>
                </pt>
                <pt idx="110">
                  <v>107.7309</v>
                </pt>
                <pt idx="111">
                  <v>108.4509</v>
                </pt>
                <pt idx="112">
                  <v>109.0609</v>
                </pt>
                <pt idx="113">
                  <v>110.4209</v>
                </pt>
                <pt idx="114">
                  <v>108.9809</v>
                </pt>
                <pt idx="115">
                  <v>110.2709</v>
                </pt>
                <pt idx="116">
                  <v>109.2909</v>
                </pt>
                <pt idx="117">
                  <v>109.5709</v>
                </pt>
                <pt idx="118">
                  <v>110.7809</v>
                </pt>
                <pt idx="119">
                  <v>110.5809</v>
                </pt>
                <pt idx="120">
                  <v>111.6009</v>
                </pt>
                <pt idx="121">
                  <v>111.1009</v>
                </pt>
                <pt idx="122">
                  <v>111.8409</v>
                </pt>
                <pt idx="123">
                  <v>112.3009</v>
                </pt>
                <pt idx="124">
                  <v>110.4809</v>
                </pt>
                <pt idx="125">
                  <v>111.2909</v>
                </pt>
                <pt idx="126">
                  <v>111.3209</v>
                </pt>
                <pt idx="127">
                  <v>109.7909</v>
                </pt>
                <pt idx="128">
                  <v>112.5109</v>
                </pt>
                <pt idx="129">
                  <v>110.7709</v>
                </pt>
                <pt idx="130">
                  <v>109.9809</v>
                </pt>
                <pt idx="131">
                  <v>108.7809</v>
                </pt>
                <pt idx="132">
                  <v>109.4809</v>
                </pt>
                <pt idx="133">
                  <v>109.4509</v>
                </pt>
                <pt idx="134">
                  <v>109.8409</v>
                </pt>
                <pt idx="135">
                  <v>110.3709</v>
                </pt>
                <pt idx="136">
                  <v>111.0909</v>
                </pt>
                <pt idx="137">
                  <v>110.1309</v>
                </pt>
                <pt idx="138">
                  <v>109.9409</v>
                </pt>
                <pt idx="139">
                  <v>108.8109</v>
                </pt>
                <pt idx="140">
                  <v>110.8409</v>
                </pt>
                <pt idx="141">
                  <v>109.4609</v>
                </pt>
                <pt idx="142">
                  <v>108.6009</v>
                </pt>
                <pt idx="143">
                  <v>109.6509</v>
                </pt>
                <pt idx="144">
                  <v>107.0409</v>
                </pt>
                <pt idx="145">
                  <v>109.2509</v>
                </pt>
                <pt idx="146">
                  <v>110.2309</v>
                </pt>
                <pt idx="147">
                  <v>109.3709</v>
                </pt>
                <pt idx="148">
                  <v>109.3909</v>
                </pt>
                <pt idx="149">
                  <v>106.7609</v>
                </pt>
                <pt idx="150">
                  <v>106.5009</v>
                </pt>
                <pt idx="151">
                  <v>108.4109</v>
                </pt>
                <pt idx="152">
                  <v>107.9409</v>
                </pt>
                <pt idx="153">
                  <v>107.5609</v>
                </pt>
                <pt idx="154">
                  <v>110.1609</v>
                </pt>
                <pt idx="155">
                  <v>108.0109</v>
                </pt>
                <pt idx="156">
                  <v>108.6409</v>
                </pt>
                <pt idx="157">
                  <v>109.3609</v>
                </pt>
                <pt idx="158">
                  <v>110.4709</v>
                </pt>
                <pt idx="159">
                  <v>110.1009</v>
                </pt>
                <pt idx="160">
                  <v>110.1309</v>
                </pt>
                <pt idx="161">
                  <v>109.5409</v>
                </pt>
                <pt idx="162">
                  <v>110.5909</v>
                </pt>
                <pt idx="163">
                  <v>111.0409</v>
                </pt>
                <pt idx="164">
                  <v>107.1109</v>
                </pt>
                <pt idx="165">
                  <v>110.8609</v>
                </pt>
                <pt idx="166">
                  <v>111.6809</v>
                </pt>
                <pt idx="167">
                  <v>109.8209</v>
                </pt>
                <pt idx="168">
                  <v>110.0509</v>
                </pt>
                <pt idx="169">
                  <v>111.8709</v>
                </pt>
                <pt idx="170">
                  <v>110.5709</v>
                </pt>
                <pt idx="171">
                  <v>108.1909</v>
                </pt>
                <pt idx="172">
                  <v>110.9609</v>
                </pt>
                <pt idx="173">
                  <v>109.7309</v>
                </pt>
                <pt idx="174">
                  <v>109.6709</v>
                </pt>
                <pt idx="175">
                  <v>109.3209</v>
                </pt>
                <pt idx="176">
                  <v>108.7109</v>
                </pt>
                <pt idx="177">
                  <v>111.4909</v>
                </pt>
                <pt idx="178">
                  <v>108.2109</v>
                </pt>
                <pt idx="179">
                  <v>112.5509</v>
                </pt>
                <pt idx="180">
                  <v>111.2309</v>
                </pt>
                <pt idx="181">
                  <v>110.5209</v>
                </pt>
                <pt idx="182">
                  <v>109.7609</v>
                </pt>
                <pt idx="183">
                  <v>111.7909</v>
                </pt>
                <pt idx="184">
                  <v>111.2209</v>
                </pt>
                <pt idx="185">
                  <v>113.0109</v>
                </pt>
                <pt idx="186">
                  <v>112.8209</v>
                </pt>
                <pt idx="187">
                  <v>111.2609</v>
                </pt>
                <pt idx="188">
                  <v>110.5109</v>
                </pt>
                <pt idx="189">
                  <v>112.2109</v>
                </pt>
                <pt idx="190">
                  <v>111.3109</v>
                </pt>
                <pt idx="191">
                  <v>110.6809</v>
                </pt>
                <pt idx="192">
                  <v>112.5309</v>
                </pt>
                <pt idx="193">
                  <v>111.3009</v>
                </pt>
                <pt idx="194">
                  <v>112.3109</v>
                </pt>
                <pt idx="195">
                  <v>113.1509</v>
                </pt>
                <pt idx="196">
                  <v>111.2709</v>
                </pt>
                <pt idx="197">
                  <v>113.9409</v>
                </pt>
                <pt idx="198">
                  <v>113.5109</v>
                </pt>
                <pt idx="199">
                  <v>113.6609</v>
                </pt>
                <pt idx="200">
                  <v>114.351</v>
                </pt>
                <pt idx="201">
                  <v>111.7209</v>
                </pt>
                <pt idx="202">
                  <v>114.251</v>
                </pt>
                <pt idx="203">
                  <v>112.2709</v>
                </pt>
                <pt idx="204">
                  <v>112.4509</v>
                </pt>
                <pt idx="205">
                  <v>113.4209</v>
                </pt>
                <pt idx="206">
                  <v>114.451</v>
                </pt>
                <pt idx="207">
                  <v>113.1209</v>
                </pt>
                <pt idx="208">
                  <v>115.571</v>
                </pt>
                <pt idx="209">
                  <v>110.1209</v>
                </pt>
                <pt idx="210">
                  <v>109.8009</v>
                </pt>
                <pt idx="211">
                  <v>110.6609</v>
                </pt>
                <pt idx="212">
                  <v>109.1009</v>
                </pt>
                <pt idx="213">
                  <v>108.6309</v>
                </pt>
                <pt idx="214">
                  <v>106.6009</v>
                </pt>
                <pt idx="215">
                  <v>101.2508</v>
                </pt>
                <pt idx="216">
                  <v>99.85083</v>
                </pt>
                <pt idx="217">
                  <v>96.1808</v>
                </pt>
                <pt idx="218">
                  <v>94.84079</v>
                </pt>
                <pt idx="219">
                  <v>93.10078</v>
                </pt>
                <pt idx="220">
                  <v>93.06077999999999</v>
                </pt>
                <pt idx="221">
                  <v>94.16078</v>
                </pt>
                <pt idx="222">
                  <v>95.39079</v>
                </pt>
                <pt idx="223">
                  <v>95.01079</v>
                </pt>
                <pt idx="224">
                  <v>96.60081</v>
                </pt>
                <pt idx="225">
                  <v>97.09081</v>
                </pt>
                <pt idx="226">
                  <v>96.4408</v>
                </pt>
                <pt idx="227">
                  <v>97.38081</v>
                </pt>
                <pt idx="228">
                  <v>97.08081</v>
                </pt>
                <pt idx="229">
                  <v>98.12081999999999</v>
                </pt>
                <pt idx="230">
                  <v>97.50081</v>
                </pt>
                <pt idx="231">
                  <v>99.42083</v>
                </pt>
                <pt idx="232">
                  <v>99.04082</v>
                </pt>
                <pt idx="233">
                  <v>99.84084</v>
                </pt>
                <pt idx="234">
                  <v>99.42083</v>
                </pt>
                <pt idx="235">
                  <v>100.1008</v>
                </pt>
                <pt idx="236">
                  <v>99.08083000000001</v>
                </pt>
                <pt idx="237">
                  <v>100.2908</v>
                </pt>
                <pt idx="238">
                  <v>100.1408</v>
                </pt>
                <pt idx="239">
                  <v>101.4108</v>
                </pt>
                <pt idx="240">
                  <v>102.7409</v>
                </pt>
                <pt idx="241">
                  <v>103.9709</v>
                </pt>
                <pt idx="242">
                  <v>104.3009</v>
                </pt>
                <pt idx="243">
                  <v>102.9909</v>
                </pt>
                <pt idx="244">
                  <v>101.2508</v>
                </pt>
                <pt idx="245">
                  <v>104.5609</v>
                </pt>
                <pt idx="246">
                  <v>101.6908</v>
                </pt>
                <pt idx="247">
                  <v>102.8409</v>
                </pt>
                <pt idx="248">
                  <v>101.9809</v>
                </pt>
                <pt idx="249">
                  <v>101.2108</v>
                </pt>
                <pt idx="250">
                  <v>101.4508</v>
                </pt>
                <pt idx="251">
                  <v>103.6209</v>
                </pt>
                <pt idx="252">
                  <v>101.4408</v>
                </pt>
                <pt idx="253">
                  <v>100.8508</v>
                </pt>
                <pt idx="254">
                  <v>101.8109</v>
                </pt>
                <pt idx="255">
                  <v>101.0008</v>
                </pt>
                <pt idx="256">
                  <v>101.2308</v>
                </pt>
                <pt idx="257">
                  <v>99.78082999999999</v>
                </pt>
                <pt idx="258">
                  <v>99.18082</v>
                </pt>
                <pt idx="259">
                  <v>99.75082999999999</v>
                </pt>
                <pt idx="260">
                  <v>101.7408</v>
                </pt>
                <pt idx="261">
                  <v>99.96083</v>
                </pt>
                <pt idx="262">
                  <v>98.19082</v>
                </pt>
                <pt idx="263">
                  <v>98.18082</v>
                </pt>
                <pt idx="264">
                  <v>99.49083</v>
                </pt>
                <pt idx="265">
                  <v>98.56082000000001</v>
                </pt>
                <pt idx="266">
                  <v>99.68083</v>
                </pt>
                <pt idx="267">
                  <v>99.81083</v>
                </pt>
                <pt idx="268">
                  <v>101.4008</v>
                </pt>
                <pt idx="269">
                  <v>101.0608</v>
                </pt>
                <pt idx="270">
                  <v>99.86083000000001</v>
                </pt>
                <pt idx="271">
                  <v>99.09083</v>
                </pt>
                <pt idx="272">
                  <v>98.58082</v>
                </pt>
                <pt idx="273">
                  <v>98.90083</v>
                </pt>
                <pt idx="274">
                  <v>99.01083</v>
                </pt>
                <pt idx="275">
                  <v>100.7908</v>
                </pt>
                <pt idx="276">
                  <v>99.52083</v>
                </pt>
                <pt idx="277">
                  <v>97.92081</v>
                </pt>
                <pt idx="278">
                  <v>99.45083</v>
                </pt>
                <pt idx="279">
                  <v>98.72083000000001</v>
                </pt>
                <pt idx="280">
                  <v>99.07082</v>
                </pt>
                <pt idx="281">
                  <v>96.86081</v>
                </pt>
                <pt idx="282">
                  <v>99.10082</v>
                </pt>
                <pt idx="283">
                  <v>100.3308</v>
                </pt>
                <pt idx="284">
                  <v>98.36082</v>
                </pt>
                <pt idx="285">
                  <v>99.12083</v>
                </pt>
                <pt idx="286">
                  <v>97.59081</v>
                </pt>
                <pt idx="287">
                  <v>96.67081</v>
                </pt>
                <pt idx="288">
                  <v>99.35083</v>
                </pt>
                <pt idx="289">
                  <v>99.51083</v>
                </pt>
                <pt idx="290">
                  <v>100.0708</v>
                </pt>
                <pt idx="291">
                  <v>99.82083</v>
                </pt>
                <pt idx="292">
                  <v>99.36082</v>
                </pt>
                <pt idx="293">
                  <v>100.2808</v>
                </pt>
                <pt idx="294">
                  <v>100.1508</v>
                </pt>
                <pt idx="295">
                  <v>99.14082000000001</v>
                </pt>
                <pt idx="296">
                  <v>99.96083</v>
                </pt>
                <pt idx="297">
                  <v>101.1508</v>
                </pt>
                <pt idx="298">
                  <v>101.5608</v>
                </pt>
                <pt idx="299">
                  <v>99.36082</v>
                </pt>
                <pt idx="300">
                  <v>99.65083</v>
                </pt>
                <pt idx="301">
                  <v>101.7108</v>
                </pt>
                <pt idx="302">
                  <v>100.6008</v>
                </pt>
                <pt idx="303">
                  <v>100.1208</v>
                </pt>
                <pt idx="304">
                  <v>101.1708</v>
                </pt>
                <pt idx="305">
                  <v>99.63083</v>
                </pt>
                <pt idx="306">
                  <v>99.27083</v>
                </pt>
                <pt idx="307">
                  <v>99.13083</v>
                </pt>
                <pt idx="308">
                  <v>101.0408</v>
                </pt>
                <pt idx="309">
                  <v>100.0208</v>
                </pt>
                <pt idx="310">
                  <v>99.66083</v>
                </pt>
                <pt idx="311">
                  <v>102.2509</v>
                </pt>
                <pt idx="312">
                  <v>100.7708</v>
                </pt>
                <pt idx="313">
                  <v>101.3808</v>
                </pt>
                <pt idx="314">
                  <v>100.0908</v>
                </pt>
                <pt idx="315">
                  <v>101.2008</v>
                </pt>
                <pt idx="316">
                  <v>101.1408</v>
                </pt>
                <pt idx="317">
                  <v>103.2909</v>
                </pt>
                <pt idx="318">
                  <v>102.1508</v>
                </pt>
                <pt idx="319">
                  <v>102.7209</v>
                </pt>
                <pt idx="320">
                  <v>102.9209</v>
                </pt>
                <pt idx="321">
                  <v>103.7909</v>
                </pt>
                <pt idx="322">
                  <v>104.2309</v>
                </pt>
                <pt idx="323">
                  <v>104.6609</v>
                </pt>
                <pt idx="324">
                  <v>105.7009</v>
                </pt>
                <pt idx="325">
                  <v>102.0209</v>
                </pt>
                <pt idx="326">
                  <v>103.1509</v>
                </pt>
                <pt idx="327">
                  <v>103.9009</v>
                </pt>
                <pt idx="328">
                  <v>102.6409</v>
                </pt>
                <pt idx="329">
                  <v>101.7008</v>
                </pt>
                <pt idx="330">
                  <v>103.4809</v>
                </pt>
                <pt idx="331">
                  <v>103.4309</v>
                </pt>
                <pt idx="332">
                  <v>104.1509</v>
                </pt>
                <pt idx="333">
                  <v>102.8909</v>
                </pt>
                <pt idx="334">
                  <v>103.6509</v>
                </pt>
                <pt idx="335">
                  <v>102.7909</v>
                </pt>
                <pt idx="336">
                  <v>103.7009</v>
                </pt>
                <pt idx="337">
                  <v>104.7709</v>
                </pt>
                <pt idx="338">
                  <v>104.2809</v>
                </pt>
                <pt idx="339">
                  <v>103.6309</v>
                </pt>
                <pt idx="340">
                  <v>104.0809</v>
                </pt>
                <pt idx="341">
                  <v>105.8109</v>
                </pt>
                <pt idx="342">
                  <v>103.3509</v>
                </pt>
                <pt idx="343">
                  <v>103.6709</v>
                </pt>
                <pt idx="344">
                  <v>102.6209</v>
                </pt>
                <pt idx="345">
                  <v>103.6809</v>
                </pt>
                <pt idx="346">
                  <v>103.5609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  <min val="8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France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country'!$A$300:$A$347</f>
              <numCache>
                <formatCode>mmm\-yy</formatCode>
                <ptCount val="48"/>
                <pt idx="0">
                  <v>42186</v>
                </pt>
                <pt idx="1">
                  <v>42217</v>
                </pt>
                <pt idx="2">
                  <v>42248</v>
                </pt>
                <pt idx="3">
                  <v>42278</v>
                </pt>
                <pt idx="4">
                  <v>42309</v>
                </pt>
                <pt idx="5">
                  <v>42339</v>
                </pt>
                <pt idx="6">
                  <v>42370</v>
                </pt>
                <pt idx="7">
                  <v>42401</v>
                </pt>
                <pt idx="8">
                  <v>42430</v>
                </pt>
                <pt idx="9">
                  <v>42461</v>
                </pt>
                <pt idx="10">
                  <v>42491</v>
                </pt>
                <pt idx="11">
                  <v>42522</v>
                </pt>
                <pt idx="12">
                  <v>42552</v>
                </pt>
                <pt idx="13">
                  <v>42583</v>
                </pt>
                <pt idx="14">
                  <v>42614</v>
                </pt>
                <pt idx="15">
                  <v>42644</v>
                </pt>
                <pt idx="16">
                  <v>42675</v>
                </pt>
                <pt idx="17">
                  <v>42705</v>
                </pt>
                <pt idx="18">
                  <v>42736</v>
                </pt>
                <pt idx="19">
                  <v>42767</v>
                </pt>
                <pt idx="20">
                  <v>42795</v>
                </pt>
                <pt idx="21">
                  <v>42826</v>
                </pt>
                <pt idx="22">
                  <v>42856</v>
                </pt>
                <pt idx="23">
                  <v>42887</v>
                </pt>
                <pt idx="24">
                  <v>42917</v>
                </pt>
                <pt idx="25">
                  <v>42948</v>
                </pt>
                <pt idx="26">
                  <v>42979</v>
                </pt>
                <pt idx="27">
                  <v>43009</v>
                </pt>
                <pt idx="28">
                  <v>43040</v>
                </pt>
                <pt idx="29">
                  <v>43070</v>
                </pt>
                <pt idx="30">
                  <v>43101</v>
                </pt>
                <pt idx="31">
                  <v>43132</v>
                </pt>
                <pt idx="32">
                  <v>43160</v>
                </pt>
                <pt idx="33">
                  <v>43191</v>
                </pt>
                <pt idx="34">
                  <v>43221</v>
                </pt>
                <pt idx="35">
                  <v>43252</v>
                </pt>
                <pt idx="36">
                  <v>43282</v>
                </pt>
                <pt idx="37">
                  <v>43313</v>
                </pt>
                <pt idx="38">
                  <v>43344</v>
                </pt>
                <pt idx="39">
                  <v>43374</v>
                </pt>
                <pt idx="40">
                  <v>43405</v>
                </pt>
                <pt idx="41">
                  <v>43435</v>
                </pt>
                <pt idx="42">
                  <v>43466</v>
                </pt>
                <pt idx="43">
                  <v>43497</v>
                </pt>
                <pt idx="44">
                  <v>43525</v>
                </pt>
                <pt idx="45">
                  <v>43556</v>
                </pt>
                <pt idx="46">
                  <v>43586</v>
                </pt>
                <pt idx="47">
                  <v>43617</v>
                </pt>
              </numCache>
            </numRef>
          </cat>
          <val>
            <numRef>
              <f>'Per country'!$C$300:$C$347</f>
              <numCache>
                <formatCode>0.0%</formatCode>
                <ptCount val="48"/>
                <pt idx="0">
                  <v>-0.0100845924346086</v>
                </pt>
                <pt idx="1">
                  <v>0.008271164188474499</v>
                </pt>
                <pt idx="2">
                  <v>0.01190436293896322</v>
                </pt>
                <pt idx="3">
                  <v>0.004053354002143301</v>
                </pt>
                <pt idx="4">
                  <v>-0.02166170412206281</v>
                </pt>
                <pt idx="5">
                  <v>0.00291875610527364</v>
                </pt>
                <pt idx="6">
                  <v>0.02067188000340797</v>
                </pt>
                <pt idx="7">
                  <v>-0.01091329534326737</v>
                </pt>
                <pt idx="8">
                  <v>-0.004771333826371202</v>
                </pt>
                <pt idx="9">
                  <v>0.010487331303785</v>
                </pt>
                <pt idx="10">
                  <v>-0.01522148683216893</v>
                </pt>
                <pt idx="11">
                  <v>-0.003613339364933519</v>
                </pt>
                <pt idx="12">
                  <v>-0.001410283363199447</v>
                </pt>
                <pt idx="13">
                  <v>0.01926716441292786</v>
                </pt>
                <pt idx="14">
                  <v>-0.01009493194828238</v>
                </pt>
                <pt idx="15">
                  <v>-0.003598951418104933</v>
                </pt>
                <pt idx="16">
                  <v>0.02598884637023389</v>
                </pt>
                <pt idx="17">
                  <v>-0.01447517821359037</v>
                </pt>
                <pt idx="18">
                  <v>0.006053340848737923</v>
                </pt>
                <pt idx="19">
                  <v>-0.01272430282657063</v>
                </pt>
                <pt idx="20">
                  <v>0.01108993034324833</v>
                </pt>
                <pt idx="21">
                  <v>-0.0005928806886902304</v>
                </pt>
                <pt idx="22">
                  <v>0.02125848322338754</v>
                </pt>
                <pt idx="23">
                  <v>-0.01103775840853347</v>
                </pt>
                <pt idx="24">
                  <v>0.00558096461310138</v>
                </pt>
                <pt idx="25">
                  <v>0.001947023439241701</v>
                </pt>
                <pt idx="26">
                  <v>0.008453093589348619</v>
                </pt>
                <pt idx="27">
                  <v>0.004239292654751158</v>
                </pt>
                <pt idx="28">
                  <v>0.00412545607876352</v>
                </pt>
                <pt idx="29">
                  <v>0.0099368532087915</v>
                </pt>
                <pt idx="30">
                  <v>-0.03481521917031933</v>
                </pt>
                <pt idx="31">
                  <v>0.01107616184526891</v>
                </pt>
                <pt idx="32">
                  <v>0.007270901174880685</v>
                </pt>
                <pt idx="33">
                  <v>-0.01212694019012339</v>
                </pt>
                <pt idx="34">
                  <v>-0.009159116882256499</v>
                </pt>
                <pt idx="35">
                  <v>0.01750330380881964</v>
                </pt>
                <pt idx="36">
                  <v>-0.0004831809541665309</v>
                </pt>
                <pt idx="37">
                  <v>0.006961169244394072</v>
                </pt>
                <pt idx="38">
                  <v>-0.0120978311277194</v>
                </pt>
                <pt idx="39">
                  <v>0.007386464692212731</v>
                </pt>
                <pt idx="40">
                  <v>-0.008297081839135014</v>
                </pt>
                <pt idx="41">
                  <v>0.008852923751032542</v>
                </pt>
                <pt idx="42">
                  <v>0.01031813610103667</v>
                </pt>
                <pt idx="43">
                  <v>-0.004676871154108583</v>
                </pt>
                <pt idx="44">
                  <v>-0.006233164462523872</v>
                </pt>
                <pt idx="45">
                  <v>0.00434233418796906</v>
                </pt>
                <pt idx="46">
                  <v>0.01662168563108125</v>
                </pt>
                <pt idx="47">
                  <v>-0.0232490225487167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China Industrial Production YoY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areaChart>
        <grouping val="stacked"/>
        <varyColors val="0"/>
        <ser>
          <idx val="0"/>
          <order val="0"/>
          <tx>
            <strRef>
              <f>China!$B$7</f>
              <strCache>
                <ptCount val="1"/>
                <pt idx="0">
                  <v>China Industrial Production YoY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cat>
            <numRef>
              <f>China!$A$8:$A$363</f>
              <numCache>
                <formatCode>m/d/yy</formatCode>
                <ptCount val="356"/>
                <pt idx="0">
                  <v>32932</v>
                </pt>
                <pt idx="1">
                  <v>32963</v>
                </pt>
                <pt idx="2">
                  <v>32993</v>
                </pt>
                <pt idx="3">
                  <v>33024</v>
                </pt>
                <pt idx="4">
                  <v>33054</v>
                </pt>
                <pt idx="5">
                  <v>33085</v>
                </pt>
                <pt idx="6">
                  <v>33116</v>
                </pt>
                <pt idx="7">
                  <v>33146</v>
                </pt>
                <pt idx="8">
                  <v>33177</v>
                </pt>
                <pt idx="9">
                  <v>33207</v>
                </pt>
                <pt idx="10">
                  <v>33238</v>
                </pt>
                <pt idx="11">
                  <v>33269</v>
                </pt>
                <pt idx="12">
                  <v>33297</v>
                </pt>
                <pt idx="13">
                  <v>33328</v>
                </pt>
                <pt idx="14">
                  <v>33358</v>
                </pt>
                <pt idx="15">
                  <v>33389</v>
                </pt>
                <pt idx="16">
                  <v>33419</v>
                </pt>
                <pt idx="17">
                  <v>33450</v>
                </pt>
                <pt idx="18">
                  <v>33481</v>
                </pt>
                <pt idx="19">
                  <v>33511</v>
                </pt>
                <pt idx="20">
                  <v>33542</v>
                </pt>
                <pt idx="21">
                  <v>33572</v>
                </pt>
                <pt idx="22">
                  <v>33603</v>
                </pt>
                <pt idx="23">
                  <v>33634</v>
                </pt>
                <pt idx="24">
                  <v>33663</v>
                </pt>
                <pt idx="25">
                  <v>33694</v>
                </pt>
                <pt idx="26">
                  <v>33724</v>
                </pt>
                <pt idx="27">
                  <v>33755</v>
                </pt>
                <pt idx="28">
                  <v>33785</v>
                </pt>
                <pt idx="29">
                  <v>33816</v>
                </pt>
                <pt idx="30">
                  <v>33847</v>
                </pt>
                <pt idx="31">
                  <v>33877</v>
                </pt>
                <pt idx="32">
                  <v>33908</v>
                </pt>
                <pt idx="33">
                  <v>33938</v>
                </pt>
                <pt idx="34">
                  <v>33969</v>
                </pt>
                <pt idx="35">
                  <v>34000</v>
                </pt>
                <pt idx="36">
                  <v>34028</v>
                </pt>
                <pt idx="37">
                  <v>34059</v>
                </pt>
                <pt idx="38">
                  <v>34089</v>
                </pt>
                <pt idx="39">
                  <v>34120</v>
                </pt>
                <pt idx="40">
                  <v>34150</v>
                </pt>
                <pt idx="41">
                  <v>34181</v>
                </pt>
                <pt idx="42">
                  <v>34212</v>
                </pt>
                <pt idx="43">
                  <v>34242</v>
                </pt>
                <pt idx="44">
                  <v>34273</v>
                </pt>
                <pt idx="45">
                  <v>34303</v>
                </pt>
                <pt idx="46">
                  <v>34334</v>
                </pt>
                <pt idx="47">
                  <v>34365</v>
                </pt>
                <pt idx="48">
                  <v>34393</v>
                </pt>
                <pt idx="49">
                  <v>34424</v>
                </pt>
                <pt idx="50">
                  <v>34454</v>
                </pt>
                <pt idx="51">
                  <v>34485</v>
                </pt>
                <pt idx="52">
                  <v>34515</v>
                </pt>
                <pt idx="53">
                  <v>34546</v>
                </pt>
                <pt idx="54">
                  <v>34577</v>
                </pt>
                <pt idx="55">
                  <v>34607</v>
                </pt>
                <pt idx="56">
                  <v>34638</v>
                </pt>
                <pt idx="57">
                  <v>34668</v>
                </pt>
                <pt idx="58">
                  <v>34699</v>
                </pt>
                <pt idx="59">
                  <v>34730</v>
                </pt>
                <pt idx="60">
                  <v>34758</v>
                </pt>
                <pt idx="61">
                  <v>34789</v>
                </pt>
                <pt idx="62">
                  <v>34819</v>
                </pt>
                <pt idx="63">
                  <v>34850</v>
                </pt>
                <pt idx="64">
                  <v>34880</v>
                </pt>
                <pt idx="65">
                  <v>34911</v>
                </pt>
                <pt idx="66">
                  <v>34942</v>
                </pt>
                <pt idx="67">
                  <v>34972</v>
                </pt>
                <pt idx="68">
                  <v>35003</v>
                </pt>
                <pt idx="69">
                  <v>35033</v>
                </pt>
                <pt idx="70">
                  <v>35064</v>
                </pt>
                <pt idx="71">
                  <v>35095</v>
                </pt>
                <pt idx="72">
                  <v>35124</v>
                </pt>
                <pt idx="73">
                  <v>35155</v>
                </pt>
                <pt idx="74">
                  <v>35185</v>
                </pt>
                <pt idx="75">
                  <v>35216</v>
                </pt>
                <pt idx="76">
                  <v>35246</v>
                </pt>
                <pt idx="77">
                  <v>35277</v>
                </pt>
                <pt idx="78">
                  <v>35308</v>
                </pt>
                <pt idx="79">
                  <v>35338</v>
                </pt>
                <pt idx="80">
                  <v>35369</v>
                </pt>
                <pt idx="81">
                  <v>35399</v>
                </pt>
                <pt idx="82">
                  <v>35430</v>
                </pt>
                <pt idx="83">
                  <v>35461</v>
                </pt>
                <pt idx="84">
                  <v>35489</v>
                </pt>
                <pt idx="85">
                  <v>35520</v>
                </pt>
                <pt idx="86">
                  <v>35550</v>
                </pt>
                <pt idx="87">
                  <v>35581</v>
                </pt>
                <pt idx="88">
                  <v>35611</v>
                </pt>
                <pt idx="89">
                  <v>35642</v>
                </pt>
                <pt idx="90">
                  <v>35673</v>
                </pt>
                <pt idx="91">
                  <v>35703</v>
                </pt>
                <pt idx="92">
                  <v>35734</v>
                </pt>
                <pt idx="93">
                  <v>35764</v>
                </pt>
                <pt idx="94">
                  <v>35795</v>
                </pt>
                <pt idx="95">
                  <v>35826</v>
                </pt>
                <pt idx="96">
                  <v>35854</v>
                </pt>
                <pt idx="97">
                  <v>35885</v>
                </pt>
                <pt idx="98">
                  <v>35915</v>
                </pt>
                <pt idx="99">
                  <v>35946</v>
                </pt>
                <pt idx="100">
                  <v>35976</v>
                </pt>
                <pt idx="101">
                  <v>36007</v>
                </pt>
                <pt idx="102">
                  <v>36038</v>
                </pt>
                <pt idx="103">
                  <v>36068</v>
                </pt>
                <pt idx="104">
                  <v>36099</v>
                </pt>
                <pt idx="105">
                  <v>36129</v>
                </pt>
                <pt idx="106">
                  <v>36160</v>
                </pt>
                <pt idx="107">
                  <v>36191</v>
                </pt>
                <pt idx="108">
                  <v>36219</v>
                </pt>
                <pt idx="109">
                  <v>36250</v>
                </pt>
                <pt idx="110">
                  <v>36280</v>
                </pt>
                <pt idx="111">
                  <v>36311</v>
                </pt>
                <pt idx="112">
                  <v>36341</v>
                </pt>
                <pt idx="113">
                  <v>36372</v>
                </pt>
                <pt idx="114">
                  <v>36403</v>
                </pt>
                <pt idx="115">
                  <v>36433</v>
                </pt>
                <pt idx="116">
                  <v>36464</v>
                </pt>
                <pt idx="117">
                  <v>36494</v>
                </pt>
                <pt idx="118">
                  <v>36525</v>
                </pt>
                <pt idx="119">
                  <v>36556</v>
                </pt>
                <pt idx="120">
                  <v>36585</v>
                </pt>
                <pt idx="121">
                  <v>36616</v>
                </pt>
                <pt idx="122">
                  <v>36646</v>
                </pt>
                <pt idx="123">
                  <v>36677</v>
                </pt>
                <pt idx="124">
                  <v>36707</v>
                </pt>
                <pt idx="125">
                  <v>36738</v>
                </pt>
                <pt idx="126">
                  <v>36769</v>
                </pt>
                <pt idx="127">
                  <v>36799</v>
                </pt>
                <pt idx="128">
                  <v>36830</v>
                </pt>
                <pt idx="129">
                  <v>36860</v>
                </pt>
                <pt idx="130">
                  <v>36891</v>
                </pt>
                <pt idx="131">
                  <v>36922</v>
                </pt>
                <pt idx="132">
                  <v>36950</v>
                </pt>
                <pt idx="133">
                  <v>36981</v>
                </pt>
                <pt idx="134">
                  <v>37011</v>
                </pt>
                <pt idx="135">
                  <v>37042</v>
                </pt>
                <pt idx="136">
                  <v>37072</v>
                </pt>
                <pt idx="137">
                  <v>37103</v>
                </pt>
                <pt idx="138">
                  <v>37134</v>
                </pt>
                <pt idx="139">
                  <v>37164</v>
                </pt>
                <pt idx="140">
                  <v>37195</v>
                </pt>
                <pt idx="141">
                  <v>37225</v>
                </pt>
                <pt idx="142">
                  <v>37256</v>
                </pt>
                <pt idx="143">
                  <v>37287</v>
                </pt>
                <pt idx="144">
                  <v>37315</v>
                </pt>
                <pt idx="145">
                  <v>37346</v>
                </pt>
                <pt idx="146">
                  <v>37376</v>
                </pt>
                <pt idx="147">
                  <v>37407</v>
                </pt>
                <pt idx="148">
                  <v>37437</v>
                </pt>
                <pt idx="149">
                  <v>37468</v>
                </pt>
                <pt idx="150">
                  <v>37499</v>
                </pt>
                <pt idx="151">
                  <v>37529</v>
                </pt>
                <pt idx="152">
                  <v>37560</v>
                </pt>
                <pt idx="153">
                  <v>37590</v>
                </pt>
                <pt idx="154">
                  <v>37621</v>
                </pt>
                <pt idx="155">
                  <v>37652</v>
                </pt>
                <pt idx="156">
                  <v>37680</v>
                </pt>
                <pt idx="157">
                  <v>37711</v>
                </pt>
                <pt idx="158">
                  <v>37741</v>
                </pt>
                <pt idx="159">
                  <v>37772</v>
                </pt>
                <pt idx="160">
                  <v>37802</v>
                </pt>
                <pt idx="161">
                  <v>37833</v>
                </pt>
                <pt idx="162">
                  <v>37864</v>
                </pt>
                <pt idx="163">
                  <v>37894</v>
                </pt>
                <pt idx="164">
                  <v>37925</v>
                </pt>
                <pt idx="165">
                  <v>37955</v>
                </pt>
                <pt idx="166">
                  <v>37986</v>
                </pt>
                <pt idx="167">
                  <v>38017</v>
                </pt>
                <pt idx="168">
                  <v>38046</v>
                </pt>
                <pt idx="169">
                  <v>38077</v>
                </pt>
                <pt idx="170">
                  <v>38107</v>
                </pt>
                <pt idx="171">
                  <v>38138</v>
                </pt>
                <pt idx="172">
                  <v>38168</v>
                </pt>
                <pt idx="173">
                  <v>38199</v>
                </pt>
                <pt idx="174">
                  <v>38230</v>
                </pt>
                <pt idx="175">
                  <v>38260</v>
                </pt>
                <pt idx="176">
                  <v>38291</v>
                </pt>
                <pt idx="177">
                  <v>38321</v>
                </pt>
                <pt idx="178">
                  <v>38352</v>
                </pt>
                <pt idx="179">
                  <v>38383</v>
                </pt>
                <pt idx="180">
                  <v>38411</v>
                </pt>
                <pt idx="181">
                  <v>38442</v>
                </pt>
                <pt idx="182">
                  <v>38472</v>
                </pt>
                <pt idx="183">
                  <v>38503</v>
                </pt>
                <pt idx="184">
                  <v>38533</v>
                </pt>
                <pt idx="185">
                  <v>38564</v>
                </pt>
                <pt idx="186">
                  <v>38595</v>
                </pt>
                <pt idx="187">
                  <v>38625</v>
                </pt>
                <pt idx="188">
                  <v>38656</v>
                </pt>
                <pt idx="189">
                  <v>38686</v>
                </pt>
                <pt idx="190">
                  <v>38717</v>
                </pt>
                <pt idx="191">
                  <v>38776</v>
                </pt>
                <pt idx="192">
                  <v>38807</v>
                </pt>
                <pt idx="193">
                  <v>38837</v>
                </pt>
                <pt idx="194">
                  <v>38868</v>
                </pt>
                <pt idx="195">
                  <v>38898</v>
                </pt>
                <pt idx="196">
                  <v>38929</v>
                </pt>
                <pt idx="197">
                  <v>38960</v>
                </pt>
                <pt idx="198">
                  <v>38990</v>
                </pt>
                <pt idx="199">
                  <v>39021</v>
                </pt>
                <pt idx="200">
                  <v>39051</v>
                </pt>
                <pt idx="201">
                  <v>39082</v>
                </pt>
                <pt idx="202">
                  <v>39141</v>
                </pt>
                <pt idx="203">
                  <v>39172</v>
                </pt>
                <pt idx="204">
                  <v>39202</v>
                </pt>
                <pt idx="205">
                  <v>39233</v>
                </pt>
                <pt idx="206">
                  <v>39263</v>
                </pt>
                <pt idx="207">
                  <v>39294</v>
                </pt>
                <pt idx="208">
                  <v>39325</v>
                </pt>
                <pt idx="209">
                  <v>39355</v>
                </pt>
                <pt idx="210">
                  <v>39386</v>
                </pt>
                <pt idx="211">
                  <v>39416</v>
                </pt>
                <pt idx="212">
                  <v>39447</v>
                </pt>
                <pt idx="213">
                  <v>39507</v>
                </pt>
                <pt idx="214">
                  <v>39538</v>
                </pt>
                <pt idx="215">
                  <v>39568</v>
                </pt>
                <pt idx="216">
                  <v>39599</v>
                </pt>
                <pt idx="217">
                  <v>39629</v>
                </pt>
                <pt idx="218">
                  <v>39660</v>
                </pt>
                <pt idx="219">
                  <v>39691</v>
                </pt>
                <pt idx="220">
                  <v>39721</v>
                </pt>
                <pt idx="221">
                  <v>39752</v>
                </pt>
                <pt idx="222">
                  <v>39782</v>
                </pt>
                <pt idx="223">
                  <v>39813</v>
                </pt>
                <pt idx="224">
                  <v>39872</v>
                </pt>
                <pt idx="225">
                  <v>39903</v>
                </pt>
                <pt idx="226">
                  <v>39933</v>
                </pt>
                <pt idx="227">
                  <v>39964</v>
                </pt>
                <pt idx="228">
                  <v>39994</v>
                </pt>
                <pt idx="229">
                  <v>40025</v>
                </pt>
                <pt idx="230">
                  <v>40056</v>
                </pt>
                <pt idx="231">
                  <v>40086</v>
                </pt>
                <pt idx="232">
                  <v>40117</v>
                </pt>
                <pt idx="233">
                  <v>40147</v>
                </pt>
                <pt idx="234">
                  <v>40178</v>
                </pt>
                <pt idx="235">
                  <v>40237</v>
                </pt>
                <pt idx="236">
                  <v>40268</v>
                </pt>
                <pt idx="237">
                  <v>40298</v>
                </pt>
                <pt idx="238">
                  <v>40329</v>
                </pt>
                <pt idx="239">
                  <v>40359</v>
                </pt>
                <pt idx="240">
                  <v>40390</v>
                </pt>
                <pt idx="241">
                  <v>40421</v>
                </pt>
                <pt idx="242">
                  <v>40451</v>
                </pt>
                <pt idx="243">
                  <v>40482</v>
                </pt>
                <pt idx="244">
                  <v>40512</v>
                </pt>
                <pt idx="245">
                  <v>40543</v>
                </pt>
                <pt idx="246">
                  <v>40602</v>
                </pt>
                <pt idx="247">
                  <v>40633</v>
                </pt>
                <pt idx="248">
                  <v>40663</v>
                </pt>
                <pt idx="249">
                  <v>40694</v>
                </pt>
                <pt idx="250">
                  <v>40724</v>
                </pt>
                <pt idx="251">
                  <v>40755</v>
                </pt>
                <pt idx="252">
                  <v>40786</v>
                </pt>
                <pt idx="253">
                  <v>40816</v>
                </pt>
                <pt idx="254">
                  <v>40847</v>
                </pt>
                <pt idx="255">
                  <v>40877</v>
                </pt>
                <pt idx="256">
                  <v>40908</v>
                </pt>
                <pt idx="257">
                  <v>40968</v>
                </pt>
                <pt idx="258">
                  <v>40999</v>
                </pt>
                <pt idx="259">
                  <v>41029</v>
                </pt>
                <pt idx="260">
                  <v>41060</v>
                </pt>
                <pt idx="261">
                  <v>41090</v>
                </pt>
                <pt idx="262">
                  <v>41121</v>
                </pt>
                <pt idx="263">
                  <v>41152</v>
                </pt>
                <pt idx="264">
                  <v>41182</v>
                </pt>
                <pt idx="265">
                  <v>41213</v>
                </pt>
                <pt idx="266">
                  <v>41243</v>
                </pt>
                <pt idx="267">
                  <v>41274</v>
                </pt>
                <pt idx="268">
                  <v>41333</v>
                </pt>
                <pt idx="269">
                  <v>41364</v>
                </pt>
                <pt idx="270">
                  <v>41394</v>
                </pt>
                <pt idx="271">
                  <v>41425</v>
                </pt>
                <pt idx="272">
                  <v>41455</v>
                </pt>
                <pt idx="273">
                  <v>41486</v>
                </pt>
                <pt idx="274">
                  <v>41517</v>
                </pt>
                <pt idx="275">
                  <v>41547</v>
                </pt>
                <pt idx="276">
                  <v>41578</v>
                </pt>
                <pt idx="277">
                  <v>41608</v>
                </pt>
                <pt idx="278">
                  <v>41639</v>
                </pt>
                <pt idx="279">
                  <v>41698</v>
                </pt>
                <pt idx="280">
                  <v>41729</v>
                </pt>
                <pt idx="281">
                  <v>41759</v>
                </pt>
                <pt idx="282">
                  <v>41790</v>
                </pt>
                <pt idx="283">
                  <v>41820</v>
                </pt>
                <pt idx="284">
                  <v>41851</v>
                </pt>
                <pt idx="285">
                  <v>41882</v>
                </pt>
                <pt idx="286">
                  <v>41912</v>
                </pt>
                <pt idx="287">
                  <v>41943</v>
                </pt>
                <pt idx="288">
                  <v>41973</v>
                </pt>
                <pt idx="289">
                  <v>42004</v>
                </pt>
                <pt idx="290">
                  <v>42063</v>
                </pt>
                <pt idx="291">
                  <v>42094</v>
                </pt>
                <pt idx="292">
                  <v>42124</v>
                </pt>
                <pt idx="293">
                  <v>42155</v>
                </pt>
                <pt idx="294">
                  <v>42185</v>
                </pt>
                <pt idx="295">
                  <v>42216</v>
                </pt>
                <pt idx="296">
                  <v>42247</v>
                </pt>
                <pt idx="297">
                  <v>42277</v>
                </pt>
                <pt idx="298">
                  <v>42308</v>
                </pt>
                <pt idx="299">
                  <v>42338</v>
                </pt>
                <pt idx="300">
                  <v>42369</v>
                </pt>
                <pt idx="301">
                  <v>42400</v>
                </pt>
                <pt idx="302">
                  <v>42460</v>
                </pt>
                <pt idx="303">
                  <v>42490</v>
                </pt>
                <pt idx="304">
                  <v>42521</v>
                </pt>
                <pt idx="305">
                  <v>42551</v>
                </pt>
                <pt idx="306">
                  <v>42582</v>
                </pt>
                <pt idx="307">
                  <v>42613</v>
                </pt>
                <pt idx="308">
                  <v>42643</v>
                </pt>
                <pt idx="309">
                  <v>42674</v>
                </pt>
                <pt idx="310">
                  <v>42704</v>
                </pt>
                <pt idx="311">
                  <v>42735</v>
                </pt>
                <pt idx="312">
                  <v>42766</v>
                </pt>
                <pt idx="313">
                  <v>42825</v>
                </pt>
                <pt idx="314">
                  <v>42855</v>
                </pt>
                <pt idx="315">
                  <v>42886</v>
                </pt>
                <pt idx="316">
                  <v>42916</v>
                </pt>
                <pt idx="317">
                  <v>42947</v>
                </pt>
                <pt idx="318">
                  <v>42978</v>
                </pt>
                <pt idx="319">
                  <v>43008</v>
                </pt>
                <pt idx="320">
                  <v>43039</v>
                </pt>
                <pt idx="321">
                  <v>43069</v>
                </pt>
                <pt idx="322">
                  <v>43100</v>
                </pt>
                <pt idx="323">
                  <v>43159</v>
                </pt>
                <pt idx="324">
                  <v>43190</v>
                </pt>
                <pt idx="325">
                  <v>43220</v>
                </pt>
                <pt idx="326">
                  <v>43251</v>
                </pt>
                <pt idx="327">
                  <v>43281</v>
                </pt>
                <pt idx="328">
                  <v>43312</v>
                </pt>
                <pt idx="329">
                  <v>43343</v>
                </pt>
                <pt idx="330">
                  <v>43373</v>
                </pt>
                <pt idx="331">
                  <v>43404</v>
                </pt>
                <pt idx="332">
                  <v>43434</v>
                </pt>
                <pt idx="333">
                  <v>43465</v>
                </pt>
                <pt idx="334">
                  <v>43496</v>
                </pt>
                <pt idx="335">
                  <v>43524</v>
                </pt>
                <pt idx="336">
                  <v>43555</v>
                </pt>
                <pt idx="337">
                  <v>43585</v>
                </pt>
                <pt idx="338">
                  <v>43616</v>
                </pt>
                <pt idx="339">
                  <v>43646</v>
                </pt>
                <pt idx="340">
                  <v>43677</v>
                </pt>
                <pt idx="341">
                  <v>43708</v>
                </pt>
                <pt idx="342">
                  <v>43738</v>
                </pt>
                <pt idx="343">
                  <v>43769</v>
                </pt>
                <pt idx="344">
                  <v>43799</v>
                </pt>
                <pt idx="345">
                  <v>43830</v>
                </pt>
                <pt idx="346">
                  <v>43890</v>
                </pt>
                <pt idx="347">
                  <v>43921</v>
                </pt>
                <pt idx="348">
                  <v>43951</v>
                </pt>
                <pt idx="349">
                  <v>43982</v>
                </pt>
                <pt idx="350">
                  <v>44012</v>
                </pt>
                <pt idx="351">
                  <v>44043</v>
                </pt>
                <pt idx="352">
                  <v>44074</v>
                </pt>
                <pt idx="353">
                  <v>44104</v>
                </pt>
                <pt idx="354">
                  <v>44135</v>
                </pt>
                <pt idx="355">
                  <v>44165</v>
                </pt>
              </numCache>
            </numRef>
          </cat>
          <val>
            <numRef>
              <f>China!$B$8:$B$363</f>
              <numCache>
                <formatCode>0.0%</formatCode>
                <ptCount val="356"/>
                <pt idx="0">
                  <v>0.05</v>
                </pt>
                <pt idx="1">
                  <v>0.008</v>
                </pt>
                <pt idx="2">
                  <v>0.017</v>
                </pt>
                <pt idx="3">
                  <v>0.033</v>
                </pt>
                <pt idx="4">
                  <v>0.05</v>
                </pt>
                <pt idx="5">
                  <v>0.025</v>
                </pt>
                <pt idx="6">
                  <v>0.042</v>
                </pt>
                <pt idx="7">
                  <v>0.067</v>
                </pt>
                <pt idx="8">
                  <v>0.109</v>
                </pt>
                <pt idx="9">
                  <v>0.126</v>
                </pt>
                <pt idx="10">
                  <v>0.126</v>
                </pt>
                <pt idx="11">
                  <v>0.235</v>
                </pt>
                <pt idx="12">
                  <v>0.092</v>
                </pt>
                <pt idx="13">
                  <v>0.109</v>
                </pt>
                <pt idx="14">
                  <v>0.109</v>
                </pt>
                <pt idx="15">
                  <v>0.109</v>
                </pt>
                <pt idx="16">
                  <v>0.092</v>
                </pt>
                <pt idx="17">
                  <v>0.109</v>
                </pt>
                <pt idx="18">
                  <v>0.118</v>
                </pt>
                <pt idx="19">
                  <v>0.126</v>
                </pt>
                <pt idx="20">
                  <v>0.118</v>
                </pt>
                <pt idx="21">
                  <v>0.076</v>
                </pt>
                <pt idx="22">
                  <v>0.05</v>
                </pt>
                <pt idx="23">
                  <v>0.109</v>
                </pt>
                <pt idx="24">
                  <v>0.185</v>
                </pt>
                <pt idx="25">
                  <v>0.168</v>
                </pt>
                <pt idx="26">
                  <v>0.151</v>
                </pt>
                <pt idx="27">
                  <v>0.143</v>
                </pt>
                <pt idx="28">
                  <v>0.168</v>
                </pt>
                <pt idx="29">
                  <v>0.193</v>
                </pt>
                <pt idx="30">
                  <v>0.176</v>
                </pt>
                <pt idx="31">
                  <v>0.176</v>
                </pt>
                <pt idx="32">
                  <v>0.185</v>
                </pt>
                <pt idx="33">
                  <v>0.218</v>
                </pt>
                <pt idx="34">
                  <v>0.269</v>
                </pt>
                <pt idx="35">
                  <v>0.08400000000000001</v>
                </pt>
                <pt idx="36">
                  <v>0.277</v>
                </pt>
                <pt idx="37">
                  <v>0.218</v>
                </pt>
                <pt idx="38">
                  <v>0.21</v>
                </pt>
                <pt idx="39">
                  <v>0.227</v>
                </pt>
                <pt idx="40">
                  <v>0.252</v>
                </pt>
                <pt idx="41">
                  <v>0.21</v>
                </pt>
                <pt idx="42">
                  <v>0.193</v>
                </pt>
                <pt idx="43">
                  <v>0.16</v>
                </pt>
                <pt idx="44">
                  <v>0.134</v>
                </pt>
                <pt idx="45">
                  <v>0.16</v>
                </pt>
                <pt idx="46">
                  <v>0.252</v>
                </pt>
                <pt idx="47">
                  <v>0.277</v>
                </pt>
                <pt idx="48">
                  <v>0.034</v>
                </pt>
                <pt idx="49">
                  <v>0.16</v>
                </pt>
                <pt idx="50">
                  <v>0.168</v>
                </pt>
                <pt idx="51">
                  <v>0.176</v>
                </pt>
                <pt idx="52">
                  <v>0.151</v>
                </pt>
                <pt idx="53">
                  <v>0.151</v>
                </pt>
                <pt idx="54">
                  <v>0.294</v>
                </pt>
                <pt idx="55">
                  <v>0.218</v>
                </pt>
                <pt idx="56">
                  <v>0.244</v>
                </pt>
                <pt idx="57">
                  <v>0.235</v>
                </pt>
                <pt idx="58">
                  <v>0.185</v>
                </pt>
                <pt idx="59">
                  <v>0.114</v>
                </pt>
                <pt idx="60">
                  <v>0.155</v>
                </pt>
                <pt idx="61">
                  <v>0.164</v>
                </pt>
                <pt idx="62">
                  <v>0.154</v>
                </pt>
                <pt idx="63">
                  <v>0.131</v>
                </pt>
                <pt idx="64">
                  <v>0.139</v>
                </pt>
                <pt idx="65">
                  <v>0.136</v>
                </pt>
                <pt idx="66">
                  <v>0.118</v>
                </pt>
                <pt idx="67">
                  <v>0.114</v>
                </pt>
                <pt idx="68">
                  <v>0.129</v>
                </pt>
                <pt idx="69">
                  <v>0.121</v>
                </pt>
                <pt idx="70">
                  <v>0.149</v>
                </pt>
                <pt idx="71">
                  <v>0.169</v>
                </pt>
                <pt idx="72">
                  <v>0.122</v>
                </pt>
                <pt idx="73">
                  <v>0.122</v>
                </pt>
                <pt idx="74">
                  <v>0.137</v>
                </pt>
                <pt idx="75">
                  <v>0.131</v>
                </pt>
                <pt idx="76">
                  <v>0.138</v>
                </pt>
                <pt idx="77">
                  <v>0.122</v>
                </pt>
                <pt idx="78">
                  <v>0.106</v>
                </pt>
                <pt idx="79">
                  <v>0.137</v>
                </pt>
                <pt idx="80">
                  <v>0.133</v>
                </pt>
                <pt idx="81">
                  <v>0.134</v>
                </pt>
                <pt idx="82">
                  <v>0.14</v>
                </pt>
                <pt idx="83">
                  <v>0.103</v>
                </pt>
                <pt idx="84">
                  <v>0.104</v>
                </pt>
                <pt idx="85">
                  <v>0.135</v>
                </pt>
                <pt idx="86">
                  <v>0.119</v>
                </pt>
                <pt idx="87">
                  <v>0.119</v>
                </pt>
                <pt idx="88">
                  <v>0.121</v>
                </pt>
                <pt idx="89">
                  <v>0.08400000000000001</v>
                </pt>
                <pt idx="90">
                  <v>0.109</v>
                </pt>
                <pt idx="91">
                  <v>0.111</v>
                </pt>
                <pt idx="92">
                  <v>0.118</v>
                </pt>
                <pt idx="93">
                  <v>0.116</v>
                </pt>
                <pt idx="94">
                  <v>0.092</v>
                </pt>
                <pt idx="95">
                  <v>0.018</v>
                </pt>
                <pt idx="96">
                  <v>0.095</v>
                </pt>
                <pt idx="97">
                  <v>0.09</v>
                </pt>
                <pt idx="98">
                  <v>0.07199999999999999</v>
                </pt>
                <pt idx="99">
                  <v>0.08</v>
                </pt>
                <pt idx="100">
                  <v>0.079</v>
                </pt>
                <pt idx="101">
                  <v>0.076</v>
                </pt>
                <pt idx="102">
                  <v>0.079</v>
                </pt>
                <pt idx="103">
                  <v>0.102</v>
                </pt>
                <pt idx="104">
                  <v>0.106</v>
                </pt>
                <pt idx="105">
                  <v>0.11</v>
                </pt>
                <pt idx="106">
                  <v>0.115</v>
                </pt>
                <pt idx="107">
                  <v>0.179</v>
                </pt>
                <pt idx="108">
                  <v>0.021</v>
                </pt>
                <pt idx="109">
                  <v>0.09</v>
                </pt>
                <pt idx="110">
                  <v>0.091</v>
                </pt>
                <pt idx="111">
                  <v>0.089</v>
                </pt>
                <pt idx="112">
                  <v>0.091</v>
                </pt>
                <pt idx="113">
                  <v>0.093</v>
                </pt>
                <pt idx="114">
                  <v>0.095</v>
                </pt>
                <pt idx="115">
                  <v>0.082</v>
                </pt>
                <pt idx="116">
                  <v>0.07000000000000001</v>
                </pt>
                <pt idx="117">
                  <v>0.076</v>
                </pt>
                <pt idx="118">
                  <v>0.074</v>
                </pt>
                <pt idx="119">
                  <v>0.089</v>
                </pt>
                <pt idx="120">
                  <v>0.12</v>
                </pt>
                <pt idx="121">
                  <v>0.119</v>
                </pt>
                <pt idx="122">
                  <v>0.114</v>
                </pt>
                <pt idx="123">
                  <v>0.115</v>
                </pt>
                <pt idx="124">
                  <v>0.122</v>
                </pt>
                <pt idx="125">
                  <v>0.128</v>
                </pt>
                <pt idx="126">
                  <v>0.128</v>
                </pt>
                <pt idx="127">
                  <v>0.12</v>
                </pt>
                <pt idx="128">
                  <v>0.114</v>
                </pt>
                <pt idx="129">
                  <v>0.106</v>
                </pt>
                <pt idx="130">
                  <v>0.104</v>
                </pt>
                <pt idx="131">
                  <v>0.023</v>
                </pt>
                <pt idx="132">
                  <v>0.19</v>
                </pt>
                <pt idx="133">
                  <v>0.121</v>
                </pt>
                <pt idx="134">
                  <v>0.115</v>
                </pt>
                <pt idx="135">
                  <v>0.102</v>
                </pt>
                <pt idx="136">
                  <v>0.101</v>
                </pt>
                <pt idx="137">
                  <v>0.081</v>
                </pt>
                <pt idx="138">
                  <v>0.081</v>
                </pt>
                <pt idx="139">
                  <v>0.095</v>
                </pt>
                <pt idx="140">
                  <v>0.08799999999999999</v>
                </pt>
                <pt idx="141">
                  <v>0.079</v>
                </pt>
                <pt idx="142">
                  <v>0.08699999999999999</v>
                </pt>
                <pt idx="143">
                  <v>0.186</v>
                </pt>
                <pt idx="144">
                  <v>0.027</v>
                </pt>
                <pt idx="145">
                  <v>0.109</v>
                </pt>
                <pt idx="146">
                  <v>0.121</v>
                </pt>
                <pt idx="147">
                  <v>0.129</v>
                </pt>
                <pt idx="148">
                  <v>0.124</v>
                </pt>
                <pt idx="149">
                  <v>0.128</v>
                </pt>
                <pt idx="150">
                  <v>0.127</v>
                </pt>
                <pt idx="151">
                  <v>0.138</v>
                </pt>
                <pt idx="152">
                  <v>0.142</v>
                </pt>
                <pt idx="153">
                  <v>0.145</v>
                </pt>
                <pt idx="154">
                  <v>0.149</v>
                </pt>
                <pt idx="155">
                  <v>0.148</v>
                </pt>
                <pt idx="156">
                  <v>0.198</v>
                </pt>
                <pt idx="157">
                  <v>0.169</v>
                </pt>
                <pt idx="158">
                  <v>0.149</v>
                </pt>
                <pt idx="159">
                  <v>0.137</v>
                </pt>
                <pt idx="160">
                  <v>0.169</v>
                </pt>
                <pt idx="161">
                  <v>0.165</v>
                </pt>
                <pt idx="162">
                  <v>0.171</v>
                </pt>
                <pt idx="163">
                  <v>0.163</v>
                </pt>
                <pt idx="164">
                  <v>0.172</v>
                </pt>
                <pt idx="165">
                  <v>0.179</v>
                </pt>
                <pt idx="166">
                  <v>0.181</v>
                </pt>
                <pt idx="167">
                  <v>0.07199999999999999</v>
                </pt>
                <pt idx="168">
                  <v>0.232</v>
                </pt>
                <pt idx="169">
                  <v>0.194</v>
                </pt>
                <pt idx="170">
                  <v>0.191</v>
                </pt>
                <pt idx="171">
                  <v>0.175</v>
                </pt>
                <pt idx="172">
                  <v>0.162</v>
                </pt>
                <pt idx="173">
                  <v>0.155</v>
                </pt>
                <pt idx="174">
                  <v>0.159</v>
                </pt>
                <pt idx="175">
                  <v>0.161</v>
                </pt>
                <pt idx="176">
                  <v>0.157</v>
                </pt>
                <pt idx="177">
                  <v>0.148</v>
                </pt>
                <pt idx="178">
                  <v>0.144</v>
                </pt>
                <pt idx="179">
                  <v>0.209</v>
                </pt>
                <pt idx="180">
                  <v>0.076</v>
                </pt>
                <pt idx="181">
                  <v>0.151</v>
                </pt>
                <pt idx="182">
                  <v>0.16</v>
                </pt>
                <pt idx="183">
                  <v>0.166</v>
                </pt>
                <pt idx="184">
                  <v>0.168</v>
                </pt>
                <pt idx="185">
                  <v>0.161</v>
                </pt>
                <pt idx="186">
                  <v>0.16</v>
                </pt>
                <pt idx="187">
                  <v>0.165</v>
                </pt>
                <pt idx="188">
                  <v>0.161</v>
                </pt>
                <pt idx="189">
                  <v>0.166</v>
                </pt>
                <pt idx="190">
                  <v>0.165</v>
                </pt>
                <pt idx="191">
                  <v>0.201</v>
                </pt>
                <pt idx="192">
                  <v>0.178</v>
                </pt>
                <pt idx="193">
                  <v>0.166</v>
                </pt>
                <pt idx="194">
                  <v>0.179</v>
                </pt>
                <pt idx="195">
                  <v>0.195</v>
                </pt>
                <pt idx="196">
                  <v>0.167</v>
                </pt>
                <pt idx="197">
                  <v>0.157</v>
                </pt>
                <pt idx="198">
                  <v>0.161</v>
                </pt>
                <pt idx="199">
                  <v>0.147</v>
                </pt>
                <pt idx="200">
                  <v>0.149</v>
                </pt>
                <pt idx="201">
                  <v>0.147</v>
                </pt>
                <pt idx="202">
                  <v>0.126</v>
                </pt>
                <pt idx="203">
                  <v>0.176</v>
                </pt>
                <pt idx="204">
                  <v>0.174</v>
                </pt>
                <pt idx="205">
                  <v>0.181</v>
                </pt>
                <pt idx="206">
                  <v>0.194</v>
                </pt>
                <pt idx="207">
                  <v>0.18</v>
                </pt>
                <pt idx="208">
                  <v>0.175</v>
                </pt>
                <pt idx="209">
                  <v>0.189</v>
                </pt>
                <pt idx="210">
                  <v>0.179</v>
                </pt>
                <pt idx="211">
                  <v>0.173</v>
                </pt>
                <pt idx="212">
                  <v>0.174</v>
                </pt>
                <pt idx="213">
                  <v>0.154</v>
                </pt>
                <pt idx="214">
                  <v>0.178</v>
                </pt>
                <pt idx="215">
                  <v>0.157</v>
                </pt>
                <pt idx="216">
                  <v>0.16</v>
                </pt>
                <pt idx="217">
                  <v>0.16</v>
                </pt>
                <pt idx="218">
                  <v>0.147</v>
                </pt>
                <pt idx="219">
                  <v>0.128</v>
                </pt>
                <pt idx="220">
                  <v>0.114</v>
                </pt>
                <pt idx="221">
                  <v>0.082</v>
                </pt>
                <pt idx="222">
                  <v>0.054</v>
                </pt>
                <pt idx="223">
                  <v>0.057</v>
                </pt>
                <pt idx="224">
                  <v>0.11</v>
                </pt>
                <pt idx="225">
                  <v>0.083</v>
                </pt>
                <pt idx="226">
                  <v>0.073</v>
                </pt>
                <pt idx="227">
                  <v>0.089</v>
                </pt>
                <pt idx="228">
                  <v>0.107</v>
                </pt>
                <pt idx="229">
                  <v>0.108</v>
                </pt>
                <pt idx="230">
                  <v>0.123</v>
                </pt>
                <pt idx="231">
                  <v>0.139</v>
                </pt>
                <pt idx="232">
                  <v>0.161</v>
                </pt>
                <pt idx="233">
                  <v>0.192</v>
                </pt>
                <pt idx="234">
                  <v>0.185</v>
                </pt>
                <pt idx="235">
                  <v>0.128</v>
                </pt>
                <pt idx="236">
                  <v>0.181</v>
                </pt>
                <pt idx="237">
                  <v>0.178</v>
                </pt>
                <pt idx="238">
                  <v>0.165</v>
                </pt>
                <pt idx="239">
                  <v>0.137</v>
                </pt>
                <pt idx="240">
                  <v>0.134</v>
                </pt>
                <pt idx="241">
                  <v>0.139</v>
                </pt>
                <pt idx="242">
                  <v>0.133</v>
                </pt>
                <pt idx="243">
                  <v>0.131</v>
                </pt>
                <pt idx="244">
                  <v>0.133</v>
                </pt>
                <pt idx="245">
                  <v>0.135</v>
                </pt>
                <pt idx="246">
                  <v>0.141</v>
                </pt>
                <pt idx="247">
                  <v>0.148</v>
                </pt>
                <pt idx="248">
                  <v>0.134</v>
                </pt>
                <pt idx="249">
                  <v>0.133</v>
                </pt>
                <pt idx="250">
                  <v>0.151</v>
                </pt>
                <pt idx="251">
                  <v>0.14</v>
                </pt>
                <pt idx="252">
                  <v>0.135</v>
                </pt>
                <pt idx="253">
                  <v>0.138</v>
                </pt>
                <pt idx="254">
                  <v>0.132</v>
                </pt>
                <pt idx="255">
                  <v>0.124</v>
                </pt>
                <pt idx="256">
                  <v>0.128</v>
                </pt>
                <pt idx="257">
                  <v>0.114</v>
                </pt>
                <pt idx="258">
                  <v>0.119</v>
                </pt>
                <pt idx="259">
                  <v>0.093</v>
                </pt>
                <pt idx="260">
                  <v>0.096</v>
                </pt>
                <pt idx="261">
                  <v>0.095</v>
                </pt>
                <pt idx="262">
                  <v>0.092</v>
                </pt>
                <pt idx="263">
                  <v>0.089</v>
                </pt>
                <pt idx="264">
                  <v>0.092</v>
                </pt>
                <pt idx="265">
                  <v>0.096</v>
                </pt>
                <pt idx="266">
                  <v>0.101</v>
                </pt>
                <pt idx="267">
                  <v>0.103</v>
                </pt>
                <pt idx="268">
                  <v>0.099</v>
                </pt>
                <pt idx="269">
                  <v>0.089</v>
                </pt>
                <pt idx="270">
                  <v>0.093</v>
                </pt>
                <pt idx="271">
                  <v>0.092</v>
                </pt>
                <pt idx="272">
                  <v>0.089</v>
                </pt>
                <pt idx="273">
                  <v>0.097</v>
                </pt>
                <pt idx="274">
                  <v>0.104</v>
                </pt>
                <pt idx="275">
                  <v>0.102</v>
                </pt>
                <pt idx="276">
                  <v>0.103</v>
                </pt>
                <pt idx="277">
                  <v>0.1</v>
                </pt>
                <pt idx="278">
                  <v>0.097</v>
                </pt>
                <pt idx="279">
                  <v>0.08599999999999999</v>
                </pt>
                <pt idx="280">
                  <v>0.08799999999999999</v>
                </pt>
                <pt idx="281">
                  <v>0.08699999999999999</v>
                </pt>
                <pt idx="282">
                  <v>0.08799999999999999</v>
                </pt>
                <pt idx="283">
                  <v>0.092</v>
                </pt>
                <pt idx="284">
                  <v>0.09</v>
                </pt>
                <pt idx="285">
                  <v>0.06900000000000001</v>
                </pt>
                <pt idx="286">
                  <v>0.08</v>
                </pt>
                <pt idx="287">
                  <v>0.077</v>
                </pt>
                <pt idx="288">
                  <v>0.07199999999999999</v>
                </pt>
                <pt idx="289">
                  <v>0.079</v>
                </pt>
                <pt idx="290">
                  <v>0.068</v>
                </pt>
                <pt idx="291">
                  <v>0.056</v>
                </pt>
                <pt idx="292">
                  <v>0.059</v>
                </pt>
                <pt idx="293">
                  <v>0.061</v>
                </pt>
                <pt idx="294">
                  <v>0.068</v>
                </pt>
                <pt idx="295">
                  <v>0.06</v>
                </pt>
                <pt idx="296">
                  <v>0.061</v>
                </pt>
                <pt idx="297">
                  <v>0.057</v>
                </pt>
                <pt idx="298">
                  <v>0.056</v>
                </pt>
                <pt idx="299">
                  <v>0.062</v>
                </pt>
                <pt idx="300">
                  <v>0.059</v>
                </pt>
                <pt idx="301">
                  <v>0.054</v>
                </pt>
                <pt idx="302">
                  <v>0.068</v>
                </pt>
                <pt idx="303">
                  <v>0.06</v>
                </pt>
                <pt idx="304">
                  <v>0.06</v>
                </pt>
                <pt idx="305">
                  <v>0.062</v>
                </pt>
                <pt idx="306">
                  <v>0.06</v>
                </pt>
                <pt idx="307">
                  <v>0.063</v>
                </pt>
                <pt idx="308">
                  <v>0.061</v>
                </pt>
                <pt idx="309">
                  <v>0.061</v>
                </pt>
                <pt idx="310">
                  <v>0.062</v>
                </pt>
                <pt idx="311">
                  <v>0.06</v>
                </pt>
                <pt idx="312">
                  <v>0.063</v>
                </pt>
                <pt idx="313">
                  <v>0.076</v>
                </pt>
                <pt idx="314">
                  <v>0.065</v>
                </pt>
                <pt idx="315">
                  <v>0.065</v>
                </pt>
                <pt idx="316">
                  <v>0.076</v>
                </pt>
                <pt idx="317">
                  <v>0.064</v>
                </pt>
                <pt idx="318">
                  <v>0.06</v>
                </pt>
                <pt idx="319">
                  <v>0.066</v>
                </pt>
                <pt idx="320">
                  <v>0.062</v>
                </pt>
                <pt idx="321">
                  <v>0.061</v>
                </pt>
                <pt idx="322">
                  <v>0.062</v>
                </pt>
                <pt idx="323">
                  <v>0.07199999999999999</v>
                </pt>
                <pt idx="324">
                  <v>0.06</v>
                </pt>
                <pt idx="325">
                  <v>0.07000000000000001</v>
                </pt>
                <pt idx="326">
                  <v>0.068</v>
                </pt>
                <pt idx="327">
                  <v>0.06</v>
                </pt>
                <pt idx="328">
                  <v>0.06</v>
                </pt>
                <pt idx="329">
                  <v>0.061</v>
                </pt>
                <pt idx="330">
                  <v>0.058</v>
                </pt>
                <pt idx="331">
                  <v>0.059</v>
                </pt>
                <pt idx="332">
                  <v>0.054</v>
                </pt>
                <pt idx="333">
                  <v>0.057</v>
                </pt>
                <pt idx="334">
                  <v>0.053</v>
                </pt>
                <pt idx="335">
                  <v>0.08500000000000001</v>
                </pt>
                <pt idx="336">
                  <v>0.054</v>
                </pt>
                <pt idx="337">
                  <v>0.054</v>
                </pt>
                <pt idx="338">
                  <v>0.05</v>
                </pt>
                <pt idx="339">
                  <v>0.063</v>
                </pt>
                <pt idx="340">
                  <v>0.048</v>
                </pt>
                <pt idx="341">
                  <v>0.044</v>
                </pt>
                <pt idx="342">
                  <v>0.058</v>
                </pt>
                <pt idx="343">
                  <v>0.047</v>
                </pt>
                <pt idx="344">
                  <v>0.062</v>
                </pt>
                <pt idx="345">
                  <v>0.06900000000000001</v>
                </pt>
                <pt idx="346">
                  <v>-0.135</v>
                </pt>
                <pt idx="347">
                  <v>-0.011</v>
                </pt>
                <pt idx="348">
                  <v>0.039</v>
                </pt>
                <pt idx="349">
                  <v>0.044</v>
                </pt>
                <pt idx="350">
                  <v>0.048</v>
                </pt>
                <pt idx="351">
                  <v>0.048</v>
                </pt>
                <pt idx="352">
                  <v>0.056</v>
                </pt>
                <pt idx="353">
                  <v>0.06900000000000001</v>
                </pt>
                <pt idx="354">
                  <v>0.06900000000000001</v>
                </pt>
                <pt idx="355">
                  <v>0.07000000000000001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axId val="10"/>
        <axId val="100"/>
      </area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plotVisOnly val="1"/>
    <dispBlanksAs val="zero"/>
  </chart>
</chartSpace>
</file>

<file path=xl/comments/comment1.xml><?xml version="1.0" encoding="utf-8"?>
<comments xmlns="http://schemas.openxmlformats.org/spreadsheetml/2006/main">
  <authors>
    <author>g.dupont</author>
  </authors>
  <commentList>
    <comment ref="B2" authorId="0" shapeId="0">
      <text>
        <t>g.dupont:
Changed on the 31/10/2018 to 01/07/1947 instead of 01/04/1947</t>
      </text>
    </comment>
  </commentList>
</comments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/Relationships>
</file>

<file path=xl/drawings/_rels/drawing2.xml.rels><Relationships xmlns="http://schemas.openxmlformats.org/package/2006/relationships"><Relationship Type="http://schemas.openxmlformats.org/officeDocument/2006/relationships/chart" Target="/xl/charts/chart4.xml" Id="rId1"/><Relationship Type="http://schemas.openxmlformats.org/officeDocument/2006/relationships/chart" Target="/xl/charts/chart5.xml" Id="rId2"/><Relationship Type="http://schemas.openxmlformats.org/officeDocument/2006/relationships/chart" Target="/xl/charts/chart6.xml" Id="rId3"/><Relationship Type="http://schemas.openxmlformats.org/officeDocument/2006/relationships/chart" Target="/xl/charts/chart7.xml" Id="rId4"/></Relationships>
</file>

<file path=xl/drawings/_rels/drawing3.xml.rels><Relationships xmlns="http://schemas.openxmlformats.org/package/2006/relationships"><Relationship Type="http://schemas.openxmlformats.org/officeDocument/2006/relationships/chart" Target="/xl/charts/chart8.xml" Id="rId1"/></Relationships>
</file>

<file path=xl/drawings/drawing1.xml><?xml version="1.0" encoding="utf-8"?>
<wsDr xmlns="http://schemas.openxmlformats.org/drawingml/2006/spreadsheetDrawing">
  <twoCellAnchor>
    <from>
      <col>18</col>
      <colOff>419099</colOff>
      <row>315</row>
      <rowOff>142875</rowOff>
    </from>
    <to>
      <col>28</col>
      <colOff>380999</colOff>
      <row>339</row>
      <rowOff>85725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18</col>
      <colOff>0</colOff>
      <row>341</row>
      <rowOff>0</rowOff>
    </from>
    <to>
      <col>27</col>
      <colOff>571500</colOff>
      <row>355</row>
      <rowOff>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31</col>
      <colOff>0</colOff>
      <row>316</row>
      <rowOff>0</rowOff>
    </from>
    <to>
      <col>41</col>
      <colOff>66675</colOff>
      <row>339</row>
      <rowOff>133350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5</col>
      <colOff>95250</colOff>
      <row>308</row>
      <rowOff>114301</rowOff>
    </from>
    <to>
      <col>14</col>
      <colOff>390525</colOff>
      <row>328</row>
      <rowOff>95251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5</col>
      <colOff>57150</colOff>
      <row>328</row>
      <rowOff>180975</rowOff>
    </from>
    <to>
      <col>12</col>
      <colOff>428626</colOff>
      <row>346</row>
      <rowOff>161925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5</col>
      <colOff>95249</colOff>
      <row>292</row>
      <rowOff>104775</rowOff>
    </from>
    <to>
      <col>14</col>
      <colOff>390524</colOff>
      <row>308</row>
      <rowOff>104775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14</col>
      <colOff>400050</colOff>
      <row>308</row>
      <rowOff>104775</rowOff>
    </from>
    <to>
      <col>24</col>
      <colOff>85725</colOff>
      <row>328</row>
      <rowOff>85725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4</col>
      <colOff>400049</colOff>
      <row>319</row>
      <rowOff>47625</rowOff>
    </from>
    <to>
      <col>13</col>
      <colOff>57150</colOff>
      <row>338</row>
      <rowOff>85724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34567891011121314151617343" displayName="Table134567891011121314151617343" ref="A1:Q357" headerRowCount="1" totalsRowShown="0" headerRowDxfId="31" dataDxfId="29" headerRowBorderDxfId="30">
  <autoFilter ref="A1:Q357"/>
  <tableColumns count="17">
    <tableColumn id="1" name="Data" dataDxfId="28">
      <calculatedColumnFormula>IF(Database!B2="",#N/A,Database!B2)</calculatedColumnFormula>
    </tableColumn>
    <tableColumn id="2" name="ITA" dataDxfId="27">
      <calculatedColumnFormula>VLOOKUP(A2,Database!$E:$AY,MATCH($B$1,Database!$E$1:$AY$1,0),FALSE)</calculatedColumnFormula>
    </tableColumn>
    <tableColumn id="3" name="FRA" dataDxfId="26">
      <calculatedColumnFormula>VLOOKUP(A2,Database!$E:$AY,MATCH($C$1,Database!$E$1:$AY$1,0),FALSE)</calculatedColumnFormula>
    </tableColumn>
    <tableColumn id="4" name="DEU" dataDxfId="25">
      <calculatedColumnFormula>VLOOKUP(A2,Database!$E:$AY,MATCH($D$1,Database!$E$1:$AY$1,0),FALSE)</calculatedColumnFormula>
    </tableColumn>
    <tableColumn id="5" name="ESP" dataDxfId="24">
      <calculatedColumnFormula>VLOOKUP(A2,Database!$E:$AY,MATCH($E$1,Database!$E$1:$AY$1,0),FALSE)</calculatedColumnFormula>
    </tableColumn>
    <tableColumn id="6" name="EA19" dataDxfId="23">
      <calculatedColumnFormula>VLOOKUP(A2,Database!$E:$AY,MATCH($F$1,Database!$E$1:$AY$1,0),FALSE)</calculatedColumnFormula>
    </tableColumn>
    <tableColumn id="12" name="GBR" dataDxfId="22">
      <calculatedColumnFormula>VLOOKUP(A2,Database!$E:$AY,MATCH($G$1,Database!$E$1:$AY$1,0),FALSE)</calculatedColumnFormula>
    </tableColumn>
    <tableColumn id="7" name="Italy" dataDxfId="21">
      <calculatedColumnFormula>(((Table134567891011121314151617343[[#This Row],[ITA]]-VLOOKUP($U$1,A:B,2,))/VLOOKUP($U$1,A:B,2,))*100)+100</calculatedColumnFormula>
    </tableColumn>
    <tableColumn id="8" name="France" dataDxfId="20">
      <calculatedColumnFormula>(((Table134567891011121314151617343[[#This Row],[FRA]]-VLOOKUP($U$1,A:C,3,))/VLOOKUP($U$1,A:C,3,))*100)+100</calculatedColumnFormula>
    </tableColumn>
    <tableColumn id="9" name="Germany" dataDxfId="19">
      <calculatedColumnFormula>(((Table134567891011121314151617343[[#This Row],[DEU]]-VLOOKUP($U$1,A:D,4,))/VLOOKUP($U$1,A:D,4,))*100)+100</calculatedColumnFormula>
    </tableColumn>
    <tableColumn id="10" name="Spain" dataDxfId="18">
      <calculatedColumnFormula>(((Table134567891011121314151617343[[#This Row],[ESP]]-VLOOKUP($U$1,A:E,5,))/VLOOKUP($U$1,A:E,5,))*100)+100</calculatedColumnFormula>
    </tableColumn>
    <tableColumn id="11" name="Eurozone" dataDxfId="17">
      <calculatedColumnFormula>(((Table134567891011121314151617343[[#This Row],[EA19]]-VLOOKUP($U$1,A:F,6,))/VLOOKUP($U$1,A:F,6,))*100)+100</calculatedColumnFormula>
    </tableColumn>
    <tableColumn id="13" name="United Kingdom" dataDxfId="16">
      <calculatedColumnFormula>(((Table134567891011121314151617343[[#This Row],[GBR]]-VLOOKUP($U$1,A:G,7,))/VLOOKUP($U$1,A:G,7,))*100)+100</calculatedColumnFormula>
    </tableColumn>
    <tableColumn id="14" name="USA" dataDxfId="15">
      <calculatedColumnFormula>VLOOKUP(A2,Database!$E:$AY,MATCH($N$1,Database!$E$1:$AY$1,0),FALSE)</calculatedColumnFormula>
    </tableColumn>
    <tableColumn id="15" name="USA " dataDxfId="14">
      <calculatedColumnFormula>(((Table134567891011121314151617343[[#This Row],[USA]]-VLOOKUP($U$1,A:N,14,))/VLOOKUP($U$1,A:N,14,))*100)+100</calculatedColumnFormula>
    </tableColumn>
    <tableColumn id="16" name="JPN" dataDxfId="13">
      <calculatedColumnFormula>VLOOKUP(A2,Database!$E:$AY,MATCH($P$1,Database!$E$1:$AY$1,0),FALSE)</calculatedColumnFormula>
    </tableColumn>
    <tableColumn id="17" name="JPN " dataDxfId="12">
      <calculatedColumnFormula>(((Table134567891011121314151617343[[#This Row],[JPN]]-VLOOKUP($U$1,A:Q,16,))/VLOOKUP($U$1,A:Q,16,))*100)+100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3456789101112131415161734" displayName="Table13456789101112131415161734" ref="A4:D351" headerRowCount="1" totalsRowShown="0" headerRowDxfId="11" dataDxfId="10">
  <autoFilter ref="A4:D351"/>
  <tableColumns count="4">
    <tableColumn id="1" name="Month" dataDxfId="9">
      <calculatedColumnFormula>IF(Database!B2="",#N/A,Database!B2)</calculatedColumnFormula>
    </tableColumn>
    <tableColumn id="2" name="FRA" dataDxfId="8">
      <calculatedColumnFormula>VLOOKUP(A5,Database!$E:$AY,MATCH($B$4,Database!$E$1:$AY$1,0),FALSE)</calculatedColumnFormula>
    </tableColumn>
    <tableColumn id="3" name="mom" dataDxfId="7">
      <calculatedColumnFormula>(B5/B4)-1</calculatedColumnFormula>
    </tableColumn>
    <tableColumn id="4" name="yoy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7:C363" headerRowCount="1" totalsRowShown="0" headerRowDxfId="5" dataDxfId="3" headerRowBorderDxfId="4">
  <autoFilter ref="A7:C363"/>
  <sortState ref="A8:B341">
    <sortCondition ref="A8:A341"/>
  </sortState>
  <tableColumns count="3">
    <tableColumn id="1" name="Date" dataDxfId="2"/>
    <tableColumn id="2" name="China Industrial Production YoY" dataDxfId="1"/>
    <tableColumn id="3" name="HSBC China PMI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data.oecd.org/industry/industrial-production.htm" TargetMode="External" Id="rId1"/><Relationship Type="http://schemas.openxmlformats.org/officeDocument/2006/relationships/hyperlink" Target="https://www.investing.com/economic-calendar/chinese-industrial-production-462" TargetMode="External" Id="rId2"/><Relationship Type="http://schemas.openxmlformats.org/officeDocument/2006/relationships/hyperlink" Target="https://tradingeconomics.com/country-list/industrial-production" TargetMode="External" Id="rId3"/><Relationship Type="http://schemas.openxmlformats.org/officeDocument/2006/relationships/hyperlink" Target="https://www.theglobaleconomy.com/rankings/Capital_investment/" TargetMode="External" Id="rId4"/></Relationships>
</file>

<file path=xl/worksheets/_rels/sheet2.xml.rels><Relationships xmlns="http://schemas.openxmlformats.org/package/2006/relationships"><Relationship Type="http://schemas.openxmlformats.org/officeDocument/2006/relationships/hyperlink" Target="https://www.theglobaleconomy.com/rankings/Capital_investment/" TargetMode="External" Id="rId1"/></Relationships>
</file>

<file path=xl/worksheets/_rels/sheet4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2.xml" Id="rId2"/></Relationships>
</file>

<file path=xl/worksheets/_rels/sheet9.xml.rels><Relationships xmlns="http://schemas.openxmlformats.org/package/2006/relationships"><Relationship Type="http://schemas.openxmlformats.org/officeDocument/2006/relationships/hyperlink" Target="https://www.investing.com/economic-calendar/chinese-industrial-production-462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P246"/>
  <sheetViews>
    <sheetView zoomScale="150" zoomScaleNormal="150" workbookViewId="0">
      <selection activeCell="T69" sqref="T69"/>
    </sheetView>
  </sheetViews>
  <sheetFormatPr baseColWidth="10" defaultColWidth="9.1640625" defaultRowHeight="15"/>
  <cols>
    <col width="9.1640625" customWidth="1" style="100" min="1" max="1"/>
    <col width="12.83203125" customWidth="1" style="100" min="2" max="10"/>
    <col width="9.1640625" customWidth="1" style="100" min="11" max="14"/>
    <col width="19.1640625" customWidth="1" style="100" min="15" max="16"/>
    <col width="9.1640625" customWidth="1" style="100" min="17" max="18"/>
    <col width="9.1640625" customWidth="1" style="100" min="19" max="16384"/>
  </cols>
  <sheetData>
    <row r="1">
      <c r="B1" s="106" t="n"/>
    </row>
    <row r="2" ht="16" customHeight="1" s="95" thickBot="1">
      <c r="B2" s="107" t="n"/>
      <c r="C2" s="107" t="n"/>
      <c r="D2" s="107" t="n"/>
      <c r="E2" s="107" t="n"/>
      <c r="F2" s="107" t="n"/>
      <c r="G2" s="107" t="n"/>
      <c r="H2" s="107" t="n"/>
      <c r="I2" s="107" t="n"/>
      <c r="J2" s="107" t="n"/>
    </row>
    <row r="3" ht="16" customHeight="1" s="95" thickBot="1">
      <c r="B3" s="108" t="inlineStr">
        <is>
          <t>Global Industrial Production</t>
        </is>
      </c>
      <c r="C3" s="109" t="n"/>
      <c r="D3" s="109" t="n"/>
      <c r="E3" s="109" t="n"/>
      <c r="F3" s="109" t="n"/>
      <c r="G3" s="109" t="n"/>
      <c r="H3" s="109" t="n"/>
      <c r="I3" s="109" t="n"/>
      <c r="J3" s="110" t="n"/>
    </row>
    <row r="5">
      <c r="B5" s="111" t="inlineStr">
        <is>
          <t>Definition</t>
        </is>
      </c>
      <c r="C5" s="112" t="n"/>
      <c r="D5" s="112" t="n"/>
      <c r="E5" s="112" t="n"/>
      <c r="F5" s="112" t="n"/>
      <c r="G5" s="112" t="n"/>
      <c r="H5" s="112" t="n"/>
      <c r="I5" s="112" t="n"/>
      <c r="J5" s="113" t="n"/>
    </row>
    <row r="7" ht="63" customHeight="1" s="95">
      <c r="B7" s="114" t="inlineStr">
        <is>
          <t>Industrial production refers to the output of industrial establishments and covers sectors such as mining, manufacturing, electricity, gas and steam and air-conditioning. This indicator is measured in an index based on a reference period that expresses change in the volume of production output.</t>
        </is>
      </c>
    </row>
    <row r="8" ht="33.75" customHeight="1" s="95">
      <c r="B8" s="105" t="inlineStr">
        <is>
          <t>https://data.oecd.org/industry/industrial-production.htm</t>
        </is>
      </c>
    </row>
    <row r="9">
      <c r="B9" s="68" t="n"/>
      <c r="C9" s="68" t="n"/>
      <c r="D9" s="68" t="n"/>
      <c r="E9" s="68" t="n"/>
    </row>
    <row r="10">
      <c r="B10" s="111" t="inlineStr">
        <is>
          <t>Process / TO DO LIST</t>
        </is>
      </c>
      <c r="C10" s="112" t="n"/>
      <c r="D10" s="112" t="n"/>
      <c r="E10" s="112" t="n"/>
      <c r="F10" s="112" t="n"/>
      <c r="G10" s="112" t="n"/>
      <c r="H10" s="112" t="n"/>
      <c r="I10" s="112" t="n"/>
      <c r="J10" s="113" t="n"/>
    </row>
    <row r="12">
      <c r="B12" s="111" t="inlineStr">
        <is>
          <t>TO DO LIST</t>
        </is>
      </c>
      <c r="C12" s="112" t="n"/>
      <c r="D12" s="112" t="n"/>
      <c r="E12" s="112" t="n"/>
      <c r="F12" s="113" t="n"/>
      <c r="G12" s="111" t="inlineStr">
        <is>
          <t>Comments</t>
        </is>
      </c>
      <c r="H12" s="112" t="n"/>
      <c r="I12" s="112" t="n"/>
      <c r="J12" s="113" t="n"/>
      <c r="O12" s="111" t="inlineStr">
        <is>
          <t xml:space="preserve">Ticker </t>
        </is>
      </c>
      <c r="P12" s="111" t="inlineStr">
        <is>
          <t>Country</t>
        </is>
      </c>
    </row>
    <row r="13">
      <c r="O13" s="69" t="inlineStr">
        <is>
          <t>ABW</t>
        </is>
      </c>
      <c r="P13" s="69" t="inlineStr">
        <is>
          <t>Aruba</t>
        </is>
      </c>
    </row>
    <row r="14">
      <c r="B14" s="100" t="inlineStr">
        <is>
          <t>https://data.oecd.org/industry/industrial-production.htm</t>
        </is>
      </c>
      <c r="G14" s="100" t="inlineStr">
        <is>
          <t>Industrial Production</t>
        </is>
      </c>
      <c r="O14" s="69" t="inlineStr">
        <is>
          <t>AFG</t>
        </is>
      </c>
      <c r="P14" s="69" t="inlineStr">
        <is>
          <t>Afghanistan</t>
        </is>
      </c>
    </row>
    <row r="15">
      <c r="B15" s="100" t="inlineStr">
        <is>
          <t>Total</t>
        </is>
      </c>
      <c r="G15" s="100" t="inlineStr">
        <is>
          <t>In Database</t>
        </is>
      </c>
      <c r="O15" s="69" t="inlineStr">
        <is>
          <t>AFRI</t>
        </is>
      </c>
      <c r="P15" s="69" t="inlineStr">
        <is>
          <t>Africa</t>
        </is>
      </c>
    </row>
    <row r="16" ht="15.75" customHeight="1" s="95">
      <c r="B16" s="100" t="inlineStr">
        <is>
          <t>Monthly</t>
        </is>
      </c>
      <c r="G16" s="101" t="inlineStr">
        <is>
          <t>Manually or create macro</t>
        </is>
      </c>
      <c r="O16" s="69" t="inlineStr">
        <is>
          <t>AGO</t>
        </is>
      </c>
      <c r="P16" s="69" t="inlineStr">
        <is>
          <t>Angola</t>
        </is>
      </c>
    </row>
    <row r="17" ht="15.75" customHeight="1" s="95">
      <c r="B17" s="100" t="inlineStr">
        <is>
          <t>Unclik latest data available</t>
        </is>
      </c>
      <c r="G17" s="101" t="n"/>
      <c r="O17" s="69" t="inlineStr">
        <is>
          <t>AIA</t>
        </is>
      </c>
      <c r="P17" s="69" t="inlineStr">
        <is>
          <t>Anguilla</t>
        </is>
      </c>
    </row>
    <row r="18" ht="15.75" customHeight="1" s="95">
      <c r="B18" s="100" t="inlineStr">
        <is>
          <t>Table</t>
        </is>
      </c>
      <c r="G18" s="103" t="n"/>
      <c r="O18" s="69" t="inlineStr">
        <is>
          <t>ALB</t>
        </is>
      </c>
      <c r="P18" s="69" t="inlineStr">
        <is>
          <t>Albania</t>
        </is>
      </c>
    </row>
    <row r="19" ht="15.75" customHeight="1" s="95">
      <c r="B19" s="100" t="inlineStr">
        <is>
          <t>Download</t>
        </is>
      </c>
      <c r="G19" s="101" t="n"/>
      <c r="O19" s="69" t="inlineStr">
        <is>
          <t>AND</t>
        </is>
      </c>
      <c r="P19" s="69" t="inlineStr">
        <is>
          <t>Andorra</t>
        </is>
      </c>
    </row>
    <row r="20" ht="15.75" customHeight="1" s="95">
      <c r="G20" s="101" t="n"/>
      <c r="O20" s="69" t="inlineStr">
        <is>
          <t>ANT</t>
        </is>
      </c>
      <c r="P20" s="69" t="inlineStr">
        <is>
          <t>Netherlands Antilles</t>
        </is>
      </c>
    </row>
    <row r="21" ht="31.5" customHeight="1" s="95">
      <c r="B21" s="104" t="inlineStr">
        <is>
          <t>https://www.investing.com/economic-calendar/chinese-industrial-production-462</t>
        </is>
      </c>
      <c r="G21" s="101" t="inlineStr">
        <is>
          <t>China Industrial Production</t>
        </is>
      </c>
      <c r="O21" s="69" t="inlineStr">
        <is>
          <t>ARE</t>
        </is>
      </c>
      <c r="P21" s="69" t="inlineStr">
        <is>
          <t>United Arab Emirates</t>
        </is>
      </c>
    </row>
    <row r="22" ht="15.75" customHeight="1" s="95">
      <c r="G22" s="101" t="n"/>
      <c r="O22" s="69" t="inlineStr">
        <is>
          <t>ARG</t>
        </is>
      </c>
      <c r="P22" s="69" t="inlineStr">
        <is>
          <t>Argentina</t>
        </is>
      </c>
    </row>
    <row r="23" ht="15.75" customHeight="1" s="95">
      <c r="B23" s="105" t="inlineStr">
        <is>
          <t>https://tradingeconomics.com/country-list/industrial-production</t>
        </is>
      </c>
      <c r="G23" s="101" t="inlineStr">
        <is>
          <t>World Production data</t>
        </is>
      </c>
      <c r="O23" s="69" t="inlineStr">
        <is>
          <t>ASIA</t>
        </is>
      </c>
      <c r="P23" s="69" t="inlineStr">
        <is>
          <t>Asia</t>
        </is>
      </c>
    </row>
    <row r="24" ht="15.75" customHeight="1" s="95">
      <c r="G24" s="101" t="n"/>
      <c r="O24" s="69" t="inlineStr">
        <is>
          <t>ASM</t>
        </is>
      </c>
      <c r="P24" s="69" t="inlineStr">
        <is>
          <t>American Samoa</t>
        </is>
      </c>
    </row>
    <row r="25" ht="15.75" customHeight="1" s="95">
      <c r="B25" s="10" t="inlineStr">
        <is>
          <t>https://www.theglobaleconomy.com/rankings/Capital_investment/</t>
        </is>
      </c>
      <c r="G25" s="101" t="n"/>
      <c r="O25" s="69" t="inlineStr">
        <is>
          <t>ATG</t>
        </is>
      </c>
      <c r="P25" s="69" t="inlineStr">
        <is>
          <t>Antigua and Barbuda</t>
        </is>
      </c>
    </row>
    <row r="26" ht="15.75" customHeight="1" s="95">
      <c r="G26" s="101" t="n"/>
      <c r="O26" s="69" t="inlineStr">
        <is>
          <t>AUS</t>
        </is>
      </c>
      <c r="P26" s="69" t="inlineStr">
        <is>
          <t>Australia</t>
        </is>
      </c>
    </row>
    <row r="27" ht="15.75" customHeight="1" s="95">
      <c r="B27" s="100" t="n"/>
      <c r="G27" s="101" t="n"/>
      <c r="O27" s="69" t="inlineStr">
        <is>
          <t>AUT</t>
        </is>
      </c>
      <c r="P27" s="69" t="inlineStr">
        <is>
          <t>Austria</t>
        </is>
      </c>
    </row>
    <row r="28">
      <c r="O28" s="69" t="inlineStr">
        <is>
          <t>BDI</t>
        </is>
      </c>
      <c r="P28" s="69" t="inlineStr">
        <is>
          <t>Burundi</t>
        </is>
      </c>
    </row>
    <row r="29">
      <c r="O29" s="69" t="inlineStr">
        <is>
          <t>BEL</t>
        </is>
      </c>
      <c r="P29" s="69" t="inlineStr">
        <is>
          <t>Belgium</t>
        </is>
      </c>
    </row>
    <row r="30">
      <c r="B30" s="70" t="n"/>
      <c r="O30" s="69" t="inlineStr">
        <is>
          <t>BEN</t>
        </is>
      </c>
      <c r="P30" s="69" t="inlineStr">
        <is>
          <t>Benin</t>
        </is>
      </c>
    </row>
    <row r="31" ht="33.75" customHeight="1" s="95">
      <c r="B31" s="102" t="n"/>
      <c r="O31" s="69" t="inlineStr">
        <is>
          <t>BFA</t>
        </is>
      </c>
      <c r="P31" s="69" t="inlineStr">
        <is>
          <t>Burkina Faso</t>
        </is>
      </c>
    </row>
    <row r="32">
      <c r="B32" s="71" t="n"/>
      <c r="O32" s="69" t="inlineStr">
        <is>
          <t>BGD</t>
        </is>
      </c>
      <c r="P32" s="69" t="inlineStr">
        <is>
          <t>Bangladesh</t>
        </is>
      </c>
    </row>
    <row r="33">
      <c r="O33" s="69" t="inlineStr">
        <is>
          <t>BGR</t>
        </is>
      </c>
      <c r="P33" s="69" t="inlineStr">
        <is>
          <t>Bulgaria</t>
        </is>
      </c>
    </row>
    <row r="34">
      <c r="O34" s="69" t="inlineStr">
        <is>
          <t>BHR</t>
        </is>
      </c>
      <c r="P34" s="69" t="inlineStr">
        <is>
          <t>Bahrain</t>
        </is>
      </c>
    </row>
    <row r="35">
      <c r="O35" s="69" t="inlineStr">
        <is>
          <t>BHS</t>
        </is>
      </c>
      <c r="P35" s="69" t="inlineStr">
        <is>
          <t>Bahamas</t>
        </is>
      </c>
    </row>
    <row r="36">
      <c r="O36" s="69" t="inlineStr">
        <is>
          <t>BLZ</t>
        </is>
      </c>
      <c r="P36" s="69" t="inlineStr">
        <is>
          <t>Belize</t>
        </is>
      </c>
    </row>
    <row r="37">
      <c r="O37" s="69" t="inlineStr">
        <is>
          <t>BMU</t>
        </is>
      </c>
      <c r="P37" s="69" t="inlineStr">
        <is>
          <t>Bermuda</t>
        </is>
      </c>
    </row>
    <row r="38">
      <c r="O38" s="69" t="inlineStr">
        <is>
          <t>BOL</t>
        </is>
      </c>
      <c r="P38" s="69" t="inlineStr">
        <is>
          <t>Bolivia</t>
        </is>
      </c>
    </row>
    <row r="39">
      <c r="O39" s="69" t="inlineStr">
        <is>
          <t>BRA</t>
        </is>
      </c>
      <c r="P39" s="69" t="inlineStr">
        <is>
          <t>Brazil</t>
        </is>
      </c>
    </row>
    <row r="40">
      <c r="O40" s="69" t="inlineStr">
        <is>
          <t>BRB</t>
        </is>
      </c>
      <c r="P40" s="69" t="inlineStr">
        <is>
          <t>Barbados</t>
        </is>
      </c>
    </row>
    <row r="41">
      <c r="O41" s="69" t="inlineStr">
        <is>
          <t>BRN</t>
        </is>
      </c>
      <c r="P41" s="69" t="inlineStr">
        <is>
          <t>Brunei Darussalam</t>
        </is>
      </c>
    </row>
    <row r="42">
      <c r="O42" s="69" t="inlineStr">
        <is>
          <t>BTN</t>
        </is>
      </c>
      <c r="P42" s="69" t="inlineStr">
        <is>
          <t>Bhutan</t>
        </is>
      </c>
    </row>
    <row r="43">
      <c r="O43" s="69" t="inlineStr">
        <is>
          <t>BWA</t>
        </is>
      </c>
      <c r="P43" s="69" t="inlineStr">
        <is>
          <t>Botswana</t>
        </is>
      </c>
    </row>
    <row r="44">
      <c r="O44" s="69" t="inlineStr">
        <is>
          <t>CAF</t>
        </is>
      </c>
      <c r="P44" s="69" t="inlineStr">
        <is>
          <t>Central African Republic</t>
        </is>
      </c>
    </row>
    <row r="45">
      <c r="O45" s="69" t="inlineStr">
        <is>
          <t>CAN</t>
        </is>
      </c>
      <c r="P45" s="69" t="inlineStr">
        <is>
          <t>Canada</t>
        </is>
      </c>
    </row>
    <row r="46">
      <c r="O46" s="69" t="inlineStr">
        <is>
          <t>CCK</t>
        </is>
      </c>
      <c r="P46" s="69" t="inlineStr">
        <is>
          <t>Cocos (Keeling) Islands</t>
        </is>
      </c>
    </row>
    <row r="47">
      <c r="O47" s="69" t="inlineStr">
        <is>
          <t>CHE</t>
        </is>
      </c>
      <c r="P47" s="69" t="inlineStr">
        <is>
          <t>Switzerland</t>
        </is>
      </c>
    </row>
    <row r="48">
      <c r="O48" s="69" t="inlineStr">
        <is>
          <t>CHL</t>
        </is>
      </c>
      <c r="P48" s="69" t="inlineStr">
        <is>
          <t>Chile</t>
        </is>
      </c>
    </row>
    <row r="49">
      <c r="O49" s="69" t="inlineStr">
        <is>
          <t>CHN</t>
        </is>
      </c>
      <c r="P49" s="69" t="inlineStr">
        <is>
          <t>China</t>
        </is>
      </c>
    </row>
    <row r="50">
      <c r="O50" s="69" t="inlineStr">
        <is>
          <t>CIV</t>
        </is>
      </c>
      <c r="P50" s="69" t="inlineStr">
        <is>
          <t>Côte d'Ivoire</t>
        </is>
      </c>
    </row>
    <row r="51">
      <c r="O51" s="69" t="inlineStr">
        <is>
          <t>CMR</t>
        </is>
      </c>
      <c r="P51" s="69" t="inlineStr">
        <is>
          <t>Cameroon</t>
        </is>
      </c>
    </row>
    <row r="52">
      <c r="O52" s="69" t="inlineStr">
        <is>
          <t>COD</t>
        </is>
      </c>
      <c r="P52" s="69" t="inlineStr">
        <is>
          <t>Congo, Dem. Rep. Of</t>
        </is>
      </c>
    </row>
    <row r="53">
      <c r="O53" s="69" t="inlineStr">
        <is>
          <t>COG</t>
        </is>
      </c>
      <c r="P53" s="69" t="inlineStr">
        <is>
          <t>Congo</t>
        </is>
      </c>
    </row>
    <row r="54">
      <c r="O54" s="69" t="inlineStr">
        <is>
          <t>COK</t>
        </is>
      </c>
      <c r="P54" s="69" t="inlineStr">
        <is>
          <t>Cook Islands</t>
        </is>
      </c>
    </row>
    <row r="55">
      <c r="O55" s="69" t="inlineStr">
        <is>
          <t>COL</t>
        </is>
      </c>
      <c r="P55" s="69" t="inlineStr">
        <is>
          <t>Colombia</t>
        </is>
      </c>
    </row>
    <row r="56">
      <c r="O56" s="69" t="inlineStr">
        <is>
          <t>COM</t>
        </is>
      </c>
      <c r="P56" s="69" t="inlineStr">
        <is>
          <t>Comoros</t>
        </is>
      </c>
    </row>
    <row r="57">
      <c r="O57" s="69" t="inlineStr">
        <is>
          <t>CPV</t>
        </is>
      </c>
      <c r="P57" s="69" t="inlineStr">
        <is>
          <t>Cape Verde</t>
        </is>
      </c>
    </row>
    <row r="58">
      <c r="O58" s="69" t="inlineStr">
        <is>
          <t>CRI</t>
        </is>
      </c>
      <c r="P58" s="69" t="inlineStr">
        <is>
          <t>Costa Rica</t>
        </is>
      </c>
    </row>
    <row r="59">
      <c r="O59" s="69" t="inlineStr">
        <is>
          <t>CSFR</t>
        </is>
      </c>
      <c r="P59" s="69" t="inlineStr">
        <is>
          <t>Former Czechoslovakia</t>
        </is>
      </c>
    </row>
    <row r="60">
      <c r="O60" s="69" t="inlineStr">
        <is>
          <t>CSFR-CZE</t>
        </is>
      </c>
      <c r="P60" s="69" t="inlineStr">
        <is>
          <t>Czech Republic</t>
        </is>
      </c>
    </row>
    <row r="61">
      <c r="O61" s="69" t="inlineStr">
        <is>
          <t>CSFR-SVK</t>
        </is>
      </c>
      <c r="P61" s="69" t="inlineStr">
        <is>
          <t>Slovak Republic</t>
        </is>
      </c>
    </row>
    <row r="62">
      <c r="O62" s="69" t="inlineStr">
        <is>
          <t>CUB</t>
        </is>
      </c>
      <c r="P62" s="69" t="inlineStr">
        <is>
          <t>Cuba</t>
        </is>
      </c>
    </row>
    <row r="63">
      <c r="O63" s="69" t="inlineStr">
        <is>
          <t>CYM</t>
        </is>
      </c>
      <c r="P63" s="69" t="inlineStr">
        <is>
          <t>Cayman Islands</t>
        </is>
      </c>
    </row>
    <row r="64">
      <c r="O64" s="69" t="inlineStr">
        <is>
          <t>CYP</t>
        </is>
      </c>
      <c r="P64" s="69" t="inlineStr">
        <is>
          <t>Cyprus</t>
        </is>
      </c>
    </row>
    <row r="65">
      <c r="O65" s="69" t="inlineStr">
        <is>
          <t>DEU</t>
        </is>
      </c>
      <c r="P65" s="69" t="inlineStr">
        <is>
          <t>Germany</t>
        </is>
      </c>
    </row>
    <row r="66">
      <c r="O66" s="69" t="inlineStr">
        <is>
          <t>DJI</t>
        </is>
      </c>
      <c r="P66" s="69" t="inlineStr">
        <is>
          <t>Djibouti</t>
        </is>
      </c>
    </row>
    <row r="67">
      <c r="O67" s="69" t="inlineStr">
        <is>
          <t>DMA</t>
        </is>
      </c>
      <c r="P67" s="69" t="inlineStr">
        <is>
          <t>Dominica</t>
        </is>
      </c>
    </row>
    <row r="68">
      <c r="O68" s="69" t="inlineStr">
        <is>
          <t>DNK</t>
        </is>
      </c>
      <c r="P68" s="69" t="inlineStr">
        <is>
          <t>Denmark</t>
        </is>
      </c>
    </row>
    <row r="69">
      <c r="O69" s="69" t="inlineStr">
        <is>
          <t>DOM</t>
        </is>
      </c>
      <c r="P69" s="69" t="inlineStr">
        <is>
          <t>Dominican Republic</t>
        </is>
      </c>
    </row>
    <row r="70">
      <c r="O70" s="69" t="inlineStr">
        <is>
          <t>DZA</t>
        </is>
      </c>
      <c r="P70" s="69" t="inlineStr">
        <is>
          <t>Algeria</t>
        </is>
      </c>
    </row>
    <row r="71">
      <c r="O71" s="69" t="inlineStr">
        <is>
          <t>ECU</t>
        </is>
      </c>
      <c r="P71" s="69" t="inlineStr">
        <is>
          <t>Ecuador</t>
        </is>
      </c>
    </row>
    <row r="72">
      <c r="O72" s="69" t="inlineStr">
        <is>
          <t>EGY</t>
        </is>
      </c>
      <c r="P72" s="69" t="inlineStr">
        <is>
          <t>Egypt</t>
        </is>
      </c>
    </row>
    <row r="73">
      <c r="O73" s="69" t="inlineStr">
        <is>
          <t>ERI</t>
        </is>
      </c>
      <c r="P73" s="69" t="inlineStr">
        <is>
          <t>Eritrea</t>
        </is>
      </c>
    </row>
    <row r="74">
      <c r="O74" s="69" t="inlineStr">
        <is>
          <t>ESH</t>
        </is>
      </c>
      <c r="P74" s="69" t="inlineStr">
        <is>
          <t>Western Sahara</t>
        </is>
      </c>
    </row>
    <row r="75">
      <c r="O75" s="69" t="inlineStr">
        <is>
          <t>ESP</t>
        </is>
      </c>
      <c r="P75" s="69" t="inlineStr">
        <is>
          <t>Spain</t>
        </is>
      </c>
    </row>
    <row r="76">
      <c r="O76" s="69" t="inlineStr">
        <is>
          <t>ETH</t>
        </is>
      </c>
      <c r="P76" s="69" t="inlineStr">
        <is>
          <t>Ethiopia</t>
        </is>
      </c>
    </row>
    <row r="77">
      <c r="O77" s="69" t="inlineStr">
        <is>
          <t>EURO</t>
        </is>
      </c>
      <c r="P77" s="69" t="inlineStr">
        <is>
          <t>Europe</t>
        </is>
      </c>
    </row>
    <row r="78">
      <c r="O78" s="69" t="inlineStr">
        <is>
          <t>FIN</t>
        </is>
      </c>
      <c r="P78" s="69" t="inlineStr">
        <is>
          <t>Finland</t>
        </is>
      </c>
    </row>
    <row r="79">
      <c r="O79" s="69" t="inlineStr">
        <is>
          <t>FJI</t>
        </is>
      </c>
      <c r="P79" s="69" t="inlineStr">
        <is>
          <t>Fiji</t>
        </is>
      </c>
    </row>
    <row r="80">
      <c r="O80" s="69" t="inlineStr">
        <is>
          <t>FLK</t>
        </is>
      </c>
      <c r="P80" s="69" t="inlineStr">
        <is>
          <t>Falkland Islands</t>
        </is>
      </c>
    </row>
    <row r="81">
      <c r="O81" s="69" t="inlineStr">
        <is>
          <t>FRA</t>
        </is>
      </c>
      <c r="P81" s="69" t="inlineStr">
        <is>
          <t>France</t>
        </is>
      </c>
    </row>
    <row r="82">
      <c r="O82" s="69" t="inlineStr">
        <is>
          <t>FSM</t>
        </is>
      </c>
      <c r="P82" s="69" t="inlineStr">
        <is>
          <t>Micronesia, Federated states of</t>
        </is>
      </c>
    </row>
    <row r="83">
      <c r="O83" s="69" t="inlineStr">
        <is>
          <t>FYUG</t>
        </is>
      </c>
      <c r="P83" s="69" t="inlineStr">
        <is>
          <t>Former Yugoslavia</t>
        </is>
      </c>
    </row>
    <row r="84">
      <c r="O84" s="69" t="inlineStr">
        <is>
          <t>FYUG-BIH</t>
        </is>
      </c>
      <c r="P84" s="69" t="inlineStr">
        <is>
          <t>Bosnia-Herzegovina</t>
        </is>
      </c>
    </row>
    <row r="85">
      <c r="O85" s="69" t="inlineStr">
        <is>
          <t>FYUG-HRV</t>
        </is>
      </c>
      <c r="P85" s="69" t="inlineStr">
        <is>
          <t>Croatia</t>
        </is>
      </c>
    </row>
    <row r="86">
      <c r="O86" s="69" t="inlineStr">
        <is>
          <t>FYUG-MKD</t>
        </is>
      </c>
      <c r="P86" s="69" t="inlineStr">
        <is>
          <t>Macedonia</t>
        </is>
      </c>
    </row>
    <row r="87">
      <c r="O87" s="69" t="inlineStr">
        <is>
          <t>FYUG-SVN</t>
        </is>
      </c>
      <c r="P87" s="69" t="inlineStr">
        <is>
          <t>Slovenia</t>
        </is>
      </c>
    </row>
    <row r="88">
      <c r="O88" s="69" t="inlineStr">
        <is>
          <t>FYUG-YUG</t>
        </is>
      </c>
      <c r="P88" s="69" t="inlineStr">
        <is>
          <t>Serbia and Montenegro</t>
        </is>
      </c>
    </row>
    <row r="89">
      <c r="O89" s="69" t="inlineStr">
        <is>
          <t>GAB</t>
        </is>
      </c>
      <c r="P89" s="69" t="inlineStr">
        <is>
          <t>Gabon</t>
        </is>
      </c>
    </row>
    <row r="90">
      <c r="O90" s="69" t="inlineStr">
        <is>
          <t>GBR</t>
        </is>
      </c>
      <c r="P90" s="69" t="inlineStr">
        <is>
          <t>United Kingdom</t>
        </is>
      </c>
    </row>
    <row r="91">
      <c r="O91" s="69" t="inlineStr">
        <is>
          <t>GHA</t>
        </is>
      </c>
      <c r="P91" s="69" t="inlineStr">
        <is>
          <t>Ghana</t>
        </is>
      </c>
    </row>
    <row r="92">
      <c r="O92" s="69" t="inlineStr">
        <is>
          <t>GIB</t>
        </is>
      </c>
      <c r="P92" s="69" t="inlineStr">
        <is>
          <t>Gibraltar</t>
        </is>
      </c>
    </row>
    <row r="93">
      <c r="O93" s="69" t="inlineStr">
        <is>
          <t>GIN</t>
        </is>
      </c>
      <c r="P93" s="69" t="inlineStr">
        <is>
          <t>Guinea</t>
        </is>
      </c>
    </row>
    <row r="94">
      <c r="O94" s="69" t="inlineStr">
        <is>
          <t>GMB</t>
        </is>
      </c>
      <c r="P94" s="69" t="inlineStr">
        <is>
          <t>Gambia</t>
        </is>
      </c>
    </row>
    <row r="95">
      <c r="O95" s="69" t="inlineStr">
        <is>
          <t>GNB</t>
        </is>
      </c>
      <c r="P95" s="69" t="inlineStr">
        <is>
          <t>Guinea-Bissau</t>
        </is>
      </c>
    </row>
    <row r="96">
      <c r="O96" s="69" t="inlineStr">
        <is>
          <t>GNQ</t>
        </is>
      </c>
      <c r="P96" s="69" t="inlineStr">
        <is>
          <t>Equatorial Guinea</t>
        </is>
      </c>
    </row>
    <row r="97">
      <c r="O97" s="69" t="inlineStr">
        <is>
          <t>GRC</t>
        </is>
      </c>
      <c r="P97" s="69" t="inlineStr">
        <is>
          <t>Greece</t>
        </is>
      </c>
    </row>
    <row r="98">
      <c r="O98" s="69" t="inlineStr">
        <is>
          <t>GRD</t>
        </is>
      </c>
      <c r="P98" s="69" t="inlineStr">
        <is>
          <t>Grenada</t>
        </is>
      </c>
    </row>
    <row r="99">
      <c r="O99" s="69" t="inlineStr">
        <is>
          <t>GTM</t>
        </is>
      </c>
      <c r="P99" s="69" t="inlineStr">
        <is>
          <t>Guatemala</t>
        </is>
      </c>
    </row>
    <row r="100">
      <c r="O100" s="69" t="inlineStr">
        <is>
          <t>GUM</t>
        </is>
      </c>
      <c r="P100" s="69" t="inlineStr">
        <is>
          <t>Guam</t>
        </is>
      </c>
    </row>
    <row r="101">
      <c r="O101" s="69" t="inlineStr">
        <is>
          <t>GUY</t>
        </is>
      </c>
      <c r="P101" s="69" t="inlineStr">
        <is>
          <t>Guyana</t>
        </is>
      </c>
    </row>
    <row r="102">
      <c r="O102" s="69" t="inlineStr">
        <is>
          <t>HKG</t>
        </is>
      </c>
      <c r="P102" s="69" t="inlineStr">
        <is>
          <t>Hong Kong</t>
        </is>
      </c>
    </row>
    <row r="103">
      <c r="O103" s="69" t="inlineStr">
        <is>
          <t>HND</t>
        </is>
      </c>
      <c r="P103" s="69" t="inlineStr">
        <is>
          <t>Honduras</t>
        </is>
      </c>
    </row>
    <row r="104">
      <c r="O104" s="69" t="inlineStr">
        <is>
          <t>HTI</t>
        </is>
      </c>
      <c r="P104" s="69" t="inlineStr">
        <is>
          <t>Haiti</t>
        </is>
      </c>
    </row>
    <row r="105">
      <c r="O105" s="69" t="inlineStr">
        <is>
          <t>HUN</t>
        </is>
      </c>
      <c r="P105" s="69" t="inlineStr">
        <is>
          <t>Hungary</t>
        </is>
      </c>
    </row>
    <row r="106">
      <c r="O106" s="69" t="inlineStr">
        <is>
          <t>IDN</t>
        </is>
      </c>
      <c r="P106" s="69" t="inlineStr">
        <is>
          <t>Indonesia</t>
        </is>
      </c>
    </row>
    <row r="107">
      <c r="O107" s="69" t="inlineStr">
        <is>
          <t>IND</t>
        </is>
      </c>
      <c r="P107" s="69" t="inlineStr">
        <is>
          <t>India</t>
        </is>
      </c>
    </row>
    <row r="108">
      <c r="O108" s="69" t="inlineStr">
        <is>
          <t>IOT</t>
        </is>
      </c>
      <c r="P108" s="69" t="inlineStr">
        <is>
          <t>British Indian Ocean Territory</t>
        </is>
      </c>
    </row>
    <row r="109">
      <c r="O109" s="69" t="inlineStr">
        <is>
          <t>IRL</t>
        </is>
      </c>
      <c r="P109" s="69" t="inlineStr">
        <is>
          <t>Ireland</t>
        </is>
      </c>
    </row>
    <row r="110">
      <c r="O110" s="69" t="inlineStr">
        <is>
          <t>IRN</t>
        </is>
      </c>
      <c r="P110" s="69" t="inlineStr">
        <is>
          <t>Iran</t>
        </is>
      </c>
    </row>
    <row r="111">
      <c r="O111" s="69" t="inlineStr">
        <is>
          <t>IRQ</t>
        </is>
      </c>
      <c r="P111" s="69" t="inlineStr">
        <is>
          <t>Iraq</t>
        </is>
      </c>
    </row>
    <row r="112">
      <c r="O112" s="69" t="inlineStr">
        <is>
          <t>ISL</t>
        </is>
      </c>
      <c r="P112" s="69" t="inlineStr">
        <is>
          <t>Iceland</t>
        </is>
      </c>
    </row>
    <row r="113">
      <c r="O113" s="69" t="inlineStr">
        <is>
          <t>ISR</t>
        </is>
      </c>
      <c r="P113" s="69" t="inlineStr">
        <is>
          <t>Israel</t>
        </is>
      </c>
    </row>
    <row r="114">
      <c r="O114" s="69" t="inlineStr">
        <is>
          <t>ITA</t>
        </is>
      </c>
      <c r="P114" s="69" t="inlineStr">
        <is>
          <t>Italy</t>
        </is>
      </c>
    </row>
    <row r="115">
      <c r="O115" s="69" t="inlineStr">
        <is>
          <t>JAM</t>
        </is>
      </c>
      <c r="P115" s="69" t="inlineStr">
        <is>
          <t>Jamaica</t>
        </is>
      </c>
    </row>
    <row r="116">
      <c r="O116" s="69" t="inlineStr">
        <is>
          <t>JOR</t>
        </is>
      </c>
      <c r="P116" s="69" t="inlineStr">
        <is>
          <t>Jordan</t>
        </is>
      </c>
    </row>
    <row r="117">
      <c r="O117" s="69" t="inlineStr">
        <is>
          <t>JPN</t>
        </is>
      </c>
      <c r="P117" s="69" t="inlineStr">
        <is>
          <t>Japan</t>
        </is>
      </c>
    </row>
    <row r="118">
      <c r="O118" s="69" t="inlineStr">
        <is>
          <t>KEN</t>
        </is>
      </c>
      <c r="P118" s="69" t="inlineStr">
        <is>
          <t>Kenya</t>
        </is>
      </c>
    </row>
    <row r="119">
      <c r="O119" s="69" t="inlineStr">
        <is>
          <t>KHM</t>
        </is>
      </c>
      <c r="P119" s="69" t="inlineStr">
        <is>
          <t>Cambodia</t>
        </is>
      </c>
    </row>
    <row r="120">
      <c r="O120" s="69" t="inlineStr">
        <is>
          <t>KIR</t>
        </is>
      </c>
      <c r="P120" s="69" t="inlineStr">
        <is>
          <t>Kiribati</t>
        </is>
      </c>
    </row>
    <row r="121">
      <c r="O121" s="69" t="inlineStr">
        <is>
          <t>KNA</t>
        </is>
      </c>
      <c r="P121" s="69" t="inlineStr">
        <is>
          <t>Saint Kitts and Nevis</t>
        </is>
      </c>
    </row>
    <row r="122">
      <c r="O122" s="69" t="inlineStr">
        <is>
          <t>KOREA-NO</t>
        </is>
      </c>
      <c r="P122" s="69" t="inlineStr">
        <is>
          <t>North Korea</t>
        </is>
      </c>
    </row>
    <row r="123">
      <c r="O123" s="69" t="inlineStr">
        <is>
          <t>KOREA-NS</t>
        </is>
      </c>
      <c r="P123" s="69" t="inlineStr">
        <is>
          <t>South Korea</t>
        </is>
      </c>
    </row>
    <row r="124">
      <c r="O124" s="69" t="inlineStr">
        <is>
          <t>KOREA-SO</t>
        </is>
      </c>
      <c r="P124" s="69" t="inlineStr">
        <is>
          <t>North and South Korea</t>
        </is>
      </c>
    </row>
    <row r="125">
      <c r="O125" s="69" t="inlineStr">
        <is>
          <t>KWT</t>
        </is>
      </c>
      <c r="P125" s="69" t="inlineStr">
        <is>
          <t>Kuwait</t>
        </is>
      </c>
    </row>
    <row r="126">
      <c r="O126" s="69" t="inlineStr">
        <is>
          <t>LAO</t>
        </is>
      </c>
      <c r="P126" s="69" t="inlineStr">
        <is>
          <t>Laos</t>
        </is>
      </c>
    </row>
    <row r="127">
      <c r="O127" s="69" t="inlineStr">
        <is>
          <t>LBN</t>
        </is>
      </c>
      <c r="P127" s="69" t="inlineStr">
        <is>
          <t>Lebanon</t>
        </is>
      </c>
    </row>
    <row r="128">
      <c r="O128" s="69" t="inlineStr">
        <is>
          <t>LBR</t>
        </is>
      </c>
      <c r="P128" s="69" t="inlineStr">
        <is>
          <t>Liberia</t>
        </is>
      </c>
    </row>
    <row r="129">
      <c r="O129" s="69" t="inlineStr">
        <is>
          <t>LBY</t>
        </is>
      </c>
      <c r="P129" s="69" t="inlineStr">
        <is>
          <t>Libya</t>
        </is>
      </c>
    </row>
    <row r="130">
      <c r="O130" s="69" t="inlineStr">
        <is>
          <t>LCA</t>
        </is>
      </c>
      <c r="P130" s="69" t="inlineStr">
        <is>
          <t>Saint Lucia</t>
        </is>
      </c>
    </row>
    <row r="131">
      <c r="O131" s="69" t="inlineStr">
        <is>
          <t>LIE</t>
        </is>
      </c>
      <c r="P131" s="69" t="inlineStr">
        <is>
          <t>Liechtenstein</t>
        </is>
      </c>
    </row>
    <row r="132">
      <c r="O132" s="69" t="inlineStr">
        <is>
          <t>LKA</t>
        </is>
      </c>
      <c r="P132" s="69" t="inlineStr">
        <is>
          <t>Sri Lanka</t>
        </is>
      </c>
    </row>
    <row r="133">
      <c r="O133" s="69" t="inlineStr">
        <is>
          <t>LSO</t>
        </is>
      </c>
      <c r="P133" s="69" t="inlineStr">
        <is>
          <t>Lesotho</t>
        </is>
      </c>
    </row>
    <row r="134">
      <c r="O134" s="69" t="inlineStr">
        <is>
          <t>LUX</t>
        </is>
      </c>
      <c r="P134" s="69" t="inlineStr">
        <is>
          <t>Luxembourg</t>
        </is>
      </c>
    </row>
    <row r="135">
      <c r="O135" s="69" t="inlineStr">
        <is>
          <t>MAC</t>
        </is>
      </c>
      <c r="P135" s="69" t="inlineStr">
        <is>
          <t>Macau</t>
        </is>
      </c>
    </row>
    <row r="136">
      <c r="O136" s="69" t="inlineStr">
        <is>
          <t>MAR</t>
        </is>
      </c>
      <c r="P136" s="69" t="inlineStr">
        <is>
          <t>Morocco</t>
        </is>
      </c>
    </row>
    <row r="137">
      <c r="O137" s="69" t="inlineStr">
        <is>
          <t>MCO</t>
        </is>
      </c>
      <c r="P137" s="69" t="inlineStr">
        <is>
          <t>Monaco</t>
        </is>
      </c>
    </row>
    <row r="138">
      <c r="O138" s="69" t="inlineStr">
        <is>
          <t>MDG</t>
        </is>
      </c>
      <c r="P138" s="69" t="inlineStr">
        <is>
          <t>Madagascar</t>
        </is>
      </c>
    </row>
    <row r="139">
      <c r="O139" s="69" t="inlineStr">
        <is>
          <t>MDV</t>
        </is>
      </c>
      <c r="P139" s="69" t="inlineStr">
        <is>
          <t>Maldives</t>
        </is>
      </c>
    </row>
    <row r="140">
      <c r="O140" s="69" t="inlineStr">
        <is>
          <t>MEX</t>
        </is>
      </c>
      <c r="P140" s="69" t="inlineStr">
        <is>
          <t>Mexico</t>
        </is>
      </c>
    </row>
    <row r="141">
      <c r="O141" s="69" t="inlineStr">
        <is>
          <t>MHL</t>
        </is>
      </c>
      <c r="P141" s="69" t="inlineStr">
        <is>
          <t>Marshall Islands</t>
        </is>
      </c>
    </row>
    <row r="142">
      <c r="O142" s="69" t="inlineStr">
        <is>
          <t>MLI</t>
        </is>
      </c>
      <c r="P142" s="69" t="inlineStr">
        <is>
          <t>Mali</t>
        </is>
      </c>
    </row>
    <row r="143">
      <c r="O143" s="69" t="inlineStr">
        <is>
          <t>MLT</t>
        </is>
      </c>
      <c r="P143" s="69" t="inlineStr">
        <is>
          <t>Malta</t>
        </is>
      </c>
    </row>
    <row r="144">
      <c r="O144" s="69" t="inlineStr">
        <is>
          <t>MMR</t>
        </is>
      </c>
      <c r="P144" s="69" t="inlineStr">
        <is>
          <t>Myanmar</t>
        </is>
      </c>
    </row>
    <row r="145">
      <c r="O145" s="69" t="inlineStr">
        <is>
          <t>MNG</t>
        </is>
      </c>
      <c r="P145" s="69" t="inlineStr">
        <is>
          <t>Mongolia</t>
        </is>
      </c>
    </row>
    <row r="146">
      <c r="O146" s="69" t="inlineStr">
        <is>
          <t>MNP</t>
        </is>
      </c>
      <c r="P146" s="69" t="inlineStr">
        <is>
          <t>Northern Mariana Islands</t>
        </is>
      </c>
    </row>
    <row r="147">
      <c r="O147" s="69" t="inlineStr">
        <is>
          <t>MOZ</t>
        </is>
      </c>
      <c r="P147" s="69" t="inlineStr">
        <is>
          <t>Mozambique</t>
        </is>
      </c>
    </row>
    <row r="148">
      <c r="O148" s="69" t="inlineStr">
        <is>
          <t>MRT</t>
        </is>
      </c>
      <c r="P148" s="69" t="inlineStr">
        <is>
          <t>Mauritania</t>
        </is>
      </c>
    </row>
    <row r="149">
      <c r="O149" s="69" t="inlineStr">
        <is>
          <t>MSR</t>
        </is>
      </c>
      <c r="P149" s="69" t="inlineStr">
        <is>
          <t>Montserrat</t>
        </is>
      </c>
    </row>
    <row r="150">
      <c r="O150" s="69" t="inlineStr">
        <is>
          <t>MUS</t>
        </is>
      </c>
      <c r="P150" s="69" t="inlineStr">
        <is>
          <t>Mauritius</t>
        </is>
      </c>
    </row>
    <row r="151">
      <c r="O151" s="69" t="inlineStr">
        <is>
          <t>MWI</t>
        </is>
      </c>
      <c r="P151" s="69" t="inlineStr">
        <is>
          <t>Malawi</t>
        </is>
      </c>
    </row>
    <row r="152">
      <c r="O152" s="69" t="inlineStr">
        <is>
          <t>MYS</t>
        </is>
      </c>
      <c r="P152" s="69" t="inlineStr">
        <is>
          <t>Malaysia</t>
        </is>
      </c>
    </row>
    <row r="153">
      <c r="O153" s="69" t="inlineStr">
        <is>
          <t>NAM</t>
        </is>
      </c>
      <c r="P153" s="69" t="inlineStr">
        <is>
          <t>Namibia</t>
        </is>
      </c>
    </row>
    <row r="154">
      <c r="O154" s="69" t="inlineStr">
        <is>
          <t>NER</t>
        </is>
      </c>
      <c r="P154" s="69" t="inlineStr">
        <is>
          <t>Niger</t>
        </is>
      </c>
    </row>
    <row r="155">
      <c r="O155" s="69" t="inlineStr">
        <is>
          <t>NFK</t>
        </is>
      </c>
      <c r="P155" s="69" t="inlineStr">
        <is>
          <t>Norfolk Islands</t>
        </is>
      </c>
    </row>
    <row r="156">
      <c r="O156" s="69" t="inlineStr">
        <is>
          <t>NGA</t>
        </is>
      </c>
      <c r="P156" s="69" t="inlineStr">
        <is>
          <t>Nigeria</t>
        </is>
      </c>
    </row>
    <row r="157">
      <c r="O157" s="69" t="inlineStr">
        <is>
          <t>NIC</t>
        </is>
      </c>
      <c r="P157" s="69" t="inlineStr">
        <is>
          <t>Nicaragua</t>
        </is>
      </c>
    </row>
    <row r="158">
      <c r="O158" s="69" t="inlineStr">
        <is>
          <t>NIU</t>
        </is>
      </c>
      <c r="P158" s="69" t="inlineStr">
        <is>
          <t>Niue</t>
        </is>
      </c>
    </row>
    <row r="159">
      <c r="O159" s="69" t="inlineStr">
        <is>
          <t>NLD</t>
        </is>
      </c>
      <c r="P159" s="69" t="inlineStr">
        <is>
          <t>Netherlands</t>
        </is>
      </c>
    </row>
    <row r="160">
      <c r="O160" s="69" t="inlineStr">
        <is>
          <t>NOAM</t>
        </is>
      </c>
      <c r="P160" s="69" t="inlineStr">
        <is>
          <t>North America</t>
        </is>
      </c>
    </row>
    <row r="161">
      <c r="O161" s="69" t="inlineStr">
        <is>
          <t>NOR</t>
        </is>
      </c>
      <c r="P161" s="69" t="inlineStr">
        <is>
          <t>Norway</t>
        </is>
      </c>
    </row>
    <row r="162">
      <c r="O162" s="69" t="inlineStr">
        <is>
          <t>NPL</t>
        </is>
      </c>
      <c r="P162" s="69" t="inlineStr">
        <is>
          <t>Nepal</t>
        </is>
      </c>
    </row>
    <row r="163">
      <c r="O163" s="69" t="inlineStr">
        <is>
          <t>NRU</t>
        </is>
      </c>
      <c r="P163" s="69" t="inlineStr">
        <is>
          <t>Nauru</t>
        </is>
      </c>
    </row>
    <row r="164">
      <c r="O164" s="69" t="inlineStr">
        <is>
          <t>NZL</t>
        </is>
      </c>
      <c r="P164" s="69" t="inlineStr">
        <is>
          <t>New Zealand</t>
        </is>
      </c>
    </row>
    <row r="165">
      <c r="O165" s="69" t="inlineStr">
        <is>
          <t>OCEA</t>
        </is>
      </c>
      <c r="P165" s="69" t="inlineStr">
        <is>
          <t>Oceania</t>
        </is>
      </c>
    </row>
    <row r="166">
      <c r="O166" s="69" t="inlineStr">
        <is>
          <t>OMN</t>
        </is>
      </c>
      <c r="P166" s="69" t="inlineStr">
        <is>
          <t>Oman</t>
        </is>
      </c>
    </row>
    <row r="167">
      <c r="O167" s="69" t="inlineStr">
        <is>
          <t>OTH</t>
        </is>
      </c>
      <c r="P167" s="69" t="inlineStr">
        <is>
          <t>Other</t>
        </is>
      </c>
    </row>
    <row r="168">
      <c r="O168" s="69" t="inlineStr">
        <is>
          <t>PAK</t>
        </is>
      </c>
      <c r="P168" s="69" t="inlineStr">
        <is>
          <t>Pakistan</t>
        </is>
      </c>
    </row>
    <row r="169">
      <c r="O169" s="69" t="inlineStr">
        <is>
          <t>PAN</t>
        </is>
      </c>
      <c r="P169" s="69" t="inlineStr">
        <is>
          <t>Panama</t>
        </is>
      </c>
    </row>
    <row r="170">
      <c r="O170" s="69" t="inlineStr">
        <is>
          <t>PCN</t>
        </is>
      </c>
      <c r="P170" s="69" t="inlineStr">
        <is>
          <t>Pitcairn</t>
        </is>
      </c>
    </row>
    <row r="171">
      <c r="O171" s="69" t="inlineStr">
        <is>
          <t>PER</t>
        </is>
      </c>
      <c r="P171" s="69" t="inlineStr">
        <is>
          <t>Peru</t>
        </is>
      </c>
    </row>
    <row r="172">
      <c r="O172" s="69" t="inlineStr">
        <is>
          <t>PHL</t>
        </is>
      </c>
      <c r="P172" s="69" t="inlineStr">
        <is>
          <t>Philippines</t>
        </is>
      </c>
    </row>
    <row r="173">
      <c r="O173" s="69" t="inlineStr">
        <is>
          <t>PLW</t>
        </is>
      </c>
      <c r="P173" s="69" t="inlineStr">
        <is>
          <t>Pacific Islands (Palau)</t>
        </is>
      </c>
    </row>
    <row r="174">
      <c r="O174" s="69" t="inlineStr">
        <is>
          <t>PNG</t>
        </is>
      </c>
      <c r="P174" s="69" t="inlineStr">
        <is>
          <t>Papua New Guinea</t>
        </is>
      </c>
    </row>
    <row r="175">
      <c r="O175" s="69" t="inlineStr">
        <is>
          <t>POL</t>
        </is>
      </c>
      <c r="P175" s="69" t="inlineStr">
        <is>
          <t>Poland</t>
        </is>
      </c>
    </row>
    <row r="176">
      <c r="O176" s="69" t="inlineStr">
        <is>
          <t>PRI</t>
        </is>
      </c>
      <c r="P176" s="69" t="inlineStr">
        <is>
          <t>Puerto Rico</t>
        </is>
      </c>
    </row>
    <row r="177">
      <c r="O177" s="69" t="inlineStr">
        <is>
          <t>PRT</t>
        </is>
      </c>
      <c r="P177" s="69" t="inlineStr">
        <is>
          <t>Portugal</t>
        </is>
      </c>
    </row>
    <row r="178">
      <c r="O178" s="69" t="inlineStr">
        <is>
          <t>PRY</t>
        </is>
      </c>
      <c r="P178" s="69" t="inlineStr">
        <is>
          <t>Paraguay</t>
        </is>
      </c>
    </row>
    <row r="179">
      <c r="O179" s="69" t="inlineStr">
        <is>
          <t>PSE</t>
        </is>
      </c>
      <c r="P179" s="69" t="inlineStr">
        <is>
          <t>Occupied Palestinian Territory</t>
        </is>
      </c>
    </row>
    <row r="180">
      <c r="O180" s="69" t="inlineStr">
        <is>
          <t>QAT</t>
        </is>
      </c>
      <c r="P180" s="69" t="inlineStr">
        <is>
          <t>Qatar</t>
        </is>
      </c>
    </row>
    <row r="181">
      <c r="O181" s="69" t="inlineStr">
        <is>
          <t>ROU</t>
        </is>
      </c>
      <c r="P181" s="69" t="inlineStr">
        <is>
          <t>Romania</t>
        </is>
      </c>
    </row>
    <row r="182">
      <c r="O182" s="69" t="inlineStr">
        <is>
          <t>RWA</t>
        </is>
      </c>
      <c r="P182" s="69" t="inlineStr">
        <is>
          <t>Rwanda</t>
        </is>
      </c>
    </row>
    <row r="183">
      <c r="O183" s="69" t="inlineStr">
        <is>
          <t>SAU</t>
        </is>
      </c>
      <c r="P183" s="69" t="inlineStr">
        <is>
          <t>Saudi Arabia</t>
        </is>
      </c>
    </row>
    <row r="184">
      <c r="O184" s="69" t="inlineStr">
        <is>
          <t>SCAC</t>
        </is>
      </c>
      <c r="P184" s="69" t="inlineStr">
        <is>
          <t>South and Central America</t>
        </is>
      </c>
    </row>
    <row r="185">
      <c r="O185" s="69" t="inlineStr">
        <is>
          <t>SDN</t>
        </is>
      </c>
      <c r="P185" s="69" t="inlineStr">
        <is>
          <t>Sudan</t>
        </is>
      </c>
    </row>
    <row r="186">
      <c r="O186" s="69" t="inlineStr">
        <is>
          <t>SEN</t>
        </is>
      </c>
      <c r="P186" s="69" t="inlineStr">
        <is>
          <t>Senegal</t>
        </is>
      </c>
    </row>
    <row r="187">
      <c r="O187" s="69" t="inlineStr">
        <is>
          <t>SGP</t>
        </is>
      </c>
      <c r="P187" s="69" t="inlineStr">
        <is>
          <t>Singapore</t>
        </is>
      </c>
    </row>
    <row r="188">
      <c r="O188" s="69" t="inlineStr">
        <is>
          <t>SHN</t>
        </is>
      </c>
      <c r="P188" s="69" t="inlineStr">
        <is>
          <t>Saint Helena</t>
        </is>
      </c>
    </row>
    <row r="189">
      <c r="O189" s="69" t="inlineStr">
        <is>
          <t>SJM</t>
        </is>
      </c>
      <c r="P189" s="69" t="inlineStr">
        <is>
          <t>Svalbard and Jan Mayen Islands</t>
        </is>
      </c>
    </row>
    <row r="190">
      <c r="O190" s="69" t="inlineStr">
        <is>
          <t>SLB</t>
        </is>
      </c>
      <c r="P190" s="69" t="inlineStr">
        <is>
          <t>Solomon Islands</t>
        </is>
      </c>
    </row>
    <row r="191">
      <c r="O191" s="69" t="inlineStr">
        <is>
          <t>SLE</t>
        </is>
      </c>
      <c r="P191" s="69" t="inlineStr">
        <is>
          <t>Sierra Leone</t>
        </is>
      </c>
    </row>
    <row r="192">
      <c r="O192" s="69" t="inlineStr">
        <is>
          <t>SLV</t>
        </is>
      </c>
      <c r="P192" s="69" t="inlineStr">
        <is>
          <t>El Salvador</t>
        </is>
      </c>
    </row>
    <row r="193">
      <c r="O193" s="69" t="inlineStr">
        <is>
          <t>SMR</t>
        </is>
      </c>
      <c r="P193" s="69" t="inlineStr">
        <is>
          <t>San Marino</t>
        </is>
      </c>
    </row>
    <row r="194">
      <c r="O194" s="69" t="inlineStr">
        <is>
          <t>SOM</t>
        </is>
      </c>
      <c r="P194" s="69" t="inlineStr">
        <is>
          <t>Somalia</t>
        </is>
      </c>
    </row>
    <row r="195">
      <c r="O195" s="69" t="inlineStr">
        <is>
          <t>STP</t>
        </is>
      </c>
      <c r="P195" s="69" t="inlineStr">
        <is>
          <t>Sao Tome and Principe</t>
        </is>
      </c>
    </row>
    <row r="196">
      <c r="O196" s="69" t="inlineStr">
        <is>
          <t>SUR</t>
        </is>
      </c>
      <c r="P196" s="69" t="inlineStr">
        <is>
          <t>Suriname</t>
        </is>
      </c>
    </row>
    <row r="197">
      <c r="O197" s="69" t="inlineStr">
        <is>
          <t>SWE</t>
        </is>
      </c>
      <c r="P197" s="69" t="inlineStr">
        <is>
          <t>Sweden</t>
        </is>
      </c>
    </row>
    <row r="198">
      <c r="O198" s="69" t="inlineStr">
        <is>
          <t>SWZ</t>
        </is>
      </c>
      <c r="P198" s="69" t="inlineStr">
        <is>
          <t>Swaziland</t>
        </is>
      </c>
    </row>
    <row r="199">
      <c r="O199" s="69" t="inlineStr">
        <is>
          <t>SYC</t>
        </is>
      </c>
      <c r="P199" s="69" t="inlineStr">
        <is>
          <t>Seychelles</t>
        </is>
      </c>
    </row>
    <row r="200">
      <c r="O200" s="69" t="inlineStr">
        <is>
          <t>SYR</t>
        </is>
      </c>
      <c r="P200" s="69" t="inlineStr">
        <is>
          <t>Syria</t>
        </is>
      </c>
    </row>
    <row r="201">
      <c r="O201" s="69" t="inlineStr">
        <is>
          <t>TCA</t>
        </is>
      </c>
      <c r="P201" s="69" t="inlineStr">
        <is>
          <t>Turks and Caicos Islands</t>
        </is>
      </c>
    </row>
    <row r="202">
      <c r="O202" s="69" t="inlineStr">
        <is>
          <t>TCD</t>
        </is>
      </c>
      <c r="P202" s="69" t="inlineStr">
        <is>
          <t>Chad</t>
        </is>
      </c>
    </row>
    <row r="203">
      <c r="O203" s="69" t="inlineStr">
        <is>
          <t>TGO</t>
        </is>
      </c>
      <c r="P203" s="69" t="inlineStr">
        <is>
          <t>Togo</t>
        </is>
      </c>
    </row>
    <row r="204">
      <c r="O204" s="69" t="inlineStr">
        <is>
          <t>THA</t>
        </is>
      </c>
      <c r="P204" s="69" t="inlineStr">
        <is>
          <t>Thailand</t>
        </is>
      </c>
    </row>
    <row r="205">
      <c r="O205" s="69" t="inlineStr">
        <is>
          <t>TKL</t>
        </is>
      </c>
      <c r="P205" s="69" t="inlineStr">
        <is>
          <t>Tokelau</t>
        </is>
      </c>
    </row>
    <row r="206">
      <c r="O206" s="69" t="inlineStr">
        <is>
          <t>TLS</t>
        </is>
      </c>
      <c r="P206" s="69" t="inlineStr">
        <is>
          <t>Timor-Leste</t>
        </is>
      </c>
    </row>
    <row r="207">
      <c r="O207" s="69" t="inlineStr">
        <is>
          <t>TMP</t>
        </is>
      </c>
      <c r="P207" s="69" t="inlineStr">
        <is>
          <t>East Timor</t>
        </is>
      </c>
    </row>
    <row r="208">
      <c r="O208" s="69" t="inlineStr">
        <is>
          <t>TON</t>
        </is>
      </c>
      <c r="P208" s="69" t="inlineStr">
        <is>
          <t>Tonga</t>
        </is>
      </c>
    </row>
    <row r="209">
      <c r="O209" s="69" t="inlineStr">
        <is>
          <t>TTO</t>
        </is>
      </c>
      <c r="P209" s="69" t="inlineStr">
        <is>
          <t>Trinidad and Tobago</t>
        </is>
      </c>
    </row>
    <row r="210">
      <c r="O210" s="69" t="inlineStr">
        <is>
          <t>TUN</t>
        </is>
      </c>
      <c r="P210" s="69" t="inlineStr">
        <is>
          <t>Tunisia</t>
        </is>
      </c>
    </row>
    <row r="211">
      <c r="O211" s="69" t="inlineStr">
        <is>
          <t>TUR</t>
        </is>
      </c>
      <c r="P211" s="69" t="inlineStr">
        <is>
          <t>Turkey</t>
        </is>
      </c>
    </row>
    <row r="212">
      <c r="O212" s="69" t="inlineStr">
        <is>
          <t>TUV</t>
        </is>
      </c>
      <c r="P212" s="69" t="inlineStr">
        <is>
          <t>Tuvalu</t>
        </is>
      </c>
    </row>
    <row r="213">
      <c r="O213" s="69" t="inlineStr">
        <is>
          <t>TWN</t>
        </is>
      </c>
      <c r="P213" s="69" t="inlineStr">
        <is>
          <t>Chinese Taipei</t>
        </is>
      </c>
    </row>
    <row r="214">
      <c r="O214" s="69" t="inlineStr">
        <is>
          <t>TZA</t>
        </is>
      </c>
      <c r="P214" s="69" t="inlineStr">
        <is>
          <t>United Republic of Tanzania</t>
        </is>
      </c>
    </row>
    <row r="215">
      <c r="O215" s="69" t="inlineStr">
        <is>
          <t>UGA</t>
        </is>
      </c>
      <c r="P215" s="69" t="inlineStr">
        <is>
          <t>Unknown</t>
        </is>
      </c>
    </row>
    <row r="216">
      <c r="O216" s="69" t="inlineStr">
        <is>
          <t>UNK</t>
        </is>
      </c>
      <c r="P216" s="69" t="inlineStr">
        <is>
          <t>Unknown</t>
        </is>
      </c>
    </row>
    <row r="217">
      <c r="O217" s="69" t="inlineStr">
        <is>
          <t>URY</t>
        </is>
      </c>
      <c r="P217" s="69" t="inlineStr">
        <is>
          <t>Uruguay</t>
        </is>
      </c>
    </row>
    <row r="218">
      <c r="O218" s="69" t="inlineStr">
        <is>
          <t>USA</t>
        </is>
      </c>
      <c r="P218" s="69" t="inlineStr">
        <is>
          <t>United States</t>
        </is>
      </c>
    </row>
    <row r="219">
      <c r="O219" s="69" t="inlineStr">
        <is>
          <t>USSR</t>
        </is>
      </c>
      <c r="P219" s="69" t="inlineStr">
        <is>
          <t>Former USSR</t>
        </is>
      </c>
    </row>
    <row r="220">
      <c r="O220" s="69" t="inlineStr">
        <is>
          <t>USSR-ARM</t>
        </is>
      </c>
      <c r="P220" s="69" t="inlineStr">
        <is>
          <t>Armenia</t>
        </is>
      </c>
    </row>
    <row r="221">
      <c r="O221" s="69" t="inlineStr">
        <is>
          <t>USSR-AZE</t>
        </is>
      </c>
      <c r="P221" s="69" t="inlineStr">
        <is>
          <t>Azerbaidjan</t>
        </is>
      </c>
    </row>
    <row r="222">
      <c r="O222" s="69" t="inlineStr">
        <is>
          <t>USSR-BLR</t>
        </is>
      </c>
      <c r="P222" s="69" t="inlineStr">
        <is>
          <t>Belarus</t>
        </is>
      </c>
    </row>
    <row r="223">
      <c r="O223" s="69" t="inlineStr">
        <is>
          <t>USSR-EST</t>
        </is>
      </c>
      <c r="P223" s="69" t="inlineStr">
        <is>
          <t>Estonia</t>
        </is>
      </c>
    </row>
    <row r="224">
      <c r="O224" s="69" t="inlineStr">
        <is>
          <t>USSR-GEO</t>
        </is>
      </c>
      <c r="P224" s="69" t="inlineStr">
        <is>
          <t>Georgia</t>
        </is>
      </c>
    </row>
    <row r="225">
      <c r="O225" s="69" t="inlineStr">
        <is>
          <t>USSR-KAZ</t>
        </is>
      </c>
      <c r="P225" s="69" t="inlineStr">
        <is>
          <t>Kazakhstan</t>
        </is>
      </c>
    </row>
    <row r="226">
      <c r="O226" s="69" t="inlineStr">
        <is>
          <t>USSR-KGZ</t>
        </is>
      </c>
      <c r="P226" s="69" t="inlineStr">
        <is>
          <t>Kirghizistan</t>
        </is>
      </c>
    </row>
    <row r="227">
      <c r="O227" s="69" t="inlineStr">
        <is>
          <t>USSR-LTU</t>
        </is>
      </c>
      <c r="P227" s="69" t="inlineStr">
        <is>
          <t>Lithuania</t>
        </is>
      </c>
    </row>
    <row r="228">
      <c r="O228" s="69" t="inlineStr">
        <is>
          <t>USSR-LVA</t>
        </is>
      </c>
      <c r="P228" s="69" t="inlineStr">
        <is>
          <t>Latvia</t>
        </is>
      </c>
    </row>
    <row r="229">
      <c r="O229" s="69" t="inlineStr">
        <is>
          <t>USSR-MDA</t>
        </is>
      </c>
      <c r="P229" s="69" t="inlineStr">
        <is>
          <t>Moldova</t>
        </is>
      </c>
    </row>
    <row r="230">
      <c r="O230" s="69" t="inlineStr">
        <is>
          <t>USSR-RUS</t>
        </is>
      </c>
      <c r="P230" s="69" t="inlineStr">
        <is>
          <t>Russia</t>
        </is>
      </c>
    </row>
    <row r="231">
      <c r="O231" s="69" t="inlineStr">
        <is>
          <t>USSR-TJK</t>
        </is>
      </c>
      <c r="P231" s="69" t="inlineStr">
        <is>
          <t>Tadjikistan</t>
        </is>
      </c>
    </row>
    <row r="232">
      <c r="O232" s="69" t="inlineStr">
        <is>
          <t>USSR-TKM</t>
        </is>
      </c>
      <c r="P232" s="69" t="inlineStr">
        <is>
          <t>Turkménistan</t>
        </is>
      </c>
    </row>
    <row r="233">
      <c r="O233" s="69" t="inlineStr">
        <is>
          <t>USSR-UKR</t>
        </is>
      </c>
      <c r="P233" s="69" t="inlineStr">
        <is>
          <t>Ukraine</t>
        </is>
      </c>
    </row>
    <row r="234">
      <c r="O234" s="69" t="inlineStr">
        <is>
          <t>USSR-UZB</t>
        </is>
      </c>
      <c r="P234" s="69" t="inlineStr">
        <is>
          <t>Uzbekistan</t>
        </is>
      </c>
    </row>
    <row r="235">
      <c r="O235" s="69" t="inlineStr">
        <is>
          <t>VAT</t>
        </is>
      </c>
      <c r="P235" s="69" t="inlineStr">
        <is>
          <t>Holy See</t>
        </is>
      </c>
    </row>
    <row r="236">
      <c r="O236" s="69" t="inlineStr">
        <is>
          <t>VCT</t>
        </is>
      </c>
      <c r="P236" s="69" t="inlineStr">
        <is>
          <t>Saint Vincent and the Grenadines</t>
        </is>
      </c>
    </row>
    <row r="237">
      <c r="O237" s="69" t="inlineStr">
        <is>
          <t>VEN</t>
        </is>
      </c>
      <c r="P237" s="69" t="inlineStr">
        <is>
          <t>Venezuela</t>
        </is>
      </c>
    </row>
    <row r="238">
      <c r="O238" s="69" t="inlineStr">
        <is>
          <t>VGB</t>
        </is>
      </c>
      <c r="P238" s="69" t="inlineStr">
        <is>
          <t>British Virgin Islands</t>
        </is>
      </c>
    </row>
    <row r="239">
      <c r="O239" s="69" t="inlineStr">
        <is>
          <t>VIR</t>
        </is>
      </c>
      <c r="P239" s="69" t="inlineStr">
        <is>
          <t>United States Virgin Islands</t>
        </is>
      </c>
    </row>
    <row r="240">
      <c r="O240" s="69" t="inlineStr">
        <is>
          <t>VNM</t>
        </is>
      </c>
      <c r="P240" s="69" t="inlineStr">
        <is>
          <t>Vietnam</t>
        </is>
      </c>
    </row>
    <row r="241">
      <c r="O241" s="69" t="inlineStr">
        <is>
          <t>VUT</t>
        </is>
      </c>
      <c r="P241" s="69" t="inlineStr">
        <is>
          <t>Vanuatu</t>
        </is>
      </c>
    </row>
    <row r="242">
      <c r="O242" s="69" t="inlineStr">
        <is>
          <t>WSM</t>
        </is>
      </c>
      <c r="P242" s="69" t="inlineStr">
        <is>
          <t>Samoa</t>
        </is>
      </c>
    </row>
    <row r="243">
      <c r="O243" s="69" t="inlineStr">
        <is>
          <t>YEM</t>
        </is>
      </c>
      <c r="P243" s="69" t="inlineStr">
        <is>
          <t>Yemen</t>
        </is>
      </c>
    </row>
    <row r="244">
      <c r="O244" s="69" t="inlineStr">
        <is>
          <t>ZAF</t>
        </is>
      </c>
      <c r="P244" s="69" t="inlineStr">
        <is>
          <t>South Africa</t>
        </is>
      </c>
    </row>
    <row r="245">
      <c r="O245" s="69" t="inlineStr">
        <is>
          <t>ZMB</t>
        </is>
      </c>
      <c r="P245" s="69" t="inlineStr">
        <is>
          <t>Zambia</t>
        </is>
      </c>
    </row>
    <row r="246">
      <c r="O246" s="69" t="inlineStr">
        <is>
          <t>ZWE</t>
        </is>
      </c>
      <c r="P246" s="69" t="inlineStr">
        <is>
          <t>Zimbabwe</t>
        </is>
      </c>
    </row>
  </sheetData>
  <autoFilter ref="O12:P12"/>
  <mergeCells count="26">
    <mergeCell ref="G17:J17"/>
    <mergeCell ref="B1:J2"/>
    <mergeCell ref="B3:J3"/>
    <mergeCell ref="B5:J5"/>
    <mergeCell ref="B7:J7"/>
    <mergeCell ref="B8:J8"/>
    <mergeCell ref="B10:J10"/>
    <mergeCell ref="B12:F12"/>
    <mergeCell ref="G12:J12"/>
    <mergeCell ref="G14:J14"/>
    <mergeCell ref="G15:J15"/>
    <mergeCell ref="G16:J16"/>
    <mergeCell ref="B27:F27"/>
    <mergeCell ref="G27:J27"/>
    <mergeCell ref="B31:J31"/>
    <mergeCell ref="G18:J18"/>
    <mergeCell ref="G19:J19"/>
    <mergeCell ref="G20:J20"/>
    <mergeCell ref="G21:J21"/>
    <mergeCell ref="G22:J22"/>
    <mergeCell ref="G23:J23"/>
    <mergeCell ref="B21:F21"/>
    <mergeCell ref="B23:F23"/>
    <mergeCell ref="G24:J24"/>
    <mergeCell ref="G25:J25"/>
    <mergeCell ref="G26:J26"/>
  </mergeCells>
  <hyperlinks>
    <hyperlink xmlns:r="http://schemas.openxmlformats.org/officeDocument/2006/relationships" ref="B8" r:id="rId1"/>
    <hyperlink xmlns:r="http://schemas.openxmlformats.org/officeDocument/2006/relationships" ref="B21" r:id="rId2"/>
    <hyperlink xmlns:r="http://schemas.openxmlformats.org/officeDocument/2006/relationships" ref="B23" r:id="rId3"/>
    <hyperlink xmlns:r="http://schemas.openxmlformats.org/officeDocument/2006/relationships" ref="B25" r:id="rId4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10">
    <outlinePr summaryBelow="1" summaryRight="1"/>
    <pageSetUpPr/>
  </sheetPr>
  <dimension ref="B1:M221"/>
  <sheetViews>
    <sheetView showGridLines="0" zoomScale="150" zoomScaleNormal="150" workbookViewId="0">
      <selection activeCell="F22" sqref="F22"/>
    </sheetView>
  </sheetViews>
  <sheetFormatPr baseColWidth="10" defaultColWidth="9.1640625" defaultRowHeight="15"/>
  <cols>
    <col width="9.1640625" customWidth="1" style="100" min="1" max="1"/>
    <col width="2.1640625" customWidth="1" style="100" min="2" max="2"/>
    <col width="27.33203125" customWidth="1" style="100" min="3" max="3"/>
    <col width="32.6640625" customWidth="1" style="116" min="4" max="6"/>
    <col width="9.1640625" customWidth="1" style="100" min="7" max="8"/>
    <col width="9.1640625" customWidth="1" style="100" min="9" max="16384"/>
  </cols>
  <sheetData>
    <row r="1">
      <c r="B1" s="115" t="inlineStr">
        <is>
          <t>https://www.theglobaleconomy.com/rankings/Capital_investment/</t>
        </is>
      </c>
    </row>
    <row r="2" ht="16" customHeight="1" s="95" thickBot="1">
      <c r="B2" s="107" t="n"/>
      <c r="C2" s="107" t="n"/>
      <c r="D2" s="107" t="n"/>
      <c r="E2" s="107" t="n"/>
      <c r="F2" s="107" t="n"/>
    </row>
    <row r="3" ht="16" customHeight="1" s="95" thickBot="1">
      <c r="B3" s="108" t="inlineStr">
        <is>
          <t>Global Industrial Production</t>
        </is>
      </c>
      <c r="C3" s="109" t="n"/>
      <c r="D3" s="109" t="n"/>
      <c r="E3" s="109" t="n"/>
      <c r="F3" s="110" t="n"/>
    </row>
    <row r="7" ht="20" customHeight="1" s="95">
      <c r="D7" s="78" t="inlineStr">
        <is>
          <t>% World GDP</t>
        </is>
      </c>
      <c r="E7" s="78" t="inlineStr">
        <is>
          <t>Investment as % of GDP</t>
        </is>
      </c>
      <c r="F7" s="78" t="inlineStr">
        <is>
          <t>Industrial Production yoy %</t>
        </is>
      </c>
    </row>
    <row r="8" ht="19" customHeight="1" s="95">
      <c r="C8" s="79" t="inlineStr">
        <is>
          <t>United States</t>
        </is>
      </c>
      <c r="D8" s="11">
        <f>VLOOKUP(C8,$C$32:$M$212,2,FALSE)/$D$29</f>
        <v/>
      </c>
      <c r="E8" s="12" t="n">
        <v>20.586</v>
      </c>
      <c r="F8" s="12">
        <f>VLOOKUP(C8,'World Production data'!$A$2:$B$115,2,)</f>
        <v/>
      </c>
    </row>
    <row r="9" ht="19" customHeight="1" s="95">
      <c r="C9" s="79" t="inlineStr">
        <is>
          <t>Euro Area</t>
        </is>
      </c>
      <c r="D9" s="11">
        <f>VLOOKUP(C9,$C$32:$M$212,2,FALSE)/$D$29</f>
        <v/>
      </c>
      <c r="E9" s="12" t="n">
        <v>21.3</v>
      </c>
      <c r="F9" s="12">
        <f>VLOOKUP(C9,'World Production data'!$A$2:$B$115,2,)</f>
        <v/>
      </c>
    </row>
    <row r="10" ht="19" customHeight="1" s="95">
      <c r="C10" s="79" t="inlineStr">
        <is>
          <t>China</t>
        </is>
      </c>
      <c r="D10" s="11">
        <f>VLOOKUP(C10,$C$32:$M$212,2,FALSE)/$D$29</f>
        <v/>
      </c>
      <c r="E10" s="12" t="n">
        <v>44.643</v>
      </c>
      <c r="F10" s="12">
        <f>VLOOKUP(C10,'World Production data'!$A$2:$B$115,2,)</f>
        <v/>
      </c>
    </row>
    <row r="11" ht="19" customHeight="1" s="95">
      <c r="C11" s="79" t="inlineStr">
        <is>
          <t>Japan</t>
        </is>
      </c>
      <c r="D11" s="11">
        <f>VLOOKUP(C11,$C$32:$M$212,2,FALSE)/$D$29</f>
        <v/>
      </c>
      <c r="E11" s="12" t="n">
        <v>23.903</v>
      </c>
      <c r="F11" s="12">
        <f>VLOOKUP(C11,'World Production data'!$A$2:$B$115,2,)</f>
        <v/>
      </c>
    </row>
    <row r="12" ht="19" customHeight="1" s="95">
      <c r="C12" s="79" t="inlineStr">
        <is>
          <t>Germany</t>
        </is>
      </c>
      <c r="D12" s="11">
        <f>VLOOKUP(C12,$C$32:$M$212,2,FALSE)/$D$29</f>
        <v/>
      </c>
      <c r="E12" s="12" t="n">
        <v>20.092</v>
      </c>
      <c r="F12" s="12">
        <f>VLOOKUP(C12,'World Production data'!$A$2:$B$115,2,)</f>
        <v/>
      </c>
    </row>
    <row r="13" ht="19" customHeight="1" s="95">
      <c r="C13" s="79" t="inlineStr">
        <is>
          <t>United Kingdom</t>
        </is>
      </c>
      <c r="D13" s="11">
        <f>VLOOKUP(C13,$C$32:$M$212,2,FALSE)/$D$29</f>
        <v/>
      </c>
      <c r="E13" s="12" t="n">
        <v>17.218</v>
      </c>
      <c r="F13" s="12">
        <f>VLOOKUP(C13,'World Production data'!$A$2:$B$115,2,)</f>
        <v/>
      </c>
    </row>
    <row r="14" ht="19" customHeight="1" s="95">
      <c r="C14" s="79" t="inlineStr">
        <is>
          <t>India</t>
        </is>
      </c>
      <c r="D14" s="11">
        <f>VLOOKUP(C14,$C$32:$M$212,2,FALSE)/$D$29</f>
        <v/>
      </c>
      <c r="E14" s="12" t="n"/>
      <c r="F14" s="12">
        <f>VLOOKUP(C14,'World Production data'!$A$2:$B$115,2,)</f>
        <v/>
      </c>
    </row>
    <row r="15" ht="19" customHeight="1" s="95">
      <c r="C15" s="79" t="inlineStr">
        <is>
          <t>France</t>
        </is>
      </c>
      <c r="D15" s="11">
        <f>VLOOKUP(C15,$C$32:$M$212,2,FALSE)/$D$29</f>
        <v/>
      </c>
      <c r="E15" s="12" t="n">
        <v>23.459</v>
      </c>
      <c r="F15" s="12">
        <f>VLOOKUP(C15,'World Production data'!$A$2:$B$115,2,)</f>
        <v/>
      </c>
    </row>
    <row r="16" ht="19" customHeight="1" s="95">
      <c r="C16" s="79" t="inlineStr">
        <is>
          <t>Brazil</t>
        </is>
      </c>
      <c r="D16" s="11">
        <f>VLOOKUP(C16,$C$32:$M$212,2,FALSE)/$D$29</f>
        <v/>
      </c>
      <c r="E16" s="12" t="n">
        <v>15</v>
      </c>
      <c r="F16" s="12">
        <f>VLOOKUP(C16,'World Production data'!$A$2:$B$115,2,)</f>
        <v/>
      </c>
    </row>
    <row r="17" ht="19" customHeight="1" s="95">
      <c r="C17" s="79" t="inlineStr">
        <is>
          <t>Italy</t>
        </is>
      </c>
      <c r="D17" s="11">
        <f>VLOOKUP(C17,$C$32:$M$212,2,FALSE)/$D$29</f>
        <v/>
      </c>
      <c r="E17" s="12" t="n">
        <v>17.65</v>
      </c>
      <c r="F17" s="12">
        <f>VLOOKUP(C17,'World Production data'!$A$2:$B$115,2,)</f>
        <v/>
      </c>
    </row>
    <row r="18" ht="19" customHeight="1" s="95">
      <c r="C18" s="79" t="inlineStr">
        <is>
          <t>Canada</t>
        </is>
      </c>
      <c r="D18" s="11">
        <f>VLOOKUP(C18,$C$32:$M$212,2,FALSE)/$D$29</f>
        <v/>
      </c>
      <c r="E18" s="12" t="n">
        <v>23.546</v>
      </c>
      <c r="F18" s="12">
        <f>VLOOKUP(C18,'World Production data'!$A$2:$B$115,2,)</f>
        <v/>
      </c>
    </row>
    <row r="19" ht="19" customHeight="1" s="95">
      <c r="C19" s="79" t="inlineStr">
        <is>
          <t>Russia</t>
        </is>
      </c>
      <c r="D19" s="11">
        <f>VLOOKUP(C19,$C$32:$M$212,2,FALSE)/$D$29</f>
        <v/>
      </c>
      <c r="E19" s="12" t="n">
        <v>24.2</v>
      </c>
      <c r="F19" s="12">
        <f>VLOOKUP(C19,'World Production data'!$A$2:$B$115,2,)</f>
        <v/>
      </c>
    </row>
    <row r="20" ht="19" customHeight="1" s="95">
      <c r="C20" s="79" t="inlineStr">
        <is>
          <t>South Korea</t>
        </is>
      </c>
      <c r="D20" s="11">
        <f>VLOOKUP(C20,$C$32:$M$212,2,FALSE)/$D$29</f>
        <v/>
      </c>
      <c r="E20" s="12" t="n">
        <v>31.08</v>
      </c>
      <c r="F20" s="12">
        <f>VLOOKUP(C20,'World Production data'!$A$2:$B$115,2,)</f>
        <v/>
      </c>
    </row>
    <row r="21" ht="19" customHeight="1" s="95">
      <c r="C21" s="79" t="inlineStr">
        <is>
          <t>Australia</t>
        </is>
      </c>
      <c r="D21" s="11">
        <f>VLOOKUP(C21,$C$32:$M$212,2,FALSE)/$D$29</f>
        <v/>
      </c>
      <c r="E21" s="12" t="n">
        <v>24.142</v>
      </c>
      <c r="F21" s="12">
        <f>VLOOKUP(C21,'World Production data'!$A$2:$B$115,2,)</f>
        <v/>
      </c>
    </row>
    <row r="22" ht="19" customHeight="1" s="95">
      <c r="C22" s="79" t="inlineStr">
        <is>
          <t>Spain</t>
        </is>
      </c>
      <c r="D22" s="11">
        <f>VLOOKUP(C22,$C$32:$M$212,2,FALSE)/$D$29</f>
        <v/>
      </c>
      <c r="E22" s="12" t="n">
        <v>21.104</v>
      </c>
      <c r="F22" s="12">
        <f>VLOOKUP(C22,'World Production data'!$A$2:$B$115,2,)</f>
        <v/>
      </c>
    </row>
    <row r="23" ht="19" customHeight="1" s="95">
      <c r="C23" s="79" t="inlineStr">
        <is>
          <t>Mexico</t>
        </is>
      </c>
      <c r="D23" s="11">
        <f>VLOOKUP(C23,$C$32:$M$212,2,FALSE)/$D$29</f>
        <v/>
      </c>
      <c r="E23" s="12" t="n">
        <v>22.957</v>
      </c>
      <c r="F23" s="12">
        <f>VLOOKUP(C23,'World Production data'!$A$2:$B$115,2,)</f>
        <v/>
      </c>
    </row>
    <row r="24" ht="19" customHeight="1" s="95">
      <c r="C24" s="79" t="inlineStr">
        <is>
          <t>Indonesia</t>
        </is>
      </c>
      <c r="D24" s="11">
        <f>VLOOKUP(C24,$C$32:$M$212,2,FALSE)/$D$29</f>
        <v/>
      </c>
      <c r="E24" s="12" t="n">
        <v>33.717</v>
      </c>
      <c r="F24" s="12">
        <f>VLOOKUP(C24,'World Production data'!$A$2:$B$115,2,)</f>
        <v/>
      </c>
    </row>
    <row r="25" ht="19" customHeight="1" s="95">
      <c r="C25" s="79" t="inlineStr">
        <is>
          <t>Turkey</t>
        </is>
      </c>
      <c r="D25" s="11">
        <f>VLOOKUP(C25,$C$32:$M$212,2,FALSE)/$D$29</f>
        <v/>
      </c>
      <c r="E25" s="12" t="n">
        <v>30.97</v>
      </c>
      <c r="F25" s="12">
        <f>VLOOKUP(C25,'World Production data'!$A$2:$B$115,2,)</f>
        <v/>
      </c>
    </row>
    <row r="26" ht="19" customHeight="1" s="95">
      <c r="C26" s="79" t="inlineStr">
        <is>
          <t>Netherlands</t>
        </is>
      </c>
      <c r="D26" s="11">
        <f>VLOOKUP(C26,$C$32:$M$212,2,FALSE)/$D$29</f>
        <v/>
      </c>
      <c r="E26" s="12" t="n">
        <v>20.671</v>
      </c>
      <c r="F26" s="12">
        <f>VLOOKUP(C26,'World Production data'!$A$2:$B$115,2,)</f>
        <v/>
      </c>
    </row>
    <row r="28">
      <c r="D28" s="118">
        <f>SUM(D32:D212)</f>
        <v/>
      </c>
      <c r="E28" s="91" t="n"/>
      <c r="F28" s="91" t="n"/>
    </row>
    <row r="29">
      <c r="C29" s="70" t="inlineStr">
        <is>
          <t>World GDP</t>
        </is>
      </c>
      <c r="D29" s="100">
        <f>D28-VLOOKUP("Euro Area",C32:D212,2,)</f>
        <v/>
      </c>
    </row>
    <row r="30">
      <c r="C30" s="117" t="n"/>
      <c r="D30" s="118" t="inlineStr">
        <is>
          <t>GDP</t>
        </is>
      </c>
      <c r="E30" s="116" t="n"/>
      <c r="F30" s="116" t="n"/>
      <c r="G30" s="100" t="n"/>
      <c r="H30" s="100" t="n"/>
      <c r="I30" s="100" t="n"/>
      <c r="J30" s="100" t="n"/>
      <c r="K30" s="100" t="n"/>
      <c r="L30" s="100" t="n"/>
      <c r="M30" s="100" t="n"/>
    </row>
    <row r="31"/>
    <row r="32">
      <c r="C32" t="inlineStr">
        <is>
          <t>United States</t>
        </is>
      </c>
      <c r="D32" t="n">
        <v>20937</v>
      </c>
    </row>
    <row r="33">
      <c r="C33" t="inlineStr">
        <is>
          <t>China</t>
        </is>
      </c>
      <c r="D33" t="n">
        <v>14723</v>
      </c>
    </row>
    <row r="34">
      <c r="C34" t="inlineStr">
        <is>
          <t>Euro Area</t>
        </is>
      </c>
      <c r="D34" t="n">
        <v>12933</v>
      </c>
    </row>
    <row r="35">
      <c r="C35" t="inlineStr">
        <is>
          <t>Japan</t>
        </is>
      </c>
      <c r="D35" t="n">
        <v>5065</v>
      </c>
    </row>
    <row r="36">
      <c r="C36" t="inlineStr">
        <is>
          <t>Germany</t>
        </is>
      </c>
      <c r="D36" t="n">
        <v>3806</v>
      </c>
    </row>
    <row r="37">
      <c r="C37" t="inlineStr">
        <is>
          <t>United Kingdom</t>
        </is>
      </c>
      <c r="D37" t="n">
        <v>2708</v>
      </c>
    </row>
    <row r="38">
      <c r="C38" t="inlineStr">
        <is>
          <t>India</t>
        </is>
      </c>
      <c r="D38" t="n">
        <v>2623</v>
      </c>
    </row>
    <row r="39">
      <c r="C39" t="inlineStr">
        <is>
          <t>France</t>
        </is>
      </c>
      <c r="D39" t="n">
        <v>2603</v>
      </c>
    </row>
    <row r="40">
      <c r="C40" t="inlineStr">
        <is>
          <t>Italy</t>
        </is>
      </c>
      <c r="D40" t="n">
        <v>1886</v>
      </c>
    </row>
    <row r="41">
      <c r="C41" t="inlineStr">
        <is>
          <t>Canada</t>
        </is>
      </c>
      <c r="D41" t="n">
        <v>1643</v>
      </c>
    </row>
    <row r="42">
      <c r="C42" t="inlineStr">
        <is>
          <t>South Korea</t>
        </is>
      </c>
      <c r="D42" t="n">
        <v>1631</v>
      </c>
    </row>
    <row r="43">
      <c r="C43" t="inlineStr">
        <is>
          <t>Russia</t>
        </is>
      </c>
      <c r="D43" t="n">
        <v>1484</v>
      </c>
    </row>
    <row r="44">
      <c r="C44" t="inlineStr">
        <is>
          <t>Brazil</t>
        </is>
      </c>
      <c r="D44" t="n">
        <v>1445</v>
      </c>
    </row>
    <row r="45">
      <c r="C45" t="inlineStr">
        <is>
          <t>Australia</t>
        </is>
      </c>
      <c r="D45" t="n">
        <v>1331</v>
      </c>
    </row>
    <row r="46">
      <c r="C46" t="inlineStr">
        <is>
          <t>Spain</t>
        </is>
      </c>
      <c r="D46" t="n">
        <v>1281</v>
      </c>
    </row>
    <row r="47">
      <c r="C47" t="inlineStr">
        <is>
          <t>Mexico</t>
        </is>
      </c>
      <c r="D47" t="n">
        <v>1076</v>
      </c>
    </row>
    <row r="48">
      <c r="C48" t="inlineStr">
        <is>
          <t>Indonesia</t>
        </is>
      </c>
      <c r="D48" t="n">
        <v>1058</v>
      </c>
    </row>
    <row r="49">
      <c r="C49" t="inlineStr">
        <is>
          <t>Netherlands</t>
        </is>
      </c>
      <c r="D49" t="n">
        <v>912</v>
      </c>
    </row>
    <row r="50">
      <c r="C50" t="inlineStr">
        <is>
          <t>Switzerland</t>
        </is>
      </c>
      <c r="D50" t="n">
        <v>748</v>
      </c>
    </row>
    <row r="51">
      <c r="C51" t="inlineStr">
        <is>
          <t>Turkey</t>
        </is>
      </c>
      <c r="D51" t="n">
        <v>720</v>
      </c>
    </row>
    <row r="52">
      <c r="C52" t="inlineStr">
        <is>
          <t>Saudi Arabia</t>
        </is>
      </c>
      <c r="D52" t="n">
        <v>700</v>
      </c>
    </row>
    <row r="53">
      <c r="C53" t="inlineStr">
        <is>
          <t>Taiwan</t>
        </is>
      </c>
      <c r="D53" t="n">
        <v>611</v>
      </c>
    </row>
    <row r="54">
      <c r="C54" t="inlineStr">
        <is>
          <t>Poland</t>
        </is>
      </c>
      <c r="D54" t="n">
        <v>594</v>
      </c>
    </row>
    <row r="55">
      <c r="C55" t="inlineStr">
        <is>
          <t>Sweden</t>
        </is>
      </c>
      <c r="D55" t="n">
        <v>538</v>
      </c>
    </row>
    <row r="56">
      <c r="C56" t="inlineStr">
        <is>
          <t>Belgium</t>
        </is>
      </c>
      <c r="D56" t="n">
        <v>515</v>
      </c>
    </row>
    <row r="57">
      <c r="C57" t="inlineStr">
        <is>
          <t>Thailand</t>
        </is>
      </c>
      <c r="D57" t="n">
        <v>502</v>
      </c>
    </row>
    <row r="58">
      <c r="C58" t="inlineStr">
        <is>
          <t>Venezuela</t>
        </is>
      </c>
      <c r="D58" t="n">
        <v>482</v>
      </c>
    </row>
    <row r="59">
      <c r="C59" t="inlineStr">
        <is>
          <t>Nigeria</t>
        </is>
      </c>
      <c r="D59" t="n">
        <v>432</v>
      </c>
    </row>
    <row r="60">
      <c r="C60" t="inlineStr">
        <is>
          <t>Austria</t>
        </is>
      </c>
      <c r="D60" t="n">
        <v>429</v>
      </c>
    </row>
    <row r="61">
      <c r="C61" t="inlineStr">
        <is>
          <t>United Arab Emirates</t>
        </is>
      </c>
      <c r="D61" t="n">
        <v>421</v>
      </c>
    </row>
    <row r="62">
      <c r="C62" t="inlineStr">
        <is>
          <t>Ireland</t>
        </is>
      </c>
      <c r="D62" t="n">
        <v>419</v>
      </c>
    </row>
    <row r="63">
      <c r="C63" t="inlineStr">
        <is>
          <t>Israel</t>
        </is>
      </c>
      <c r="D63" t="n">
        <v>402</v>
      </c>
    </row>
    <row r="64">
      <c r="C64" t="inlineStr">
        <is>
          <t>Argentina</t>
        </is>
      </c>
      <c r="D64" t="n">
        <v>383</v>
      </c>
    </row>
    <row r="65">
      <c r="C65" t="inlineStr">
        <is>
          <t>Egypt</t>
        </is>
      </c>
      <c r="D65" t="n">
        <v>363</v>
      </c>
    </row>
    <row r="66">
      <c r="C66" t="inlineStr">
        <is>
          <t>Norway</t>
        </is>
      </c>
      <c r="D66" t="n">
        <v>362</v>
      </c>
    </row>
    <row r="67">
      <c r="C67" t="inlineStr">
        <is>
          <t>Philippines</t>
        </is>
      </c>
      <c r="D67" t="n">
        <v>361</v>
      </c>
    </row>
    <row r="68">
      <c r="C68" t="inlineStr">
        <is>
          <t>Denmark</t>
        </is>
      </c>
      <c r="D68" t="n">
        <v>352</v>
      </c>
    </row>
    <row r="69">
      <c r="C69" t="inlineStr">
        <is>
          <t>Hong Kong</t>
        </is>
      </c>
      <c r="D69" t="n">
        <v>347</v>
      </c>
    </row>
    <row r="70">
      <c r="C70" t="inlineStr">
        <is>
          <t>Singapore</t>
        </is>
      </c>
      <c r="D70" t="n">
        <v>340</v>
      </c>
    </row>
    <row r="71">
      <c r="C71" t="inlineStr">
        <is>
          <t>Malaysia</t>
        </is>
      </c>
      <c r="D71" t="n">
        <v>337</v>
      </c>
    </row>
    <row r="72">
      <c r="C72" t="inlineStr">
        <is>
          <t>Bangladesh</t>
        </is>
      </c>
      <c r="D72" t="n">
        <v>324</v>
      </c>
    </row>
    <row r="73">
      <c r="C73" t="inlineStr">
        <is>
          <t>South Africa</t>
        </is>
      </c>
      <c r="D73" t="n">
        <v>302</v>
      </c>
    </row>
    <row r="74">
      <c r="C74" t="inlineStr">
        <is>
          <t>Vietnam</t>
        </is>
      </c>
      <c r="D74" t="n">
        <v>271</v>
      </c>
    </row>
    <row r="75">
      <c r="C75" t="inlineStr">
        <is>
          <t>Colombia</t>
        </is>
      </c>
      <c r="D75" t="n">
        <v>271</v>
      </c>
    </row>
    <row r="76">
      <c r="C76" t="inlineStr">
        <is>
          <t>Finland</t>
        </is>
      </c>
      <c r="D76" t="n">
        <v>271</v>
      </c>
    </row>
    <row r="77">
      <c r="C77" t="inlineStr">
        <is>
          <t>Pakistan</t>
        </is>
      </c>
      <c r="D77" t="n">
        <v>264</v>
      </c>
    </row>
    <row r="78">
      <c r="C78" t="inlineStr">
        <is>
          <t>Chile</t>
        </is>
      </c>
      <c r="D78" t="n">
        <v>253</v>
      </c>
    </row>
    <row r="79">
      <c r="C79" t="inlineStr">
        <is>
          <t>Romania</t>
        </is>
      </c>
      <c r="D79" t="n">
        <v>249</v>
      </c>
    </row>
    <row r="80">
      <c r="C80" t="inlineStr">
        <is>
          <t>Czech Republic</t>
        </is>
      </c>
      <c r="D80" t="n">
        <v>244</v>
      </c>
    </row>
    <row r="81">
      <c r="C81" t="inlineStr">
        <is>
          <t>Portugal</t>
        </is>
      </c>
      <c r="D81" t="n">
        <v>231</v>
      </c>
    </row>
    <row r="82">
      <c r="C82" t="inlineStr">
        <is>
          <t>New Zealand</t>
        </is>
      </c>
      <c r="D82" t="n">
        <v>212</v>
      </c>
    </row>
    <row r="83">
      <c r="C83" t="inlineStr">
        <is>
          <t>Peru</t>
        </is>
      </c>
      <c r="D83" t="n">
        <v>202</v>
      </c>
    </row>
    <row r="84">
      <c r="C84" t="inlineStr">
        <is>
          <t>Iran</t>
        </is>
      </c>
      <c r="D84" t="n">
        <v>192</v>
      </c>
    </row>
    <row r="85">
      <c r="C85" t="inlineStr">
        <is>
          <t>Greece</t>
        </is>
      </c>
      <c r="D85" t="n">
        <v>189</v>
      </c>
    </row>
    <row r="86">
      <c r="C86" t="inlineStr">
        <is>
          <t>Kazakhstan</t>
        </is>
      </c>
      <c r="D86" t="n">
        <v>170</v>
      </c>
    </row>
    <row r="87">
      <c r="C87" t="inlineStr">
        <is>
          <t>Iraq</t>
        </is>
      </c>
      <c r="D87" t="n">
        <v>167</v>
      </c>
    </row>
    <row r="88">
      <c r="C88" t="inlineStr">
        <is>
          <t>Ukraine</t>
        </is>
      </c>
      <c r="D88" t="n">
        <v>156</v>
      </c>
    </row>
    <row r="89">
      <c r="C89" t="inlineStr">
        <is>
          <t>Hungary</t>
        </is>
      </c>
      <c r="D89" t="n">
        <v>155</v>
      </c>
    </row>
    <row r="90">
      <c r="C90" t="inlineStr">
        <is>
          <t>Qatar</t>
        </is>
      </c>
      <c r="D90" t="n">
        <v>146</v>
      </c>
    </row>
    <row r="91">
      <c r="C91" t="inlineStr">
        <is>
          <t>Algeria</t>
        </is>
      </c>
      <c r="D91" t="n">
        <v>145</v>
      </c>
    </row>
    <row r="92">
      <c r="C92" t="inlineStr">
        <is>
          <t>Kuwait</t>
        </is>
      </c>
      <c r="D92" t="n">
        <v>136</v>
      </c>
      <c r="F92" s="92" t="n"/>
    </row>
    <row r="93">
      <c r="C93" t="inlineStr">
        <is>
          <t>Morocco</t>
        </is>
      </c>
      <c r="D93" t="n">
        <v>113</v>
      </c>
    </row>
    <row r="94">
      <c r="C94" t="inlineStr">
        <is>
          <t>Ethiopia</t>
        </is>
      </c>
      <c r="D94" t="n">
        <v>108</v>
      </c>
      <c r="F94" s="93" t="n"/>
    </row>
    <row r="95">
      <c r="C95" t="inlineStr">
        <is>
          <t>Slovakia</t>
        </is>
      </c>
      <c r="D95" t="n">
        <v>105</v>
      </c>
    </row>
    <row r="96">
      <c r="C96" t="inlineStr">
        <is>
          <t>Cuba</t>
        </is>
      </c>
      <c r="D96" t="n">
        <v>103</v>
      </c>
      <c r="F96" s="93" t="n"/>
    </row>
    <row r="97">
      <c r="C97" t="inlineStr">
        <is>
          <t>Puerto Rico</t>
        </is>
      </c>
      <c r="D97" t="n">
        <v>103</v>
      </c>
      <c r="F97" s="93" t="n"/>
      <c r="G97" s="93" t="n"/>
      <c r="J97" s="93" t="n"/>
      <c r="K97" s="93" t="n"/>
      <c r="L97" s="93" t="n"/>
    </row>
    <row r="98">
      <c r="C98" t="inlineStr">
        <is>
          <t>Kenya</t>
        </is>
      </c>
      <c r="D98" t="n">
        <v>99</v>
      </c>
    </row>
    <row r="99">
      <c r="C99" t="inlineStr">
        <is>
          <t>Ecuador</t>
        </is>
      </c>
      <c r="D99" t="n">
        <v>99</v>
      </c>
    </row>
    <row r="100">
      <c r="C100" t="inlineStr">
        <is>
          <t>Sri Lanka</t>
        </is>
      </c>
      <c r="D100" t="n">
        <v>81</v>
      </c>
    </row>
    <row r="101">
      <c r="C101" t="inlineStr">
        <is>
          <t>Dominican Republic</t>
        </is>
      </c>
      <c r="D101" t="n">
        <v>79</v>
      </c>
      <c r="F101" s="92" t="n"/>
    </row>
    <row r="102">
      <c r="C102" t="inlineStr">
        <is>
          <t>Guatemala</t>
        </is>
      </c>
      <c r="D102" t="n">
        <v>78</v>
      </c>
    </row>
    <row r="103">
      <c r="C103" t="inlineStr">
        <is>
          <t>Myanmar</t>
        </is>
      </c>
      <c r="D103" t="n">
        <v>76</v>
      </c>
      <c r="F103" s="93" t="n"/>
    </row>
    <row r="104">
      <c r="C104" t="inlineStr">
        <is>
          <t>Oman</t>
        </is>
      </c>
      <c r="D104" t="n">
        <v>76</v>
      </c>
      <c r="F104" s="93" t="n"/>
    </row>
    <row r="105">
      <c r="C105" t="inlineStr">
        <is>
          <t>Luxembourg</t>
        </is>
      </c>
      <c r="D105" t="n">
        <v>73</v>
      </c>
    </row>
    <row r="106">
      <c r="C106" t="inlineStr">
        <is>
          <t>Ghana</t>
        </is>
      </c>
      <c r="D106" t="n">
        <v>72</v>
      </c>
    </row>
    <row r="107">
      <c r="C107" t="inlineStr">
        <is>
          <t>Bulgaria</t>
        </is>
      </c>
      <c r="D107" t="n">
        <v>69</v>
      </c>
    </row>
    <row r="108">
      <c r="C108" t="inlineStr">
        <is>
          <t>Syria</t>
        </is>
      </c>
      <c r="D108" t="n">
        <v>65</v>
      </c>
      <c r="F108" s="93" t="n"/>
      <c r="G108" s="93" t="n"/>
    </row>
    <row r="109">
      <c r="C109" t="inlineStr">
        <is>
          <t>Tanzania</t>
        </is>
      </c>
      <c r="D109" t="n">
        <v>62</v>
      </c>
    </row>
    <row r="110">
      <c r="C110" t="inlineStr">
        <is>
          <t>Angola</t>
        </is>
      </c>
      <c r="D110" t="n">
        <v>62</v>
      </c>
    </row>
    <row r="111">
      <c r="C111" t="inlineStr">
        <is>
          <t>Costa Rica</t>
        </is>
      </c>
      <c r="D111" t="n">
        <v>62</v>
      </c>
      <c r="F111" s="92" t="n"/>
    </row>
    <row r="112">
      <c r="C112" t="inlineStr">
        <is>
          <t>Ivory Coast</t>
        </is>
      </c>
      <c r="D112" t="n">
        <v>61</v>
      </c>
      <c r="F112" s="93" t="n"/>
    </row>
    <row r="113">
      <c r="C113" t="inlineStr">
        <is>
          <t>Belarus</t>
        </is>
      </c>
      <c r="D113" t="n">
        <v>60</v>
      </c>
      <c r="F113" s="93" t="n"/>
    </row>
    <row r="114">
      <c r="C114" t="inlineStr">
        <is>
          <t>Uzbekistan</t>
        </is>
      </c>
      <c r="D114" t="n">
        <v>58</v>
      </c>
    </row>
    <row r="115">
      <c r="C115" t="inlineStr">
        <is>
          <t>Croatia</t>
        </is>
      </c>
      <c r="D115" t="n">
        <v>56</v>
      </c>
    </row>
    <row r="116">
      <c r="C116" t="inlineStr">
        <is>
          <t>Lithuania</t>
        </is>
      </c>
      <c r="D116" t="n">
        <v>56</v>
      </c>
    </row>
    <row r="117">
      <c r="C117" t="inlineStr">
        <is>
          <t>Macau</t>
        </is>
      </c>
      <c r="D117" t="n">
        <v>55</v>
      </c>
    </row>
    <row r="118">
      <c r="C118" t="inlineStr">
        <is>
          <t>Uruguay</t>
        </is>
      </c>
      <c r="D118" t="n">
        <v>54</v>
      </c>
    </row>
    <row r="119">
      <c r="C119" t="inlineStr">
        <is>
          <t>Slovenia</t>
        </is>
      </c>
      <c r="D119" t="n">
        <v>53</v>
      </c>
    </row>
    <row r="120">
      <c r="C120" t="inlineStr">
        <is>
          <t>Panama</t>
        </is>
      </c>
      <c r="D120" t="n">
        <v>53</v>
      </c>
      <c r="F120" s="93" t="n"/>
    </row>
    <row r="121">
      <c r="C121" t="inlineStr">
        <is>
          <t>Serbia</t>
        </is>
      </c>
      <c r="D121" t="n">
        <v>53</v>
      </c>
    </row>
    <row r="122">
      <c r="C122" t="inlineStr">
        <is>
          <t>Congo</t>
        </is>
      </c>
      <c r="D122" t="n">
        <v>50</v>
      </c>
    </row>
    <row r="123">
      <c r="C123" t="inlineStr">
        <is>
          <t>Turkmenistan</t>
        </is>
      </c>
      <c r="D123" t="n">
        <v>45</v>
      </c>
      <c r="F123" s="93" t="n"/>
      <c r="G123" s="93" t="n"/>
    </row>
    <row r="124">
      <c r="C124" t="inlineStr">
        <is>
          <t>Jordan</t>
        </is>
      </c>
      <c r="D124" t="n">
        <v>44</v>
      </c>
      <c r="F124" s="93" t="n"/>
    </row>
    <row r="125">
      <c r="C125" t="inlineStr">
        <is>
          <t>Azerbaijan</t>
        </is>
      </c>
      <c r="D125" t="n">
        <v>43</v>
      </c>
    </row>
    <row r="126">
      <c r="C126" t="inlineStr">
        <is>
          <t>Cameroon</t>
        </is>
      </c>
      <c r="D126" t="n">
        <v>40</v>
      </c>
      <c r="F126" s="92" t="n"/>
    </row>
    <row r="127">
      <c r="C127" t="inlineStr">
        <is>
          <t>Tunisia</t>
        </is>
      </c>
      <c r="D127" t="n">
        <v>39</v>
      </c>
    </row>
    <row r="128">
      <c r="C128" t="inlineStr">
        <is>
          <t>Bahrain</t>
        </is>
      </c>
      <c r="D128" t="n">
        <v>38</v>
      </c>
    </row>
    <row r="129">
      <c r="C129" t="inlineStr">
        <is>
          <t>Bolivia</t>
        </is>
      </c>
      <c r="D129" t="n">
        <v>37</v>
      </c>
    </row>
    <row r="130">
      <c r="C130" t="inlineStr">
        <is>
          <t>Uganda</t>
        </is>
      </c>
      <c r="D130" t="n">
        <v>37</v>
      </c>
    </row>
    <row r="131">
      <c r="C131" t="inlineStr">
        <is>
          <t>Paraguay</t>
        </is>
      </c>
      <c r="D131" t="n">
        <v>35</v>
      </c>
    </row>
    <row r="132">
      <c r="C132" t="inlineStr">
        <is>
          <t>Nepal</t>
        </is>
      </c>
      <c r="D132" t="n">
        <v>34</v>
      </c>
      <c r="F132" s="93" t="n"/>
    </row>
    <row r="133">
      <c r="C133" t="inlineStr">
        <is>
          <t>Latvia</t>
        </is>
      </c>
      <c r="D133" t="n">
        <v>34</v>
      </c>
    </row>
    <row r="134">
      <c r="C134" t="inlineStr">
        <is>
          <t>Lebanon</t>
        </is>
      </c>
      <c r="D134" t="n">
        <v>33</v>
      </c>
      <c r="F134" s="93" t="n"/>
    </row>
    <row r="135">
      <c r="C135" t="inlineStr">
        <is>
          <t>Estonia</t>
        </is>
      </c>
      <c r="D135" t="n">
        <v>31</v>
      </c>
    </row>
    <row r="136">
      <c r="C136" t="inlineStr">
        <is>
          <t>Sudan</t>
        </is>
      </c>
      <c r="D136" t="n">
        <v>26</v>
      </c>
    </row>
    <row r="137">
      <c r="C137" t="inlineStr">
        <is>
          <t>El Salvador</t>
        </is>
      </c>
      <c r="D137" t="n">
        <v>25</v>
      </c>
    </row>
    <row r="138">
      <c r="C138" t="inlineStr">
        <is>
          <t>Cambodia</t>
        </is>
      </c>
      <c r="D138" t="n">
        <v>25</v>
      </c>
    </row>
    <row r="139">
      <c r="C139" t="inlineStr">
        <is>
          <t>Libya</t>
        </is>
      </c>
      <c r="D139" t="n">
        <v>25</v>
      </c>
      <c r="F139" s="93" t="n"/>
    </row>
    <row r="140">
      <c r="C140" t="inlineStr">
        <is>
          <t>Senegal</t>
        </is>
      </c>
      <c r="D140" t="n">
        <v>25</v>
      </c>
    </row>
    <row r="141">
      <c r="C141" t="inlineStr">
        <is>
          <t>Papua New Guinea</t>
        </is>
      </c>
      <c r="D141" t="n">
        <v>24</v>
      </c>
      <c r="F141" s="93" t="n"/>
    </row>
    <row r="142">
      <c r="C142" t="inlineStr">
        <is>
          <t>Honduras</t>
        </is>
      </c>
      <c r="D142" t="n">
        <v>24</v>
      </c>
    </row>
    <row r="143">
      <c r="C143" t="inlineStr">
        <is>
          <t>Cyprus</t>
        </is>
      </c>
      <c r="D143" t="n">
        <v>24</v>
      </c>
    </row>
    <row r="144">
      <c r="C144" t="inlineStr">
        <is>
          <t>Yemen</t>
        </is>
      </c>
      <c r="D144" t="n">
        <v>23</v>
      </c>
      <c r="F144" s="93" t="n"/>
    </row>
    <row r="145">
      <c r="C145" t="inlineStr">
        <is>
          <t>Trinidad and Tobago</t>
        </is>
      </c>
      <c r="D145" t="n">
        <v>22</v>
      </c>
      <c r="F145" s="92" t="n"/>
    </row>
    <row r="146">
      <c r="C146" t="inlineStr">
        <is>
          <t>Iceland</t>
        </is>
      </c>
      <c r="D146" t="n">
        <v>22</v>
      </c>
    </row>
    <row r="147">
      <c r="C147" t="inlineStr">
        <is>
          <t>Bosnia and Herzegovina</t>
        </is>
      </c>
      <c r="D147" t="n">
        <v>20</v>
      </c>
      <c r="F147" s="92" t="n"/>
    </row>
    <row r="148">
      <c r="C148" t="inlineStr">
        <is>
          <t>Afghanistan</t>
        </is>
      </c>
      <c r="D148" t="n">
        <v>20</v>
      </c>
      <c r="F148" s="93" t="n"/>
    </row>
    <row r="149">
      <c r="C149" t="inlineStr">
        <is>
          <t>Laos</t>
        </is>
      </c>
      <c r="D149" t="n">
        <v>19</v>
      </c>
      <c r="F149" s="93" t="n"/>
    </row>
    <row r="150">
      <c r="C150" t="inlineStr">
        <is>
          <t>Zambia</t>
        </is>
      </c>
      <c r="D150" t="n">
        <v>19</v>
      </c>
      <c r="F150" s="93" t="n"/>
    </row>
    <row r="151">
      <c r="C151" t="inlineStr">
        <is>
          <t>Zimbabwe</t>
        </is>
      </c>
      <c r="D151" t="n">
        <v>17</v>
      </c>
      <c r="F151" s="93" t="n"/>
    </row>
    <row r="152">
      <c r="C152" t="inlineStr">
        <is>
          <t>Mali</t>
        </is>
      </c>
      <c r="D152" t="n">
        <v>17</v>
      </c>
      <c r="F152" s="93" t="n"/>
      <c r="K152" s="93" t="n"/>
    </row>
    <row r="153">
      <c r="C153" t="inlineStr">
        <is>
          <t>Burkina Faso</t>
        </is>
      </c>
      <c r="D153" t="n">
        <v>17</v>
      </c>
      <c r="F153" s="93" t="n"/>
    </row>
    <row r="154">
      <c r="C154" t="inlineStr">
        <is>
          <t>Botswana</t>
        </is>
      </c>
      <c r="D154" t="n">
        <v>16</v>
      </c>
    </row>
    <row r="155">
      <c r="C155" t="inlineStr">
        <is>
          <t>Benin</t>
        </is>
      </c>
      <c r="D155" t="n">
        <v>16</v>
      </c>
      <c r="F155" s="93" t="n"/>
    </row>
    <row r="156">
      <c r="C156" t="inlineStr">
        <is>
          <t>Guinea</t>
        </is>
      </c>
      <c r="D156" t="n">
        <v>16</v>
      </c>
      <c r="F156" s="93" t="n"/>
    </row>
    <row r="157">
      <c r="C157" t="inlineStr">
        <is>
          <t>Georgia</t>
        </is>
      </c>
      <c r="D157" t="n">
        <v>16</v>
      </c>
      <c r="F157" s="93" t="n"/>
    </row>
    <row r="158">
      <c r="C158" t="inlineStr">
        <is>
          <t>Gabon</t>
        </is>
      </c>
      <c r="D158" t="n">
        <v>16</v>
      </c>
    </row>
    <row r="159">
      <c r="C159" t="inlineStr">
        <is>
          <t>Palestine</t>
        </is>
      </c>
      <c r="D159" t="n">
        <v>16</v>
      </c>
      <c r="F159" s="93" t="n"/>
      <c r="G159" s="93" t="n"/>
    </row>
    <row r="160">
      <c r="C160" t="inlineStr">
        <is>
          <t>Malta</t>
        </is>
      </c>
      <c r="D160" t="n">
        <v>15</v>
      </c>
    </row>
    <row r="161">
      <c r="C161" t="inlineStr">
        <is>
          <t>Albania</t>
        </is>
      </c>
      <c r="D161" t="n">
        <v>15</v>
      </c>
    </row>
    <row r="162">
      <c r="C162" t="inlineStr">
        <is>
          <t>Madagascar</t>
        </is>
      </c>
      <c r="D162" t="n">
        <v>14</v>
      </c>
      <c r="F162" s="93" t="n"/>
    </row>
    <row r="163">
      <c r="C163" t="inlineStr">
        <is>
          <t>Jamaica</t>
        </is>
      </c>
      <c r="D163" t="n">
        <v>14</v>
      </c>
    </row>
    <row r="164">
      <c r="C164" t="inlineStr">
        <is>
          <t>Mozambique</t>
        </is>
      </c>
      <c r="D164" t="n">
        <v>14</v>
      </c>
    </row>
    <row r="165">
      <c r="C165" t="inlineStr">
        <is>
          <t>Niger</t>
        </is>
      </c>
      <c r="D165" t="n">
        <v>14</v>
      </c>
    </row>
    <row r="166">
      <c r="C166" t="inlineStr">
        <is>
          <t>Mongolia</t>
        </is>
      </c>
      <c r="D166" t="n">
        <v>13</v>
      </c>
    </row>
    <row r="167">
      <c r="C167" t="inlineStr">
        <is>
          <t>Nicaragua</t>
        </is>
      </c>
      <c r="D167" t="n">
        <v>13</v>
      </c>
      <c r="F167" s="93" t="n"/>
      <c r="G167" s="92" t="n"/>
    </row>
    <row r="168">
      <c r="C168" t="inlineStr">
        <is>
          <t>Armenia</t>
        </is>
      </c>
      <c r="D168" t="n">
        <v>13</v>
      </c>
    </row>
    <row r="169">
      <c r="C169" t="inlineStr">
        <is>
          <t>Haiti</t>
        </is>
      </c>
      <c r="D169" t="n">
        <v>13</v>
      </c>
      <c r="F169" s="93" t="n"/>
    </row>
    <row r="170">
      <c r="C170" t="inlineStr">
        <is>
          <t>Brunei</t>
        </is>
      </c>
      <c r="D170" t="n">
        <v>12</v>
      </c>
      <c r="F170" s="93" t="n"/>
    </row>
    <row r="171">
      <c r="C171" t="inlineStr">
        <is>
          <t>Malawi</t>
        </is>
      </c>
      <c r="D171" t="n">
        <v>12</v>
      </c>
    </row>
    <row r="172">
      <c r="C172" t="inlineStr">
        <is>
          <t>Moldova</t>
        </is>
      </c>
      <c r="D172" t="n">
        <v>12</v>
      </c>
    </row>
    <row r="173">
      <c r="C173" t="inlineStr">
        <is>
          <t>Macedonia</t>
        </is>
      </c>
      <c r="D173" t="n">
        <v>12</v>
      </c>
    </row>
    <row r="174">
      <c r="C174" t="inlineStr">
        <is>
          <t>Mauritius</t>
        </is>
      </c>
      <c r="D174" t="n">
        <v>11</v>
      </c>
    </row>
    <row r="175">
      <c r="C175" t="inlineStr">
        <is>
          <t>Namibia</t>
        </is>
      </c>
      <c r="D175" t="n">
        <v>11</v>
      </c>
    </row>
    <row r="176">
      <c r="C176" t="inlineStr">
        <is>
          <t>Republic of the Congo</t>
        </is>
      </c>
      <c r="D176" t="n">
        <v>11</v>
      </c>
      <c r="F176" s="93" t="n"/>
    </row>
    <row r="177">
      <c r="C177" t="inlineStr">
        <is>
          <t>Bahamas</t>
        </is>
      </c>
      <c r="D177" t="n">
        <v>11</v>
      </c>
      <c r="F177" s="93" t="n"/>
    </row>
    <row r="178">
      <c r="C178" t="inlineStr">
        <is>
          <t>Chad</t>
        </is>
      </c>
      <c r="D178" t="n">
        <v>10</v>
      </c>
      <c r="F178" s="93" t="n"/>
    </row>
    <row r="179">
      <c r="C179" t="inlineStr">
        <is>
          <t>Equatorial Guinea</t>
        </is>
      </c>
      <c r="D179" t="n">
        <v>10</v>
      </c>
      <c r="F179" s="93" t="n"/>
    </row>
    <row r="180">
      <c r="C180" t="inlineStr">
        <is>
          <t>Rwanda</t>
        </is>
      </c>
      <c r="D180" t="n">
        <v>10</v>
      </c>
    </row>
    <row r="181">
      <c r="C181" t="inlineStr">
        <is>
          <t>New Caledonia</t>
        </is>
      </c>
      <c r="D181" t="n">
        <v>10</v>
      </c>
      <c r="E181" s="92" t="n"/>
      <c r="F181" s="93" t="n"/>
      <c r="J181" s="93" t="n"/>
      <c r="K181" s="93" t="n"/>
      <c r="L181" s="93" t="n"/>
    </row>
    <row r="182">
      <c r="C182" t="inlineStr">
        <is>
          <t>Mauritania</t>
        </is>
      </c>
      <c r="D182" t="n">
        <v>8</v>
      </c>
      <c r="F182" s="93" t="n"/>
    </row>
    <row r="183">
      <c r="C183" t="inlineStr">
        <is>
          <t>Kyrgyzstan</t>
        </is>
      </c>
      <c r="D183" t="n">
        <v>8</v>
      </c>
      <c r="F183" s="93" t="n"/>
    </row>
    <row r="184">
      <c r="C184" t="inlineStr">
        <is>
          <t>Kosovo</t>
        </is>
      </c>
      <c r="D184" t="n">
        <v>8</v>
      </c>
      <c r="F184" s="93" t="n"/>
      <c r="G184" s="93" t="n"/>
      <c r="K184" s="92" t="n"/>
    </row>
    <row r="185">
      <c r="C185" t="inlineStr">
        <is>
          <t>Togo</t>
        </is>
      </c>
      <c r="D185" t="n">
        <v>8</v>
      </c>
      <c r="F185" s="93" t="n"/>
    </row>
    <row r="186">
      <c r="C186" t="inlineStr">
        <is>
          <t>Tajikistan</t>
        </is>
      </c>
      <c r="D186" t="n">
        <v>8</v>
      </c>
      <c r="F186" s="93" t="n"/>
    </row>
    <row r="187">
      <c r="C187" t="inlineStr">
        <is>
          <t>Monaco</t>
        </is>
      </c>
      <c r="D187" t="n">
        <v>7</v>
      </c>
      <c r="F187" s="93" t="n"/>
      <c r="G187" s="93" t="n"/>
      <c r="H187" s="93" t="n"/>
      <c r="I187" s="93" t="n"/>
      <c r="J187" s="93" t="n"/>
      <c r="K187" s="93" t="n"/>
      <c r="L187" s="93" t="n"/>
    </row>
    <row r="188">
      <c r="C188" t="inlineStr">
        <is>
          <t>Liechtenstein</t>
        </is>
      </c>
      <c r="D188" t="n">
        <v>7</v>
      </c>
      <c r="F188" s="93" t="n"/>
      <c r="G188" s="93" t="n"/>
      <c r="I188" s="92" t="n"/>
      <c r="J188" s="93" t="n"/>
      <c r="K188" s="93" t="n"/>
      <c r="L188" s="93" t="n"/>
    </row>
    <row r="189">
      <c r="C189" t="inlineStr">
        <is>
          <t>Eritrea</t>
        </is>
      </c>
      <c r="D189" t="n">
        <v>7</v>
      </c>
      <c r="F189" s="93" t="n"/>
      <c r="G189" s="93" t="n"/>
    </row>
    <row r="190">
      <c r="C190" t="inlineStr">
        <is>
          <t>Cayman Islands</t>
        </is>
      </c>
      <c r="D190" t="n">
        <v>6</v>
      </c>
      <c r="F190" s="93" t="n"/>
      <c r="G190" s="93" t="n"/>
    </row>
    <row r="191">
      <c r="C191" t="inlineStr">
        <is>
          <t>Guyana</t>
        </is>
      </c>
      <c r="D191" t="n">
        <v>5</v>
      </c>
      <c r="F191" s="93" t="n"/>
      <c r="J191" s="92" t="n"/>
      <c r="K191" s="92" t="n"/>
    </row>
    <row r="192">
      <c r="C192" t="inlineStr">
        <is>
          <t>Montenegro</t>
        </is>
      </c>
      <c r="D192" t="n">
        <v>5</v>
      </c>
      <c r="F192" s="93" t="n"/>
      <c r="G192" s="93" t="n"/>
    </row>
    <row r="193">
      <c r="C193" t="inlineStr">
        <is>
          <t>Somalia</t>
        </is>
      </c>
      <c r="D193" t="n">
        <v>5</v>
      </c>
      <c r="F193" s="93" t="n"/>
      <c r="G193" s="93" t="n"/>
      <c r="I193" s="93" t="n"/>
      <c r="J193" s="93" t="n"/>
      <c r="K193" s="93" t="n"/>
      <c r="L193" s="93" t="n"/>
    </row>
    <row r="194">
      <c r="C194" t="inlineStr">
        <is>
          <t>Sierra Leone</t>
        </is>
      </c>
      <c r="D194" t="n">
        <v>4</v>
      </c>
      <c r="F194" s="93" t="n"/>
    </row>
    <row r="195">
      <c r="C195" t="inlineStr">
        <is>
          <t>Suriname</t>
        </is>
      </c>
      <c r="D195" t="n">
        <v>4</v>
      </c>
      <c r="F195" s="93" t="n"/>
    </row>
    <row r="196">
      <c r="C196" t="inlineStr">
        <is>
          <t>Swaziland</t>
        </is>
      </c>
      <c r="D196" t="n">
        <v>4</v>
      </c>
      <c r="F196" s="93" t="n"/>
    </row>
    <row r="197">
      <c r="C197" t="inlineStr">
        <is>
          <t>Maldives</t>
        </is>
      </c>
      <c r="D197" t="n">
        <v>4</v>
      </c>
      <c r="F197" s="93" t="n"/>
    </row>
    <row r="198">
      <c r="C198" t="inlineStr">
        <is>
          <t>Fiji</t>
        </is>
      </c>
      <c r="D198" t="n">
        <v>4</v>
      </c>
      <c r="F198" s="93" t="n"/>
    </row>
    <row r="199">
      <c r="C199" t="inlineStr">
        <is>
          <t>Djibouti</t>
        </is>
      </c>
      <c r="D199" t="n">
        <v>3</v>
      </c>
      <c r="F199" s="93" t="n"/>
    </row>
    <row r="200">
      <c r="C200" t="inlineStr">
        <is>
          <t>Burundi</t>
        </is>
      </c>
      <c r="D200" t="n">
        <v>3</v>
      </c>
      <c r="F200" s="93" t="n"/>
    </row>
    <row r="201">
      <c r="C201" t="inlineStr">
        <is>
          <t>Liberia</t>
        </is>
      </c>
      <c r="D201" t="n">
        <v>3</v>
      </c>
      <c r="F201" s="93" t="n"/>
    </row>
    <row r="202">
      <c r="C202" t="inlineStr">
        <is>
          <t>Lesotho</t>
        </is>
      </c>
      <c r="D202" t="n">
        <v>2</v>
      </c>
      <c r="F202" s="93" t="n"/>
    </row>
    <row r="203">
      <c r="C203" t="inlineStr">
        <is>
          <t>Cape Verde</t>
        </is>
      </c>
      <c r="D203" t="n">
        <v>2</v>
      </c>
      <c r="F203" s="92" t="n"/>
    </row>
    <row r="204">
      <c r="C204" t="inlineStr">
        <is>
          <t>Central African Republic</t>
        </is>
      </c>
      <c r="D204" t="n">
        <v>2</v>
      </c>
      <c r="F204" s="93" t="n"/>
    </row>
    <row r="205">
      <c r="C205" t="inlineStr">
        <is>
          <t>Bhutan</t>
        </is>
      </c>
      <c r="D205" t="n">
        <v>2</v>
      </c>
      <c r="F205" s="93" t="n"/>
    </row>
    <row r="206">
      <c r="C206" t="inlineStr">
        <is>
          <t>East Timor</t>
        </is>
      </c>
      <c r="D206" t="n">
        <v>2</v>
      </c>
      <c r="F206" s="93" t="n"/>
      <c r="G206" s="93" t="n"/>
      <c r="K206" s="93" t="n"/>
    </row>
    <row r="207">
      <c r="C207" t="inlineStr">
        <is>
          <t>Gambia</t>
        </is>
      </c>
      <c r="D207" t="n">
        <v>2</v>
      </c>
      <c r="F207" s="93" t="n"/>
    </row>
    <row r="208">
      <c r="C208" t="inlineStr">
        <is>
          <t>Guinea Bissau</t>
        </is>
      </c>
      <c r="D208" t="n">
        <v>1</v>
      </c>
      <c r="F208" s="93" t="n"/>
    </row>
    <row r="209">
      <c r="C209" t="inlineStr">
        <is>
          <t>Comoros</t>
        </is>
      </c>
      <c r="D209" t="n">
        <v>1</v>
      </c>
      <c r="F209" s="93" t="n"/>
    </row>
    <row r="210">
      <c r="C210" t="inlineStr">
        <is>
          <t>Seychelles</t>
        </is>
      </c>
      <c r="D210" t="n">
        <v>1</v>
      </c>
    </row>
    <row r="211">
      <c r="C211" t="inlineStr">
        <is>
          <t>South Sudan</t>
        </is>
      </c>
      <c r="D211" t="n">
        <v>1</v>
      </c>
      <c r="F211" s="93" t="n"/>
      <c r="G211" s="92" t="n"/>
      <c r="J211" s="93" t="n"/>
      <c r="K211" s="93" t="n"/>
      <c r="L211" s="93" t="n"/>
    </row>
    <row r="212">
      <c r="C212" t="inlineStr">
        <is>
          <t>Sao Tome and Principe</t>
        </is>
      </c>
      <c r="D212" t="n">
        <v>0</v>
      </c>
      <c r="F212" s="93" t="n"/>
    </row>
    <row r="213">
      <c r="E213" s="91" t="n"/>
      <c r="F213" s="91" t="n"/>
    </row>
    <row r="214">
      <c r="E214" s="91" t="n"/>
      <c r="F214" s="91" t="n"/>
    </row>
    <row r="215">
      <c r="E215" s="91" t="n"/>
      <c r="F215" s="91" t="n"/>
    </row>
    <row r="216">
      <c r="E216" s="91" t="n"/>
      <c r="F216" s="91" t="n"/>
    </row>
    <row r="217">
      <c r="E217" s="91" t="n"/>
      <c r="F217" s="91" t="n"/>
    </row>
    <row r="218">
      <c r="E218" s="91" t="n"/>
      <c r="F218" s="91" t="n"/>
    </row>
    <row r="219">
      <c r="E219" s="91" t="n"/>
      <c r="F219" s="91" t="n"/>
    </row>
    <row r="220">
      <c r="E220" s="91" t="n"/>
      <c r="F220" s="91" t="n"/>
    </row>
    <row r="221">
      <c r="E221" s="91" t="n"/>
      <c r="F221" s="91" t="n"/>
    </row>
  </sheetData>
  <mergeCells count="13">
    <mergeCell ref="L30:L31"/>
    <mergeCell ref="M30:M31"/>
    <mergeCell ref="G30:G31"/>
    <mergeCell ref="H30:H31"/>
    <mergeCell ref="I30:I31"/>
    <mergeCell ref="J30:J31"/>
    <mergeCell ref="K30:K31"/>
    <mergeCell ref="B1:F2"/>
    <mergeCell ref="B3:F3"/>
    <mergeCell ref="C30:C31"/>
    <mergeCell ref="D30:D31"/>
    <mergeCell ref="E30:E31"/>
    <mergeCell ref="F30:F31"/>
  </mergeCells>
  <conditionalFormatting sqref="D8:D26">
    <cfRule type="dataBar" priority="3">
      <dataBar>
        <cfvo type="min"/>
        <cfvo type="max"/>
        <color rgb="FF638EC6"/>
      </dataBar>
    </cfRule>
  </conditionalFormatting>
  <conditionalFormatting sqref="E8:E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:F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B1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9">
    <tabColor theme="1" tint="0.499984740745262"/>
    <outlinePr summaryBelow="1" summaryRight="1"/>
    <pageSetUpPr/>
  </sheetPr>
  <dimension ref="A1:E115"/>
  <sheetViews>
    <sheetView tabSelected="1" zoomScale="174" zoomScaleNormal="174" workbookViewId="0">
      <selection activeCell="H33" sqref="H33"/>
    </sheetView>
  </sheetViews>
  <sheetFormatPr baseColWidth="10" defaultColWidth="9.1640625" defaultRowHeight="15"/>
  <cols>
    <col width="29.6640625" customWidth="1" style="100" min="1" max="1"/>
    <col width="15.33203125" customWidth="1" style="100" min="2" max="2"/>
    <col width="17.1640625" customWidth="1" style="100" min="3" max="3"/>
    <col width="15.33203125" customWidth="1" style="100" min="4" max="5"/>
    <col width="9.1640625" customWidth="1" style="100" min="6" max="7"/>
    <col width="9.1640625" customWidth="1" style="100" min="8" max="16384"/>
  </cols>
  <sheetData>
    <row r="1" ht="20" customHeight="1" s="95">
      <c r="A1" s="73" t="inlineStr">
        <is>
          <t>Country</t>
        </is>
      </c>
      <c r="B1" s="74" t="inlineStr">
        <is>
          <t>Last</t>
        </is>
      </c>
      <c r="C1" s="74" t="inlineStr">
        <is>
          <t>Previous</t>
        </is>
      </c>
      <c r="D1" s="74" t="inlineStr">
        <is>
          <t>Month</t>
        </is>
      </c>
      <c r="E1" s="74" t="inlineStr">
        <is>
          <t>Unit</t>
        </is>
      </c>
    </row>
    <row r="2">
      <c r="A2" s="75" t="inlineStr">
        <is>
          <t>Albania</t>
        </is>
      </c>
      <c r="B2" s="76" t="n">
        <v>-11.2</v>
      </c>
      <c r="C2" s="90" t="n">
        <v>5.4</v>
      </c>
      <c r="D2" s="77" t="n">
        <v>43891</v>
      </c>
      <c r="E2" s="76" t="inlineStr">
        <is>
          <t>%</t>
        </is>
      </c>
    </row>
    <row r="3">
      <c r="A3" s="75" t="inlineStr">
        <is>
          <t>Algeria</t>
        </is>
      </c>
      <c r="B3" s="76" t="n">
        <v>-14.1</v>
      </c>
      <c r="C3" s="90" t="n">
        <v>-6.8</v>
      </c>
      <c r="D3" s="77" t="n">
        <v>43983</v>
      </c>
      <c r="E3" s="76" t="inlineStr">
        <is>
          <t>%</t>
        </is>
      </c>
    </row>
    <row r="4">
      <c r="A4" s="75" t="inlineStr">
        <is>
          <t>Angola</t>
        </is>
      </c>
      <c r="B4" s="76" t="n">
        <v>2.8</v>
      </c>
      <c r="C4" s="90" t="n">
        <v>-1.7</v>
      </c>
      <c r="D4" s="77" t="n">
        <v>43891</v>
      </c>
      <c r="E4" s="76" t="inlineStr">
        <is>
          <t>%</t>
        </is>
      </c>
    </row>
    <row r="5">
      <c r="A5" s="75" t="inlineStr">
        <is>
          <t>Argentina</t>
        </is>
      </c>
      <c r="B5" s="76" t="n">
        <v>-2.9</v>
      </c>
      <c r="C5" s="90" t="n">
        <v>3.4</v>
      </c>
      <c r="D5" s="77" t="n">
        <v>44105</v>
      </c>
      <c r="E5" s="76" t="inlineStr">
        <is>
          <t>%</t>
        </is>
      </c>
    </row>
    <row r="6">
      <c r="A6" s="75" t="inlineStr">
        <is>
          <t>Armenia</t>
        </is>
      </c>
      <c r="B6" s="76" t="n">
        <v>-6.1</v>
      </c>
      <c r="C6" s="90" t="n">
        <v>-3</v>
      </c>
      <c r="D6" s="77" t="n">
        <v>44136</v>
      </c>
      <c r="E6" s="76" t="inlineStr">
        <is>
          <t>%</t>
        </is>
      </c>
    </row>
    <row r="7">
      <c r="A7" s="75" t="inlineStr">
        <is>
          <t>Australia</t>
        </is>
      </c>
      <c r="B7" s="76" t="n">
        <v>-2.3</v>
      </c>
      <c r="C7" s="90" t="n">
        <v>2.8</v>
      </c>
      <c r="D7" s="77" t="n">
        <v>43983</v>
      </c>
      <c r="E7" s="76" t="inlineStr">
        <is>
          <t>%</t>
        </is>
      </c>
    </row>
    <row r="8">
      <c r="A8" s="75" t="inlineStr">
        <is>
          <t>Austria</t>
        </is>
      </c>
      <c r="B8" s="76" t="n">
        <v>-0.6</v>
      </c>
      <c r="C8" s="90" t="n">
        <v>-1.4</v>
      </c>
      <c r="D8" s="77" t="n">
        <v>44105</v>
      </c>
      <c r="E8" s="76" t="inlineStr">
        <is>
          <t>%</t>
        </is>
      </c>
    </row>
    <row r="9">
      <c r="A9" s="75" t="inlineStr">
        <is>
          <t>Azerbaijan</t>
        </is>
      </c>
      <c r="B9" s="76" t="n">
        <v>-1.5</v>
      </c>
      <c r="C9" s="90" t="n">
        <v>-1.5</v>
      </c>
      <c r="D9" s="77" t="n">
        <v>44105</v>
      </c>
      <c r="E9" s="76" t="inlineStr">
        <is>
          <t>%</t>
        </is>
      </c>
    </row>
    <row r="10">
      <c r="A10" s="75" t="inlineStr">
        <is>
          <t>Belarus</t>
        </is>
      </c>
      <c r="B10" s="76" t="n">
        <v>-0.7</v>
      </c>
      <c r="C10" s="90" t="n">
        <v>-1.2</v>
      </c>
      <c r="D10" s="77" t="n">
        <v>44136</v>
      </c>
      <c r="E10" s="76" t="inlineStr">
        <is>
          <t>%</t>
        </is>
      </c>
    </row>
    <row r="11">
      <c r="A11" s="75" t="inlineStr">
        <is>
          <t>Belgium</t>
        </is>
      </c>
      <c r="B11" s="76" t="n">
        <v>5.4</v>
      </c>
      <c r="C11" s="90" t="n">
        <v>-4.6</v>
      </c>
      <c r="D11" s="77" t="n">
        <v>44105</v>
      </c>
      <c r="E11" s="76" t="inlineStr">
        <is>
          <t>%</t>
        </is>
      </c>
    </row>
    <row r="12">
      <c r="A12" s="75" t="inlineStr">
        <is>
          <t>Benin</t>
        </is>
      </c>
      <c r="B12" s="76" t="n">
        <v>-26.7</v>
      </c>
      <c r="C12" s="90" t="n">
        <v>-2.9</v>
      </c>
      <c r="D12" s="77" t="n">
        <v>43983</v>
      </c>
      <c r="E12" s="76" t="inlineStr">
        <is>
          <t>%</t>
        </is>
      </c>
    </row>
    <row r="13">
      <c r="A13" s="75" t="inlineStr">
        <is>
          <t>Bosnia and Herzegovina</t>
        </is>
      </c>
      <c r="B13" s="76" t="n">
        <v>-1.9</v>
      </c>
      <c r="C13" s="90" t="n">
        <v>-1.2</v>
      </c>
      <c r="D13" s="77" t="n">
        <v>44136</v>
      </c>
      <c r="E13" s="76" t="inlineStr">
        <is>
          <t>%</t>
        </is>
      </c>
    </row>
    <row r="14">
      <c r="A14" s="75" t="inlineStr">
        <is>
          <t>Botswana</t>
        </is>
      </c>
      <c r="B14" s="76" t="n">
        <v>-46.3</v>
      </c>
      <c r="C14" s="90" t="n">
        <v>-1.9</v>
      </c>
      <c r="D14" s="77" t="n">
        <v>43983</v>
      </c>
      <c r="E14" s="76" t="inlineStr">
        <is>
          <t>%</t>
        </is>
      </c>
    </row>
    <row r="15">
      <c r="A15" s="75" t="inlineStr">
        <is>
          <t>Brazil</t>
        </is>
      </c>
      <c r="B15" s="76" t="n">
        <v>0.3</v>
      </c>
      <c r="C15" s="90" t="n">
        <v>3.7</v>
      </c>
      <c r="D15" s="77" t="n">
        <v>44105</v>
      </c>
      <c r="E15" s="76" t="inlineStr">
        <is>
          <t>%</t>
        </is>
      </c>
    </row>
    <row r="16">
      <c r="A16" s="75" t="inlineStr">
        <is>
          <t>Bulgaria</t>
        </is>
      </c>
      <c r="B16" s="76" t="n">
        <v>-3.9</v>
      </c>
      <c r="C16" s="90" t="n">
        <v>-2.7</v>
      </c>
      <c r="D16" s="77" t="n">
        <v>44105</v>
      </c>
      <c r="E16" s="76" t="inlineStr">
        <is>
          <t>%</t>
        </is>
      </c>
    </row>
    <row r="17">
      <c r="A17" s="75" t="inlineStr">
        <is>
          <t>Burkina Faso</t>
        </is>
      </c>
      <c r="B17" s="76" t="n">
        <v>0.9</v>
      </c>
      <c r="C17" s="90" t="n">
        <v>-3.3</v>
      </c>
      <c r="D17" s="77" t="n">
        <v>43983</v>
      </c>
      <c r="E17" s="76" t="inlineStr">
        <is>
          <t>%</t>
        </is>
      </c>
    </row>
    <row r="18">
      <c r="A18" s="75" t="inlineStr">
        <is>
          <t>Burundi</t>
        </is>
      </c>
      <c r="B18" s="76" t="n">
        <v>9.1</v>
      </c>
      <c r="C18" s="90" t="n">
        <v>10.3</v>
      </c>
      <c r="D18" s="77" t="n">
        <v>43952</v>
      </c>
      <c r="E18" s="76" t="inlineStr">
        <is>
          <t>%</t>
        </is>
      </c>
    </row>
    <row r="19">
      <c r="A19" s="75" t="inlineStr">
        <is>
          <t>Cameroon</t>
        </is>
      </c>
      <c r="B19" s="76" t="n">
        <v>-1.6</v>
      </c>
      <c r="C19" s="90" t="n">
        <v>-4.3</v>
      </c>
      <c r="D19" s="77" t="n">
        <v>43800</v>
      </c>
      <c r="E19" s="76" t="inlineStr">
        <is>
          <t>%</t>
        </is>
      </c>
    </row>
    <row r="20">
      <c r="A20" s="75" t="inlineStr">
        <is>
          <t>Canada</t>
        </is>
      </c>
      <c r="B20" s="76" t="n">
        <v>-7.9</v>
      </c>
      <c r="C20" s="90" t="n">
        <v>-10.3</v>
      </c>
      <c r="D20" s="77" t="n">
        <v>44075</v>
      </c>
      <c r="E20" s="76" t="inlineStr">
        <is>
          <t>%</t>
        </is>
      </c>
    </row>
    <row r="21">
      <c r="A21" s="75" t="inlineStr">
        <is>
          <t>Chad</t>
        </is>
      </c>
      <c r="B21" s="76" t="n">
        <v>-3.3</v>
      </c>
      <c r="C21" s="90" t="n">
        <v>11.6</v>
      </c>
      <c r="D21" s="77" t="n">
        <v>44075</v>
      </c>
      <c r="E21" s="76" t="inlineStr">
        <is>
          <t>%</t>
        </is>
      </c>
    </row>
    <row r="22">
      <c r="A22" s="75" t="inlineStr">
        <is>
          <t>Chile</t>
        </is>
      </c>
      <c r="B22" s="76" t="n">
        <v>-0.7</v>
      </c>
      <c r="C22" s="90" t="n">
        <v>3.5</v>
      </c>
      <c r="D22" s="77" t="n">
        <v>44136</v>
      </c>
      <c r="E22" s="76" t="inlineStr">
        <is>
          <t>%</t>
        </is>
      </c>
    </row>
    <row r="23">
      <c r="A23" s="75" t="inlineStr">
        <is>
          <t>China</t>
        </is>
      </c>
      <c r="B23" s="76" t="n">
        <v>7</v>
      </c>
      <c r="C23" s="90" t="n">
        <v>6.9</v>
      </c>
      <c r="D23" s="77" t="n">
        <v>44136</v>
      </c>
      <c r="E23" s="76" t="inlineStr">
        <is>
          <t>%</t>
        </is>
      </c>
    </row>
    <row r="24">
      <c r="A24" s="75" t="inlineStr">
        <is>
          <t>Colombia</t>
        </is>
      </c>
      <c r="B24" s="76" t="n">
        <v>-2.7</v>
      </c>
      <c r="C24" s="90" t="n">
        <v>-2.9</v>
      </c>
      <c r="D24" s="77" t="n">
        <v>44105</v>
      </c>
      <c r="E24" s="76" t="inlineStr">
        <is>
          <t>%</t>
        </is>
      </c>
    </row>
    <row r="25">
      <c r="A25" s="75" t="inlineStr">
        <is>
          <t>Congo</t>
        </is>
      </c>
      <c r="B25" s="76" t="n">
        <v>-0.5</v>
      </c>
      <c r="C25" s="90" t="n">
        <v>0.5</v>
      </c>
      <c r="D25" s="77" t="n">
        <v>43435</v>
      </c>
      <c r="E25" s="76" t="inlineStr">
        <is>
          <t>%</t>
        </is>
      </c>
    </row>
    <row r="26">
      <c r="A26" s="75" t="inlineStr">
        <is>
          <t>Costa Rica</t>
        </is>
      </c>
      <c r="B26" s="76" t="n">
        <v>-7.7</v>
      </c>
      <c r="C26" s="90" t="n">
        <v>-7.7</v>
      </c>
      <c r="D26" s="77" t="n">
        <v>44044</v>
      </c>
      <c r="E26" s="76" t="inlineStr">
        <is>
          <t>%</t>
        </is>
      </c>
    </row>
    <row r="27">
      <c r="A27" s="75" t="inlineStr">
        <is>
          <t>Croatia</t>
        </is>
      </c>
      <c r="B27" s="76" t="n">
        <v>-1.7</v>
      </c>
      <c r="C27" s="90" t="n">
        <v>2.2</v>
      </c>
      <c r="D27" s="77" t="n">
        <v>44136</v>
      </c>
      <c r="E27" s="76" t="inlineStr">
        <is>
          <t>%</t>
        </is>
      </c>
    </row>
    <row r="28">
      <c r="A28" s="75" t="inlineStr">
        <is>
          <t>Cuba</t>
        </is>
      </c>
      <c r="B28" s="76" t="n">
        <v>-9.4</v>
      </c>
      <c r="C28" s="90" t="n">
        <v>0.1</v>
      </c>
      <c r="D28" s="77" t="n">
        <v>43800</v>
      </c>
      <c r="E28" s="76" t="inlineStr">
        <is>
          <t>%</t>
        </is>
      </c>
    </row>
    <row r="29">
      <c r="A29" s="75" t="inlineStr">
        <is>
          <t>Cyprus</t>
        </is>
      </c>
      <c r="B29" s="76" t="n">
        <v>-5.2</v>
      </c>
      <c r="C29" s="90" t="n">
        <v>-2.8</v>
      </c>
      <c r="D29" s="77" t="n">
        <v>44105</v>
      </c>
      <c r="E29" s="76" t="inlineStr">
        <is>
          <t>%</t>
        </is>
      </c>
    </row>
    <row r="30">
      <c r="A30" s="75" t="inlineStr">
        <is>
          <t>Czech Republic</t>
        </is>
      </c>
      <c r="B30" s="76" t="n">
        <v>1.3</v>
      </c>
      <c r="C30" s="90" t="n">
        <v>-1.5</v>
      </c>
      <c r="D30" s="77" t="n">
        <v>44105</v>
      </c>
      <c r="E30" s="76" t="inlineStr">
        <is>
          <t>%</t>
        </is>
      </c>
    </row>
    <row r="31">
      <c r="A31" s="75" t="inlineStr">
        <is>
          <t>Denmark</t>
        </is>
      </c>
      <c r="B31" s="76" t="n">
        <v>-10.9</v>
      </c>
      <c r="C31" s="90" t="n">
        <v>-1.2</v>
      </c>
      <c r="D31" s="77" t="n">
        <v>44105</v>
      </c>
      <c r="E31" s="76" t="inlineStr">
        <is>
          <t>%</t>
        </is>
      </c>
    </row>
    <row r="32">
      <c r="A32" s="75" t="inlineStr">
        <is>
          <t>El Salvador</t>
        </is>
      </c>
      <c r="B32" s="76" t="n">
        <v>-6.8</v>
      </c>
      <c r="C32" s="90" t="n">
        <v>-7.7</v>
      </c>
      <c r="D32" s="77" t="n">
        <v>44075</v>
      </c>
      <c r="E32" s="76" t="inlineStr">
        <is>
          <t>%</t>
        </is>
      </c>
    </row>
    <row r="33">
      <c r="A33" s="75" t="inlineStr">
        <is>
          <t>Estonia</t>
        </is>
      </c>
      <c r="B33" s="76" t="n">
        <v>1.1</v>
      </c>
      <c r="C33" s="90" t="n">
        <v>-2.3</v>
      </c>
      <c r="D33" s="77" t="n">
        <v>44105</v>
      </c>
      <c r="E33" s="76" t="inlineStr">
        <is>
          <t>%</t>
        </is>
      </c>
    </row>
    <row r="34">
      <c r="A34" s="75" t="inlineStr">
        <is>
          <t>Euro Area</t>
        </is>
      </c>
      <c r="B34" s="76" t="n">
        <v>-3.8</v>
      </c>
      <c r="C34" s="90" t="n">
        <v>-6.3</v>
      </c>
      <c r="D34" s="77" t="n">
        <v>44105</v>
      </c>
      <c r="E34" s="76" t="inlineStr">
        <is>
          <t>%</t>
        </is>
      </c>
    </row>
    <row r="35">
      <c r="A35" s="75" t="inlineStr">
        <is>
          <t>European Union</t>
        </is>
      </c>
      <c r="B35" s="76" t="n">
        <v>-5.8</v>
      </c>
      <c r="C35" s="90" t="n">
        <v>-6</v>
      </c>
      <c r="D35" s="77" t="n">
        <v>44075</v>
      </c>
      <c r="E35" s="76" t="inlineStr">
        <is>
          <t>%</t>
        </is>
      </c>
    </row>
    <row r="36">
      <c r="A36" s="75" t="inlineStr">
        <is>
          <t>Fiji</t>
        </is>
      </c>
      <c r="B36" s="76" t="n">
        <v>-12.2</v>
      </c>
      <c r="C36" s="90" t="n">
        <v>-1.5</v>
      </c>
      <c r="D36" s="77" t="n">
        <v>43983</v>
      </c>
      <c r="E36" s="76" t="inlineStr">
        <is>
          <t>%</t>
        </is>
      </c>
    </row>
    <row r="37">
      <c r="A37" s="75" t="inlineStr">
        <is>
          <t>Finland</t>
        </is>
      </c>
      <c r="B37" s="76" t="n">
        <v>-2.2</v>
      </c>
      <c r="C37" s="90" t="n">
        <v>-5.8</v>
      </c>
      <c r="D37" s="77" t="n">
        <v>44105</v>
      </c>
      <c r="E37" s="76" t="inlineStr">
        <is>
          <t>%</t>
        </is>
      </c>
    </row>
    <row r="38">
      <c r="A38" s="75" t="inlineStr">
        <is>
          <t>France</t>
        </is>
      </c>
      <c r="B38" s="76" t="n">
        <v>-4.2</v>
      </c>
      <c r="C38" s="90" t="n">
        <v>-5.9</v>
      </c>
      <c r="D38" s="77" t="n">
        <v>44105</v>
      </c>
      <c r="E38" s="76" t="inlineStr">
        <is>
          <t>%</t>
        </is>
      </c>
    </row>
    <row r="39">
      <c r="A39" s="75" t="inlineStr">
        <is>
          <t>Georgia</t>
        </is>
      </c>
      <c r="B39" s="76" t="n">
        <v>2.1</v>
      </c>
      <c r="C39" s="90" t="n">
        <v>-5.3</v>
      </c>
      <c r="D39" s="77" t="n">
        <v>44075</v>
      </c>
      <c r="E39" s="76" t="inlineStr">
        <is>
          <t>%</t>
        </is>
      </c>
    </row>
    <row r="40">
      <c r="A40" s="75" t="inlineStr">
        <is>
          <t>Germany</t>
        </is>
      </c>
      <c r="B40" s="76" t="n">
        <v>-3</v>
      </c>
      <c r="C40" s="90" t="n">
        <v>-6.7</v>
      </c>
      <c r="D40" s="77" t="n">
        <v>44105</v>
      </c>
      <c r="E40" s="76" t="inlineStr">
        <is>
          <t>%</t>
        </is>
      </c>
    </row>
    <row r="41">
      <c r="A41" s="75" t="inlineStr">
        <is>
          <t>Greece</t>
        </is>
      </c>
      <c r="B41" s="76" t="n">
        <v>-3.7</v>
      </c>
      <c r="C41" s="90" t="n">
        <v>-2.1</v>
      </c>
      <c r="D41" s="77" t="n">
        <v>44105</v>
      </c>
      <c r="E41" s="76" t="inlineStr">
        <is>
          <t>%</t>
        </is>
      </c>
    </row>
    <row r="42">
      <c r="A42" s="75" t="inlineStr">
        <is>
          <t>Guinea Bissau</t>
        </is>
      </c>
      <c r="B42" s="76" t="n">
        <v>-12.2</v>
      </c>
      <c r="C42" s="90" t="n">
        <v>-16.7</v>
      </c>
      <c r="D42" s="77" t="n">
        <v>43983</v>
      </c>
      <c r="E42" s="76" t="inlineStr">
        <is>
          <t>%</t>
        </is>
      </c>
    </row>
    <row r="43">
      <c r="A43" s="75" t="inlineStr">
        <is>
          <t>Hong Kong</t>
        </is>
      </c>
      <c r="B43" s="76" t="n">
        <v>-7.4</v>
      </c>
      <c r="C43" s="90" t="n">
        <v>-5.1</v>
      </c>
      <c r="D43" s="77" t="n">
        <v>44075</v>
      </c>
      <c r="E43" s="76" t="inlineStr">
        <is>
          <t>%</t>
        </is>
      </c>
    </row>
    <row r="44">
      <c r="A44" s="75" t="inlineStr">
        <is>
          <t>Hungary</t>
        </is>
      </c>
      <c r="B44" s="76" t="n">
        <v>0.6</v>
      </c>
      <c r="C44" s="90" t="n">
        <v>2.2</v>
      </c>
      <c r="D44" s="77" t="n">
        <v>44105</v>
      </c>
      <c r="E44" s="76" t="inlineStr">
        <is>
          <t>%</t>
        </is>
      </c>
    </row>
    <row r="45">
      <c r="A45" s="75" t="inlineStr">
        <is>
          <t>India</t>
        </is>
      </c>
      <c r="B45" s="76" t="n">
        <v>3.6</v>
      </c>
      <c r="C45" s="90" t="n">
        <v>0.5</v>
      </c>
      <c r="D45" s="77" t="n">
        <v>44105</v>
      </c>
      <c r="E45" s="76" t="inlineStr">
        <is>
          <t>%</t>
        </is>
      </c>
    </row>
    <row r="46">
      <c r="A46" s="75" t="inlineStr">
        <is>
          <t>Indonesia</t>
        </is>
      </c>
      <c r="B46" s="76" t="n">
        <v>2</v>
      </c>
      <c r="C46" s="90" t="n">
        <v>0.6</v>
      </c>
      <c r="D46" s="77" t="n">
        <v>43862</v>
      </c>
      <c r="E46" s="76" t="inlineStr">
        <is>
          <t>%</t>
        </is>
      </c>
    </row>
    <row r="47">
      <c r="A47" s="75" t="inlineStr">
        <is>
          <t>Iran</t>
        </is>
      </c>
      <c r="B47" s="76" t="n">
        <v>10.5</v>
      </c>
      <c r="C47" s="90" t="n">
        <v>6.3</v>
      </c>
      <c r="D47" s="77" t="n">
        <v>43891</v>
      </c>
      <c r="E47" s="76" t="inlineStr">
        <is>
          <t>%</t>
        </is>
      </c>
    </row>
    <row r="48">
      <c r="A48" s="75" t="inlineStr">
        <is>
          <t>Iraq</t>
        </is>
      </c>
      <c r="B48" s="76" t="n">
        <v>0.8</v>
      </c>
      <c r="C48" s="90" t="n">
        <v>0.9</v>
      </c>
      <c r="D48" s="77" t="n">
        <v>43435</v>
      </c>
      <c r="E48" s="76" t="inlineStr">
        <is>
          <t>%</t>
        </is>
      </c>
    </row>
    <row r="49">
      <c r="A49" s="75" t="inlineStr">
        <is>
          <t>Ireland</t>
        </is>
      </c>
      <c r="B49" s="76" t="n">
        <v>-14.9</v>
      </c>
      <c r="C49" s="90" t="n">
        <v>-13.5</v>
      </c>
      <c r="D49" s="77" t="n">
        <v>44105</v>
      </c>
      <c r="E49" s="76" t="inlineStr">
        <is>
          <t>%</t>
        </is>
      </c>
    </row>
    <row r="50">
      <c r="A50" s="75" t="inlineStr">
        <is>
          <t>Israel</t>
        </is>
      </c>
      <c r="B50" s="76" t="n">
        <v>15.1</v>
      </c>
      <c r="C50" s="90" t="n">
        <v>10.7</v>
      </c>
      <c r="D50" s="77" t="n">
        <v>44105</v>
      </c>
      <c r="E50" s="76" t="inlineStr">
        <is>
          <t>%</t>
        </is>
      </c>
    </row>
    <row r="51">
      <c r="A51" s="75" t="inlineStr">
        <is>
          <t>Italy</t>
        </is>
      </c>
      <c r="B51" s="76" t="n">
        <v>-2.1</v>
      </c>
      <c r="C51" s="90" t="n">
        <v>-4.9</v>
      </c>
      <c r="D51" s="77" t="n">
        <v>44105</v>
      </c>
      <c r="E51" s="76" t="inlineStr">
        <is>
          <t>%</t>
        </is>
      </c>
    </row>
    <row r="52">
      <c r="A52" s="75" t="inlineStr">
        <is>
          <t>Ivory Coast</t>
        </is>
      </c>
      <c r="B52" s="76" t="n">
        <v>-5.9</v>
      </c>
      <c r="C52" s="90" t="n">
        <v>-8.4</v>
      </c>
      <c r="D52" s="77" t="n">
        <v>44013</v>
      </c>
      <c r="E52" s="76" t="inlineStr">
        <is>
          <t>%</t>
        </is>
      </c>
    </row>
    <row r="53">
      <c r="A53" s="75" t="inlineStr">
        <is>
          <t>Japan</t>
        </is>
      </c>
      <c r="B53" s="76" t="n">
        <v>-3.4</v>
      </c>
      <c r="C53" s="90" t="n">
        <v>-3</v>
      </c>
      <c r="D53" s="77" t="n">
        <v>44136</v>
      </c>
      <c r="E53" s="76" t="inlineStr">
        <is>
          <t>%</t>
        </is>
      </c>
    </row>
    <row r="54">
      <c r="A54" s="75" t="inlineStr">
        <is>
          <t>Jordan</t>
        </is>
      </c>
      <c r="B54" s="76" t="n">
        <v>-4.3</v>
      </c>
      <c r="C54" s="90" t="n">
        <v>-2.7</v>
      </c>
      <c r="D54" s="77" t="n">
        <v>44013</v>
      </c>
      <c r="E54" s="76" t="inlineStr">
        <is>
          <t>%</t>
        </is>
      </c>
    </row>
    <row r="55">
      <c r="A55" s="75" t="inlineStr">
        <is>
          <t>Kazakhstan</t>
        </is>
      </c>
      <c r="B55" s="76" t="n">
        <v>-2.9</v>
      </c>
      <c r="C55" s="90" t="n">
        <v>-6.2</v>
      </c>
      <c r="D55" s="77" t="n">
        <v>44136</v>
      </c>
      <c r="E55" s="76" t="inlineStr">
        <is>
          <t>%</t>
        </is>
      </c>
    </row>
    <row r="56">
      <c r="A56" s="75" t="inlineStr">
        <is>
          <t>Kosovo</t>
        </is>
      </c>
      <c r="B56" s="76" t="n">
        <v>2.1</v>
      </c>
      <c r="C56" s="90" t="n">
        <v>4.2</v>
      </c>
      <c r="D56" s="77" t="n">
        <v>43891</v>
      </c>
      <c r="E56" s="76" t="inlineStr">
        <is>
          <t>%</t>
        </is>
      </c>
    </row>
    <row r="57">
      <c r="A57" s="75" t="inlineStr">
        <is>
          <t>Kyrgyzstan</t>
        </is>
      </c>
      <c r="B57" s="76" t="n">
        <v>-20.9</v>
      </c>
      <c r="C57" s="90" t="n">
        <v>-13.6</v>
      </c>
      <c r="D57" s="77" t="n">
        <v>44136</v>
      </c>
      <c r="E57" s="76" t="inlineStr">
        <is>
          <t>%</t>
        </is>
      </c>
    </row>
    <row r="58">
      <c r="A58" s="75" t="inlineStr">
        <is>
          <t>Latvia</t>
        </is>
      </c>
      <c r="B58" s="76" t="n">
        <v>2.7</v>
      </c>
      <c r="C58" s="90" t="n">
        <v>-1.2</v>
      </c>
      <c r="D58" s="77" t="n">
        <v>44136</v>
      </c>
      <c r="E58" s="76" t="inlineStr">
        <is>
          <t>%</t>
        </is>
      </c>
    </row>
    <row r="59">
      <c r="A59" s="75" t="inlineStr">
        <is>
          <t>Lithuania</t>
        </is>
      </c>
      <c r="B59" s="76" t="n">
        <v>0.1</v>
      </c>
      <c r="C59" s="90" t="n">
        <v>1.6</v>
      </c>
      <c r="D59" s="77" t="n">
        <v>44136</v>
      </c>
      <c r="E59" s="76" t="inlineStr">
        <is>
          <t>%</t>
        </is>
      </c>
    </row>
    <row r="60">
      <c r="A60" s="75" t="inlineStr">
        <is>
          <t>Luxembourg</t>
        </is>
      </c>
      <c r="B60" s="76" t="n">
        <v>-11.4</v>
      </c>
      <c r="C60" s="90" t="n">
        <v>-8.9</v>
      </c>
      <c r="D60" s="77" t="n">
        <v>44044</v>
      </c>
      <c r="E60" s="76" t="inlineStr">
        <is>
          <t>%</t>
        </is>
      </c>
    </row>
    <row r="61">
      <c r="A61" s="75" t="inlineStr">
        <is>
          <t>Macau</t>
        </is>
      </c>
      <c r="B61" s="76" t="n">
        <v>-32.4</v>
      </c>
      <c r="C61" s="90" t="n">
        <v>-34.5</v>
      </c>
      <c r="D61" s="77" t="n">
        <v>43983</v>
      </c>
      <c r="E61" s="76" t="inlineStr">
        <is>
          <t>%</t>
        </is>
      </c>
    </row>
    <row r="62">
      <c r="A62" s="75" t="inlineStr">
        <is>
          <t>Macedonia</t>
        </is>
      </c>
      <c r="B62" s="76" t="n">
        <v>-4</v>
      </c>
      <c r="C62" s="90" t="n">
        <v>-5.2</v>
      </c>
      <c r="D62" s="77" t="n">
        <v>44136</v>
      </c>
      <c r="E62" s="76" t="inlineStr">
        <is>
          <t>%</t>
        </is>
      </c>
    </row>
    <row r="63">
      <c r="A63" s="75" t="inlineStr">
        <is>
          <t>Malaysia</t>
        </is>
      </c>
      <c r="B63" s="76" t="n">
        <v>-0.5</v>
      </c>
      <c r="C63" s="90" t="n">
        <v>1</v>
      </c>
      <c r="D63" s="77" t="n">
        <v>44105</v>
      </c>
      <c r="E63" s="76" t="inlineStr">
        <is>
          <t>%</t>
        </is>
      </c>
    </row>
    <row r="64">
      <c r="A64" s="75" t="inlineStr">
        <is>
          <t>Mali</t>
        </is>
      </c>
      <c r="B64" s="76" t="n">
        <v>4.3</v>
      </c>
      <c r="C64" s="90" t="n">
        <v>3.3</v>
      </c>
      <c r="D64" s="77" t="n">
        <v>43983</v>
      </c>
      <c r="E64" s="76" t="inlineStr">
        <is>
          <t>%</t>
        </is>
      </c>
    </row>
    <row r="65">
      <c r="A65" s="75" t="inlineStr">
        <is>
          <t>Malta</t>
        </is>
      </c>
      <c r="B65" s="76" t="n">
        <v>1</v>
      </c>
      <c r="C65" s="90" t="n">
        <v>-1.1</v>
      </c>
      <c r="D65" s="77" t="n">
        <v>44105</v>
      </c>
      <c r="E65" s="76" t="inlineStr">
        <is>
          <t>%</t>
        </is>
      </c>
    </row>
    <row r="66">
      <c r="A66" s="75" t="inlineStr">
        <is>
          <t>Mauritania</t>
        </is>
      </c>
      <c r="B66" s="76" t="n">
        <v>3.6</v>
      </c>
      <c r="C66" s="90" t="n">
        <v>13.6</v>
      </c>
      <c r="D66" s="77" t="n">
        <v>43800</v>
      </c>
      <c r="E66" s="76" t="inlineStr">
        <is>
          <t>%</t>
        </is>
      </c>
    </row>
    <row r="67">
      <c r="A67" s="75" t="inlineStr">
        <is>
          <t>Mauritius</t>
        </is>
      </c>
      <c r="B67" s="76" t="n">
        <v>-15.5</v>
      </c>
      <c r="C67" s="90" t="n">
        <v>-40.3</v>
      </c>
      <c r="D67" s="77" t="n">
        <v>44075</v>
      </c>
      <c r="E67" s="76" t="inlineStr">
        <is>
          <t>%</t>
        </is>
      </c>
    </row>
    <row r="68">
      <c r="A68" s="75" t="inlineStr">
        <is>
          <t>Mexico</t>
        </is>
      </c>
      <c r="B68" s="76" t="n">
        <v>-3.33</v>
      </c>
      <c r="C68" s="90" t="n">
        <v>-6.11</v>
      </c>
      <c r="D68" s="77" t="n">
        <v>44105</v>
      </c>
      <c r="E68" s="76" t="inlineStr">
        <is>
          <t>%</t>
        </is>
      </c>
    </row>
    <row r="69">
      <c r="A69" s="75" t="inlineStr">
        <is>
          <t>Moldova</t>
        </is>
      </c>
      <c r="B69" s="76" t="n">
        <v>-7.7</v>
      </c>
      <c r="C69" s="90" t="n">
        <v>-7.9</v>
      </c>
      <c r="D69" s="77" t="n">
        <v>44105</v>
      </c>
      <c r="E69" s="76" t="inlineStr">
        <is>
          <t>%</t>
        </is>
      </c>
    </row>
    <row r="70">
      <c r="A70" s="75" t="inlineStr">
        <is>
          <t>Mongolia</t>
        </is>
      </c>
      <c r="B70" s="76" t="n">
        <v>-9.6</v>
      </c>
      <c r="C70" s="90" t="n">
        <v>-5.5</v>
      </c>
      <c r="D70" s="77" t="n">
        <v>44013</v>
      </c>
      <c r="E70" s="76" t="inlineStr">
        <is>
          <t>%</t>
        </is>
      </c>
    </row>
    <row r="71">
      <c r="A71" s="75" t="inlineStr">
        <is>
          <t>Montenegro</t>
        </is>
      </c>
      <c r="B71" s="76" t="n">
        <v>-2.8</v>
      </c>
      <c r="C71" s="90" t="n">
        <v>-12.4</v>
      </c>
      <c r="D71" s="77" t="n">
        <v>44075</v>
      </c>
      <c r="E71" s="76" t="inlineStr">
        <is>
          <t>%</t>
        </is>
      </c>
    </row>
    <row r="72">
      <c r="A72" s="75" t="inlineStr">
        <is>
          <t>Morocco</t>
        </is>
      </c>
      <c r="B72" s="76" t="n">
        <v>-2.6</v>
      </c>
      <c r="C72" s="90" t="n">
        <v>-21.4</v>
      </c>
      <c r="D72" s="77" t="n">
        <v>44075</v>
      </c>
      <c r="E72" s="76" t="inlineStr">
        <is>
          <t>%</t>
        </is>
      </c>
    </row>
    <row r="73">
      <c r="A73" s="75" t="inlineStr">
        <is>
          <t>Mozambique</t>
        </is>
      </c>
      <c r="B73" s="76" t="n">
        <v>-1.2</v>
      </c>
      <c r="C73" s="90" t="n">
        <v>-2.4</v>
      </c>
      <c r="D73" s="77" t="n">
        <v>44075</v>
      </c>
      <c r="E73" s="76" t="inlineStr">
        <is>
          <t>%</t>
        </is>
      </c>
    </row>
    <row r="74">
      <c r="A74" s="75" t="inlineStr">
        <is>
          <t>Netherlands</t>
        </is>
      </c>
      <c r="B74" s="76" t="n">
        <v>-5.7</v>
      </c>
      <c r="C74" s="90" t="n">
        <v>-3.9</v>
      </c>
      <c r="D74" s="77" t="n">
        <v>44075</v>
      </c>
      <c r="E74" s="76" t="inlineStr">
        <is>
          <t>%</t>
        </is>
      </c>
    </row>
    <row r="75">
      <c r="A75" s="75" t="inlineStr">
        <is>
          <t>New Zealand</t>
        </is>
      </c>
      <c r="B75" s="76" t="n">
        <v>3.1</v>
      </c>
      <c r="C75" s="90" t="n">
        <v>-12.1</v>
      </c>
      <c r="D75" s="77" t="n">
        <v>44075</v>
      </c>
      <c r="E75" s="76" t="inlineStr">
        <is>
          <t>%</t>
        </is>
      </c>
    </row>
    <row r="76">
      <c r="A76" s="75" t="inlineStr">
        <is>
          <t>Niger</t>
        </is>
      </c>
      <c r="B76" s="76" t="n">
        <v>5.8</v>
      </c>
      <c r="C76" s="90" t="n">
        <v>22</v>
      </c>
      <c r="D76" s="77" t="n">
        <v>43800</v>
      </c>
      <c r="E76" s="76" t="inlineStr">
        <is>
          <t>%</t>
        </is>
      </c>
    </row>
    <row r="77">
      <c r="A77" s="75" t="inlineStr">
        <is>
          <t>Nigeria</t>
        </is>
      </c>
      <c r="B77" s="76" t="n">
        <v>-10.3</v>
      </c>
      <c r="C77" s="90" t="n">
        <v>-10</v>
      </c>
      <c r="D77" s="77" t="n">
        <v>44075</v>
      </c>
      <c r="E77" s="76" t="inlineStr">
        <is>
          <t>%</t>
        </is>
      </c>
    </row>
    <row r="78">
      <c r="A78" s="75" t="inlineStr">
        <is>
          <t>Norway</t>
        </is>
      </c>
      <c r="B78" s="76" t="n">
        <v>0</v>
      </c>
      <c r="C78" s="90" t="n">
        <v>6.3</v>
      </c>
      <c r="D78" s="77" t="n">
        <v>44105</v>
      </c>
      <c r="E78" s="76" t="inlineStr">
        <is>
          <t>%</t>
        </is>
      </c>
    </row>
    <row r="79">
      <c r="A79" s="75" t="inlineStr">
        <is>
          <t>Pakistan</t>
        </is>
      </c>
      <c r="B79" s="76" t="n">
        <v>6.9</v>
      </c>
      <c r="C79" s="90" t="n">
        <v>7.27</v>
      </c>
      <c r="D79" s="77" t="n">
        <v>44105</v>
      </c>
      <c r="E79" s="76" t="inlineStr">
        <is>
          <t>%</t>
        </is>
      </c>
    </row>
    <row r="80">
      <c r="A80" s="75" t="inlineStr">
        <is>
          <t>Panama</t>
        </is>
      </c>
      <c r="B80" s="76" t="n">
        <v>-0.7</v>
      </c>
      <c r="C80" s="90" t="n">
        <v>-6.6</v>
      </c>
      <c r="D80" s="77" t="n">
        <v>43709</v>
      </c>
      <c r="E80" s="76" t="inlineStr">
        <is>
          <t>%</t>
        </is>
      </c>
    </row>
    <row r="81">
      <c r="A81" s="75" t="inlineStr">
        <is>
          <t>Peru</t>
        </is>
      </c>
      <c r="B81" s="76" t="n">
        <v>-3.13</v>
      </c>
      <c r="C81" s="90" t="n">
        <v>-7.12</v>
      </c>
      <c r="D81" s="77" t="n">
        <v>44105</v>
      </c>
      <c r="E81" s="76" t="inlineStr">
        <is>
          <t>%</t>
        </is>
      </c>
    </row>
    <row r="82">
      <c r="A82" s="75" t="inlineStr">
        <is>
          <t>Philippines</t>
        </is>
      </c>
      <c r="B82" s="76" t="n">
        <v>-14.2</v>
      </c>
      <c r="C82" s="90" t="n">
        <v>-12.4</v>
      </c>
      <c r="D82" s="77" t="n">
        <v>44105</v>
      </c>
      <c r="E82" s="76" t="inlineStr">
        <is>
          <t>%</t>
        </is>
      </c>
    </row>
    <row r="83">
      <c r="A83" s="75" t="inlineStr">
        <is>
          <t>Poland</t>
        </is>
      </c>
      <c r="B83" s="76" t="n">
        <v>5.4</v>
      </c>
      <c r="C83" s="90" t="n">
        <v>1</v>
      </c>
      <c r="D83" s="77" t="n">
        <v>44136</v>
      </c>
      <c r="E83" s="76" t="inlineStr">
        <is>
          <t>%</t>
        </is>
      </c>
    </row>
    <row r="84">
      <c r="A84" s="75" t="inlineStr">
        <is>
          <t>Portugal</t>
        </is>
      </c>
      <c r="B84" s="76" t="n">
        <v>-3.6</v>
      </c>
      <c r="C84" s="90" t="n">
        <v>0.4</v>
      </c>
      <c r="D84" s="77" t="n">
        <v>44136</v>
      </c>
      <c r="E84" s="76" t="inlineStr">
        <is>
          <t>%</t>
        </is>
      </c>
    </row>
    <row r="85">
      <c r="A85" s="75" t="inlineStr">
        <is>
          <t>Qatar</t>
        </is>
      </c>
      <c r="B85" s="76" t="n">
        <v>-4.9</v>
      </c>
      <c r="C85" s="90" t="n">
        <v>-1.6</v>
      </c>
      <c r="D85" s="77" t="n">
        <v>44044</v>
      </c>
      <c r="E85" s="76" t="inlineStr">
        <is>
          <t>%</t>
        </is>
      </c>
    </row>
    <row r="86">
      <c r="A86" s="75" t="inlineStr">
        <is>
          <t>Romania</t>
        </is>
      </c>
      <c r="B86" s="76" t="n">
        <v>1.2</v>
      </c>
      <c r="C86" s="90" t="n">
        <v>-2.8</v>
      </c>
      <c r="D86" s="77" t="n">
        <v>44105</v>
      </c>
      <c r="E86" s="76" t="inlineStr">
        <is>
          <t>%</t>
        </is>
      </c>
    </row>
    <row r="87">
      <c r="A87" s="75" t="inlineStr">
        <is>
          <t>Russia</t>
        </is>
      </c>
      <c r="B87" s="76" t="n">
        <v>-2.6</v>
      </c>
      <c r="C87" s="90" t="n">
        <v>-5.9</v>
      </c>
      <c r="D87" s="77" t="n">
        <v>44136</v>
      </c>
      <c r="E87" s="76" t="inlineStr">
        <is>
          <t>%</t>
        </is>
      </c>
    </row>
    <row r="88">
      <c r="A88" s="75" t="inlineStr">
        <is>
          <t>Rwanda</t>
        </is>
      </c>
      <c r="B88" s="76" t="n">
        <v>6.1</v>
      </c>
      <c r="C88" s="90" t="n">
        <v>-4.3</v>
      </c>
      <c r="D88" s="77" t="n">
        <v>44075</v>
      </c>
      <c r="E88" s="76" t="inlineStr">
        <is>
          <t>%</t>
        </is>
      </c>
    </row>
    <row r="89">
      <c r="A89" s="75" t="inlineStr">
        <is>
          <t>Saudi Arabia</t>
        </is>
      </c>
      <c r="B89" s="76" t="n">
        <v>-13.4</v>
      </c>
      <c r="C89" s="90" t="n">
        <v>-3.3</v>
      </c>
      <c r="D89" s="77" t="n">
        <v>44013</v>
      </c>
      <c r="E89" s="76" t="inlineStr">
        <is>
          <t>%</t>
        </is>
      </c>
    </row>
    <row r="90">
      <c r="A90" s="75" t="inlineStr">
        <is>
          <t>Senegal</t>
        </is>
      </c>
      <c r="B90" s="76" t="n">
        <v>14.6</v>
      </c>
      <c r="C90" s="90" t="n">
        <v>5.1</v>
      </c>
      <c r="D90" s="77" t="n">
        <v>44105</v>
      </c>
      <c r="E90" s="76" t="inlineStr">
        <is>
          <t>%</t>
        </is>
      </c>
    </row>
    <row r="91">
      <c r="A91" s="75" t="inlineStr">
        <is>
          <t>Serbia</t>
        </is>
      </c>
      <c r="B91" s="76" t="n">
        <v>-1.4</v>
      </c>
      <c r="C91" s="90" t="n">
        <v>1.9</v>
      </c>
      <c r="D91" s="77" t="n">
        <v>44136</v>
      </c>
      <c r="E91" s="76" t="inlineStr">
        <is>
          <t>%</t>
        </is>
      </c>
    </row>
    <row r="92">
      <c r="A92" s="75" t="inlineStr">
        <is>
          <t>Seychelles</t>
        </is>
      </c>
      <c r="B92" s="76" t="n">
        <v>1.9</v>
      </c>
      <c r="C92" s="90" t="n">
        <v>15.9</v>
      </c>
      <c r="D92" s="77" t="n">
        <v>44075</v>
      </c>
      <c r="E92" s="76" t="inlineStr">
        <is>
          <t>%</t>
        </is>
      </c>
    </row>
    <row r="93">
      <c r="A93" s="75" t="inlineStr">
        <is>
          <t>Singapore</t>
        </is>
      </c>
      <c r="B93" s="76" t="n">
        <v>17.9</v>
      </c>
      <c r="C93" s="90" t="n">
        <v>-0.8</v>
      </c>
      <c r="D93" s="77" t="n">
        <v>44136</v>
      </c>
      <c r="E93" s="76" t="inlineStr">
        <is>
          <t>%</t>
        </is>
      </c>
    </row>
    <row r="94">
      <c r="A94" s="75" t="inlineStr">
        <is>
          <t>Slovakia</t>
        </is>
      </c>
      <c r="B94" s="76" t="n">
        <v>-2.5</v>
      </c>
      <c r="C94" s="90" t="n">
        <v>-0.2</v>
      </c>
      <c r="D94" s="77" t="n">
        <v>44105</v>
      </c>
      <c r="E94" s="76" t="inlineStr">
        <is>
          <t>%</t>
        </is>
      </c>
    </row>
    <row r="95">
      <c r="A95" s="75" t="inlineStr">
        <is>
          <t>Slovenia</t>
        </is>
      </c>
      <c r="B95" s="76" t="n">
        <v>-1.1</v>
      </c>
      <c r="C95" s="90" t="n">
        <v>-3.3</v>
      </c>
      <c r="D95" s="77" t="n">
        <v>44105</v>
      </c>
      <c r="E95" s="76" t="inlineStr">
        <is>
          <t>%</t>
        </is>
      </c>
    </row>
    <row r="96">
      <c r="A96" s="75" t="inlineStr">
        <is>
          <t>South Africa</t>
        </is>
      </c>
      <c r="B96" s="76" t="n">
        <v>-3.4</v>
      </c>
      <c r="C96" s="90" t="n">
        <v>-1.9</v>
      </c>
      <c r="D96" s="77" t="n">
        <v>44105</v>
      </c>
      <c r="E96" s="76" t="inlineStr">
        <is>
          <t>%</t>
        </is>
      </c>
    </row>
    <row r="97">
      <c r="A97" s="75" t="inlineStr">
        <is>
          <t>South Korea</t>
        </is>
      </c>
      <c r="B97" s="76" t="n">
        <v>0.5</v>
      </c>
      <c r="C97" s="90" t="n">
        <v>-2</v>
      </c>
      <c r="D97" s="77" t="n">
        <v>44136</v>
      </c>
      <c r="E97" s="76" t="inlineStr">
        <is>
          <t>%</t>
        </is>
      </c>
    </row>
    <row r="98">
      <c r="A98" s="75" t="inlineStr">
        <is>
          <t>Spain</t>
        </is>
      </c>
      <c r="B98" s="76" t="n">
        <v>-1.6</v>
      </c>
      <c r="C98" s="90" t="n">
        <v>-3.1</v>
      </c>
      <c r="D98" s="77" t="n">
        <v>44105</v>
      </c>
      <c r="E98" s="76" t="inlineStr">
        <is>
          <t>%</t>
        </is>
      </c>
    </row>
    <row r="99">
      <c r="A99" s="75" t="inlineStr">
        <is>
          <t>Sri Lanka</t>
        </is>
      </c>
      <c r="B99" s="76" t="n">
        <v>2.4</v>
      </c>
      <c r="C99" s="90" t="n">
        <v>-13.7</v>
      </c>
      <c r="D99" s="77" t="n">
        <v>44013</v>
      </c>
      <c r="E99" s="76" t="inlineStr">
        <is>
          <t>%</t>
        </is>
      </c>
    </row>
    <row r="100">
      <c r="A100" s="75" t="inlineStr">
        <is>
          <t>Sweden</t>
        </is>
      </c>
      <c r="B100" s="76" t="n">
        <v>0.4</v>
      </c>
      <c r="C100" s="90" t="n">
        <v>-2.1</v>
      </c>
      <c r="D100" s="77" t="n">
        <v>44105</v>
      </c>
      <c r="E100" s="76" t="inlineStr">
        <is>
          <t>%</t>
        </is>
      </c>
    </row>
    <row r="101">
      <c r="A101" s="75" t="inlineStr">
        <is>
          <t>Switzerland</t>
        </is>
      </c>
      <c r="B101" s="76" t="n">
        <v>-5.1</v>
      </c>
      <c r="C101" s="90" t="n">
        <v>-9.300000000000001</v>
      </c>
      <c r="D101" s="77" t="n">
        <v>44075</v>
      </c>
      <c r="E101" s="76" t="inlineStr">
        <is>
          <t>%</t>
        </is>
      </c>
    </row>
    <row r="102">
      <c r="A102" s="75" t="inlineStr">
        <is>
          <t>Taiwan</t>
        </is>
      </c>
      <c r="B102" s="76" t="n">
        <v>7.84</v>
      </c>
      <c r="C102" s="90" t="n">
        <v>6.44</v>
      </c>
      <c r="D102" s="77" t="n">
        <v>44136</v>
      </c>
      <c r="E102" s="76" t="inlineStr">
        <is>
          <t>%</t>
        </is>
      </c>
    </row>
    <row r="103">
      <c r="A103" s="75" t="inlineStr">
        <is>
          <t>Tajikistan</t>
        </is>
      </c>
      <c r="B103" s="76" t="n">
        <v>13.6</v>
      </c>
      <c r="C103" s="90" t="n">
        <v>13</v>
      </c>
      <c r="D103" s="77" t="n">
        <v>43800</v>
      </c>
      <c r="E103" s="76" t="inlineStr">
        <is>
          <t>%</t>
        </is>
      </c>
    </row>
    <row r="104">
      <c r="A104" s="75" t="inlineStr">
        <is>
          <t>Thailand</t>
        </is>
      </c>
      <c r="B104" s="76" t="n">
        <v>0.35</v>
      </c>
      <c r="C104" s="90" t="n">
        <v>-0.42</v>
      </c>
      <c r="D104" s="77" t="n">
        <v>44136</v>
      </c>
      <c r="E104" s="76" t="inlineStr">
        <is>
          <t>%</t>
        </is>
      </c>
    </row>
    <row r="105">
      <c r="A105" s="75" t="inlineStr">
        <is>
          <t>Togo</t>
        </is>
      </c>
      <c r="B105" s="76" t="n">
        <v>16.6</v>
      </c>
      <c r="C105" s="90" t="n">
        <v>7.2</v>
      </c>
      <c r="D105" s="77" t="n">
        <v>43983</v>
      </c>
      <c r="E105" s="76" t="inlineStr">
        <is>
          <t>%</t>
        </is>
      </c>
    </row>
    <row r="106">
      <c r="A106" s="75" t="inlineStr">
        <is>
          <t>Trinidad And Tobago</t>
        </is>
      </c>
      <c r="B106" s="76" t="n">
        <v>-2</v>
      </c>
      <c r="C106" s="90" t="n">
        <v>-9.699999999999999</v>
      </c>
      <c r="D106" s="77" t="n">
        <v>43800</v>
      </c>
      <c r="E106" s="76" t="inlineStr">
        <is>
          <t>%</t>
        </is>
      </c>
    </row>
    <row r="107">
      <c r="A107" s="75" t="inlineStr">
        <is>
          <t>Tunisia</t>
        </is>
      </c>
      <c r="B107" s="76" t="n">
        <v>-3.7</v>
      </c>
      <c r="C107" s="90" t="n">
        <v>1.1</v>
      </c>
      <c r="D107" s="77" t="n">
        <v>44105</v>
      </c>
      <c r="E107" s="76" t="inlineStr">
        <is>
          <t>%</t>
        </is>
      </c>
    </row>
    <row r="108">
      <c r="A108" s="75" t="inlineStr">
        <is>
          <t>Turkey</t>
        </is>
      </c>
      <c r="B108" s="76" t="n">
        <v>10.2</v>
      </c>
      <c r="C108" s="90" t="n">
        <v>8.300000000000001</v>
      </c>
      <c r="D108" s="77" t="n">
        <v>44105</v>
      </c>
      <c r="E108" s="76" t="inlineStr">
        <is>
          <t>%</t>
        </is>
      </c>
    </row>
    <row r="109">
      <c r="A109" s="75" t="inlineStr">
        <is>
          <t>Ukraine</t>
        </is>
      </c>
      <c r="B109" s="76" t="n">
        <v>-0.3</v>
      </c>
      <c r="C109" s="90" t="n">
        <v>-5</v>
      </c>
      <c r="D109" s="77" t="n">
        <v>44136</v>
      </c>
      <c r="E109" s="76" t="inlineStr">
        <is>
          <t>%</t>
        </is>
      </c>
    </row>
    <row r="110">
      <c r="A110" s="75" t="inlineStr">
        <is>
          <t>United Kingdom</t>
        </is>
      </c>
      <c r="B110" s="76" t="n">
        <v>-5.5</v>
      </c>
      <c r="C110" s="90" t="n">
        <v>-6.3</v>
      </c>
      <c r="D110" s="77" t="n">
        <v>44105</v>
      </c>
      <c r="E110" s="76" t="inlineStr">
        <is>
          <t>%</t>
        </is>
      </c>
    </row>
    <row r="111">
      <c r="A111" s="75" t="inlineStr">
        <is>
          <t>United States</t>
        </is>
      </c>
      <c r="B111" s="76" t="n">
        <v>-5.5</v>
      </c>
      <c r="C111" s="90" t="n">
        <v>-5</v>
      </c>
      <c r="D111" s="77" t="n">
        <v>44136</v>
      </c>
      <c r="E111" s="76" t="inlineStr">
        <is>
          <t>%</t>
        </is>
      </c>
    </row>
    <row r="112">
      <c r="A112" s="75" t="inlineStr">
        <is>
          <t>Uruguay</t>
        </is>
      </c>
      <c r="B112" s="76" t="n">
        <v>4.8</v>
      </c>
      <c r="C112" s="90" t="n">
        <v>-1.9</v>
      </c>
      <c r="D112" s="77" t="n">
        <v>44105</v>
      </c>
      <c r="E112" s="76" t="inlineStr">
        <is>
          <t>%</t>
        </is>
      </c>
    </row>
    <row r="113">
      <c r="A113" s="75" t="inlineStr">
        <is>
          <t>Uzbekistan</t>
        </is>
      </c>
      <c r="B113" s="76" t="n">
        <v>6.9</v>
      </c>
      <c r="C113" s="90" t="n">
        <v>6.8</v>
      </c>
      <c r="D113" s="77" t="n">
        <v>43617</v>
      </c>
      <c r="E113" s="76" t="inlineStr">
        <is>
          <t>%</t>
        </is>
      </c>
    </row>
    <row r="114">
      <c r="A114" s="75" t="inlineStr">
        <is>
          <t>Venezuela</t>
        </is>
      </c>
      <c r="B114" s="76" t="n">
        <v>-20.6</v>
      </c>
      <c r="C114" s="90" t="n">
        <v>-47</v>
      </c>
      <c r="D114" s="77" t="n">
        <v>43466</v>
      </c>
      <c r="E114" s="76" t="inlineStr">
        <is>
          <t>%</t>
        </is>
      </c>
    </row>
    <row r="115">
      <c r="A115" s="75" t="inlineStr">
        <is>
          <t>Vietnam</t>
        </is>
      </c>
      <c r="B115" s="76" t="n">
        <v>9.5</v>
      </c>
      <c r="C115" s="90" t="n">
        <v>9.199999999999999</v>
      </c>
      <c r="D115" s="77" t="n">
        <v>44166</v>
      </c>
      <c r="E115" s="76" t="inlineStr">
        <is>
          <t>%</t>
        </is>
      </c>
    </row>
  </sheetData>
  <autoFilter ref="A1:E1"/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4">
    <tabColor theme="1" tint="0.499984740745262"/>
    <outlinePr summaryBelow="1" summaryRight="1"/>
    <pageSetUpPr/>
  </sheetPr>
  <dimension ref="A1:AZ1224"/>
  <sheetViews>
    <sheetView workbookViewId="0">
      <pane xSplit="7" ySplit="1" topLeftCell="T2" activePane="bottomRight" state="frozen"/>
      <selection activeCell="B3" sqref="B3:G3"/>
      <selection pane="topRight" activeCell="B3" sqref="B3:G3"/>
      <selection pane="bottomLeft" activeCell="B3" sqref="B3:G3"/>
      <selection pane="bottomRight" activeCell="AW1" sqref="AW1"/>
    </sheetView>
  </sheetViews>
  <sheetFormatPr baseColWidth="10" defaultColWidth="9.1640625" defaultRowHeight="15"/>
  <cols>
    <col width="9.1640625" customWidth="1" style="100" min="1" max="1"/>
    <col width="11.1640625" customWidth="1" style="100" min="2" max="2"/>
    <col width="7" customWidth="1" style="100" min="3" max="3"/>
    <col width="4.6640625" customWidth="1" style="100" min="4" max="4"/>
    <col width="11" customWidth="1" style="100" min="5" max="5"/>
    <col width="10.6640625" bestFit="1" customWidth="1" style="100" min="6" max="6"/>
    <col width="10.6640625" bestFit="1" customWidth="1" style="52" min="7" max="7"/>
    <col width="9.1640625" customWidth="1" style="20" min="8" max="10"/>
    <col width="10.6640625" bestFit="1" customWidth="1" style="20" min="11" max="11"/>
    <col width="10.6640625" customWidth="1" style="20" min="12" max="12"/>
    <col width="9.1640625" customWidth="1" style="20" min="13" max="51"/>
    <col width="9.1640625" customWidth="1" style="100" min="52" max="53"/>
    <col width="9.1640625" customWidth="1" style="100" min="54" max="16384"/>
  </cols>
  <sheetData>
    <row r="1">
      <c r="B1" t="inlineStr">
        <is>
          <t>Date</t>
        </is>
      </c>
      <c r="G1" s="88" t="n"/>
      <c r="H1" s="89" t="inlineStr">
        <is>
          <t>AUS</t>
        </is>
      </c>
      <c r="I1" s="89" t="inlineStr">
        <is>
          <t>AUT</t>
        </is>
      </c>
      <c r="J1" s="89" t="inlineStr">
        <is>
          <t>BEL</t>
        </is>
      </c>
      <c r="K1" s="89" t="inlineStr">
        <is>
          <t>CAN</t>
        </is>
      </c>
      <c r="L1" s="89" t="inlineStr">
        <is>
          <t>CHL</t>
        </is>
      </c>
      <c r="M1" s="89" t="inlineStr">
        <is>
          <t>CZE</t>
        </is>
      </c>
      <c r="N1" s="89" t="inlineStr">
        <is>
          <t>DEU</t>
        </is>
      </c>
      <c r="O1" s="89" t="inlineStr">
        <is>
          <t>DNK</t>
        </is>
      </c>
      <c r="P1" s="89" t="inlineStr">
        <is>
          <t>ESP</t>
        </is>
      </c>
      <c r="Q1" s="89" t="inlineStr">
        <is>
          <t>EST</t>
        </is>
      </c>
      <c r="R1" s="89" t="inlineStr">
        <is>
          <t>FIN</t>
        </is>
      </c>
      <c r="S1" s="89" t="inlineStr">
        <is>
          <t>FRA</t>
        </is>
      </c>
      <c r="T1" s="89" t="inlineStr">
        <is>
          <t>GBR</t>
        </is>
      </c>
      <c r="U1" s="89" t="inlineStr">
        <is>
          <t>GRC</t>
        </is>
      </c>
      <c r="V1" s="89" t="inlineStr">
        <is>
          <t>HUN</t>
        </is>
      </c>
      <c r="W1" s="89" t="inlineStr">
        <is>
          <t>IRL</t>
        </is>
      </c>
      <c r="X1" s="89" t="inlineStr">
        <is>
          <t>ISL</t>
        </is>
      </c>
      <c r="Y1" s="89" t="inlineStr">
        <is>
          <t>ISR</t>
        </is>
      </c>
      <c r="Z1" s="89" t="inlineStr">
        <is>
          <t>ITA</t>
        </is>
      </c>
      <c r="AA1" s="89" t="inlineStr">
        <is>
          <t>JPN</t>
        </is>
      </c>
      <c r="AB1" s="89" t="inlineStr">
        <is>
          <t>KOR</t>
        </is>
      </c>
      <c r="AC1" s="89" t="inlineStr">
        <is>
          <t>LUX</t>
        </is>
      </c>
      <c r="AD1" s="89" t="inlineStr">
        <is>
          <t>LVA</t>
        </is>
      </c>
      <c r="AE1" s="89" t="inlineStr">
        <is>
          <t>MEX</t>
        </is>
      </c>
      <c r="AF1" s="89" t="inlineStr">
        <is>
          <t>NLD</t>
        </is>
      </c>
      <c r="AG1" s="89" t="inlineStr">
        <is>
          <t>NOR</t>
        </is>
      </c>
      <c r="AH1" s="89" t="inlineStr">
        <is>
          <t>OECD</t>
        </is>
      </c>
      <c r="AI1" s="89" t="inlineStr">
        <is>
          <t>POL</t>
        </is>
      </c>
      <c r="AJ1" s="89" t="inlineStr">
        <is>
          <t>PRT</t>
        </is>
      </c>
      <c r="AK1" s="89" t="inlineStr">
        <is>
          <t>SVK</t>
        </is>
      </c>
      <c r="AL1" s="89" t="inlineStr">
        <is>
          <t>SVN</t>
        </is>
      </c>
      <c r="AM1" s="89" t="inlineStr">
        <is>
          <t>SWE</t>
        </is>
      </c>
      <c r="AN1" s="89" t="inlineStr">
        <is>
          <t>NZL</t>
        </is>
      </c>
      <c r="AO1" s="89" t="inlineStr">
        <is>
          <t>USA</t>
        </is>
      </c>
      <c r="AP1" s="89" t="inlineStr">
        <is>
          <t>EA19</t>
        </is>
      </c>
      <c r="AQ1" s="89" t="inlineStr">
        <is>
          <t>EU28</t>
        </is>
      </c>
      <c r="AR1" s="89" t="inlineStr">
        <is>
          <t>G7</t>
        </is>
      </c>
      <c r="AS1" s="89" t="inlineStr">
        <is>
          <t>CHE</t>
        </is>
      </c>
      <c r="AT1" s="89" t="inlineStr">
        <is>
          <t>IND</t>
        </is>
      </c>
      <c r="AU1" s="89" t="inlineStr">
        <is>
          <t>ZAF</t>
        </is>
      </c>
      <c r="AV1" s="89" t="inlineStr">
        <is>
          <t>RUS</t>
        </is>
      </c>
      <c r="AW1" s="89" t="inlineStr">
        <is>
          <t>CHI</t>
        </is>
      </c>
      <c r="AX1" s="89" t="inlineStr">
        <is>
          <t>TUR</t>
        </is>
      </c>
      <c r="AY1" s="89" t="inlineStr">
        <is>
          <t>BRA</t>
        </is>
      </c>
      <c r="AZ1" s="89" t="inlineStr">
        <is>
          <t>ARG</t>
        </is>
      </c>
    </row>
    <row r="2">
      <c r="A2" t="inlineStr">
        <is>
          <t>1919-01</t>
        </is>
      </c>
      <c r="B2" s="1" t="n">
        <v>6941</v>
      </c>
      <c r="C2" s="88" t="n">
        <v>2</v>
      </c>
      <c r="D2" s="1" t="n"/>
      <c r="E2" s="1">
        <f>B2</f>
        <v/>
      </c>
      <c r="F2" s="2">
        <f>B2</f>
        <v/>
      </c>
      <c r="G2" s="88" t="n">
        <v>0</v>
      </c>
      <c r="H2" s="89" t="n"/>
      <c r="I2" s="89" t="n"/>
      <c r="J2" s="89" t="n"/>
      <c r="K2" s="89" t="n"/>
      <c r="L2" s="89" t="n"/>
      <c r="M2" s="89" t="n"/>
      <c r="N2" s="89" t="n"/>
      <c r="O2" s="89" t="n"/>
      <c r="P2" s="89" t="n"/>
      <c r="Q2" s="89" t="n"/>
      <c r="R2" s="89" t="n"/>
      <c r="S2" s="89" t="n"/>
      <c r="T2" s="89" t="n"/>
      <c r="U2" s="89" t="n"/>
      <c r="V2" s="89" t="n"/>
      <c r="W2" s="89" t="n"/>
      <c r="X2" s="89" t="n"/>
      <c r="Y2" s="89" t="n"/>
      <c r="Z2" s="89" t="n"/>
      <c r="AA2" s="89" t="n"/>
      <c r="AB2" s="89" t="n"/>
      <c r="AC2" s="89" t="n"/>
      <c r="AD2" s="89" t="n"/>
      <c r="AE2" s="89" t="n"/>
      <c r="AF2" s="89" t="n"/>
      <c r="AG2" s="89" t="n"/>
      <c r="AH2" s="89" t="n"/>
      <c r="AI2" s="89" t="n"/>
      <c r="AJ2" s="89" t="n"/>
      <c r="AK2" s="89" t="n"/>
      <c r="AL2" s="89" t="n"/>
      <c r="AM2" s="89" t="n"/>
      <c r="AN2" s="89" t="n"/>
      <c r="AO2" s="89" t="n">
        <v>4.814458</v>
      </c>
      <c r="AP2" s="89" t="n"/>
      <c r="AQ2" s="89" t="n"/>
      <c r="AR2" s="89" t="n"/>
      <c r="AS2" s="89" t="n"/>
      <c r="AT2" s="89" t="n"/>
      <c r="AU2" s="89" t="n"/>
      <c r="AV2" s="89" t="n"/>
      <c r="AW2" s="89" t="n"/>
      <c r="AX2" s="89" t="n"/>
      <c r="AY2" s="89" t="n"/>
    </row>
    <row r="3">
      <c r="A3" t="inlineStr">
        <is>
          <t>1919-02</t>
        </is>
      </c>
      <c r="B3" s="1" t="n">
        <v>6972</v>
      </c>
      <c r="C3" s="88" t="n">
        <v>3</v>
      </c>
      <c r="D3" s="1" t="n"/>
      <c r="E3" s="1">
        <f>B3</f>
        <v/>
      </c>
      <c r="F3" s="2">
        <f>B3</f>
        <v/>
      </c>
      <c r="G3" s="88" t="n">
        <v>1</v>
      </c>
      <c r="H3" s="89" t="n"/>
      <c r="I3" s="89" t="n"/>
      <c r="J3" s="89" t="n"/>
      <c r="K3" s="89" t="n"/>
      <c r="L3" s="89" t="n"/>
      <c r="M3" s="89" t="n"/>
      <c r="N3" s="89" t="n"/>
      <c r="O3" s="89" t="n"/>
      <c r="P3" s="89" t="n"/>
      <c r="Q3" s="89" t="n"/>
      <c r="R3" s="89" t="n"/>
      <c r="S3" s="89" t="n"/>
      <c r="T3" s="89" t="n"/>
      <c r="U3" s="89" t="n"/>
      <c r="V3" s="89" t="n"/>
      <c r="W3" s="89" t="n"/>
      <c r="X3" s="89" t="n"/>
      <c r="Y3" s="89" t="n"/>
      <c r="Z3" s="89" t="n"/>
      <c r="AA3" s="89" t="n"/>
      <c r="AB3" s="89" t="n"/>
      <c r="AC3" s="89" t="n"/>
      <c r="AD3" s="89" t="n"/>
      <c r="AE3" s="89" t="n"/>
      <c r="AF3" s="89" t="n"/>
      <c r="AG3" s="89" t="n"/>
      <c r="AH3" s="89" t="n"/>
      <c r="AI3" s="89" t="n"/>
      <c r="AJ3" s="89" t="n"/>
      <c r="AK3" s="89" t="n"/>
      <c r="AL3" s="89" t="n"/>
      <c r="AM3" s="89" t="n"/>
      <c r="AN3" s="89" t="n"/>
      <c r="AO3" s="89" t="n">
        <v>4.601609</v>
      </c>
      <c r="AP3" s="89" t="n"/>
      <c r="AQ3" s="89" t="n"/>
      <c r="AR3" s="89" t="n"/>
      <c r="AS3" s="89" t="n"/>
      <c r="AT3" s="89" t="n"/>
      <c r="AU3" s="89" t="n"/>
      <c r="AV3" s="89" t="n"/>
      <c r="AW3" s="89" t="n"/>
      <c r="AX3" s="89" t="n"/>
      <c r="AY3" s="89" t="n"/>
    </row>
    <row r="4">
      <c r="A4" t="inlineStr">
        <is>
          <t>1919-03</t>
        </is>
      </c>
      <c r="B4" s="1" t="n">
        <v>7000</v>
      </c>
      <c r="C4" s="88" t="n">
        <v>4</v>
      </c>
      <c r="D4" s="1" t="n"/>
      <c r="E4" s="1">
        <f>B4</f>
        <v/>
      </c>
      <c r="F4" s="2">
        <f>B4</f>
        <v/>
      </c>
      <c r="G4" s="88" t="n">
        <v>2</v>
      </c>
      <c r="H4" s="89" t="n"/>
      <c r="I4" s="89" t="n"/>
      <c r="J4" s="89" t="n"/>
      <c r="K4" s="89" t="n"/>
      <c r="L4" s="89" t="n"/>
      <c r="M4" s="89" t="n"/>
      <c r="N4" s="89" t="n"/>
      <c r="O4" s="89" t="n"/>
      <c r="P4" s="89" t="n"/>
      <c r="Q4" s="89" t="n"/>
      <c r="R4" s="89" t="n"/>
      <c r="S4" s="89" t="n"/>
      <c r="T4" s="89" t="n"/>
      <c r="U4" s="89" t="n"/>
      <c r="V4" s="89" t="n"/>
      <c r="W4" s="89" t="n"/>
      <c r="X4" s="89" t="n"/>
      <c r="Y4" s="89" t="n"/>
      <c r="Z4" s="89" t="n"/>
      <c r="AA4" s="89" t="n"/>
      <c r="AB4" s="89" t="n"/>
      <c r="AC4" s="89" t="n"/>
      <c r="AD4" s="89" t="n"/>
      <c r="AE4" s="89" t="n"/>
      <c r="AF4" s="89" t="n"/>
      <c r="AG4" s="89" t="n"/>
      <c r="AH4" s="89" t="n"/>
      <c r="AI4" s="89" t="n"/>
      <c r="AJ4" s="89" t="n"/>
      <c r="AK4" s="89" t="n"/>
      <c r="AL4" s="89" t="n"/>
      <c r="AM4" s="89" t="n"/>
      <c r="AN4" s="89" t="n"/>
      <c r="AO4" s="89" t="n">
        <v>4.468675</v>
      </c>
      <c r="AP4" s="89" t="n"/>
      <c r="AQ4" s="89" t="n"/>
      <c r="AR4" s="89" t="n"/>
      <c r="AS4" s="89" t="n"/>
      <c r="AT4" s="89" t="n"/>
      <c r="AU4" s="89" t="n"/>
      <c r="AV4" s="89" t="n"/>
      <c r="AW4" s="89" t="n"/>
      <c r="AX4" s="89" t="n"/>
      <c r="AY4" s="89" t="n"/>
    </row>
    <row r="5">
      <c r="A5" t="inlineStr">
        <is>
          <t>1919-04</t>
        </is>
      </c>
      <c r="B5" s="1" t="n">
        <v>7031</v>
      </c>
      <c r="C5" s="88" t="n">
        <v>5</v>
      </c>
      <c r="D5" s="1" t="n"/>
      <c r="E5" s="1">
        <f>B5</f>
        <v/>
      </c>
      <c r="F5" s="2">
        <f>B5</f>
        <v/>
      </c>
      <c r="G5" s="88" t="n">
        <v>3</v>
      </c>
      <c r="H5" s="89" t="n"/>
      <c r="I5" s="89" t="n"/>
      <c r="J5" s="89" t="n"/>
      <c r="K5" s="89" t="n"/>
      <c r="L5" s="89" t="n"/>
      <c r="M5" s="89" t="n"/>
      <c r="N5" s="89" t="n"/>
      <c r="O5" s="89" t="n"/>
      <c r="P5" s="89" t="n"/>
      <c r="Q5" s="89" t="n"/>
      <c r="R5" s="89" t="n"/>
      <c r="S5" s="89" t="n"/>
      <c r="T5" s="89" t="n"/>
      <c r="U5" s="89" t="n"/>
      <c r="V5" s="89" t="n"/>
      <c r="W5" s="89" t="n"/>
      <c r="X5" s="89" t="n"/>
      <c r="Y5" s="89" t="n"/>
      <c r="Z5" s="89" t="n"/>
      <c r="AA5" s="89" t="n"/>
      <c r="AB5" s="89" t="n"/>
      <c r="AC5" s="89" t="n"/>
      <c r="AD5" s="89" t="n"/>
      <c r="AE5" s="89" t="n"/>
      <c r="AF5" s="89" t="n"/>
      <c r="AG5" s="89" t="n"/>
      <c r="AH5" s="89" t="n"/>
      <c r="AI5" s="89" t="n"/>
      <c r="AJ5" s="89" t="n"/>
      <c r="AK5" s="89" t="n"/>
      <c r="AL5" s="89" t="n"/>
      <c r="AM5" s="89" t="n"/>
      <c r="AN5" s="89" t="n"/>
      <c r="AO5" s="89" t="n">
        <v>4.548493</v>
      </c>
      <c r="AP5" s="89" t="n"/>
      <c r="AQ5" s="89" t="n"/>
      <c r="AR5" s="89" t="n"/>
      <c r="AS5" s="89" t="n"/>
      <c r="AT5" s="89" t="n"/>
      <c r="AU5" s="89" t="n"/>
      <c r="AV5" s="89" t="n"/>
      <c r="AW5" s="89" t="n"/>
      <c r="AX5" s="89" t="n"/>
      <c r="AY5" s="89" t="n"/>
    </row>
    <row r="6">
      <c r="A6" t="inlineStr">
        <is>
          <t>1919-05</t>
        </is>
      </c>
      <c r="B6" s="1" t="n">
        <v>7061</v>
      </c>
      <c r="C6" s="88" t="n">
        <v>6</v>
      </c>
      <c r="D6" s="1" t="n"/>
      <c r="E6" s="1">
        <f>B6</f>
        <v/>
      </c>
      <c r="F6" s="2">
        <f>B6</f>
        <v/>
      </c>
      <c r="G6" s="88" t="n">
        <v>4</v>
      </c>
      <c r="H6" s="89" t="n"/>
      <c r="I6" s="89" t="n"/>
      <c r="J6" s="89" t="n"/>
      <c r="K6" s="89" t="n"/>
      <c r="L6" s="89" t="n"/>
      <c r="M6" s="89" t="n"/>
      <c r="N6" s="89" t="n"/>
      <c r="O6" s="89" t="n"/>
      <c r="P6" s="89" t="n"/>
      <c r="Q6" s="89" t="n"/>
      <c r="R6" s="89" t="n"/>
      <c r="S6" s="89" t="n"/>
      <c r="T6" s="89" t="n"/>
      <c r="U6" s="89" t="n"/>
      <c r="V6" s="89" t="n"/>
      <c r="W6" s="89" t="n"/>
      <c r="X6" s="89" t="n"/>
      <c r="Y6" s="89" t="n"/>
      <c r="Z6" s="89" t="n"/>
      <c r="AA6" s="89" t="n"/>
      <c r="AB6" s="89" t="n"/>
      <c r="AC6" s="89" t="n"/>
      <c r="AD6" s="89" t="n"/>
      <c r="AE6" s="89" t="n"/>
      <c r="AF6" s="89" t="n"/>
      <c r="AG6" s="89" t="n"/>
      <c r="AH6" s="89" t="n"/>
      <c r="AI6" s="89" t="n"/>
      <c r="AJ6" s="89" t="n"/>
      <c r="AK6" s="89" t="n"/>
      <c r="AL6" s="89" t="n"/>
      <c r="AM6" s="89" t="n"/>
      <c r="AN6" s="89" t="n"/>
      <c r="AO6" s="89" t="n">
        <v>4.575099</v>
      </c>
      <c r="AP6" s="89" t="n"/>
      <c r="AQ6" s="89" t="n"/>
      <c r="AR6" s="89" t="n"/>
      <c r="AS6" s="89" t="n"/>
      <c r="AT6" s="89" t="n"/>
      <c r="AU6" s="89" t="n"/>
      <c r="AV6" s="89" t="n"/>
      <c r="AW6" s="89" t="n"/>
      <c r="AX6" s="89" t="n"/>
      <c r="AY6" s="89" t="n"/>
    </row>
    <row r="7">
      <c r="A7" t="inlineStr">
        <is>
          <t>1919-06</t>
        </is>
      </c>
      <c r="B7" s="1" t="n">
        <v>7092</v>
      </c>
      <c r="C7" s="88" t="n">
        <v>7</v>
      </c>
      <c r="D7" s="1" t="n"/>
      <c r="E7" s="1">
        <f>B7</f>
        <v/>
      </c>
      <c r="F7" s="2">
        <f>B7</f>
        <v/>
      </c>
      <c r="G7" s="88" t="n">
        <v>5</v>
      </c>
      <c r="H7" s="89" t="n"/>
      <c r="I7" s="89" t="n"/>
      <c r="J7" s="89" t="n"/>
      <c r="K7" s="89" t="n"/>
      <c r="L7" s="89" t="n"/>
      <c r="M7" s="89" t="n"/>
      <c r="N7" s="89" t="n"/>
      <c r="O7" s="89" t="n"/>
      <c r="P7" s="89" t="n"/>
      <c r="Q7" s="89" t="n"/>
      <c r="R7" s="89" t="n"/>
      <c r="S7" s="89" t="n"/>
      <c r="T7" s="89" t="n"/>
      <c r="U7" s="89" t="n"/>
      <c r="V7" s="89" t="n"/>
      <c r="W7" s="89" t="n"/>
      <c r="X7" s="89" t="n"/>
      <c r="Y7" s="89" t="n"/>
      <c r="Z7" s="89" t="n"/>
      <c r="AA7" s="89" t="n"/>
      <c r="AB7" s="89" t="n"/>
      <c r="AC7" s="89" t="n"/>
      <c r="AD7" s="89" t="n"/>
      <c r="AE7" s="89" t="n"/>
      <c r="AF7" s="89" t="n"/>
      <c r="AG7" s="89" t="n"/>
      <c r="AH7" s="89" t="n"/>
      <c r="AI7" s="89" t="n"/>
      <c r="AJ7" s="89" t="n"/>
      <c r="AK7" s="89" t="n"/>
      <c r="AL7" s="89" t="n"/>
      <c r="AM7" s="89" t="n"/>
      <c r="AN7" s="89" t="n"/>
      <c r="AO7" s="89" t="n">
        <v>4.86767</v>
      </c>
      <c r="AP7" s="89" t="n"/>
      <c r="AQ7" s="89" t="n"/>
      <c r="AR7" s="89" t="n"/>
      <c r="AS7" s="89" t="n"/>
      <c r="AT7" s="89" t="n"/>
      <c r="AU7" s="89" t="n"/>
      <c r="AV7" s="89" t="n"/>
      <c r="AW7" s="89" t="n"/>
      <c r="AX7" s="89" t="n"/>
      <c r="AY7" s="89" t="n"/>
    </row>
    <row r="8">
      <c r="A8" t="inlineStr">
        <is>
          <t>1919-07</t>
        </is>
      </c>
      <c r="B8" s="1" t="n">
        <v>7122</v>
      </c>
      <c r="C8" s="88" t="n">
        <v>8</v>
      </c>
      <c r="D8" s="1" t="n"/>
      <c r="E8" s="1">
        <f>B8</f>
        <v/>
      </c>
      <c r="F8" s="2">
        <f>B8</f>
        <v/>
      </c>
      <c r="G8" s="88" t="n">
        <v>6</v>
      </c>
      <c r="H8" s="89" t="n"/>
      <c r="I8" s="89" t="n"/>
      <c r="J8" s="89" t="n"/>
      <c r="K8" s="89" t="n"/>
      <c r="L8" s="89" t="n"/>
      <c r="M8" s="89" t="n"/>
      <c r="N8" s="89" t="n"/>
      <c r="O8" s="89" t="n"/>
      <c r="P8" s="89" t="n"/>
      <c r="Q8" s="89" t="n"/>
      <c r="R8" s="89" t="n"/>
      <c r="S8" s="89" t="n"/>
      <c r="T8" s="89" t="n"/>
      <c r="U8" s="89" t="n"/>
      <c r="V8" s="89" t="n"/>
      <c r="W8" s="89" t="n"/>
      <c r="X8" s="89" t="n"/>
      <c r="Y8" s="89" t="n"/>
      <c r="Z8" s="89" t="n"/>
      <c r="AA8" s="89" t="n"/>
      <c r="AB8" s="89" t="n"/>
      <c r="AC8" s="89" t="n"/>
      <c r="AD8" s="89" t="n"/>
      <c r="AE8" s="89" t="n"/>
      <c r="AF8" s="89" t="n"/>
      <c r="AG8" s="89" t="n"/>
      <c r="AH8" s="89" t="n"/>
      <c r="AI8" s="89" t="n"/>
      <c r="AJ8" s="89" t="n"/>
      <c r="AK8" s="89" t="n"/>
      <c r="AL8" s="89" t="n"/>
      <c r="AM8" s="89" t="n"/>
      <c r="AN8" s="89" t="n"/>
      <c r="AO8" s="89" t="n">
        <v>5.160242</v>
      </c>
      <c r="AP8" s="89" t="n"/>
      <c r="AQ8" s="89" t="n"/>
      <c r="AR8" s="89" t="n"/>
      <c r="AS8" s="89" t="n"/>
      <c r="AT8" s="89" t="n"/>
      <c r="AU8" s="89" t="n"/>
      <c r="AV8" s="89" t="n"/>
      <c r="AW8" s="89" t="n"/>
      <c r="AX8" s="89" t="n"/>
      <c r="AY8" s="89" t="n"/>
    </row>
    <row r="9">
      <c r="A9" t="inlineStr">
        <is>
          <t>1919-08</t>
        </is>
      </c>
      <c r="B9" s="1" t="n">
        <v>7153</v>
      </c>
      <c r="C9" s="88" t="n">
        <v>9</v>
      </c>
      <c r="D9" s="1" t="n"/>
      <c r="E9" s="1">
        <f>B9</f>
        <v/>
      </c>
      <c r="F9" s="2">
        <f>B9</f>
        <v/>
      </c>
      <c r="G9" s="88" t="n">
        <v>7</v>
      </c>
      <c r="H9" s="89" t="n"/>
      <c r="I9" s="89" t="n"/>
      <c r="J9" s="89" t="n"/>
      <c r="K9" s="89" t="n"/>
      <c r="L9" s="89" t="n"/>
      <c r="M9" s="89" t="n"/>
      <c r="N9" s="89" t="n"/>
      <c r="O9" s="89" t="n"/>
      <c r="P9" s="89" t="n"/>
      <c r="Q9" s="89" t="n"/>
      <c r="R9" s="89" t="n"/>
      <c r="S9" s="89" t="n"/>
      <c r="T9" s="89" t="n"/>
      <c r="U9" s="89" t="n"/>
      <c r="V9" s="89" t="n"/>
      <c r="W9" s="89" t="n"/>
      <c r="X9" s="89" t="n"/>
      <c r="Y9" s="89" t="n"/>
      <c r="Z9" s="89" t="n"/>
      <c r="AA9" s="89" t="n"/>
      <c r="AB9" s="89" t="n"/>
      <c r="AC9" s="89" t="n"/>
      <c r="AD9" s="89" t="n"/>
      <c r="AE9" s="89" t="n"/>
      <c r="AF9" s="89" t="n"/>
      <c r="AG9" s="89" t="n"/>
      <c r="AH9" s="89" t="n"/>
      <c r="AI9" s="89" t="n"/>
      <c r="AJ9" s="89" t="n"/>
      <c r="AK9" s="89" t="n"/>
      <c r="AL9" s="89" t="n"/>
      <c r="AM9" s="89" t="n"/>
      <c r="AN9" s="89" t="n"/>
      <c r="AO9" s="89" t="n">
        <v>5.24006</v>
      </c>
      <c r="AP9" s="89" t="n"/>
      <c r="AQ9" s="89" t="n"/>
      <c r="AR9" s="89" t="n"/>
      <c r="AS9" s="89" t="n"/>
      <c r="AT9" s="89" t="n"/>
      <c r="AU9" s="89" t="n"/>
      <c r="AV9" s="89" t="n"/>
      <c r="AW9" s="89" t="n"/>
      <c r="AX9" s="89" t="n"/>
      <c r="AY9" s="89" t="n"/>
    </row>
    <row r="10">
      <c r="A10" t="inlineStr">
        <is>
          <t>1919-09</t>
        </is>
      </c>
      <c r="B10" s="1" t="n">
        <v>7184</v>
      </c>
      <c r="C10" s="88" t="n">
        <v>10</v>
      </c>
      <c r="D10" s="1" t="n"/>
      <c r="E10" s="1">
        <f>B10</f>
        <v/>
      </c>
      <c r="F10" s="2">
        <f>B10</f>
        <v/>
      </c>
      <c r="G10" s="88" t="n">
        <v>8</v>
      </c>
      <c r="H10" s="89" t="n"/>
      <c r="I10" s="89" t="n"/>
      <c r="J10" s="89" t="n"/>
      <c r="K10" s="89" t="n"/>
      <c r="L10" s="89" t="n"/>
      <c r="M10" s="89" t="n"/>
      <c r="N10" s="89" t="n"/>
      <c r="O10" s="89" t="n"/>
      <c r="P10" s="89" t="n"/>
      <c r="Q10" s="89" t="n"/>
      <c r="R10" s="89" t="n"/>
      <c r="S10" s="89" t="n"/>
      <c r="T10" s="89" t="n"/>
      <c r="U10" s="89" t="n"/>
      <c r="V10" s="89" t="n"/>
      <c r="W10" s="89" t="n"/>
      <c r="X10" s="89" t="n"/>
      <c r="Y10" s="89" t="n"/>
      <c r="Z10" s="89" t="n"/>
      <c r="AA10" s="89" t="n"/>
      <c r="AB10" s="89" t="n"/>
      <c r="AC10" s="89" t="n"/>
      <c r="AD10" s="89" t="n"/>
      <c r="AE10" s="89" t="n"/>
      <c r="AF10" s="89" t="n"/>
      <c r="AG10" s="89" t="n"/>
      <c r="AH10" s="89" t="n"/>
      <c r="AI10" s="89" t="n"/>
      <c r="AJ10" s="89" t="n"/>
      <c r="AK10" s="89" t="n"/>
      <c r="AL10" s="89" t="n"/>
      <c r="AM10" s="89" t="n"/>
      <c r="AN10" s="89" t="n"/>
      <c r="AO10" s="89" t="n">
        <v>5.133636</v>
      </c>
      <c r="AP10" s="89" t="n"/>
      <c r="AQ10" s="89" t="n"/>
      <c r="AR10" s="89" t="n"/>
      <c r="AS10" s="89" t="n"/>
      <c r="AT10" s="89" t="n"/>
      <c r="AU10" s="89" t="n"/>
      <c r="AV10" s="89" t="n"/>
      <c r="AW10" s="89" t="n"/>
      <c r="AX10" s="89" t="n"/>
      <c r="AY10" s="89" t="n"/>
    </row>
    <row r="11">
      <c r="A11" t="inlineStr">
        <is>
          <t>1919-10</t>
        </is>
      </c>
      <c r="B11" s="1" t="n">
        <v>7214</v>
      </c>
      <c r="C11" s="88" t="n">
        <v>11</v>
      </c>
      <c r="D11" s="1" t="n"/>
      <c r="E11" s="1">
        <f>B11</f>
        <v/>
      </c>
      <c r="F11" s="2">
        <f>B11</f>
        <v/>
      </c>
      <c r="G11" s="88" t="n">
        <v>9</v>
      </c>
      <c r="H11" s="89" t="n"/>
      <c r="I11" s="89" t="n"/>
      <c r="J11" s="89" t="n"/>
      <c r="K11" s="89" t="n"/>
      <c r="L11" s="89" t="n"/>
      <c r="M11" s="89" t="n"/>
      <c r="N11" s="89" t="n"/>
      <c r="O11" s="89" t="n"/>
      <c r="P11" s="89" t="n"/>
      <c r="Q11" s="89" t="n"/>
      <c r="R11" s="89" t="n"/>
      <c r="S11" s="89" t="n"/>
      <c r="T11" s="89" t="n"/>
      <c r="U11" s="89" t="n"/>
      <c r="V11" s="89" t="n"/>
      <c r="W11" s="89" t="n"/>
      <c r="X11" s="89" t="n"/>
      <c r="Y11" s="89" t="n"/>
      <c r="Z11" s="89" t="n"/>
      <c r="AA11" s="89" t="n"/>
      <c r="AB11" s="89" t="n"/>
      <c r="AC11" s="89" t="n"/>
      <c r="AD11" s="89" t="n"/>
      <c r="AE11" s="89" t="n"/>
      <c r="AF11" s="89" t="n"/>
      <c r="AG11" s="89" t="n"/>
      <c r="AH11" s="89" t="n"/>
      <c r="AI11" s="89" t="n"/>
      <c r="AJ11" s="89" t="n"/>
      <c r="AK11" s="89" t="n"/>
      <c r="AL11" s="89" t="n"/>
      <c r="AM11" s="89" t="n"/>
      <c r="AN11" s="89" t="n"/>
      <c r="AO11" s="89" t="n">
        <v>5.080423</v>
      </c>
      <c r="AP11" s="89" t="n"/>
      <c r="AQ11" s="89" t="n"/>
      <c r="AR11" s="89" t="n"/>
      <c r="AS11" s="89" t="n"/>
      <c r="AT11" s="89" t="n"/>
      <c r="AU11" s="89" t="n"/>
      <c r="AV11" s="89" t="n"/>
      <c r="AW11" s="89" t="n"/>
      <c r="AX11" s="89" t="n"/>
      <c r="AY11" s="89" t="n"/>
    </row>
    <row r="12">
      <c r="A12" t="inlineStr">
        <is>
          <t>1919-11</t>
        </is>
      </c>
      <c r="B12" s="1" t="n">
        <v>7245</v>
      </c>
      <c r="C12" s="88" t="n">
        <v>12</v>
      </c>
      <c r="D12" s="1" t="n"/>
      <c r="E12" s="1">
        <f>B12</f>
        <v/>
      </c>
      <c r="F12" s="2">
        <f>B12</f>
        <v/>
      </c>
      <c r="G12" s="88" t="n">
        <v>10</v>
      </c>
      <c r="H12" s="89" t="n"/>
      <c r="I12" s="89" t="n"/>
      <c r="J12" s="89" t="n"/>
      <c r="K12" s="89" t="n"/>
      <c r="L12" s="89" t="n"/>
      <c r="M12" s="89" t="n"/>
      <c r="N12" s="89" t="n"/>
      <c r="O12" s="89" t="n"/>
      <c r="P12" s="89" t="n"/>
      <c r="Q12" s="89" t="n"/>
      <c r="R12" s="89" t="n"/>
      <c r="S12" s="89" t="n"/>
      <c r="T12" s="89" t="n"/>
      <c r="U12" s="89" t="n"/>
      <c r="V12" s="89" t="n"/>
      <c r="W12" s="89" t="n"/>
      <c r="X12" s="89" t="n"/>
      <c r="Y12" s="89" t="n"/>
      <c r="Z12" s="89" t="n"/>
      <c r="AA12" s="89" t="n"/>
      <c r="AB12" s="89" t="n"/>
      <c r="AC12" s="89" t="n"/>
      <c r="AD12" s="89" t="n"/>
      <c r="AE12" s="89" t="n"/>
      <c r="AF12" s="89" t="n"/>
      <c r="AG12" s="89" t="n"/>
      <c r="AH12" s="89" t="n"/>
      <c r="AI12" s="89" t="n"/>
      <c r="AJ12" s="89" t="n"/>
      <c r="AK12" s="89" t="n"/>
      <c r="AL12" s="89" t="n"/>
      <c r="AM12" s="89" t="n"/>
      <c r="AN12" s="89" t="n"/>
      <c r="AO12" s="89" t="n">
        <v>5.000605</v>
      </c>
      <c r="AP12" s="89" t="n"/>
      <c r="AQ12" s="89" t="n"/>
      <c r="AR12" s="89" t="n"/>
      <c r="AS12" s="89" t="n"/>
      <c r="AT12" s="89" t="n"/>
      <c r="AU12" s="89" t="n"/>
      <c r="AV12" s="89" t="n"/>
      <c r="AW12" s="89" t="n"/>
      <c r="AX12" s="89" t="n"/>
      <c r="AY12" s="89" t="n"/>
    </row>
    <row r="13">
      <c r="A13" t="inlineStr">
        <is>
          <t>1919-12</t>
        </is>
      </c>
      <c r="B13" s="1" t="n">
        <v>7275</v>
      </c>
      <c r="C13" s="88" t="n">
        <v>13</v>
      </c>
      <c r="D13" s="1" t="n"/>
      <c r="E13" s="1">
        <f>B13</f>
        <v/>
      </c>
      <c r="F13" s="2">
        <f>B13</f>
        <v/>
      </c>
      <c r="G13" s="88" t="n">
        <v>11</v>
      </c>
      <c r="H13" s="89" t="n"/>
      <c r="I13" s="89" t="n"/>
      <c r="J13" s="89" t="n"/>
      <c r="K13" s="89" t="n"/>
      <c r="L13" s="89" t="n"/>
      <c r="M13" s="89" t="n"/>
      <c r="N13" s="89" t="n"/>
      <c r="O13" s="89" t="n"/>
      <c r="P13" s="89" t="n"/>
      <c r="Q13" s="89" t="n"/>
      <c r="R13" s="89" t="n"/>
      <c r="S13" s="89" t="n"/>
      <c r="T13" s="89" t="n"/>
      <c r="U13" s="89" t="n"/>
      <c r="V13" s="89" t="n"/>
      <c r="W13" s="89" t="n"/>
      <c r="X13" s="89" t="n"/>
      <c r="Y13" s="89" t="n"/>
      <c r="Z13" s="89" t="n"/>
      <c r="AA13" s="89" t="n"/>
      <c r="AB13" s="89" t="n"/>
      <c r="AC13" s="89" t="n"/>
      <c r="AD13" s="89" t="n"/>
      <c r="AE13" s="89" t="n"/>
      <c r="AF13" s="89" t="n"/>
      <c r="AG13" s="89" t="n"/>
      <c r="AH13" s="89" t="n"/>
      <c r="AI13" s="89" t="n"/>
      <c r="AJ13" s="89" t="n"/>
      <c r="AK13" s="89" t="n"/>
      <c r="AL13" s="89" t="n"/>
      <c r="AM13" s="89" t="n"/>
      <c r="AN13" s="89" t="n"/>
      <c r="AO13" s="89" t="n">
        <v>5.080423</v>
      </c>
      <c r="AP13" s="89" t="n"/>
      <c r="AQ13" s="89" t="n"/>
      <c r="AR13" s="89" t="n"/>
      <c r="AS13" s="89" t="n"/>
      <c r="AT13" s="89" t="n"/>
      <c r="AU13" s="89" t="n"/>
      <c r="AV13" s="89" t="n"/>
      <c r="AW13" s="89" t="n"/>
      <c r="AX13" s="89" t="n"/>
      <c r="AY13" s="89" t="n"/>
    </row>
    <row r="14">
      <c r="A14" t="inlineStr">
        <is>
          <t>1920-01</t>
        </is>
      </c>
      <c r="B14" s="1" t="n">
        <v>7306</v>
      </c>
      <c r="C14" s="88" t="n">
        <v>14</v>
      </c>
      <c r="D14" s="1" t="n"/>
      <c r="E14" s="1">
        <f>B14</f>
        <v/>
      </c>
      <c r="F14" s="2">
        <f>B14</f>
        <v/>
      </c>
      <c r="G14" s="88" t="n">
        <v>12</v>
      </c>
      <c r="H14" s="89" t="n"/>
      <c r="I14" s="89" t="n"/>
      <c r="J14" s="89" t="n"/>
      <c r="K14" s="89" t="n"/>
      <c r="L14" s="89" t="n"/>
      <c r="M14" s="89" t="n"/>
      <c r="N14" s="89" t="n"/>
      <c r="O14" s="89" t="n"/>
      <c r="P14" s="89" t="n"/>
      <c r="Q14" s="89" t="n"/>
      <c r="R14" s="89" t="n"/>
      <c r="S14" s="89" t="n"/>
      <c r="T14" s="89" t="n"/>
      <c r="U14" s="89" t="n"/>
      <c r="V14" s="89" t="n"/>
      <c r="W14" s="89" t="n"/>
      <c r="X14" s="89" t="n"/>
      <c r="Y14" s="89" t="n"/>
      <c r="Z14" s="89" t="n"/>
      <c r="AA14" s="89" t="n"/>
      <c r="AB14" s="89" t="n"/>
      <c r="AC14" s="89" t="n"/>
      <c r="AD14" s="89" t="n"/>
      <c r="AE14" s="89" t="n"/>
      <c r="AF14" s="89" t="n"/>
      <c r="AG14" s="89" t="n"/>
      <c r="AH14" s="89" t="n"/>
      <c r="AI14" s="89" t="n"/>
      <c r="AJ14" s="89" t="n"/>
      <c r="AK14" s="89" t="n"/>
      <c r="AL14" s="89" t="n"/>
      <c r="AM14" s="89" t="n"/>
      <c r="AN14" s="89" t="n"/>
      <c r="AO14" s="89" t="n">
        <v>5.559237</v>
      </c>
      <c r="AP14" s="89" t="n"/>
      <c r="AQ14" s="89" t="n"/>
      <c r="AR14" s="89" t="n"/>
      <c r="AS14" s="89" t="n"/>
      <c r="AT14" s="89" t="n"/>
      <c r="AU14" s="89" t="n"/>
      <c r="AV14" s="89" t="n"/>
      <c r="AW14" s="89" t="n"/>
      <c r="AX14" s="89" t="n"/>
      <c r="AY14" s="89" t="n"/>
    </row>
    <row r="15">
      <c r="A15" t="inlineStr">
        <is>
          <t>1920-02</t>
        </is>
      </c>
      <c r="B15" s="1" t="n">
        <v>7337</v>
      </c>
      <c r="C15" s="88" t="n">
        <v>15</v>
      </c>
      <c r="D15" s="1" t="n"/>
      <c r="E15" s="1">
        <f>B15</f>
        <v/>
      </c>
      <c r="F15" s="2">
        <f>B15</f>
        <v/>
      </c>
      <c r="G15" s="88" t="n">
        <v>13</v>
      </c>
      <c r="H15" s="89" t="n"/>
      <c r="I15" s="89" t="n"/>
      <c r="J15" s="89" t="n"/>
      <c r="K15" s="89" t="n"/>
      <c r="L15" s="89" t="n"/>
      <c r="M15" s="89" t="n"/>
      <c r="N15" s="89" t="n"/>
      <c r="O15" s="89" t="n"/>
      <c r="P15" s="89" t="n"/>
      <c r="Q15" s="89" t="n"/>
      <c r="R15" s="89" t="n"/>
      <c r="S15" s="89" t="n"/>
      <c r="T15" s="89" t="n"/>
      <c r="U15" s="89" t="n"/>
      <c r="V15" s="89" t="n"/>
      <c r="W15" s="89" t="n"/>
      <c r="X15" s="89" t="n"/>
      <c r="Y15" s="89" t="n"/>
      <c r="Z15" s="89" t="n"/>
      <c r="AA15" s="89" t="n"/>
      <c r="AB15" s="89" t="n"/>
      <c r="AC15" s="89" t="n"/>
      <c r="AD15" s="89" t="n"/>
      <c r="AE15" s="89" t="n"/>
      <c r="AF15" s="89" t="n"/>
      <c r="AG15" s="89" t="n"/>
      <c r="AH15" s="89" t="n"/>
      <c r="AI15" s="89" t="n"/>
      <c r="AJ15" s="89" t="n"/>
      <c r="AK15" s="89" t="n"/>
      <c r="AL15" s="89" t="n"/>
      <c r="AM15" s="89" t="n"/>
      <c r="AN15" s="89" t="n"/>
      <c r="AO15" s="89" t="n">
        <v>5.559237</v>
      </c>
      <c r="AP15" s="89" t="n"/>
      <c r="AQ15" s="89" t="n"/>
      <c r="AR15" s="89" t="n"/>
      <c r="AS15" s="89" t="n"/>
      <c r="AT15" s="89" t="n"/>
      <c r="AU15" s="89" t="n"/>
      <c r="AV15" s="89" t="n"/>
      <c r="AW15" s="89" t="n"/>
      <c r="AX15" s="89" t="n"/>
      <c r="AY15" s="89" t="n"/>
    </row>
    <row r="16">
      <c r="A16" t="inlineStr">
        <is>
          <t>1920-03</t>
        </is>
      </c>
      <c r="B16" s="1" t="n">
        <v>7366</v>
      </c>
      <c r="C16" s="88" t="n">
        <v>16</v>
      </c>
      <c r="D16" s="1" t="n"/>
      <c r="E16" s="1">
        <f>B16</f>
        <v/>
      </c>
      <c r="F16" s="2">
        <f>B16</f>
        <v/>
      </c>
      <c r="G16" s="88" t="n">
        <v>14</v>
      </c>
      <c r="H16" s="89" t="n"/>
      <c r="I16" s="89" t="n"/>
      <c r="J16" s="89" t="n"/>
      <c r="K16" s="89" t="n"/>
      <c r="L16" s="89" t="n"/>
      <c r="M16" s="89" t="n"/>
      <c r="N16" s="89" t="n"/>
      <c r="O16" s="89" t="n"/>
      <c r="P16" s="89" t="n"/>
      <c r="Q16" s="89" t="n"/>
      <c r="R16" s="89" t="n"/>
      <c r="S16" s="89" t="n"/>
      <c r="T16" s="89" t="n"/>
      <c r="U16" s="89" t="n"/>
      <c r="V16" s="89" t="n"/>
      <c r="W16" s="89" t="n"/>
      <c r="X16" s="89" t="n"/>
      <c r="Y16" s="89" t="n"/>
      <c r="Z16" s="89" t="n"/>
      <c r="AA16" s="89" t="n"/>
      <c r="AB16" s="89" t="n"/>
      <c r="AC16" s="89" t="n"/>
      <c r="AD16" s="89" t="n"/>
      <c r="AE16" s="89" t="n"/>
      <c r="AF16" s="89" t="n"/>
      <c r="AG16" s="89" t="n"/>
      <c r="AH16" s="89" t="n"/>
      <c r="AI16" s="89" t="n"/>
      <c r="AJ16" s="89" t="n"/>
      <c r="AK16" s="89" t="n"/>
      <c r="AL16" s="89" t="n"/>
      <c r="AM16" s="89" t="n"/>
      <c r="AN16" s="89" t="n"/>
      <c r="AO16" s="89" t="n">
        <v>5.452813</v>
      </c>
      <c r="AP16" s="89" t="n"/>
      <c r="AQ16" s="89" t="n"/>
      <c r="AR16" s="89" t="n"/>
      <c r="AS16" s="89" t="n"/>
      <c r="AT16" s="89" t="n"/>
      <c r="AU16" s="89" t="n"/>
      <c r="AV16" s="89" t="n"/>
      <c r="AW16" s="89" t="n"/>
      <c r="AX16" s="89" t="n"/>
      <c r="AY16" s="89" t="n"/>
    </row>
    <row r="17">
      <c r="A17" t="inlineStr">
        <is>
          <t>1920-04</t>
        </is>
      </c>
      <c r="B17" s="1" t="n">
        <v>7397</v>
      </c>
      <c r="C17" s="88" t="n">
        <v>17</v>
      </c>
      <c r="D17" s="1" t="n"/>
      <c r="E17" s="1">
        <f>B17</f>
        <v/>
      </c>
      <c r="F17" s="2">
        <f>B17</f>
        <v/>
      </c>
      <c r="G17" s="88" t="n">
        <v>15</v>
      </c>
      <c r="H17" s="89" t="n"/>
      <c r="I17" s="89" t="n"/>
      <c r="J17" s="89" t="n"/>
      <c r="K17" s="89" t="n"/>
      <c r="L17" s="89" t="n"/>
      <c r="M17" s="89" t="n"/>
      <c r="N17" s="89" t="n"/>
      <c r="O17" s="89" t="n"/>
      <c r="P17" s="89" t="n"/>
      <c r="Q17" s="89" t="n"/>
      <c r="R17" s="89" t="n"/>
      <c r="S17" s="89" t="n"/>
      <c r="T17" s="89" t="n"/>
      <c r="U17" s="89" t="n"/>
      <c r="V17" s="89" t="n"/>
      <c r="W17" s="89" t="n"/>
      <c r="X17" s="89" t="n"/>
      <c r="Y17" s="89" t="n"/>
      <c r="Z17" s="89" t="n"/>
      <c r="AA17" s="89" t="n"/>
      <c r="AB17" s="89" t="n"/>
      <c r="AC17" s="89" t="n"/>
      <c r="AD17" s="89" t="n"/>
      <c r="AE17" s="89" t="n"/>
      <c r="AF17" s="89" t="n"/>
      <c r="AG17" s="89" t="n"/>
      <c r="AH17" s="89" t="n"/>
      <c r="AI17" s="89" t="n"/>
      <c r="AJ17" s="89" t="n"/>
      <c r="AK17" s="89" t="n"/>
      <c r="AL17" s="89" t="n"/>
      <c r="AM17" s="89" t="n"/>
      <c r="AN17" s="89" t="n"/>
      <c r="AO17" s="89" t="n">
        <v>5.160242</v>
      </c>
      <c r="AP17" s="89" t="n"/>
      <c r="AQ17" s="89" t="n"/>
      <c r="AR17" s="89" t="n"/>
      <c r="AS17" s="89" t="n"/>
      <c r="AT17" s="89" t="n"/>
      <c r="AU17" s="89" t="n"/>
      <c r="AV17" s="89" t="n"/>
      <c r="AW17" s="89" t="n"/>
      <c r="AX17" s="89" t="n"/>
      <c r="AY17" s="89" t="n"/>
    </row>
    <row r="18">
      <c r="A18" t="inlineStr">
        <is>
          <t>1920-05</t>
        </is>
      </c>
      <c r="B18" s="1" t="n">
        <v>7427</v>
      </c>
      <c r="C18" s="88" t="n">
        <v>18</v>
      </c>
      <c r="D18" s="1" t="n"/>
      <c r="E18" s="1">
        <f>B18</f>
        <v/>
      </c>
      <c r="F18" s="2">
        <f>B18</f>
        <v/>
      </c>
      <c r="G18" s="88" t="n">
        <v>16</v>
      </c>
      <c r="H18" s="89" t="n"/>
      <c r="I18" s="89" t="n"/>
      <c r="J18" s="89" t="n"/>
      <c r="K18" s="89" t="n"/>
      <c r="L18" s="89" t="n"/>
      <c r="M18" s="89" t="n"/>
      <c r="N18" s="89" t="n"/>
      <c r="O18" s="89" t="n"/>
      <c r="P18" s="89" t="n"/>
      <c r="Q18" s="89" t="n"/>
      <c r="R18" s="89" t="n"/>
      <c r="S18" s="89" t="n"/>
      <c r="T18" s="89" t="n"/>
      <c r="U18" s="89" t="n"/>
      <c r="V18" s="89" t="n"/>
      <c r="W18" s="89" t="n"/>
      <c r="X18" s="89" t="n"/>
      <c r="Y18" s="89" t="n"/>
      <c r="Z18" s="89" t="n"/>
      <c r="AA18" s="89" t="n"/>
      <c r="AB18" s="89" t="n"/>
      <c r="AC18" s="89" t="n"/>
      <c r="AD18" s="89" t="n"/>
      <c r="AE18" s="89" t="n"/>
      <c r="AF18" s="89" t="n"/>
      <c r="AG18" s="89" t="n"/>
      <c r="AH18" s="89" t="n"/>
      <c r="AI18" s="89" t="n"/>
      <c r="AJ18" s="89" t="n"/>
      <c r="AK18" s="89" t="n"/>
      <c r="AL18" s="89" t="n"/>
      <c r="AM18" s="89" t="n"/>
      <c r="AN18" s="89" t="n"/>
      <c r="AO18" s="89" t="n">
        <v>5.293272</v>
      </c>
      <c r="AP18" s="89" t="n"/>
      <c r="AQ18" s="89" t="n"/>
      <c r="AR18" s="89" t="n"/>
      <c r="AS18" s="89" t="n"/>
      <c r="AT18" s="89" t="n"/>
      <c r="AU18" s="89" t="n"/>
      <c r="AV18" s="89" t="n"/>
      <c r="AW18" s="89" t="n"/>
      <c r="AX18" s="89" t="n"/>
      <c r="AY18" s="89" t="n"/>
    </row>
    <row r="19">
      <c r="A19" t="inlineStr">
        <is>
          <t>1920-06</t>
        </is>
      </c>
      <c r="B19" s="1" t="n">
        <v>7458</v>
      </c>
      <c r="C19" s="88" t="n">
        <v>19</v>
      </c>
      <c r="D19" s="1" t="n"/>
      <c r="E19" s="1">
        <f>B19</f>
        <v/>
      </c>
      <c r="F19" s="2">
        <f>B19</f>
        <v/>
      </c>
      <c r="G19" s="88" t="n">
        <v>17</v>
      </c>
      <c r="H19" s="89" t="n"/>
      <c r="I19" s="89" t="n"/>
      <c r="J19" s="89" t="n"/>
      <c r="K19" s="89" t="n"/>
      <c r="L19" s="89" t="n"/>
      <c r="M19" s="89" t="n"/>
      <c r="N19" s="89" t="n"/>
      <c r="O19" s="89" t="n"/>
      <c r="P19" s="89" t="n"/>
      <c r="Q19" s="89" t="n"/>
      <c r="R19" s="89" t="n"/>
      <c r="S19" s="89" t="n"/>
      <c r="T19" s="89" t="n"/>
      <c r="U19" s="89" t="n"/>
      <c r="V19" s="89" t="n"/>
      <c r="W19" s="89" t="n"/>
      <c r="X19" s="89" t="n"/>
      <c r="Y19" s="89" t="n"/>
      <c r="Z19" s="89" t="n"/>
      <c r="AA19" s="89" t="n"/>
      <c r="AB19" s="89" t="n"/>
      <c r="AC19" s="89" t="n"/>
      <c r="AD19" s="89" t="n"/>
      <c r="AE19" s="89" t="n"/>
      <c r="AF19" s="89" t="n"/>
      <c r="AG19" s="89" t="n"/>
      <c r="AH19" s="89" t="n"/>
      <c r="AI19" s="89" t="n"/>
      <c r="AJ19" s="89" t="n"/>
      <c r="AK19" s="89" t="n"/>
      <c r="AL19" s="89" t="n"/>
      <c r="AM19" s="89" t="n"/>
      <c r="AN19" s="89" t="n"/>
      <c r="AO19" s="89" t="n">
        <v>5.346484</v>
      </c>
      <c r="AP19" s="89" t="n"/>
      <c r="AQ19" s="89" t="n"/>
      <c r="AR19" s="89" t="n"/>
      <c r="AS19" s="89" t="n"/>
      <c r="AT19" s="89" t="n"/>
      <c r="AU19" s="89" t="n"/>
      <c r="AV19" s="89" t="n"/>
      <c r="AW19" s="89" t="n"/>
      <c r="AX19" s="89" t="n"/>
      <c r="AY19" s="89" t="n"/>
    </row>
    <row r="20">
      <c r="A20" t="inlineStr">
        <is>
          <t>1920-07</t>
        </is>
      </c>
      <c r="B20" s="1" t="n">
        <v>7488</v>
      </c>
      <c r="C20" s="88" t="n">
        <v>20</v>
      </c>
      <c r="D20" s="1" t="n"/>
      <c r="E20" s="1">
        <f>B20</f>
        <v/>
      </c>
      <c r="F20" s="2">
        <f>B20</f>
        <v/>
      </c>
      <c r="G20" s="88" t="n">
        <v>18</v>
      </c>
      <c r="H20" s="89" t="n"/>
      <c r="I20" s="89" t="n"/>
      <c r="J20" s="89" t="n"/>
      <c r="K20" s="89" t="n"/>
      <c r="L20" s="89" t="n"/>
      <c r="M20" s="89" t="n"/>
      <c r="N20" s="89" t="n"/>
      <c r="O20" s="89" t="n"/>
      <c r="P20" s="89" t="n"/>
      <c r="Q20" s="89" t="n"/>
      <c r="R20" s="89" t="n"/>
      <c r="S20" s="89" t="n"/>
      <c r="T20" s="89" t="n"/>
      <c r="U20" s="89" t="n"/>
      <c r="V20" s="89" t="n"/>
      <c r="W20" s="89" t="n"/>
      <c r="X20" s="89" t="n"/>
      <c r="Y20" s="89" t="n"/>
      <c r="Z20" s="89" t="n"/>
      <c r="AA20" s="89" t="n"/>
      <c r="AB20" s="89" t="n"/>
      <c r="AC20" s="89" t="n"/>
      <c r="AD20" s="89" t="n"/>
      <c r="AE20" s="89" t="n"/>
      <c r="AF20" s="89" t="n"/>
      <c r="AG20" s="89" t="n"/>
      <c r="AH20" s="89" t="n"/>
      <c r="AI20" s="89" t="n"/>
      <c r="AJ20" s="89" t="n"/>
      <c r="AK20" s="89" t="n"/>
      <c r="AL20" s="89" t="n"/>
      <c r="AM20" s="89" t="n"/>
      <c r="AN20" s="89" t="n"/>
      <c r="AO20" s="89" t="n">
        <v>5.213454</v>
      </c>
      <c r="AP20" s="89" t="n"/>
      <c r="AQ20" s="89" t="n"/>
      <c r="AR20" s="89" t="n"/>
      <c r="AS20" s="89" t="n"/>
      <c r="AT20" s="89" t="n"/>
      <c r="AU20" s="89" t="n"/>
      <c r="AV20" s="89" t="n"/>
      <c r="AW20" s="89" t="n"/>
      <c r="AX20" s="89" t="n"/>
      <c r="AY20" s="89" t="n"/>
    </row>
    <row r="21">
      <c r="A21" t="inlineStr">
        <is>
          <t>1920-08</t>
        </is>
      </c>
      <c r="B21" s="1" t="n">
        <v>7519</v>
      </c>
      <c r="C21" s="88" t="n">
        <v>21</v>
      </c>
      <c r="D21" s="1" t="n"/>
      <c r="E21" s="1">
        <f>B21</f>
        <v/>
      </c>
      <c r="F21" s="2">
        <f>B21</f>
        <v/>
      </c>
      <c r="G21" s="88" t="n">
        <v>19</v>
      </c>
      <c r="H21" s="89" t="n"/>
      <c r="I21" s="89" t="n"/>
      <c r="J21" s="89" t="n"/>
      <c r="K21" s="89" t="n"/>
      <c r="L21" s="89" t="n"/>
      <c r="M21" s="89" t="n"/>
      <c r="N21" s="89" t="n"/>
      <c r="O21" s="89" t="n"/>
      <c r="P21" s="89" t="n"/>
      <c r="Q21" s="89" t="n"/>
      <c r="R21" s="89" t="n"/>
      <c r="S21" s="89" t="n"/>
      <c r="T21" s="89" t="n"/>
      <c r="U21" s="89" t="n"/>
      <c r="V21" s="89" t="n"/>
      <c r="W21" s="89" t="n"/>
      <c r="X21" s="89" t="n"/>
      <c r="Y21" s="89" t="n"/>
      <c r="Z21" s="89" t="n"/>
      <c r="AA21" s="89" t="n"/>
      <c r="AB21" s="89" t="n"/>
      <c r="AC21" s="89" t="n"/>
      <c r="AD21" s="89" t="n"/>
      <c r="AE21" s="89" t="n"/>
      <c r="AF21" s="89" t="n"/>
      <c r="AG21" s="89" t="n"/>
      <c r="AH21" s="89" t="n"/>
      <c r="AI21" s="89" t="n"/>
      <c r="AJ21" s="89" t="n"/>
      <c r="AK21" s="89" t="n"/>
      <c r="AL21" s="89" t="n"/>
      <c r="AM21" s="89" t="n"/>
      <c r="AN21" s="89" t="n"/>
      <c r="AO21" s="89" t="n">
        <v>5.24006</v>
      </c>
      <c r="AP21" s="89" t="n"/>
      <c r="AQ21" s="89" t="n"/>
      <c r="AR21" s="89" t="n"/>
      <c r="AS21" s="89" t="n"/>
      <c r="AT21" s="89" t="n"/>
      <c r="AU21" s="89" t="n"/>
      <c r="AV21" s="89" t="n"/>
      <c r="AW21" s="89" t="n"/>
      <c r="AX21" s="89" t="n"/>
      <c r="AY21" s="89" t="n"/>
    </row>
    <row r="22">
      <c r="A22" t="inlineStr">
        <is>
          <t>1920-09</t>
        </is>
      </c>
      <c r="B22" s="1" t="n">
        <v>7550</v>
      </c>
      <c r="C22" s="88" t="n">
        <v>22</v>
      </c>
      <c r="D22" s="1" t="n"/>
      <c r="E22" s="1">
        <f>B22</f>
        <v/>
      </c>
      <c r="F22" s="2">
        <f>B22</f>
        <v/>
      </c>
      <c r="G22" s="88" t="n">
        <v>20</v>
      </c>
      <c r="H22" s="89" t="n"/>
      <c r="I22" s="89" t="n"/>
      <c r="J22" s="89" t="n"/>
      <c r="K22" s="89" t="n"/>
      <c r="L22" s="89" t="n"/>
      <c r="M22" s="89" t="n"/>
      <c r="N22" s="89" t="n"/>
      <c r="O22" s="89" t="n"/>
      <c r="P22" s="89" t="n"/>
      <c r="Q22" s="89" t="n"/>
      <c r="R22" s="89" t="n"/>
      <c r="S22" s="89" t="n"/>
      <c r="T22" s="89" t="n"/>
      <c r="U22" s="89" t="n"/>
      <c r="V22" s="89" t="n"/>
      <c r="W22" s="89" t="n"/>
      <c r="X22" s="89" t="n"/>
      <c r="Y22" s="89" t="n"/>
      <c r="Z22" s="89" t="n"/>
      <c r="AA22" s="89" t="n"/>
      <c r="AB22" s="89" t="n"/>
      <c r="AC22" s="89" t="n"/>
      <c r="AD22" s="89" t="n"/>
      <c r="AE22" s="89" t="n"/>
      <c r="AF22" s="89" t="n"/>
      <c r="AG22" s="89" t="n"/>
      <c r="AH22" s="89" t="n"/>
      <c r="AI22" s="89" t="n"/>
      <c r="AJ22" s="89" t="n"/>
      <c r="AK22" s="89" t="n"/>
      <c r="AL22" s="89" t="n"/>
      <c r="AM22" s="89" t="n"/>
      <c r="AN22" s="89" t="n"/>
      <c r="AO22" s="89" t="n">
        <v>5.053817</v>
      </c>
      <c r="AP22" s="89" t="n"/>
      <c r="AQ22" s="89" t="n"/>
      <c r="AR22" s="89" t="n"/>
      <c r="AS22" s="89" t="n"/>
      <c r="AT22" s="89" t="n"/>
      <c r="AU22" s="89" t="n"/>
      <c r="AV22" s="89" t="n"/>
      <c r="AW22" s="89" t="n"/>
      <c r="AX22" s="89" t="n"/>
      <c r="AY22" s="89" t="n"/>
    </row>
    <row r="23">
      <c r="A23" t="inlineStr">
        <is>
          <t>1920-10</t>
        </is>
      </c>
      <c r="B23" s="1" t="n">
        <v>7580</v>
      </c>
      <c r="C23" s="88" t="n">
        <v>23</v>
      </c>
      <c r="D23" s="1" t="n"/>
      <c r="E23" s="1">
        <f>B23</f>
        <v/>
      </c>
      <c r="F23" s="2">
        <f>B23</f>
        <v/>
      </c>
      <c r="G23" s="88" t="n">
        <v>21</v>
      </c>
      <c r="H23" s="89" t="n"/>
      <c r="I23" s="89" t="n"/>
      <c r="J23" s="89" t="n"/>
      <c r="K23" s="89" t="n"/>
      <c r="L23" s="89" t="n"/>
      <c r="M23" s="89" t="n"/>
      <c r="N23" s="89" t="n"/>
      <c r="O23" s="89" t="n"/>
      <c r="P23" s="89" t="n"/>
      <c r="Q23" s="89" t="n"/>
      <c r="R23" s="89" t="n"/>
      <c r="S23" s="89" t="n"/>
      <c r="T23" s="89" t="n"/>
      <c r="U23" s="89" t="n"/>
      <c r="V23" s="89" t="n"/>
      <c r="W23" s="89" t="n"/>
      <c r="X23" s="89" t="n"/>
      <c r="Y23" s="89" t="n"/>
      <c r="Z23" s="89" t="n"/>
      <c r="AA23" s="89" t="n"/>
      <c r="AB23" s="89" t="n"/>
      <c r="AC23" s="89" t="n"/>
      <c r="AD23" s="89" t="n"/>
      <c r="AE23" s="89" t="n"/>
      <c r="AF23" s="89" t="n"/>
      <c r="AG23" s="89" t="n"/>
      <c r="AH23" s="89" t="n"/>
      <c r="AI23" s="89" t="n"/>
      <c r="AJ23" s="89" t="n"/>
      <c r="AK23" s="89" t="n"/>
      <c r="AL23" s="89" t="n"/>
      <c r="AM23" s="89" t="n"/>
      <c r="AN23" s="89" t="n"/>
      <c r="AO23" s="89" t="n">
        <v>4.841064</v>
      </c>
      <c r="AP23" s="89" t="n"/>
      <c r="AQ23" s="89" t="n"/>
      <c r="AR23" s="89" t="n"/>
      <c r="AS23" s="89" t="n"/>
      <c r="AT23" s="89" t="n"/>
      <c r="AU23" s="89" t="n"/>
      <c r="AV23" s="89" t="n"/>
      <c r="AW23" s="89" t="n"/>
      <c r="AX23" s="89" t="n"/>
      <c r="AY23" s="89" t="n"/>
    </row>
    <row r="24">
      <c r="A24" t="inlineStr">
        <is>
          <t>1920-11</t>
        </is>
      </c>
      <c r="B24" s="1" t="n">
        <v>7611</v>
      </c>
      <c r="C24" s="88" t="n">
        <v>24</v>
      </c>
      <c r="D24" s="1" t="n"/>
      <c r="E24" s="1">
        <f>B24</f>
        <v/>
      </c>
      <c r="F24" s="2">
        <f>B24</f>
        <v/>
      </c>
      <c r="G24" s="88" t="n">
        <v>22</v>
      </c>
      <c r="H24" s="89" t="n"/>
      <c r="I24" s="89" t="n"/>
      <c r="J24" s="89" t="n"/>
      <c r="K24" s="89" t="n"/>
      <c r="L24" s="89" t="n"/>
      <c r="M24" s="89" t="n"/>
      <c r="N24" s="89" t="n"/>
      <c r="O24" s="89" t="n"/>
      <c r="P24" s="89" t="n"/>
      <c r="Q24" s="89" t="n"/>
      <c r="R24" s="89" t="n"/>
      <c r="S24" s="89" t="n"/>
      <c r="T24" s="89" t="n"/>
      <c r="U24" s="89" t="n"/>
      <c r="V24" s="89" t="n"/>
      <c r="W24" s="89" t="n"/>
      <c r="X24" s="89" t="n"/>
      <c r="Y24" s="89" t="n"/>
      <c r="Z24" s="89" t="n"/>
      <c r="AA24" s="89" t="n"/>
      <c r="AB24" s="89" t="n"/>
      <c r="AC24" s="89" t="n"/>
      <c r="AD24" s="89" t="n"/>
      <c r="AE24" s="89" t="n"/>
      <c r="AF24" s="89" t="n"/>
      <c r="AG24" s="89" t="n"/>
      <c r="AH24" s="89" t="n"/>
      <c r="AI24" s="89" t="n"/>
      <c r="AJ24" s="89" t="n"/>
      <c r="AK24" s="89" t="n"/>
      <c r="AL24" s="89" t="n"/>
      <c r="AM24" s="89" t="n"/>
      <c r="AN24" s="89" t="n"/>
      <c r="AO24" s="89" t="n">
        <v>4.442069</v>
      </c>
      <c r="AP24" s="89" t="n"/>
      <c r="AQ24" s="89" t="n"/>
      <c r="AR24" s="89" t="n"/>
      <c r="AS24" s="89" t="n"/>
      <c r="AT24" s="89" t="n"/>
      <c r="AU24" s="89" t="n"/>
      <c r="AV24" s="89" t="n"/>
      <c r="AW24" s="89" t="n"/>
      <c r="AX24" s="89" t="n"/>
      <c r="AY24" s="89" t="n"/>
    </row>
    <row r="25">
      <c r="A25" t="inlineStr">
        <is>
          <t>1920-12</t>
        </is>
      </c>
      <c r="B25" s="1" t="n">
        <v>7641</v>
      </c>
      <c r="C25" s="88" t="n">
        <v>25</v>
      </c>
      <c r="D25" s="1" t="n"/>
      <c r="E25" s="1">
        <f>B25</f>
        <v/>
      </c>
      <c r="F25" s="2">
        <f>B25</f>
        <v/>
      </c>
      <c r="G25" s="88" t="n">
        <v>23</v>
      </c>
      <c r="H25" s="89" t="n"/>
      <c r="I25" s="89" t="n"/>
      <c r="J25" s="89" t="n"/>
      <c r="K25" s="89" t="n"/>
      <c r="L25" s="89" t="n"/>
      <c r="M25" s="89" t="n"/>
      <c r="N25" s="89" t="n"/>
      <c r="O25" s="89" t="n"/>
      <c r="P25" s="89" t="n"/>
      <c r="Q25" s="89" t="n"/>
      <c r="R25" s="89" t="n"/>
      <c r="S25" s="89" t="n"/>
      <c r="T25" s="89" t="n"/>
      <c r="U25" s="89" t="n"/>
      <c r="V25" s="89" t="n"/>
      <c r="W25" s="89" t="n"/>
      <c r="X25" s="89" t="n"/>
      <c r="Y25" s="89" t="n"/>
      <c r="Z25" s="89" t="n"/>
      <c r="AA25" s="89" t="n"/>
      <c r="AB25" s="89" t="n"/>
      <c r="AC25" s="89" t="n"/>
      <c r="AD25" s="89" t="n"/>
      <c r="AE25" s="89" t="n"/>
      <c r="AF25" s="89" t="n"/>
      <c r="AG25" s="89" t="n"/>
      <c r="AH25" s="89" t="n"/>
      <c r="AI25" s="89" t="n"/>
      <c r="AJ25" s="89" t="n"/>
      <c r="AK25" s="89" t="n"/>
      <c r="AL25" s="89" t="n"/>
      <c r="AM25" s="89" t="n"/>
      <c r="AN25" s="89" t="n"/>
      <c r="AO25" s="89" t="n">
        <v>4.176103</v>
      </c>
      <c r="AP25" s="89" t="n"/>
      <c r="AQ25" s="89" t="n"/>
      <c r="AR25" s="89" t="n"/>
      <c r="AS25" s="89" t="n"/>
      <c r="AT25" s="89" t="n"/>
      <c r="AU25" s="89" t="n"/>
      <c r="AV25" s="89" t="n"/>
      <c r="AW25" s="89" t="n"/>
      <c r="AX25" s="89" t="n"/>
      <c r="AY25" s="89" t="n"/>
    </row>
    <row r="26">
      <c r="A26" t="inlineStr">
        <is>
          <t>1921-01</t>
        </is>
      </c>
      <c r="B26" s="1" t="n">
        <v>7672</v>
      </c>
      <c r="C26" s="88" t="n">
        <v>26</v>
      </c>
      <c r="D26" s="1" t="n"/>
      <c r="E26" s="1">
        <f>B26</f>
        <v/>
      </c>
      <c r="F26" s="2">
        <f>B26</f>
        <v/>
      </c>
      <c r="G26" s="88" t="n">
        <v>24</v>
      </c>
      <c r="H26" s="89" t="n"/>
      <c r="I26" s="89" t="n"/>
      <c r="J26" s="89" t="n"/>
      <c r="K26" s="89" t="n"/>
      <c r="L26" s="89" t="n"/>
      <c r="M26" s="89" t="n"/>
      <c r="N26" s="89" t="n"/>
      <c r="O26" s="89" t="n"/>
      <c r="P26" s="89" t="n"/>
      <c r="Q26" s="89" t="n"/>
      <c r="R26" s="89" t="n"/>
      <c r="S26" s="89" t="n"/>
      <c r="T26" s="89" t="n"/>
      <c r="U26" s="89" t="n"/>
      <c r="V26" s="89" t="n"/>
      <c r="W26" s="89" t="n"/>
      <c r="X26" s="89" t="n"/>
      <c r="Y26" s="89" t="n"/>
      <c r="Z26" s="89" t="n"/>
      <c r="AA26" s="89" t="n"/>
      <c r="AB26" s="89" t="n"/>
      <c r="AC26" s="89" t="n"/>
      <c r="AD26" s="89" t="n"/>
      <c r="AE26" s="89" t="n"/>
      <c r="AF26" s="89" t="n"/>
      <c r="AG26" s="89" t="n"/>
      <c r="AH26" s="89" t="n"/>
      <c r="AI26" s="89" t="n"/>
      <c r="AJ26" s="89" t="n"/>
      <c r="AK26" s="89" t="n"/>
      <c r="AL26" s="89" t="n"/>
      <c r="AM26" s="89" t="n"/>
      <c r="AN26" s="89" t="n"/>
      <c r="AO26" s="89" t="n">
        <v>3.936648</v>
      </c>
      <c r="AP26" s="89" t="n"/>
      <c r="AQ26" s="89" t="n"/>
      <c r="AR26" s="89" t="n"/>
      <c r="AS26" s="89" t="n"/>
      <c r="AT26" s="89" t="n"/>
      <c r="AU26" s="89" t="n"/>
      <c r="AV26" s="89" t="n"/>
      <c r="AW26" s="89" t="n"/>
      <c r="AX26" s="89" t="n"/>
      <c r="AY26" s="89" t="n"/>
    </row>
    <row r="27">
      <c r="A27" t="inlineStr">
        <is>
          <t>1921-02</t>
        </is>
      </c>
      <c r="B27" s="1" t="n">
        <v>7703</v>
      </c>
      <c r="C27" s="88" t="n">
        <v>27</v>
      </c>
      <c r="D27" s="1" t="n"/>
      <c r="E27" s="1">
        <f>B27</f>
        <v/>
      </c>
      <c r="F27" s="2">
        <f>B27</f>
        <v/>
      </c>
      <c r="G27" s="88" t="n">
        <v>25</v>
      </c>
      <c r="H27" s="89" t="n"/>
      <c r="I27" s="89" t="n"/>
      <c r="J27" s="89" t="n"/>
      <c r="K27" s="89" t="n"/>
      <c r="L27" s="89" t="n"/>
      <c r="M27" s="89" t="n"/>
      <c r="N27" s="89" t="n"/>
      <c r="O27" s="89" t="n"/>
      <c r="P27" s="89" t="n"/>
      <c r="Q27" s="89" t="n"/>
      <c r="R27" s="89" t="n"/>
      <c r="S27" s="89" t="n"/>
      <c r="T27" s="89" t="n"/>
      <c r="U27" s="89" t="n"/>
      <c r="V27" s="89" t="n"/>
      <c r="W27" s="89" t="n"/>
      <c r="X27" s="89" t="n"/>
      <c r="Y27" s="89" t="n"/>
      <c r="Z27" s="89" t="n"/>
      <c r="AA27" s="89" t="n"/>
      <c r="AB27" s="89" t="n"/>
      <c r="AC27" s="89" t="n"/>
      <c r="AD27" s="89" t="n"/>
      <c r="AE27" s="89" t="n"/>
      <c r="AF27" s="89" t="n"/>
      <c r="AG27" s="89" t="n"/>
      <c r="AH27" s="89" t="n"/>
      <c r="AI27" s="89" t="n"/>
      <c r="AJ27" s="89" t="n"/>
      <c r="AK27" s="89" t="n"/>
      <c r="AL27" s="89" t="n"/>
      <c r="AM27" s="89" t="n"/>
      <c r="AN27" s="89" t="n"/>
      <c r="AO27" s="89" t="n">
        <v>3.856926</v>
      </c>
      <c r="AP27" s="89" t="n"/>
      <c r="AQ27" s="89" t="n"/>
      <c r="AR27" s="89" t="n"/>
      <c r="AS27" s="89" t="n"/>
      <c r="AT27" s="89" t="n"/>
      <c r="AU27" s="89" t="n"/>
      <c r="AV27" s="89" t="n"/>
      <c r="AW27" s="89" t="n"/>
      <c r="AX27" s="89" t="n"/>
      <c r="AY27" s="89" t="n"/>
    </row>
    <row r="28">
      <c r="A28" t="inlineStr">
        <is>
          <t>1921-03</t>
        </is>
      </c>
      <c r="B28" s="1" t="n">
        <v>7731</v>
      </c>
      <c r="C28" s="88" t="n">
        <v>28</v>
      </c>
      <c r="D28" s="1" t="n"/>
      <c r="E28" s="1">
        <f>B28</f>
        <v/>
      </c>
      <c r="F28" s="2">
        <f>B28</f>
        <v/>
      </c>
      <c r="G28" s="88" t="n">
        <v>26</v>
      </c>
      <c r="H28" s="89" t="n"/>
      <c r="I28" s="89" t="n"/>
      <c r="J28" s="89" t="n"/>
      <c r="K28" s="89" t="n"/>
      <c r="L28" s="89" t="n"/>
      <c r="M28" s="89" t="n"/>
      <c r="N28" s="89" t="n"/>
      <c r="O28" s="89" t="n"/>
      <c r="P28" s="89" t="n"/>
      <c r="Q28" s="89" t="n"/>
      <c r="R28" s="89" t="n"/>
      <c r="S28" s="89" t="n"/>
      <c r="T28" s="89" t="n"/>
      <c r="U28" s="89" t="n"/>
      <c r="V28" s="89" t="n"/>
      <c r="W28" s="89" t="n"/>
      <c r="X28" s="89" t="n"/>
      <c r="Y28" s="89" t="n"/>
      <c r="Z28" s="89" t="n"/>
      <c r="AA28" s="89" t="n"/>
      <c r="AB28" s="89" t="n"/>
      <c r="AC28" s="89" t="n"/>
      <c r="AD28" s="89" t="n"/>
      <c r="AE28" s="89" t="n"/>
      <c r="AF28" s="89" t="n"/>
      <c r="AG28" s="89" t="n"/>
      <c r="AH28" s="89" t="n"/>
      <c r="AI28" s="89" t="n"/>
      <c r="AJ28" s="89" t="n"/>
      <c r="AK28" s="89" t="n"/>
      <c r="AL28" s="89" t="n"/>
      <c r="AM28" s="89" t="n"/>
      <c r="AN28" s="89" t="n"/>
      <c r="AO28" s="89" t="n">
        <v>3.750502</v>
      </c>
      <c r="AP28" s="89" t="n"/>
      <c r="AQ28" s="89" t="n"/>
      <c r="AR28" s="89" t="n"/>
      <c r="AS28" s="89" t="n"/>
      <c r="AT28" s="89" t="n"/>
      <c r="AU28" s="89" t="n"/>
      <c r="AV28" s="89" t="n"/>
      <c r="AW28" s="89" t="n"/>
      <c r="AX28" s="89" t="n"/>
      <c r="AY28" s="89" t="n"/>
    </row>
    <row r="29">
      <c r="A29" t="inlineStr">
        <is>
          <t>1921-04</t>
        </is>
      </c>
      <c r="B29" s="1" t="n">
        <v>7762</v>
      </c>
      <c r="C29" s="88" t="n">
        <v>29</v>
      </c>
      <c r="D29" s="1" t="n"/>
      <c r="E29" s="1">
        <f>B29</f>
        <v/>
      </c>
      <c r="F29" s="2">
        <f>B29</f>
        <v/>
      </c>
      <c r="G29" s="88" t="n">
        <v>27</v>
      </c>
      <c r="H29" s="89" t="n"/>
      <c r="I29" s="89" t="n"/>
      <c r="J29" s="89" t="n"/>
      <c r="K29" s="89" t="n"/>
      <c r="L29" s="89" t="n"/>
      <c r="M29" s="89" t="n"/>
      <c r="N29" s="89" t="n"/>
      <c r="O29" s="89" t="n"/>
      <c r="P29" s="89" t="n"/>
      <c r="Q29" s="89" t="n"/>
      <c r="R29" s="89" t="n"/>
      <c r="S29" s="89" t="n"/>
      <c r="T29" s="89" t="n"/>
      <c r="U29" s="89" t="n"/>
      <c r="V29" s="89" t="n"/>
      <c r="W29" s="89" t="n"/>
      <c r="X29" s="89" t="n"/>
      <c r="Y29" s="89" t="n"/>
      <c r="Z29" s="89" t="n"/>
      <c r="AA29" s="89" t="n"/>
      <c r="AB29" s="89" t="n"/>
      <c r="AC29" s="89" t="n"/>
      <c r="AD29" s="89" t="n"/>
      <c r="AE29" s="89" t="n"/>
      <c r="AF29" s="89" t="n"/>
      <c r="AG29" s="89" t="n"/>
      <c r="AH29" s="89" t="n"/>
      <c r="AI29" s="89" t="n"/>
      <c r="AJ29" s="89" t="n"/>
      <c r="AK29" s="89" t="n"/>
      <c r="AL29" s="89" t="n"/>
      <c r="AM29" s="89" t="n"/>
      <c r="AN29" s="89" t="n"/>
      <c r="AO29" s="89" t="n">
        <v>3.750502</v>
      </c>
      <c r="AP29" s="89" t="n"/>
      <c r="AQ29" s="89" t="n"/>
      <c r="AR29" s="89" t="n"/>
      <c r="AS29" s="89" t="n"/>
      <c r="AT29" s="89" t="n"/>
      <c r="AU29" s="89" t="n"/>
      <c r="AV29" s="89" t="n"/>
      <c r="AW29" s="89" t="n"/>
      <c r="AX29" s="89" t="n"/>
      <c r="AY29" s="89" t="n"/>
    </row>
    <row r="30">
      <c r="A30" t="inlineStr">
        <is>
          <t>1921-05</t>
        </is>
      </c>
      <c r="B30" s="1" t="n">
        <v>7792</v>
      </c>
      <c r="C30" s="88" t="n">
        <v>30</v>
      </c>
      <c r="D30" s="1" t="n"/>
      <c r="E30" s="1">
        <f>B30</f>
        <v/>
      </c>
      <c r="F30" s="2">
        <f>B30</f>
        <v/>
      </c>
      <c r="G30" s="88" t="n">
        <v>28</v>
      </c>
      <c r="H30" s="89" t="n"/>
      <c r="I30" s="89" t="n"/>
      <c r="J30" s="89" t="n"/>
      <c r="K30" s="89" t="n"/>
      <c r="L30" s="89" t="n"/>
      <c r="M30" s="89" t="n"/>
      <c r="N30" s="89" t="n"/>
      <c r="O30" s="89" t="n"/>
      <c r="P30" s="89" t="n"/>
      <c r="Q30" s="89" t="n"/>
      <c r="R30" s="89" t="n"/>
      <c r="S30" s="89" t="n"/>
      <c r="T30" s="89" t="n"/>
      <c r="U30" s="89" t="n"/>
      <c r="V30" s="89" t="n"/>
      <c r="W30" s="89" t="n"/>
      <c r="X30" s="89" t="n"/>
      <c r="Y30" s="89" t="n"/>
      <c r="Z30" s="89" t="n"/>
      <c r="AA30" s="89" t="n"/>
      <c r="AB30" s="89" t="n"/>
      <c r="AC30" s="89" t="n"/>
      <c r="AD30" s="89" t="n"/>
      <c r="AE30" s="89" t="n"/>
      <c r="AF30" s="89" t="n"/>
      <c r="AG30" s="89" t="n"/>
      <c r="AH30" s="89" t="n"/>
      <c r="AI30" s="89" t="n"/>
      <c r="AJ30" s="89" t="n"/>
      <c r="AK30" s="89" t="n"/>
      <c r="AL30" s="89" t="n"/>
      <c r="AM30" s="89" t="n"/>
      <c r="AN30" s="89" t="n"/>
      <c r="AO30" s="89" t="n">
        <v>3.856926</v>
      </c>
      <c r="AP30" s="89" t="n"/>
      <c r="AQ30" s="89" t="n"/>
      <c r="AR30" s="89" t="n"/>
      <c r="AS30" s="89" t="n"/>
      <c r="AT30" s="89" t="n"/>
      <c r="AU30" s="89" t="n"/>
      <c r="AV30" s="89" t="n"/>
      <c r="AW30" s="89" t="n"/>
      <c r="AX30" s="89" t="n"/>
      <c r="AY30" s="89" t="n"/>
    </row>
    <row r="31">
      <c r="A31" t="inlineStr">
        <is>
          <t>1921-06</t>
        </is>
      </c>
      <c r="B31" s="1" t="n">
        <v>7823</v>
      </c>
      <c r="C31" s="88" t="n">
        <v>31</v>
      </c>
      <c r="D31" s="1" t="n"/>
      <c r="E31" s="1">
        <f>B31</f>
        <v/>
      </c>
      <c r="F31" s="2">
        <f>B31</f>
        <v/>
      </c>
      <c r="G31" s="88" t="n">
        <v>29</v>
      </c>
      <c r="H31" s="89" t="n"/>
      <c r="I31" s="89" t="n"/>
      <c r="J31" s="89" t="n"/>
      <c r="K31" s="89" t="n"/>
      <c r="L31" s="89" t="n"/>
      <c r="M31" s="89" t="n"/>
      <c r="N31" s="89" t="n"/>
      <c r="O31" s="89" t="n"/>
      <c r="P31" s="89" t="n"/>
      <c r="Q31" s="89" t="n"/>
      <c r="R31" s="89" t="n"/>
      <c r="S31" s="89" t="n"/>
      <c r="T31" s="89" t="n"/>
      <c r="U31" s="89" t="n"/>
      <c r="V31" s="89" t="n"/>
      <c r="W31" s="89" t="n"/>
      <c r="X31" s="89" t="n"/>
      <c r="Y31" s="89" t="n"/>
      <c r="Z31" s="89" t="n"/>
      <c r="AA31" s="89" t="n"/>
      <c r="AB31" s="89" t="n"/>
      <c r="AC31" s="89" t="n"/>
      <c r="AD31" s="89" t="n"/>
      <c r="AE31" s="89" t="n"/>
      <c r="AF31" s="89" t="n"/>
      <c r="AG31" s="89" t="n"/>
      <c r="AH31" s="89" t="n"/>
      <c r="AI31" s="89" t="n"/>
      <c r="AJ31" s="89" t="n"/>
      <c r="AK31" s="89" t="n"/>
      <c r="AL31" s="89" t="n"/>
      <c r="AM31" s="89" t="n"/>
      <c r="AN31" s="89" t="n"/>
      <c r="AO31" s="89" t="n">
        <v>3.83032</v>
      </c>
      <c r="AP31" s="89" t="n"/>
      <c r="AQ31" s="89" t="n"/>
      <c r="AR31" s="89" t="n"/>
      <c r="AS31" s="89" t="n"/>
      <c r="AT31" s="89" t="n"/>
      <c r="AU31" s="89" t="n"/>
      <c r="AV31" s="89" t="n"/>
      <c r="AW31" s="89" t="n"/>
      <c r="AX31" s="89" t="n"/>
      <c r="AY31" s="89" t="n"/>
    </row>
    <row r="32">
      <c r="A32" t="inlineStr">
        <is>
          <t>1921-07</t>
        </is>
      </c>
      <c r="B32" s="1" t="n">
        <v>7853</v>
      </c>
      <c r="C32" s="88" t="n">
        <v>32</v>
      </c>
      <c r="D32" s="1" t="n"/>
      <c r="E32" s="1">
        <f>B32</f>
        <v/>
      </c>
      <c r="F32" s="2">
        <f>B32</f>
        <v/>
      </c>
      <c r="G32" s="88" t="n">
        <v>30</v>
      </c>
      <c r="H32" s="89" t="n"/>
      <c r="I32" s="89" t="n"/>
      <c r="J32" s="89" t="n"/>
      <c r="K32" s="89" t="n"/>
      <c r="L32" s="89" t="n"/>
      <c r="M32" s="89" t="n"/>
      <c r="N32" s="89" t="n"/>
      <c r="O32" s="89" t="n"/>
      <c r="P32" s="89" t="n"/>
      <c r="Q32" s="89" t="n"/>
      <c r="R32" s="89" t="n"/>
      <c r="S32" s="89" t="n"/>
      <c r="T32" s="89" t="n"/>
      <c r="U32" s="89" t="n"/>
      <c r="V32" s="89" t="n"/>
      <c r="W32" s="89" t="n"/>
      <c r="X32" s="89" t="n"/>
      <c r="Y32" s="89" t="n"/>
      <c r="Z32" s="89" t="n"/>
      <c r="AA32" s="89" t="n"/>
      <c r="AB32" s="89" t="n"/>
      <c r="AC32" s="89" t="n"/>
      <c r="AD32" s="89" t="n"/>
      <c r="AE32" s="89" t="n"/>
      <c r="AF32" s="89" t="n"/>
      <c r="AG32" s="89" t="n"/>
      <c r="AH32" s="89" t="n"/>
      <c r="AI32" s="89" t="n"/>
      <c r="AJ32" s="89" t="n"/>
      <c r="AK32" s="89" t="n"/>
      <c r="AL32" s="89" t="n"/>
      <c r="AM32" s="89" t="n"/>
      <c r="AN32" s="89" t="n"/>
      <c r="AO32" s="89" t="n">
        <v>3.803714</v>
      </c>
      <c r="AP32" s="89" t="n"/>
      <c r="AQ32" s="89" t="n"/>
      <c r="AR32" s="89" t="n"/>
      <c r="AS32" s="89" t="n"/>
      <c r="AT32" s="89" t="n"/>
      <c r="AU32" s="89" t="n"/>
      <c r="AV32" s="89" t="n"/>
      <c r="AW32" s="89" t="n"/>
      <c r="AX32" s="89" t="n"/>
      <c r="AY32" s="89" t="n"/>
    </row>
    <row r="33">
      <c r="A33" t="inlineStr">
        <is>
          <t>1921-08</t>
        </is>
      </c>
      <c r="B33" s="1" t="n">
        <v>7884</v>
      </c>
      <c r="C33" s="88" t="n">
        <v>33</v>
      </c>
      <c r="D33" s="1" t="n"/>
      <c r="E33" s="1">
        <f>B33</f>
        <v/>
      </c>
      <c r="F33" s="2">
        <f>B33</f>
        <v/>
      </c>
      <c r="G33" s="88" t="n">
        <v>31</v>
      </c>
      <c r="H33" s="89" t="n"/>
      <c r="I33" s="89" t="n"/>
      <c r="J33" s="89" t="n"/>
      <c r="K33" s="89" t="n"/>
      <c r="L33" s="89" t="n"/>
      <c r="M33" s="89" t="n"/>
      <c r="N33" s="89" t="n"/>
      <c r="O33" s="89" t="n"/>
      <c r="P33" s="89" t="n"/>
      <c r="Q33" s="89" t="n"/>
      <c r="R33" s="89" t="n"/>
      <c r="S33" s="89" t="n"/>
      <c r="T33" s="89" t="n"/>
      <c r="U33" s="89" t="n"/>
      <c r="V33" s="89" t="n"/>
      <c r="W33" s="89" t="n"/>
      <c r="X33" s="89" t="n"/>
      <c r="Y33" s="89" t="n"/>
      <c r="Z33" s="89" t="n"/>
      <c r="AA33" s="89" t="n"/>
      <c r="AB33" s="89" t="n"/>
      <c r="AC33" s="89" t="n"/>
      <c r="AD33" s="89" t="n"/>
      <c r="AE33" s="89" t="n"/>
      <c r="AF33" s="89" t="n"/>
      <c r="AG33" s="89" t="n"/>
      <c r="AH33" s="89" t="n"/>
      <c r="AI33" s="89" t="n"/>
      <c r="AJ33" s="89" t="n"/>
      <c r="AK33" s="89" t="n"/>
      <c r="AL33" s="89" t="n"/>
      <c r="AM33" s="89" t="n"/>
      <c r="AN33" s="89" t="n"/>
      <c r="AO33" s="89" t="n">
        <v>3.936648</v>
      </c>
      <c r="AP33" s="89" t="n"/>
      <c r="AQ33" s="89" t="n"/>
      <c r="AR33" s="89" t="n"/>
      <c r="AS33" s="89" t="n"/>
      <c r="AT33" s="89" t="n"/>
      <c r="AU33" s="89" t="n"/>
      <c r="AV33" s="89" t="n"/>
      <c r="AW33" s="89" t="n"/>
      <c r="AX33" s="89" t="n"/>
      <c r="AY33" s="89" t="n"/>
    </row>
    <row r="34">
      <c r="A34" t="inlineStr">
        <is>
          <t>1921-09</t>
        </is>
      </c>
      <c r="B34" s="1" t="n">
        <v>7915</v>
      </c>
      <c r="C34" s="88" t="n">
        <v>34</v>
      </c>
      <c r="D34" s="1" t="n"/>
      <c r="E34" s="1">
        <f>B34</f>
        <v/>
      </c>
      <c r="F34" s="2">
        <f>B34</f>
        <v/>
      </c>
      <c r="G34" s="88" t="n">
        <v>32</v>
      </c>
      <c r="H34" s="89" t="n"/>
      <c r="I34" s="89" t="n"/>
      <c r="J34" s="89" t="n"/>
      <c r="K34" s="89" t="n"/>
      <c r="L34" s="89" t="n"/>
      <c r="M34" s="89" t="n"/>
      <c r="N34" s="89" t="n"/>
      <c r="O34" s="89" t="n"/>
      <c r="P34" s="89" t="n"/>
      <c r="Q34" s="89" t="n"/>
      <c r="R34" s="89" t="n"/>
      <c r="S34" s="89" t="n"/>
      <c r="T34" s="89" t="n"/>
      <c r="U34" s="89" t="n"/>
      <c r="V34" s="89" t="n"/>
      <c r="W34" s="89" t="n"/>
      <c r="X34" s="89" t="n"/>
      <c r="Y34" s="89" t="n"/>
      <c r="Z34" s="89" t="n"/>
      <c r="AA34" s="89" t="n"/>
      <c r="AB34" s="89" t="n"/>
      <c r="AC34" s="89" t="n"/>
      <c r="AD34" s="89" t="n"/>
      <c r="AE34" s="89" t="n"/>
      <c r="AF34" s="89" t="n"/>
      <c r="AG34" s="89" t="n"/>
      <c r="AH34" s="89" t="n"/>
      <c r="AI34" s="89" t="n"/>
      <c r="AJ34" s="89" t="n"/>
      <c r="AK34" s="89" t="n"/>
      <c r="AL34" s="89" t="n"/>
      <c r="AM34" s="89" t="n"/>
      <c r="AN34" s="89" t="n"/>
      <c r="AO34" s="89" t="n">
        <v>3.963254</v>
      </c>
      <c r="AP34" s="89" t="n"/>
      <c r="AQ34" s="89" t="n"/>
      <c r="AR34" s="89" t="n"/>
      <c r="AS34" s="89" t="n"/>
      <c r="AT34" s="89" t="n"/>
      <c r="AU34" s="89" t="n"/>
      <c r="AV34" s="89" t="n"/>
      <c r="AW34" s="89" t="n"/>
      <c r="AX34" s="89" t="n"/>
      <c r="AY34" s="89" t="n"/>
    </row>
    <row r="35">
      <c r="A35" t="inlineStr">
        <is>
          <t>1921-10</t>
        </is>
      </c>
      <c r="B35" s="1" t="n">
        <v>7945</v>
      </c>
      <c r="C35" s="88" t="n">
        <v>35</v>
      </c>
      <c r="D35" s="1" t="n"/>
      <c r="E35" s="1">
        <f>B35</f>
        <v/>
      </c>
      <c r="F35" s="2">
        <f>B35</f>
        <v/>
      </c>
      <c r="G35" s="88" t="n">
        <v>33</v>
      </c>
      <c r="H35" s="89" t="n"/>
      <c r="I35" s="89" t="n"/>
      <c r="J35" s="89" t="n"/>
      <c r="K35" s="89" t="n"/>
      <c r="L35" s="89" t="n"/>
      <c r="M35" s="89" t="n"/>
      <c r="N35" s="89" t="n"/>
      <c r="O35" s="89" t="n"/>
      <c r="P35" s="89" t="n"/>
      <c r="Q35" s="89" t="n"/>
      <c r="R35" s="89" t="n"/>
      <c r="S35" s="89" t="n"/>
      <c r="T35" s="89" t="n"/>
      <c r="U35" s="89" t="n"/>
      <c r="V35" s="89" t="n"/>
      <c r="W35" s="89" t="n"/>
      <c r="X35" s="89" t="n"/>
      <c r="Y35" s="89" t="n"/>
      <c r="Z35" s="89" t="n"/>
      <c r="AA35" s="89" t="n"/>
      <c r="AB35" s="89" t="n"/>
      <c r="AC35" s="89" t="n"/>
      <c r="AD35" s="89" t="n"/>
      <c r="AE35" s="89" t="n"/>
      <c r="AF35" s="89" t="n"/>
      <c r="AG35" s="89" t="n"/>
      <c r="AH35" s="89" t="n"/>
      <c r="AI35" s="89" t="n"/>
      <c r="AJ35" s="89" t="n"/>
      <c r="AK35" s="89" t="n"/>
      <c r="AL35" s="89" t="n"/>
      <c r="AM35" s="89" t="n"/>
      <c r="AN35" s="89" t="n"/>
      <c r="AO35" s="89" t="n">
        <v>4.20271</v>
      </c>
      <c r="AP35" s="89" t="n"/>
      <c r="AQ35" s="89" t="n"/>
      <c r="AR35" s="89" t="n"/>
      <c r="AS35" s="89" t="n"/>
      <c r="AT35" s="89" t="n"/>
      <c r="AU35" s="89" t="n"/>
      <c r="AV35" s="89" t="n"/>
      <c r="AW35" s="89" t="n"/>
      <c r="AX35" s="89" t="n"/>
      <c r="AY35" s="89" t="n"/>
    </row>
    <row r="36">
      <c r="A36" t="inlineStr">
        <is>
          <t>1921-11</t>
        </is>
      </c>
      <c r="B36" s="1" t="n">
        <v>7976</v>
      </c>
      <c r="C36" s="88" t="n">
        <v>36</v>
      </c>
      <c r="D36" s="1" t="n"/>
      <c r="E36" s="1">
        <f>B36</f>
        <v/>
      </c>
      <c r="F36" s="2">
        <f>B36</f>
        <v/>
      </c>
      <c r="G36" s="88" t="n">
        <v>34</v>
      </c>
      <c r="H36" s="89" t="n"/>
      <c r="I36" s="89" t="n"/>
      <c r="J36" s="89" t="n"/>
      <c r="K36" s="89" t="n"/>
      <c r="L36" s="89" t="n"/>
      <c r="M36" s="89" t="n"/>
      <c r="N36" s="89" t="n"/>
      <c r="O36" s="89" t="n"/>
      <c r="P36" s="89" t="n"/>
      <c r="Q36" s="89" t="n"/>
      <c r="R36" s="89" t="n"/>
      <c r="S36" s="89" t="n"/>
      <c r="T36" s="89" t="n"/>
      <c r="U36" s="89" t="n"/>
      <c r="V36" s="89" t="n"/>
      <c r="W36" s="89" t="n"/>
      <c r="X36" s="89" t="n"/>
      <c r="Y36" s="89" t="n"/>
      <c r="Z36" s="89" t="n"/>
      <c r="AA36" s="89" t="n"/>
      <c r="AB36" s="89" t="n"/>
      <c r="AC36" s="89" t="n"/>
      <c r="AD36" s="89" t="n"/>
      <c r="AE36" s="89" t="n"/>
      <c r="AF36" s="89" t="n"/>
      <c r="AG36" s="89" t="n"/>
      <c r="AH36" s="89" t="n"/>
      <c r="AI36" s="89" t="n"/>
      <c r="AJ36" s="89" t="n"/>
      <c r="AK36" s="89" t="n"/>
      <c r="AL36" s="89" t="n"/>
      <c r="AM36" s="89" t="n"/>
      <c r="AN36" s="89" t="n"/>
      <c r="AO36" s="89" t="n">
        <v>4.149497</v>
      </c>
      <c r="AP36" s="89" t="n"/>
      <c r="AQ36" s="89" t="n"/>
      <c r="AR36" s="89" t="n"/>
      <c r="AS36" s="89" t="n"/>
      <c r="AT36" s="89" t="n"/>
      <c r="AU36" s="89" t="n"/>
      <c r="AV36" s="89" t="n"/>
      <c r="AW36" s="89" t="n"/>
      <c r="AX36" s="89" t="n"/>
      <c r="AY36" s="89" t="n"/>
    </row>
    <row r="37">
      <c r="A37" t="inlineStr">
        <is>
          <t>1921-12</t>
        </is>
      </c>
      <c r="B37" s="1" t="n">
        <v>8006</v>
      </c>
      <c r="C37" s="88" t="n">
        <v>37</v>
      </c>
      <c r="D37" s="1" t="n"/>
      <c r="E37" s="1">
        <f>B37</f>
        <v/>
      </c>
      <c r="F37" s="2">
        <f>B37</f>
        <v/>
      </c>
      <c r="G37" s="88" t="n">
        <v>35</v>
      </c>
      <c r="H37" s="89" t="n"/>
      <c r="I37" s="89" t="n"/>
      <c r="J37" s="89" t="n"/>
      <c r="K37" s="89" t="n"/>
      <c r="L37" s="89" t="n"/>
      <c r="M37" s="89" t="n"/>
      <c r="N37" s="89" t="n"/>
      <c r="O37" s="89" t="n"/>
      <c r="P37" s="89" t="n"/>
      <c r="Q37" s="89" t="n"/>
      <c r="R37" s="89" t="n"/>
      <c r="S37" s="89" t="n"/>
      <c r="T37" s="89" t="n"/>
      <c r="U37" s="89" t="n"/>
      <c r="V37" s="89" t="n"/>
      <c r="W37" s="89" t="n"/>
      <c r="X37" s="89" t="n"/>
      <c r="Y37" s="89" t="n"/>
      <c r="Z37" s="89" t="n"/>
      <c r="AA37" s="89" t="n"/>
      <c r="AB37" s="89" t="n"/>
      <c r="AC37" s="89" t="n"/>
      <c r="AD37" s="89" t="n"/>
      <c r="AE37" s="89" t="n"/>
      <c r="AF37" s="89" t="n"/>
      <c r="AG37" s="89" t="n"/>
      <c r="AH37" s="89" t="n"/>
      <c r="AI37" s="89" t="n"/>
      <c r="AJ37" s="89" t="n"/>
      <c r="AK37" s="89" t="n"/>
      <c r="AL37" s="89" t="n"/>
      <c r="AM37" s="89" t="n"/>
      <c r="AN37" s="89" t="n"/>
      <c r="AO37" s="89" t="n">
        <v>4.122891</v>
      </c>
      <c r="AP37" s="89" t="n"/>
      <c r="AQ37" s="89" t="n"/>
      <c r="AR37" s="89" t="n"/>
      <c r="AS37" s="89" t="n"/>
      <c r="AT37" s="89" t="n"/>
      <c r="AU37" s="89" t="n"/>
      <c r="AV37" s="89" t="n"/>
      <c r="AW37" s="89" t="n"/>
      <c r="AX37" s="89" t="n"/>
      <c r="AY37" s="89" t="n"/>
    </row>
    <row r="38">
      <c r="A38" t="inlineStr">
        <is>
          <t>1922-01</t>
        </is>
      </c>
      <c r="B38" s="1" t="n">
        <v>8037</v>
      </c>
      <c r="C38" s="88" t="n">
        <v>38</v>
      </c>
      <c r="D38" s="1" t="n"/>
      <c r="E38" s="1">
        <f>B38</f>
        <v/>
      </c>
      <c r="F38" s="2">
        <f>B38</f>
        <v/>
      </c>
      <c r="G38" s="88" t="n">
        <v>36</v>
      </c>
      <c r="H38" s="89" t="n"/>
      <c r="I38" s="89" t="n"/>
      <c r="J38" s="89" t="n"/>
      <c r="K38" s="89" t="n"/>
      <c r="L38" s="89" t="n"/>
      <c r="M38" s="89" t="n"/>
      <c r="N38" s="89" t="n"/>
      <c r="O38" s="89" t="n"/>
      <c r="P38" s="89" t="n"/>
      <c r="Q38" s="89" t="n"/>
      <c r="R38" s="89" t="n"/>
      <c r="S38" s="89" t="n"/>
      <c r="T38" s="89" t="n"/>
      <c r="U38" s="89" t="n"/>
      <c r="V38" s="89" t="n"/>
      <c r="W38" s="89" t="n"/>
      <c r="X38" s="89" t="n"/>
      <c r="Y38" s="89" t="n"/>
      <c r="Z38" s="89" t="n"/>
      <c r="AA38" s="89" t="n"/>
      <c r="AB38" s="89" t="n"/>
      <c r="AC38" s="89" t="n"/>
      <c r="AD38" s="89" t="n"/>
      <c r="AE38" s="89" t="n"/>
      <c r="AF38" s="89" t="n"/>
      <c r="AG38" s="89" t="n"/>
      <c r="AH38" s="89" t="n"/>
      <c r="AI38" s="89" t="n"/>
      <c r="AJ38" s="89" t="n"/>
      <c r="AK38" s="89" t="n"/>
      <c r="AL38" s="89" t="n"/>
      <c r="AM38" s="89" t="n"/>
      <c r="AN38" s="89" t="n"/>
      <c r="AO38" s="89" t="n">
        <v>4.282432</v>
      </c>
      <c r="AP38" s="89" t="n"/>
      <c r="AQ38" s="89" t="n"/>
      <c r="AR38" s="89" t="n"/>
      <c r="AS38" s="89" t="n"/>
      <c r="AT38" s="89" t="n"/>
      <c r="AU38" s="89" t="n"/>
      <c r="AV38" s="89" t="n"/>
      <c r="AW38" s="89" t="n"/>
      <c r="AX38" s="89" t="n"/>
      <c r="AY38" s="89" t="n"/>
    </row>
    <row r="39">
      <c r="A39" t="inlineStr">
        <is>
          <t>1922-02</t>
        </is>
      </c>
      <c r="B39" s="1" t="n">
        <v>8068</v>
      </c>
      <c r="C39" s="88" t="n">
        <v>39</v>
      </c>
      <c r="D39" s="1" t="n"/>
      <c r="E39" s="1">
        <f>B39</f>
        <v/>
      </c>
      <c r="F39" s="2">
        <f>B39</f>
        <v/>
      </c>
      <c r="G39" s="88" t="n">
        <v>37</v>
      </c>
      <c r="H39" s="89" t="n"/>
      <c r="I39" s="89" t="n"/>
      <c r="J39" s="89" t="n"/>
      <c r="K39" s="89" t="n"/>
      <c r="L39" s="89" t="n"/>
      <c r="M39" s="89" t="n"/>
      <c r="N39" s="89" t="n"/>
      <c r="O39" s="89" t="n"/>
      <c r="P39" s="89" t="n"/>
      <c r="Q39" s="89" t="n"/>
      <c r="R39" s="89" t="n"/>
      <c r="S39" s="89" t="n"/>
      <c r="T39" s="89" t="n"/>
      <c r="U39" s="89" t="n"/>
      <c r="V39" s="89" t="n"/>
      <c r="W39" s="89" t="n"/>
      <c r="X39" s="89" t="n"/>
      <c r="Y39" s="89" t="n"/>
      <c r="Z39" s="89" t="n"/>
      <c r="AA39" s="89" t="n"/>
      <c r="AB39" s="89" t="n"/>
      <c r="AC39" s="89" t="n"/>
      <c r="AD39" s="89" t="n"/>
      <c r="AE39" s="89" t="n"/>
      <c r="AF39" s="89" t="n"/>
      <c r="AG39" s="89" t="n"/>
      <c r="AH39" s="89" t="n"/>
      <c r="AI39" s="89" t="n"/>
      <c r="AJ39" s="89" t="n"/>
      <c r="AK39" s="89" t="n"/>
      <c r="AL39" s="89" t="n"/>
      <c r="AM39" s="89" t="n"/>
      <c r="AN39" s="89" t="n"/>
      <c r="AO39" s="89" t="n">
        <v>4.468675</v>
      </c>
      <c r="AP39" s="89" t="n"/>
      <c r="AQ39" s="89" t="n"/>
      <c r="AR39" s="89" t="n"/>
      <c r="AS39" s="89" t="n"/>
      <c r="AT39" s="89" t="n"/>
      <c r="AU39" s="89" t="n"/>
      <c r="AV39" s="89" t="n"/>
      <c r="AW39" s="89" t="n"/>
      <c r="AX39" s="89" t="n"/>
      <c r="AY39" s="89" t="n"/>
    </row>
    <row r="40">
      <c r="A40" t="inlineStr">
        <is>
          <t>1922-03</t>
        </is>
      </c>
      <c r="B40" s="1" t="n">
        <v>8096</v>
      </c>
      <c r="C40" s="88" t="n">
        <v>40</v>
      </c>
      <c r="D40" s="1" t="n"/>
      <c r="E40" s="1">
        <f>B40</f>
        <v/>
      </c>
      <c r="F40" s="2">
        <f>B40</f>
        <v/>
      </c>
      <c r="G40" s="88" t="n">
        <v>38</v>
      </c>
      <c r="H40" s="89" t="n"/>
      <c r="I40" s="89" t="n"/>
      <c r="J40" s="89" t="n"/>
      <c r="K40" s="89" t="n"/>
      <c r="L40" s="89" t="n"/>
      <c r="M40" s="89" t="n"/>
      <c r="N40" s="89" t="n"/>
      <c r="O40" s="89" t="n"/>
      <c r="P40" s="89" t="n"/>
      <c r="Q40" s="89" t="n"/>
      <c r="R40" s="89" t="n"/>
      <c r="S40" s="89" t="n"/>
      <c r="T40" s="89" t="n"/>
      <c r="U40" s="89" t="n"/>
      <c r="V40" s="89" t="n"/>
      <c r="W40" s="89" t="n"/>
      <c r="X40" s="89" t="n"/>
      <c r="Y40" s="89" t="n"/>
      <c r="Z40" s="89" t="n"/>
      <c r="AA40" s="89" t="n"/>
      <c r="AB40" s="89" t="n"/>
      <c r="AC40" s="89" t="n"/>
      <c r="AD40" s="89" t="n"/>
      <c r="AE40" s="89" t="n"/>
      <c r="AF40" s="89" t="n"/>
      <c r="AG40" s="89" t="n"/>
      <c r="AH40" s="89" t="n"/>
      <c r="AI40" s="89" t="n"/>
      <c r="AJ40" s="89" t="n"/>
      <c r="AK40" s="89" t="n"/>
      <c r="AL40" s="89" t="n"/>
      <c r="AM40" s="89" t="n"/>
      <c r="AN40" s="89" t="n"/>
      <c r="AO40" s="89" t="n">
        <v>4.708034</v>
      </c>
      <c r="AP40" s="89" t="n"/>
      <c r="AQ40" s="89" t="n"/>
      <c r="AR40" s="89" t="n"/>
      <c r="AS40" s="89" t="n"/>
      <c r="AT40" s="89" t="n"/>
      <c r="AU40" s="89" t="n"/>
      <c r="AV40" s="89" t="n"/>
      <c r="AW40" s="89" t="n"/>
      <c r="AX40" s="89" t="n"/>
      <c r="AY40" s="89" t="n"/>
    </row>
    <row r="41">
      <c r="A41" t="inlineStr">
        <is>
          <t>1922-04</t>
        </is>
      </c>
      <c r="B41" s="1" t="n">
        <v>8127</v>
      </c>
      <c r="C41" s="88" t="n">
        <v>41</v>
      </c>
      <c r="D41" s="1" t="n"/>
      <c r="E41" s="1">
        <f>B41</f>
        <v/>
      </c>
      <c r="F41" s="2">
        <f>B41</f>
        <v/>
      </c>
      <c r="G41" s="88" t="n">
        <v>39</v>
      </c>
      <c r="H41" s="89" t="n"/>
      <c r="I41" s="89" t="n"/>
      <c r="J41" s="89" t="n"/>
      <c r="K41" s="89" t="n"/>
      <c r="L41" s="89" t="n"/>
      <c r="M41" s="89" t="n"/>
      <c r="N41" s="89" t="n"/>
      <c r="O41" s="89" t="n"/>
      <c r="P41" s="89" t="n"/>
      <c r="Q41" s="89" t="n"/>
      <c r="R41" s="89" t="n"/>
      <c r="S41" s="89" t="n"/>
      <c r="T41" s="89" t="n"/>
      <c r="U41" s="89" t="n"/>
      <c r="V41" s="89" t="n"/>
      <c r="W41" s="89" t="n"/>
      <c r="X41" s="89" t="n"/>
      <c r="Y41" s="89" t="n"/>
      <c r="Z41" s="89" t="n"/>
      <c r="AA41" s="89" t="n"/>
      <c r="AB41" s="89" t="n"/>
      <c r="AC41" s="89" t="n"/>
      <c r="AD41" s="89" t="n"/>
      <c r="AE41" s="89" t="n"/>
      <c r="AF41" s="89" t="n"/>
      <c r="AG41" s="89" t="n"/>
      <c r="AH41" s="89" t="n"/>
      <c r="AI41" s="89" t="n"/>
      <c r="AJ41" s="89" t="n"/>
      <c r="AK41" s="89" t="n"/>
      <c r="AL41" s="89" t="n"/>
      <c r="AM41" s="89" t="n"/>
      <c r="AN41" s="89" t="n"/>
      <c r="AO41" s="89" t="n">
        <v>4.548493</v>
      </c>
      <c r="AP41" s="89" t="n"/>
      <c r="AQ41" s="89" t="n"/>
      <c r="AR41" s="89" t="n"/>
      <c r="AS41" s="89" t="n"/>
      <c r="AT41" s="89" t="n"/>
      <c r="AU41" s="89" t="n"/>
      <c r="AV41" s="89" t="n"/>
      <c r="AW41" s="89" t="n"/>
      <c r="AX41" s="89" t="n"/>
      <c r="AY41" s="89" t="n"/>
    </row>
    <row r="42">
      <c r="A42" t="inlineStr">
        <is>
          <t>1922-05</t>
        </is>
      </c>
      <c r="B42" s="1" t="n">
        <v>8157</v>
      </c>
      <c r="C42" s="88" t="n">
        <v>42</v>
      </c>
      <c r="D42" s="1" t="n"/>
      <c r="E42" s="1">
        <f>B42</f>
        <v/>
      </c>
      <c r="F42" s="2">
        <f>B42</f>
        <v/>
      </c>
      <c r="G42" s="88" t="n">
        <v>40</v>
      </c>
      <c r="H42" s="89" t="n"/>
      <c r="I42" s="89" t="n"/>
      <c r="J42" s="89" t="n"/>
      <c r="K42" s="89" t="n"/>
      <c r="L42" s="89" t="n"/>
      <c r="M42" s="89" t="n"/>
      <c r="N42" s="89" t="n"/>
      <c r="O42" s="89" t="n"/>
      <c r="P42" s="89" t="n"/>
      <c r="Q42" s="89" t="n"/>
      <c r="R42" s="89" t="n"/>
      <c r="S42" s="89" t="n"/>
      <c r="T42" s="89" t="n"/>
      <c r="U42" s="89" t="n"/>
      <c r="V42" s="89" t="n"/>
      <c r="W42" s="89" t="n"/>
      <c r="X42" s="89" t="n"/>
      <c r="Y42" s="89" t="n"/>
      <c r="Z42" s="89" t="n"/>
      <c r="AA42" s="89" t="n"/>
      <c r="AB42" s="89" t="n"/>
      <c r="AC42" s="89" t="n"/>
      <c r="AD42" s="89" t="n"/>
      <c r="AE42" s="89" t="n"/>
      <c r="AF42" s="89" t="n"/>
      <c r="AG42" s="89" t="n"/>
      <c r="AH42" s="89" t="n"/>
      <c r="AI42" s="89" t="n"/>
      <c r="AJ42" s="89" t="n"/>
      <c r="AK42" s="89" t="n"/>
      <c r="AL42" s="89" t="n"/>
      <c r="AM42" s="89" t="n"/>
      <c r="AN42" s="89" t="n"/>
      <c r="AO42" s="89" t="n">
        <v>4.787852</v>
      </c>
      <c r="AP42" s="89" t="n"/>
      <c r="AQ42" s="89" t="n"/>
      <c r="AR42" s="89" t="n"/>
      <c r="AS42" s="89" t="n"/>
      <c r="AT42" s="89" t="n"/>
      <c r="AU42" s="89" t="n"/>
      <c r="AV42" s="89" t="n"/>
      <c r="AW42" s="89" t="n"/>
      <c r="AX42" s="89" t="n"/>
      <c r="AY42" s="89" t="n"/>
    </row>
    <row r="43">
      <c r="A43" t="inlineStr">
        <is>
          <t>1922-06</t>
        </is>
      </c>
      <c r="B43" s="1" t="n">
        <v>8188</v>
      </c>
      <c r="C43" s="88" t="n">
        <v>43</v>
      </c>
      <c r="D43" s="1" t="n"/>
      <c r="E43" s="1">
        <f>B43</f>
        <v/>
      </c>
      <c r="F43" s="2">
        <f>B43</f>
        <v/>
      </c>
      <c r="G43" s="88" t="n">
        <v>41</v>
      </c>
      <c r="H43" s="89" t="n"/>
      <c r="I43" s="89" t="n"/>
      <c r="J43" s="89" t="n"/>
      <c r="K43" s="89" t="n"/>
      <c r="L43" s="89" t="n"/>
      <c r="M43" s="89" t="n"/>
      <c r="N43" s="89" t="n"/>
      <c r="O43" s="89" t="n"/>
      <c r="P43" s="89" t="n"/>
      <c r="Q43" s="89" t="n"/>
      <c r="R43" s="89" t="n"/>
      <c r="S43" s="89" t="n"/>
      <c r="T43" s="89" t="n"/>
      <c r="U43" s="89" t="n"/>
      <c r="V43" s="89" t="n"/>
      <c r="W43" s="89" t="n"/>
      <c r="X43" s="89" t="n"/>
      <c r="Y43" s="89" t="n"/>
      <c r="Z43" s="89" t="n"/>
      <c r="AA43" s="89" t="n"/>
      <c r="AB43" s="89" t="n"/>
      <c r="AC43" s="89" t="n"/>
      <c r="AD43" s="89" t="n"/>
      <c r="AE43" s="89" t="n"/>
      <c r="AF43" s="89" t="n"/>
      <c r="AG43" s="89" t="n"/>
      <c r="AH43" s="89" t="n"/>
      <c r="AI43" s="89" t="n"/>
      <c r="AJ43" s="89" t="n"/>
      <c r="AK43" s="89" t="n"/>
      <c r="AL43" s="89" t="n"/>
      <c r="AM43" s="89" t="n"/>
      <c r="AN43" s="89" t="n"/>
      <c r="AO43" s="89" t="n">
        <v>5.027211</v>
      </c>
      <c r="AP43" s="89" t="n"/>
      <c r="AQ43" s="89" t="n"/>
      <c r="AR43" s="89" t="n"/>
      <c r="AS43" s="89" t="n"/>
      <c r="AT43" s="89" t="n"/>
      <c r="AU43" s="89" t="n"/>
      <c r="AV43" s="89" t="n"/>
      <c r="AW43" s="89" t="n"/>
      <c r="AX43" s="89" t="n"/>
      <c r="AY43" s="89" t="n"/>
    </row>
    <row r="44">
      <c r="A44" t="inlineStr">
        <is>
          <t>1922-07</t>
        </is>
      </c>
      <c r="B44" s="1" t="n">
        <v>8218</v>
      </c>
      <c r="C44" s="88" t="n">
        <v>44</v>
      </c>
      <c r="D44" s="1" t="n"/>
      <c r="E44" s="1">
        <f>B44</f>
        <v/>
      </c>
      <c r="F44" s="2">
        <f>B44</f>
        <v/>
      </c>
      <c r="G44" s="88" t="n">
        <v>42</v>
      </c>
      <c r="H44" s="89" t="n"/>
      <c r="I44" s="89" t="n"/>
      <c r="J44" s="89" t="n"/>
      <c r="K44" s="89" t="n"/>
      <c r="L44" s="89" t="n"/>
      <c r="M44" s="89" t="n"/>
      <c r="N44" s="89" t="n"/>
      <c r="O44" s="89" t="n"/>
      <c r="P44" s="89" t="n"/>
      <c r="Q44" s="89" t="n"/>
      <c r="R44" s="89" t="n"/>
      <c r="S44" s="89" t="n"/>
      <c r="T44" s="89" t="n"/>
      <c r="U44" s="89" t="n"/>
      <c r="V44" s="89" t="n"/>
      <c r="W44" s="89" t="n"/>
      <c r="X44" s="89" t="n"/>
      <c r="Y44" s="89" t="n"/>
      <c r="Z44" s="89" t="n"/>
      <c r="AA44" s="89" t="n"/>
      <c r="AB44" s="89" t="n"/>
      <c r="AC44" s="89" t="n"/>
      <c r="AD44" s="89" t="n"/>
      <c r="AE44" s="89" t="n"/>
      <c r="AF44" s="89" t="n"/>
      <c r="AG44" s="89" t="n"/>
      <c r="AH44" s="89" t="n"/>
      <c r="AI44" s="89" t="n"/>
      <c r="AJ44" s="89" t="n"/>
      <c r="AK44" s="89" t="n"/>
      <c r="AL44" s="89" t="n"/>
      <c r="AM44" s="89" t="n"/>
      <c r="AN44" s="89" t="n"/>
      <c r="AO44" s="89" t="n">
        <v>5.027211</v>
      </c>
      <c r="AP44" s="89" t="n"/>
      <c r="AQ44" s="89" t="n"/>
      <c r="AR44" s="89" t="n"/>
      <c r="AS44" s="89" t="n"/>
      <c r="AT44" s="89" t="n"/>
      <c r="AU44" s="89" t="n"/>
      <c r="AV44" s="89" t="n"/>
      <c r="AW44" s="89" t="n"/>
      <c r="AX44" s="89" t="n"/>
      <c r="AY44" s="89" t="n"/>
    </row>
    <row r="45">
      <c r="A45" t="inlineStr">
        <is>
          <t>1922-08</t>
        </is>
      </c>
      <c r="B45" s="1" t="n">
        <v>8249</v>
      </c>
      <c r="C45" s="88" t="n">
        <v>45</v>
      </c>
      <c r="D45" s="1" t="n"/>
      <c r="E45" s="1">
        <f>B45</f>
        <v/>
      </c>
      <c r="F45" s="2">
        <f>B45</f>
        <v/>
      </c>
      <c r="G45" s="88" t="n">
        <v>43</v>
      </c>
      <c r="H45" s="89" t="n"/>
      <c r="I45" s="89" t="n"/>
      <c r="J45" s="89" t="n"/>
      <c r="K45" s="89" t="n"/>
      <c r="L45" s="89" t="n"/>
      <c r="M45" s="89" t="n"/>
      <c r="N45" s="89" t="n"/>
      <c r="O45" s="89" t="n"/>
      <c r="P45" s="89" t="n"/>
      <c r="Q45" s="89" t="n"/>
      <c r="R45" s="89" t="n"/>
      <c r="S45" s="89" t="n"/>
      <c r="T45" s="89" t="n"/>
      <c r="U45" s="89" t="n"/>
      <c r="V45" s="89" t="n"/>
      <c r="W45" s="89" t="n"/>
      <c r="X45" s="89" t="n"/>
      <c r="Y45" s="89" t="n"/>
      <c r="Z45" s="89" t="n"/>
      <c r="AA45" s="89" t="n"/>
      <c r="AB45" s="89" t="n"/>
      <c r="AC45" s="89" t="n"/>
      <c r="AD45" s="89" t="n"/>
      <c r="AE45" s="89" t="n"/>
      <c r="AF45" s="89" t="n"/>
      <c r="AG45" s="89" t="n"/>
      <c r="AH45" s="89" t="n"/>
      <c r="AI45" s="89" t="n"/>
      <c r="AJ45" s="89" t="n"/>
      <c r="AK45" s="89" t="n"/>
      <c r="AL45" s="89" t="n"/>
      <c r="AM45" s="89" t="n"/>
      <c r="AN45" s="89" t="n"/>
      <c r="AO45" s="89" t="n">
        <v>4.920882</v>
      </c>
      <c r="AP45" s="89" t="n"/>
      <c r="AQ45" s="89" t="n"/>
      <c r="AR45" s="89" t="n"/>
      <c r="AS45" s="89" t="n"/>
      <c r="AT45" s="89" t="n"/>
      <c r="AU45" s="89" t="n"/>
      <c r="AV45" s="89" t="n"/>
      <c r="AW45" s="89" t="n"/>
      <c r="AX45" s="89" t="n"/>
      <c r="AY45" s="89" t="n"/>
    </row>
    <row r="46">
      <c r="A46" t="inlineStr">
        <is>
          <t>1922-09</t>
        </is>
      </c>
      <c r="B46" s="1" t="n">
        <v>8280</v>
      </c>
      <c r="C46" s="88" t="n">
        <v>46</v>
      </c>
      <c r="D46" s="1" t="n"/>
      <c r="E46" s="1">
        <f>B46</f>
        <v/>
      </c>
      <c r="F46" s="2">
        <f>B46</f>
        <v/>
      </c>
      <c r="G46" s="88" t="n">
        <v>44</v>
      </c>
      <c r="H46" s="89" t="n"/>
      <c r="I46" s="89" t="n"/>
      <c r="J46" s="89" t="n"/>
      <c r="K46" s="89" t="n"/>
      <c r="L46" s="89" t="n"/>
      <c r="M46" s="89" t="n"/>
      <c r="N46" s="89" t="n"/>
      <c r="O46" s="89" t="n"/>
      <c r="P46" s="89" t="n"/>
      <c r="Q46" s="89" t="n"/>
      <c r="R46" s="89" t="n"/>
      <c r="S46" s="89" t="n"/>
      <c r="T46" s="89" t="n"/>
      <c r="U46" s="89" t="n"/>
      <c r="V46" s="89" t="n"/>
      <c r="W46" s="89" t="n"/>
      <c r="X46" s="89" t="n"/>
      <c r="Y46" s="89" t="n"/>
      <c r="Z46" s="89" t="n"/>
      <c r="AA46" s="89" t="n"/>
      <c r="AB46" s="89" t="n"/>
      <c r="AC46" s="89" t="n"/>
      <c r="AD46" s="89" t="n"/>
      <c r="AE46" s="89" t="n"/>
      <c r="AF46" s="89" t="n"/>
      <c r="AG46" s="89" t="n"/>
      <c r="AH46" s="89" t="n"/>
      <c r="AI46" s="89" t="n"/>
      <c r="AJ46" s="89" t="n"/>
      <c r="AK46" s="89" t="n"/>
      <c r="AL46" s="89" t="n"/>
      <c r="AM46" s="89" t="n"/>
      <c r="AN46" s="89" t="n"/>
      <c r="AO46" s="89" t="n">
        <v>5.186848</v>
      </c>
      <c r="AP46" s="89" t="n"/>
      <c r="AQ46" s="89" t="n"/>
      <c r="AR46" s="89" t="n"/>
      <c r="AS46" s="89" t="n"/>
      <c r="AT46" s="89" t="n"/>
      <c r="AU46" s="89" t="n"/>
      <c r="AV46" s="89" t="n"/>
      <c r="AW46" s="89" t="n"/>
      <c r="AX46" s="89" t="n"/>
      <c r="AY46" s="89" t="n"/>
    </row>
    <row r="47">
      <c r="A47" t="inlineStr">
        <is>
          <t>1922-10</t>
        </is>
      </c>
      <c r="B47" s="1" t="n">
        <v>8310</v>
      </c>
      <c r="C47" s="88" t="n">
        <v>47</v>
      </c>
      <c r="D47" s="1" t="n"/>
      <c r="E47" s="1">
        <f>B47</f>
        <v/>
      </c>
      <c r="F47" s="2">
        <f>B47</f>
        <v/>
      </c>
      <c r="G47" s="88" t="n">
        <v>45</v>
      </c>
      <c r="H47" s="89" t="n"/>
      <c r="I47" s="89" t="n"/>
      <c r="J47" s="89" t="n"/>
      <c r="K47" s="89" t="n"/>
      <c r="L47" s="89" t="n"/>
      <c r="M47" s="89" t="n"/>
      <c r="N47" s="89" t="n"/>
      <c r="O47" s="89" t="n"/>
      <c r="P47" s="89" t="n"/>
      <c r="Q47" s="89" t="n"/>
      <c r="R47" s="89" t="n"/>
      <c r="S47" s="89" t="n"/>
      <c r="T47" s="89" t="n"/>
      <c r="U47" s="89" t="n"/>
      <c r="V47" s="89" t="n"/>
      <c r="W47" s="89" t="n"/>
      <c r="X47" s="89" t="n"/>
      <c r="Y47" s="89" t="n"/>
      <c r="Z47" s="89" t="n"/>
      <c r="AA47" s="89" t="n"/>
      <c r="AB47" s="89" t="n"/>
      <c r="AC47" s="89" t="n"/>
      <c r="AD47" s="89" t="n"/>
      <c r="AE47" s="89" t="n"/>
      <c r="AF47" s="89" t="n"/>
      <c r="AG47" s="89" t="n"/>
      <c r="AH47" s="89" t="n"/>
      <c r="AI47" s="89" t="n"/>
      <c r="AJ47" s="89" t="n"/>
      <c r="AK47" s="89" t="n"/>
      <c r="AL47" s="89" t="n"/>
      <c r="AM47" s="89" t="n"/>
      <c r="AN47" s="89" t="n"/>
      <c r="AO47" s="89" t="n">
        <v>5.479419</v>
      </c>
      <c r="AP47" s="89" t="n"/>
      <c r="AQ47" s="89" t="n"/>
      <c r="AR47" s="89" t="n"/>
      <c r="AS47" s="89" t="n"/>
      <c r="AT47" s="89" t="n"/>
      <c r="AU47" s="89" t="n"/>
      <c r="AV47" s="89" t="n"/>
      <c r="AW47" s="89" t="n"/>
      <c r="AX47" s="89" t="n"/>
      <c r="AY47" s="89" t="n"/>
    </row>
    <row r="48">
      <c r="A48" t="inlineStr">
        <is>
          <t>1922-11</t>
        </is>
      </c>
      <c r="B48" s="1" t="n">
        <v>8341</v>
      </c>
      <c r="C48" s="88" t="n">
        <v>48</v>
      </c>
      <c r="D48" s="1" t="n"/>
      <c r="E48" s="1">
        <f>B48</f>
        <v/>
      </c>
      <c r="F48" s="2">
        <f>B48</f>
        <v/>
      </c>
      <c r="G48" s="88" t="n">
        <v>46</v>
      </c>
      <c r="H48" s="89" t="n"/>
      <c r="I48" s="89" t="n"/>
      <c r="J48" s="89" t="n"/>
      <c r="K48" s="89" t="n"/>
      <c r="L48" s="89" t="n"/>
      <c r="M48" s="89" t="n"/>
      <c r="N48" s="89" t="n"/>
      <c r="O48" s="89" t="n"/>
      <c r="P48" s="89" t="n"/>
      <c r="Q48" s="89" t="n"/>
      <c r="R48" s="89" t="n"/>
      <c r="S48" s="89" t="n"/>
      <c r="T48" s="89" t="n"/>
      <c r="U48" s="89" t="n"/>
      <c r="V48" s="89" t="n"/>
      <c r="W48" s="89" t="n"/>
      <c r="X48" s="89" t="n"/>
      <c r="Y48" s="89" t="n"/>
      <c r="Z48" s="89" t="n"/>
      <c r="AA48" s="89" t="n"/>
      <c r="AB48" s="89" t="n"/>
      <c r="AC48" s="89" t="n"/>
      <c r="AD48" s="89" t="n"/>
      <c r="AE48" s="89" t="n"/>
      <c r="AF48" s="89" t="n"/>
      <c r="AG48" s="89" t="n"/>
      <c r="AH48" s="89" t="n"/>
      <c r="AI48" s="89" t="n"/>
      <c r="AJ48" s="89" t="n"/>
      <c r="AK48" s="89" t="n"/>
      <c r="AL48" s="89" t="n"/>
      <c r="AM48" s="89" t="n"/>
      <c r="AN48" s="89" t="n"/>
      <c r="AO48" s="89" t="n">
        <v>5.718778</v>
      </c>
      <c r="AP48" s="89" t="n"/>
      <c r="AQ48" s="89" t="n"/>
      <c r="AR48" s="89" t="n"/>
      <c r="AS48" s="89" t="n"/>
      <c r="AT48" s="89" t="n"/>
      <c r="AU48" s="89" t="n"/>
      <c r="AV48" s="89" t="n"/>
      <c r="AW48" s="89" t="n"/>
      <c r="AX48" s="89" t="n"/>
      <c r="AY48" s="89" t="n"/>
    </row>
    <row r="49">
      <c r="A49" t="inlineStr">
        <is>
          <t>1922-12</t>
        </is>
      </c>
      <c r="B49" s="1" t="n">
        <v>8371</v>
      </c>
      <c r="C49" s="88" t="n">
        <v>49</v>
      </c>
      <c r="D49" s="1" t="n"/>
      <c r="E49" s="1">
        <f>B49</f>
        <v/>
      </c>
      <c r="F49" s="2">
        <f>B49</f>
        <v/>
      </c>
      <c r="G49" s="88" t="n">
        <v>47</v>
      </c>
      <c r="H49" s="89" t="n"/>
      <c r="I49" s="89" t="n"/>
      <c r="J49" s="89" t="n"/>
      <c r="K49" s="89" t="n"/>
      <c r="L49" s="89" t="n"/>
      <c r="M49" s="89" t="n"/>
      <c r="N49" s="89" t="n"/>
      <c r="O49" s="89" t="n"/>
      <c r="P49" s="89" t="n"/>
      <c r="Q49" s="89" t="n"/>
      <c r="R49" s="89" t="n"/>
      <c r="S49" s="89" t="n"/>
      <c r="T49" s="89" t="n"/>
      <c r="U49" s="89" t="n"/>
      <c r="V49" s="89" t="n"/>
      <c r="W49" s="89" t="n"/>
      <c r="X49" s="89" t="n"/>
      <c r="Y49" s="89" t="n"/>
      <c r="Z49" s="89" t="n"/>
      <c r="AA49" s="89" t="n"/>
      <c r="AB49" s="89" t="n"/>
      <c r="AC49" s="89" t="n"/>
      <c r="AD49" s="89" t="n"/>
      <c r="AE49" s="89" t="n"/>
      <c r="AF49" s="89" t="n"/>
      <c r="AG49" s="89" t="n"/>
      <c r="AH49" s="89" t="n"/>
      <c r="AI49" s="89" t="n"/>
      <c r="AJ49" s="89" t="n"/>
      <c r="AK49" s="89" t="n"/>
      <c r="AL49" s="89" t="n"/>
      <c r="AM49" s="89" t="n"/>
      <c r="AN49" s="89" t="n"/>
      <c r="AO49" s="89" t="n">
        <v>5.878414</v>
      </c>
      <c r="AP49" s="89" t="n"/>
      <c r="AQ49" s="89" t="n"/>
      <c r="AR49" s="89" t="n"/>
      <c r="AS49" s="89" t="n"/>
      <c r="AT49" s="89" t="n"/>
      <c r="AU49" s="89" t="n"/>
      <c r="AV49" s="89" t="n"/>
      <c r="AW49" s="89" t="n"/>
      <c r="AX49" s="89" t="n"/>
      <c r="AY49" s="89" t="n"/>
    </row>
    <row r="50">
      <c r="A50" t="inlineStr">
        <is>
          <t>1923-01</t>
        </is>
      </c>
      <c r="B50" s="1" t="n">
        <v>8402</v>
      </c>
      <c r="C50" s="88" t="n">
        <v>50</v>
      </c>
      <c r="D50" s="1" t="n"/>
      <c r="E50" s="1">
        <f>B50</f>
        <v/>
      </c>
      <c r="F50" s="2">
        <f>B50</f>
        <v/>
      </c>
      <c r="G50" s="88" t="n">
        <v>48</v>
      </c>
      <c r="H50" s="89" t="n"/>
      <c r="I50" s="89" t="n"/>
      <c r="J50" s="89" t="n"/>
      <c r="K50" s="89" t="n"/>
      <c r="L50" s="89" t="n"/>
      <c r="M50" s="89" t="n"/>
      <c r="N50" s="89" t="n"/>
      <c r="O50" s="89" t="n"/>
      <c r="P50" s="89" t="n"/>
      <c r="Q50" s="89" t="n"/>
      <c r="R50" s="89" t="n"/>
      <c r="S50" s="89" t="n"/>
      <c r="T50" s="89" t="n"/>
      <c r="U50" s="89" t="n"/>
      <c r="V50" s="89" t="n"/>
      <c r="W50" s="89" t="n"/>
      <c r="X50" s="89" t="n"/>
      <c r="Y50" s="89" t="n"/>
      <c r="Z50" s="89" t="n"/>
      <c r="AA50" s="89" t="n"/>
      <c r="AB50" s="89" t="n"/>
      <c r="AC50" s="89" t="n"/>
      <c r="AD50" s="89" t="n"/>
      <c r="AE50" s="89" t="n"/>
      <c r="AF50" s="89" t="n"/>
      <c r="AG50" s="89" t="n"/>
      <c r="AH50" s="89" t="n"/>
      <c r="AI50" s="89" t="n"/>
      <c r="AJ50" s="89" t="n"/>
      <c r="AK50" s="89" t="n"/>
      <c r="AL50" s="89" t="n"/>
      <c r="AM50" s="89" t="n"/>
      <c r="AN50" s="89" t="n"/>
      <c r="AO50" s="89" t="n">
        <v>5.745384</v>
      </c>
      <c r="AP50" s="89" t="n"/>
      <c r="AQ50" s="89" t="n"/>
      <c r="AR50" s="89" t="n"/>
      <c r="AS50" s="89" t="n"/>
      <c r="AT50" s="89" t="n"/>
      <c r="AU50" s="89" t="n"/>
      <c r="AV50" s="89" t="n"/>
      <c r="AW50" s="89" t="n"/>
      <c r="AX50" s="89" t="n"/>
      <c r="AY50" s="89" t="n"/>
    </row>
    <row r="51">
      <c r="A51" t="inlineStr">
        <is>
          <t>1923-02</t>
        </is>
      </c>
      <c r="B51" s="1" t="n">
        <v>8433</v>
      </c>
      <c r="C51" s="88" t="n">
        <v>51</v>
      </c>
      <c r="D51" s="1" t="n"/>
      <c r="E51" s="1">
        <f>B51</f>
        <v/>
      </c>
      <c r="F51" s="2">
        <f>B51</f>
        <v/>
      </c>
      <c r="G51" s="88" t="n">
        <v>49</v>
      </c>
      <c r="H51" s="89" t="n"/>
      <c r="I51" s="89" t="n"/>
      <c r="J51" s="89" t="n"/>
      <c r="K51" s="89" t="n"/>
      <c r="L51" s="89" t="n"/>
      <c r="M51" s="89" t="n"/>
      <c r="N51" s="89" t="n"/>
      <c r="O51" s="89" t="n"/>
      <c r="P51" s="89" t="n"/>
      <c r="Q51" s="89" t="n"/>
      <c r="R51" s="89" t="n"/>
      <c r="S51" s="89" t="n"/>
      <c r="T51" s="89" t="n"/>
      <c r="U51" s="89" t="n"/>
      <c r="V51" s="89" t="n"/>
      <c r="W51" s="89" t="n"/>
      <c r="X51" s="89" t="n"/>
      <c r="Y51" s="89" t="n"/>
      <c r="Z51" s="89" t="n"/>
      <c r="AA51" s="89" t="n"/>
      <c r="AB51" s="89" t="n"/>
      <c r="AC51" s="89" t="n"/>
      <c r="AD51" s="89" t="n"/>
      <c r="AE51" s="89" t="n"/>
      <c r="AF51" s="89" t="n"/>
      <c r="AG51" s="89" t="n"/>
      <c r="AH51" s="89" t="n"/>
      <c r="AI51" s="89" t="n"/>
      <c r="AJ51" s="89" t="n"/>
      <c r="AK51" s="89" t="n"/>
      <c r="AL51" s="89" t="n"/>
      <c r="AM51" s="89" t="n"/>
      <c r="AN51" s="89" t="n"/>
      <c r="AO51" s="89" t="n">
        <v>5.825202</v>
      </c>
      <c r="AP51" s="89" t="n"/>
      <c r="AQ51" s="89" t="n"/>
      <c r="AR51" s="89" t="n"/>
      <c r="AS51" s="89" t="n"/>
      <c r="AT51" s="89" t="n"/>
      <c r="AU51" s="89" t="n"/>
      <c r="AV51" s="89" t="n"/>
      <c r="AW51" s="89" t="n"/>
      <c r="AX51" s="89" t="n"/>
      <c r="AY51" s="89" t="n"/>
    </row>
    <row r="52">
      <c r="A52" t="inlineStr">
        <is>
          <t>1923-03</t>
        </is>
      </c>
      <c r="B52" s="1" t="n">
        <v>8461</v>
      </c>
      <c r="C52" s="88" t="n">
        <v>52</v>
      </c>
      <c r="D52" s="1" t="n"/>
      <c r="E52" s="1">
        <f>B52</f>
        <v/>
      </c>
      <c r="F52" s="2">
        <f>B52</f>
        <v/>
      </c>
      <c r="G52" s="88" t="n">
        <v>50</v>
      </c>
      <c r="H52" s="89" t="n"/>
      <c r="I52" s="89" t="n"/>
      <c r="J52" s="89" t="n"/>
      <c r="K52" s="89" t="n"/>
      <c r="L52" s="89" t="n"/>
      <c r="M52" s="89" t="n"/>
      <c r="N52" s="89" t="n"/>
      <c r="O52" s="89" t="n"/>
      <c r="P52" s="89" t="n"/>
      <c r="Q52" s="89" t="n"/>
      <c r="R52" s="89" t="n"/>
      <c r="S52" s="89" t="n"/>
      <c r="T52" s="89" t="n"/>
      <c r="U52" s="89" t="n"/>
      <c r="V52" s="89" t="n"/>
      <c r="W52" s="89" t="n"/>
      <c r="X52" s="89" t="n"/>
      <c r="Y52" s="89" t="n"/>
      <c r="Z52" s="89" t="n"/>
      <c r="AA52" s="89" t="n"/>
      <c r="AB52" s="89" t="n"/>
      <c r="AC52" s="89" t="n"/>
      <c r="AD52" s="89" t="n"/>
      <c r="AE52" s="89" t="n"/>
      <c r="AF52" s="89" t="n"/>
      <c r="AG52" s="89" t="n"/>
      <c r="AH52" s="89" t="n"/>
      <c r="AI52" s="89" t="n"/>
      <c r="AJ52" s="89" t="n"/>
      <c r="AK52" s="89" t="n"/>
      <c r="AL52" s="89" t="n"/>
      <c r="AM52" s="89" t="n"/>
      <c r="AN52" s="89" t="n"/>
      <c r="AO52" s="89" t="n">
        <v>6.011445</v>
      </c>
      <c r="AP52" s="89" t="n"/>
      <c r="AQ52" s="89" t="n"/>
      <c r="AR52" s="89" t="n"/>
      <c r="AS52" s="89" t="n"/>
      <c r="AT52" s="89" t="n"/>
      <c r="AU52" s="89" t="n"/>
      <c r="AV52" s="89" t="n"/>
      <c r="AW52" s="89" t="n"/>
      <c r="AX52" s="89" t="n"/>
      <c r="AY52" s="89" t="n"/>
    </row>
    <row r="53">
      <c r="A53" t="inlineStr">
        <is>
          <t>1923-04</t>
        </is>
      </c>
      <c r="B53" s="1" t="n">
        <v>8492</v>
      </c>
      <c r="C53" s="88" t="n">
        <v>53</v>
      </c>
      <c r="D53" s="1" t="n"/>
      <c r="E53" s="1">
        <f>B53</f>
        <v/>
      </c>
      <c r="F53" s="2">
        <f>B53</f>
        <v/>
      </c>
      <c r="G53" s="88" t="n">
        <v>51</v>
      </c>
      <c r="H53" s="89" t="n"/>
      <c r="I53" s="89" t="n"/>
      <c r="J53" s="89" t="n"/>
      <c r="K53" s="89" t="n"/>
      <c r="L53" s="89" t="n"/>
      <c r="M53" s="89" t="n"/>
      <c r="N53" s="89" t="n"/>
      <c r="O53" s="89" t="n"/>
      <c r="P53" s="89" t="n"/>
      <c r="Q53" s="89" t="n"/>
      <c r="R53" s="89" t="n"/>
      <c r="S53" s="89" t="n"/>
      <c r="T53" s="89" t="n"/>
      <c r="U53" s="89" t="n"/>
      <c r="V53" s="89" t="n"/>
      <c r="W53" s="89" t="n"/>
      <c r="X53" s="89" t="n"/>
      <c r="Y53" s="89" t="n"/>
      <c r="Z53" s="89" t="n"/>
      <c r="AA53" s="89" t="n"/>
      <c r="AB53" s="89" t="n"/>
      <c r="AC53" s="89" t="n"/>
      <c r="AD53" s="89" t="n"/>
      <c r="AE53" s="89" t="n"/>
      <c r="AF53" s="89" t="n"/>
      <c r="AG53" s="89" t="n"/>
      <c r="AH53" s="89" t="n"/>
      <c r="AI53" s="89" t="n"/>
      <c r="AJ53" s="89" t="n"/>
      <c r="AK53" s="89" t="n"/>
      <c r="AL53" s="89" t="n"/>
      <c r="AM53" s="89" t="n"/>
      <c r="AN53" s="89" t="n"/>
      <c r="AO53" s="89" t="n">
        <v>6.14438</v>
      </c>
      <c r="AP53" s="89" t="n"/>
      <c r="AQ53" s="89" t="n"/>
      <c r="AR53" s="89" t="n"/>
      <c r="AS53" s="89" t="n"/>
      <c r="AT53" s="89" t="n"/>
      <c r="AU53" s="89" t="n"/>
      <c r="AV53" s="89" t="n"/>
      <c r="AW53" s="89" t="n"/>
      <c r="AX53" s="89" t="n"/>
      <c r="AY53" s="89" t="n"/>
    </row>
    <row r="54">
      <c r="A54" t="inlineStr">
        <is>
          <t>1923-05</t>
        </is>
      </c>
      <c r="B54" s="1" t="n">
        <v>8522</v>
      </c>
      <c r="C54" s="88" t="n">
        <v>54</v>
      </c>
      <c r="D54" s="1" t="n"/>
      <c r="E54" s="1">
        <f>B54</f>
        <v/>
      </c>
      <c r="F54" s="2">
        <f>B54</f>
        <v/>
      </c>
      <c r="G54" s="88" t="n">
        <v>52</v>
      </c>
      <c r="H54" s="89" t="n"/>
      <c r="I54" s="89" t="n"/>
      <c r="J54" s="89" t="n"/>
      <c r="K54" s="89" t="n"/>
      <c r="L54" s="89" t="n"/>
      <c r="M54" s="89" t="n"/>
      <c r="N54" s="89" t="n"/>
      <c r="O54" s="89" t="n"/>
      <c r="P54" s="89" t="n"/>
      <c r="Q54" s="89" t="n"/>
      <c r="R54" s="89" t="n"/>
      <c r="S54" s="89" t="n"/>
      <c r="T54" s="89" t="n"/>
      <c r="U54" s="89" t="n"/>
      <c r="V54" s="89" t="n"/>
      <c r="W54" s="89" t="n"/>
      <c r="X54" s="89" t="n"/>
      <c r="Y54" s="89" t="n"/>
      <c r="Z54" s="89" t="n"/>
      <c r="AA54" s="89" t="n"/>
      <c r="AB54" s="89" t="n"/>
      <c r="AC54" s="89" t="n"/>
      <c r="AD54" s="89" t="n"/>
      <c r="AE54" s="89" t="n"/>
      <c r="AF54" s="89" t="n"/>
      <c r="AG54" s="89" t="n"/>
      <c r="AH54" s="89" t="n"/>
      <c r="AI54" s="89" t="n"/>
      <c r="AJ54" s="89" t="n"/>
      <c r="AK54" s="89" t="n"/>
      <c r="AL54" s="89" t="n"/>
      <c r="AM54" s="89" t="n"/>
      <c r="AN54" s="89" t="n"/>
      <c r="AO54" s="89" t="n">
        <v>6.224198</v>
      </c>
      <c r="AP54" s="89" t="n"/>
      <c r="AQ54" s="89" t="n"/>
      <c r="AR54" s="89" t="n"/>
      <c r="AS54" s="89" t="n">
        <v>2.027767</v>
      </c>
      <c r="AT54" s="89" t="n"/>
      <c r="AU54" s="89" t="n">
        <v>1.630733</v>
      </c>
      <c r="AV54" s="89" t="n"/>
      <c r="AW54" s="89" t="n"/>
      <c r="AX54" s="89" t="n"/>
      <c r="AY54" s="89" t="n"/>
    </row>
    <row r="55">
      <c r="A55" t="inlineStr">
        <is>
          <t>1923-06</t>
        </is>
      </c>
      <c r="B55" s="1" t="n">
        <v>8553</v>
      </c>
      <c r="C55" s="88" t="n">
        <v>55</v>
      </c>
      <c r="D55" s="1" t="n"/>
      <c r="E55" s="1">
        <f>B55</f>
        <v/>
      </c>
      <c r="F55" s="2">
        <f>B55</f>
        <v/>
      </c>
      <c r="G55" s="88" t="n">
        <v>53</v>
      </c>
      <c r="H55" s="89" t="n"/>
      <c r="I55" s="89" t="n"/>
      <c r="J55" s="89" t="n"/>
      <c r="K55" s="89" t="n"/>
      <c r="L55" s="89" t="n"/>
      <c r="M55" s="89" t="n"/>
      <c r="N55" s="89" t="n"/>
      <c r="O55" s="89" t="n"/>
      <c r="P55" s="89" t="n"/>
      <c r="Q55" s="89" t="n"/>
      <c r="R55" s="89" t="n"/>
      <c r="S55" s="89" t="n"/>
      <c r="T55" s="89" t="n"/>
      <c r="U55" s="89" t="n"/>
      <c r="V55" s="89" t="n"/>
      <c r="W55" s="89" t="n"/>
      <c r="X55" s="89" t="n"/>
      <c r="Y55" s="89" t="n"/>
      <c r="Z55" s="89" t="n"/>
      <c r="AA55" s="89" t="n"/>
      <c r="AB55" s="89" t="n"/>
      <c r="AC55" s="89" t="n"/>
      <c r="AD55" s="89" t="n"/>
      <c r="AE55" s="89" t="n"/>
      <c r="AF55" s="89" t="n"/>
      <c r="AG55" s="89" t="n"/>
      <c r="AH55" s="89" t="n"/>
      <c r="AI55" s="89" t="n"/>
      <c r="AJ55" s="89" t="n"/>
      <c r="AK55" s="89" t="n"/>
      <c r="AL55" s="89" t="n"/>
      <c r="AM55" s="89" t="n"/>
      <c r="AN55" s="89" t="n"/>
      <c r="AO55" s="89" t="n">
        <v>6.170986</v>
      </c>
      <c r="AP55" s="89" t="n"/>
      <c r="AQ55" s="89" t="n"/>
      <c r="AR55" s="89" t="n"/>
      <c r="AS55" s="89" t="n">
        <v>3.665932</v>
      </c>
      <c r="AT55" s="89" t="n"/>
      <c r="AU55" s="89" t="n">
        <v>1.842597</v>
      </c>
      <c r="AV55" s="89" t="n"/>
      <c r="AW55" s="89" t="n"/>
      <c r="AX55" s="89" t="n"/>
      <c r="AY55" s="89" t="n"/>
    </row>
    <row r="56">
      <c r="A56" t="inlineStr">
        <is>
          <t>1923-07</t>
        </is>
      </c>
      <c r="B56" s="1" t="n">
        <v>8583</v>
      </c>
      <c r="C56" s="88" t="n">
        <v>56</v>
      </c>
      <c r="D56" s="1" t="n"/>
      <c r="E56" s="1">
        <f>B56</f>
        <v/>
      </c>
      <c r="F56" s="2">
        <f>B56</f>
        <v/>
      </c>
      <c r="G56" s="88" t="n">
        <v>54</v>
      </c>
      <c r="H56" s="89" t="n"/>
      <c r="I56" s="89" t="n"/>
      <c r="J56" s="89" t="n"/>
      <c r="K56" s="89" t="n"/>
      <c r="L56" s="89" t="n"/>
      <c r="M56" s="89" t="n"/>
      <c r="N56" s="89" t="n"/>
      <c r="O56" s="89" t="n"/>
      <c r="P56" s="89" t="n"/>
      <c r="Q56" s="89" t="n"/>
      <c r="R56" s="89" t="n"/>
      <c r="S56" s="89" t="n"/>
      <c r="T56" s="89" t="n"/>
      <c r="U56" s="89" t="n"/>
      <c r="V56" s="89" t="n"/>
      <c r="W56" s="89" t="n"/>
      <c r="X56" s="89" t="n"/>
      <c r="Y56" s="89" t="n"/>
      <c r="Z56" s="89" t="n"/>
      <c r="AA56" s="89" t="n"/>
      <c r="AB56" s="89" t="n"/>
      <c r="AC56" s="89" t="n"/>
      <c r="AD56" s="89" t="n"/>
      <c r="AE56" s="89" t="n"/>
      <c r="AF56" s="89" t="n"/>
      <c r="AG56" s="89" t="n"/>
      <c r="AH56" s="89" t="n"/>
      <c r="AI56" s="89" t="n"/>
      <c r="AJ56" s="89" t="n"/>
      <c r="AK56" s="89" t="n"/>
      <c r="AL56" s="89" t="n"/>
      <c r="AM56" s="89" t="n"/>
      <c r="AN56" s="89" t="n"/>
      <c r="AO56" s="89" t="n">
        <v>6.117774</v>
      </c>
      <c r="AP56" s="89" t="n"/>
      <c r="AQ56" s="89" t="n"/>
      <c r="AR56" s="89" t="n"/>
      <c r="AS56" s="89" t="n">
        <v>0.04389</v>
      </c>
      <c r="AT56" s="89" t="n"/>
      <c r="AU56" s="89" t="n">
        <v>0.987063</v>
      </c>
      <c r="AV56" s="89" t="n"/>
      <c r="AW56" s="89" t="n"/>
      <c r="AX56" s="89" t="n"/>
      <c r="AY56" s="89" t="n"/>
    </row>
    <row r="57">
      <c r="A57" t="inlineStr">
        <is>
          <t>1923-08</t>
        </is>
      </c>
      <c r="B57" s="1" t="n">
        <v>8614</v>
      </c>
      <c r="C57" s="88" t="n">
        <v>57</v>
      </c>
      <c r="D57" s="1" t="n"/>
      <c r="E57" s="1">
        <f>B57</f>
        <v/>
      </c>
      <c r="F57" s="2">
        <f>B57</f>
        <v/>
      </c>
      <c r="G57" s="88" t="n">
        <v>55</v>
      </c>
      <c r="H57" s="89" t="n"/>
      <c r="I57" s="89" t="n"/>
      <c r="J57" s="89" t="n"/>
      <c r="K57" s="89" t="n"/>
      <c r="L57" s="89" t="n"/>
      <c r="M57" s="89" t="n"/>
      <c r="N57" s="89" t="n"/>
      <c r="O57" s="89" t="n"/>
      <c r="P57" s="89" t="n"/>
      <c r="Q57" s="89" t="n"/>
      <c r="R57" s="89" t="n"/>
      <c r="S57" s="89" t="n"/>
      <c r="T57" s="89" t="n"/>
      <c r="U57" s="89" t="n"/>
      <c r="V57" s="89" t="n"/>
      <c r="W57" s="89" t="n"/>
      <c r="X57" s="89" t="n"/>
      <c r="Y57" s="89" t="n"/>
      <c r="Z57" s="89" t="n"/>
      <c r="AA57" s="89" t="n"/>
      <c r="AB57" s="89" t="n"/>
      <c r="AC57" s="89" t="n"/>
      <c r="AD57" s="89" t="n"/>
      <c r="AE57" s="89" t="n"/>
      <c r="AF57" s="89" t="n"/>
      <c r="AG57" s="89" t="n"/>
      <c r="AH57" s="89" t="n"/>
      <c r="AI57" s="89" t="n"/>
      <c r="AJ57" s="89" t="n"/>
      <c r="AK57" s="89" t="n"/>
      <c r="AL57" s="89" t="n"/>
      <c r="AM57" s="89" t="n"/>
      <c r="AN57" s="89" t="n"/>
      <c r="AO57" s="89" t="n">
        <v>6.011445</v>
      </c>
      <c r="AP57" s="89" t="n"/>
      <c r="AQ57" s="89" t="n"/>
      <c r="AR57" s="89" t="n"/>
      <c r="AS57" s="89" t="n">
        <v>3.421946</v>
      </c>
      <c r="AT57" s="89" t="n"/>
      <c r="AU57" s="89" t="n">
        <v>0.72532</v>
      </c>
      <c r="AV57" s="89" t="n"/>
      <c r="AW57" s="89" t="n"/>
      <c r="AX57" s="89" t="n"/>
      <c r="AY57" s="89" t="n"/>
    </row>
    <row r="58">
      <c r="A58" t="inlineStr">
        <is>
          <t>1923-09</t>
        </is>
      </c>
      <c r="B58" s="1" t="n">
        <v>8645</v>
      </c>
      <c r="C58" s="88" t="n">
        <v>58</v>
      </c>
      <c r="D58" s="1" t="n"/>
      <c r="E58" s="1">
        <f>B58</f>
        <v/>
      </c>
      <c r="F58" s="2">
        <f>B58</f>
        <v/>
      </c>
      <c r="G58" s="88" t="n">
        <v>56</v>
      </c>
      <c r="H58" s="89" t="n"/>
      <c r="I58" s="89" t="n"/>
      <c r="J58" s="89" t="n"/>
      <c r="K58" s="89" t="n"/>
      <c r="L58" s="89" t="n"/>
      <c r="M58" s="89" t="n"/>
      <c r="N58" s="89" t="n"/>
      <c r="O58" s="89" t="n"/>
      <c r="P58" s="89" t="n"/>
      <c r="Q58" s="89" t="n"/>
      <c r="R58" s="89" t="n"/>
      <c r="S58" s="89" t="n"/>
      <c r="T58" s="89" t="n"/>
      <c r="U58" s="89" t="n"/>
      <c r="V58" s="89" t="n"/>
      <c r="W58" s="89" t="n"/>
      <c r="X58" s="89" t="n"/>
      <c r="Y58" s="89" t="n"/>
      <c r="Z58" s="89" t="n"/>
      <c r="AA58" s="89" t="n"/>
      <c r="AB58" s="89" t="n"/>
      <c r="AC58" s="89" t="n"/>
      <c r="AD58" s="89" t="n"/>
      <c r="AE58" s="89" t="n"/>
      <c r="AF58" s="89" t="n"/>
      <c r="AG58" s="89" t="n"/>
      <c r="AH58" s="89" t="n"/>
      <c r="AI58" s="89" t="n"/>
      <c r="AJ58" s="89" t="n"/>
      <c r="AK58" s="89" t="n"/>
      <c r="AL58" s="89" t="n"/>
      <c r="AM58" s="89" t="n"/>
      <c r="AN58" s="89" t="n"/>
      <c r="AO58" s="89" t="n">
        <v>5.878414</v>
      </c>
      <c r="AP58" s="89" t="n"/>
      <c r="AQ58" s="89" t="n"/>
      <c r="AR58" s="89" t="n"/>
      <c r="AS58" s="89" t="n">
        <v>1.355571</v>
      </c>
      <c r="AT58" s="89" t="n"/>
      <c r="AU58" s="89" t="n">
        <v>-0.436987</v>
      </c>
      <c r="AV58" s="89" t="n"/>
      <c r="AW58" s="89" t="n"/>
      <c r="AX58" s="89" t="n"/>
      <c r="AY58" s="89" t="n"/>
    </row>
    <row r="59">
      <c r="A59" t="inlineStr">
        <is>
          <t>1923-10</t>
        </is>
      </c>
      <c r="B59" s="1" t="n">
        <v>8675</v>
      </c>
      <c r="C59" s="88" t="n">
        <v>59</v>
      </c>
      <c r="D59" s="1" t="n"/>
      <c r="E59" s="1">
        <f>B59</f>
        <v/>
      </c>
      <c r="F59" s="2">
        <f>B59</f>
        <v/>
      </c>
      <c r="G59" s="88" t="n">
        <v>57</v>
      </c>
      <c r="H59" s="89" t="n"/>
      <c r="I59" s="89" t="n"/>
      <c r="J59" s="89" t="n"/>
      <c r="K59" s="89" t="n"/>
      <c r="L59" s="89" t="n"/>
      <c r="M59" s="89" t="n"/>
      <c r="N59" s="89" t="n"/>
      <c r="O59" s="89" t="n"/>
      <c r="P59" s="89" t="n"/>
      <c r="Q59" s="89" t="n"/>
      <c r="R59" s="89" t="n"/>
      <c r="S59" s="89" t="n"/>
      <c r="T59" s="89" t="n"/>
      <c r="U59" s="89" t="n"/>
      <c r="V59" s="89" t="n"/>
      <c r="W59" s="89" t="n"/>
      <c r="X59" s="89" t="n"/>
      <c r="Y59" s="89" t="n"/>
      <c r="Z59" s="89" t="n"/>
      <c r="AA59" s="89" t="n"/>
      <c r="AB59" s="89" t="n"/>
      <c r="AC59" s="89" t="n"/>
      <c r="AD59" s="89" t="n"/>
      <c r="AE59" s="89" t="n"/>
      <c r="AF59" s="89" t="n"/>
      <c r="AG59" s="89" t="n"/>
      <c r="AH59" s="89" t="n"/>
      <c r="AI59" s="89" t="n"/>
      <c r="AJ59" s="89" t="n"/>
      <c r="AK59" s="89" t="n"/>
      <c r="AL59" s="89" t="n"/>
      <c r="AM59" s="89" t="n"/>
      <c r="AN59" s="89" t="n"/>
      <c r="AO59" s="89" t="n">
        <v>5.851808</v>
      </c>
      <c r="AP59" s="89" t="n"/>
      <c r="AQ59" s="89" t="n"/>
      <c r="AR59" s="89" t="n"/>
      <c r="AS59" s="89" t="n">
        <v>1.242126</v>
      </c>
      <c r="AT59" s="89" t="n"/>
      <c r="AU59" s="89" t="n">
        <v>2.233625</v>
      </c>
      <c r="AV59" s="89" t="n"/>
      <c r="AW59" s="89" t="n"/>
      <c r="AX59" s="89" t="n"/>
      <c r="AY59" s="89" t="n"/>
    </row>
    <row r="60">
      <c r="A60" t="inlineStr">
        <is>
          <t>1923-11</t>
        </is>
      </c>
      <c r="B60" s="1" t="n">
        <v>8706</v>
      </c>
      <c r="C60" s="88" t="n">
        <v>60</v>
      </c>
      <c r="D60" s="1" t="n"/>
      <c r="E60" s="1">
        <f>B60</f>
        <v/>
      </c>
      <c r="F60" s="2">
        <f>B60</f>
        <v/>
      </c>
      <c r="G60" s="88" t="n">
        <v>58</v>
      </c>
      <c r="H60" s="89" t="n"/>
      <c r="I60" s="89" t="n"/>
      <c r="J60" s="89" t="n"/>
      <c r="K60" s="89" t="n"/>
      <c r="L60" s="89" t="n"/>
      <c r="M60" s="89" t="n"/>
      <c r="N60" s="89" t="n"/>
      <c r="O60" s="89" t="n"/>
      <c r="P60" s="89" t="n"/>
      <c r="Q60" s="89" t="n"/>
      <c r="R60" s="89" t="n"/>
      <c r="S60" s="89" t="n"/>
      <c r="T60" s="89" t="n"/>
      <c r="U60" s="89" t="n"/>
      <c r="V60" s="89" t="n"/>
      <c r="W60" s="89" t="n"/>
      <c r="X60" s="89" t="n"/>
      <c r="Y60" s="89" t="n"/>
      <c r="Z60" s="89" t="n"/>
      <c r="AA60" s="89" t="n"/>
      <c r="AB60" s="89" t="n"/>
      <c r="AC60" s="89" t="n"/>
      <c r="AD60" s="89" t="n"/>
      <c r="AE60" s="89" t="n"/>
      <c r="AF60" s="89" t="n"/>
      <c r="AG60" s="89" t="n"/>
      <c r="AH60" s="89" t="n"/>
      <c r="AI60" s="89" t="n"/>
      <c r="AJ60" s="89" t="n"/>
      <c r="AK60" s="89" t="n"/>
      <c r="AL60" s="89" t="n"/>
      <c r="AM60" s="89" t="n"/>
      <c r="AN60" s="89" t="n"/>
      <c r="AO60" s="89" t="n">
        <v>5.851808</v>
      </c>
      <c r="AP60" s="89" t="n"/>
      <c r="AQ60" s="89" t="n"/>
      <c r="AR60" s="89" t="n"/>
      <c r="AS60" s="89" t="n">
        <v>1.958044</v>
      </c>
      <c r="AT60" s="89" t="n"/>
      <c r="AU60" s="89" t="n">
        <v>0.909</v>
      </c>
      <c r="AV60" s="89" t="n"/>
      <c r="AW60" s="89" t="n"/>
      <c r="AX60" s="89" t="n"/>
      <c r="AY60" s="89" t="n"/>
    </row>
    <row r="61">
      <c r="A61" t="inlineStr">
        <is>
          <t>1923-12</t>
        </is>
      </c>
      <c r="B61" s="1" t="n">
        <v>8736</v>
      </c>
      <c r="C61" s="88" t="n">
        <v>61</v>
      </c>
      <c r="D61" s="1" t="n"/>
      <c r="E61" s="1">
        <f>B61</f>
        <v/>
      </c>
      <c r="F61" s="2">
        <f>B61</f>
        <v/>
      </c>
      <c r="G61" s="88" t="n">
        <v>59</v>
      </c>
      <c r="H61" s="89" t="n"/>
      <c r="I61" s="89" t="n"/>
      <c r="J61" s="89" t="n"/>
      <c r="K61" s="89" t="n"/>
      <c r="L61" s="89" t="n"/>
      <c r="M61" s="89" t="n"/>
      <c r="N61" s="89" t="n"/>
      <c r="O61" s="89" t="n"/>
      <c r="P61" s="89" t="n"/>
      <c r="Q61" s="89" t="n"/>
      <c r="R61" s="89" t="n"/>
      <c r="S61" s="89" t="n"/>
      <c r="T61" s="89" t="n"/>
      <c r="U61" s="89" t="n"/>
      <c r="V61" s="89" t="n"/>
      <c r="W61" s="89" t="n"/>
      <c r="X61" s="89" t="n"/>
      <c r="Y61" s="89" t="n"/>
      <c r="Z61" s="89" t="n"/>
      <c r="AA61" s="89" t="n"/>
      <c r="AB61" s="89" t="n"/>
      <c r="AC61" s="89" t="n"/>
      <c r="AD61" s="89" t="n"/>
      <c r="AE61" s="89" t="n"/>
      <c r="AF61" s="89" t="n"/>
      <c r="AG61" s="89" t="n"/>
      <c r="AH61" s="89" t="n"/>
      <c r="AI61" s="89" t="n"/>
      <c r="AJ61" s="89" t="n"/>
      <c r="AK61" s="89" t="n"/>
      <c r="AL61" s="89" t="n"/>
      <c r="AM61" s="89" t="n"/>
      <c r="AN61" s="89" t="n"/>
      <c r="AO61" s="89" t="n">
        <v>5.718778</v>
      </c>
      <c r="AP61" s="89" t="n"/>
      <c r="AQ61" s="89" t="n"/>
      <c r="AR61" s="89" t="n"/>
      <c r="AS61" s="89" t="n">
        <v>0.575396</v>
      </c>
      <c r="AT61" s="89" t="n"/>
      <c r="AU61" s="89" t="n">
        <v>2.586581</v>
      </c>
      <c r="AV61" s="89" t="n"/>
      <c r="AW61" s="89" t="n"/>
      <c r="AX61" s="89" t="n"/>
      <c r="AY61" s="89" t="n"/>
    </row>
    <row r="62">
      <c r="A62" t="inlineStr">
        <is>
          <t>1924-01</t>
        </is>
      </c>
      <c r="B62" s="1" t="n">
        <v>8767</v>
      </c>
      <c r="C62" s="88" t="n">
        <v>62</v>
      </c>
      <c r="D62" s="1" t="n"/>
      <c r="E62" s="1">
        <f>B62</f>
        <v/>
      </c>
      <c r="F62" s="2">
        <f>B62</f>
        <v/>
      </c>
      <c r="G62" s="88" t="n">
        <v>60</v>
      </c>
      <c r="H62" s="89" t="n"/>
      <c r="I62" s="89" t="n"/>
      <c r="J62" s="89" t="n"/>
      <c r="K62" s="89" t="n"/>
      <c r="L62" s="89" t="n"/>
      <c r="M62" s="89" t="n"/>
      <c r="N62" s="89" t="n"/>
      <c r="O62" s="89" t="n"/>
      <c r="P62" s="89" t="n"/>
      <c r="Q62" s="89" t="n"/>
      <c r="R62" s="89" t="n"/>
      <c r="S62" s="89" t="n"/>
      <c r="T62" s="89" t="n"/>
      <c r="U62" s="89" t="n"/>
      <c r="V62" s="89" t="n"/>
      <c r="W62" s="89" t="n"/>
      <c r="X62" s="89" t="n"/>
      <c r="Y62" s="89" t="n"/>
      <c r="Z62" s="89" t="n"/>
      <c r="AA62" s="89" t="n"/>
      <c r="AB62" s="89" t="n"/>
      <c r="AC62" s="89" t="n"/>
      <c r="AD62" s="89" t="n"/>
      <c r="AE62" s="89" t="n"/>
      <c r="AF62" s="89" t="n"/>
      <c r="AG62" s="89" t="n"/>
      <c r="AH62" s="89" t="n"/>
      <c r="AI62" s="89" t="n"/>
      <c r="AJ62" s="89" t="n"/>
      <c r="AK62" s="89" t="n"/>
      <c r="AL62" s="89" t="n"/>
      <c r="AM62" s="89" t="n"/>
      <c r="AN62" s="89" t="n"/>
      <c r="AO62" s="89" t="n">
        <v>5.851808</v>
      </c>
      <c r="AP62" s="89" t="n"/>
      <c r="AQ62" s="89" t="n"/>
      <c r="AR62" s="89" t="n"/>
      <c r="AS62" s="89" t="n">
        <v>1.155195</v>
      </c>
      <c r="AT62" s="89" t="n"/>
      <c r="AU62" s="89" t="n">
        <v>0.640571</v>
      </c>
      <c r="AV62" s="89" t="n"/>
      <c r="AW62" s="89" t="n"/>
      <c r="AX62" s="89" t="n"/>
      <c r="AY62" s="89" t="n"/>
    </row>
    <row r="63">
      <c r="A63" t="inlineStr">
        <is>
          <t>1924-02</t>
        </is>
      </c>
      <c r="B63" s="1" t="n">
        <v>8798</v>
      </c>
      <c r="C63" s="88" t="n">
        <v>63</v>
      </c>
      <c r="D63" s="1" t="n"/>
      <c r="E63" s="1">
        <f>B63</f>
        <v/>
      </c>
      <c r="F63" s="2">
        <f>B63</f>
        <v/>
      </c>
      <c r="G63" s="88" t="n">
        <v>61</v>
      </c>
      <c r="H63" s="89" t="n"/>
      <c r="I63" s="89" t="n"/>
      <c r="J63" s="89" t="n"/>
      <c r="K63" s="89" t="n"/>
      <c r="L63" s="89" t="n"/>
      <c r="M63" s="89" t="n"/>
      <c r="N63" s="89" t="n"/>
      <c r="O63" s="89" t="n"/>
      <c r="P63" s="89" t="n"/>
      <c r="Q63" s="89" t="n"/>
      <c r="R63" s="89" t="n"/>
      <c r="S63" s="89" t="n"/>
      <c r="T63" s="89" t="n"/>
      <c r="U63" s="89" t="n"/>
      <c r="V63" s="89" t="n"/>
      <c r="W63" s="89" t="n"/>
      <c r="X63" s="89" t="n"/>
      <c r="Y63" s="89" t="n"/>
      <c r="Z63" s="89" t="n"/>
      <c r="AA63" s="89" t="n"/>
      <c r="AB63" s="89" t="n"/>
      <c r="AC63" s="89" t="n"/>
      <c r="AD63" s="89" t="n"/>
      <c r="AE63" s="89" t="n"/>
      <c r="AF63" s="89" t="n"/>
      <c r="AG63" s="89" t="n"/>
      <c r="AH63" s="89" t="n"/>
      <c r="AI63" s="89" t="n"/>
      <c r="AJ63" s="89" t="n"/>
      <c r="AK63" s="89" t="n"/>
      <c r="AL63" s="89" t="n"/>
      <c r="AM63" s="89" t="n"/>
      <c r="AN63" s="89" t="n"/>
      <c r="AO63" s="89" t="n">
        <v>5.958233</v>
      </c>
      <c r="AP63" s="89" t="n"/>
      <c r="AQ63" s="89" t="n"/>
      <c r="AR63" s="89" t="n"/>
      <c r="AS63" s="89" t="n">
        <v>1.370741</v>
      </c>
      <c r="AT63" s="89" t="n"/>
      <c r="AU63" s="89" t="n">
        <v>1.952028</v>
      </c>
      <c r="AV63" s="89" t="n"/>
      <c r="AW63" s="89" t="n"/>
      <c r="AX63" s="89" t="n"/>
      <c r="AY63" s="89" t="n"/>
    </row>
    <row r="64">
      <c r="A64" t="inlineStr">
        <is>
          <t>1924-03</t>
        </is>
      </c>
      <c r="B64" s="1" t="n">
        <v>8827</v>
      </c>
      <c r="C64" s="88" t="n">
        <v>64</v>
      </c>
      <c r="D64" s="1" t="n"/>
      <c r="E64" s="1">
        <f>B64</f>
        <v/>
      </c>
      <c r="F64" s="2">
        <f>B64</f>
        <v/>
      </c>
      <c r="G64" s="88" t="n">
        <v>62</v>
      </c>
      <c r="H64" s="89" t="n"/>
      <c r="I64" s="89" t="n"/>
      <c r="J64" s="89" t="n"/>
      <c r="K64" s="89" t="n"/>
      <c r="L64" s="89" t="n"/>
      <c r="M64" s="89" t="n"/>
      <c r="N64" s="89" t="n"/>
      <c r="O64" s="89" t="n"/>
      <c r="P64" s="89" t="n"/>
      <c r="Q64" s="89" t="n"/>
      <c r="R64" s="89" t="n"/>
      <c r="S64" s="89" t="n"/>
      <c r="T64" s="89" t="n"/>
      <c r="U64" s="89" t="n"/>
      <c r="V64" s="89" t="n"/>
      <c r="W64" s="89" t="n"/>
      <c r="X64" s="89" t="n"/>
      <c r="Y64" s="89" t="n"/>
      <c r="Z64" s="89" t="n"/>
      <c r="AA64" s="89" t="n"/>
      <c r="AB64" s="89" t="n"/>
      <c r="AC64" s="89" t="n"/>
      <c r="AD64" s="89" t="n"/>
      <c r="AE64" s="89" t="n"/>
      <c r="AF64" s="89" t="n"/>
      <c r="AG64" s="89" t="n"/>
      <c r="AH64" s="89" t="n"/>
      <c r="AI64" s="89" t="n"/>
      <c r="AJ64" s="89" t="n"/>
      <c r="AK64" s="89" t="n"/>
      <c r="AL64" s="89" t="n"/>
      <c r="AM64" s="89" t="n"/>
      <c r="AN64" s="89" t="n"/>
      <c r="AO64" s="89" t="n">
        <v>5.851808</v>
      </c>
      <c r="AP64" s="89" t="n"/>
      <c r="AQ64" s="89" t="n"/>
      <c r="AR64" s="89" t="n"/>
      <c r="AS64" s="89" t="n">
        <v>0.645239</v>
      </c>
      <c r="AT64" s="89" t="n"/>
      <c r="AU64" s="89" t="n">
        <v>1.280861</v>
      </c>
      <c r="AV64" s="89" t="n"/>
      <c r="AW64" s="89" t="n"/>
      <c r="AX64" s="89" t="n"/>
      <c r="AY64" s="89" t="n"/>
    </row>
    <row r="65">
      <c r="A65" t="inlineStr">
        <is>
          <t>1924-04</t>
        </is>
      </c>
      <c r="B65" s="1" t="n">
        <v>8858</v>
      </c>
      <c r="C65" s="88" t="n">
        <v>65</v>
      </c>
      <c r="D65" s="1" t="n"/>
      <c r="E65" s="1">
        <f>B65</f>
        <v/>
      </c>
      <c r="F65" s="2">
        <f>B65</f>
        <v/>
      </c>
      <c r="G65" s="88" t="n">
        <v>63</v>
      </c>
      <c r="H65" s="89" t="n"/>
      <c r="I65" s="89" t="n"/>
      <c r="J65" s="89" t="n"/>
      <c r="K65" s="89" t="n"/>
      <c r="L65" s="89" t="n"/>
      <c r="M65" s="89" t="n"/>
      <c r="N65" s="89" t="n"/>
      <c r="O65" s="89" t="n"/>
      <c r="P65" s="89" t="n"/>
      <c r="Q65" s="89" t="n"/>
      <c r="R65" s="89" t="n"/>
      <c r="S65" s="89" t="n"/>
      <c r="T65" s="89" t="n"/>
      <c r="U65" s="89" t="n"/>
      <c r="V65" s="89" t="n"/>
      <c r="W65" s="89" t="n"/>
      <c r="X65" s="89" t="n"/>
      <c r="Y65" s="89" t="n"/>
      <c r="Z65" s="89" t="n"/>
      <c r="AA65" s="89" t="n"/>
      <c r="AB65" s="89" t="n"/>
      <c r="AC65" s="89" t="n"/>
      <c r="AD65" s="89" t="n"/>
      <c r="AE65" s="89" t="n"/>
      <c r="AF65" s="89" t="n"/>
      <c r="AG65" s="89" t="n"/>
      <c r="AH65" s="89" t="n"/>
      <c r="AI65" s="89" t="n"/>
      <c r="AJ65" s="89" t="n"/>
      <c r="AK65" s="89" t="n"/>
      <c r="AL65" s="89" t="n"/>
      <c r="AM65" s="89" t="n"/>
      <c r="AN65" s="89" t="n"/>
      <c r="AO65" s="89" t="n">
        <v>5.665661</v>
      </c>
      <c r="AP65" s="89" t="n"/>
      <c r="AQ65" s="89" t="n"/>
      <c r="AR65" s="89" t="n"/>
      <c r="AS65" s="89" t="n">
        <v>-0.905599</v>
      </c>
      <c r="AT65" s="89" t="n"/>
      <c r="AU65" s="89" t="n">
        <v>1.322738</v>
      </c>
      <c r="AV65" s="89" t="n"/>
      <c r="AW65" s="89" t="n"/>
      <c r="AX65" s="89" t="n"/>
      <c r="AY65" s="89" t="n"/>
    </row>
    <row r="66">
      <c r="A66" t="inlineStr">
        <is>
          <t>1924-05</t>
        </is>
      </c>
      <c r="B66" s="1" t="n">
        <v>8888</v>
      </c>
      <c r="C66" s="88" t="n">
        <v>66</v>
      </c>
      <c r="D66" s="1" t="n"/>
      <c r="E66" s="1">
        <f>B66</f>
        <v/>
      </c>
      <c r="F66" s="2">
        <f>B66</f>
        <v/>
      </c>
      <c r="G66" s="88" t="n">
        <v>64</v>
      </c>
      <c r="H66" s="89" t="n"/>
      <c r="I66" s="89" t="n"/>
      <c r="J66" s="89" t="n"/>
      <c r="K66" s="89" t="n"/>
      <c r="L66" s="89" t="n"/>
      <c r="M66" s="89" t="n"/>
      <c r="N66" s="89" t="n"/>
      <c r="O66" s="89" t="n"/>
      <c r="P66" s="89" t="n"/>
      <c r="Q66" s="89" t="n"/>
      <c r="R66" s="89" t="n"/>
      <c r="S66" s="89" t="n"/>
      <c r="T66" s="89" t="n"/>
      <c r="U66" s="89" t="n"/>
      <c r="V66" s="89" t="n"/>
      <c r="W66" s="89" t="n"/>
      <c r="X66" s="89" t="n"/>
      <c r="Y66" s="89" t="n"/>
      <c r="Z66" s="89" t="n"/>
      <c r="AA66" s="89" t="n"/>
      <c r="AB66" s="89" t="n"/>
      <c r="AC66" s="89" t="n"/>
      <c r="AD66" s="89" t="n"/>
      <c r="AE66" s="89" t="n"/>
      <c r="AF66" s="89" t="n"/>
      <c r="AG66" s="89" t="n"/>
      <c r="AH66" s="89" t="n"/>
      <c r="AI66" s="89" t="n"/>
      <c r="AJ66" s="89" t="n"/>
      <c r="AK66" s="89" t="n"/>
      <c r="AL66" s="89" t="n"/>
      <c r="AM66" s="89" t="n"/>
      <c r="AN66" s="89" t="n"/>
      <c r="AO66" s="89" t="n">
        <v>5.426207</v>
      </c>
      <c r="AP66" s="89" t="n"/>
      <c r="AQ66" s="89" t="n"/>
      <c r="AR66" s="89" t="n"/>
      <c r="AS66" s="89" t="n">
        <v>3.835381</v>
      </c>
      <c r="AT66" s="89" t="n"/>
      <c r="AU66" s="89" t="n">
        <v>2.644227</v>
      </c>
      <c r="AV66" s="89" t="n"/>
      <c r="AW66" s="89" t="n"/>
      <c r="AX66" s="89" t="n"/>
      <c r="AY66" s="89" t="n"/>
    </row>
    <row r="67">
      <c r="A67" t="inlineStr">
        <is>
          <t>1924-06</t>
        </is>
      </c>
      <c r="B67" s="1" t="n">
        <v>8919</v>
      </c>
      <c r="C67" s="88" t="n">
        <v>67</v>
      </c>
      <c r="D67" s="1" t="n"/>
      <c r="E67" s="1">
        <f>B67</f>
        <v/>
      </c>
      <c r="F67" s="2">
        <f>B67</f>
        <v/>
      </c>
      <c r="G67" s="88" t="n">
        <v>65</v>
      </c>
      <c r="H67" s="89" t="n"/>
      <c r="I67" s="89" t="n"/>
      <c r="J67" s="89" t="n"/>
      <c r="K67" s="89" t="n"/>
      <c r="L67" s="89" t="n"/>
      <c r="M67" s="89" t="n"/>
      <c r="N67" s="89" t="n"/>
      <c r="O67" s="89" t="n"/>
      <c r="P67" s="89" t="n"/>
      <c r="Q67" s="89" t="n"/>
      <c r="R67" s="89" t="n"/>
      <c r="S67" s="89" t="n"/>
      <c r="T67" s="89" t="n"/>
      <c r="U67" s="89" t="n"/>
      <c r="V67" s="89" t="n"/>
      <c r="W67" s="89" t="n"/>
      <c r="X67" s="89" t="n"/>
      <c r="Y67" s="89" t="n"/>
      <c r="Z67" s="89" t="n"/>
      <c r="AA67" s="89" t="n"/>
      <c r="AB67" s="89" t="n"/>
      <c r="AC67" s="89" t="n"/>
      <c r="AD67" s="89" t="n"/>
      <c r="AE67" s="89" t="n"/>
      <c r="AF67" s="89" t="n"/>
      <c r="AG67" s="89" t="n"/>
      <c r="AH67" s="89" t="n"/>
      <c r="AI67" s="89" t="n"/>
      <c r="AJ67" s="89" t="n"/>
      <c r="AK67" s="89" t="n"/>
      <c r="AL67" s="89" t="n"/>
      <c r="AM67" s="89" t="n"/>
      <c r="AN67" s="89" t="n"/>
      <c r="AO67" s="89" t="n">
        <v>5.186848</v>
      </c>
      <c r="AP67" s="89" t="n"/>
      <c r="AQ67" s="89" t="n"/>
      <c r="AR67" s="89" t="n"/>
      <c r="AS67" s="89" t="n">
        <v>2.228738</v>
      </c>
      <c r="AT67" s="89" t="n"/>
      <c r="AU67" s="89" t="n">
        <v>2.639167</v>
      </c>
      <c r="AV67" s="89" t="n"/>
      <c r="AW67" s="89" t="n"/>
      <c r="AX67" s="89" t="n"/>
      <c r="AY67" s="89" t="n"/>
    </row>
    <row r="68">
      <c r="A68" t="inlineStr">
        <is>
          <t>1924-07</t>
        </is>
      </c>
      <c r="B68" s="1" t="n">
        <v>8949</v>
      </c>
      <c r="C68" s="88" t="n">
        <v>68</v>
      </c>
      <c r="D68" s="1" t="n"/>
      <c r="E68" s="1">
        <f>B68</f>
        <v/>
      </c>
      <c r="F68" s="2">
        <f>B68</f>
        <v/>
      </c>
      <c r="G68" s="88" t="n">
        <v>66</v>
      </c>
      <c r="H68" s="89" t="n"/>
      <c r="I68" s="89" t="n"/>
      <c r="J68" s="89" t="n"/>
      <c r="K68" s="89" t="n"/>
      <c r="L68" s="89" t="n"/>
      <c r="M68" s="89" t="n"/>
      <c r="N68" s="89" t="n"/>
      <c r="O68" s="89" t="n"/>
      <c r="P68" s="89" t="n"/>
      <c r="Q68" s="89" t="n"/>
      <c r="R68" s="89" t="n"/>
      <c r="S68" s="89" t="n"/>
      <c r="T68" s="89" t="n"/>
      <c r="U68" s="89" t="n"/>
      <c r="V68" s="89" t="n"/>
      <c r="W68" s="89" t="n"/>
      <c r="X68" s="89" t="n"/>
      <c r="Y68" s="89" t="n"/>
      <c r="Z68" s="89" t="n"/>
      <c r="AA68" s="89" t="n"/>
      <c r="AB68" s="89" t="n"/>
      <c r="AC68" s="89" t="n"/>
      <c r="AD68" s="89" t="n"/>
      <c r="AE68" s="89" t="n"/>
      <c r="AF68" s="89" t="n"/>
      <c r="AG68" s="89" t="n"/>
      <c r="AH68" s="89" t="n"/>
      <c r="AI68" s="89" t="n"/>
      <c r="AJ68" s="89" t="n"/>
      <c r="AK68" s="89" t="n"/>
      <c r="AL68" s="89" t="n"/>
      <c r="AM68" s="89" t="n"/>
      <c r="AN68" s="89" t="n"/>
      <c r="AO68" s="89" t="n">
        <v>5.107029</v>
      </c>
      <c r="AP68" s="89" t="n"/>
      <c r="AQ68" s="89" t="n"/>
      <c r="AR68" s="89" t="n"/>
      <c r="AS68" s="89" t="n">
        <v>1.086478</v>
      </c>
      <c r="AT68" s="89" t="n"/>
      <c r="AU68" s="89" t="n">
        <v>1.762171</v>
      </c>
      <c r="AV68" s="89" t="n"/>
      <c r="AW68" s="89" t="n"/>
      <c r="AX68" s="89" t="n"/>
      <c r="AY68" s="89" t="n"/>
    </row>
    <row r="69">
      <c r="A69" t="inlineStr">
        <is>
          <t>1924-08</t>
        </is>
      </c>
      <c r="B69" s="1" t="n">
        <v>8980</v>
      </c>
      <c r="C69" s="88" t="n">
        <v>69</v>
      </c>
      <c r="D69" s="1" t="n"/>
      <c r="E69" s="1">
        <f>B69</f>
        <v/>
      </c>
      <c r="F69" s="2">
        <f>B69</f>
        <v/>
      </c>
      <c r="G69" s="88" t="n">
        <v>67</v>
      </c>
      <c r="H69" s="89" t="n"/>
      <c r="I69" s="89" t="n"/>
      <c r="J69" s="89" t="n"/>
      <c r="K69" s="89" t="n"/>
      <c r="L69" s="89" t="n"/>
      <c r="M69" s="89" t="n"/>
      <c r="N69" s="89" t="n"/>
      <c r="O69" s="89" t="n"/>
      <c r="P69" s="89" t="n"/>
      <c r="Q69" s="89" t="n"/>
      <c r="R69" s="89" t="n"/>
      <c r="S69" s="89" t="n"/>
      <c r="T69" s="89" t="n"/>
      <c r="U69" s="89" t="n"/>
      <c r="V69" s="89" t="n"/>
      <c r="W69" s="89" t="n"/>
      <c r="X69" s="89" t="n"/>
      <c r="Y69" s="89" t="n"/>
      <c r="Z69" s="89" t="n"/>
      <c r="AA69" s="89" t="n"/>
      <c r="AB69" s="89" t="n"/>
      <c r="AC69" s="89" t="n"/>
      <c r="AD69" s="89" t="n"/>
      <c r="AE69" s="89" t="n"/>
      <c r="AF69" s="89" t="n"/>
      <c r="AG69" s="89" t="n"/>
      <c r="AH69" s="89" t="n"/>
      <c r="AI69" s="89" t="n"/>
      <c r="AJ69" s="89" t="n"/>
      <c r="AK69" s="89" t="n"/>
      <c r="AL69" s="89" t="n"/>
      <c r="AM69" s="89" t="n"/>
      <c r="AN69" s="89" t="n"/>
      <c r="AO69" s="89" t="n">
        <v>5.293272</v>
      </c>
      <c r="AP69" s="89" t="n"/>
      <c r="AQ69" s="89" t="n"/>
      <c r="AR69" s="89" t="n"/>
      <c r="AS69" s="89" t="n">
        <v>0.124763</v>
      </c>
      <c r="AT69" s="89" t="n"/>
      <c r="AU69" s="89" t="n">
        <v>1.873092</v>
      </c>
      <c r="AV69" s="89" t="n"/>
      <c r="AW69" s="89" t="n"/>
      <c r="AX69" s="89" t="n"/>
      <c r="AY69" s="89" t="n"/>
    </row>
    <row r="70">
      <c r="A70" t="inlineStr">
        <is>
          <t>1924-09</t>
        </is>
      </c>
      <c r="B70" s="1" t="n">
        <v>9011</v>
      </c>
      <c r="C70" s="88" t="n">
        <v>70</v>
      </c>
      <c r="D70" s="1" t="n"/>
      <c r="E70" s="1">
        <f>B70</f>
        <v/>
      </c>
      <c r="F70" s="2">
        <f>B70</f>
        <v/>
      </c>
      <c r="G70" s="88" t="n">
        <v>68</v>
      </c>
      <c r="H70" s="89" t="n"/>
      <c r="I70" s="89" t="n"/>
      <c r="J70" s="89" t="n"/>
      <c r="K70" s="89" t="n"/>
      <c r="L70" s="89" t="n"/>
      <c r="M70" s="89" t="n"/>
      <c r="N70" s="89" t="n"/>
      <c r="O70" s="89" t="n"/>
      <c r="P70" s="89" t="n"/>
      <c r="Q70" s="89" t="n"/>
      <c r="R70" s="89" t="n"/>
      <c r="S70" s="89" t="n"/>
      <c r="T70" s="89" t="n"/>
      <c r="U70" s="89" t="n"/>
      <c r="V70" s="89" t="n"/>
      <c r="W70" s="89" t="n"/>
      <c r="X70" s="89" t="n"/>
      <c r="Y70" s="89" t="n"/>
      <c r="Z70" s="89" t="n"/>
      <c r="AA70" s="89" t="n"/>
      <c r="AB70" s="89" t="n"/>
      <c r="AC70" s="89" t="n"/>
      <c r="AD70" s="89" t="n"/>
      <c r="AE70" s="89" t="n"/>
      <c r="AF70" s="89" t="n"/>
      <c r="AG70" s="89" t="n"/>
      <c r="AH70" s="89" t="n"/>
      <c r="AI70" s="89" t="n"/>
      <c r="AJ70" s="89" t="n"/>
      <c r="AK70" s="89" t="n"/>
      <c r="AL70" s="89" t="n"/>
      <c r="AM70" s="89" t="n"/>
      <c r="AN70" s="89" t="n"/>
      <c r="AO70" s="89" t="n">
        <v>5.479419</v>
      </c>
      <c r="AP70" s="89" t="n"/>
      <c r="AQ70" s="89" t="n"/>
      <c r="AR70" s="89" t="n"/>
      <c r="AS70" s="89" t="n">
        <v>3.526249</v>
      </c>
      <c r="AT70" s="89" t="n"/>
      <c r="AU70" s="89" t="n">
        <v>1.809867</v>
      </c>
      <c r="AV70" s="89" t="n"/>
      <c r="AW70" s="89" t="n"/>
      <c r="AX70" s="89" t="n"/>
      <c r="AY70" s="89" t="n"/>
    </row>
    <row r="71">
      <c r="A71" t="inlineStr">
        <is>
          <t>1924-10</t>
        </is>
      </c>
      <c r="B71" s="1" t="n">
        <v>9041</v>
      </c>
      <c r="C71" s="88" t="n">
        <v>71</v>
      </c>
      <c r="D71" s="1" t="n"/>
      <c r="E71" s="1">
        <f>B71</f>
        <v/>
      </c>
      <c r="F71" s="2">
        <f>B71</f>
        <v/>
      </c>
      <c r="G71" s="88" t="n">
        <v>69</v>
      </c>
      <c r="H71" s="89" t="n"/>
      <c r="I71" s="89" t="n"/>
      <c r="J71" s="89" t="n"/>
      <c r="K71" s="89" t="n"/>
      <c r="L71" s="89" t="n"/>
      <c r="M71" s="89" t="n"/>
      <c r="N71" s="89" t="n"/>
      <c r="O71" s="89" t="n"/>
      <c r="P71" s="89" t="n"/>
      <c r="Q71" s="89" t="n"/>
      <c r="R71" s="89" t="n"/>
      <c r="S71" s="89" t="n"/>
      <c r="T71" s="89" t="n"/>
      <c r="U71" s="89" t="n"/>
      <c r="V71" s="89" t="n"/>
      <c r="W71" s="89" t="n"/>
      <c r="X71" s="89" t="n"/>
      <c r="Y71" s="89" t="n"/>
      <c r="Z71" s="89" t="n"/>
      <c r="AA71" s="89" t="n"/>
      <c r="AB71" s="89" t="n"/>
      <c r="AC71" s="89" t="n"/>
      <c r="AD71" s="89" t="n"/>
      <c r="AE71" s="89" t="n"/>
      <c r="AF71" s="89" t="n"/>
      <c r="AG71" s="89" t="n"/>
      <c r="AH71" s="89" t="n"/>
      <c r="AI71" s="89" t="n"/>
      <c r="AJ71" s="89" t="n"/>
      <c r="AK71" s="89" t="n"/>
      <c r="AL71" s="89" t="n"/>
      <c r="AM71" s="89" t="n"/>
      <c r="AN71" s="89" t="n"/>
      <c r="AO71" s="89" t="n">
        <v>5.612449</v>
      </c>
      <c r="AP71" s="89" t="n"/>
      <c r="AQ71" s="89" t="n"/>
      <c r="AR71" s="89" t="n"/>
      <c r="AS71" s="89" t="n">
        <v>-0.546061</v>
      </c>
      <c r="AT71" s="89" t="n"/>
      <c r="AU71" s="89" t="n">
        <v>0.939569</v>
      </c>
      <c r="AV71" s="89" t="n"/>
      <c r="AW71" s="89" t="n"/>
      <c r="AX71" s="89" t="n"/>
      <c r="AY71" s="89" t="n"/>
    </row>
    <row r="72">
      <c r="A72" t="inlineStr">
        <is>
          <t>1924-11</t>
        </is>
      </c>
      <c r="B72" s="1" t="n">
        <v>9072</v>
      </c>
      <c r="C72" s="88" t="n">
        <v>72</v>
      </c>
      <c r="D72" s="1" t="n"/>
      <c r="E72" s="1">
        <f>B72</f>
        <v/>
      </c>
      <c r="F72" s="2">
        <f>B72</f>
        <v/>
      </c>
      <c r="G72" s="88" t="n">
        <v>70</v>
      </c>
      <c r="H72" s="89" t="n"/>
      <c r="I72" s="89" t="n"/>
      <c r="J72" s="89" t="n"/>
      <c r="K72" s="89" t="n"/>
      <c r="L72" s="89" t="n"/>
      <c r="M72" s="89" t="n"/>
      <c r="N72" s="89" t="n"/>
      <c r="O72" s="89" t="n"/>
      <c r="P72" s="89" t="n"/>
      <c r="Q72" s="89" t="n"/>
      <c r="R72" s="89" t="n"/>
      <c r="S72" s="89" t="n"/>
      <c r="T72" s="89" t="n"/>
      <c r="U72" s="89" t="n"/>
      <c r="V72" s="89" t="n"/>
      <c r="W72" s="89" t="n"/>
      <c r="X72" s="89" t="n"/>
      <c r="Y72" s="89" t="n"/>
      <c r="Z72" s="89" t="n"/>
      <c r="AA72" s="89" t="n"/>
      <c r="AB72" s="89" t="n"/>
      <c r="AC72" s="89" t="n"/>
      <c r="AD72" s="89" t="n"/>
      <c r="AE72" s="89" t="n"/>
      <c r="AF72" s="89" t="n"/>
      <c r="AG72" s="89" t="n"/>
      <c r="AH72" s="89" t="n"/>
      <c r="AI72" s="89" t="n"/>
      <c r="AJ72" s="89" t="n"/>
      <c r="AK72" s="89" t="n"/>
      <c r="AL72" s="89" t="n"/>
      <c r="AM72" s="89" t="n"/>
      <c r="AN72" s="89" t="n"/>
      <c r="AO72" s="89" t="n">
        <v>5.718874</v>
      </c>
      <c r="AP72" s="89" t="n"/>
      <c r="AQ72" s="89" t="n"/>
      <c r="AR72" s="89" t="n"/>
      <c r="AS72" s="89" t="n">
        <v>-0.611582</v>
      </c>
      <c r="AT72" s="89" t="n"/>
      <c r="AU72" s="89" t="n">
        <v>2.924273</v>
      </c>
      <c r="AV72" s="89" t="n"/>
      <c r="AW72" s="89" t="n"/>
      <c r="AX72" s="89" t="n"/>
      <c r="AY72" s="89" t="n"/>
    </row>
    <row r="73">
      <c r="A73" t="inlineStr">
        <is>
          <t>1924-12</t>
        </is>
      </c>
      <c r="B73" s="1" t="n">
        <v>9102</v>
      </c>
      <c r="C73" s="88" t="n">
        <v>73</v>
      </c>
      <c r="D73" s="1" t="n"/>
      <c r="E73" s="1">
        <f>B73</f>
        <v/>
      </c>
      <c r="F73" s="2">
        <f>B73</f>
        <v/>
      </c>
      <c r="G73" s="88" t="n">
        <v>71</v>
      </c>
      <c r="H73" s="89" t="n"/>
      <c r="I73" s="89" t="n"/>
      <c r="J73" s="89" t="n"/>
      <c r="K73" s="89" t="n"/>
      <c r="L73" s="89" t="n"/>
      <c r="M73" s="89" t="n"/>
      <c r="N73" s="89" t="n"/>
      <c r="O73" s="89" t="n"/>
      <c r="P73" s="89" t="n"/>
      <c r="Q73" s="89" t="n"/>
      <c r="R73" s="89" t="n"/>
      <c r="S73" s="89" t="n"/>
      <c r="T73" s="89" t="n"/>
      <c r="U73" s="89" t="n"/>
      <c r="V73" s="89" t="n"/>
      <c r="W73" s="89" t="n"/>
      <c r="X73" s="89" t="n"/>
      <c r="Y73" s="89" t="n"/>
      <c r="Z73" s="89" t="n"/>
      <c r="AA73" s="89" t="n"/>
      <c r="AB73" s="89" t="n"/>
      <c r="AC73" s="89" t="n"/>
      <c r="AD73" s="89" t="n"/>
      <c r="AE73" s="89" t="n"/>
      <c r="AF73" s="89" t="n"/>
      <c r="AG73" s="89" t="n"/>
      <c r="AH73" s="89" t="n"/>
      <c r="AI73" s="89" t="n"/>
      <c r="AJ73" s="89" t="n"/>
      <c r="AK73" s="89" t="n"/>
      <c r="AL73" s="89" t="n"/>
      <c r="AM73" s="89" t="n"/>
      <c r="AN73" s="89" t="n"/>
      <c r="AO73" s="89" t="n">
        <v>5.878414</v>
      </c>
      <c r="AP73" s="89" t="n"/>
      <c r="AQ73" s="89" t="n"/>
      <c r="AR73" s="89" t="n"/>
      <c r="AS73" s="89" t="n">
        <v>2.485869</v>
      </c>
      <c r="AT73" s="89" t="n"/>
      <c r="AU73" s="89" t="n">
        <v>1.923998</v>
      </c>
      <c r="AV73" s="89" t="n"/>
      <c r="AW73" s="89" t="n"/>
      <c r="AX73" s="89" t="n"/>
      <c r="AY73" s="89" t="n"/>
    </row>
    <row r="74">
      <c r="A74" t="inlineStr">
        <is>
          <t>1925-01</t>
        </is>
      </c>
      <c r="B74" s="1" t="n">
        <v>9133</v>
      </c>
      <c r="C74" s="88" t="n">
        <v>74</v>
      </c>
      <c r="D74" s="1" t="n"/>
      <c r="E74" s="1">
        <f>B74</f>
        <v/>
      </c>
      <c r="F74" s="2">
        <f>B74</f>
        <v/>
      </c>
      <c r="G74" s="88" t="n">
        <v>72</v>
      </c>
      <c r="H74" s="89" t="n"/>
      <c r="I74" s="89" t="n"/>
      <c r="J74" s="89" t="n"/>
      <c r="K74" s="89" t="n"/>
      <c r="L74" s="89" t="n"/>
      <c r="M74" s="89" t="n"/>
      <c r="N74" s="89" t="n"/>
      <c r="O74" s="89" t="n"/>
      <c r="P74" s="89" t="n"/>
      <c r="Q74" s="89" t="n"/>
      <c r="R74" s="89" t="n"/>
      <c r="S74" s="89" t="n"/>
      <c r="T74" s="89" t="n"/>
      <c r="U74" s="89" t="n"/>
      <c r="V74" s="89" t="n"/>
      <c r="W74" s="89" t="n"/>
      <c r="X74" s="89" t="n"/>
      <c r="Y74" s="89" t="n"/>
      <c r="Z74" s="89" t="n"/>
      <c r="AA74" s="89" t="n"/>
      <c r="AB74" s="89" t="n"/>
      <c r="AC74" s="89" t="n"/>
      <c r="AD74" s="89" t="n"/>
      <c r="AE74" s="89" t="n"/>
      <c r="AF74" s="89" t="n"/>
      <c r="AG74" s="89" t="n"/>
      <c r="AH74" s="89" t="n"/>
      <c r="AI74" s="89" t="n"/>
      <c r="AJ74" s="89" t="n"/>
      <c r="AK74" s="89" t="n"/>
      <c r="AL74" s="89" t="n"/>
      <c r="AM74" s="89" t="n"/>
      <c r="AN74" s="89" t="n"/>
      <c r="AO74" s="89" t="n">
        <v>6.064657</v>
      </c>
      <c r="AP74" s="89" t="n"/>
      <c r="AQ74" s="89" t="n"/>
      <c r="AR74" s="89" t="n"/>
      <c r="AS74" s="89" t="n">
        <v>0.120877</v>
      </c>
      <c r="AT74" s="89" t="n"/>
      <c r="AU74" s="89" t="n">
        <v>0.967394</v>
      </c>
      <c r="AV74" s="89" t="n"/>
      <c r="AW74" s="89" t="n"/>
      <c r="AX74" s="89" t="n"/>
      <c r="AY74" s="89" t="n"/>
    </row>
    <row r="75">
      <c r="A75" t="inlineStr">
        <is>
          <t>1925-02</t>
        </is>
      </c>
      <c r="B75" s="1" t="n">
        <v>9164</v>
      </c>
      <c r="C75" s="88" t="n">
        <v>75</v>
      </c>
      <c r="D75" s="1" t="n"/>
      <c r="E75" s="1">
        <f>B75</f>
        <v/>
      </c>
      <c r="F75" s="2">
        <f>B75</f>
        <v/>
      </c>
      <c r="G75" s="88" t="n">
        <v>73</v>
      </c>
      <c r="H75" s="89" t="n"/>
      <c r="I75" s="89" t="n"/>
      <c r="J75" s="89" t="n"/>
      <c r="K75" s="89" t="n"/>
      <c r="L75" s="89" t="n"/>
      <c r="M75" s="89" t="n"/>
      <c r="N75" s="89" t="n"/>
      <c r="O75" s="89" t="n"/>
      <c r="P75" s="89" t="n"/>
      <c r="Q75" s="89" t="n"/>
      <c r="R75" s="89" t="n"/>
      <c r="S75" s="89" t="n"/>
      <c r="T75" s="89" t="n"/>
      <c r="U75" s="89" t="n"/>
      <c r="V75" s="89" t="n"/>
      <c r="W75" s="89" t="n"/>
      <c r="X75" s="89" t="n"/>
      <c r="Y75" s="89" t="n"/>
      <c r="Z75" s="89" t="n"/>
      <c r="AA75" s="89" t="n"/>
      <c r="AB75" s="89" t="n"/>
      <c r="AC75" s="89" t="n"/>
      <c r="AD75" s="89" t="n"/>
      <c r="AE75" s="89" t="n"/>
      <c r="AF75" s="89" t="n"/>
      <c r="AG75" s="89" t="n"/>
      <c r="AH75" s="89" t="n"/>
      <c r="AI75" s="89" t="n"/>
      <c r="AJ75" s="89" t="n"/>
      <c r="AK75" s="89" t="n"/>
      <c r="AL75" s="89" t="n"/>
      <c r="AM75" s="89" t="n"/>
      <c r="AN75" s="89" t="n"/>
      <c r="AO75" s="89" t="n">
        <v>6.064657</v>
      </c>
      <c r="AP75" s="89" t="n"/>
      <c r="AQ75" s="89" t="n"/>
      <c r="AR75" s="89" t="n"/>
      <c r="AS75" s="89" t="n">
        <v>1.059563</v>
      </c>
      <c r="AT75" s="89" t="n"/>
      <c r="AU75" s="89" t="n">
        <v>-0.315747</v>
      </c>
      <c r="AV75" s="89" t="n"/>
      <c r="AW75" s="89" t="n"/>
      <c r="AX75" s="89" t="n"/>
      <c r="AY75" s="89" t="n"/>
    </row>
    <row r="76">
      <c r="A76" t="inlineStr">
        <is>
          <t>1925-03</t>
        </is>
      </c>
      <c r="B76" s="1" t="n">
        <v>9192</v>
      </c>
      <c r="C76" s="88" t="n">
        <v>76</v>
      </c>
      <c r="D76" s="1" t="n"/>
      <c r="E76" s="1">
        <f>B76</f>
        <v/>
      </c>
      <c r="F76" s="2">
        <f>B76</f>
        <v/>
      </c>
      <c r="G76" s="88" t="n">
        <v>74</v>
      </c>
      <c r="H76" s="89" t="n"/>
      <c r="I76" s="89" t="n"/>
      <c r="J76" s="89" t="n"/>
      <c r="K76" s="89" t="n"/>
      <c r="L76" s="89" t="n"/>
      <c r="M76" s="89" t="n"/>
      <c r="N76" s="89" t="n"/>
      <c r="O76" s="89" t="n"/>
      <c r="P76" s="89" t="n"/>
      <c r="Q76" s="89" t="n"/>
      <c r="R76" s="89" t="n"/>
      <c r="S76" s="89" t="n"/>
      <c r="T76" s="89" t="n"/>
      <c r="U76" s="89" t="n"/>
      <c r="V76" s="89" t="n"/>
      <c r="W76" s="89" t="n"/>
      <c r="X76" s="89" t="n"/>
      <c r="Y76" s="89" t="n"/>
      <c r="Z76" s="89" t="n"/>
      <c r="AA76" s="89" t="n"/>
      <c r="AB76" s="89" t="n"/>
      <c r="AC76" s="89" t="n"/>
      <c r="AD76" s="89" t="n"/>
      <c r="AE76" s="89" t="n"/>
      <c r="AF76" s="89" t="n"/>
      <c r="AG76" s="89" t="n"/>
      <c r="AH76" s="89" t="n"/>
      <c r="AI76" s="89" t="n"/>
      <c r="AJ76" s="89" t="n"/>
      <c r="AK76" s="89" t="n"/>
      <c r="AL76" s="89" t="n"/>
      <c r="AM76" s="89" t="n"/>
      <c r="AN76" s="89" t="n"/>
      <c r="AO76" s="89" t="n">
        <v>6.064657</v>
      </c>
      <c r="AP76" s="89" t="n"/>
      <c r="AQ76" s="89" t="n"/>
      <c r="AR76" s="89" t="n"/>
      <c r="AS76" s="89" t="n">
        <v>-0.261584</v>
      </c>
      <c r="AT76" s="89" t="n"/>
      <c r="AU76" s="89" t="n">
        <v>1.663323</v>
      </c>
      <c r="AV76" s="89" t="n"/>
      <c r="AW76" s="89" t="n"/>
      <c r="AX76" s="89" t="n"/>
      <c r="AY76" s="89" t="n"/>
    </row>
    <row r="77">
      <c r="A77" t="inlineStr">
        <is>
          <t>1925-04</t>
        </is>
      </c>
      <c r="B77" s="1" t="n">
        <v>9223</v>
      </c>
      <c r="C77" s="88" t="n">
        <v>77</v>
      </c>
      <c r="D77" s="1" t="n"/>
      <c r="E77" s="1">
        <f>B77</f>
        <v/>
      </c>
      <c r="F77" s="2">
        <f>B77</f>
        <v/>
      </c>
      <c r="G77" s="88" t="n">
        <v>75</v>
      </c>
      <c r="H77" s="89" t="n"/>
      <c r="I77" s="89" t="n"/>
      <c r="J77" s="89" t="n"/>
      <c r="K77" s="89" t="n"/>
      <c r="L77" s="89" t="n"/>
      <c r="M77" s="89" t="n"/>
      <c r="N77" s="89" t="n"/>
      <c r="O77" s="89" t="n"/>
      <c r="P77" s="89" t="n"/>
      <c r="Q77" s="89" t="n"/>
      <c r="R77" s="89" t="n"/>
      <c r="S77" s="89" t="n"/>
      <c r="T77" s="89" t="n"/>
      <c r="U77" s="89" t="n"/>
      <c r="V77" s="89" t="n"/>
      <c r="W77" s="89" t="n"/>
      <c r="X77" s="89" t="n"/>
      <c r="Y77" s="89" t="n"/>
      <c r="Z77" s="89" t="n"/>
      <c r="AA77" s="89" t="n"/>
      <c r="AB77" s="89" t="n"/>
      <c r="AC77" s="89" t="n"/>
      <c r="AD77" s="89" t="n"/>
      <c r="AE77" s="89" t="n"/>
      <c r="AF77" s="89" t="n"/>
      <c r="AG77" s="89" t="n"/>
      <c r="AH77" s="89" t="n"/>
      <c r="AI77" s="89" t="n"/>
      <c r="AJ77" s="89" t="n"/>
      <c r="AK77" s="89" t="n"/>
      <c r="AL77" s="89" t="n"/>
      <c r="AM77" s="89" t="n"/>
      <c r="AN77" s="89" t="n"/>
      <c r="AO77" s="89" t="n">
        <v>6.117774</v>
      </c>
      <c r="AP77" s="89" t="n"/>
      <c r="AQ77" s="89" t="n"/>
      <c r="AR77" s="89" t="n"/>
      <c r="AS77" s="89" t="n">
        <v>-1.346317</v>
      </c>
      <c r="AT77" s="89" t="n"/>
      <c r="AU77" s="89" t="n">
        <v>1.404338</v>
      </c>
      <c r="AV77" s="89" t="n"/>
      <c r="AW77" s="89" t="n"/>
      <c r="AX77" s="89" t="n"/>
      <c r="AY77" s="89" t="n"/>
    </row>
    <row r="78">
      <c r="A78" t="inlineStr">
        <is>
          <t>1925-05</t>
        </is>
      </c>
      <c r="B78" s="1" t="n">
        <v>9253</v>
      </c>
      <c r="C78" s="88" t="n">
        <v>78</v>
      </c>
      <c r="D78" s="1" t="n"/>
      <c r="E78" s="1">
        <f>B78</f>
        <v/>
      </c>
      <c r="F78" s="2">
        <f>B78</f>
        <v/>
      </c>
      <c r="G78" s="88" t="n">
        <v>76</v>
      </c>
      <c r="H78" s="89" t="n"/>
      <c r="I78" s="89" t="n"/>
      <c r="J78" s="89" t="n"/>
      <c r="K78" s="89" t="n"/>
      <c r="L78" s="89" t="n"/>
      <c r="M78" s="89" t="n"/>
      <c r="N78" s="89" t="n"/>
      <c r="O78" s="89" t="n"/>
      <c r="P78" s="89" t="n"/>
      <c r="Q78" s="89" t="n"/>
      <c r="R78" s="89" t="n"/>
      <c r="S78" s="89" t="n"/>
      <c r="T78" s="89" t="n"/>
      <c r="U78" s="89" t="n"/>
      <c r="V78" s="89" t="n"/>
      <c r="W78" s="89" t="n"/>
      <c r="X78" s="89" t="n"/>
      <c r="Y78" s="89" t="n"/>
      <c r="Z78" s="89" t="n"/>
      <c r="AA78" s="89" t="n"/>
      <c r="AB78" s="89" t="n"/>
      <c r="AC78" s="89" t="n"/>
      <c r="AD78" s="89" t="n"/>
      <c r="AE78" s="89" t="n"/>
      <c r="AF78" s="89" t="n"/>
      <c r="AG78" s="89" t="n"/>
      <c r="AH78" s="89" t="n"/>
      <c r="AI78" s="89" t="n"/>
      <c r="AJ78" s="89" t="n"/>
      <c r="AK78" s="89" t="n"/>
      <c r="AL78" s="89" t="n"/>
      <c r="AM78" s="89" t="n"/>
      <c r="AN78" s="89" t="n"/>
      <c r="AO78" s="89" t="n">
        <v>6.091167</v>
      </c>
      <c r="AP78" s="89" t="n"/>
      <c r="AQ78" s="89" t="n"/>
      <c r="AR78" s="89" t="n"/>
      <c r="AS78" s="89" t="n">
        <v>5.130424</v>
      </c>
      <c r="AT78" s="89" t="n"/>
      <c r="AU78" s="89" t="n">
        <v>1.088242</v>
      </c>
      <c r="AV78" s="89" t="n"/>
      <c r="AW78" s="89" t="n"/>
      <c r="AX78" s="89" t="n"/>
      <c r="AY78" s="89" t="n"/>
    </row>
    <row r="79">
      <c r="A79" t="inlineStr">
        <is>
          <t>1925-06</t>
        </is>
      </c>
      <c r="B79" s="1" t="n">
        <v>9284</v>
      </c>
      <c r="C79" s="88" t="n">
        <v>79</v>
      </c>
      <c r="D79" s="1" t="n"/>
      <c r="E79" s="1">
        <f>B79</f>
        <v/>
      </c>
      <c r="F79" s="2">
        <f>B79</f>
        <v/>
      </c>
      <c r="G79" s="88" t="n">
        <v>77</v>
      </c>
      <c r="H79" s="89" t="n"/>
      <c r="I79" s="89" t="n"/>
      <c r="J79" s="89" t="n"/>
      <c r="K79" s="89" t="n"/>
      <c r="L79" s="89" t="n"/>
      <c r="M79" s="89" t="n"/>
      <c r="N79" s="89" t="n"/>
      <c r="O79" s="89" t="n"/>
      <c r="P79" s="89" t="n"/>
      <c r="Q79" s="89" t="n"/>
      <c r="R79" s="89" t="n"/>
      <c r="S79" s="89" t="n"/>
      <c r="T79" s="89" t="n"/>
      <c r="U79" s="89" t="n"/>
      <c r="V79" s="89" t="n"/>
      <c r="W79" s="89" t="n"/>
      <c r="X79" s="89" t="n"/>
      <c r="Y79" s="89" t="n"/>
      <c r="Z79" s="89" t="n"/>
      <c r="AA79" s="89" t="n"/>
      <c r="AB79" s="89" t="n"/>
      <c r="AC79" s="89" t="n"/>
      <c r="AD79" s="89" t="n"/>
      <c r="AE79" s="89" t="n"/>
      <c r="AF79" s="89" t="n"/>
      <c r="AG79" s="89" t="n"/>
      <c r="AH79" s="89" t="n"/>
      <c r="AI79" s="89" t="n"/>
      <c r="AJ79" s="89" t="n"/>
      <c r="AK79" s="89" t="n"/>
      <c r="AL79" s="89" t="n"/>
      <c r="AM79" s="89" t="n"/>
      <c r="AN79" s="89" t="n"/>
      <c r="AO79" s="89" t="n">
        <v>6.038051</v>
      </c>
      <c r="AP79" s="89" t="n"/>
      <c r="AQ79" s="89" t="n"/>
      <c r="AR79" s="89" t="n"/>
      <c r="AS79" s="89" t="n">
        <v>-1.256226</v>
      </c>
      <c r="AT79" s="89" t="n"/>
      <c r="AU79" s="89" t="n">
        <v>1.47329</v>
      </c>
      <c r="AV79" s="89" t="n"/>
      <c r="AW79" s="89" t="n"/>
      <c r="AX79" s="89" t="n"/>
      <c r="AY79" s="89" t="n"/>
    </row>
    <row r="80">
      <c r="A80" t="inlineStr">
        <is>
          <t>1925-07</t>
        </is>
      </c>
      <c r="B80" s="1" t="n">
        <v>9314</v>
      </c>
      <c r="C80" s="88" t="n">
        <v>80</v>
      </c>
      <c r="D80" s="1" t="n"/>
      <c r="E80" s="1">
        <f>B80</f>
        <v/>
      </c>
      <c r="F80" s="2">
        <f>B80</f>
        <v/>
      </c>
      <c r="G80" s="88" t="n">
        <v>78</v>
      </c>
      <c r="H80" s="89" t="n"/>
      <c r="I80" s="89" t="n"/>
      <c r="J80" s="89" t="n"/>
      <c r="K80" s="89" t="n"/>
      <c r="L80" s="89" t="n"/>
      <c r="M80" s="89" t="n"/>
      <c r="N80" s="89" t="n"/>
      <c r="O80" s="89" t="n"/>
      <c r="P80" s="89" t="n"/>
      <c r="Q80" s="89" t="n"/>
      <c r="R80" s="89" t="n"/>
      <c r="S80" s="89" t="n"/>
      <c r="T80" s="89" t="n"/>
      <c r="U80" s="89" t="n"/>
      <c r="V80" s="89" t="n"/>
      <c r="W80" s="89" t="n"/>
      <c r="X80" s="89" t="n"/>
      <c r="Y80" s="89" t="n"/>
      <c r="Z80" s="89" t="n"/>
      <c r="AA80" s="89" t="n"/>
      <c r="AB80" s="89" t="n"/>
      <c r="AC80" s="89" t="n"/>
      <c r="AD80" s="89" t="n"/>
      <c r="AE80" s="89" t="n"/>
      <c r="AF80" s="89" t="n"/>
      <c r="AG80" s="89" t="n"/>
      <c r="AH80" s="89" t="n"/>
      <c r="AI80" s="89" t="n"/>
      <c r="AJ80" s="89" t="n"/>
      <c r="AK80" s="89" t="n"/>
      <c r="AL80" s="89" t="n"/>
      <c r="AM80" s="89" t="n"/>
      <c r="AN80" s="89" t="n"/>
      <c r="AO80" s="89" t="n">
        <v>6.197592</v>
      </c>
      <c r="AP80" s="89" t="n"/>
      <c r="AQ80" s="89" t="n"/>
      <c r="AR80" s="89" t="n"/>
      <c r="AS80" s="89" t="n">
        <v>1.150618</v>
      </c>
      <c r="AT80" s="89" t="n"/>
      <c r="AU80" s="89" t="n">
        <v>0.329041</v>
      </c>
      <c r="AV80" s="89" t="n"/>
      <c r="AW80" s="89" t="n"/>
      <c r="AX80" s="89" t="n"/>
      <c r="AY80" s="89" t="n"/>
    </row>
    <row r="81">
      <c r="A81" t="inlineStr">
        <is>
          <t>1925-08</t>
        </is>
      </c>
      <c r="B81" s="1" t="n">
        <v>9345</v>
      </c>
      <c r="C81" s="88" t="n">
        <v>81</v>
      </c>
      <c r="D81" s="1" t="n"/>
      <c r="E81" s="1">
        <f>B81</f>
        <v/>
      </c>
      <c r="F81" s="2">
        <f>B81</f>
        <v/>
      </c>
      <c r="G81" s="88" t="n">
        <v>79</v>
      </c>
      <c r="H81" s="89" t="n"/>
      <c r="I81" s="89" t="n"/>
      <c r="J81" s="89" t="n"/>
      <c r="K81" s="89" t="n"/>
      <c r="L81" s="89" t="n"/>
      <c r="M81" s="89" t="n"/>
      <c r="N81" s="89" t="n"/>
      <c r="O81" s="89" t="n"/>
      <c r="P81" s="89" t="n"/>
      <c r="Q81" s="89" t="n"/>
      <c r="R81" s="89" t="n"/>
      <c r="S81" s="89" t="n"/>
      <c r="T81" s="89" t="n"/>
      <c r="U81" s="89" t="n"/>
      <c r="V81" s="89" t="n"/>
      <c r="W81" s="89" t="n"/>
      <c r="X81" s="89" t="n"/>
      <c r="Y81" s="89" t="n"/>
      <c r="Z81" s="89" t="n"/>
      <c r="AA81" s="89" t="n"/>
      <c r="AB81" s="89" t="n"/>
      <c r="AC81" s="89" t="n"/>
      <c r="AD81" s="89" t="n"/>
      <c r="AE81" s="89" t="n"/>
      <c r="AF81" s="89" t="n"/>
      <c r="AG81" s="89" t="n"/>
      <c r="AH81" s="89" t="n"/>
      <c r="AI81" s="89" t="n"/>
      <c r="AJ81" s="89" t="n"/>
      <c r="AK81" s="89" t="n"/>
      <c r="AL81" s="89" t="n"/>
      <c r="AM81" s="89" t="n"/>
      <c r="AN81" s="89" t="n"/>
      <c r="AO81" s="89" t="n">
        <v>6.091167</v>
      </c>
      <c r="AP81" s="89" t="n"/>
      <c r="AQ81" s="89" t="n"/>
      <c r="AR81" s="89" t="n"/>
      <c r="AS81" s="89" t="n">
        <v>2.80519</v>
      </c>
      <c r="AT81" s="89" t="n"/>
      <c r="AU81" s="89" t="n">
        <v>3.635516</v>
      </c>
      <c r="AV81" s="89" t="n"/>
      <c r="AW81" s="89" t="n"/>
      <c r="AX81" s="89" t="n"/>
      <c r="AY81" s="89" t="n"/>
    </row>
    <row r="82">
      <c r="A82" t="inlineStr">
        <is>
          <t>1925-09</t>
        </is>
      </c>
      <c r="B82" s="1" t="n">
        <v>9376</v>
      </c>
      <c r="C82" s="88" t="n">
        <v>82</v>
      </c>
      <c r="D82" s="1" t="n"/>
      <c r="E82" s="1">
        <f>B82</f>
        <v/>
      </c>
      <c r="F82" s="2">
        <f>B82</f>
        <v/>
      </c>
      <c r="G82" s="88" t="n">
        <v>80</v>
      </c>
      <c r="H82" s="89" t="n"/>
      <c r="I82" s="89" t="n"/>
      <c r="J82" s="89" t="n"/>
      <c r="K82" s="89" t="n"/>
      <c r="L82" s="89" t="n"/>
      <c r="M82" s="89" t="n"/>
      <c r="N82" s="89" t="n"/>
      <c r="O82" s="89" t="n"/>
      <c r="P82" s="89" t="n"/>
      <c r="Q82" s="89" t="n"/>
      <c r="R82" s="89" t="n"/>
      <c r="S82" s="89" t="n"/>
      <c r="T82" s="89" t="n"/>
      <c r="U82" s="89" t="n"/>
      <c r="V82" s="89" t="n"/>
      <c r="W82" s="89" t="n"/>
      <c r="X82" s="89" t="n"/>
      <c r="Y82" s="89" t="n"/>
      <c r="Z82" s="89" t="n"/>
      <c r="AA82" s="89" t="n"/>
      <c r="AB82" s="89" t="n"/>
      <c r="AC82" s="89" t="n"/>
      <c r="AD82" s="89" t="n"/>
      <c r="AE82" s="89" t="n"/>
      <c r="AF82" s="89" t="n"/>
      <c r="AG82" s="89" t="n"/>
      <c r="AH82" s="89" t="n"/>
      <c r="AI82" s="89" t="n"/>
      <c r="AJ82" s="89" t="n"/>
      <c r="AK82" s="89" t="n"/>
      <c r="AL82" s="89" t="n"/>
      <c r="AM82" s="89" t="n"/>
      <c r="AN82" s="89" t="n"/>
      <c r="AO82" s="89" t="n">
        <v>6.011445</v>
      </c>
      <c r="AP82" s="89" t="n"/>
      <c r="AQ82" s="89" t="n"/>
      <c r="AR82" s="89" t="n"/>
      <c r="AS82" s="89" t="n">
        <v>-0.979198</v>
      </c>
      <c r="AT82" s="89" t="n"/>
      <c r="AU82" s="89" t="n">
        <v>0.158926</v>
      </c>
      <c r="AV82" s="89" t="n"/>
      <c r="AW82" s="89" t="n"/>
      <c r="AX82" s="89" t="n"/>
      <c r="AY82" s="89" t="n"/>
    </row>
    <row r="83">
      <c r="A83" t="inlineStr">
        <is>
          <t>1925-10</t>
        </is>
      </c>
      <c r="B83" s="1" t="n">
        <v>9406</v>
      </c>
      <c r="C83" s="88" t="n">
        <v>83</v>
      </c>
      <c r="D83" s="1" t="n"/>
      <c r="E83" s="1">
        <f>B83</f>
        <v/>
      </c>
      <c r="F83" s="2">
        <f>B83</f>
        <v/>
      </c>
      <c r="G83" s="88" t="n">
        <v>81</v>
      </c>
      <c r="H83" s="89" t="n"/>
      <c r="I83" s="89" t="n"/>
      <c r="J83" s="89" t="n"/>
      <c r="K83" s="89" t="n"/>
      <c r="L83" s="89" t="n"/>
      <c r="M83" s="89" t="n"/>
      <c r="N83" s="89" t="n"/>
      <c r="O83" s="89" t="n"/>
      <c r="P83" s="89" t="n"/>
      <c r="Q83" s="89" t="n"/>
      <c r="R83" s="89" t="n"/>
      <c r="S83" s="89" t="n"/>
      <c r="T83" s="89" t="n"/>
      <c r="U83" s="89" t="n"/>
      <c r="V83" s="89" t="n"/>
      <c r="W83" s="89" t="n"/>
      <c r="X83" s="89" t="n"/>
      <c r="Y83" s="89" t="n"/>
      <c r="Z83" s="89" t="n"/>
      <c r="AA83" s="89" t="n"/>
      <c r="AB83" s="89" t="n"/>
      <c r="AC83" s="89" t="n"/>
      <c r="AD83" s="89" t="n"/>
      <c r="AE83" s="89" t="n"/>
      <c r="AF83" s="89" t="n"/>
      <c r="AG83" s="89" t="n"/>
      <c r="AH83" s="89" t="n"/>
      <c r="AI83" s="89" t="n"/>
      <c r="AJ83" s="89" t="n"/>
      <c r="AK83" s="89" t="n"/>
      <c r="AL83" s="89" t="n"/>
      <c r="AM83" s="89" t="n"/>
      <c r="AN83" s="89" t="n"/>
      <c r="AO83" s="89" t="n">
        <v>6.250804</v>
      </c>
      <c r="AP83" s="89" t="n"/>
      <c r="AQ83" s="89" t="n"/>
      <c r="AR83" s="89" t="n"/>
      <c r="AS83" s="89" t="n">
        <v>-1.163089</v>
      </c>
      <c r="AT83" s="89" t="n"/>
      <c r="AU83" s="89" t="n">
        <v>5.028337</v>
      </c>
      <c r="AV83" s="89" t="n"/>
      <c r="AW83" s="89" t="n"/>
      <c r="AX83" s="89" t="n"/>
      <c r="AY83" s="89" t="n"/>
    </row>
    <row r="84">
      <c r="A84" t="inlineStr">
        <is>
          <t>1925-11</t>
        </is>
      </c>
      <c r="B84" s="1" t="n">
        <v>9437</v>
      </c>
      <c r="C84" s="88" t="n">
        <v>84</v>
      </c>
      <c r="D84" s="1" t="n"/>
      <c r="E84" s="1">
        <f>B84</f>
        <v/>
      </c>
      <c r="F84" s="2">
        <f>B84</f>
        <v/>
      </c>
      <c r="G84" s="88" t="n">
        <v>82</v>
      </c>
      <c r="H84" s="89" t="n"/>
      <c r="I84" s="89" t="n"/>
      <c r="J84" s="89" t="n"/>
      <c r="K84" s="89" t="n"/>
      <c r="L84" s="89" t="n"/>
      <c r="M84" s="89" t="n"/>
      <c r="N84" s="89" t="n"/>
      <c r="O84" s="89" t="n"/>
      <c r="P84" s="89" t="n"/>
      <c r="Q84" s="89" t="n"/>
      <c r="R84" s="89" t="n"/>
      <c r="S84" s="89" t="n"/>
      <c r="T84" s="89" t="n"/>
      <c r="U84" s="89" t="n"/>
      <c r="V84" s="89" t="n"/>
      <c r="W84" s="89" t="n"/>
      <c r="X84" s="89" t="n"/>
      <c r="Y84" s="89" t="n"/>
      <c r="Z84" s="89" t="n"/>
      <c r="AA84" s="89" t="n"/>
      <c r="AB84" s="89" t="n"/>
      <c r="AC84" s="89" t="n"/>
      <c r="AD84" s="89" t="n"/>
      <c r="AE84" s="89" t="n"/>
      <c r="AF84" s="89" t="n"/>
      <c r="AG84" s="89" t="n"/>
      <c r="AH84" s="89" t="n"/>
      <c r="AI84" s="89" t="n"/>
      <c r="AJ84" s="89" t="n"/>
      <c r="AK84" s="89" t="n"/>
      <c r="AL84" s="89" t="n"/>
      <c r="AM84" s="89" t="n"/>
      <c r="AN84" s="89" t="n"/>
      <c r="AO84" s="89" t="n">
        <v>6.383834</v>
      </c>
      <c r="AP84" s="89" t="n"/>
      <c r="AQ84" s="89" t="n"/>
      <c r="AR84" s="89" t="n"/>
      <c r="AS84" s="89" t="n">
        <v>0.513219</v>
      </c>
      <c r="AT84" s="89" t="n"/>
      <c r="AU84" s="89" t="n">
        <v>-1.815748</v>
      </c>
      <c r="AV84" s="89" t="n"/>
      <c r="AW84" s="89" t="n"/>
      <c r="AX84" s="89" t="n"/>
      <c r="AY84" s="89" t="n"/>
    </row>
    <row r="85">
      <c r="A85" t="inlineStr">
        <is>
          <t>1925-12</t>
        </is>
      </c>
      <c r="B85" s="1" t="n">
        <v>9467</v>
      </c>
      <c r="C85" s="88" t="n">
        <v>85</v>
      </c>
      <c r="D85" s="1" t="n"/>
      <c r="E85" s="1">
        <f>B85</f>
        <v/>
      </c>
      <c r="F85" s="2">
        <f>B85</f>
        <v/>
      </c>
      <c r="G85" s="88" t="n">
        <v>83</v>
      </c>
      <c r="H85" s="89" t="n"/>
      <c r="I85" s="89" t="n"/>
      <c r="J85" s="89" t="n"/>
      <c r="K85" s="89" t="n"/>
      <c r="L85" s="89" t="n"/>
      <c r="M85" s="89" t="n"/>
      <c r="N85" s="89" t="n"/>
      <c r="O85" s="89" t="n"/>
      <c r="P85" s="89" t="n"/>
      <c r="Q85" s="89" t="n"/>
      <c r="R85" s="89" t="n"/>
      <c r="S85" s="89" t="n"/>
      <c r="T85" s="89" t="n"/>
      <c r="U85" s="89" t="n"/>
      <c r="V85" s="89" t="n"/>
      <c r="W85" s="89" t="n"/>
      <c r="X85" s="89" t="n"/>
      <c r="Y85" s="89" t="n"/>
      <c r="Z85" s="89" t="n"/>
      <c r="AA85" s="89" t="n"/>
      <c r="AB85" s="89" t="n"/>
      <c r="AC85" s="89" t="n"/>
      <c r="AD85" s="89" t="n"/>
      <c r="AE85" s="89" t="n"/>
      <c r="AF85" s="89" t="n"/>
      <c r="AG85" s="89" t="n"/>
      <c r="AH85" s="89" t="n"/>
      <c r="AI85" s="89" t="n"/>
      <c r="AJ85" s="89" t="n"/>
      <c r="AK85" s="89" t="n"/>
      <c r="AL85" s="89" t="n"/>
      <c r="AM85" s="89" t="n"/>
      <c r="AN85" s="89" t="n"/>
      <c r="AO85" s="89" t="n">
        <v>6.463557</v>
      </c>
      <c r="AP85" s="89" t="n"/>
      <c r="AQ85" s="89" t="n"/>
      <c r="AR85" s="89" t="n"/>
      <c r="AS85" s="89" t="n">
        <v>1.58853</v>
      </c>
      <c r="AT85" s="89" t="n"/>
      <c r="AU85" s="89" t="n">
        <v>1.641869</v>
      </c>
      <c r="AV85" s="89" t="n"/>
      <c r="AW85" s="89" t="n"/>
      <c r="AX85" s="89" t="n"/>
      <c r="AY85" s="89" t="n"/>
    </row>
    <row r="86">
      <c r="A86" t="inlineStr">
        <is>
          <t>1926-01</t>
        </is>
      </c>
      <c r="B86" s="1" t="n">
        <v>9498</v>
      </c>
      <c r="C86" s="88" t="n">
        <v>86</v>
      </c>
      <c r="D86" s="1" t="n"/>
      <c r="E86" s="1">
        <f>B86</f>
        <v/>
      </c>
      <c r="F86" s="2">
        <f>B86</f>
        <v/>
      </c>
      <c r="G86" s="88" t="n">
        <v>84</v>
      </c>
      <c r="H86" s="89" t="n"/>
      <c r="I86" s="89" t="n"/>
      <c r="J86" s="89" t="n"/>
      <c r="K86" s="89" t="n"/>
      <c r="L86" s="89" t="n"/>
      <c r="M86" s="89" t="n"/>
      <c r="N86" s="89" t="n"/>
      <c r="O86" s="89" t="n"/>
      <c r="P86" s="89" t="n"/>
      <c r="Q86" s="89" t="n"/>
      <c r="R86" s="89" t="n"/>
      <c r="S86" s="89" t="n"/>
      <c r="T86" s="89" t="n"/>
      <c r="U86" s="89" t="n"/>
      <c r="V86" s="89" t="n"/>
      <c r="W86" s="89" t="n"/>
      <c r="X86" s="89" t="n"/>
      <c r="Y86" s="89" t="n"/>
      <c r="Z86" s="89" t="n"/>
      <c r="AA86" s="89" t="n"/>
      <c r="AB86" s="89" t="n"/>
      <c r="AC86" s="89" t="n"/>
      <c r="AD86" s="89" t="n"/>
      <c r="AE86" s="89" t="n"/>
      <c r="AF86" s="89" t="n"/>
      <c r="AG86" s="89" t="n"/>
      <c r="AH86" s="89" t="n"/>
      <c r="AI86" s="89" t="n"/>
      <c r="AJ86" s="89" t="n"/>
      <c r="AK86" s="89" t="n"/>
      <c r="AL86" s="89" t="n"/>
      <c r="AM86" s="89" t="n"/>
      <c r="AN86" s="89" t="n"/>
      <c r="AO86" s="89" t="n">
        <v>6.357228</v>
      </c>
      <c r="AP86" s="89" t="n"/>
      <c r="AQ86" s="89" t="n"/>
      <c r="AR86" s="89" t="n"/>
      <c r="AS86" s="89" t="n">
        <v>0.553384</v>
      </c>
      <c r="AT86" s="89" t="n"/>
      <c r="AU86" s="89" t="n">
        <v>0.443369</v>
      </c>
      <c r="AV86" s="89" t="n"/>
      <c r="AW86" s="89" t="n"/>
      <c r="AX86" s="89" t="n"/>
      <c r="AY86" s="89" t="n"/>
    </row>
    <row r="87">
      <c r="A87" t="inlineStr">
        <is>
          <t>1926-02</t>
        </is>
      </c>
      <c r="B87" s="1" t="n">
        <v>9529</v>
      </c>
      <c r="C87" s="88" t="n">
        <v>87</v>
      </c>
      <c r="D87" s="1" t="n"/>
      <c r="E87" s="1">
        <f>B87</f>
        <v/>
      </c>
      <c r="F87" s="2">
        <f>B87</f>
        <v/>
      </c>
      <c r="G87" s="88" t="n">
        <v>85</v>
      </c>
      <c r="H87" s="89" t="n"/>
      <c r="I87" s="89" t="n"/>
      <c r="J87" s="89" t="n"/>
      <c r="K87" s="89" t="n"/>
      <c r="L87" s="89" t="n"/>
      <c r="M87" s="89" t="n"/>
      <c r="N87" s="89" t="n"/>
      <c r="O87" s="89" t="n"/>
      <c r="P87" s="89" t="n"/>
      <c r="Q87" s="89" t="n"/>
      <c r="R87" s="89" t="n"/>
      <c r="S87" s="89" t="n"/>
      <c r="T87" s="89" t="n"/>
      <c r="U87" s="89" t="n"/>
      <c r="V87" s="89" t="n"/>
      <c r="W87" s="89" t="n"/>
      <c r="X87" s="89" t="n"/>
      <c r="Y87" s="89" t="n"/>
      <c r="Z87" s="89" t="n"/>
      <c r="AA87" s="89" t="n"/>
      <c r="AB87" s="89" t="n"/>
      <c r="AC87" s="89" t="n"/>
      <c r="AD87" s="89" t="n"/>
      <c r="AE87" s="89" t="n"/>
      <c r="AF87" s="89" t="n"/>
      <c r="AG87" s="89" t="n"/>
      <c r="AH87" s="89" t="n"/>
      <c r="AI87" s="89" t="n"/>
      <c r="AJ87" s="89" t="n"/>
      <c r="AK87" s="89" t="n"/>
      <c r="AL87" s="89" t="n"/>
      <c r="AM87" s="89" t="n"/>
      <c r="AN87" s="89" t="n"/>
      <c r="AO87" s="89" t="n">
        <v>6.357228</v>
      </c>
      <c r="AP87" s="89" t="n"/>
      <c r="AQ87" s="89" t="n"/>
      <c r="AR87" s="89" t="n"/>
      <c r="AS87" s="89" t="n">
        <v>2.761789</v>
      </c>
      <c r="AT87" s="89" t="n"/>
      <c r="AU87" s="89" t="n">
        <v>1.079327</v>
      </c>
      <c r="AV87" s="89" t="n"/>
      <c r="AW87" s="89" t="n"/>
      <c r="AX87" s="89" t="n"/>
      <c r="AY87" s="89" t="n"/>
    </row>
    <row r="88">
      <c r="A88" t="inlineStr">
        <is>
          <t>1926-03</t>
        </is>
      </c>
      <c r="B88" s="1" t="n">
        <v>9557</v>
      </c>
      <c r="C88" s="88" t="n">
        <v>88</v>
      </c>
      <c r="D88" s="1" t="n"/>
      <c r="E88" s="1">
        <f>B88</f>
        <v/>
      </c>
      <c r="F88" s="2">
        <f>B88</f>
        <v/>
      </c>
      <c r="G88" s="88" t="n">
        <v>86</v>
      </c>
      <c r="H88" s="89" t="n"/>
      <c r="I88" s="89" t="n"/>
      <c r="J88" s="89" t="n"/>
      <c r="K88" s="89" t="n"/>
      <c r="L88" s="89" t="n"/>
      <c r="M88" s="89" t="n"/>
      <c r="N88" s="89" t="n"/>
      <c r="O88" s="89" t="n"/>
      <c r="P88" s="89" t="n"/>
      <c r="Q88" s="89" t="n"/>
      <c r="R88" s="89" t="n"/>
      <c r="S88" s="89" t="n"/>
      <c r="T88" s="89" t="n"/>
      <c r="U88" s="89" t="n"/>
      <c r="V88" s="89" t="n"/>
      <c r="W88" s="89" t="n"/>
      <c r="X88" s="89" t="n"/>
      <c r="Y88" s="89" t="n"/>
      <c r="Z88" s="89" t="n"/>
      <c r="AA88" s="89" t="n"/>
      <c r="AB88" s="89" t="n"/>
      <c r="AC88" s="89" t="n"/>
      <c r="AD88" s="89" t="n"/>
      <c r="AE88" s="89" t="n"/>
      <c r="AF88" s="89" t="n"/>
      <c r="AG88" s="89" t="n"/>
      <c r="AH88" s="89" t="n"/>
      <c r="AI88" s="89" t="n"/>
      <c r="AJ88" s="89" t="n"/>
      <c r="AK88" s="89" t="n"/>
      <c r="AL88" s="89" t="n"/>
      <c r="AM88" s="89" t="n"/>
      <c r="AN88" s="89" t="n"/>
      <c r="AO88" s="89" t="n">
        <v>6.437047</v>
      </c>
      <c r="AP88" s="89" t="n"/>
      <c r="AQ88" s="89" t="n"/>
      <c r="AR88" s="89" t="n"/>
      <c r="AS88" s="89" t="n">
        <v>2.432074</v>
      </c>
      <c r="AT88" s="89" t="n"/>
      <c r="AU88" s="89" t="n">
        <v>1.890613</v>
      </c>
      <c r="AV88" s="89" t="n"/>
      <c r="AW88" s="89" t="n"/>
      <c r="AX88" s="89" t="n"/>
      <c r="AY88" s="89" t="n"/>
    </row>
    <row r="89">
      <c r="A89" t="inlineStr">
        <is>
          <t>1926-04</t>
        </is>
      </c>
      <c r="B89" s="1" t="n">
        <v>9588</v>
      </c>
      <c r="C89" s="88" t="n">
        <v>89</v>
      </c>
      <c r="D89" s="1" t="n"/>
      <c r="E89" s="1">
        <f>B89</f>
        <v/>
      </c>
      <c r="F89" s="2">
        <f>B89</f>
        <v/>
      </c>
      <c r="G89" s="88" t="n">
        <v>87</v>
      </c>
      <c r="H89" s="89" t="n"/>
      <c r="I89" s="89" t="n"/>
      <c r="J89" s="89" t="n"/>
      <c r="K89" s="89" t="n"/>
      <c r="L89" s="89" t="n"/>
      <c r="M89" s="89" t="n"/>
      <c r="N89" s="89" t="n"/>
      <c r="O89" s="89" t="n"/>
      <c r="P89" s="89" t="n"/>
      <c r="Q89" s="89" t="n"/>
      <c r="R89" s="89" t="n"/>
      <c r="S89" s="89" t="n"/>
      <c r="T89" s="89" t="n"/>
      <c r="U89" s="89" t="n"/>
      <c r="V89" s="89" t="n"/>
      <c r="W89" s="89" t="n"/>
      <c r="X89" s="89" t="n"/>
      <c r="Y89" s="89" t="n"/>
      <c r="Z89" s="89" t="n"/>
      <c r="AA89" s="89" t="n"/>
      <c r="AB89" s="89" t="n"/>
      <c r="AC89" s="89" t="n"/>
      <c r="AD89" s="89" t="n"/>
      <c r="AE89" s="89" t="n"/>
      <c r="AF89" s="89" t="n"/>
      <c r="AG89" s="89" t="n"/>
      <c r="AH89" s="89" t="n"/>
      <c r="AI89" s="89" t="n"/>
      <c r="AJ89" s="89" t="n"/>
      <c r="AK89" s="89" t="n"/>
      <c r="AL89" s="89" t="n"/>
      <c r="AM89" s="89" t="n"/>
      <c r="AN89" s="89" t="n"/>
      <c r="AO89" s="89" t="n">
        <v>6.437047</v>
      </c>
      <c r="AP89" s="89" t="n"/>
      <c r="AQ89" s="89" t="n"/>
      <c r="AR89" s="89" t="n"/>
      <c r="AS89" s="89" t="n">
        <v>-2.393515</v>
      </c>
      <c r="AT89" s="89" t="n"/>
      <c r="AU89" s="89" t="n">
        <v>0.718688</v>
      </c>
      <c r="AV89" s="89" t="n"/>
      <c r="AW89" s="89" t="n"/>
      <c r="AX89" s="89" t="n"/>
      <c r="AY89" s="89" t="n"/>
    </row>
    <row r="90">
      <c r="A90" t="inlineStr">
        <is>
          <t>1926-05</t>
        </is>
      </c>
      <c r="B90" s="1" t="n">
        <v>9618</v>
      </c>
      <c r="C90" s="88" t="n">
        <v>90</v>
      </c>
      <c r="D90" s="1" t="n"/>
      <c r="E90" s="1">
        <f>B90</f>
        <v/>
      </c>
      <c r="F90" s="2">
        <f>B90</f>
        <v/>
      </c>
      <c r="G90" s="88" t="n">
        <v>88</v>
      </c>
      <c r="H90" s="89" t="n"/>
      <c r="I90" s="89" t="n"/>
      <c r="J90" s="89" t="n"/>
      <c r="K90" s="89" t="n"/>
      <c r="L90" s="89" t="n"/>
      <c r="M90" s="89" t="n"/>
      <c r="N90" s="89" t="n"/>
      <c r="O90" s="89" t="n"/>
      <c r="P90" s="89" t="n"/>
      <c r="Q90" s="89" t="n"/>
      <c r="R90" s="89" t="n"/>
      <c r="S90" s="89" t="n"/>
      <c r="T90" s="89" t="n"/>
      <c r="U90" s="89" t="n"/>
      <c r="V90" s="89" t="n"/>
      <c r="W90" s="89" t="n"/>
      <c r="X90" s="89" t="n"/>
      <c r="Y90" s="89" t="n"/>
      <c r="Z90" s="89" t="n"/>
      <c r="AA90" s="89" t="n"/>
      <c r="AB90" s="89" t="n"/>
      <c r="AC90" s="89" t="n"/>
      <c r="AD90" s="89" t="n"/>
      <c r="AE90" s="89" t="n"/>
      <c r="AF90" s="89" t="n"/>
      <c r="AG90" s="89" t="n"/>
      <c r="AH90" s="89" t="n"/>
      <c r="AI90" s="89" t="n"/>
      <c r="AJ90" s="89" t="n"/>
      <c r="AK90" s="89" t="n"/>
      <c r="AL90" s="89" t="n"/>
      <c r="AM90" s="89" t="n"/>
      <c r="AN90" s="89" t="n"/>
      <c r="AO90" s="89" t="n">
        <v>6.383834</v>
      </c>
      <c r="AP90" s="89" t="n"/>
      <c r="AQ90" s="89" t="n"/>
      <c r="AR90" s="89" t="n"/>
      <c r="AS90" s="89" t="n">
        <v>3.5186</v>
      </c>
      <c r="AT90" s="89" t="n"/>
      <c r="AU90" s="89" t="n">
        <v>-0.084331</v>
      </c>
      <c r="AV90" s="89" t="n"/>
      <c r="AW90" s="89" t="n"/>
      <c r="AX90" s="89" t="n"/>
      <c r="AY90" s="89" t="n"/>
    </row>
    <row r="91">
      <c r="A91" t="inlineStr">
        <is>
          <t>1926-06</t>
        </is>
      </c>
      <c r="B91" s="1" t="n">
        <v>9649</v>
      </c>
      <c r="C91" s="88" t="n">
        <v>91</v>
      </c>
      <c r="D91" s="1" t="n"/>
      <c r="E91" s="1">
        <f>B91</f>
        <v/>
      </c>
      <c r="F91" s="2">
        <f>B91</f>
        <v/>
      </c>
      <c r="G91" s="88" t="n">
        <v>89</v>
      </c>
      <c r="H91" s="89" t="n"/>
      <c r="I91" s="89" t="n"/>
      <c r="J91" s="89" t="n"/>
      <c r="K91" s="89" t="n"/>
      <c r="L91" s="89" t="n"/>
      <c r="M91" s="89" t="n"/>
      <c r="N91" s="89" t="n"/>
      <c r="O91" s="89" t="n"/>
      <c r="P91" s="89" t="n"/>
      <c r="Q91" s="89" t="n"/>
      <c r="R91" s="89" t="n"/>
      <c r="S91" s="89" t="n"/>
      <c r="T91" s="89" t="n"/>
      <c r="U91" s="89" t="n"/>
      <c r="V91" s="89" t="n"/>
      <c r="W91" s="89" t="n"/>
      <c r="X91" s="89" t="n"/>
      <c r="Y91" s="89" t="n"/>
      <c r="Z91" s="89" t="n"/>
      <c r="AA91" s="89" t="n"/>
      <c r="AB91" s="89" t="n"/>
      <c r="AC91" s="89" t="n"/>
      <c r="AD91" s="89" t="n"/>
      <c r="AE91" s="89" t="n"/>
      <c r="AF91" s="89" t="n"/>
      <c r="AG91" s="89" t="n"/>
      <c r="AH91" s="89" t="n"/>
      <c r="AI91" s="89" t="n"/>
      <c r="AJ91" s="89" t="n"/>
      <c r="AK91" s="89" t="n"/>
      <c r="AL91" s="89" t="n"/>
      <c r="AM91" s="89" t="n"/>
      <c r="AN91" s="89" t="n"/>
      <c r="AO91" s="89" t="n">
        <v>6.463557</v>
      </c>
      <c r="AP91" s="89" t="n"/>
      <c r="AQ91" s="89" t="n"/>
      <c r="AR91" s="89" t="n"/>
      <c r="AS91" s="89" t="n">
        <v>4.158557</v>
      </c>
      <c r="AT91" s="89" t="n"/>
      <c r="AU91" s="89" t="n">
        <v>4.566766</v>
      </c>
      <c r="AV91" s="89" t="n"/>
      <c r="AW91" s="89" t="n"/>
      <c r="AX91" s="89" t="n"/>
      <c r="AY91" s="89" t="n"/>
    </row>
    <row r="92">
      <c r="A92" t="inlineStr">
        <is>
          <t>1926-07</t>
        </is>
      </c>
      <c r="B92" s="1" t="n">
        <v>9679</v>
      </c>
      <c r="C92" s="88" t="n">
        <v>92</v>
      </c>
      <c r="D92" s="1" t="n"/>
      <c r="E92" s="1">
        <f>B92</f>
        <v/>
      </c>
      <c r="F92" s="2">
        <f>B92</f>
        <v/>
      </c>
      <c r="G92" s="88" t="n">
        <v>90</v>
      </c>
      <c r="H92" s="89" t="n"/>
      <c r="I92" s="89" t="n"/>
      <c r="J92" s="89" t="n"/>
      <c r="K92" s="89" t="n"/>
      <c r="L92" s="89" t="n"/>
      <c r="M92" s="89" t="n"/>
      <c r="N92" s="89" t="n"/>
      <c r="O92" s="89" t="n"/>
      <c r="P92" s="89" t="n"/>
      <c r="Q92" s="89" t="n"/>
      <c r="R92" s="89" t="n"/>
      <c r="S92" s="89" t="n"/>
      <c r="T92" s="89" t="n"/>
      <c r="U92" s="89" t="n"/>
      <c r="V92" s="89" t="n"/>
      <c r="W92" s="89" t="n"/>
      <c r="X92" s="89" t="n"/>
      <c r="Y92" s="89" t="n"/>
      <c r="Z92" s="89" t="n"/>
      <c r="AA92" s="89" t="n"/>
      <c r="AB92" s="89" t="n"/>
      <c r="AC92" s="89" t="n"/>
      <c r="AD92" s="89" t="n"/>
      <c r="AE92" s="89" t="n"/>
      <c r="AF92" s="89" t="n"/>
      <c r="AG92" s="89" t="n"/>
      <c r="AH92" s="89" t="n"/>
      <c r="AI92" s="89" t="n"/>
      <c r="AJ92" s="89" t="n"/>
      <c r="AK92" s="89" t="n"/>
      <c r="AL92" s="89" t="n"/>
      <c r="AM92" s="89" t="n"/>
      <c r="AN92" s="89" t="n"/>
      <c r="AO92" s="89" t="n">
        <v>6.490163</v>
      </c>
      <c r="AP92" s="89" t="n"/>
      <c r="AQ92" s="89" t="n"/>
      <c r="AR92" s="89" t="n"/>
      <c r="AS92" s="89" t="n">
        <v>-0.223326</v>
      </c>
      <c r="AT92" s="89" t="n"/>
      <c r="AU92" s="89" t="n">
        <v>-1.349817</v>
      </c>
      <c r="AV92" s="89" t="n"/>
      <c r="AW92" s="89" t="n"/>
      <c r="AX92" s="89" t="n"/>
      <c r="AY92" s="89" t="n"/>
    </row>
    <row r="93">
      <c r="A93" t="inlineStr">
        <is>
          <t>1926-08</t>
        </is>
      </c>
      <c r="B93" s="1" t="n">
        <v>9710</v>
      </c>
      <c r="C93" s="88" t="n">
        <v>93</v>
      </c>
      <c r="D93" s="1" t="n"/>
      <c r="E93" s="1">
        <f>B93</f>
        <v/>
      </c>
      <c r="F93" s="2">
        <f>B93</f>
        <v/>
      </c>
      <c r="G93" s="88" t="n">
        <v>91</v>
      </c>
      <c r="H93" s="89" t="n"/>
      <c r="I93" s="89" t="n"/>
      <c r="J93" s="89" t="n"/>
      <c r="K93" s="89" t="n"/>
      <c r="L93" s="89" t="n"/>
      <c r="M93" s="89" t="n"/>
      <c r="N93" s="89" t="n"/>
      <c r="O93" s="89" t="n"/>
      <c r="P93" s="89" t="n"/>
      <c r="Q93" s="89" t="n"/>
      <c r="R93" s="89" t="n"/>
      <c r="S93" s="89" t="n"/>
      <c r="T93" s="89" t="n"/>
      <c r="U93" s="89" t="n"/>
      <c r="V93" s="89" t="n"/>
      <c r="W93" s="89" t="n"/>
      <c r="X93" s="89" t="n"/>
      <c r="Y93" s="89" t="n"/>
      <c r="Z93" s="89" t="n"/>
      <c r="AA93" s="89" t="n"/>
      <c r="AB93" s="89" t="n"/>
      <c r="AC93" s="89" t="n"/>
      <c r="AD93" s="89" t="n"/>
      <c r="AE93" s="89" t="n"/>
      <c r="AF93" s="89" t="n"/>
      <c r="AG93" s="89" t="n"/>
      <c r="AH93" s="89" t="n"/>
      <c r="AI93" s="89" t="n"/>
      <c r="AJ93" s="89" t="n"/>
      <c r="AK93" s="89" t="n"/>
      <c r="AL93" s="89" t="n"/>
      <c r="AM93" s="89" t="n"/>
      <c r="AN93" s="89" t="n"/>
      <c r="AO93" s="89" t="n">
        <v>6.569981</v>
      </c>
      <c r="AP93" s="89" t="n"/>
      <c r="AQ93" s="89" t="n"/>
      <c r="AR93" s="89" t="n"/>
      <c r="AS93" s="89" t="n">
        <v>1.996142</v>
      </c>
      <c r="AT93" s="89" t="n"/>
      <c r="AU93" s="89" t="n">
        <v>2.152491</v>
      </c>
      <c r="AV93" s="89" t="n"/>
      <c r="AW93" s="89" t="n"/>
      <c r="AX93" s="89" t="n"/>
      <c r="AY93" s="89" t="n"/>
    </row>
    <row r="94">
      <c r="A94" t="inlineStr">
        <is>
          <t>1926-09</t>
        </is>
      </c>
      <c r="B94" s="1" t="n">
        <v>9741</v>
      </c>
      <c r="C94" s="88" t="n">
        <v>94</v>
      </c>
      <c r="D94" s="1" t="n"/>
      <c r="E94" s="1">
        <f>B94</f>
        <v/>
      </c>
      <c r="F94" s="2">
        <f>B94</f>
        <v/>
      </c>
      <c r="G94" s="88" t="n">
        <v>92</v>
      </c>
      <c r="H94" s="89" t="n"/>
      <c r="I94" s="89" t="n"/>
      <c r="J94" s="89" t="n"/>
      <c r="K94" s="89" t="n"/>
      <c r="L94" s="89" t="n"/>
      <c r="M94" s="89" t="n"/>
      <c r="N94" s="89" t="n"/>
      <c r="O94" s="89" t="n"/>
      <c r="P94" s="89" t="n"/>
      <c r="Q94" s="89" t="n"/>
      <c r="R94" s="89" t="n"/>
      <c r="S94" s="89" t="n"/>
      <c r="T94" s="89" t="n"/>
      <c r="U94" s="89" t="n"/>
      <c r="V94" s="89" t="n"/>
      <c r="W94" s="89" t="n"/>
      <c r="X94" s="89" t="n"/>
      <c r="Y94" s="89" t="n"/>
      <c r="Z94" s="89" t="n"/>
      <c r="AA94" s="89" t="n"/>
      <c r="AB94" s="89" t="n"/>
      <c r="AC94" s="89" t="n"/>
      <c r="AD94" s="89" t="n"/>
      <c r="AE94" s="89" t="n"/>
      <c r="AF94" s="89" t="n"/>
      <c r="AG94" s="89" t="n"/>
      <c r="AH94" s="89" t="n"/>
      <c r="AI94" s="89" t="n"/>
      <c r="AJ94" s="89" t="n"/>
      <c r="AK94" s="89" t="n"/>
      <c r="AL94" s="89" t="n"/>
      <c r="AM94" s="89" t="n"/>
      <c r="AN94" s="89" t="n"/>
      <c r="AO94" s="89" t="n">
        <v>6.676406</v>
      </c>
      <c r="AP94" s="89" t="n"/>
      <c r="AQ94" s="89" t="n"/>
      <c r="AR94" s="89" t="n"/>
      <c r="AS94" s="89" t="n">
        <v>1.186441</v>
      </c>
      <c r="AT94" s="89" t="n"/>
      <c r="AU94" s="89" t="n">
        <v>2.040588</v>
      </c>
      <c r="AV94" s="89" t="n"/>
      <c r="AW94" s="89" t="n"/>
      <c r="AX94" s="89" t="n"/>
      <c r="AY94" s="89" t="n"/>
    </row>
    <row r="95">
      <c r="A95" t="inlineStr">
        <is>
          <t>1926-10</t>
        </is>
      </c>
      <c r="B95" s="1" t="n">
        <v>9771</v>
      </c>
      <c r="C95" s="88" t="n">
        <v>95</v>
      </c>
      <c r="D95" s="1" t="n"/>
      <c r="E95" s="1">
        <f>B95</f>
        <v/>
      </c>
      <c r="F95" s="2">
        <f>B95</f>
        <v/>
      </c>
      <c r="G95" s="88" t="n">
        <v>93</v>
      </c>
      <c r="H95" s="89" t="n"/>
      <c r="I95" s="89" t="n"/>
      <c r="J95" s="89" t="n"/>
      <c r="K95" s="89" t="n"/>
      <c r="L95" s="89" t="n"/>
      <c r="M95" s="89" t="n"/>
      <c r="N95" s="89" t="n"/>
      <c r="O95" s="89" t="n"/>
      <c r="P95" s="89" t="n"/>
      <c r="Q95" s="89" t="n"/>
      <c r="R95" s="89" t="n"/>
      <c r="S95" s="89" t="n"/>
      <c r="T95" s="89" t="n"/>
      <c r="U95" s="89" t="n"/>
      <c r="V95" s="89" t="n"/>
      <c r="W95" s="89" t="n"/>
      <c r="X95" s="89" t="n"/>
      <c r="Y95" s="89" t="n"/>
      <c r="Z95" s="89" t="n"/>
      <c r="AA95" s="89" t="n"/>
      <c r="AB95" s="89" t="n"/>
      <c r="AC95" s="89" t="n"/>
      <c r="AD95" s="89" t="n"/>
      <c r="AE95" s="89" t="n"/>
      <c r="AF95" s="89" t="n"/>
      <c r="AG95" s="89" t="n"/>
      <c r="AH95" s="89" t="n"/>
      <c r="AI95" s="89" t="n"/>
      <c r="AJ95" s="89" t="n"/>
      <c r="AK95" s="89" t="n"/>
      <c r="AL95" s="89" t="n"/>
      <c r="AM95" s="89" t="n"/>
      <c r="AN95" s="89" t="n"/>
      <c r="AO95" s="89" t="n">
        <v>6.676406</v>
      </c>
      <c r="AP95" s="89" t="n"/>
      <c r="AQ95" s="89" t="n"/>
      <c r="AR95" s="89" t="n"/>
      <c r="AS95" s="89" t="n">
        <v>1.396769</v>
      </c>
      <c r="AT95" s="89" t="n"/>
      <c r="AU95" s="89" t="n">
        <v>-1.154461</v>
      </c>
      <c r="AV95" s="89" t="n"/>
      <c r="AW95" s="89" t="n"/>
      <c r="AX95" s="89" t="n"/>
      <c r="AY95" s="89" t="n"/>
    </row>
    <row r="96">
      <c r="A96" t="inlineStr">
        <is>
          <t>1926-11</t>
        </is>
      </c>
      <c r="B96" s="1" t="n">
        <v>9802</v>
      </c>
      <c r="C96" s="88" t="n">
        <v>96</v>
      </c>
      <c r="D96" s="1" t="n"/>
      <c r="E96" s="1">
        <f>B96</f>
        <v/>
      </c>
      <c r="F96" s="2">
        <f>B96</f>
        <v/>
      </c>
      <c r="G96" s="88" t="n">
        <v>94</v>
      </c>
      <c r="H96" s="89" t="n"/>
      <c r="I96" s="89" t="n"/>
      <c r="J96" s="89" t="n"/>
      <c r="K96" s="89" t="n"/>
      <c r="L96" s="89" t="n"/>
      <c r="M96" s="89" t="n"/>
      <c r="N96" s="89" t="n"/>
      <c r="O96" s="89" t="n"/>
      <c r="P96" s="89" t="n"/>
      <c r="Q96" s="89" t="n"/>
      <c r="R96" s="89" t="n"/>
      <c r="S96" s="89" t="n"/>
      <c r="T96" s="89" t="n"/>
      <c r="U96" s="89" t="n"/>
      <c r="V96" s="89" t="n"/>
      <c r="W96" s="89" t="n"/>
      <c r="X96" s="89" t="n"/>
      <c r="Y96" s="89" t="n"/>
      <c r="Z96" s="89" t="n"/>
      <c r="AA96" s="89" t="n"/>
      <c r="AB96" s="89" t="n"/>
      <c r="AC96" s="89" t="n"/>
      <c r="AD96" s="89" t="n"/>
      <c r="AE96" s="89" t="n"/>
      <c r="AF96" s="89" t="n"/>
      <c r="AG96" s="89" t="n"/>
      <c r="AH96" s="89" t="n"/>
      <c r="AI96" s="89" t="n"/>
      <c r="AJ96" s="89" t="n"/>
      <c r="AK96" s="89" t="n"/>
      <c r="AL96" s="89" t="n"/>
      <c r="AM96" s="89" t="n"/>
      <c r="AN96" s="89" t="n"/>
      <c r="AO96" s="89" t="n">
        <v>6.6498</v>
      </c>
      <c r="AP96" s="89" t="n"/>
      <c r="AQ96" s="89" t="n"/>
      <c r="AR96" s="89" t="n"/>
      <c r="AS96" s="89" t="n">
        <v>0.404999</v>
      </c>
      <c r="AT96" s="89" t="n"/>
      <c r="AU96" s="89" t="n">
        <v>3.518499</v>
      </c>
      <c r="AV96" s="89" t="n"/>
      <c r="AW96" s="89" t="n"/>
      <c r="AX96" s="89" t="n"/>
      <c r="AY96" s="89" t="n"/>
    </row>
    <row r="97">
      <c r="A97" t="inlineStr">
        <is>
          <t>1926-12</t>
        </is>
      </c>
      <c r="B97" s="1" t="n">
        <v>9832</v>
      </c>
      <c r="C97" s="88" t="n">
        <v>97</v>
      </c>
      <c r="D97" s="1" t="n"/>
      <c r="E97" s="1">
        <f>B97</f>
        <v/>
      </c>
      <c r="F97" s="2">
        <f>B97</f>
        <v/>
      </c>
      <c r="G97" s="88" t="n">
        <v>95</v>
      </c>
      <c r="H97" s="89" t="n"/>
      <c r="I97" s="89" t="n"/>
      <c r="J97" s="89" t="n"/>
      <c r="K97" s="89" t="n"/>
      <c r="L97" s="89" t="n"/>
      <c r="M97" s="89" t="n"/>
      <c r="N97" s="89" t="n"/>
      <c r="O97" s="89" t="n"/>
      <c r="P97" s="89" t="n"/>
      <c r="Q97" s="89" t="n"/>
      <c r="R97" s="89" t="n"/>
      <c r="S97" s="89" t="n"/>
      <c r="T97" s="89" t="n"/>
      <c r="U97" s="89" t="n"/>
      <c r="V97" s="89" t="n"/>
      <c r="W97" s="89" t="n"/>
      <c r="X97" s="89" t="n"/>
      <c r="Y97" s="89" t="n"/>
      <c r="Z97" s="89" t="n"/>
      <c r="AA97" s="89" t="n"/>
      <c r="AB97" s="89" t="n"/>
      <c r="AC97" s="89" t="n"/>
      <c r="AD97" s="89" t="n"/>
      <c r="AE97" s="89" t="n"/>
      <c r="AF97" s="89" t="n"/>
      <c r="AG97" s="89" t="n"/>
      <c r="AH97" s="89" t="n"/>
      <c r="AI97" s="89" t="n"/>
      <c r="AJ97" s="89" t="n"/>
      <c r="AK97" s="89" t="n"/>
      <c r="AL97" s="89" t="n"/>
      <c r="AM97" s="89" t="n"/>
      <c r="AN97" s="89" t="n"/>
      <c r="AO97" s="89" t="n">
        <v>6.623193</v>
      </c>
      <c r="AP97" s="89" t="n"/>
      <c r="AQ97" s="89" t="n"/>
      <c r="AR97" s="89" t="n"/>
      <c r="AS97" s="89" t="n">
        <v>1.114561</v>
      </c>
      <c r="AT97" s="89" t="n"/>
      <c r="AU97" s="89" t="n">
        <v>1.481128</v>
      </c>
      <c r="AV97" s="89" t="n"/>
      <c r="AW97" s="89" t="n"/>
      <c r="AX97" s="89" t="n"/>
      <c r="AY97" s="89" t="n"/>
    </row>
    <row r="98">
      <c r="A98" t="inlineStr">
        <is>
          <t>1927-01</t>
        </is>
      </c>
      <c r="B98" s="1" t="n">
        <v>9863</v>
      </c>
      <c r="C98" s="88" t="n">
        <v>98</v>
      </c>
      <c r="D98" s="1" t="n"/>
      <c r="E98" s="1">
        <f>B98</f>
        <v/>
      </c>
      <c r="F98" s="2">
        <f>B98</f>
        <v/>
      </c>
      <c r="G98" s="88" t="n">
        <v>96</v>
      </c>
      <c r="H98" s="89" t="n"/>
      <c r="I98" s="89" t="n"/>
      <c r="J98" s="89" t="n"/>
      <c r="K98" s="89" t="n"/>
      <c r="L98" s="89" t="n"/>
      <c r="M98" s="89" t="n"/>
      <c r="N98" s="89" t="n"/>
      <c r="O98" s="89" t="n"/>
      <c r="P98" s="89" t="n"/>
      <c r="Q98" s="89" t="n"/>
      <c r="R98" s="89" t="n"/>
      <c r="S98" s="89" t="n"/>
      <c r="T98" s="89" t="n"/>
      <c r="U98" s="89" t="n"/>
      <c r="V98" s="89" t="n"/>
      <c r="W98" s="89" t="n"/>
      <c r="X98" s="89" t="n"/>
      <c r="Y98" s="89" t="n"/>
      <c r="Z98" s="89" t="n"/>
      <c r="AA98" s="89" t="n"/>
      <c r="AB98" s="89" t="n"/>
      <c r="AC98" s="89" t="n"/>
      <c r="AD98" s="89" t="n"/>
      <c r="AE98" s="89" t="n"/>
      <c r="AF98" s="89" t="n"/>
      <c r="AG98" s="89" t="n"/>
      <c r="AH98" s="89" t="n"/>
      <c r="AI98" s="89" t="n"/>
      <c r="AJ98" s="89" t="n"/>
      <c r="AK98" s="89" t="n"/>
      <c r="AL98" s="89" t="n"/>
      <c r="AM98" s="89" t="n"/>
      <c r="AN98" s="89" t="n"/>
      <c r="AO98" s="89" t="n">
        <v>6.596587</v>
      </c>
      <c r="AP98" s="89" t="n"/>
      <c r="AQ98" s="89" t="n"/>
      <c r="AR98" s="89" t="n"/>
      <c r="AS98" s="89" t="n">
        <v>1.590426</v>
      </c>
      <c r="AT98" s="89" t="n"/>
      <c r="AU98" s="89" t="n">
        <v>-0.81523</v>
      </c>
      <c r="AV98" s="89" t="n"/>
      <c r="AW98" s="89" t="n"/>
      <c r="AX98" s="89" t="n"/>
      <c r="AY98" s="89" t="n"/>
    </row>
    <row r="99">
      <c r="A99" t="inlineStr">
        <is>
          <t>1927-02</t>
        </is>
      </c>
      <c r="B99" s="1" t="n">
        <v>9894</v>
      </c>
      <c r="C99" s="88" t="n">
        <v>99</v>
      </c>
      <c r="D99" s="1" t="n"/>
      <c r="E99" s="1">
        <f>B99</f>
        <v/>
      </c>
      <c r="F99" s="2">
        <f>B99</f>
        <v/>
      </c>
      <c r="G99" s="88" t="n">
        <v>97</v>
      </c>
      <c r="H99" s="89" t="n"/>
      <c r="I99" s="89" t="n"/>
      <c r="J99" s="89" t="n"/>
      <c r="K99" s="89" t="n"/>
      <c r="L99" s="89" t="n"/>
      <c r="M99" s="89" t="n"/>
      <c r="N99" s="89" t="n"/>
      <c r="O99" s="89" t="n"/>
      <c r="P99" s="89" t="n"/>
      <c r="Q99" s="89" t="n"/>
      <c r="R99" s="89" t="n"/>
      <c r="S99" s="89" t="n"/>
      <c r="T99" s="89" t="n"/>
      <c r="U99" s="89" t="n"/>
      <c r="V99" s="89" t="n"/>
      <c r="W99" s="89" t="n"/>
      <c r="X99" s="89" t="n"/>
      <c r="Y99" s="89" t="n"/>
      <c r="Z99" s="89" t="n"/>
      <c r="AA99" s="89" t="n"/>
      <c r="AB99" s="89" t="n"/>
      <c r="AC99" s="89" t="n"/>
      <c r="AD99" s="89" t="n"/>
      <c r="AE99" s="89" t="n"/>
      <c r="AF99" s="89" t="n"/>
      <c r="AG99" s="89" t="n"/>
      <c r="AH99" s="89" t="n"/>
      <c r="AI99" s="89" t="n"/>
      <c r="AJ99" s="89" t="n"/>
      <c r="AK99" s="89" t="n"/>
      <c r="AL99" s="89" t="n"/>
      <c r="AM99" s="89" t="n"/>
      <c r="AN99" s="89" t="n"/>
      <c r="AO99" s="89" t="n">
        <v>6.6498</v>
      </c>
      <c r="AP99" s="89" t="n"/>
      <c r="AQ99" s="89" t="n"/>
      <c r="AR99" s="89" t="n"/>
      <c r="AS99" s="89" t="n">
        <v>0.6174269999999999</v>
      </c>
      <c r="AT99" s="89" t="n"/>
      <c r="AU99" s="89" t="n">
        <v>1.302659</v>
      </c>
      <c r="AV99" s="89" t="n"/>
      <c r="AW99" s="89" t="n"/>
      <c r="AX99" s="89" t="n"/>
      <c r="AY99" s="89" t="n"/>
    </row>
    <row r="100">
      <c r="A100" t="inlineStr">
        <is>
          <t>1927-03</t>
        </is>
      </c>
      <c r="B100" s="1" t="n">
        <v>9922</v>
      </c>
      <c r="C100" s="88" t="n">
        <v>100</v>
      </c>
      <c r="D100" s="1" t="n"/>
      <c r="E100" s="1">
        <f>B100</f>
        <v/>
      </c>
      <c r="F100" s="2">
        <f>B100</f>
        <v/>
      </c>
      <c r="G100" s="88" t="n">
        <v>98</v>
      </c>
      <c r="H100" s="89" t="n"/>
      <c r="I100" s="89" t="n"/>
      <c r="J100" s="89" t="n"/>
      <c r="K100" s="89" t="n"/>
      <c r="L100" s="89" t="n"/>
      <c r="M100" s="89" t="n"/>
      <c r="N100" s="89" t="n"/>
      <c r="O100" s="89" t="n"/>
      <c r="P100" s="89" t="n"/>
      <c r="Q100" s="89" t="n"/>
      <c r="R100" s="89" t="n"/>
      <c r="S100" s="89" t="n"/>
      <c r="T100" s="89" t="n"/>
      <c r="U100" s="89" t="n"/>
      <c r="V100" s="89" t="n"/>
      <c r="W100" s="89" t="n"/>
      <c r="X100" s="89" t="n"/>
      <c r="Y100" s="89" t="n"/>
      <c r="Z100" s="89" t="n"/>
      <c r="AA100" s="89" t="n"/>
      <c r="AB100" s="89" t="n"/>
      <c r="AC100" s="89" t="n"/>
      <c r="AD100" s="89" t="n"/>
      <c r="AE100" s="89" t="n"/>
      <c r="AF100" s="89" t="n"/>
      <c r="AG100" s="89" t="n"/>
      <c r="AH100" s="89" t="n"/>
      <c r="AI100" s="89" t="n"/>
      <c r="AJ100" s="89" t="n"/>
      <c r="AK100" s="89" t="n"/>
      <c r="AL100" s="89" t="n"/>
      <c r="AM100" s="89" t="n"/>
      <c r="AN100" s="89" t="n"/>
      <c r="AO100" s="89" t="n">
        <v>6.729618</v>
      </c>
      <c r="AP100" s="89" t="n"/>
      <c r="AQ100" s="89" t="n"/>
      <c r="AR100" s="89" t="n"/>
      <c r="AS100" s="89" t="n">
        <v>0.749718</v>
      </c>
      <c r="AT100" s="89" t="n"/>
      <c r="AU100" s="89" t="n">
        <v>0.718762</v>
      </c>
      <c r="AV100" s="89" t="n"/>
      <c r="AW100" s="89" t="n"/>
      <c r="AX100" s="89" t="n"/>
      <c r="AY100" s="89" t="n"/>
    </row>
    <row r="101">
      <c r="A101" t="inlineStr">
        <is>
          <t>1927-04</t>
        </is>
      </c>
      <c r="B101" s="1" t="n">
        <v>9953</v>
      </c>
      <c r="C101" s="88" t="n">
        <v>101</v>
      </c>
      <c r="D101" s="1" t="n"/>
      <c r="E101" s="1">
        <f>B101</f>
        <v/>
      </c>
      <c r="F101" s="2">
        <f>B101</f>
        <v/>
      </c>
      <c r="G101" s="88" t="n">
        <v>99</v>
      </c>
      <c r="H101" s="89" t="n"/>
      <c r="I101" s="89" t="n"/>
      <c r="J101" s="89" t="n"/>
      <c r="K101" s="89" t="n"/>
      <c r="L101" s="89" t="n"/>
      <c r="M101" s="89" t="n"/>
      <c r="N101" s="89" t="n"/>
      <c r="O101" s="89" t="n"/>
      <c r="P101" s="89" t="n"/>
      <c r="Q101" s="89" t="n"/>
      <c r="R101" s="89" t="n"/>
      <c r="S101" s="89" t="n"/>
      <c r="T101" s="89" t="n"/>
      <c r="U101" s="89" t="n"/>
      <c r="V101" s="89" t="n"/>
      <c r="W101" s="89" t="n"/>
      <c r="X101" s="89" t="n"/>
      <c r="Y101" s="89" t="n"/>
      <c r="Z101" s="89" t="n"/>
      <c r="AA101" s="89" t="n"/>
      <c r="AB101" s="89" t="n"/>
      <c r="AC101" s="89" t="n"/>
      <c r="AD101" s="89" t="n"/>
      <c r="AE101" s="89" t="n"/>
      <c r="AF101" s="89" t="n"/>
      <c r="AG101" s="89" t="n"/>
      <c r="AH101" s="89" t="n"/>
      <c r="AI101" s="89" t="n"/>
      <c r="AJ101" s="89" t="n"/>
      <c r="AK101" s="89" t="n"/>
      <c r="AL101" s="89" t="n"/>
      <c r="AM101" s="89" t="n"/>
      <c r="AN101" s="89" t="n"/>
      <c r="AO101" s="89" t="n">
        <v>6.569981</v>
      </c>
      <c r="AP101" s="89" t="n"/>
      <c r="AQ101" s="89" t="n"/>
      <c r="AR101" s="89" t="n"/>
      <c r="AS101" s="89" t="n">
        <v>0.917431</v>
      </c>
      <c r="AT101" s="89" t="n"/>
      <c r="AU101" s="89" t="n">
        <v>-0.58952</v>
      </c>
      <c r="AV101" s="89" t="n"/>
      <c r="AW101" s="89" t="n"/>
      <c r="AX101" s="89" t="n"/>
      <c r="AY101" s="89" t="n"/>
    </row>
    <row r="102">
      <c r="A102" t="inlineStr">
        <is>
          <t>1927-05</t>
        </is>
      </c>
      <c r="B102" s="1" t="n">
        <v>9983</v>
      </c>
      <c r="C102" s="88" t="n">
        <v>102</v>
      </c>
      <c r="D102" s="1" t="n"/>
      <c r="E102" s="1">
        <f>B102</f>
        <v/>
      </c>
      <c r="F102" s="2">
        <f>B102</f>
        <v/>
      </c>
      <c r="G102" s="88" t="n">
        <v>100</v>
      </c>
      <c r="H102" s="89" t="n"/>
      <c r="I102" s="89" t="n"/>
      <c r="J102" s="89" t="n"/>
      <c r="K102" s="89" t="n"/>
      <c r="L102" s="89" t="n"/>
      <c r="M102" s="89" t="n"/>
      <c r="N102" s="89" t="n"/>
      <c r="O102" s="89" t="n"/>
      <c r="P102" s="89" t="n"/>
      <c r="Q102" s="89" t="n"/>
      <c r="R102" s="89" t="n"/>
      <c r="S102" s="89" t="n"/>
      <c r="T102" s="89" t="n"/>
      <c r="U102" s="89" t="n"/>
      <c r="V102" s="89" t="n"/>
      <c r="W102" s="89" t="n"/>
      <c r="X102" s="89" t="n"/>
      <c r="Y102" s="89" t="n"/>
      <c r="Z102" s="89" t="n"/>
      <c r="AA102" s="89" t="n"/>
      <c r="AB102" s="89" t="n"/>
      <c r="AC102" s="89" t="n"/>
      <c r="AD102" s="89" t="n"/>
      <c r="AE102" s="89" t="n"/>
      <c r="AF102" s="89" t="n"/>
      <c r="AG102" s="89" t="n"/>
      <c r="AH102" s="89" t="n"/>
      <c r="AI102" s="89" t="n"/>
      <c r="AJ102" s="89" t="n"/>
      <c r="AK102" s="89" t="n"/>
      <c r="AL102" s="89" t="n"/>
      <c r="AM102" s="89" t="n"/>
      <c r="AN102" s="89" t="n"/>
      <c r="AO102" s="89" t="n">
        <v>6.623193</v>
      </c>
      <c r="AP102" s="89" t="n"/>
      <c r="AQ102" s="89" t="n"/>
      <c r="AR102" s="89" t="n"/>
      <c r="AS102" s="89" t="n">
        <v>0.285354</v>
      </c>
      <c r="AT102" s="89" t="n"/>
      <c r="AU102" s="89" t="n">
        <v>1.04617</v>
      </c>
      <c r="AV102" s="89" t="n"/>
      <c r="AW102" s="89" t="n"/>
      <c r="AX102" s="89" t="n"/>
      <c r="AY102" s="89" t="n"/>
    </row>
    <row r="103">
      <c r="A103" t="inlineStr">
        <is>
          <t>1927-06</t>
        </is>
      </c>
      <c r="B103" s="1" t="n">
        <v>10014</v>
      </c>
      <c r="C103" s="88" t="n">
        <v>103</v>
      </c>
      <c r="D103" s="1" t="n"/>
      <c r="E103" s="1">
        <f>B103</f>
        <v/>
      </c>
      <c r="F103" s="2">
        <f>B103</f>
        <v/>
      </c>
      <c r="G103" s="88" t="n">
        <v>101</v>
      </c>
      <c r="H103" s="89" t="n"/>
      <c r="I103" s="89" t="n"/>
      <c r="J103" s="89" t="n"/>
      <c r="K103" s="89" t="n"/>
      <c r="L103" s="89" t="n"/>
      <c r="M103" s="89" t="n"/>
      <c r="N103" s="89" t="n"/>
      <c r="O103" s="89" t="n"/>
      <c r="P103" s="89" t="n"/>
      <c r="Q103" s="89" t="n"/>
      <c r="R103" s="89" t="n"/>
      <c r="S103" s="89" t="n"/>
      <c r="T103" s="89" t="n"/>
      <c r="U103" s="89" t="n"/>
      <c r="V103" s="89" t="n"/>
      <c r="W103" s="89" t="n"/>
      <c r="X103" s="89" t="n"/>
      <c r="Y103" s="89" t="n"/>
      <c r="Z103" s="89" t="n"/>
      <c r="AA103" s="89" t="n"/>
      <c r="AB103" s="89" t="n"/>
      <c r="AC103" s="89" t="n"/>
      <c r="AD103" s="89" t="n"/>
      <c r="AE103" s="89" t="n"/>
      <c r="AF103" s="89" t="n"/>
      <c r="AG103" s="89" t="n"/>
      <c r="AH103" s="89" t="n"/>
      <c r="AI103" s="89" t="n"/>
      <c r="AJ103" s="89" t="n"/>
      <c r="AK103" s="89" t="n"/>
      <c r="AL103" s="89" t="n"/>
      <c r="AM103" s="89" t="n"/>
      <c r="AN103" s="89" t="n"/>
      <c r="AO103" s="89" t="n">
        <v>6.596587</v>
      </c>
      <c r="AP103" s="89" t="n"/>
      <c r="AQ103" s="89" t="n"/>
      <c r="AR103" s="89" t="n"/>
      <c r="AS103" s="89" t="n">
        <v>0.8410339999999999</v>
      </c>
      <c r="AT103" s="89" t="n"/>
      <c r="AU103" s="89" t="n">
        <v>0.061773</v>
      </c>
      <c r="AV103" s="89" t="n"/>
      <c r="AW103" s="89" t="n"/>
      <c r="AX103" s="89" t="n"/>
      <c r="AY103" s="89" t="n"/>
    </row>
    <row r="104">
      <c r="A104" t="inlineStr">
        <is>
          <t>1927-07</t>
        </is>
      </c>
      <c r="B104" s="1" t="n">
        <v>10044</v>
      </c>
      <c r="C104" s="88" t="n">
        <v>104</v>
      </c>
      <c r="D104" s="1" t="n"/>
      <c r="E104" s="1">
        <f>B104</f>
        <v/>
      </c>
      <c r="F104" s="2">
        <f>B104</f>
        <v/>
      </c>
      <c r="G104" s="88" t="n">
        <v>102</v>
      </c>
      <c r="H104" s="89" t="n"/>
      <c r="I104" s="89" t="n"/>
      <c r="J104" s="89" t="n"/>
      <c r="K104" s="89" t="n"/>
      <c r="L104" s="89" t="n"/>
      <c r="M104" s="89" t="n"/>
      <c r="N104" s="89" t="n"/>
      <c r="O104" s="89" t="n"/>
      <c r="P104" s="89" t="n"/>
      <c r="Q104" s="89" t="n"/>
      <c r="R104" s="89" t="n"/>
      <c r="S104" s="89" t="n"/>
      <c r="T104" s="89" t="n"/>
      <c r="U104" s="89" t="n"/>
      <c r="V104" s="89" t="n"/>
      <c r="W104" s="89" t="n"/>
      <c r="X104" s="89" t="n"/>
      <c r="Y104" s="89" t="n"/>
      <c r="Z104" s="89" t="n"/>
      <c r="AA104" s="89" t="n"/>
      <c r="AB104" s="89" t="n"/>
      <c r="AC104" s="89" t="n"/>
      <c r="AD104" s="89" t="n"/>
      <c r="AE104" s="89" t="n"/>
      <c r="AF104" s="89" t="n"/>
      <c r="AG104" s="89" t="n"/>
      <c r="AH104" s="89" t="n"/>
      <c r="AI104" s="89" t="n"/>
      <c r="AJ104" s="89" t="n"/>
      <c r="AK104" s="89" t="n"/>
      <c r="AL104" s="89" t="n"/>
      <c r="AM104" s="89" t="n"/>
      <c r="AN104" s="89" t="n"/>
      <c r="AO104" s="89" t="n">
        <v>6.516769</v>
      </c>
      <c r="AP104" s="89" t="n"/>
      <c r="AQ104" s="89" t="n"/>
      <c r="AR104" s="89" t="n"/>
      <c r="AS104" s="89" t="n">
        <v>1.765426</v>
      </c>
      <c r="AT104" s="89" t="n"/>
      <c r="AU104" s="89" t="n">
        <v>1.770999</v>
      </c>
      <c r="AV104" s="89" t="n"/>
      <c r="AW104" s="89" t="n"/>
      <c r="AX104" s="89" t="n"/>
      <c r="AY104" s="89" t="n"/>
    </row>
    <row r="105">
      <c r="A105" t="inlineStr">
        <is>
          <t>1927-08</t>
        </is>
      </c>
      <c r="B105" s="1" t="n">
        <v>10075</v>
      </c>
      <c r="C105" s="88" t="n">
        <v>105</v>
      </c>
      <c r="D105" s="1" t="n"/>
      <c r="E105" s="1">
        <f>B105</f>
        <v/>
      </c>
      <c r="F105" s="2">
        <f>B105</f>
        <v/>
      </c>
      <c r="G105" s="88" t="n">
        <v>103</v>
      </c>
      <c r="H105" s="89" t="n"/>
      <c r="I105" s="89" t="n"/>
      <c r="J105" s="89" t="n"/>
      <c r="K105" s="89" t="n"/>
      <c r="L105" s="89" t="n"/>
      <c r="M105" s="89" t="n"/>
      <c r="N105" s="89" t="n"/>
      <c r="O105" s="89" t="n"/>
      <c r="P105" s="89" t="n"/>
      <c r="Q105" s="89" t="n"/>
      <c r="R105" s="89" t="n"/>
      <c r="S105" s="89" t="n"/>
      <c r="T105" s="89" t="n"/>
      <c r="U105" s="89" t="n"/>
      <c r="V105" s="89" t="n"/>
      <c r="W105" s="89" t="n"/>
      <c r="X105" s="89" t="n"/>
      <c r="Y105" s="89" t="n"/>
      <c r="Z105" s="89" t="n"/>
      <c r="AA105" s="89" t="n"/>
      <c r="AB105" s="89" t="n"/>
      <c r="AC105" s="89" t="n"/>
      <c r="AD105" s="89" t="n"/>
      <c r="AE105" s="89" t="n"/>
      <c r="AF105" s="89" t="n"/>
      <c r="AG105" s="89" t="n"/>
      <c r="AH105" s="89" t="n"/>
      <c r="AI105" s="89" t="n"/>
      <c r="AJ105" s="89" t="n"/>
      <c r="AK105" s="89" t="n"/>
      <c r="AL105" s="89" t="n"/>
      <c r="AM105" s="89" t="n"/>
      <c r="AN105" s="89" t="n"/>
      <c r="AO105" s="89" t="n">
        <v>6.516769</v>
      </c>
      <c r="AP105" s="89" t="n"/>
      <c r="AQ105" s="89" t="n"/>
      <c r="AR105" s="89" t="n"/>
      <c r="AS105" s="89" t="n">
        <v>0.498111</v>
      </c>
      <c r="AT105" s="89" t="n"/>
      <c r="AU105" s="89" t="n">
        <v>1.289678</v>
      </c>
      <c r="AV105" s="89" t="n"/>
      <c r="AW105" s="89" t="n"/>
      <c r="AX105" s="89" t="n"/>
      <c r="AY105" s="89" t="n"/>
    </row>
    <row r="106">
      <c r="A106" t="inlineStr">
        <is>
          <t>1927-09</t>
        </is>
      </c>
      <c r="B106" s="1" t="n">
        <v>10106</v>
      </c>
      <c r="C106" s="88" t="n">
        <v>106</v>
      </c>
      <c r="D106" s="1" t="n"/>
      <c r="E106" s="1">
        <f>B106</f>
        <v/>
      </c>
      <c r="F106" s="2">
        <f>B106</f>
        <v/>
      </c>
      <c r="G106" s="88" t="n">
        <v>104</v>
      </c>
      <c r="H106" s="89" t="n"/>
      <c r="I106" s="89" t="n"/>
      <c r="J106" s="89" t="n"/>
      <c r="K106" s="89" t="n"/>
      <c r="L106" s="89" t="n"/>
      <c r="M106" s="89" t="n"/>
      <c r="N106" s="89" t="n"/>
      <c r="O106" s="89" t="n"/>
      <c r="P106" s="89" t="n"/>
      <c r="Q106" s="89" t="n"/>
      <c r="R106" s="89" t="n"/>
      <c r="S106" s="89" t="n"/>
      <c r="T106" s="89" t="n"/>
      <c r="U106" s="89" t="n"/>
      <c r="V106" s="89" t="n"/>
      <c r="W106" s="89" t="n"/>
      <c r="X106" s="89" t="n"/>
      <c r="Y106" s="89" t="n"/>
      <c r="Z106" s="89" t="n"/>
      <c r="AA106" s="89" t="n"/>
      <c r="AB106" s="89" t="n"/>
      <c r="AC106" s="89" t="n"/>
      <c r="AD106" s="89" t="n"/>
      <c r="AE106" s="89" t="n"/>
      <c r="AF106" s="89" t="n"/>
      <c r="AG106" s="89" t="n"/>
      <c r="AH106" s="89" t="n"/>
      <c r="AI106" s="89" t="n"/>
      <c r="AJ106" s="89" t="n"/>
      <c r="AK106" s="89" t="n"/>
      <c r="AL106" s="89" t="n"/>
      <c r="AM106" s="89" t="n"/>
      <c r="AN106" s="89" t="n"/>
      <c r="AO106" s="89" t="n">
        <v>6.41044</v>
      </c>
      <c r="AP106" s="89" t="n"/>
      <c r="AQ106" s="89" t="n"/>
      <c r="AR106" s="89" t="n"/>
      <c r="AS106" s="89" t="n">
        <v>-0.087897</v>
      </c>
      <c r="AT106" s="89" t="n"/>
      <c r="AU106" s="89" t="n">
        <v>-0.444748</v>
      </c>
      <c r="AV106" s="89" t="n"/>
      <c r="AW106" s="89" t="n"/>
      <c r="AX106" s="89" t="n"/>
      <c r="AY106" s="89" t="n"/>
    </row>
    <row r="107">
      <c r="A107" t="inlineStr">
        <is>
          <t>1927-10</t>
        </is>
      </c>
      <c r="B107" s="1" t="n">
        <v>10136</v>
      </c>
      <c r="C107" s="88" t="n">
        <v>107</v>
      </c>
      <c r="D107" s="1" t="n"/>
      <c r="E107" s="1">
        <f>B107</f>
        <v/>
      </c>
      <c r="F107" s="2">
        <f>B107</f>
        <v/>
      </c>
      <c r="G107" s="88" t="n">
        <v>105</v>
      </c>
      <c r="H107" s="89" t="n"/>
      <c r="I107" s="89" t="n"/>
      <c r="J107" s="89" t="n"/>
      <c r="K107" s="89" t="n"/>
      <c r="L107" s="89" t="n"/>
      <c r="M107" s="89" t="n"/>
      <c r="N107" s="89" t="n"/>
      <c r="O107" s="89" t="n"/>
      <c r="P107" s="89" t="n"/>
      <c r="Q107" s="89" t="n"/>
      <c r="R107" s="89" t="n"/>
      <c r="S107" s="89" t="n"/>
      <c r="T107" s="89" t="n"/>
      <c r="U107" s="89" t="n"/>
      <c r="V107" s="89" t="n"/>
      <c r="W107" s="89" t="n"/>
      <c r="X107" s="89" t="n"/>
      <c r="Y107" s="89" t="n"/>
      <c r="Z107" s="89" t="n"/>
      <c r="AA107" s="89" t="n"/>
      <c r="AB107" s="89" t="n"/>
      <c r="AC107" s="89" t="n"/>
      <c r="AD107" s="89" t="n"/>
      <c r="AE107" s="89" t="n"/>
      <c r="AF107" s="89" t="n"/>
      <c r="AG107" s="89" t="n"/>
      <c r="AH107" s="89" t="n"/>
      <c r="AI107" s="89" t="n"/>
      <c r="AJ107" s="89" t="n"/>
      <c r="AK107" s="89" t="n"/>
      <c r="AL107" s="89" t="n"/>
      <c r="AM107" s="89" t="n"/>
      <c r="AN107" s="89" t="n"/>
      <c r="AO107" s="89" t="n">
        <v>6.27741</v>
      </c>
      <c r="AP107" s="89" t="n"/>
      <c r="AQ107" s="89" t="n"/>
      <c r="AR107" s="89" t="n"/>
      <c r="AS107" s="89" t="n">
        <v>0.923731</v>
      </c>
      <c r="AT107" s="89" t="n"/>
      <c r="AU107" s="89" t="n">
        <v>2.892126</v>
      </c>
      <c r="AV107" s="89" t="n"/>
      <c r="AW107" s="89" t="n"/>
      <c r="AX107" s="89" t="n"/>
      <c r="AY107" s="89" t="n"/>
    </row>
    <row r="108">
      <c r="A108" t="inlineStr">
        <is>
          <t>1927-11</t>
        </is>
      </c>
      <c r="B108" s="1" t="n">
        <v>10167</v>
      </c>
      <c r="C108" s="88" t="n">
        <v>108</v>
      </c>
      <c r="D108" s="1" t="n"/>
      <c r="E108" s="1">
        <f>B108</f>
        <v/>
      </c>
      <c r="F108" s="2">
        <f>B108</f>
        <v/>
      </c>
      <c r="G108" s="88" t="n">
        <v>106</v>
      </c>
      <c r="H108" s="89" t="n"/>
      <c r="I108" s="89" t="n"/>
      <c r="J108" s="89" t="n"/>
      <c r="K108" s="89" t="n"/>
      <c r="L108" s="89" t="n"/>
      <c r="M108" s="89" t="n"/>
      <c r="N108" s="89" t="n"/>
      <c r="O108" s="89" t="n"/>
      <c r="P108" s="89" t="n"/>
      <c r="Q108" s="89" t="n"/>
      <c r="R108" s="89" t="n"/>
      <c r="S108" s="89" t="n"/>
      <c r="T108" s="89" t="n"/>
      <c r="U108" s="89" t="n"/>
      <c r="V108" s="89" t="n"/>
      <c r="W108" s="89" t="n"/>
      <c r="X108" s="89" t="n"/>
      <c r="Y108" s="89" t="n"/>
      <c r="Z108" s="89" t="n"/>
      <c r="AA108" s="89" t="n"/>
      <c r="AB108" s="89" t="n"/>
      <c r="AC108" s="89" t="n"/>
      <c r="AD108" s="89" t="n"/>
      <c r="AE108" s="89" t="n"/>
      <c r="AF108" s="89" t="n"/>
      <c r="AG108" s="89" t="n"/>
      <c r="AH108" s="89" t="n"/>
      <c r="AI108" s="89" t="n"/>
      <c r="AJ108" s="89" t="n"/>
      <c r="AK108" s="89" t="n"/>
      <c r="AL108" s="89" t="n"/>
      <c r="AM108" s="89" t="n"/>
      <c r="AN108" s="89" t="n"/>
      <c r="AO108" s="89" t="n">
        <v>6.27741</v>
      </c>
      <c r="AP108" s="89" t="n"/>
      <c r="AQ108" s="89" t="n"/>
      <c r="AR108" s="89" t="n"/>
      <c r="AS108" s="89" t="n">
        <v>1.762755</v>
      </c>
      <c r="AT108" s="89" t="n"/>
      <c r="AU108" s="89" t="n">
        <v>1.926215</v>
      </c>
      <c r="AV108" s="89" t="n"/>
      <c r="AW108" s="89" t="n"/>
      <c r="AX108" s="89" t="n"/>
      <c r="AY108" s="89" t="n"/>
    </row>
    <row r="109">
      <c r="A109" t="inlineStr">
        <is>
          <t>1927-12</t>
        </is>
      </c>
      <c r="B109" s="1" t="n">
        <v>10197</v>
      </c>
      <c r="C109" s="88" t="n">
        <v>109</v>
      </c>
      <c r="D109" s="1" t="n"/>
      <c r="E109" s="1">
        <f>B109</f>
        <v/>
      </c>
      <c r="F109" s="2">
        <f>B109</f>
        <v/>
      </c>
      <c r="G109" s="88" t="n">
        <v>107</v>
      </c>
      <c r="H109" s="89" t="n"/>
      <c r="I109" s="89" t="n"/>
      <c r="J109" s="89" t="n"/>
      <c r="K109" s="89" t="n"/>
      <c r="L109" s="89" t="n"/>
      <c r="M109" s="89" t="n"/>
      <c r="N109" s="89" t="n"/>
      <c r="O109" s="89" t="n"/>
      <c r="P109" s="89" t="n"/>
      <c r="Q109" s="89" t="n"/>
      <c r="R109" s="89" t="n"/>
      <c r="S109" s="89" t="n"/>
      <c r="T109" s="89" t="n"/>
      <c r="U109" s="89" t="n"/>
      <c r="V109" s="89" t="n"/>
      <c r="W109" s="89" t="n"/>
      <c r="X109" s="89" t="n"/>
      <c r="Y109" s="89" t="n"/>
      <c r="Z109" s="89" t="n"/>
      <c r="AA109" s="89" t="n"/>
      <c r="AB109" s="89" t="n"/>
      <c r="AC109" s="89" t="n"/>
      <c r="AD109" s="89" t="n"/>
      <c r="AE109" s="89" t="n"/>
      <c r="AF109" s="89" t="n"/>
      <c r="AG109" s="89" t="n"/>
      <c r="AH109" s="89" t="n"/>
      <c r="AI109" s="89" t="n"/>
      <c r="AJ109" s="89" t="n"/>
      <c r="AK109" s="89" t="n"/>
      <c r="AL109" s="89" t="n"/>
      <c r="AM109" s="89" t="n"/>
      <c r="AN109" s="89" t="n"/>
      <c r="AO109" s="89" t="n">
        <v>6.304016</v>
      </c>
      <c r="AP109" s="89" t="n"/>
      <c r="AQ109" s="89" t="n"/>
      <c r="AR109" s="89" t="n"/>
      <c r="AS109" s="89" t="n">
        <v>1.460966</v>
      </c>
      <c r="AT109" s="89" t="n"/>
      <c r="AU109" s="89" t="n">
        <v>1.868575</v>
      </c>
      <c r="AV109" s="89" t="n"/>
      <c r="AW109" s="89" t="n"/>
      <c r="AX109" s="89" t="n"/>
      <c r="AY109" s="89" t="n"/>
    </row>
    <row r="110">
      <c r="A110" t="inlineStr">
        <is>
          <t>1928-01</t>
        </is>
      </c>
      <c r="B110" s="1" t="n">
        <v>10228</v>
      </c>
      <c r="C110" s="88" t="n">
        <v>110</v>
      </c>
      <c r="D110" s="1" t="n"/>
      <c r="E110" s="1">
        <f>B110</f>
        <v/>
      </c>
      <c r="F110" s="2">
        <f>B110</f>
        <v/>
      </c>
      <c r="G110" s="88" t="n">
        <v>108</v>
      </c>
      <c r="H110" s="89" t="n"/>
      <c r="I110" s="89" t="n"/>
      <c r="J110" s="89" t="n"/>
      <c r="K110" s="89" t="n"/>
      <c r="L110" s="89" t="n"/>
      <c r="M110" s="89" t="n"/>
      <c r="N110" s="89" t="n"/>
      <c r="O110" s="89" t="n"/>
      <c r="P110" s="89" t="n"/>
      <c r="Q110" s="89" t="n"/>
      <c r="R110" s="89" t="n"/>
      <c r="S110" s="89" t="n"/>
      <c r="T110" s="89" t="n"/>
      <c r="U110" s="89" t="n"/>
      <c r="V110" s="89" t="n"/>
      <c r="W110" s="89" t="n"/>
      <c r="X110" s="89" t="n"/>
      <c r="Y110" s="89" t="n"/>
      <c r="Z110" s="89" t="n"/>
      <c r="AA110" s="89" t="n"/>
      <c r="AB110" s="89" t="n"/>
      <c r="AC110" s="89" t="n"/>
      <c r="AD110" s="89" t="n"/>
      <c r="AE110" s="89" t="n"/>
      <c r="AF110" s="89" t="n"/>
      <c r="AG110" s="89" t="n"/>
      <c r="AH110" s="89" t="n"/>
      <c r="AI110" s="89" t="n"/>
      <c r="AJ110" s="89" t="n"/>
      <c r="AK110" s="89" t="n"/>
      <c r="AL110" s="89" t="n"/>
      <c r="AM110" s="89" t="n"/>
      <c r="AN110" s="89" t="n"/>
      <c r="AO110" s="89" t="n">
        <v>6.437047</v>
      </c>
      <c r="AP110" s="89" t="n"/>
      <c r="AQ110" s="89" t="n"/>
      <c r="AR110" s="89" t="n"/>
      <c r="AS110" s="89" t="n">
        <v>0.302526</v>
      </c>
      <c r="AT110" s="89" t="n"/>
      <c r="AU110" s="89" t="n">
        <v>1.374417</v>
      </c>
      <c r="AV110" s="89" t="n"/>
      <c r="AW110" s="89" t="n"/>
      <c r="AX110" s="89" t="n"/>
      <c r="AY110" s="89" t="n"/>
    </row>
    <row r="111">
      <c r="A111" t="inlineStr">
        <is>
          <t>1928-02</t>
        </is>
      </c>
      <c r="B111" s="1" t="n">
        <v>10259</v>
      </c>
      <c r="C111" s="88" t="n">
        <v>111</v>
      </c>
      <c r="D111" s="1" t="n"/>
      <c r="E111" s="1">
        <f>B111</f>
        <v/>
      </c>
      <c r="F111" s="2">
        <f>B111</f>
        <v/>
      </c>
      <c r="G111" s="88" t="n">
        <v>109</v>
      </c>
      <c r="H111" s="89" t="n"/>
      <c r="I111" s="89" t="n"/>
      <c r="J111" s="89" t="n"/>
      <c r="K111" s="89" t="n"/>
      <c r="L111" s="89" t="n"/>
      <c r="M111" s="89" t="n"/>
      <c r="N111" s="89" t="n"/>
      <c r="O111" s="89" t="n"/>
      <c r="P111" s="89" t="n"/>
      <c r="Q111" s="89" t="n"/>
      <c r="R111" s="89" t="n"/>
      <c r="S111" s="89" t="n"/>
      <c r="T111" s="89" t="n"/>
      <c r="U111" s="89" t="n"/>
      <c r="V111" s="89" t="n"/>
      <c r="W111" s="89" t="n"/>
      <c r="X111" s="89" t="n"/>
      <c r="Y111" s="89" t="n"/>
      <c r="Z111" s="89" t="n"/>
      <c r="AA111" s="89" t="n"/>
      <c r="AB111" s="89" t="n"/>
      <c r="AC111" s="89" t="n"/>
      <c r="AD111" s="89" t="n"/>
      <c r="AE111" s="89" t="n"/>
      <c r="AF111" s="89" t="n"/>
      <c r="AG111" s="89" t="n"/>
      <c r="AH111" s="89" t="n"/>
      <c r="AI111" s="89" t="n"/>
      <c r="AJ111" s="89" t="n"/>
      <c r="AK111" s="89" t="n"/>
      <c r="AL111" s="89" t="n"/>
      <c r="AM111" s="89" t="n"/>
      <c r="AN111" s="89" t="n"/>
      <c r="AO111" s="89" t="n">
        <v>6.490163</v>
      </c>
      <c r="AP111" s="89" t="n"/>
      <c r="AQ111" s="89" t="n"/>
      <c r="AR111" s="89" t="n"/>
      <c r="AS111" s="89" t="n">
        <v>-2.424597</v>
      </c>
      <c r="AT111" s="89" t="n"/>
      <c r="AU111" s="89" t="n">
        <v>1.132567</v>
      </c>
      <c r="AV111" s="89" t="n"/>
      <c r="AW111" s="89" t="n"/>
      <c r="AX111" s="89" t="n"/>
      <c r="AY111" s="89" t="n"/>
    </row>
    <row r="112">
      <c r="A112" t="inlineStr">
        <is>
          <t>1928-03</t>
        </is>
      </c>
      <c r="B112" s="1" t="n">
        <v>10288</v>
      </c>
      <c r="C112" s="88" t="n">
        <v>112</v>
      </c>
      <c r="D112" s="1" t="n"/>
      <c r="E112" s="1">
        <f>B112</f>
        <v/>
      </c>
      <c r="F112" s="2">
        <f>B112</f>
        <v/>
      </c>
      <c r="G112" s="88" t="n">
        <v>110</v>
      </c>
      <c r="H112" s="89" t="n"/>
      <c r="I112" s="89" t="n"/>
      <c r="J112" s="89" t="n"/>
      <c r="K112" s="89" t="n"/>
      <c r="L112" s="89" t="n"/>
      <c r="M112" s="89" t="n"/>
      <c r="N112" s="89" t="n"/>
      <c r="O112" s="89" t="n"/>
      <c r="P112" s="89" t="n"/>
      <c r="Q112" s="89" t="n"/>
      <c r="R112" s="89" t="n"/>
      <c r="S112" s="89" t="n"/>
      <c r="T112" s="89" t="n"/>
      <c r="U112" s="89" t="n"/>
      <c r="V112" s="89" t="n"/>
      <c r="W112" s="89" t="n"/>
      <c r="X112" s="89" t="n"/>
      <c r="Y112" s="89" t="n"/>
      <c r="Z112" s="89" t="n"/>
      <c r="AA112" s="89" t="n"/>
      <c r="AB112" s="89" t="n"/>
      <c r="AC112" s="89" t="n"/>
      <c r="AD112" s="89" t="n"/>
      <c r="AE112" s="89" t="n"/>
      <c r="AF112" s="89" t="n"/>
      <c r="AG112" s="89" t="n"/>
      <c r="AH112" s="89" t="n"/>
      <c r="AI112" s="89" t="n"/>
      <c r="AJ112" s="89" t="n"/>
      <c r="AK112" s="89" t="n"/>
      <c r="AL112" s="89" t="n"/>
      <c r="AM112" s="89" t="n"/>
      <c r="AN112" s="89" t="n"/>
      <c r="AO112" s="89" t="n">
        <v>6.543375</v>
      </c>
      <c r="AP112" s="89" t="n"/>
      <c r="AQ112" s="89" t="n"/>
      <c r="AR112" s="89" t="n"/>
      <c r="AS112" s="89" t="n">
        <v>-3.572712</v>
      </c>
      <c r="AT112" s="89" t="n"/>
      <c r="AU112" s="89" t="n">
        <v>-0.943914</v>
      </c>
      <c r="AV112" s="89" t="n"/>
      <c r="AW112" s="89" t="n"/>
      <c r="AX112" s="89" t="n"/>
      <c r="AY112" s="89" t="n"/>
    </row>
    <row r="113">
      <c r="A113" t="inlineStr">
        <is>
          <t>1928-04</t>
        </is>
      </c>
      <c r="B113" s="1" t="n">
        <v>10319</v>
      </c>
      <c r="C113" s="88" t="n">
        <v>113</v>
      </c>
      <c r="D113" s="1" t="n"/>
      <c r="E113" s="1">
        <f>B113</f>
        <v/>
      </c>
      <c r="F113" s="2">
        <f>B113</f>
        <v/>
      </c>
      <c r="G113" s="88" t="n">
        <v>111</v>
      </c>
      <c r="H113" s="89" t="n"/>
      <c r="I113" s="89" t="n"/>
      <c r="J113" s="89" t="n"/>
      <c r="K113" s="89" t="n"/>
      <c r="L113" s="89" t="n"/>
      <c r="M113" s="89" t="n"/>
      <c r="N113" s="89" t="n"/>
      <c r="O113" s="89" t="n"/>
      <c r="P113" s="89" t="n"/>
      <c r="Q113" s="89" t="n"/>
      <c r="R113" s="89" t="n"/>
      <c r="S113" s="89" t="n"/>
      <c r="T113" s="89" t="n"/>
      <c r="U113" s="89" t="n"/>
      <c r="V113" s="89" t="n"/>
      <c r="W113" s="89" t="n"/>
      <c r="X113" s="89" t="n"/>
      <c r="Y113" s="89" t="n"/>
      <c r="Z113" s="89" t="n"/>
      <c r="AA113" s="89" t="n"/>
      <c r="AB113" s="89" t="n"/>
      <c r="AC113" s="89" t="n"/>
      <c r="AD113" s="89" t="n"/>
      <c r="AE113" s="89" t="n"/>
      <c r="AF113" s="89" t="n"/>
      <c r="AG113" s="89" t="n"/>
      <c r="AH113" s="89" t="n"/>
      <c r="AI113" s="89" t="n"/>
      <c r="AJ113" s="89" t="n"/>
      <c r="AK113" s="89" t="n"/>
      <c r="AL113" s="89" t="n"/>
      <c r="AM113" s="89" t="n"/>
      <c r="AN113" s="89" t="n"/>
      <c r="AO113" s="89" t="n">
        <v>6.516769</v>
      </c>
      <c r="AP113" s="89" t="n"/>
      <c r="AQ113" s="89" t="n"/>
      <c r="AR113" s="89" t="n"/>
      <c r="AS113" s="89" t="n">
        <v>-2.127131</v>
      </c>
      <c r="AT113" s="89" t="n"/>
      <c r="AU113" s="89" t="n">
        <v>-0.400466</v>
      </c>
      <c r="AV113" s="89" t="n"/>
      <c r="AW113" s="89" t="n"/>
      <c r="AX113" s="89" t="n"/>
      <c r="AY113" s="89" t="n"/>
    </row>
    <row r="114">
      <c r="A114" t="inlineStr">
        <is>
          <t>1928-05</t>
        </is>
      </c>
      <c r="B114" s="1" t="n">
        <v>10349</v>
      </c>
      <c r="C114" s="88" t="n">
        <v>114</v>
      </c>
      <c r="D114" s="1" t="n"/>
      <c r="E114" s="1">
        <f>B114</f>
        <v/>
      </c>
      <c r="F114" s="2">
        <f>B114</f>
        <v/>
      </c>
      <c r="G114" s="88" t="n">
        <v>112</v>
      </c>
      <c r="H114" s="89" t="n"/>
      <c r="I114" s="89" t="n"/>
      <c r="J114" s="89" t="n"/>
      <c r="K114" s="89" t="n"/>
      <c r="L114" s="89" t="n"/>
      <c r="M114" s="89" t="n"/>
      <c r="N114" s="89" t="n"/>
      <c r="O114" s="89" t="n"/>
      <c r="P114" s="89" t="n"/>
      <c r="Q114" s="89" t="n"/>
      <c r="R114" s="89" t="n"/>
      <c r="S114" s="89" t="n"/>
      <c r="T114" s="89" t="n"/>
      <c r="U114" s="89" t="n"/>
      <c r="V114" s="89" t="n"/>
      <c r="W114" s="89" t="n"/>
      <c r="X114" s="89" t="n"/>
      <c r="Y114" s="89" t="n"/>
      <c r="Z114" s="89" t="n"/>
      <c r="AA114" s="89" t="n"/>
      <c r="AB114" s="89" t="n"/>
      <c r="AC114" s="89" t="n"/>
      <c r="AD114" s="89" t="n"/>
      <c r="AE114" s="89" t="n"/>
      <c r="AF114" s="89" t="n"/>
      <c r="AG114" s="89" t="n"/>
      <c r="AH114" s="89" t="n"/>
      <c r="AI114" s="89" t="n"/>
      <c r="AJ114" s="89" t="n"/>
      <c r="AK114" s="89" t="n"/>
      <c r="AL114" s="89" t="n"/>
      <c r="AM114" s="89" t="n"/>
      <c r="AN114" s="89" t="n"/>
      <c r="AO114" s="89" t="n">
        <v>6.596587</v>
      </c>
      <c r="AP114" s="89" t="n"/>
      <c r="AQ114" s="89" t="n"/>
      <c r="AR114" s="89" t="n"/>
      <c r="AS114" s="89" t="n">
        <v>-1.071447</v>
      </c>
      <c r="AT114" s="89" t="n"/>
      <c r="AU114" s="89" t="n">
        <v>1.723783</v>
      </c>
      <c r="AV114" s="89" t="n"/>
      <c r="AW114" s="89" t="n"/>
      <c r="AX114" s="89" t="n"/>
      <c r="AY114" s="89" t="n"/>
    </row>
    <row r="115">
      <c r="A115" t="inlineStr">
        <is>
          <t>1928-06</t>
        </is>
      </c>
      <c r="B115" s="1" t="n">
        <v>10380</v>
      </c>
      <c r="C115" s="88" t="n">
        <v>115</v>
      </c>
      <c r="D115" s="1" t="n"/>
      <c r="E115" s="1">
        <f>B115</f>
        <v/>
      </c>
      <c r="F115" s="2">
        <f>B115</f>
        <v/>
      </c>
      <c r="G115" s="88" t="n">
        <v>113</v>
      </c>
      <c r="H115" s="89" t="n"/>
      <c r="I115" s="89" t="n"/>
      <c r="J115" s="89" t="n"/>
      <c r="K115" s="89" t="n"/>
      <c r="L115" s="89" t="n"/>
      <c r="M115" s="89" t="n"/>
      <c r="N115" s="89" t="n"/>
      <c r="O115" s="89" t="n"/>
      <c r="P115" s="89" t="n"/>
      <c r="Q115" s="89" t="n"/>
      <c r="R115" s="89" t="n"/>
      <c r="S115" s="89" t="n"/>
      <c r="T115" s="89" t="n"/>
      <c r="U115" s="89" t="n"/>
      <c r="V115" s="89" t="n"/>
      <c r="W115" s="89" t="n"/>
      <c r="X115" s="89" t="n"/>
      <c r="Y115" s="89" t="n"/>
      <c r="Z115" s="89" t="n"/>
      <c r="AA115" s="89" t="n"/>
      <c r="AB115" s="89" t="n"/>
      <c r="AC115" s="89" t="n"/>
      <c r="AD115" s="89" t="n"/>
      <c r="AE115" s="89" t="n"/>
      <c r="AF115" s="89" t="n"/>
      <c r="AG115" s="89" t="n"/>
      <c r="AH115" s="89" t="n"/>
      <c r="AI115" s="89" t="n"/>
      <c r="AJ115" s="89" t="n"/>
      <c r="AK115" s="89" t="n"/>
      <c r="AL115" s="89" t="n"/>
      <c r="AM115" s="89" t="n"/>
      <c r="AN115" s="89" t="n"/>
      <c r="AO115" s="89" t="n">
        <v>6.6498</v>
      </c>
      <c r="AP115" s="89" t="n"/>
      <c r="AQ115" s="89" t="n"/>
      <c r="AR115" s="89" t="n"/>
      <c r="AS115" s="89" t="n">
        <v>-1.136947</v>
      </c>
      <c r="AT115" s="89" t="n"/>
      <c r="AU115" s="89" t="n">
        <v>0.800665</v>
      </c>
      <c r="AV115" s="89" t="n"/>
      <c r="AW115" s="89" t="n"/>
      <c r="AX115" s="89" t="n"/>
      <c r="AY115" s="89" t="n"/>
    </row>
    <row r="116">
      <c r="A116" t="inlineStr">
        <is>
          <t>1928-07</t>
        </is>
      </c>
      <c r="B116" s="1" t="n">
        <v>10410</v>
      </c>
      <c r="C116" s="88" t="n">
        <v>116</v>
      </c>
      <c r="D116" s="1" t="n"/>
      <c r="E116" s="1">
        <f>B116</f>
        <v/>
      </c>
      <c r="F116" s="2">
        <f>B116</f>
        <v/>
      </c>
      <c r="G116" s="88" t="n">
        <v>114</v>
      </c>
      <c r="H116" s="89" t="n"/>
      <c r="I116" s="89" t="n"/>
      <c r="J116" s="89" t="n"/>
      <c r="K116" s="89" t="n"/>
      <c r="L116" s="89" t="n"/>
      <c r="M116" s="89" t="n"/>
      <c r="N116" s="89" t="n"/>
      <c r="O116" s="89" t="n"/>
      <c r="P116" s="89" t="n"/>
      <c r="Q116" s="89" t="n"/>
      <c r="R116" s="89" t="n"/>
      <c r="S116" s="89" t="n"/>
      <c r="T116" s="89" t="n"/>
      <c r="U116" s="89" t="n"/>
      <c r="V116" s="89" t="n"/>
      <c r="W116" s="89" t="n"/>
      <c r="X116" s="89" t="n"/>
      <c r="Y116" s="89" t="n"/>
      <c r="Z116" s="89" t="n"/>
      <c r="AA116" s="89" t="n"/>
      <c r="AB116" s="89" t="n"/>
      <c r="AC116" s="89" t="n"/>
      <c r="AD116" s="89" t="n"/>
      <c r="AE116" s="89" t="n"/>
      <c r="AF116" s="89" t="n"/>
      <c r="AG116" s="89" t="n"/>
      <c r="AH116" s="89" t="n"/>
      <c r="AI116" s="89" t="n"/>
      <c r="AJ116" s="89" t="n"/>
      <c r="AK116" s="89" t="n"/>
      <c r="AL116" s="89" t="n"/>
      <c r="AM116" s="89" t="n"/>
      <c r="AN116" s="89" t="n"/>
      <c r="AO116" s="89" t="n">
        <v>6.729618</v>
      </c>
      <c r="AP116" s="89" t="n"/>
      <c r="AQ116" s="89" t="n"/>
      <c r="AR116" s="89" t="n"/>
      <c r="AS116" s="89" t="n">
        <v>-0.713896</v>
      </c>
      <c r="AT116" s="89" t="n"/>
      <c r="AU116" s="89" t="n">
        <v>0.824466</v>
      </c>
      <c r="AV116" s="89" t="n"/>
      <c r="AW116" s="89" t="n"/>
      <c r="AX116" s="89" t="n"/>
      <c r="AY116" s="89" t="n"/>
    </row>
    <row r="117">
      <c r="A117" t="inlineStr">
        <is>
          <t>1928-08</t>
        </is>
      </c>
      <c r="B117" s="1" t="n">
        <v>10441</v>
      </c>
      <c r="C117" s="88" t="n">
        <v>117</v>
      </c>
      <c r="D117" s="1" t="n"/>
      <c r="E117" s="1">
        <f>B117</f>
        <v/>
      </c>
      <c r="F117" s="2">
        <f>B117</f>
        <v/>
      </c>
      <c r="G117" s="88" t="n">
        <v>115</v>
      </c>
      <c r="H117" s="89" t="n"/>
      <c r="I117" s="89" t="n"/>
      <c r="J117" s="89" t="n"/>
      <c r="K117" s="89" t="n"/>
      <c r="L117" s="89" t="n"/>
      <c r="M117" s="89" t="n"/>
      <c r="N117" s="89" t="n"/>
      <c r="O117" s="89" t="n"/>
      <c r="P117" s="89" t="n"/>
      <c r="Q117" s="89" t="n"/>
      <c r="R117" s="89" t="n"/>
      <c r="S117" s="89" t="n"/>
      <c r="T117" s="89" t="n"/>
      <c r="U117" s="89" t="n"/>
      <c r="V117" s="89" t="n"/>
      <c r="W117" s="89" t="n"/>
      <c r="X117" s="89" t="n"/>
      <c r="Y117" s="89" t="n"/>
      <c r="Z117" s="89" t="n"/>
      <c r="AA117" s="89" t="n"/>
      <c r="AB117" s="89" t="n"/>
      <c r="AC117" s="89" t="n"/>
      <c r="AD117" s="89" t="n"/>
      <c r="AE117" s="89" t="n"/>
      <c r="AF117" s="89" t="n"/>
      <c r="AG117" s="89" t="n"/>
      <c r="AH117" s="89" t="n"/>
      <c r="AI117" s="89" t="n"/>
      <c r="AJ117" s="89" t="n"/>
      <c r="AK117" s="89" t="n"/>
      <c r="AL117" s="89" t="n"/>
      <c r="AM117" s="89" t="n"/>
      <c r="AN117" s="89" t="n"/>
      <c r="AO117" s="89" t="n">
        <v>6.862553</v>
      </c>
      <c r="AP117" s="89" t="n"/>
      <c r="AQ117" s="89" t="n"/>
      <c r="AR117" s="89" t="n"/>
      <c r="AS117" s="89" t="n">
        <v>-0.088898</v>
      </c>
      <c r="AT117" s="89" t="n"/>
      <c r="AU117" s="89" t="n">
        <v>1.314344</v>
      </c>
      <c r="AV117" s="89" t="n"/>
      <c r="AW117" s="89" t="n"/>
      <c r="AX117" s="89" t="n"/>
      <c r="AY117" s="89" t="n"/>
    </row>
    <row r="118">
      <c r="A118" t="inlineStr">
        <is>
          <t>1928-09</t>
        </is>
      </c>
      <c r="B118" s="1" t="n">
        <v>10472</v>
      </c>
      <c r="C118" s="88" t="n">
        <v>118</v>
      </c>
      <c r="D118" s="1" t="n"/>
      <c r="E118" s="1">
        <f>B118</f>
        <v/>
      </c>
      <c r="F118" s="2">
        <f>B118</f>
        <v/>
      </c>
      <c r="G118" s="88" t="n">
        <v>116</v>
      </c>
      <c r="H118" s="89" t="n"/>
      <c r="I118" s="89" t="n"/>
      <c r="J118" s="89" t="n"/>
      <c r="K118" s="89" t="n"/>
      <c r="L118" s="89" t="n"/>
      <c r="M118" s="89" t="n"/>
      <c r="N118" s="89" t="n"/>
      <c r="O118" s="89" t="n"/>
      <c r="P118" s="89" t="n"/>
      <c r="Q118" s="89" t="n"/>
      <c r="R118" s="89" t="n"/>
      <c r="S118" s="89" t="n"/>
      <c r="T118" s="89" t="n"/>
      <c r="U118" s="89" t="n"/>
      <c r="V118" s="89" t="n"/>
      <c r="W118" s="89" t="n"/>
      <c r="X118" s="89" t="n"/>
      <c r="Y118" s="89" t="n"/>
      <c r="Z118" s="89" t="n"/>
      <c r="AA118" s="89" t="n"/>
      <c r="AB118" s="89" t="n"/>
      <c r="AC118" s="89" t="n"/>
      <c r="AD118" s="89" t="n"/>
      <c r="AE118" s="89" t="n"/>
      <c r="AF118" s="89" t="n"/>
      <c r="AG118" s="89" t="n"/>
      <c r="AH118" s="89" t="n"/>
      <c r="AI118" s="89" t="n"/>
      <c r="AJ118" s="89" t="n"/>
      <c r="AK118" s="89" t="n"/>
      <c r="AL118" s="89" t="n"/>
      <c r="AM118" s="89" t="n"/>
      <c r="AN118" s="89" t="n"/>
      <c r="AO118" s="89" t="n">
        <v>6.915765</v>
      </c>
      <c r="AP118" s="89" t="n"/>
      <c r="AQ118" s="89" t="n"/>
      <c r="AR118" s="89" t="n"/>
      <c r="AS118" s="89" t="n">
        <v>0.5129280000000001</v>
      </c>
      <c r="AT118" s="89" t="n"/>
      <c r="AU118" s="89" t="n">
        <v>-1.995152</v>
      </c>
      <c r="AV118" s="89" t="n"/>
      <c r="AW118" s="89" t="n"/>
      <c r="AX118" s="89" t="n"/>
      <c r="AY118" s="89" t="n"/>
    </row>
    <row r="119">
      <c r="A119" t="inlineStr">
        <is>
          <t>1928-10</t>
        </is>
      </c>
      <c r="B119" s="1" t="n">
        <v>10502</v>
      </c>
      <c r="C119" s="88" t="n">
        <v>119</v>
      </c>
      <c r="D119" s="1" t="n"/>
      <c r="E119" s="1">
        <f>B119</f>
        <v/>
      </c>
      <c r="F119" s="2">
        <f>B119</f>
        <v/>
      </c>
      <c r="G119" s="88" t="n">
        <v>117</v>
      </c>
      <c r="H119" s="89" t="n"/>
      <c r="I119" s="89" t="n"/>
      <c r="J119" s="89" t="n"/>
      <c r="K119" s="89" t="n"/>
      <c r="L119" s="89" t="n"/>
      <c r="M119" s="89" t="n"/>
      <c r="N119" s="89" t="n"/>
      <c r="O119" s="89" t="n"/>
      <c r="P119" s="89" t="n"/>
      <c r="Q119" s="89" t="n"/>
      <c r="R119" s="89" t="n"/>
      <c r="S119" s="89" t="n"/>
      <c r="T119" s="89" t="n"/>
      <c r="U119" s="89" t="n"/>
      <c r="V119" s="89" t="n"/>
      <c r="W119" s="89" t="n"/>
      <c r="X119" s="89" t="n"/>
      <c r="Y119" s="89" t="n"/>
      <c r="Z119" s="89" t="n"/>
      <c r="AA119" s="89" t="n"/>
      <c r="AB119" s="89" t="n"/>
      <c r="AC119" s="89" t="n"/>
      <c r="AD119" s="89" t="n"/>
      <c r="AE119" s="89" t="n"/>
      <c r="AF119" s="89" t="n"/>
      <c r="AG119" s="89" t="n"/>
      <c r="AH119" s="89" t="n"/>
      <c r="AI119" s="89" t="n"/>
      <c r="AJ119" s="89" t="n"/>
      <c r="AK119" s="89" t="n"/>
      <c r="AL119" s="89" t="n"/>
      <c r="AM119" s="89" t="n"/>
      <c r="AN119" s="89" t="n"/>
      <c r="AO119" s="89" t="n">
        <v>7.048795</v>
      </c>
      <c r="AP119" s="89" t="n"/>
      <c r="AQ119" s="89" t="n"/>
      <c r="AR119" s="89" t="n"/>
      <c r="AS119" s="89" t="n">
        <v>1.658509</v>
      </c>
      <c r="AT119" s="89" t="n"/>
      <c r="AU119" s="89" t="n">
        <v>2.379248</v>
      </c>
      <c r="AV119" s="89" t="n"/>
      <c r="AW119" s="89" t="n"/>
      <c r="AX119" s="89" t="n"/>
      <c r="AY119" s="89" t="n"/>
    </row>
    <row r="120">
      <c r="A120" t="inlineStr">
        <is>
          <t>1928-11</t>
        </is>
      </c>
      <c r="B120" s="1" t="n">
        <v>10533</v>
      </c>
      <c r="C120" s="88" t="n">
        <v>120</v>
      </c>
      <c r="D120" s="1" t="n"/>
      <c r="E120" s="1">
        <f>B120</f>
        <v/>
      </c>
      <c r="F120" s="2">
        <f>B120</f>
        <v/>
      </c>
      <c r="G120" s="88" t="n">
        <v>118</v>
      </c>
      <c r="H120" s="89" t="n"/>
      <c r="I120" s="89" t="n"/>
      <c r="J120" s="89" t="n"/>
      <c r="K120" s="89" t="n"/>
      <c r="L120" s="89" t="n"/>
      <c r="M120" s="89" t="n"/>
      <c r="N120" s="89" t="n"/>
      <c r="O120" s="89" t="n"/>
      <c r="P120" s="89" t="n"/>
      <c r="Q120" s="89" t="n"/>
      <c r="R120" s="89" t="n"/>
      <c r="S120" s="89" t="n"/>
      <c r="T120" s="89" t="n"/>
      <c r="U120" s="89" t="n"/>
      <c r="V120" s="89" t="n"/>
      <c r="W120" s="89" t="n"/>
      <c r="X120" s="89" t="n"/>
      <c r="Y120" s="89" t="n"/>
      <c r="Z120" s="89" t="n"/>
      <c r="AA120" s="89" t="n"/>
      <c r="AB120" s="89" t="n"/>
      <c r="AC120" s="89" t="n"/>
      <c r="AD120" s="89" t="n"/>
      <c r="AE120" s="89" t="n"/>
      <c r="AF120" s="89" t="n"/>
      <c r="AG120" s="89" t="n"/>
      <c r="AH120" s="89" t="n"/>
      <c r="AI120" s="89" t="n"/>
      <c r="AJ120" s="89" t="n"/>
      <c r="AK120" s="89" t="n"/>
      <c r="AL120" s="89" t="n"/>
      <c r="AM120" s="89" t="n"/>
      <c r="AN120" s="89" t="n"/>
      <c r="AO120" s="89" t="n">
        <v>7.18173</v>
      </c>
      <c r="AP120" s="89" t="n"/>
      <c r="AQ120" s="89" t="n"/>
      <c r="AR120" s="89" t="n"/>
      <c r="AS120" s="89" t="n">
        <v>1.119221</v>
      </c>
      <c r="AT120" s="89" t="n"/>
      <c r="AU120" s="89" t="n">
        <v>-0.730837</v>
      </c>
      <c r="AV120" s="89" t="n"/>
      <c r="AW120" s="89" t="n"/>
      <c r="AX120" s="89" t="n"/>
      <c r="AY120" s="89" t="n"/>
    </row>
    <row r="121">
      <c r="A121" t="inlineStr">
        <is>
          <t>1928-12</t>
        </is>
      </c>
      <c r="B121" s="1" t="n">
        <v>10563</v>
      </c>
      <c r="C121" s="88" t="n">
        <v>121</v>
      </c>
      <c r="D121" s="1" t="n"/>
      <c r="E121" s="1">
        <f>B121</f>
        <v/>
      </c>
      <c r="F121" s="2">
        <f>B121</f>
        <v/>
      </c>
      <c r="G121" s="88" t="n">
        <v>119</v>
      </c>
      <c r="H121" s="89" t="n"/>
      <c r="I121" s="89" t="n"/>
      <c r="J121" s="89" t="n"/>
      <c r="K121" s="89" t="n"/>
      <c r="L121" s="89" t="n"/>
      <c r="M121" s="89" t="n"/>
      <c r="N121" s="89" t="n"/>
      <c r="O121" s="89" t="n"/>
      <c r="P121" s="89" t="n"/>
      <c r="Q121" s="89" t="n"/>
      <c r="R121" s="89" t="n"/>
      <c r="S121" s="89" t="n"/>
      <c r="T121" s="89" t="n"/>
      <c r="U121" s="89" t="n"/>
      <c r="V121" s="89" t="n"/>
      <c r="W121" s="89" t="n"/>
      <c r="X121" s="89" t="n"/>
      <c r="Y121" s="89" t="n"/>
      <c r="Z121" s="89" t="n"/>
      <c r="AA121" s="89" t="n"/>
      <c r="AB121" s="89" t="n"/>
      <c r="AC121" s="89" t="n"/>
      <c r="AD121" s="89" t="n"/>
      <c r="AE121" s="89" t="n"/>
      <c r="AF121" s="89" t="n"/>
      <c r="AG121" s="89" t="n"/>
      <c r="AH121" s="89" t="n"/>
      <c r="AI121" s="89" t="n"/>
      <c r="AJ121" s="89" t="n"/>
      <c r="AK121" s="89" t="n"/>
      <c r="AL121" s="89" t="n"/>
      <c r="AM121" s="89" t="n"/>
      <c r="AN121" s="89" t="n"/>
      <c r="AO121" s="89" t="n">
        <v>7.31476</v>
      </c>
      <c r="AP121" s="89" t="n"/>
      <c r="AQ121" s="89" t="n"/>
      <c r="AR121" s="89" t="n"/>
      <c r="AS121" s="89" t="n">
        <v>-0.058254</v>
      </c>
      <c r="AT121" s="89" t="n"/>
      <c r="AU121" s="89" t="n">
        <v>-0.218388</v>
      </c>
      <c r="AV121" s="89" t="n"/>
      <c r="AW121" s="89" t="n"/>
      <c r="AX121" s="89" t="n"/>
      <c r="AY121" s="89" t="n"/>
    </row>
    <row r="122">
      <c r="A122" t="inlineStr">
        <is>
          <t>1929-01</t>
        </is>
      </c>
      <c r="B122" s="1" t="n">
        <v>10594</v>
      </c>
      <c r="C122" s="88" t="n">
        <v>122</v>
      </c>
      <c r="D122" s="1" t="n"/>
      <c r="E122" s="1">
        <f>B122</f>
        <v/>
      </c>
      <c r="F122" s="2">
        <f>B122</f>
        <v/>
      </c>
      <c r="G122" s="88" t="n">
        <v>120</v>
      </c>
      <c r="H122" s="89" t="n"/>
      <c r="I122" s="89" t="n"/>
      <c r="J122" s="89" t="n"/>
      <c r="K122" s="89" t="n"/>
      <c r="L122" s="89" t="n"/>
      <c r="M122" s="89" t="n"/>
      <c r="N122" s="89" t="n"/>
      <c r="O122" s="89" t="n"/>
      <c r="P122" s="89" t="n"/>
      <c r="Q122" s="89" t="n"/>
      <c r="R122" s="89" t="n"/>
      <c r="S122" s="89" t="n"/>
      <c r="T122" s="89" t="n"/>
      <c r="U122" s="89" t="n"/>
      <c r="V122" s="89" t="n"/>
      <c r="W122" s="89" t="n"/>
      <c r="X122" s="89" t="n"/>
      <c r="Y122" s="89" t="n"/>
      <c r="Z122" s="89" t="n"/>
      <c r="AA122" s="89" t="n"/>
      <c r="AB122" s="89" t="n"/>
      <c r="AC122" s="89" t="n"/>
      <c r="AD122" s="89" t="n"/>
      <c r="AE122" s="89" t="n"/>
      <c r="AF122" s="89" t="n"/>
      <c r="AG122" s="89" t="n"/>
      <c r="AH122" s="89" t="n"/>
      <c r="AI122" s="89" t="n"/>
      <c r="AJ122" s="89" t="n"/>
      <c r="AK122" s="89" t="n"/>
      <c r="AL122" s="89" t="n"/>
      <c r="AM122" s="89" t="n"/>
      <c r="AN122" s="89" t="n"/>
      <c r="AO122" s="89" t="n">
        <v>7.421185</v>
      </c>
      <c r="AP122" s="89" t="n"/>
      <c r="AQ122" s="89" t="n"/>
      <c r="AR122" s="89" t="n"/>
      <c r="AS122" s="89" t="n">
        <v>-0.005069</v>
      </c>
      <c r="AT122" s="89" t="n"/>
      <c r="AU122" s="89" t="n">
        <v>0.096064</v>
      </c>
      <c r="AV122" s="89" t="n"/>
      <c r="AW122" s="89" t="n"/>
      <c r="AX122" s="89" t="n"/>
      <c r="AY122" s="89" t="n"/>
    </row>
    <row r="123">
      <c r="A123" t="inlineStr">
        <is>
          <t>1929-02</t>
        </is>
      </c>
      <c r="B123" s="1" t="n">
        <v>10625</v>
      </c>
      <c r="C123" s="88" t="n">
        <v>123</v>
      </c>
      <c r="D123" s="1" t="n"/>
      <c r="E123" s="1">
        <f>B123</f>
        <v/>
      </c>
      <c r="F123" s="2">
        <f>B123</f>
        <v/>
      </c>
      <c r="G123" s="88" t="n">
        <v>121</v>
      </c>
      <c r="H123" s="89" t="n"/>
      <c r="I123" s="89" t="n"/>
      <c r="J123" s="89" t="n"/>
      <c r="K123" s="89" t="n"/>
      <c r="L123" s="89" t="n"/>
      <c r="M123" s="89" t="n"/>
      <c r="N123" s="89" t="n"/>
      <c r="O123" s="89" t="n"/>
      <c r="P123" s="89" t="n"/>
      <c r="Q123" s="89" t="n"/>
      <c r="R123" s="89" t="n"/>
      <c r="S123" s="89" t="n"/>
      <c r="T123" s="89" t="n"/>
      <c r="U123" s="89" t="n"/>
      <c r="V123" s="89" t="n"/>
      <c r="W123" s="89" t="n"/>
      <c r="X123" s="89" t="n"/>
      <c r="Y123" s="89" t="n"/>
      <c r="Z123" s="89" t="n"/>
      <c r="AA123" s="89" t="n"/>
      <c r="AB123" s="89" t="n"/>
      <c r="AC123" s="89" t="n"/>
      <c r="AD123" s="89" t="n"/>
      <c r="AE123" s="89" t="n"/>
      <c r="AF123" s="89" t="n"/>
      <c r="AG123" s="89" t="n"/>
      <c r="AH123" s="89" t="n"/>
      <c r="AI123" s="89" t="n"/>
      <c r="AJ123" s="89" t="n"/>
      <c r="AK123" s="89" t="n"/>
      <c r="AL123" s="89" t="n"/>
      <c r="AM123" s="89" t="n"/>
      <c r="AN123" s="89" t="n"/>
      <c r="AO123" s="89" t="n">
        <v>7.394578</v>
      </c>
      <c r="AP123" s="89" t="n"/>
      <c r="AQ123" s="89" t="n"/>
      <c r="AR123" s="89" t="n"/>
      <c r="AS123" s="89" t="n">
        <v>0.780597</v>
      </c>
      <c r="AT123" s="89" t="n"/>
      <c r="AU123" s="89" t="n">
        <v>-0.385873</v>
      </c>
      <c r="AV123" s="89" t="n"/>
      <c r="AW123" s="89" t="n"/>
      <c r="AX123" s="89" t="n"/>
      <c r="AY123" s="89" t="n"/>
    </row>
    <row r="124">
      <c r="A124" t="inlineStr">
        <is>
          <t>1929-03</t>
        </is>
      </c>
      <c r="B124" s="1" t="n">
        <v>10653</v>
      </c>
      <c r="C124" s="88" t="n">
        <v>124</v>
      </c>
      <c r="D124" s="1" t="n"/>
      <c r="E124" s="1">
        <f>B124</f>
        <v/>
      </c>
      <c r="F124" s="2">
        <f>B124</f>
        <v/>
      </c>
      <c r="G124" s="88" t="n">
        <v>122</v>
      </c>
      <c r="H124" s="89" t="n"/>
      <c r="I124" s="89" t="n"/>
      <c r="J124" s="89" t="n"/>
      <c r="K124" s="89" t="n"/>
      <c r="L124" s="89" t="n"/>
      <c r="M124" s="89" t="n"/>
      <c r="N124" s="89" t="n"/>
      <c r="O124" s="89" t="n"/>
      <c r="P124" s="89" t="n"/>
      <c r="Q124" s="89" t="n"/>
      <c r="R124" s="89" t="n"/>
      <c r="S124" s="89" t="n"/>
      <c r="T124" s="89" t="n"/>
      <c r="U124" s="89" t="n"/>
      <c r="V124" s="89" t="n"/>
      <c r="W124" s="89" t="n"/>
      <c r="X124" s="89" t="n"/>
      <c r="Y124" s="89" t="n"/>
      <c r="Z124" s="89" t="n"/>
      <c r="AA124" s="89" t="n"/>
      <c r="AB124" s="89" t="n"/>
      <c r="AC124" s="89" t="n"/>
      <c r="AD124" s="89" t="n"/>
      <c r="AE124" s="89" t="n"/>
      <c r="AF124" s="89" t="n"/>
      <c r="AG124" s="89" t="n"/>
      <c r="AH124" s="89" t="n"/>
      <c r="AI124" s="89" t="n"/>
      <c r="AJ124" s="89" t="n"/>
      <c r="AK124" s="89" t="n"/>
      <c r="AL124" s="89" t="n"/>
      <c r="AM124" s="89" t="n"/>
      <c r="AN124" s="89" t="n"/>
      <c r="AO124" s="89" t="n">
        <v>7.421185</v>
      </c>
      <c r="AP124" s="89" t="n"/>
      <c r="AQ124" s="89" t="n"/>
      <c r="AR124" s="89" t="n"/>
      <c r="AS124" s="89" t="n">
        <v>-0.06286899999999999</v>
      </c>
      <c r="AT124" s="89" t="n"/>
      <c r="AU124" s="89" t="n">
        <v>0.513506</v>
      </c>
      <c r="AV124" s="89" t="n"/>
      <c r="AW124" s="89" t="n"/>
      <c r="AX124" s="89" t="n"/>
      <c r="AY124" s="89" t="n"/>
    </row>
    <row r="125">
      <c r="A125" t="inlineStr">
        <is>
          <t>1929-04</t>
        </is>
      </c>
      <c r="B125" s="1" t="n">
        <v>10684</v>
      </c>
      <c r="C125" s="88" t="n">
        <v>125</v>
      </c>
      <c r="D125" s="1" t="n"/>
      <c r="E125" s="1">
        <f>B125</f>
        <v/>
      </c>
      <c r="F125" s="2">
        <f>B125</f>
        <v/>
      </c>
      <c r="G125" s="88" t="n">
        <v>123</v>
      </c>
      <c r="H125" s="89" t="n"/>
      <c r="I125" s="89" t="n"/>
      <c r="J125" s="89" t="n"/>
      <c r="K125" s="89" t="n"/>
      <c r="L125" s="89" t="n"/>
      <c r="M125" s="89" t="n"/>
      <c r="N125" s="89" t="n"/>
      <c r="O125" s="89" t="n"/>
      <c r="P125" s="89" t="n"/>
      <c r="Q125" s="89" t="n"/>
      <c r="R125" s="89" t="n"/>
      <c r="S125" s="89" t="n"/>
      <c r="T125" s="89" t="n"/>
      <c r="U125" s="89" t="n"/>
      <c r="V125" s="89" t="n"/>
      <c r="W125" s="89" t="n"/>
      <c r="X125" s="89" t="n"/>
      <c r="Y125" s="89" t="n"/>
      <c r="Z125" s="89" t="n"/>
      <c r="AA125" s="89" t="n"/>
      <c r="AB125" s="89" t="n"/>
      <c r="AC125" s="89" t="n"/>
      <c r="AD125" s="89" t="n"/>
      <c r="AE125" s="89" t="n"/>
      <c r="AF125" s="89" t="n"/>
      <c r="AG125" s="89" t="n"/>
      <c r="AH125" s="89" t="n"/>
      <c r="AI125" s="89" t="n"/>
      <c r="AJ125" s="89" t="n"/>
      <c r="AK125" s="89" t="n"/>
      <c r="AL125" s="89" t="n"/>
      <c r="AM125" s="89" t="n"/>
      <c r="AN125" s="89" t="n"/>
      <c r="AO125" s="89" t="n">
        <v>7.554215</v>
      </c>
      <c r="AP125" s="89" t="n"/>
      <c r="AQ125" s="89" t="n"/>
      <c r="AR125" s="89" t="n"/>
      <c r="AS125" s="89" t="n">
        <v>-0.012582</v>
      </c>
      <c r="AT125" s="89" t="n"/>
      <c r="AU125" s="89" t="n">
        <v>1.644337</v>
      </c>
      <c r="AV125" s="89" t="n"/>
      <c r="AW125" s="89" t="n"/>
      <c r="AX125" s="89" t="n"/>
      <c r="AY125" s="89" t="n"/>
    </row>
    <row r="126">
      <c r="A126" t="inlineStr">
        <is>
          <t>1929-05</t>
        </is>
      </c>
      <c r="B126" s="1" t="n">
        <v>10714</v>
      </c>
      <c r="C126" s="88" t="n">
        <v>126</v>
      </c>
      <c r="D126" s="1" t="n"/>
      <c r="E126" s="1">
        <f>B126</f>
        <v/>
      </c>
      <c r="F126" s="2">
        <f>B126</f>
        <v/>
      </c>
      <c r="G126" s="88" t="n">
        <v>124</v>
      </c>
      <c r="H126" s="89" t="n"/>
      <c r="I126" s="89" t="n"/>
      <c r="J126" s="89" t="n"/>
      <c r="K126" s="89" t="n"/>
      <c r="L126" s="89" t="n"/>
      <c r="M126" s="89" t="n"/>
      <c r="N126" s="89" t="n"/>
      <c r="O126" s="89" t="n"/>
      <c r="P126" s="89" t="n"/>
      <c r="Q126" s="89" t="n"/>
      <c r="R126" s="89" t="n"/>
      <c r="S126" s="89" t="n"/>
      <c r="T126" s="89" t="n"/>
      <c r="U126" s="89" t="n"/>
      <c r="V126" s="89" t="n"/>
      <c r="W126" s="89" t="n"/>
      <c r="X126" s="89" t="n"/>
      <c r="Y126" s="89" t="n"/>
      <c r="Z126" s="89" t="n"/>
      <c r="AA126" s="89" t="n"/>
      <c r="AB126" s="89" t="n"/>
      <c r="AC126" s="89" t="n"/>
      <c r="AD126" s="89" t="n"/>
      <c r="AE126" s="89" t="n"/>
      <c r="AF126" s="89" t="n"/>
      <c r="AG126" s="89" t="n"/>
      <c r="AH126" s="89" t="n"/>
      <c r="AI126" s="89" t="n"/>
      <c r="AJ126" s="89" t="n"/>
      <c r="AK126" s="89" t="n"/>
      <c r="AL126" s="89" t="n"/>
      <c r="AM126" s="89" t="n"/>
      <c r="AN126" s="89" t="n"/>
      <c r="AO126" s="89" t="n">
        <v>7.68715</v>
      </c>
      <c r="AP126" s="89" t="n"/>
      <c r="AQ126" s="89" t="n"/>
      <c r="AR126" s="89" t="n"/>
      <c r="AS126" s="89" t="n">
        <v>0.226501</v>
      </c>
      <c r="AT126" s="89" t="n"/>
      <c r="AU126" s="89" t="n">
        <v>1.932725</v>
      </c>
      <c r="AV126" s="89" t="n"/>
      <c r="AW126" s="89" t="n"/>
      <c r="AX126" s="89" t="n"/>
      <c r="AY126" s="89" t="n"/>
    </row>
    <row r="127">
      <c r="A127" t="inlineStr">
        <is>
          <t>1929-06</t>
        </is>
      </c>
      <c r="B127" s="1" t="n">
        <v>10745</v>
      </c>
      <c r="C127" s="88" t="n">
        <v>127</v>
      </c>
      <c r="D127" s="1" t="n"/>
      <c r="E127" s="1">
        <f>B127</f>
        <v/>
      </c>
      <c r="F127" s="2">
        <f>B127</f>
        <v/>
      </c>
      <c r="G127" s="88" t="n">
        <v>125</v>
      </c>
      <c r="H127" s="89" t="n"/>
      <c r="I127" s="89" t="n"/>
      <c r="J127" s="89" t="n"/>
      <c r="K127" s="89" t="n"/>
      <c r="L127" s="89" t="n"/>
      <c r="M127" s="89" t="n"/>
      <c r="N127" s="89" t="n"/>
      <c r="O127" s="89" t="n"/>
      <c r="P127" s="89" t="n"/>
      <c r="Q127" s="89" t="n"/>
      <c r="R127" s="89" t="n"/>
      <c r="S127" s="89" t="n"/>
      <c r="T127" s="89" t="n"/>
      <c r="U127" s="89" t="n"/>
      <c r="V127" s="89" t="n"/>
      <c r="W127" s="89" t="n"/>
      <c r="X127" s="89" t="n"/>
      <c r="Y127" s="89" t="n"/>
      <c r="Z127" s="89" t="n"/>
      <c r="AA127" s="89" t="n"/>
      <c r="AB127" s="89" t="n"/>
      <c r="AC127" s="89" t="n"/>
      <c r="AD127" s="89" t="n"/>
      <c r="AE127" s="89" t="n"/>
      <c r="AF127" s="89" t="n"/>
      <c r="AG127" s="89" t="n"/>
      <c r="AH127" s="89" t="n"/>
      <c r="AI127" s="89" t="n"/>
      <c r="AJ127" s="89" t="n"/>
      <c r="AK127" s="89" t="n"/>
      <c r="AL127" s="89" t="n"/>
      <c r="AM127" s="89" t="n"/>
      <c r="AN127" s="89" t="n"/>
      <c r="AO127" s="89" t="n">
        <v>7.740362</v>
      </c>
      <c r="AP127" s="89" t="n"/>
      <c r="AQ127" s="89" t="n"/>
      <c r="AR127" s="89" t="n"/>
      <c r="AS127" s="89" t="n">
        <v>0.035154</v>
      </c>
      <c r="AT127" s="89" t="n"/>
      <c r="AU127" s="89" t="n">
        <v>-1.075844</v>
      </c>
      <c r="AV127" s="89" t="n"/>
      <c r="AW127" s="89" t="n"/>
      <c r="AX127" s="89" t="n"/>
      <c r="AY127" s="89" t="n"/>
    </row>
    <row r="128">
      <c r="A128" t="inlineStr">
        <is>
          <t>1929-07</t>
        </is>
      </c>
      <c r="B128" s="1" t="n">
        <v>10775</v>
      </c>
      <c r="C128" s="88" t="n">
        <v>128</v>
      </c>
      <c r="D128" s="1" t="n"/>
      <c r="E128" s="1">
        <f>B128</f>
        <v/>
      </c>
      <c r="F128" s="2">
        <f>B128</f>
        <v/>
      </c>
      <c r="G128" s="88" t="n">
        <v>126</v>
      </c>
      <c r="H128" s="89" t="n"/>
      <c r="I128" s="89" t="n"/>
      <c r="J128" s="89" t="n"/>
      <c r="K128" s="89" t="n"/>
      <c r="L128" s="89" t="n"/>
      <c r="M128" s="89" t="n"/>
      <c r="N128" s="89" t="n"/>
      <c r="O128" s="89" t="n"/>
      <c r="P128" s="89" t="n"/>
      <c r="Q128" s="89" t="n"/>
      <c r="R128" s="89" t="n"/>
      <c r="S128" s="89" t="n"/>
      <c r="T128" s="89" t="n"/>
      <c r="U128" s="89" t="n"/>
      <c r="V128" s="89" t="n"/>
      <c r="W128" s="89" t="n"/>
      <c r="X128" s="89" t="n"/>
      <c r="Y128" s="89" t="n"/>
      <c r="Z128" s="89" t="n"/>
      <c r="AA128" s="89" t="n"/>
      <c r="AB128" s="89" t="n"/>
      <c r="AC128" s="89" t="n"/>
      <c r="AD128" s="89" t="n"/>
      <c r="AE128" s="89" t="n"/>
      <c r="AF128" s="89" t="n"/>
      <c r="AG128" s="89" t="n"/>
      <c r="AH128" s="89" t="n"/>
      <c r="AI128" s="89" t="n"/>
      <c r="AJ128" s="89" t="n"/>
      <c r="AK128" s="89" t="n"/>
      <c r="AL128" s="89" t="n"/>
      <c r="AM128" s="89" t="n"/>
      <c r="AN128" s="89" t="n"/>
      <c r="AO128" s="89" t="n">
        <v>7.846786</v>
      </c>
      <c r="AP128" s="89" t="n"/>
      <c r="AQ128" s="89" t="n"/>
      <c r="AR128" s="89" t="n"/>
      <c r="AS128" s="89" t="n">
        <v>0.386556</v>
      </c>
      <c r="AT128" s="89" t="n"/>
      <c r="AU128" s="89" t="n">
        <v>0.910145</v>
      </c>
      <c r="AV128" s="89" t="n"/>
      <c r="AW128" s="89" t="n"/>
      <c r="AX128" s="89" t="n"/>
      <c r="AY128" s="89" t="n"/>
    </row>
    <row r="129">
      <c r="A129" t="inlineStr">
        <is>
          <t>1929-08</t>
        </is>
      </c>
      <c r="B129" s="1" t="n">
        <v>10806</v>
      </c>
      <c r="C129" s="88" t="n">
        <v>129</v>
      </c>
      <c r="D129" s="1" t="n"/>
      <c r="E129" s="1">
        <f>B129</f>
        <v/>
      </c>
      <c r="F129" s="2">
        <f>B129</f>
        <v/>
      </c>
      <c r="G129" s="88" t="n">
        <v>127</v>
      </c>
      <c r="H129" s="89" t="n"/>
      <c r="I129" s="89" t="n"/>
      <c r="J129" s="89" t="n"/>
      <c r="K129" s="89" t="n"/>
      <c r="L129" s="89" t="n"/>
      <c r="M129" s="89" t="n"/>
      <c r="N129" s="89" t="n"/>
      <c r="O129" s="89" t="n"/>
      <c r="P129" s="89" t="n"/>
      <c r="Q129" s="89" t="n"/>
      <c r="R129" s="89" t="n"/>
      <c r="S129" s="89" t="n"/>
      <c r="T129" s="89" t="n"/>
      <c r="U129" s="89" t="n"/>
      <c r="V129" s="89" t="n"/>
      <c r="W129" s="89" t="n"/>
      <c r="X129" s="89" t="n"/>
      <c r="Y129" s="89" t="n"/>
      <c r="Z129" s="89" t="n"/>
      <c r="AA129" s="89" t="n"/>
      <c r="AB129" s="89" t="n"/>
      <c r="AC129" s="89" t="n"/>
      <c r="AD129" s="89" t="n"/>
      <c r="AE129" s="89" t="n"/>
      <c r="AF129" s="89" t="n"/>
      <c r="AG129" s="89" t="n"/>
      <c r="AH129" s="89" t="n"/>
      <c r="AI129" s="89" t="n"/>
      <c r="AJ129" s="89" t="n"/>
      <c r="AK129" s="89" t="n"/>
      <c r="AL129" s="89" t="n"/>
      <c r="AM129" s="89" t="n"/>
      <c r="AN129" s="89" t="n"/>
      <c r="AO129" s="89" t="n">
        <v>7.766968</v>
      </c>
      <c r="AP129" s="89" t="n"/>
      <c r="AQ129" s="89" t="n"/>
      <c r="AR129" s="89" t="n"/>
      <c r="AS129" s="89" t="n">
        <v>0.725127</v>
      </c>
      <c r="AT129" s="89" t="n"/>
      <c r="AU129" s="89" t="n">
        <v>1.750363</v>
      </c>
      <c r="AV129" s="89" t="n"/>
      <c r="AW129" s="89" t="n"/>
      <c r="AX129" s="89" t="n"/>
      <c r="AY129" s="89" t="n"/>
    </row>
    <row r="130">
      <c r="A130" t="inlineStr">
        <is>
          <t>1929-09</t>
        </is>
      </c>
      <c r="B130" s="1" t="n">
        <v>10837</v>
      </c>
      <c r="C130" s="88" t="n">
        <v>130</v>
      </c>
      <c r="D130" s="1" t="n"/>
      <c r="E130" s="1">
        <f>B130</f>
        <v/>
      </c>
      <c r="F130" s="2">
        <f>B130</f>
        <v/>
      </c>
      <c r="G130" s="88" t="n">
        <v>128</v>
      </c>
      <c r="H130" s="89" t="n"/>
      <c r="I130" s="89" t="n"/>
      <c r="J130" s="89" t="n"/>
      <c r="K130" s="89" t="n"/>
      <c r="L130" s="89" t="n"/>
      <c r="M130" s="89" t="n"/>
      <c r="N130" s="89" t="n"/>
      <c r="O130" s="89" t="n"/>
      <c r="P130" s="89" t="n"/>
      <c r="Q130" s="89" t="n"/>
      <c r="R130" s="89" t="n"/>
      <c r="S130" s="89" t="n"/>
      <c r="T130" s="89" t="n"/>
      <c r="U130" s="89" t="n"/>
      <c r="V130" s="89" t="n"/>
      <c r="W130" s="89" t="n"/>
      <c r="X130" s="89" t="n"/>
      <c r="Y130" s="89" t="n"/>
      <c r="Z130" s="89" t="n"/>
      <c r="AA130" s="89" t="n"/>
      <c r="AB130" s="89" t="n"/>
      <c r="AC130" s="89" t="n"/>
      <c r="AD130" s="89" t="n"/>
      <c r="AE130" s="89" t="n"/>
      <c r="AF130" s="89" t="n"/>
      <c r="AG130" s="89" t="n"/>
      <c r="AH130" s="89" t="n"/>
      <c r="AI130" s="89" t="n"/>
      <c r="AJ130" s="89" t="n"/>
      <c r="AK130" s="89" t="n"/>
      <c r="AL130" s="89" t="n"/>
      <c r="AM130" s="89" t="n"/>
      <c r="AN130" s="89" t="n"/>
      <c r="AO130" s="89" t="n">
        <v>7.713756</v>
      </c>
      <c r="AP130" s="89" t="n"/>
      <c r="AQ130" s="89" t="n"/>
      <c r="AR130" s="89" t="n"/>
      <c r="AS130" s="89" t="n">
        <v>0.5610309999999999</v>
      </c>
      <c r="AT130" s="89" t="n"/>
      <c r="AU130" s="89" t="n">
        <v>0.64603</v>
      </c>
      <c r="AV130" s="89" t="n"/>
      <c r="AW130" s="89" t="n"/>
      <c r="AX130" s="89" t="n"/>
      <c r="AY130" s="89" t="n"/>
    </row>
    <row r="131">
      <c r="A131" t="inlineStr">
        <is>
          <t>1929-10</t>
        </is>
      </c>
      <c r="B131" s="1" t="n">
        <v>10867</v>
      </c>
      <c r="C131" s="88" t="n">
        <v>131</v>
      </c>
      <c r="D131" s="1" t="n"/>
      <c r="E131" s="1">
        <f>B131</f>
        <v/>
      </c>
      <c r="F131" s="2">
        <f>B131</f>
        <v/>
      </c>
      <c r="G131" s="88" t="n">
        <v>129</v>
      </c>
      <c r="H131" s="89" t="n"/>
      <c r="I131" s="89" t="n"/>
      <c r="J131" s="89" t="n"/>
      <c r="K131" s="89" t="n"/>
      <c r="L131" s="89" t="n"/>
      <c r="M131" s="89" t="n"/>
      <c r="N131" s="89" t="n"/>
      <c r="O131" s="89" t="n"/>
      <c r="P131" s="89" t="n"/>
      <c r="Q131" s="89" t="n"/>
      <c r="R131" s="89" t="n"/>
      <c r="S131" s="89" t="n"/>
      <c r="T131" s="89" t="n"/>
      <c r="U131" s="89" t="n"/>
      <c r="V131" s="89" t="n"/>
      <c r="W131" s="89" t="n"/>
      <c r="X131" s="89" t="n"/>
      <c r="Y131" s="89" t="n"/>
      <c r="Z131" s="89" t="n"/>
      <c r="AA131" s="89" t="n"/>
      <c r="AB131" s="89" t="n"/>
      <c r="AC131" s="89" t="n"/>
      <c r="AD131" s="89" t="n"/>
      <c r="AE131" s="89" t="n"/>
      <c r="AF131" s="89" t="n"/>
      <c r="AG131" s="89" t="n"/>
      <c r="AH131" s="89" t="n"/>
      <c r="AI131" s="89" t="n"/>
      <c r="AJ131" s="89" t="n"/>
      <c r="AK131" s="89" t="n"/>
      <c r="AL131" s="89" t="n"/>
      <c r="AM131" s="89" t="n"/>
      <c r="AN131" s="89" t="n"/>
      <c r="AO131" s="89" t="n">
        <v>7.580725</v>
      </c>
      <c r="AP131" s="89" t="n"/>
      <c r="AQ131" s="89" t="n"/>
      <c r="AR131" s="89" t="n"/>
      <c r="AS131" s="89" t="n">
        <v>0.940532</v>
      </c>
      <c r="AT131" s="89" t="n"/>
      <c r="AU131" s="89" t="n">
        <v>0.746385</v>
      </c>
      <c r="AV131" s="89" t="n"/>
      <c r="AW131" s="89" t="n"/>
      <c r="AX131" s="89" t="n"/>
      <c r="AY131" s="89" t="n"/>
    </row>
    <row r="132">
      <c r="A132" t="inlineStr">
        <is>
          <t>1929-11</t>
        </is>
      </c>
      <c r="B132" s="1" t="n">
        <v>10898</v>
      </c>
      <c r="C132" s="88" t="n">
        <v>132</v>
      </c>
      <c r="D132" s="1" t="n"/>
      <c r="E132" s="1">
        <f>B132</f>
        <v/>
      </c>
      <c r="F132" s="2">
        <f>B132</f>
        <v/>
      </c>
      <c r="G132" s="88" t="n">
        <v>130</v>
      </c>
      <c r="H132" s="89" t="n"/>
      <c r="I132" s="89" t="n"/>
      <c r="J132" s="89" t="n"/>
      <c r="K132" s="89" t="n"/>
      <c r="L132" s="89" t="n"/>
      <c r="M132" s="89" t="n"/>
      <c r="N132" s="89" t="n"/>
      <c r="O132" s="89" t="n"/>
      <c r="P132" s="89" t="n"/>
      <c r="Q132" s="89" t="n"/>
      <c r="R132" s="89" t="n"/>
      <c r="S132" s="89" t="n"/>
      <c r="T132" s="89" t="n"/>
      <c r="U132" s="89" t="n"/>
      <c r="V132" s="89" t="n"/>
      <c r="W132" s="89" t="n"/>
      <c r="X132" s="89" t="n"/>
      <c r="Y132" s="89" t="n"/>
      <c r="Z132" s="89" t="n"/>
      <c r="AA132" s="89" t="n"/>
      <c r="AB132" s="89" t="n"/>
      <c r="AC132" s="89" t="n"/>
      <c r="AD132" s="89" t="n"/>
      <c r="AE132" s="89" t="n"/>
      <c r="AF132" s="89" t="n"/>
      <c r="AG132" s="89" t="n"/>
      <c r="AH132" s="89" t="n"/>
      <c r="AI132" s="89" t="n"/>
      <c r="AJ132" s="89" t="n"/>
      <c r="AK132" s="89" t="n"/>
      <c r="AL132" s="89" t="n"/>
      <c r="AM132" s="89" t="n"/>
      <c r="AN132" s="89" t="n"/>
      <c r="AO132" s="89" t="n">
        <v>7.208336</v>
      </c>
      <c r="AP132" s="89" t="n"/>
      <c r="AQ132" s="89" t="n"/>
      <c r="AR132" s="89" t="n"/>
      <c r="AS132" s="89" t="n">
        <v>1.530937</v>
      </c>
      <c r="AT132" s="89" t="n"/>
      <c r="AU132" s="89" t="n">
        <v>2.052156</v>
      </c>
      <c r="AV132" s="89" t="n"/>
      <c r="AW132" s="89" t="n"/>
      <c r="AX132" s="89" t="n"/>
      <c r="AY132" s="89" t="n"/>
    </row>
    <row r="133">
      <c r="A133" t="inlineStr">
        <is>
          <t>1929-12</t>
        </is>
      </c>
      <c r="B133" s="1" t="n">
        <v>10928</v>
      </c>
      <c r="C133" s="88" t="n">
        <v>133</v>
      </c>
      <c r="D133" s="1" t="n"/>
      <c r="E133" s="1">
        <f>B133</f>
        <v/>
      </c>
      <c r="F133" s="2">
        <f>B133</f>
        <v/>
      </c>
      <c r="G133" s="88" t="n">
        <v>131</v>
      </c>
      <c r="H133" s="89" t="n"/>
      <c r="I133" s="89" t="n"/>
      <c r="J133" s="89" t="n"/>
      <c r="K133" s="89" t="n"/>
      <c r="L133" s="89" t="n"/>
      <c r="M133" s="89" t="n"/>
      <c r="N133" s="89" t="n"/>
      <c r="O133" s="89" t="n"/>
      <c r="P133" s="89" t="n"/>
      <c r="Q133" s="89" t="n"/>
      <c r="R133" s="89" t="n"/>
      <c r="S133" s="89" t="n"/>
      <c r="T133" s="89" t="n"/>
      <c r="U133" s="89" t="n"/>
      <c r="V133" s="89" t="n"/>
      <c r="W133" s="89" t="n"/>
      <c r="X133" s="89" t="n"/>
      <c r="Y133" s="89" t="n"/>
      <c r="Z133" s="89" t="n"/>
      <c r="AA133" s="89" t="n"/>
      <c r="AB133" s="89" t="n"/>
      <c r="AC133" s="89" t="n"/>
      <c r="AD133" s="89" t="n"/>
      <c r="AE133" s="89" t="n"/>
      <c r="AF133" s="89" t="n"/>
      <c r="AG133" s="89" t="n"/>
      <c r="AH133" s="89" t="n"/>
      <c r="AI133" s="89" t="n"/>
      <c r="AJ133" s="89" t="n"/>
      <c r="AK133" s="89" t="n"/>
      <c r="AL133" s="89" t="n"/>
      <c r="AM133" s="89" t="n"/>
      <c r="AN133" s="89" t="n"/>
      <c r="AO133" s="89" t="n">
        <v>6.889159</v>
      </c>
      <c r="AP133" s="89" t="n"/>
      <c r="AQ133" s="89" t="n"/>
      <c r="AR133" s="89" t="n"/>
      <c r="AS133" s="89" t="n">
        <v>1.89392</v>
      </c>
      <c r="AT133" s="89" t="n"/>
      <c r="AU133" s="89" t="n">
        <v>2.054445</v>
      </c>
      <c r="AV133" s="89" t="n"/>
      <c r="AW133" s="89" t="n"/>
      <c r="AX133" s="89" t="n"/>
      <c r="AY133" s="89" t="n"/>
    </row>
    <row r="134">
      <c r="A134" t="inlineStr">
        <is>
          <t>1930-01</t>
        </is>
      </c>
      <c r="B134" s="1" t="n">
        <v>10959</v>
      </c>
      <c r="C134" s="88" t="n">
        <v>134</v>
      </c>
      <c r="D134" s="1" t="n"/>
      <c r="E134" s="1">
        <f>B134</f>
        <v/>
      </c>
      <c r="F134" s="2">
        <f>B134</f>
        <v/>
      </c>
      <c r="G134" s="88" t="n">
        <v>132</v>
      </c>
      <c r="H134" s="89" t="n"/>
      <c r="I134" s="89" t="n"/>
      <c r="J134" s="89" t="n"/>
      <c r="K134" s="89" t="n"/>
      <c r="L134" s="89" t="n"/>
      <c r="M134" s="89" t="n"/>
      <c r="N134" s="89" t="n"/>
      <c r="O134" s="89" t="n"/>
      <c r="P134" s="89" t="n"/>
      <c r="Q134" s="89" t="n"/>
      <c r="R134" s="89" t="n"/>
      <c r="S134" s="89" t="n"/>
      <c r="T134" s="89" t="n"/>
      <c r="U134" s="89" t="n"/>
      <c r="V134" s="89" t="n"/>
      <c r="W134" s="89" t="n"/>
      <c r="X134" s="89" t="n"/>
      <c r="Y134" s="89" t="n"/>
      <c r="Z134" s="89" t="n"/>
      <c r="AA134" s="89" t="n"/>
      <c r="AB134" s="89" t="n"/>
      <c r="AC134" s="89" t="n"/>
      <c r="AD134" s="89" t="n"/>
      <c r="AE134" s="89" t="n"/>
      <c r="AF134" s="89" t="n"/>
      <c r="AG134" s="89" t="n"/>
      <c r="AH134" s="89" t="n"/>
      <c r="AI134" s="89" t="n"/>
      <c r="AJ134" s="89" t="n"/>
      <c r="AK134" s="89" t="n"/>
      <c r="AL134" s="89" t="n"/>
      <c r="AM134" s="89" t="n"/>
      <c r="AN134" s="89" t="n"/>
      <c r="AO134" s="89" t="n">
        <v>6.889159</v>
      </c>
      <c r="AP134" s="89" t="n"/>
      <c r="AQ134" s="89" t="n"/>
      <c r="AR134" s="89" t="n"/>
      <c r="AS134" s="89" t="n">
        <v>0.291044</v>
      </c>
      <c r="AT134" s="89" t="n"/>
      <c r="AU134" s="89" t="n">
        <v>1.901049</v>
      </c>
      <c r="AV134" s="89" t="n"/>
      <c r="AW134" s="89" t="n"/>
      <c r="AX134" s="89" t="n"/>
      <c r="AY134" s="89" t="n"/>
    </row>
    <row r="135">
      <c r="A135" t="inlineStr">
        <is>
          <t>1930-02</t>
        </is>
      </c>
      <c r="B135" s="1" t="n">
        <v>10990</v>
      </c>
      <c r="C135" s="88" t="n">
        <v>135</v>
      </c>
      <c r="D135" s="1" t="n"/>
      <c r="E135" s="1">
        <f>B135</f>
        <v/>
      </c>
      <c r="F135" s="2">
        <f>B135</f>
        <v/>
      </c>
      <c r="G135" s="88" t="n">
        <v>133</v>
      </c>
      <c r="H135" s="89" t="n"/>
      <c r="I135" s="89" t="n"/>
      <c r="J135" s="89" t="n"/>
      <c r="K135" s="89" t="n"/>
      <c r="L135" s="89" t="n"/>
      <c r="M135" s="89" t="n"/>
      <c r="N135" s="89" t="n"/>
      <c r="O135" s="89" t="n"/>
      <c r="P135" s="89" t="n"/>
      <c r="Q135" s="89" t="n"/>
      <c r="R135" s="89" t="n"/>
      <c r="S135" s="89" t="n"/>
      <c r="T135" s="89" t="n"/>
      <c r="U135" s="89" t="n"/>
      <c r="V135" s="89" t="n"/>
      <c r="W135" s="89" t="n"/>
      <c r="X135" s="89" t="n"/>
      <c r="Y135" s="89" t="n"/>
      <c r="Z135" s="89" t="n"/>
      <c r="AA135" s="89" t="n"/>
      <c r="AB135" s="89" t="n"/>
      <c r="AC135" s="89" t="n"/>
      <c r="AD135" s="89" t="n"/>
      <c r="AE135" s="89" t="n"/>
      <c r="AF135" s="89" t="n"/>
      <c r="AG135" s="89" t="n"/>
      <c r="AH135" s="89" t="n"/>
      <c r="AI135" s="89" t="n"/>
      <c r="AJ135" s="89" t="n"/>
      <c r="AK135" s="89" t="n"/>
      <c r="AL135" s="89" t="n"/>
      <c r="AM135" s="89" t="n"/>
      <c r="AN135" s="89" t="n"/>
      <c r="AO135" s="89" t="n">
        <v>6.862553</v>
      </c>
      <c r="AP135" s="89" t="n"/>
      <c r="AQ135" s="89" t="n"/>
      <c r="AR135" s="89" t="n"/>
      <c r="AS135" s="89" t="n">
        <v>0.665695</v>
      </c>
      <c r="AT135" s="89" t="n"/>
      <c r="AU135" s="89" t="n">
        <v>1.712014</v>
      </c>
      <c r="AV135" s="89" t="n"/>
      <c r="AW135" s="89" t="n"/>
      <c r="AX135" s="89" t="n"/>
      <c r="AY135" s="89" t="n"/>
    </row>
    <row r="136">
      <c r="A136" t="inlineStr">
        <is>
          <t>1930-03</t>
        </is>
      </c>
      <c r="B136" s="1" t="n">
        <v>11018</v>
      </c>
      <c r="C136" s="88" t="n">
        <v>136</v>
      </c>
      <c r="D136" s="1" t="n"/>
      <c r="E136" s="1">
        <f>B136</f>
        <v/>
      </c>
      <c r="F136" s="2">
        <f>B136</f>
        <v/>
      </c>
      <c r="G136" s="88" t="n">
        <v>134</v>
      </c>
      <c r="H136" s="89" t="n"/>
      <c r="I136" s="89" t="n"/>
      <c r="J136" s="89" t="n"/>
      <c r="K136" s="89" t="n"/>
      <c r="L136" s="89" t="n"/>
      <c r="M136" s="89" t="n"/>
      <c r="N136" s="89" t="n"/>
      <c r="O136" s="89" t="n"/>
      <c r="P136" s="89" t="n"/>
      <c r="Q136" s="89" t="n"/>
      <c r="R136" s="89" t="n"/>
      <c r="S136" s="89" t="n"/>
      <c r="T136" s="89" t="n"/>
      <c r="U136" s="89" t="n"/>
      <c r="V136" s="89" t="n"/>
      <c r="W136" s="89" t="n"/>
      <c r="X136" s="89" t="n"/>
      <c r="Y136" s="89" t="n"/>
      <c r="Z136" s="89" t="n"/>
      <c r="AA136" s="89" t="n"/>
      <c r="AB136" s="89" t="n"/>
      <c r="AC136" s="89" t="n"/>
      <c r="AD136" s="89" t="n"/>
      <c r="AE136" s="89" t="n"/>
      <c r="AF136" s="89" t="n"/>
      <c r="AG136" s="89" t="n"/>
      <c r="AH136" s="89" t="n"/>
      <c r="AI136" s="89" t="n"/>
      <c r="AJ136" s="89" t="n"/>
      <c r="AK136" s="89" t="n"/>
      <c r="AL136" s="89" t="n"/>
      <c r="AM136" s="89" t="n"/>
      <c r="AN136" s="89" t="n"/>
      <c r="AO136" s="89" t="n">
        <v>6.756224</v>
      </c>
      <c r="AP136" s="89" t="n"/>
      <c r="AQ136" s="89" t="n"/>
      <c r="AR136" s="89" t="n"/>
      <c r="AS136" s="89" t="n">
        <v>0.441722</v>
      </c>
      <c r="AT136" s="89" t="n"/>
      <c r="AU136" s="89" t="n">
        <v>0.224772</v>
      </c>
      <c r="AV136" s="89" t="n"/>
      <c r="AW136" s="89" t="n"/>
      <c r="AX136" s="89" t="n"/>
      <c r="AY136" s="89" t="n"/>
    </row>
    <row r="137">
      <c r="A137" t="inlineStr">
        <is>
          <t>1930-04</t>
        </is>
      </c>
      <c r="B137" s="1" t="n">
        <v>11049</v>
      </c>
      <c r="C137" s="88" t="n">
        <v>137</v>
      </c>
      <c r="D137" s="1" t="n"/>
      <c r="E137" s="1">
        <f>B137</f>
        <v/>
      </c>
      <c r="F137" s="2">
        <f>B137</f>
        <v/>
      </c>
      <c r="G137" s="88" t="n">
        <v>135</v>
      </c>
      <c r="H137" s="89" t="n"/>
      <c r="I137" s="89" t="n"/>
      <c r="J137" s="89" t="n"/>
      <c r="K137" s="89" t="n"/>
      <c r="L137" s="89" t="n"/>
      <c r="M137" s="89" t="n"/>
      <c r="N137" s="89" t="n"/>
      <c r="O137" s="89" t="n"/>
      <c r="P137" s="89" t="n"/>
      <c r="Q137" s="89" t="n"/>
      <c r="R137" s="89" t="n"/>
      <c r="S137" s="89" t="n"/>
      <c r="T137" s="89" t="n"/>
      <c r="U137" s="89" t="n"/>
      <c r="V137" s="89" t="n"/>
      <c r="W137" s="89" t="n"/>
      <c r="X137" s="89" t="n"/>
      <c r="Y137" s="89" t="n"/>
      <c r="Z137" s="89" t="n"/>
      <c r="AA137" s="89" t="n"/>
      <c r="AB137" s="89" t="n"/>
      <c r="AC137" s="89" t="n"/>
      <c r="AD137" s="89" t="n"/>
      <c r="AE137" s="89" t="n"/>
      <c r="AF137" s="89" t="n"/>
      <c r="AG137" s="89" t="n"/>
      <c r="AH137" s="89" t="n"/>
      <c r="AI137" s="89" t="n"/>
      <c r="AJ137" s="89" t="n"/>
      <c r="AK137" s="89" t="n"/>
      <c r="AL137" s="89" t="n"/>
      <c r="AM137" s="89" t="n"/>
      <c r="AN137" s="89" t="n"/>
      <c r="AO137" s="89" t="n">
        <v>6.703012</v>
      </c>
      <c r="AP137" s="89" t="n"/>
      <c r="AQ137" s="89" t="n"/>
      <c r="AR137" s="89" t="n"/>
      <c r="AS137" s="89" t="n">
        <v>0.235268</v>
      </c>
      <c r="AT137" s="89" t="n"/>
      <c r="AU137" s="89" t="n">
        <v>1.242017</v>
      </c>
      <c r="AV137" s="89" t="n"/>
      <c r="AW137" s="89" t="n"/>
      <c r="AX137" s="89" t="n"/>
      <c r="AY137" s="89" t="n"/>
    </row>
    <row r="138">
      <c r="A138" t="inlineStr">
        <is>
          <t>1930-05</t>
        </is>
      </c>
      <c r="B138" s="1" t="n">
        <v>11079</v>
      </c>
      <c r="C138" s="88" t="n">
        <v>138</v>
      </c>
      <c r="D138" s="1" t="n"/>
      <c r="E138" s="1">
        <f>B138</f>
        <v/>
      </c>
      <c r="F138" s="2">
        <f>B138</f>
        <v/>
      </c>
      <c r="G138" s="88" t="n">
        <v>136</v>
      </c>
      <c r="H138" s="89" t="n"/>
      <c r="I138" s="89" t="n"/>
      <c r="J138" s="89" t="n"/>
      <c r="K138" s="89" t="n"/>
      <c r="L138" s="89" t="n"/>
      <c r="M138" s="89" t="n"/>
      <c r="N138" s="89" t="n"/>
      <c r="O138" s="89" t="n"/>
      <c r="P138" s="89" t="n"/>
      <c r="Q138" s="89" t="n"/>
      <c r="R138" s="89" t="n"/>
      <c r="S138" s="89" t="n"/>
      <c r="T138" s="89" t="n"/>
      <c r="U138" s="89" t="n"/>
      <c r="V138" s="89" t="n"/>
      <c r="W138" s="89" t="n"/>
      <c r="X138" s="89" t="n"/>
      <c r="Y138" s="89" t="n"/>
      <c r="Z138" s="89" t="n"/>
      <c r="AA138" s="89" t="n"/>
      <c r="AB138" s="89" t="n"/>
      <c r="AC138" s="89" t="n"/>
      <c r="AD138" s="89" t="n"/>
      <c r="AE138" s="89" t="n"/>
      <c r="AF138" s="89" t="n"/>
      <c r="AG138" s="89" t="n"/>
      <c r="AH138" s="89" t="n"/>
      <c r="AI138" s="89" t="n"/>
      <c r="AJ138" s="89" t="n"/>
      <c r="AK138" s="89" t="n"/>
      <c r="AL138" s="89" t="n"/>
      <c r="AM138" s="89" t="n"/>
      <c r="AN138" s="89" t="n"/>
      <c r="AO138" s="89" t="n">
        <v>6.596587</v>
      </c>
      <c r="AP138" s="89" t="n"/>
      <c r="AQ138" s="89" t="n"/>
      <c r="AR138" s="89" t="n"/>
      <c r="AS138" s="89" t="n">
        <v>0.709407</v>
      </c>
      <c r="AT138" s="89" t="n"/>
      <c r="AU138" s="89" t="n">
        <v>2.183855</v>
      </c>
      <c r="AV138" s="89" t="n"/>
      <c r="AW138" s="89" t="n"/>
      <c r="AX138" s="89" t="n"/>
      <c r="AY138" s="89" t="n"/>
    </row>
    <row r="139">
      <c r="A139" t="inlineStr">
        <is>
          <t>1930-06</t>
        </is>
      </c>
      <c r="B139" s="1" t="n">
        <v>11110</v>
      </c>
      <c r="C139" s="88" t="n">
        <v>139</v>
      </c>
      <c r="D139" s="1" t="n"/>
      <c r="E139" s="1">
        <f>B139</f>
        <v/>
      </c>
      <c r="F139" s="2">
        <f>B139</f>
        <v/>
      </c>
      <c r="G139" s="88" t="n">
        <v>137</v>
      </c>
      <c r="H139" s="89" t="n"/>
      <c r="I139" s="89" t="n"/>
      <c r="J139" s="89" t="n"/>
      <c r="K139" s="89" t="n"/>
      <c r="L139" s="89" t="n"/>
      <c r="M139" s="89" t="n"/>
      <c r="N139" s="89" t="n"/>
      <c r="O139" s="89" t="n"/>
      <c r="P139" s="89" t="n"/>
      <c r="Q139" s="89" t="n"/>
      <c r="R139" s="89" t="n"/>
      <c r="S139" s="89" t="n"/>
      <c r="T139" s="89" t="n"/>
      <c r="U139" s="89" t="n"/>
      <c r="V139" s="89" t="n"/>
      <c r="W139" s="89" t="n"/>
      <c r="X139" s="89" t="n"/>
      <c r="Y139" s="89" t="n"/>
      <c r="Z139" s="89" t="n"/>
      <c r="AA139" s="89" t="n"/>
      <c r="AB139" s="89" t="n"/>
      <c r="AC139" s="89" t="n"/>
      <c r="AD139" s="89" t="n"/>
      <c r="AE139" s="89" t="n"/>
      <c r="AF139" s="89" t="n"/>
      <c r="AG139" s="89" t="n"/>
      <c r="AH139" s="89" t="n"/>
      <c r="AI139" s="89" t="n"/>
      <c r="AJ139" s="89" t="n"/>
      <c r="AK139" s="89" t="n"/>
      <c r="AL139" s="89" t="n"/>
      <c r="AM139" s="89" t="n"/>
      <c r="AN139" s="89" t="n"/>
      <c r="AO139" s="89" t="n">
        <v>6.41044</v>
      </c>
      <c r="AP139" s="89" t="n"/>
      <c r="AQ139" s="89" t="n"/>
      <c r="AR139" s="89" t="n"/>
      <c r="AS139" s="89" t="n">
        <v>0.282689</v>
      </c>
      <c r="AT139" s="89" t="n"/>
      <c r="AU139" s="89" t="n">
        <v>1.455404</v>
      </c>
      <c r="AV139" s="89" t="n"/>
      <c r="AW139" s="89" t="n"/>
      <c r="AX139" s="89" t="n"/>
      <c r="AY139" s="89" t="n"/>
    </row>
    <row r="140">
      <c r="A140" t="inlineStr">
        <is>
          <t>1930-07</t>
        </is>
      </c>
      <c r="B140" s="1" t="n">
        <v>11140</v>
      </c>
      <c r="C140" s="88" t="n">
        <v>140</v>
      </c>
      <c r="D140" s="1" t="n"/>
      <c r="E140" s="1">
        <f>B140</f>
        <v/>
      </c>
      <c r="F140" s="2">
        <f>B140</f>
        <v/>
      </c>
      <c r="G140" s="88" t="n">
        <v>138</v>
      </c>
      <c r="H140" s="89" t="n"/>
      <c r="I140" s="89" t="n"/>
      <c r="J140" s="89" t="n"/>
      <c r="K140" s="89" t="n"/>
      <c r="L140" s="89" t="n"/>
      <c r="M140" s="89" t="n"/>
      <c r="N140" s="89" t="n"/>
      <c r="O140" s="89" t="n"/>
      <c r="P140" s="89" t="n"/>
      <c r="Q140" s="89" t="n"/>
      <c r="R140" s="89" t="n"/>
      <c r="S140" s="89" t="n"/>
      <c r="T140" s="89" t="n"/>
      <c r="U140" s="89" t="n"/>
      <c r="V140" s="89" t="n"/>
      <c r="W140" s="89" t="n"/>
      <c r="X140" s="89" t="n"/>
      <c r="Y140" s="89" t="n"/>
      <c r="Z140" s="89" t="n"/>
      <c r="AA140" s="89" t="n"/>
      <c r="AB140" s="89" t="n"/>
      <c r="AC140" s="89" t="n"/>
      <c r="AD140" s="89" t="n"/>
      <c r="AE140" s="89" t="n"/>
      <c r="AF140" s="89" t="n"/>
      <c r="AG140" s="89" t="n"/>
      <c r="AH140" s="89" t="n"/>
      <c r="AI140" s="89" t="n"/>
      <c r="AJ140" s="89" t="n"/>
      <c r="AK140" s="89" t="n"/>
      <c r="AL140" s="89" t="n"/>
      <c r="AM140" s="89" t="n"/>
      <c r="AN140" s="89" t="n"/>
      <c r="AO140" s="89" t="n">
        <v>6.117774</v>
      </c>
      <c r="AP140" s="89" t="n"/>
      <c r="AQ140" s="89" t="n"/>
      <c r="AR140" s="89" t="n"/>
      <c r="AS140" s="89" t="n">
        <v>-0.204738</v>
      </c>
      <c r="AT140" s="89" t="n"/>
      <c r="AU140" s="89" t="n">
        <v>0.623885</v>
      </c>
      <c r="AV140" s="89" t="n"/>
      <c r="AW140" s="89" t="n"/>
      <c r="AX140" s="89" t="n"/>
      <c r="AY140" s="89" t="n"/>
    </row>
    <row r="141">
      <c r="A141" t="inlineStr">
        <is>
          <t>1930-08</t>
        </is>
      </c>
      <c r="B141" s="1" t="n">
        <v>11171</v>
      </c>
      <c r="C141" s="88" t="n">
        <v>141</v>
      </c>
      <c r="D141" s="1" t="n"/>
      <c r="E141" s="1">
        <f>B141</f>
        <v/>
      </c>
      <c r="F141" s="2">
        <f>B141</f>
        <v/>
      </c>
      <c r="G141" s="88" t="n">
        <v>139</v>
      </c>
      <c r="H141" s="89" t="n"/>
      <c r="I141" s="89" t="n"/>
      <c r="J141" s="89" t="n"/>
      <c r="K141" s="89" t="n"/>
      <c r="L141" s="89" t="n"/>
      <c r="M141" s="89" t="n"/>
      <c r="N141" s="89" t="n"/>
      <c r="O141" s="89" t="n"/>
      <c r="P141" s="89" t="n"/>
      <c r="Q141" s="89" t="n"/>
      <c r="R141" s="89" t="n"/>
      <c r="S141" s="89" t="n"/>
      <c r="T141" s="89" t="n"/>
      <c r="U141" s="89" t="n"/>
      <c r="V141" s="89" t="n"/>
      <c r="W141" s="89" t="n"/>
      <c r="X141" s="89" t="n"/>
      <c r="Y141" s="89" t="n"/>
      <c r="Z141" s="89" t="n"/>
      <c r="AA141" s="89" t="n"/>
      <c r="AB141" s="89" t="n"/>
      <c r="AC141" s="89" t="n"/>
      <c r="AD141" s="89" t="n"/>
      <c r="AE141" s="89" t="n"/>
      <c r="AF141" s="89" t="n"/>
      <c r="AG141" s="89" t="n"/>
      <c r="AH141" s="89" t="n"/>
      <c r="AI141" s="89" t="n"/>
      <c r="AJ141" s="89" t="n"/>
      <c r="AK141" s="89" t="n"/>
      <c r="AL141" s="89" t="n"/>
      <c r="AM141" s="89" t="n"/>
      <c r="AN141" s="89" t="n"/>
      <c r="AO141" s="89" t="n">
        <v>5.984839</v>
      </c>
      <c r="AP141" s="89" t="n"/>
      <c r="AQ141" s="89" t="n"/>
      <c r="AR141" s="89" t="n"/>
      <c r="AS141" s="89" t="n">
        <v>-0.304714</v>
      </c>
      <c r="AT141" s="89" t="n"/>
      <c r="AU141" s="89" t="n">
        <v>-0.926379</v>
      </c>
      <c r="AV141" s="89" t="n"/>
      <c r="AW141" s="89" t="n"/>
      <c r="AX141" s="89" t="n"/>
      <c r="AY141" s="89" t="n"/>
    </row>
    <row r="142">
      <c r="A142" t="inlineStr">
        <is>
          <t>1930-09</t>
        </is>
      </c>
      <c r="B142" s="1" t="n">
        <v>11202</v>
      </c>
      <c r="C142" s="88" t="n">
        <v>142</v>
      </c>
      <c r="D142" s="1" t="n"/>
      <c r="E142" s="1">
        <f>B142</f>
        <v/>
      </c>
      <c r="F142" s="2">
        <f>B142</f>
        <v/>
      </c>
      <c r="G142" s="88" t="n">
        <v>140</v>
      </c>
      <c r="H142" s="89" t="n"/>
      <c r="I142" s="89" t="n"/>
      <c r="J142" s="89" t="n"/>
      <c r="K142" s="89" t="n"/>
      <c r="L142" s="89" t="n"/>
      <c r="M142" s="89" t="n"/>
      <c r="N142" s="89" t="n"/>
      <c r="O142" s="89" t="n"/>
      <c r="P142" s="89" t="n"/>
      <c r="Q142" s="89" t="n"/>
      <c r="R142" s="89" t="n"/>
      <c r="S142" s="89" t="n"/>
      <c r="T142" s="89" t="n"/>
      <c r="U142" s="89" t="n"/>
      <c r="V142" s="89" t="n"/>
      <c r="W142" s="89" t="n"/>
      <c r="X142" s="89" t="n"/>
      <c r="Y142" s="89" t="n"/>
      <c r="Z142" s="89" t="n"/>
      <c r="AA142" s="89" t="n"/>
      <c r="AB142" s="89" t="n"/>
      <c r="AC142" s="89" t="n"/>
      <c r="AD142" s="89" t="n"/>
      <c r="AE142" s="89" t="n"/>
      <c r="AF142" s="89" t="n"/>
      <c r="AG142" s="89" t="n"/>
      <c r="AH142" s="89" t="n"/>
      <c r="AI142" s="89" t="n"/>
      <c r="AJ142" s="89" t="n"/>
      <c r="AK142" s="89" t="n"/>
      <c r="AL142" s="89" t="n"/>
      <c r="AM142" s="89" t="n"/>
      <c r="AN142" s="89" t="n"/>
      <c r="AO142" s="89" t="n">
        <v>5.878414</v>
      </c>
      <c r="AP142" s="89" t="n"/>
      <c r="AQ142" s="89" t="n"/>
      <c r="AR142" s="89" t="n"/>
      <c r="AS142" s="89" t="n">
        <v>-1.174907</v>
      </c>
      <c r="AT142" s="89" t="n"/>
      <c r="AU142" s="89" t="n">
        <v>-0.834417</v>
      </c>
      <c r="AV142" s="89" t="n"/>
      <c r="AW142" s="89" t="n"/>
      <c r="AX142" s="89" t="n"/>
      <c r="AY142" s="89" t="n"/>
    </row>
    <row r="143">
      <c r="A143" t="inlineStr">
        <is>
          <t>1930-10</t>
        </is>
      </c>
      <c r="B143" s="1" t="n">
        <v>11232</v>
      </c>
      <c r="C143" s="88" t="n">
        <v>143</v>
      </c>
      <c r="D143" s="1" t="n"/>
      <c r="E143" s="1">
        <f>B143</f>
        <v/>
      </c>
      <c r="F143" s="2">
        <f>B143</f>
        <v/>
      </c>
      <c r="G143" s="88" t="n">
        <v>141</v>
      </c>
      <c r="H143" s="89" t="n"/>
      <c r="I143" s="89" t="n"/>
      <c r="J143" s="89" t="n"/>
      <c r="K143" s="89" t="n"/>
      <c r="L143" s="89" t="n"/>
      <c r="M143" s="89" t="n"/>
      <c r="N143" s="89" t="n"/>
      <c r="O143" s="89" t="n"/>
      <c r="P143" s="89" t="n"/>
      <c r="Q143" s="89" t="n"/>
      <c r="R143" s="89" t="n"/>
      <c r="S143" s="89" t="n"/>
      <c r="T143" s="89" t="n"/>
      <c r="U143" s="89" t="n"/>
      <c r="V143" s="89" t="n"/>
      <c r="W143" s="89" t="n"/>
      <c r="X143" s="89" t="n"/>
      <c r="Y143" s="89" t="n"/>
      <c r="Z143" s="89" t="n"/>
      <c r="AA143" s="89" t="n"/>
      <c r="AB143" s="89" t="n"/>
      <c r="AC143" s="89" t="n"/>
      <c r="AD143" s="89" t="n"/>
      <c r="AE143" s="89" t="n"/>
      <c r="AF143" s="89" t="n"/>
      <c r="AG143" s="89" t="n"/>
      <c r="AH143" s="89" t="n"/>
      <c r="AI143" s="89" t="n"/>
      <c r="AJ143" s="89" t="n"/>
      <c r="AK143" s="89" t="n"/>
      <c r="AL143" s="89" t="n"/>
      <c r="AM143" s="89" t="n"/>
      <c r="AN143" s="89" t="n"/>
      <c r="AO143" s="89" t="n">
        <v>5.718778</v>
      </c>
      <c r="AP143" s="89" t="n"/>
      <c r="AQ143" s="89" t="n"/>
      <c r="AR143" s="89" t="n"/>
      <c r="AS143" s="89" t="n">
        <v>-0.500121</v>
      </c>
      <c r="AT143" s="89" t="n"/>
      <c r="AU143" s="89" t="n">
        <v>-0.025571</v>
      </c>
      <c r="AV143" s="89" t="n"/>
      <c r="AW143" s="89" t="n"/>
      <c r="AX143" s="89" t="n"/>
      <c r="AY143" s="89" t="n"/>
    </row>
    <row r="144">
      <c r="A144" t="inlineStr">
        <is>
          <t>1930-11</t>
        </is>
      </c>
      <c r="B144" s="1" t="n">
        <v>11263</v>
      </c>
      <c r="C144" s="88" t="n">
        <v>144</v>
      </c>
      <c r="D144" s="1" t="n"/>
      <c r="E144" s="1">
        <f>B144</f>
        <v/>
      </c>
      <c r="F144" s="2">
        <f>B144</f>
        <v/>
      </c>
      <c r="G144" s="88" t="n">
        <v>142</v>
      </c>
      <c r="H144" s="89" t="n"/>
      <c r="I144" s="89" t="n"/>
      <c r="J144" s="89" t="n"/>
      <c r="K144" s="89" t="n"/>
      <c r="L144" s="89" t="n"/>
      <c r="M144" s="89" t="n"/>
      <c r="N144" s="89" t="n"/>
      <c r="O144" s="89" t="n"/>
      <c r="P144" s="89" t="n"/>
      <c r="Q144" s="89" t="n"/>
      <c r="R144" s="89" t="n"/>
      <c r="S144" s="89" t="n"/>
      <c r="T144" s="89" t="n"/>
      <c r="U144" s="89" t="n"/>
      <c r="V144" s="89" t="n"/>
      <c r="W144" s="89" t="n"/>
      <c r="X144" s="89" t="n"/>
      <c r="Y144" s="89" t="n"/>
      <c r="Z144" s="89" t="n"/>
      <c r="AA144" s="89" t="n"/>
      <c r="AB144" s="89" t="n"/>
      <c r="AC144" s="89" t="n"/>
      <c r="AD144" s="89" t="n"/>
      <c r="AE144" s="89" t="n"/>
      <c r="AF144" s="89" t="n"/>
      <c r="AG144" s="89" t="n"/>
      <c r="AH144" s="89" t="n"/>
      <c r="AI144" s="89" t="n"/>
      <c r="AJ144" s="89" t="n"/>
      <c r="AK144" s="89" t="n"/>
      <c r="AL144" s="89" t="n"/>
      <c r="AM144" s="89" t="n"/>
      <c r="AN144" s="89" t="n"/>
      <c r="AO144" s="89" t="n">
        <v>5.585843</v>
      </c>
      <c r="AP144" s="89" t="n"/>
      <c r="AQ144" s="89" t="n"/>
      <c r="AR144" s="89" t="n"/>
      <c r="AS144" s="89" t="n">
        <v>-0.136518</v>
      </c>
      <c r="AT144" s="89" t="n"/>
      <c r="AU144" s="89" t="n">
        <v>-2.11404</v>
      </c>
      <c r="AV144" s="89" t="n"/>
      <c r="AW144" s="89" t="n"/>
      <c r="AX144" s="89" t="n"/>
      <c r="AY144" s="89" t="n"/>
    </row>
    <row r="145">
      <c r="A145" t="inlineStr">
        <is>
          <t>1930-12</t>
        </is>
      </c>
      <c r="B145" s="1" t="n">
        <v>11293</v>
      </c>
      <c r="C145" s="88" t="n">
        <v>145</v>
      </c>
      <c r="D145" s="1" t="n"/>
      <c r="E145" s="1">
        <f>B145</f>
        <v/>
      </c>
      <c r="F145" s="2">
        <f>B145</f>
        <v/>
      </c>
      <c r="G145" s="88" t="n">
        <v>143</v>
      </c>
      <c r="H145" s="89" t="n"/>
      <c r="I145" s="89" t="n"/>
      <c r="J145" s="89" t="n"/>
      <c r="K145" s="89" t="n"/>
      <c r="L145" s="89" t="n"/>
      <c r="M145" s="89" t="n"/>
      <c r="N145" s="89" t="n"/>
      <c r="O145" s="89" t="n"/>
      <c r="P145" s="89" t="n"/>
      <c r="Q145" s="89" t="n"/>
      <c r="R145" s="89" t="n"/>
      <c r="S145" s="89" t="n"/>
      <c r="T145" s="89" t="n"/>
      <c r="U145" s="89" t="n"/>
      <c r="V145" s="89" t="n"/>
      <c r="W145" s="89" t="n"/>
      <c r="X145" s="89" t="n"/>
      <c r="Y145" s="89" t="n"/>
      <c r="Z145" s="89" t="n"/>
      <c r="AA145" s="89" t="n"/>
      <c r="AB145" s="89" t="n"/>
      <c r="AC145" s="89" t="n"/>
      <c r="AD145" s="89" t="n"/>
      <c r="AE145" s="89" t="n"/>
      <c r="AF145" s="89" t="n"/>
      <c r="AG145" s="89" t="n"/>
      <c r="AH145" s="89" t="n"/>
      <c r="AI145" s="89" t="n"/>
      <c r="AJ145" s="89" t="n"/>
      <c r="AK145" s="89" t="n"/>
      <c r="AL145" s="89" t="n"/>
      <c r="AM145" s="89" t="n"/>
      <c r="AN145" s="89" t="n"/>
      <c r="AO145" s="89" t="n">
        <v>5.452813</v>
      </c>
      <c r="AP145" s="89" t="n"/>
      <c r="AQ145" s="89" t="n"/>
      <c r="AR145" s="89" t="n"/>
      <c r="AS145" s="89" t="n">
        <v>0.174809</v>
      </c>
      <c r="AT145" s="89" t="n"/>
      <c r="AU145" s="89" t="n">
        <v>-1.543481</v>
      </c>
      <c r="AV145" s="89" t="n"/>
      <c r="AW145" s="89" t="n"/>
      <c r="AX145" s="89" t="n"/>
      <c r="AY145" s="89" t="n"/>
    </row>
    <row r="146">
      <c r="A146" t="inlineStr">
        <is>
          <t>1931-01</t>
        </is>
      </c>
      <c r="B146" s="1" t="n">
        <v>11324</v>
      </c>
      <c r="C146" s="88" t="n">
        <v>146</v>
      </c>
      <c r="D146" s="1" t="n"/>
      <c r="E146" s="1">
        <f>B146</f>
        <v/>
      </c>
      <c r="F146" s="2">
        <f>B146</f>
        <v/>
      </c>
      <c r="G146" s="88" t="n">
        <v>144</v>
      </c>
      <c r="H146" s="89" t="n"/>
      <c r="I146" s="89" t="n"/>
      <c r="J146" s="89" t="n"/>
      <c r="K146" s="89" t="n"/>
      <c r="L146" s="89" t="n"/>
      <c r="M146" s="89" t="n"/>
      <c r="N146" s="89" t="n"/>
      <c r="O146" s="89" t="n"/>
      <c r="P146" s="89" t="n"/>
      <c r="Q146" s="89" t="n"/>
      <c r="R146" s="89" t="n"/>
      <c r="S146" s="89" t="n"/>
      <c r="T146" s="89" t="n"/>
      <c r="U146" s="89" t="n"/>
      <c r="V146" s="89" t="n"/>
      <c r="W146" s="89" t="n"/>
      <c r="X146" s="89" t="n"/>
      <c r="Y146" s="89" t="n"/>
      <c r="Z146" s="89" t="n"/>
      <c r="AA146" s="89" t="n"/>
      <c r="AB146" s="89" t="n"/>
      <c r="AC146" s="89" t="n"/>
      <c r="AD146" s="89" t="n"/>
      <c r="AE146" s="89" t="n"/>
      <c r="AF146" s="89" t="n"/>
      <c r="AG146" s="89" t="n"/>
      <c r="AH146" s="89" t="n"/>
      <c r="AI146" s="89" t="n"/>
      <c r="AJ146" s="89" t="n"/>
      <c r="AK146" s="89" t="n"/>
      <c r="AL146" s="89" t="n"/>
      <c r="AM146" s="89" t="n"/>
      <c r="AN146" s="89" t="n"/>
      <c r="AO146" s="89" t="n">
        <v>5.426207</v>
      </c>
      <c r="AP146" s="89" t="n"/>
      <c r="AQ146" s="89" t="n"/>
      <c r="AR146" s="89" t="n"/>
      <c r="AS146" s="89" t="n">
        <v>0.915728</v>
      </c>
      <c r="AT146" s="89" t="n"/>
      <c r="AU146" s="89" t="n">
        <v>0.415254</v>
      </c>
      <c r="AV146" s="89" t="n"/>
      <c r="AW146" s="89" t="n"/>
      <c r="AX146" s="89" t="n"/>
      <c r="AY146" s="89" t="n"/>
    </row>
    <row r="147">
      <c r="A147" t="inlineStr">
        <is>
          <t>1931-02</t>
        </is>
      </c>
      <c r="B147" s="1" t="n">
        <v>11355</v>
      </c>
      <c r="C147" s="88" t="n">
        <v>147</v>
      </c>
      <c r="D147" s="1" t="n"/>
      <c r="E147" s="1">
        <f>B147</f>
        <v/>
      </c>
      <c r="F147" s="2">
        <f>B147</f>
        <v/>
      </c>
      <c r="G147" s="88" t="n">
        <v>145</v>
      </c>
      <c r="H147" s="89" t="n"/>
      <c r="I147" s="89" t="n"/>
      <c r="J147" s="89" t="n"/>
      <c r="K147" s="89" t="n"/>
      <c r="L147" s="89" t="n"/>
      <c r="M147" s="89" t="n"/>
      <c r="N147" s="89" t="n"/>
      <c r="O147" s="89" t="n"/>
      <c r="P147" s="89" t="n"/>
      <c r="Q147" s="89" t="n"/>
      <c r="R147" s="89" t="n"/>
      <c r="S147" s="89" t="n"/>
      <c r="T147" s="89" t="n"/>
      <c r="U147" s="89" t="n"/>
      <c r="V147" s="89" t="n"/>
      <c r="W147" s="89" t="n"/>
      <c r="X147" s="89" t="n"/>
      <c r="Y147" s="89" t="n"/>
      <c r="Z147" s="89" t="n"/>
      <c r="AA147" s="89" t="n"/>
      <c r="AB147" s="89" t="n"/>
      <c r="AC147" s="89" t="n"/>
      <c r="AD147" s="89" t="n"/>
      <c r="AE147" s="89" t="n"/>
      <c r="AF147" s="89" t="n"/>
      <c r="AG147" s="89" t="n"/>
      <c r="AH147" s="89" t="n"/>
      <c r="AI147" s="89" t="n"/>
      <c r="AJ147" s="89" t="n"/>
      <c r="AK147" s="89" t="n"/>
      <c r="AL147" s="89" t="n"/>
      <c r="AM147" s="89" t="n"/>
      <c r="AN147" s="89" t="n"/>
      <c r="AO147" s="89" t="n">
        <v>5.452813</v>
      </c>
      <c r="AP147" s="89" t="n"/>
      <c r="AQ147" s="89" t="n"/>
      <c r="AR147" s="89" t="n"/>
      <c r="AS147" s="89" t="n">
        <v>0.42976</v>
      </c>
      <c r="AT147" s="89" t="n"/>
      <c r="AU147" s="89" t="n">
        <v>1.152779</v>
      </c>
      <c r="AV147" s="89" t="n"/>
      <c r="AW147" s="89" t="n"/>
      <c r="AX147" s="89" t="n"/>
      <c r="AY147" s="89" t="n"/>
    </row>
    <row r="148">
      <c r="A148" t="inlineStr">
        <is>
          <t>1931-03</t>
        </is>
      </c>
      <c r="B148" s="1" t="n">
        <v>11383</v>
      </c>
      <c r="C148" s="88" t="n">
        <v>148</v>
      </c>
      <c r="D148" s="1" t="n"/>
      <c r="E148" s="1">
        <f>B148</f>
        <v/>
      </c>
      <c r="F148" s="2">
        <f>B148</f>
        <v/>
      </c>
      <c r="G148" s="88" t="n">
        <v>146</v>
      </c>
      <c r="H148" s="89" t="n"/>
      <c r="I148" s="89" t="n"/>
      <c r="J148" s="89" t="n"/>
      <c r="K148" s="89" t="n"/>
      <c r="L148" s="89" t="n"/>
      <c r="M148" s="89" t="n"/>
      <c r="N148" s="89" t="n"/>
      <c r="O148" s="89" t="n"/>
      <c r="P148" s="89" t="n"/>
      <c r="Q148" s="89" t="n"/>
      <c r="R148" s="89" t="n"/>
      <c r="S148" s="89" t="n"/>
      <c r="T148" s="89" t="n"/>
      <c r="U148" s="89" t="n"/>
      <c r="V148" s="89" t="n"/>
      <c r="W148" s="89" t="n"/>
      <c r="X148" s="89" t="n"/>
      <c r="Y148" s="89" t="n"/>
      <c r="Z148" s="89" t="n"/>
      <c r="AA148" s="89" t="n"/>
      <c r="AB148" s="89" t="n"/>
      <c r="AC148" s="89" t="n"/>
      <c r="AD148" s="89" t="n"/>
      <c r="AE148" s="89" t="n"/>
      <c r="AF148" s="89" t="n"/>
      <c r="AG148" s="89" t="n"/>
      <c r="AH148" s="89" t="n"/>
      <c r="AI148" s="89" t="n"/>
      <c r="AJ148" s="89" t="n"/>
      <c r="AK148" s="89" t="n"/>
      <c r="AL148" s="89" t="n"/>
      <c r="AM148" s="89" t="n"/>
      <c r="AN148" s="89" t="n"/>
      <c r="AO148" s="89" t="n">
        <v>5.559237</v>
      </c>
      <c r="AP148" s="89" t="n"/>
      <c r="AQ148" s="89" t="n"/>
      <c r="AR148" s="89" t="n"/>
      <c r="AS148" s="89" t="n">
        <v>0.709607</v>
      </c>
      <c r="AT148" s="89" t="n"/>
      <c r="AU148" s="89" t="n">
        <v>2.536372</v>
      </c>
      <c r="AV148" s="89" t="n"/>
      <c r="AW148" s="89" t="n"/>
      <c r="AX148" s="89" t="n"/>
      <c r="AY148" s="89" t="n"/>
    </row>
    <row r="149">
      <c r="A149" t="inlineStr">
        <is>
          <t>1931-04</t>
        </is>
      </c>
      <c r="B149" s="1" t="n">
        <v>11414</v>
      </c>
      <c r="C149" s="88" t="n">
        <v>149</v>
      </c>
      <c r="D149" s="1" t="n"/>
      <c r="E149" s="1">
        <f>B149</f>
        <v/>
      </c>
      <c r="F149" s="2">
        <f>B149</f>
        <v/>
      </c>
      <c r="G149" s="88" t="n">
        <v>147</v>
      </c>
      <c r="H149" s="89" t="n"/>
      <c r="I149" s="89" t="n"/>
      <c r="J149" s="89" t="n"/>
      <c r="K149" s="89" t="n"/>
      <c r="L149" s="89" t="n"/>
      <c r="M149" s="89" t="n"/>
      <c r="N149" s="89" t="n"/>
      <c r="O149" s="89" t="n"/>
      <c r="P149" s="89" t="n"/>
      <c r="Q149" s="89" t="n"/>
      <c r="R149" s="89" t="n"/>
      <c r="S149" s="89" t="n"/>
      <c r="T149" s="89" t="n"/>
      <c r="U149" s="89" t="n"/>
      <c r="V149" s="89" t="n"/>
      <c r="W149" s="89" t="n"/>
      <c r="X149" s="89" t="n"/>
      <c r="Y149" s="89" t="n"/>
      <c r="Z149" s="89" t="n"/>
      <c r="AA149" s="89" t="n"/>
      <c r="AB149" s="89" t="n"/>
      <c r="AC149" s="89" t="n"/>
      <c r="AD149" s="89" t="n"/>
      <c r="AE149" s="89" t="n"/>
      <c r="AF149" s="89" t="n"/>
      <c r="AG149" s="89" t="n"/>
      <c r="AH149" s="89" t="n"/>
      <c r="AI149" s="89" t="n"/>
      <c r="AJ149" s="89" t="n"/>
      <c r="AK149" s="89" t="n"/>
      <c r="AL149" s="89" t="n"/>
      <c r="AM149" s="89" t="n"/>
      <c r="AN149" s="89" t="n"/>
      <c r="AO149" s="89" t="n">
        <v>5.585843</v>
      </c>
      <c r="AP149" s="89" t="n"/>
      <c r="AQ149" s="89" t="n"/>
      <c r="AR149" s="89" t="n"/>
      <c r="AS149" s="89" t="n">
        <v>0.58752</v>
      </c>
      <c r="AT149" s="89" t="n"/>
      <c r="AU149" s="89" t="n">
        <v>1.696766</v>
      </c>
      <c r="AV149" s="89" t="n"/>
      <c r="AW149" s="89" t="n"/>
      <c r="AX149" s="89" t="n"/>
      <c r="AY149" s="89" t="n"/>
    </row>
    <row r="150">
      <c r="A150" t="inlineStr">
        <is>
          <t>1931-05</t>
        </is>
      </c>
      <c r="B150" s="1" t="n">
        <v>11444</v>
      </c>
      <c r="C150" s="88" t="n">
        <v>150</v>
      </c>
      <c r="D150" s="1" t="n"/>
      <c r="E150" s="1">
        <f>B150</f>
        <v/>
      </c>
      <c r="F150" s="2">
        <f>B150</f>
        <v/>
      </c>
      <c r="G150" s="88" t="n">
        <v>148</v>
      </c>
      <c r="H150" s="89" t="n"/>
      <c r="I150" s="89" t="n"/>
      <c r="J150" s="89" t="n"/>
      <c r="K150" s="89" t="n"/>
      <c r="L150" s="89" t="n"/>
      <c r="M150" s="89" t="n"/>
      <c r="N150" s="89" t="n"/>
      <c r="O150" s="89" t="n"/>
      <c r="P150" s="89" t="n"/>
      <c r="Q150" s="89" t="n"/>
      <c r="R150" s="89" t="n"/>
      <c r="S150" s="89" t="n"/>
      <c r="T150" s="89" t="n"/>
      <c r="U150" s="89" t="n"/>
      <c r="V150" s="89" t="n"/>
      <c r="W150" s="89" t="n"/>
      <c r="X150" s="89" t="n"/>
      <c r="Y150" s="89" t="n"/>
      <c r="Z150" s="89" t="n"/>
      <c r="AA150" s="89" t="n"/>
      <c r="AB150" s="89" t="n"/>
      <c r="AC150" s="89" t="n"/>
      <c r="AD150" s="89" t="n"/>
      <c r="AE150" s="89" t="n"/>
      <c r="AF150" s="89" t="n"/>
      <c r="AG150" s="89" t="n"/>
      <c r="AH150" s="89" t="n"/>
      <c r="AI150" s="89" t="n"/>
      <c r="AJ150" s="89" t="n"/>
      <c r="AK150" s="89" t="n"/>
      <c r="AL150" s="89" t="n"/>
      <c r="AM150" s="89" t="n"/>
      <c r="AN150" s="89" t="n"/>
      <c r="AO150" s="89" t="n">
        <v>5.506025</v>
      </c>
      <c r="AP150" s="89" t="n"/>
      <c r="AQ150" s="89" t="n"/>
      <c r="AR150" s="89" t="n"/>
      <c r="AS150" s="89" t="n">
        <v>0.644184</v>
      </c>
      <c r="AT150" s="89" t="n"/>
      <c r="AU150" s="89" t="n">
        <v>2.077492</v>
      </c>
      <c r="AV150" s="89" t="n"/>
      <c r="AW150" s="89" t="n"/>
      <c r="AX150" s="89" t="n"/>
      <c r="AY150" s="89" t="n"/>
    </row>
    <row r="151">
      <c r="A151" t="inlineStr">
        <is>
          <t>1931-06</t>
        </is>
      </c>
      <c r="B151" s="1" t="n">
        <v>11475</v>
      </c>
      <c r="C151" s="88" t="n">
        <v>151</v>
      </c>
      <c r="D151" s="1" t="n"/>
      <c r="E151" s="1">
        <f>B151</f>
        <v/>
      </c>
      <c r="F151" s="2">
        <f>B151</f>
        <v/>
      </c>
      <c r="G151" s="88" t="n">
        <v>149</v>
      </c>
      <c r="H151" s="89" t="n"/>
      <c r="I151" s="89" t="n"/>
      <c r="J151" s="89" t="n"/>
      <c r="K151" s="89" t="n"/>
      <c r="L151" s="89" t="n"/>
      <c r="M151" s="89" t="n"/>
      <c r="N151" s="89" t="n"/>
      <c r="O151" s="89" t="n"/>
      <c r="P151" s="89" t="n"/>
      <c r="Q151" s="89" t="n"/>
      <c r="R151" s="89" t="n"/>
      <c r="S151" s="89" t="n"/>
      <c r="T151" s="89" t="n"/>
      <c r="U151" s="89" t="n"/>
      <c r="V151" s="89" t="n"/>
      <c r="W151" s="89" t="n"/>
      <c r="X151" s="89" t="n"/>
      <c r="Y151" s="89" t="n"/>
      <c r="Z151" s="89" t="n"/>
      <c r="AA151" s="89" t="n"/>
      <c r="AB151" s="89" t="n"/>
      <c r="AC151" s="89" t="n"/>
      <c r="AD151" s="89" t="n"/>
      <c r="AE151" s="89" t="n"/>
      <c r="AF151" s="89" t="n"/>
      <c r="AG151" s="89" t="n"/>
      <c r="AH151" s="89" t="n"/>
      <c r="AI151" s="89" t="n"/>
      <c r="AJ151" s="89" t="n"/>
      <c r="AK151" s="89" t="n"/>
      <c r="AL151" s="89" t="n"/>
      <c r="AM151" s="89" t="n"/>
      <c r="AN151" s="89" t="n"/>
      <c r="AO151" s="89" t="n">
        <v>5.372994</v>
      </c>
      <c r="AP151" s="89" t="n"/>
      <c r="AQ151" s="89" t="n"/>
      <c r="AR151" s="89" t="n"/>
      <c r="AS151" s="89" t="n">
        <v>1.506108</v>
      </c>
      <c r="AT151" s="89" t="n"/>
      <c r="AU151" s="89" t="n">
        <v>-1.65747</v>
      </c>
      <c r="AV151" s="89" t="n"/>
      <c r="AW151" s="89" t="n"/>
      <c r="AX151" s="89" t="n"/>
      <c r="AY151" s="89" t="n"/>
    </row>
    <row r="152">
      <c r="A152" t="inlineStr">
        <is>
          <t>1931-07</t>
        </is>
      </c>
      <c r="B152" s="1" t="n">
        <v>11505</v>
      </c>
      <c r="C152" s="88" t="n">
        <v>152</v>
      </c>
      <c r="D152" s="1" t="n"/>
      <c r="E152" s="1">
        <f>B152</f>
        <v/>
      </c>
      <c r="F152" s="2">
        <f>B152</f>
        <v/>
      </c>
      <c r="G152" s="88" t="n">
        <v>150</v>
      </c>
      <c r="H152" s="89" t="n"/>
      <c r="I152" s="89" t="n"/>
      <c r="J152" s="89" t="n"/>
      <c r="K152" s="89" t="n"/>
      <c r="L152" s="89" t="n"/>
      <c r="M152" s="89" t="n"/>
      <c r="N152" s="89" t="n"/>
      <c r="O152" s="89" t="n"/>
      <c r="P152" s="89" t="n"/>
      <c r="Q152" s="89" t="n"/>
      <c r="R152" s="89" t="n"/>
      <c r="S152" s="89" t="n"/>
      <c r="T152" s="89" t="n"/>
      <c r="U152" s="89" t="n"/>
      <c r="V152" s="89" t="n"/>
      <c r="W152" s="89" t="n"/>
      <c r="X152" s="89" t="n"/>
      <c r="Y152" s="89" t="n"/>
      <c r="Z152" s="89" t="n"/>
      <c r="AA152" s="89" t="n"/>
      <c r="AB152" s="89" t="n"/>
      <c r="AC152" s="89" t="n"/>
      <c r="AD152" s="89" t="n"/>
      <c r="AE152" s="89" t="n"/>
      <c r="AF152" s="89" t="n"/>
      <c r="AG152" s="89" t="n"/>
      <c r="AH152" s="89" t="n"/>
      <c r="AI152" s="89" t="n"/>
      <c r="AJ152" s="89" t="n"/>
      <c r="AK152" s="89" t="n"/>
      <c r="AL152" s="89" t="n"/>
      <c r="AM152" s="89" t="n"/>
      <c r="AN152" s="89" t="n"/>
      <c r="AO152" s="89" t="n">
        <v>5.293272</v>
      </c>
      <c r="AP152" s="89" t="n"/>
      <c r="AQ152" s="89" t="n"/>
      <c r="AR152" s="89" t="n"/>
      <c r="AS152" s="89" t="n">
        <v>1.042697</v>
      </c>
      <c r="AT152" s="89" t="n"/>
      <c r="AU152" s="89" t="n">
        <v>0.154613</v>
      </c>
      <c r="AV152" s="89" t="n"/>
      <c r="AW152" s="89" t="n"/>
      <c r="AX152" s="89" t="n"/>
      <c r="AY152" s="89" t="n"/>
    </row>
    <row r="153">
      <c r="A153" t="inlineStr">
        <is>
          <t>1931-08</t>
        </is>
      </c>
      <c r="B153" s="1" t="n">
        <v>11536</v>
      </c>
      <c r="C153" s="88" t="n">
        <v>153</v>
      </c>
      <c r="D153" s="1" t="n"/>
      <c r="E153" s="1">
        <f>B153</f>
        <v/>
      </c>
      <c r="F153" s="2">
        <f>B153</f>
        <v/>
      </c>
      <c r="G153" s="88" t="n">
        <v>151</v>
      </c>
      <c r="H153" s="89" t="n"/>
      <c r="I153" s="89" t="n"/>
      <c r="J153" s="89" t="n"/>
      <c r="K153" s="89" t="n"/>
      <c r="L153" s="89" t="n"/>
      <c r="M153" s="89" t="n"/>
      <c r="N153" s="89" t="n"/>
      <c r="O153" s="89" t="n"/>
      <c r="P153" s="89" t="n"/>
      <c r="Q153" s="89" t="n"/>
      <c r="R153" s="89" t="n"/>
      <c r="S153" s="89" t="n"/>
      <c r="T153" s="89" t="n"/>
      <c r="U153" s="89" t="n"/>
      <c r="V153" s="89" t="n"/>
      <c r="W153" s="89" t="n"/>
      <c r="X153" s="89" t="n"/>
      <c r="Y153" s="89" t="n"/>
      <c r="Z153" s="89" t="n"/>
      <c r="AA153" s="89" t="n"/>
      <c r="AB153" s="89" t="n"/>
      <c r="AC153" s="89" t="n"/>
      <c r="AD153" s="89" t="n"/>
      <c r="AE153" s="89" t="n"/>
      <c r="AF153" s="89" t="n"/>
      <c r="AG153" s="89" t="n"/>
      <c r="AH153" s="89" t="n"/>
      <c r="AI153" s="89" t="n"/>
      <c r="AJ153" s="89" t="n"/>
      <c r="AK153" s="89" t="n"/>
      <c r="AL153" s="89" t="n"/>
      <c r="AM153" s="89" t="n"/>
      <c r="AN153" s="89" t="n"/>
      <c r="AO153" s="89" t="n">
        <v>5.107029</v>
      </c>
      <c r="AP153" s="89" t="n"/>
      <c r="AQ153" s="89" t="n"/>
      <c r="AR153" s="89" t="n"/>
      <c r="AS153" s="89" t="n">
        <v>0.7479980000000001</v>
      </c>
      <c r="AT153" s="89" t="n"/>
      <c r="AU153" s="89" t="n">
        <v>-0.595776</v>
      </c>
      <c r="AV153" s="89" t="n"/>
      <c r="AW153" s="89" t="n"/>
      <c r="AX153" s="89" t="n"/>
      <c r="AY153" s="89" t="n"/>
    </row>
    <row r="154">
      <c r="A154" t="inlineStr">
        <is>
          <t>1931-09</t>
        </is>
      </c>
      <c r="B154" s="1" t="n">
        <v>11567</v>
      </c>
      <c r="C154" s="88" t="n">
        <v>154</v>
      </c>
      <c r="D154" s="1" t="n"/>
      <c r="E154" s="1">
        <f>B154</f>
        <v/>
      </c>
      <c r="F154" s="2">
        <f>B154</f>
        <v/>
      </c>
      <c r="G154" s="88" t="n">
        <v>152</v>
      </c>
      <c r="H154" s="89" t="n"/>
      <c r="I154" s="89" t="n"/>
      <c r="J154" s="89" t="n"/>
      <c r="K154" s="89" t="n"/>
      <c r="L154" s="89" t="n"/>
      <c r="M154" s="89" t="n"/>
      <c r="N154" s="89" t="n"/>
      <c r="O154" s="89" t="n"/>
      <c r="P154" s="89" t="n"/>
      <c r="Q154" s="89" t="n"/>
      <c r="R154" s="89" t="n"/>
      <c r="S154" s="89" t="n"/>
      <c r="T154" s="89" t="n"/>
      <c r="U154" s="89" t="n"/>
      <c r="V154" s="89" t="n"/>
      <c r="W154" s="89" t="n"/>
      <c r="X154" s="89" t="n"/>
      <c r="Y154" s="89" t="n"/>
      <c r="Z154" s="89" t="n"/>
      <c r="AA154" s="89" t="n"/>
      <c r="AB154" s="89" t="n"/>
      <c r="AC154" s="89" t="n"/>
      <c r="AD154" s="89" t="n"/>
      <c r="AE154" s="89" t="n"/>
      <c r="AF154" s="89" t="n"/>
      <c r="AG154" s="89" t="n"/>
      <c r="AH154" s="89" t="n"/>
      <c r="AI154" s="89" t="n"/>
      <c r="AJ154" s="89" t="n"/>
      <c r="AK154" s="89" t="n"/>
      <c r="AL154" s="89" t="n"/>
      <c r="AM154" s="89" t="n"/>
      <c r="AN154" s="89" t="n"/>
      <c r="AO154" s="89" t="n">
        <v>4.86767</v>
      </c>
      <c r="AP154" s="89" t="n"/>
      <c r="AQ154" s="89" t="n"/>
      <c r="AR154" s="89" t="n"/>
      <c r="AS154" s="89" t="n">
        <v>0.9118230000000001</v>
      </c>
      <c r="AT154" s="89" t="n"/>
      <c r="AU154" s="89" t="n">
        <v>-0.727142</v>
      </c>
      <c r="AV154" s="89" t="n"/>
      <c r="AW154" s="89" t="n"/>
      <c r="AX154" s="89" t="n"/>
      <c r="AY154" s="89" t="n"/>
    </row>
    <row r="155">
      <c r="A155" t="inlineStr">
        <is>
          <t>1931-10</t>
        </is>
      </c>
      <c r="B155" s="1" t="n">
        <v>11597</v>
      </c>
      <c r="C155" s="88" t="n">
        <v>155</v>
      </c>
      <c r="D155" s="1" t="n"/>
      <c r="E155" s="1">
        <f>B155</f>
        <v/>
      </c>
      <c r="F155" s="2">
        <f>B155</f>
        <v/>
      </c>
      <c r="G155" s="88" t="n">
        <v>153</v>
      </c>
      <c r="H155" s="89" t="n"/>
      <c r="I155" s="89" t="n"/>
      <c r="J155" s="89" t="n"/>
      <c r="K155" s="89" t="n"/>
      <c r="L155" s="89" t="n"/>
      <c r="M155" s="89" t="n"/>
      <c r="N155" s="89" t="n"/>
      <c r="O155" s="89" t="n"/>
      <c r="P155" s="89" t="n"/>
      <c r="Q155" s="89" t="n"/>
      <c r="R155" s="89" t="n"/>
      <c r="S155" s="89" t="n"/>
      <c r="T155" s="89" t="n"/>
      <c r="U155" s="89" t="n"/>
      <c r="V155" s="89" t="n"/>
      <c r="W155" s="89" t="n"/>
      <c r="X155" s="89" t="n"/>
      <c r="Y155" s="89" t="n"/>
      <c r="Z155" s="89" t="n"/>
      <c r="AA155" s="89" t="n"/>
      <c r="AB155" s="89" t="n"/>
      <c r="AC155" s="89" t="n"/>
      <c r="AD155" s="89" t="n"/>
      <c r="AE155" s="89" t="n"/>
      <c r="AF155" s="89" t="n"/>
      <c r="AG155" s="89" t="n"/>
      <c r="AH155" s="89" t="n"/>
      <c r="AI155" s="89" t="n"/>
      <c r="AJ155" s="89" t="n"/>
      <c r="AK155" s="89" t="n"/>
      <c r="AL155" s="89" t="n"/>
      <c r="AM155" s="89" t="n"/>
      <c r="AN155" s="89" t="n"/>
      <c r="AO155" s="89" t="n">
        <v>4.681427</v>
      </c>
      <c r="AP155" s="89" t="n"/>
      <c r="AQ155" s="89" t="n"/>
      <c r="AR155" s="89" t="n"/>
      <c r="AS155" s="89" t="n">
        <v>0.475206</v>
      </c>
      <c r="AT155" s="89" t="n"/>
      <c r="AU155" s="89" t="n">
        <v>-0.263979</v>
      </c>
      <c r="AV155" s="89" t="n"/>
      <c r="AW155" s="89" t="n"/>
      <c r="AX155" s="89" t="n"/>
      <c r="AY155" s="89" t="n"/>
    </row>
    <row r="156">
      <c r="A156" t="inlineStr">
        <is>
          <t>1931-11</t>
        </is>
      </c>
      <c r="B156" s="1" t="n">
        <v>11628</v>
      </c>
      <c r="C156" s="88" t="n">
        <v>156</v>
      </c>
      <c r="D156" s="1" t="n"/>
      <c r="E156" s="1">
        <f>B156</f>
        <v/>
      </c>
      <c r="F156" s="2">
        <f>B156</f>
        <v/>
      </c>
      <c r="G156" s="88" t="n">
        <v>154</v>
      </c>
      <c r="H156" s="89" t="n"/>
      <c r="I156" s="89" t="n"/>
      <c r="J156" s="89" t="n"/>
      <c r="K156" s="89" t="n"/>
      <c r="L156" s="89" t="n"/>
      <c r="M156" s="89" t="n"/>
      <c r="N156" s="89" t="n"/>
      <c r="O156" s="89" t="n"/>
      <c r="P156" s="89" t="n"/>
      <c r="Q156" s="89" t="n"/>
      <c r="R156" s="89" t="n"/>
      <c r="S156" s="89" t="n"/>
      <c r="T156" s="89" t="n"/>
      <c r="U156" s="89" t="n"/>
      <c r="V156" s="89" t="n"/>
      <c r="W156" s="89" t="n"/>
      <c r="X156" s="89" t="n"/>
      <c r="Y156" s="89" t="n"/>
      <c r="Z156" s="89" t="n"/>
      <c r="AA156" s="89" t="n"/>
      <c r="AB156" s="89" t="n"/>
      <c r="AC156" s="89" t="n"/>
      <c r="AD156" s="89" t="n"/>
      <c r="AE156" s="89" t="n"/>
      <c r="AF156" s="89" t="n"/>
      <c r="AG156" s="89" t="n"/>
      <c r="AH156" s="89" t="n"/>
      <c r="AI156" s="89" t="n"/>
      <c r="AJ156" s="89" t="n"/>
      <c r="AK156" s="89" t="n"/>
      <c r="AL156" s="89" t="n"/>
      <c r="AM156" s="89" t="n"/>
      <c r="AN156" s="89" t="n"/>
      <c r="AO156" s="89" t="n">
        <v>4.628215</v>
      </c>
      <c r="AP156" s="89" t="n"/>
      <c r="AQ156" s="89" t="n"/>
      <c r="AR156" s="89" t="n"/>
      <c r="AS156" s="89" t="n">
        <v>0.965029</v>
      </c>
      <c r="AT156" s="89" t="n"/>
      <c r="AU156" s="89" t="n">
        <v>1.06934</v>
      </c>
      <c r="AV156" s="89" t="n"/>
      <c r="AW156" s="89" t="n"/>
      <c r="AX156" s="89" t="n"/>
      <c r="AY156" s="89" t="n"/>
    </row>
    <row r="157">
      <c r="A157" t="inlineStr">
        <is>
          <t>1931-12</t>
        </is>
      </c>
      <c r="B157" s="1" t="n">
        <v>11658</v>
      </c>
      <c r="C157" s="88" t="n">
        <v>157</v>
      </c>
      <c r="D157" s="1" t="n"/>
      <c r="E157" s="1">
        <f>B157</f>
        <v/>
      </c>
      <c r="F157" s="2">
        <f>B157</f>
        <v/>
      </c>
      <c r="G157" s="88" t="n">
        <v>155</v>
      </c>
      <c r="H157" s="89" t="n"/>
      <c r="I157" s="89" t="n"/>
      <c r="J157" s="89" t="n"/>
      <c r="K157" s="89" t="n"/>
      <c r="L157" s="89" t="n"/>
      <c r="M157" s="89" t="n"/>
      <c r="N157" s="89" t="n"/>
      <c r="O157" s="89" t="n"/>
      <c r="P157" s="89" t="n"/>
      <c r="Q157" s="89" t="n"/>
      <c r="R157" s="89" t="n"/>
      <c r="S157" s="89" t="n"/>
      <c r="T157" s="89" t="n"/>
      <c r="U157" s="89" t="n"/>
      <c r="V157" s="89" t="n"/>
      <c r="W157" s="89" t="n"/>
      <c r="X157" s="89" t="n"/>
      <c r="Y157" s="89" t="n"/>
      <c r="Z157" s="89" t="n"/>
      <c r="AA157" s="89" t="n"/>
      <c r="AB157" s="89" t="n"/>
      <c r="AC157" s="89" t="n"/>
      <c r="AD157" s="89" t="n"/>
      <c r="AE157" s="89" t="n"/>
      <c r="AF157" s="89" t="n"/>
      <c r="AG157" s="89" t="n"/>
      <c r="AH157" s="89" t="n"/>
      <c r="AI157" s="89" t="n"/>
      <c r="AJ157" s="89" t="n"/>
      <c r="AK157" s="89" t="n"/>
      <c r="AL157" s="89" t="n"/>
      <c r="AM157" s="89" t="n"/>
      <c r="AN157" s="89" t="n"/>
      <c r="AO157" s="89" t="n">
        <v>4.601609</v>
      </c>
      <c r="AP157" s="89" t="n"/>
      <c r="AQ157" s="89" t="n"/>
      <c r="AR157" s="89" t="n"/>
      <c r="AS157" s="89" t="n">
        <v>0.017379</v>
      </c>
      <c r="AT157" s="89" t="n"/>
      <c r="AU157" s="89" t="n">
        <v>-1.191396</v>
      </c>
      <c r="AV157" s="89" t="n"/>
      <c r="AW157" s="89" t="n"/>
      <c r="AX157" s="89" t="n"/>
      <c r="AY157" s="89" t="n"/>
    </row>
    <row r="158">
      <c r="A158" t="inlineStr">
        <is>
          <t>1932-01</t>
        </is>
      </c>
      <c r="B158" s="1" t="n">
        <v>11689</v>
      </c>
      <c r="C158" s="88" t="n">
        <v>158</v>
      </c>
      <c r="D158" s="1" t="n"/>
      <c r="E158" s="1">
        <f>B158</f>
        <v/>
      </c>
      <c r="F158" s="2">
        <f>B158</f>
        <v/>
      </c>
      <c r="G158" s="88" t="n">
        <v>156</v>
      </c>
      <c r="H158" s="89" t="n"/>
      <c r="I158" s="89" t="n"/>
      <c r="J158" s="89" t="n"/>
      <c r="K158" s="89" t="n"/>
      <c r="L158" s="89" t="n"/>
      <c r="M158" s="89" t="n"/>
      <c r="N158" s="89" t="n"/>
      <c r="O158" s="89" t="n"/>
      <c r="P158" s="89" t="n"/>
      <c r="Q158" s="89" t="n"/>
      <c r="R158" s="89" t="n"/>
      <c r="S158" s="89" t="n"/>
      <c r="T158" s="89" t="n"/>
      <c r="U158" s="89" t="n"/>
      <c r="V158" s="89" t="n"/>
      <c r="W158" s="89" t="n"/>
      <c r="X158" s="89" t="n"/>
      <c r="Y158" s="89" t="n"/>
      <c r="Z158" s="89" t="n"/>
      <c r="AA158" s="89" t="n"/>
      <c r="AB158" s="89" t="n"/>
      <c r="AC158" s="89" t="n"/>
      <c r="AD158" s="89" t="n"/>
      <c r="AE158" s="89" t="n"/>
      <c r="AF158" s="89" t="n"/>
      <c r="AG158" s="89" t="n"/>
      <c r="AH158" s="89" t="n"/>
      <c r="AI158" s="89" t="n"/>
      <c r="AJ158" s="89" t="n"/>
      <c r="AK158" s="89" t="n"/>
      <c r="AL158" s="89" t="n"/>
      <c r="AM158" s="89" t="n"/>
      <c r="AN158" s="89" t="n"/>
      <c r="AO158" s="89" t="n">
        <v>4.468675</v>
      </c>
      <c r="AP158" s="89" t="n"/>
      <c r="AQ158" s="89" t="n"/>
      <c r="AR158" s="89" t="n"/>
      <c r="AS158" s="89" t="n">
        <v>0.783517</v>
      </c>
      <c r="AT158" s="89" t="n"/>
      <c r="AU158" s="89" t="n">
        <v>0.69041</v>
      </c>
      <c r="AV158" s="89" t="n"/>
      <c r="AW158" s="89" t="n"/>
      <c r="AX158" s="89" t="n"/>
      <c r="AY158" s="89" t="n"/>
    </row>
    <row r="159">
      <c r="A159" t="inlineStr">
        <is>
          <t>1932-02</t>
        </is>
      </c>
      <c r="B159" s="1" t="n">
        <v>11720</v>
      </c>
      <c r="C159" s="88" t="n">
        <v>159</v>
      </c>
      <c r="D159" s="1" t="n"/>
      <c r="E159" s="1">
        <f>B159</f>
        <v/>
      </c>
      <c r="F159" s="2">
        <f>B159</f>
        <v/>
      </c>
      <c r="G159" s="88" t="n">
        <v>157</v>
      </c>
      <c r="H159" s="89" t="n"/>
      <c r="I159" s="89" t="n"/>
      <c r="J159" s="89" t="n"/>
      <c r="K159" s="89" t="n"/>
      <c r="L159" s="89" t="n"/>
      <c r="M159" s="89" t="n"/>
      <c r="N159" s="89" t="n"/>
      <c r="O159" s="89" t="n"/>
      <c r="P159" s="89" t="n"/>
      <c r="Q159" s="89" t="n"/>
      <c r="R159" s="89" t="n"/>
      <c r="S159" s="89" t="n"/>
      <c r="T159" s="89" t="n"/>
      <c r="U159" s="89" t="n"/>
      <c r="V159" s="89" t="n"/>
      <c r="W159" s="89" t="n"/>
      <c r="X159" s="89" t="n"/>
      <c r="Y159" s="89" t="n"/>
      <c r="Z159" s="89" t="n"/>
      <c r="AA159" s="89" t="n"/>
      <c r="AB159" s="89" t="n"/>
      <c r="AC159" s="89" t="n"/>
      <c r="AD159" s="89" t="n"/>
      <c r="AE159" s="89" t="n"/>
      <c r="AF159" s="89" t="n"/>
      <c r="AG159" s="89" t="n"/>
      <c r="AH159" s="89" t="n"/>
      <c r="AI159" s="89" t="n"/>
      <c r="AJ159" s="89" t="n"/>
      <c r="AK159" s="89" t="n"/>
      <c r="AL159" s="89" t="n"/>
      <c r="AM159" s="89" t="n"/>
      <c r="AN159" s="89" t="n"/>
      <c r="AO159" s="89" t="n">
        <v>4.36225</v>
      </c>
      <c r="AP159" s="89" t="n"/>
      <c r="AQ159" s="89" t="n"/>
      <c r="AR159" s="89" t="n"/>
      <c r="AS159" s="89" t="n">
        <v>0.123472</v>
      </c>
      <c r="AT159" s="89" t="n"/>
      <c r="AU159" s="89" t="n">
        <v>0.225035</v>
      </c>
      <c r="AV159" s="89" t="n"/>
      <c r="AW159" s="89" t="n"/>
      <c r="AX159" s="89" t="n"/>
      <c r="AY159" s="89" t="n"/>
    </row>
    <row r="160">
      <c r="A160" t="inlineStr">
        <is>
          <t>1932-03</t>
        </is>
      </c>
      <c r="B160" s="1" t="n">
        <v>11749</v>
      </c>
      <c r="C160" s="88" t="n">
        <v>160</v>
      </c>
      <c r="D160" s="1" t="n"/>
      <c r="E160" s="1">
        <f>B160</f>
        <v/>
      </c>
      <c r="F160" s="2">
        <f>B160</f>
        <v/>
      </c>
      <c r="G160" s="88" t="n">
        <v>158</v>
      </c>
      <c r="H160" s="89" t="n"/>
      <c r="I160" s="89" t="n"/>
      <c r="J160" s="89" t="n"/>
      <c r="K160" s="89" t="n"/>
      <c r="L160" s="89" t="n"/>
      <c r="M160" s="89" t="n"/>
      <c r="N160" s="89" t="n"/>
      <c r="O160" s="89" t="n"/>
      <c r="P160" s="89" t="n"/>
      <c r="Q160" s="89" t="n"/>
      <c r="R160" s="89" t="n"/>
      <c r="S160" s="89" t="n"/>
      <c r="T160" s="89" t="n"/>
      <c r="U160" s="89" t="n"/>
      <c r="V160" s="89" t="n"/>
      <c r="W160" s="89" t="n"/>
      <c r="X160" s="89" t="n"/>
      <c r="Y160" s="89" t="n"/>
      <c r="Z160" s="89" t="n"/>
      <c r="AA160" s="89" t="n"/>
      <c r="AB160" s="89" t="n"/>
      <c r="AC160" s="89" t="n"/>
      <c r="AD160" s="89" t="n"/>
      <c r="AE160" s="89" t="n"/>
      <c r="AF160" s="89" t="n"/>
      <c r="AG160" s="89" t="n"/>
      <c r="AH160" s="89" t="n"/>
      <c r="AI160" s="89" t="n"/>
      <c r="AJ160" s="89" t="n"/>
      <c r="AK160" s="89" t="n"/>
      <c r="AL160" s="89" t="n"/>
      <c r="AM160" s="89" t="n"/>
      <c r="AN160" s="89" t="n"/>
      <c r="AO160" s="89" t="n">
        <v>4.309038</v>
      </c>
      <c r="AP160" s="89" t="n"/>
      <c r="AQ160" s="89" t="n"/>
      <c r="AR160" s="89" t="n"/>
      <c r="AS160" s="89" t="n">
        <v>-0.021129</v>
      </c>
      <c r="AT160" s="89" t="n"/>
      <c r="AU160" s="89" t="n">
        <v>0.419883</v>
      </c>
      <c r="AV160" s="89" t="n"/>
      <c r="AW160" s="89" t="n"/>
      <c r="AX160" s="89" t="n"/>
      <c r="AY160" s="89" t="n"/>
    </row>
    <row r="161">
      <c r="A161" t="inlineStr">
        <is>
          <t>1932-04</t>
        </is>
      </c>
      <c r="B161" s="1" t="n">
        <v>11780</v>
      </c>
      <c r="C161" s="88" t="n">
        <v>161</v>
      </c>
      <c r="D161" s="1" t="n"/>
      <c r="E161" s="1">
        <f>B161</f>
        <v/>
      </c>
      <c r="F161" s="2">
        <f>B161</f>
        <v/>
      </c>
      <c r="G161" s="88" t="n">
        <v>159</v>
      </c>
      <c r="H161" s="89" t="n"/>
      <c r="I161" s="89" t="n"/>
      <c r="J161" s="89" t="n"/>
      <c r="K161" s="89" t="n"/>
      <c r="L161" s="89" t="n"/>
      <c r="M161" s="89" t="n"/>
      <c r="N161" s="89" t="n"/>
      <c r="O161" s="89" t="n"/>
      <c r="P161" s="89" t="n"/>
      <c r="Q161" s="89" t="n"/>
      <c r="R161" s="89" t="n"/>
      <c r="S161" s="89" t="n"/>
      <c r="T161" s="89" t="n"/>
      <c r="U161" s="89" t="n"/>
      <c r="V161" s="89" t="n"/>
      <c r="W161" s="89" t="n"/>
      <c r="X161" s="89" t="n"/>
      <c r="Y161" s="89" t="n"/>
      <c r="Z161" s="89" t="n"/>
      <c r="AA161" s="89" t="n"/>
      <c r="AB161" s="89" t="n"/>
      <c r="AC161" s="89" t="n"/>
      <c r="AD161" s="89" t="n"/>
      <c r="AE161" s="89" t="n"/>
      <c r="AF161" s="89" t="n"/>
      <c r="AG161" s="89" t="n"/>
      <c r="AH161" s="89" t="n"/>
      <c r="AI161" s="89" t="n"/>
      <c r="AJ161" s="89" t="n"/>
      <c r="AK161" s="89" t="n"/>
      <c r="AL161" s="89" t="n"/>
      <c r="AM161" s="89" t="n"/>
      <c r="AN161" s="89" t="n"/>
      <c r="AO161" s="89" t="n">
        <v>4.016467</v>
      </c>
      <c r="AP161" s="89" t="n"/>
      <c r="AQ161" s="89" t="n"/>
      <c r="AR161" s="89" t="n"/>
      <c r="AS161" s="89" t="n">
        <v>0.02591</v>
      </c>
      <c r="AT161" s="89" t="n"/>
      <c r="AU161" s="89" t="n">
        <v>0.727283</v>
      </c>
      <c r="AV161" s="89" t="n"/>
      <c r="AW161" s="89" t="n"/>
      <c r="AX161" s="89" t="n"/>
      <c r="AY161" s="89" t="n"/>
    </row>
    <row r="162">
      <c r="A162" t="inlineStr">
        <is>
          <t>1932-05</t>
        </is>
      </c>
      <c r="B162" s="1" t="n">
        <v>11810</v>
      </c>
      <c r="C162" s="88" t="n">
        <v>162</v>
      </c>
      <c r="D162" s="1" t="n"/>
      <c r="E162" s="1">
        <f>B162</f>
        <v/>
      </c>
      <c r="F162" s="2">
        <f>B162</f>
        <v/>
      </c>
      <c r="G162" s="88" t="n">
        <v>160</v>
      </c>
      <c r="H162" s="89" t="n"/>
      <c r="I162" s="89" t="n"/>
      <c r="J162" s="89" t="n"/>
      <c r="K162" s="89" t="n"/>
      <c r="L162" s="89" t="n"/>
      <c r="M162" s="89" t="n"/>
      <c r="N162" s="89" t="n"/>
      <c r="O162" s="89" t="n"/>
      <c r="P162" s="89" t="n"/>
      <c r="Q162" s="89" t="n"/>
      <c r="R162" s="89" t="n"/>
      <c r="S162" s="89" t="n"/>
      <c r="T162" s="89" t="n"/>
      <c r="U162" s="89" t="n"/>
      <c r="V162" s="89" t="n"/>
      <c r="W162" s="89" t="n"/>
      <c r="X162" s="89" t="n"/>
      <c r="Y162" s="89" t="n"/>
      <c r="Z162" s="89" t="n"/>
      <c r="AA162" s="89" t="n"/>
      <c r="AB162" s="89" t="n"/>
      <c r="AC162" s="89" t="n"/>
      <c r="AD162" s="89" t="n"/>
      <c r="AE162" s="89" t="n"/>
      <c r="AF162" s="89" t="n"/>
      <c r="AG162" s="89" t="n"/>
      <c r="AH162" s="89" t="n"/>
      <c r="AI162" s="89" t="n"/>
      <c r="AJ162" s="89" t="n"/>
      <c r="AK162" s="89" t="n"/>
      <c r="AL162" s="89" t="n"/>
      <c r="AM162" s="89" t="n"/>
      <c r="AN162" s="89" t="n"/>
      <c r="AO162" s="89" t="n">
        <v>3.883436</v>
      </c>
      <c r="AP162" s="89" t="n"/>
      <c r="AQ162" s="89" t="n"/>
      <c r="AR162" s="89" t="n"/>
      <c r="AS162" s="89" t="n">
        <v>0.803005</v>
      </c>
      <c r="AT162" s="89" t="n"/>
      <c r="AU162" s="89" t="n">
        <v>0.356603</v>
      </c>
      <c r="AV162" s="89" t="n"/>
      <c r="AW162" s="89" t="n"/>
      <c r="AX162" s="89" t="n"/>
      <c r="AY162" s="89" t="n"/>
    </row>
    <row r="163">
      <c r="A163" t="inlineStr">
        <is>
          <t>1932-06</t>
        </is>
      </c>
      <c r="B163" s="1" t="n">
        <v>11841</v>
      </c>
      <c r="C163" s="88" t="n">
        <v>163</v>
      </c>
      <c r="D163" s="1" t="n"/>
      <c r="E163" s="1">
        <f>B163</f>
        <v/>
      </c>
      <c r="F163" s="2">
        <f>B163</f>
        <v/>
      </c>
      <c r="G163" s="88" t="n">
        <v>161</v>
      </c>
      <c r="H163" s="89" t="n"/>
      <c r="I163" s="89" t="n"/>
      <c r="J163" s="89" t="n"/>
      <c r="K163" s="89" t="n"/>
      <c r="L163" s="89" t="n"/>
      <c r="M163" s="89" t="n"/>
      <c r="N163" s="89" t="n"/>
      <c r="O163" s="89" t="n"/>
      <c r="P163" s="89" t="n"/>
      <c r="Q163" s="89" t="n"/>
      <c r="R163" s="89" t="n"/>
      <c r="S163" s="89" t="n"/>
      <c r="T163" s="89" t="n"/>
      <c r="U163" s="89" t="n"/>
      <c r="V163" s="89" t="n"/>
      <c r="W163" s="89" t="n"/>
      <c r="X163" s="89" t="n"/>
      <c r="Y163" s="89" t="n"/>
      <c r="Z163" s="89" t="n"/>
      <c r="AA163" s="89" t="n"/>
      <c r="AB163" s="89" t="n"/>
      <c r="AC163" s="89" t="n"/>
      <c r="AD163" s="89" t="n"/>
      <c r="AE163" s="89" t="n"/>
      <c r="AF163" s="89" t="n"/>
      <c r="AG163" s="89" t="n"/>
      <c r="AH163" s="89" t="n"/>
      <c r="AI163" s="89" t="n"/>
      <c r="AJ163" s="89" t="n"/>
      <c r="AK163" s="89" t="n"/>
      <c r="AL163" s="89" t="n"/>
      <c r="AM163" s="89" t="n"/>
      <c r="AN163" s="89" t="n"/>
      <c r="AO163" s="89" t="n">
        <v>3.750502</v>
      </c>
      <c r="AP163" s="89" t="n"/>
      <c r="AQ163" s="89" t="n"/>
      <c r="AR163" s="89" t="n"/>
      <c r="AS163" s="89" t="n">
        <v>0.945474</v>
      </c>
      <c r="AT163" s="89" t="n"/>
      <c r="AU163" s="89" t="n">
        <v>0.364928</v>
      </c>
      <c r="AV163" s="89" t="n"/>
      <c r="AW163" s="89" t="n"/>
      <c r="AX163" s="89" t="n"/>
      <c r="AY163" s="89" t="n"/>
    </row>
    <row r="164">
      <c r="A164" t="inlineStr">
        <is>
          <t>1932-07</t>
        </is>
      </c>
      <c r="B164" s="1" t="n">
        <v>11871</v>
      </c>
      <c r="C164" s="88" t="n">
        <v>164</v>
      </c>
      <c r="D164" s="1" t="n"/>
      <c r="E164" s="1">
        <f>B164</f>
        <v/>
      </c>
      <c r="F164" s="2">
        <f>B164</f>
        <v/>
      </c>
      <c r="G164" s="88" t="n">
        <v>162</v>
      </c>
      <c r="H164" s="89" t="n"/>
      <c r="I164" s="89" t="n"/>
      <c r="J164" s="89" t="n"/>
      <c r="K164" s="89" t="n"/>
      <c r="L164" s="89" t="n"/>
      <c r="M164" s="89" t="n"/>
      <c r="N164" s="89" t="n"/>
      <c r="O164" s="89" t="n"/>
      <c r="P164" s="89" t="n"/>
      <c r="Q164" s="89" t="n"/>
      <c r="R164" s="89" t="n"/>
      <c r="S164" s="89" t="n"/>
      <c r="T164" s="89" t="n"/>
      <c r="U164" s="89" t="n"/>
      <c r="V164" s="89" t="n"/>
      <c r="W164" s="89" t="n"/>
      <c r="X164" s="89" t="n"/>
      <c r="Y164" s="89" t="n"/>
      <c r="Z164" s="89" t="n"/>
      <c r="AA164" s="89" t="n"/>
      <c r="AB164" s="89" t="n"/>
      <c r="AC164" s="89" t="n"/>
      <c r="AD164" s="89" t="n"/>
      <c r="AE164" s="89" t="n"/>
      <c r="AF164" s="89" t="n"/>
      <c r="AG164" s="89" t="n"/>
      <c r="AH164" s="89" t="n"/>
      <c r="AI164" s="89" t="n"/>
      <c r="AJ164" s="89" t="n"/>
      <c r="AK164" s="89" t="n"/>
      <c r="AL164" s="89" t="n"/>
      <c r="AM164" s="89" t="n"/>
      <c r="AN164" s="89" t="n"/>
      <c r="AO164" s="89" t="n">
        <v>3.644077</v>
      </c>
      <c r="AP164" s="89" t="n"/>
      <c r="AQ164" s="89" t="n"/>
      <c r="AR164" s="89" t="n"/>
      <c r="AS164" s="89" t="n">
        <v>0.918114</v>
      </c>
      <c r="AT164" s="89" t="n"/>
      <c r="AU164" s="89" t="n">
        <v>1.227632</v>
      </c>
      <c r="AV164" s="89" t="n"/>
      <c r="AW164" s="89" t="n"/>
      <c r="AX164" s="89" t="n"/>
      <c r="AY164" s="89" t="n"/>
    </row>
    <row r="165">
      <c r="A165" t="inlineStr">
        <is>
          <t>1932-08</t>
        </is>
      </c>
      <c r="B165" s="1" t="n">
        <v>11902</v>
      </c>
      <c r="C165" s="88" t="n">
        <v>165</v>
      </c>
      <c r="D165" s="1" t="n"/>
      <c r="E165" s="1">
        <f>B165</f>
        <v/>
      </c>
      <c r="F165" s="2">
        <f>B165</f>
        <v/>
      </c>
      <c r="G165" s="88" t="n">
        <v>163</v>
      </c>
      <c r="H165" s="89" t="n"/>
      <c r="I165" s="89" t="n"/>
      <c r="J165" s="89" t="n"/>
      <c r="K165" s="89" t="n"/>
      <c r="L165" s="89" t="n"/>
      <c r="M165" s="89" t="n"/>
      <c r="N165" s="89" t="n"/>
      <c r="O165" s="89" t="n"/>
      <c r="P165" s="89" t="n"/>
      <c r="Q165" s="89" t="n"/>
      <c r="R165" s="89" t="n"/>
      <c r="S165" s="89" t="n"/>
      <c r="T165" s="89" t="n"/>
      <c r="U165" s="89" t="n"/>
      <c r="V165" s="89" t="n"/>
      <c r="W165" s="89" t="n"/>
      <c r="X165" s="89" t="n"/>
      <c r="Y165" s="89" t="n"/>
      <c r="Z165" s="89" t="n"/>
      <c r="AA165" s="89" t="n"/>
      <c r="AB165" s="89" t="n"/>
      <c r="AC165" s="89" t="n"/>
      <c r="AD165" s="89" t="n"/>
      <c r="AE165" s="89" t="n"/>
      <c r="AF165" s="89" t="n"/>
      <c r="AG165" s="89" t="n"/>
      <c r="AH165" s="89" t="n"/>
      <c r="AI165" s="89" t="n"/>
      <c r="AJ165" s="89" t="n"/>
      <c r="AK165" s="89" t="n"/>
      <c r="AL165" s="89" t="n"/>
      <c r="AM165" s="89" t="n"/>
      <c r="AN165" s="89" t="n"/>
      <c r="AO165" s="89" t="n">
        <v>3.750502</v>
      </c>
      <c r="AP165" s="89" t="n"/>
      <c r="AQ165" s="89" t="n"/>
      <c r="AR165" s="89" t="n"/>
      <c r="AS165" s="89" t="n">
        <v>0.428505</v>
      </c>
      <c r="AT165" s="89" t="n"/>
      <c r="AU165" s="89" t="n">
        <v>1.502943</v>
      </c>
      <c r="AV165" s="89" t="n"/>
      <c r="AW165" s="89" t="n"/>
      <c r="AX165" s="89" t="n"/>
      <c r="AY165" s="89" t="n"/>
    </row>
    <row r="166">
      <c r="A166" t="inlineStr">
        <is>
          <t>1932-09</t>
        </is>
      </c>
      <c r="B166" s="1" t="n">
        <v>11933</v>
      </c>
      <c r="C166" s="88" t="n">
        <v>166</v>
      </c>
      <c r="D166" s="1" t="n"/>
      <c r="E166" s="1">
        <f>B166</f>
        <v/>
      </c>
      <c r="F166" s="2">
        <f>B166</f>
        <v/>
      </c>
      <c r="G166" s="88" t="n">
        <v>164</v>
      </c>
      <c r="H166" s="89" t="n"/>
      <c r="I166" s="89" t="n"/>
      <c r="J166" s="89" t="n"/>
      <c r="K166" s="89" t="n"/>
      <c r="L166" s="89" t="n"/>
      <c r="M166" s="89" t="n"/>
      <c r="N166" s="89" t="n"/>
      <c r="O166" s="89" t="n"/>
      <c r="P166" s="89" t="n"/>
      <c r="Q166" s="89" t="n"/>
      <c r="R166" s="89" t="n"/>
      <c r="S166" s="89" t="n"/>
      <c r="T166" s="89" t="n"/>
      <c r="U166" s="89" t="n"/>
      <c r="V166" s="89" t="n"/>
      <c r="W166" s="89" t="n"/>
      <c r="X166" s="89" t="n"/>
      <c r="Y166" s="89" t="n"/>
      <c r="Z166" s="89" t="n"/>
      <c r="AA166" s="89" t="n"/>
      <c r="AB166" s="89" t="n"/>
      <c r="AC166" s="89" t="n"/>
      <c r="AD166" s="89" t="n"/>
      <c r="AE166" s="89" t="n"/>
      <c r="AF166" s="89" t="n"/>
      <c r="AG166" s="89" t="n"/>
      <c r="AH166" s="89" t="n"/>
      <c r="AI166" s="89" t="n"/>
      <c r="AJ166" s="89" t="n"/>
      <c r="AK166" s="89" t="n"/>
      <c r="AL166" s="89" t="n"/>
      <c r="AM166" s="89" t="n"/>
      <c r="AN166" s="89" t="n"/>
      <c r="AO166" s="89" t="n">
        <v>3.989861</v>
      </c>
      <c r="AP166" s="89" t="n"/>
      <c r="AQ166" s="89" t="n"/>
      <c r="AR166" s="89" t="n"/>
      <c r="AS166" s="89" t="n">
        <v>0.765038</v>
      </c>
      <c r="AT166" s="89" t="n"/>
      <c r="AU166" s="89" t="n">
        <v>0.710055</v>
      </c>
      <c r="AV166" s="89" t="n"/>
      <c r="AW166" s="89" t="n"/>
      <c r="AX166" s="89" t="n"/>
      <c r="AY166" s="89" t="n"/>
    </row>
    <row r="167">
      <c r="A167" t="inlineStr">
        <is>
          <t>1932-10</t>
        </is>
      </c>
      <c r="B167" s="1" t="n">
        <v>11963</v>
      </c>
      <c r="C167" s="88" t="n">
        <v>167</v>
      </c>
      <c r="D167" s="1" t="n"/>
      <c r="E167" s="1">
        <f>B167</f>
        <v/>
      </c>
      <c r="F167" s="2">
        <f>B167</f>
        <v/>
      </c>
      <c r="G167" s="88" t="n">
        <v>165</v>
      </c>
      <c r="H167" s="89" t="n"/>
      <c r="I167" s="89" t="n"/>
      <c r="J167" s="89" t="n"/>
      <c r="K167" s="89" t="n"/>
      <c r="L167" s="89" t="n"/>
      <c r="M167" s="89" t="n"/>
      <c r="N167" s="89" t="n"/>
      <c r="O167" s="89" t="n"/>
      <c r="P167" s="89" t="n"/>
      <c r="Q167" s="89" t="n"/>
      <c r="R167" s="89" t="n"/>
      <c r="S167" s="89" t="n"/>
      <c r="T167" s="89" t="n"/>
      <c r="U167" s="89" t="n"/>
      <c r="V167" s="89" t="n"/>
      <c r="W167" s="89" t="n"/>
      <c r="X167" s="89" t="n"/>
      <c r="Y167" s="89" t="n"/>
      <c r="Z167" s="89" t="n"/>
      <c r="AA167" s="89" t="n"/>
      <c r="AB167" s="89" t="n"/>
      <c r="AC167" s="89" t="n"/>
      <c r="AD167" s="89" t="n"/>
      <c r="AE167" s="89" t="n"/>
      <c r="AF167" s="89" t="n"/>
      <c r="AG167" s="89" t="n"/>
      <c r="AH167" s="89" t="n"/>
      <c r="AI167" s="89" t="n"/>
      <c r="AJ167" s="89" t="n"/>
      <c r="AK167" s="89" t="n"/>
      <c r="AL167" s="89" t="n"/>
      <c r="AM167" s="89" t="n"/>
      <c r="AN167" s="89" t="n"/>
      <c r="AO167" s="89" t="n">
        <v>4.122891</v>
      </c>
      <c r="AP167" s="89" t="n"/>
      <c r="AQ167" s="89" t="n"/>
      <c r="AR167" s="89" t="n"/>
      <c r="AS167" s="89" t="n">
        <v>1.11191</v>
      </c>
      <c r="AT167" s="89" t="n"/>
      <c r="AU167" s="89" t="n">
        <v>1.344919</v>
      </c>
      <c r="AV167" s="89" t="n"/>
      <c r="AW167" s="89" t="n"/>
      <c r="AX167" s="89" t="n"/>
      <c r="AY167" s="89" t="n"/>
    </row>
    <row r="168">
      <c r="A168" t="inlineStr">
        <is>
          <t>1932-11</t>
        </is>
      </c>
      <c r="B168" s="1" t="n">
        <v>11994</v>
      </c>
      <c r="C168" s="88" t="n">
        <v>168</v>
      </c>
      <c r="D168" s="1" t="n"/>
      <c r="E168" s="1">
        <f>B168</f>
        <v/>
      </c>
      <c r="F168" s="2">
        <f>B168</f>
        <v/>
      </c>
      <c r="G168" s="88" t="n">
        <v>166</v>
      </c>
      <c r="H168" s="89" t="n"/>
      <c r="I168" s="89" t="n"/>
      <c r="J168" s="89" t="n"/>
      <c r="K168" s="89" t="n"/>
      <c r="L168" s="89" t="n"/>
      <c r="M168" s="89" t="n"/>
      <c r="N168" s="89" t="n"/>
      <c r="O168" s="89" t="n"/>
      <c r="P168" s="89" t="n"/>
      <c r="Q168" s="89" t="n"/>
      <c r="R168" s="89" t="n"/>
      <c r="S168" s="89" t="n"/>
      <c r="T168" s="89" t="n"/>
      <c r="U168" s="89" t="n"/>
      <c r="V168" s="89" t="n"/>
      <c r="W168" s="89" t="n"/>
      <c r="X168" s="89" t="n"/>
      <c r="Y168" s="89" t="n"/>
      <c r="Z168" s="89" t="n"/>
      <c r="AA168" s="89" t="n"/>
      <c r="AB168" s="89" t="n"/>
      <c r="AC168" s="89" t="n"/>
      <c r="AD168" s="89" t="n"/>
      <c r="AE168" s="89" t="n"/>
      <c r="AF168" s="89" t="n"/>
      <c r="AG168" s="89" t="n"/>
      <c r="AH168" s="89" t="n"/>
      <c r="AI168" s="89" t="n"/>
      <c r="AJ168" s="89" t="n"/>
      <c r="AK168" s="89" t="n"/>
      <c r="AL168" s="89" t="n"/>
      <c r="AM168" s="89" t="n"/>
      <c r="AN168" s="89" t="n"/>
      <c r="AO168" s="89" t="n">
        <v>4.122891</v>
      </c>
      <c r="AP168" s="89" t="n"/>
      <c r="AQ168" s="89" t="n"/>
      <c r="AR168" s="89" t="n"/>
      <c r="AS168" s="89" t="n">
        <v>1.397197</v>
      </c>
      <c r="AT168" s="89" t="n"/>
      <c r="AU168" s="89" t="n">
        <v>0.93898</v>
      </c>
      <c r="AV168" s="89" t="n"/>
      <c r="AW168" s="89" t="n"/>
      <c r="AX168" s="89" t="n"/>
      <c r="AY168" s="89" t="n"/>
    </row>
    <row r="169">
      <c r="A169" t="inlineStr">
        <is>
          <t>1932-12</t>
        </is>
      </c>
      <c r="B169" s="1" t="n">
        <v>12024</v>
      </c>
      <c r="C169" s="88" t="n">
        <v>169</v>
      </c>
      <c r="D169" s="1" t="n"/>
      <c r="E169" s="1">
        <f>B169</f>
        <v/>
      </c>
      <c r="F169" s="2">
        <f>B169</f>
        <v/>
      </c>
      <c r="G169" s="88" t="n">
        <v>167</v>
      </c>
      <c r="H169" s="89" t="n"/>
      <c r="I169" s="89" t="n"/>
      <c r="J169" s="89" t="n"/>
      <c r="K169" s="89" t="n"/>
      <c r="L169" s="89" t="n"/>
      <c r="M169" s="89" t="n"/>
      <c r="N169" s="89" t="n"/>
      <c r="O169" s="89" t="n"/>
      <c r="P169" s="89" t="n"/>
      <c r="Q169" s="89" t="n"/>
      <c r="R169" s="89" t="n"/>
      <c r="S169" s="89" t="n"/>
      <c r="T169" s="89" t="n"/>
      <c r="U169" s="89" t="n"/>
      <c r="V169" s="89" t="n"/>
      <c r="W169" s="89" t="n"/>
      <c r="X169" s="89" t="n"/>
      <c r="Y169" s="89" t="n"/>
      <c r="Z169" s="89" t="n"/>
      <c r="AA169" s="89" t="n"/>
      <c r="AB169" s="89" t="n"/>
      <c r="AC169" s="89" t="n"/>
      <c r="AD169" s="89" t="n"/>
      <c r="AE169" s="89" t="n"/>
      <c r="AF169" s="89" t="n"/>
      <c r="AG169" s="89" t="n"/>
      <c r="AH169" s="89" t="n"/>
      <c r="AI169" s="89" t="n"/>
      <c r="AJ169" s="89" t="n"/>
      <c r="AK169" s="89" t="n"/>
      <c r="AL169" s="89" t="n"/>
      <c r="AM169" s="89" t="n"/>
      <c r="AN169" s="89" t="n"/>
      <c r="AO169" s="89" t="n">
        <v>4.043073</v>
      </c>
      <c r="AP169" s="89" t="n"/>
      <c r="AQ169" s="89" t="n"/>
      <c r="AR169" s="89" t="n"/>
      <c r="AS169" s="89" t="n">
        <v>0.441225</v>
      </c>
      <c r="AT169" s="89" t="n"/>
      <c r="AU169" s="89" t="n">
        <v>0.619316</v>
      </c>
      <c r="AV169" s="89" t="n"/>
      <c r="AW169" s="89" t="n"/>
      <c r="AX169" s="89" t="n"/>
      <c r="AY169" s="89" t="n"/>
    </row>
    <row r="170">
      <c r="A170" t="inlineStr">
        <is>
          <t>1933-01</t>
        </is>
      </c>
      <c r="B170" s="1" t="n">
        <v>12055</v>
      </c>
      <c r="C170" s="88" t="n">
        <v>170</v>
      </c>
      <c r="D170" s="1" t="n"/>
      <c r="E170" s="1">
        <f>B170</f>
        <v/>
      </c>
      <c r="F170" s="2">
        <f>B170</f>
        <v/>
      </c>
      <c r="G170" s="88" t="n">
        <v>168</v>
      </c>
      <c r="H170" s="89" t="n"/>
      <c r="I170" s="89" t="n"/>
      <c r="J170" s="89" t="n"/>
      <c r="K170" s="89" t="n"/>
      <c r="L170" s="89" t="n"/>
      <c r="M170" s="89" t="n"/>
      <c r="N170" s="89" t="n"/>
      <c r="O170" s="89" t="n"/>
      <c r="P170" s="89" t="n"/>
      <c r="Q170" s="89" t="n"/>
      <c r="R170" s="89" t="n"/>
      <c r="S170" s="89" t="n"/>
      <c r="T170" s="89" t="n"/>
      <c r="U170" s="89" t="n"/>
      <c r="V170" s="89" t="n"/>
      <c r="W170" s="89" t="n"/>
      <c r="X170" s="89" t="n"/>
      <c r="Y170" s="89" t="n"/>
      <c r="Z170" s="89" t="n"/>
      <c r="AA170" s="89" t="n"/>
      <c r="AB170" s="89" t="n"/>
      <c r="AC170" s="89" t="n"/>
      <c r="AD170" s="89" t="n"/>
      <c r="AE170" s="89" t="n"/>
      <c r="AF170" s="89" t="n"/>
      <c r="AG170" s="89" t="n"/>
      <c r="AH170" s="89" t="n"/>
      <c r="AI170" s="89" t="n"/>
      <c r="AJ170" s="89" t="n"/>
      <c r="AK170" s="89" t="n"/>
      <c r="AL170" s="89" t="n"/>
      <c r="AM170" s="89" t="n"/>
      <c r="AN170" s="89" t="n"/>
      <c r="AO170" s="89" t="n">
        <v>3.963254</v>
      </c>
      <c r="AP170" s="89" t="n"/>
      <c r="AQ170" s="89" t="n"/>
      <c r="AR170" s="89" t="n"/>
      <c r="AS170" s="89" t="n">
        <v>1.631376</v>
      </c>
      <c r="AT170" s="89" t="n"/>
      <c r="AU170" s="89" t="n">
        <v>0.433857</v>
      </c>
      <c r="AV170" s="89" t="n"/>
      <c r="AW170" s="89" t="n"/>
      <c r="AX170" s="89" t="n"/>
      <c r="AY170" s="89" t="n"/>
    </row>
    <row r="171">
      <c r="A171" t="inlineStr">
        <is>
          <t>1933-02</t>
        </is>
      </c>
      <c r="B171" s="1" t="n">
        <v>12086</v>
      </c>
      <c r="C171" s="88" t="n">
        <v>171</v>
      </c>
      <c r="D171" s="1" t="n"/>
      <c r="E171" s="1">
        <f>B171</f>
        <v/>
      </c>
      <c r="F171" s="2">
        <f>B171</f>
        <v/>
      </c>
      <c r="G171" s="88" t="n">
        <v>169</v>
      </c>
      <c r="H171" s="89" t="n"/>
      <c r="I171" s="89" t="n"/>
      <c r="J171" s="89" t="n"/>
      <c r="K171" s="89" t="n"/>
      <c r="L171" s="89" t="n"/>
      <c r="M171" s="89" t="n"/>
      <c r="N171" s="89" t="n"/>
      <c r="O171" s="89" t="n"/>
      <c r="P171" s="89" t="n"/>
      <c r="Q171" s="89" t="n"/>
      <c r="R171" s="89" t="n"/>
      <c r="S171" s="89" t="n"/>
      <c r="T171" s="89" t="n"/>
      <c r="U171" s="89" t="n"/>
      <c r="V171" s="89" t="n"/>
      <c r="W171" s="89" t="n"/>
      <c r="X171" s="89" t="n"/>
      <c r="Y171" s="89" t="n"/>
      <c r="Z171" s="89" t="n"/>
      <c r="AA171" s="89" t="n"/>
      <c r="AB171" s="89" t="n"/>
      <c r="AC171" s="89" t="n"/>
      <c r="AD171" s="89" t="n"/>
      <c r="AE171" s="89" t="n"/>
      <c r="AF171" s="89" t="n"/>
      <c r="AG171" s="89" t="n"/>
      <c r="AH171" s="89" t="n"/>
      <c r="AI171" s="89" t="n"/>
      <c r="AJ171" s="89" t="n"/>
      <c r="AK171" s="89" t="n"/>
      <c r="AL171" s="89" t="n"/>
      <c r="AM171" s="89" t="n"/>
      <c r="AN171" s="89" t="n"/>
      <c r="AO171" s="89" t="n">
        <v>3.989861</v>
      </c>
      <c r="AP171" s="89" t="n"/>
      <c r="AQ171" s="89" t="n"/>
      <c r="AR171" s="89" t="n"/>
      <c r="AS171" s="89" t="n">
        <v>1.059046</v>
      </c>
      <c r="AT171" s="89" t="n"/>
      <c r="AU171" s="89" t="n">
        <v>0.080345</v>
      </c>
      <c r="AV171" s="89" t="n"/>
      <c r="AW171" s="89" t="n"/>
      <c r="AX171" s="89" t="n"/>
      <c r="AY171" s="89" t="n"/>
    </row>
    <row r="172">
      <c r="A172" t="inlineStr">
        <is>
          <t>1933-03</t>
        </is>
      </c>
      <c r="B172" s="1" t="n">
        <v>12114</v>
      </c>
      <c r="C172" s="88" t="n">
        <v>172</v>
      </c>
      <c r="D172" s="1" t="n"/>
      <c r="E172" s="1">
        <f>B172</f>
        <v/>
      </c>
      <c r="F172" s="2">
        <f>B172</f>
        <v/>
      </c>
      <c r="G172" s="88" t="n">
        <v>170</v>
      </c>
      <c r="H172" s="89" t="n"/>
      <c r="I172" s="89" t="n"/>
      <c r="J172" s="89" t="n"/>
      <c r="K172" s="89" t="n"/>
      <c r="L172" s="89" t="n"/>
      <c r="M172" s="89" t="n"/>
      <c r="N172" s="89" t="n"/>
      <c r="O172" s="89" t="n"/>
      <c r="P172" s="89" t="n"/>
      <c r="Q172" s="89" t="n"/>
      <c r="R172" s="89" t="n"/>
      <c r="S172" s="89" t="n"/>
      <c r="T172" s="89" t="n"/>
      <c r="U172" s="89" t="n"/>
      <c r="V172" s="89" t="n"/>
      <c r="W172" s="89" t="n"/>
      <c r="X172" s="89" t="n"/>
      <c r="Y172" s="89" t="n"/>
      <c r="Z172" s="89" t="n"/>
      <c r="AA172" s="89" t="n"/>
      <c r="AB172" s="89" t="n"/>
      <c r="AC172" s="89" t="n"/>
      <c r="AD172" s="89" t="n"/>
      <c r="AE172" s="89" t="n"/>
      <c r="AF172" s="89" t="n"/>
      <c r="AG172" s="89" t="n"/>
      <c r="AH172" s="89" t="n"/>
      <c r="AI172" s="89" t="n"/>
      <c r="AJ172" s="89" t="n"/>
      <c r="AK172" s="89" t="n"/>
      <c r="AL172" s="89" t="n"/>
      <c r="AM172" s="89" t="n"/>
      <c r="AN172" s="89" t="n"/>
      <c r="AO172" s="89" t="n">
        <v>3.750502</v>
      </c>
      <c r="AP172" s="89" t="n"/>
      <c r="AQ172" s="89" t="n"/>
      <c r="AR172" s="89" t="n"/>
      <c r="AS172" s="89" t="n">
        <v>1.33132</v>
      </c>
      <c r="AT172" s="89" t="n"/>
      <c r="AU172" s="89" t="n">
        <v>-0.618832</v>
      </c>
      <c r="AV172" s="89" t="n"/>
      <c r="AW172" s="89" t="n"/>
      <c r="AX172" s="89" t="n"/>
      <c r="AY172" s="89" t="n"/>
    </row>
    <row r="173">
      <c r="A173" t="inlineStr">
        <is>
          <t>1933-04</t>
        </is>
      </c>
      <c r="B173" s="1" t="n">
        <v>12145</v>
      </c>
      <c r="C173" s="88" t="n">
        <v>173</v>
      </c>
      <c r="D173" s="1" t="n"/>
      <c r="E173" s="1">
        <f>B173</f>
        <v/>
      </c>
      <c r="F173" s="2">
        <f>B173</f>
        <v/>
      </c>
      <c r="G173" s="88" t="n">
        <v>171</v>
      </c>
      <c r="H173" s="89" t="n"/>
      <c r="I173" s="89" t="n"/>
      <c r="J173" s="89" t="n"/>
      <c r="K173" s="89" t="n"/>
      <c r="L173" s="89" t="n"/>
      <c r="M173" s="89" t="n"/>
      <c r="N173" s="89" t="n"/>
      <c r="O173" s="89" t="n"/>
      <c r="P173" s="89" t="n"/>
      <c r="Q173" s="89" t="n"/>
      <c r="R173" s="89" t="n"/>
      <c r="S173" s="89" t="n"/>
      <c r="T173" s="89" t="n"/>
      <c r="U173" s="89" t="n"/>
      <c r="V173" s="89" t="n"/>
      <c r="W173" s="89" t="n"/>
      <c r="X173" s="89" t="n"/>
      <c r="Y173" s="89" t="n"/>
      <c r="Z173" s="89" t="n"/>
      <c r="AA173" s="89" t="n"/>
      <c r="AB173" s="89" t="n"/>
      <c r="AC173" s="89" t="n"/>
      <c r="AD173" s="89" t="n"/>
      <c r="AE173" s="89" t="n"/>
      <c r="AF173" s="89" t="n"/>
      <c r="AG173" s="89" t="n"/>
      <c r="AH173" s="89" t="n"/>
      <c r="AI173" s="89" t="n"/>
      <c r="AJ173" s="89" t="n"/>
      <c r="AK173" s="89" t="n"/>
      <c r="AL173" s="89" t="n"/>
      <c r="AM173" s="89" t="n"/>
      <c r="AN173" s="89" t="n"/>
      <c r="AO173" s="89" t="n">
        <v>4.016467</v>
      </c>
      <c r="AP173" s="89" t="n"/>
      <c r="AQ173" s="89" t="n"/>
      <c r="AR173" s="89" t="n"/>
      <c r="AS173" s="89" t="n">
        <v>1.541258</v>
      </c>
      <c r="AT173" s="89" t="n"/>
      <c r="AU173" s="89" t="n">
        <v>0.080051</v>
      </c>
      <c r="AV173" s="89" t="n"/>
      <c r="AW173" s="89" t="n"/>
      <c r="AX173" s="89" t="n"/>
      <c r="AY173" s="89" t="n"/>
    </row>
    <row r="174">
      <c r="A174" t="inlineStr">
        <is>
          <t>1933-05</t>
        </is>
      </c>
      <c r="B174" s="1" t="n">
        <v>12175</v>
      </c>
      <c r="C174" s="88" t="n">
        <v>174</v>
      </c>
      <c r="D174" s="1" t="n"/>
      <c r="E174" s="1">
        <f>B174</f>
        <v/>
      </c>
      <c r="F174" s="2">
        <f>B174</f>
        <v/>
      </c>
      <c r="G174" s="88" t="n">
        <v>172</v>
      </c>
      <c r="H174" s="89" t="n"/>
      <c r="I174" s="89" t="n"/>
      <c r="J174" s="89" t="n"/>
      <c r="K174" s="89" t="n"/>
      <c r="L174" s="89" t="n"/>
      <c r="M174" s="89" t="n"/>
      <c r="N174" s="89" t="n"/>
      <c r="O174" s="89" t="n"/>
      <c r="P174" s="89" t="n"/>
      <c r="Q174" s="89" t="n"/>
      <c r="R174" s="89" t="n"/>
      <c r="S174" s="89" t="n"/>
      <c r="T174" s="89" t="n"/>
      <c r="U174" s="89" t="n"/>
      <c r="V174" s="89" t="n"/>
      <c r="W174" s="89" t="n"/>
      <c r="X174" s="89" t="n"/>
      <c r="Y174" s="89" t="n"/>
      <c r="Z174" s="89" t="n"/>
      <c r="AA174" s="89" t="n"/>
      <c r="AB174" s="89" t="n"/>
      <c r="AC174" s="89" t="n"/>
      <c r="AD174" s="89" t="n"/>
      <c r="AE174" s="89" t="n"/>
      <c r="AF174" s="89" t="n"/>
      <c r="AG174" s="89" t="n"/>
      <c r="AH174" s="89" t="n"/>
      <c r="AI174" s="89" t="n"/>
      <c r="AJ174" s="89" t="n"/>
      <c r="AK174" s="89" t="n"/>
      <c r="AL174" s="89" t="n"/>
      <c r="AM174" s="89" t="n"/>
      <c r="AN174" s="89" t="n"/>
      <c r="AO174" s="89" t="n">
        <v>4.681427</v>
      </c>
      <c r="AP174" s="89" t="n"/>
      <c r="AQ174" s="89" t="n"/>
      <c r="AR174" s="89" t="n"/>
      <c r="AS174" s="89" t="n">
        <v>0.293292</v>
      </c>
      <c r="AT174" s="89" t="n"/>
      <c r="AU174" s="89" t="n">
        <v>-0.082522</v>
      </c>
      <c r="AV174" s="89" t="n"/>
      <c r="AW174" s="89" t="n"/>
      <c r="AX174" s="89" t="n"/>
      <c r="AY174" s="89" t="n"/>
    </row>
    <row r="175">
      <c r="A175" t="inlineStr">
        <is>
          <t>1933-06</t>
        </is>
      </c>
      <c r="B175" s="1" t="n">
        <v>12206</v>
      </c>
      <c r="C175" s="88" t="n">
        <v>175</v>
      </c>
      <c r="D175" s="1" t="n"/>
      <c r="E175" s="1">
        <f>B175</f>
        <v/>
      </c>
      <c r="F175" s="2">
        <f>B175</f>
        <v/>
      </c>
      <c r="G175" s="88" t="n">
        <v>173</v>
      </c>
      <c r="H175" s="89" t="n"/>
      <c r="I175" s="89" t="n"/>
      <c r="J175" s="89" t="n"/>
      <c r="K175" s="89" t="n"/>
      <c r="L175" s="89" t="n"/>
      <c r="M175" s="89" t="n"/>
      <c r="N175" s="89" t="n"/>
      <c r="O175" s="89" t="n"/>
      <c r="P175" s="89" t="n"/>
      <c r="Q175" s="89" t="n"/>
      <c r="R175" s="89" t="n"/>
      <c r="S175" s="89" t="n"/>
      <c r="T175" s="89" t="n"/>
      <c r="U175" s="89" t="n"/>
      <c r="V175" s="89" t="n"/>
      <c r="W175" s="89" t="n"/>
      <c r="X175" s="89" t="n"/>
      <c r="Y175" s="89" t="n"/>
      <c r="Z175" s="89" t="n"/>
      <c r="AA175" s="89" t="n"/>
      <c r="AB175" s="89" t="n"/>
      <c r="AC175" s="89" t="n"/>
      <c r="AD175" s="89" t="n"/>
      <c r="AE175" s="89" t="n"/>
      <c r="AF175" s="89" t="n"/>
      <c r="AG175" s="89" t="n"/>
      <c r="AH175" s="89" t="n"/>
      <c r="AI175" s="89" t="n"/>
      <c r="AJ175" s="89" t="n"/>
      <c r="AK175" s="89" t="n"/>
      <c r="AL175" s="89" t="n"/>
      <c r="AM175" s="89" t="n"/>
      <c r="AN175" s="89" t="n"/>
      <c r="AO175" s="89" t="n">
        <v>5.399601</v>
      </c>
      <c r="AP175" s="89" t="n"/>
      <c r="AQ175" s="89" t="n"/>
      <c r="AR175" s="89" t="n"/>
      <c r="AS175" s="89" t="n">
        <v>-0.24896</v>
      </c>
      <c r="AT175" s="89" t="n"/>
      <c r="AU175" s="89" t="n">
        <v>-0.08404200000000001</v>
      </c>
      <c r="AV175" s="89" t="n"/>
      <c r="AW175" s="89" t="n"/>
      <c r="AX175" s="89" t="n"/>
      <c r="AY175" s="89" t="n"/>
    </row>
    <row r="176">
      <c r="A176" t="inlineStr">
        <is>
          <t>1933-07</t>
        </is>
      </c>
      <c r="B176" s="1" t="n">
        <v>12236</v>
      </c>
      <c r="C176" s="88" t="n">
        <v>176</v>
      </c>
      <c r="D176" s="1" t="n"/>
      <c r="E176" s="1">
        <f>B176</f>
        <v/>
      </c>
      <c r="F176" s="2">
        <f>B176</f>
        <v/>
      </c>
      <c r="G176" s="88" t="n">
        <v>174</v>
      </c>
      <c r="H176" s="89" t="n"/>
      <c r="I176" s="89" t="n"/>
      <c r="J176" s="89" t="n"/>
      <c r="K176" s="89" t="n"/>
      <c r="L176" s="89" t="n"/>
      <c r="M176" s="89" t="n"/>
      <c r="N176" s="89" t="n"/>
      <c r="O176" s="89" t="n"/>
      <c r="P176" s="89" t="n"/>
      <c r="Q176" s="89" t="n"/>
      <c r="R176" s="89" t="n"/>
      <c r="S176" s="89" t="n"/>
      <c r="T176" s="89" t="n"/>
      <c r="U176" s="89" t="n"/>
      <c r="V176" s="89" t="n"/>
      <c r="W176" s="89" t="n"/>
      <c r="X176" s="89" t="n"/>
      <c r="Y176" s="89" t="n"/>
      <c r="Z176" s="89" t="n"/>
      <c r="AA176" s="89" t="n"/>
      <c r="AB176" s="89" t="n"/>
      <c r="AC176" s="89" t="n"/>
      <c r="AD176" s="89" t="n"/>
      <c r="AE176" s="89" t="n"/>
      <c r="AF176" s="89" t="n"/>
      <c r="AG176" s="89" t="n"/>
      <c r="AH176" s="89" t="n"/>
      <c r="AI176" s="89" t="n"/>
      <c r="AJ176" s="89" t="n"/>
      <c r="AK176" s="89" t="n"/>
      <c r="AL176" s="89" t="n"/>
      <c r="AM176" s="89" t="n"/>
      <c r="AN176" s="89" t="n"/>
      <c r="AO176" s="89" t="n">
        <v>5.905021</v>
      </c>
      <c r="AP176" s="89" t="n"/>
      <c r="AQ176" s="89" t="n"/>
      <c r="AR176" s="89" t="n"/>
      <c r="AS176" s="89" t="n">
        <v>-0.133363</v>
      </c>
      <c r="AT176" s="89" t="n"/>
      <c r="AU176" s="89" t="n">
        <v>0.09281499999999999</v>
      </c>
      <c r="AV176" s="89" t="n"/>
      <c r="AW176" s="89" t="n"/>
      <c r="AX176" s="89" t="n"/>
      <c r="AY176" s="89" t="n"/>
    </row>
    <row r="177">
      <c r="A177" t="inlineStr">
        <is>
          <t>1933-08</t>
        </is>
      </c>
      <c r="B177" s="1" t="n">
        <v>12267</v>
      </c>
      <c r="C177" s="88" t="n">
        <v>177</v>
      </c>
      <c r="D177" s="1" t="n"/>
      <c r="E177" s="1">
        <f>B177</f>
        <v/>
      </c>
      <c r="F177" s="2">
        <f>B177</f>
        <v/>
      </c>
      <c r="G177" s="88" t="n">
        <v>175</v>
      </c>
      <c r="H177" s="89" t="n"/>
      <c r="I177" s="89" t="n"/>
      <c r="J177" s="89" t="n"/>
      <c r="K177" s="89" t="n"/>
      <c r="L177" s="89" t="n"/>
      <c r="M177" s="89" t="n"/>
      <c r="N177" s="89" t="n"/>
      <c r="O177" s="89" t="n"/>
      <c r="P177" s="89" t="n"/>
      <c r="Q177" s="89" t="n"/>
      <c r="R177" s="89" t="n"/>
      <c r="S177" s="89" t="n"/>
      <c r="T177" s="89" t="n"/>
      <c r="U177" s="89" t="n"/>
      <c r="V177" s="89" t="n"/>
      <c r="W177" s="89" t="n"/>
      <c r="X177" s="89" t="n"/>
      <c r="Y177" s="89" t="n"/>
      <c r="Z177" s="89" t="n"/>
      <c r="AA177" s="89" t="n"/>
      <c r="AB177" s="89" t="n"/>
      <c r="AC177" s="89" t="n"/>
      <c r="AD177" s="89" t="n"/>
      <c r="AE177" s="89" t="n"/>
      <c r="AF177" s="89" t="n"/>
      <c r="AG177" s="89" t="n"/>
      <c r="AH177" s="89" t="n"/>
      <c r="AI177" s="89" t="n"/>
      <c r="AJ177" s="89" t="n"/>
      <c r="AK177" s="89" t="n"/>
      <c r="AL177" s="89" t="n"/>
      <c r="AM177" s="89" t="n"/>
      <c r="AN177" s="89" t="n"/>
      <c r="AO177" s="89" t="n">
        <v>5.665661</v>
      </c>
      <c r="AP177" s="89" t="n"/>
      <c r="AQ177" s="89" t="n"/>
      <c r="AR177" s="89" t="n"/>
      <c r="AS177" s="89" t="n">
        <v>-0.319655</v>
      </c>
      <c r="AT177" s="89" t="n"/>
      <c r="AU177" s="89" t="n">
        <v>-0.795423</v>
      </c>
      <c r="AV177" s="89" t="n"/>
      <c r="AW177" s="89" t="n"/>
      <c r="AX177" s="89" t="n"/>
      <c r="AY177" s="89" t="n"/>
    </row>
    <row r="178">
      <c r="A178" t="inlineStr">
        <is>
          <t>1933-09</t>
        </is>
      </c>
      <c r="B178" s="1" t="n">
        <v>12298</v>
      </c>
      <c r="C178" s="88" t="n">
        <v>178</v>
      </c>
      <c r="D178" s="1" t="n"/>
      <c r="E178" s="1">
        <f>B178</f>
        <v/>
      </c>
      <c r="F178" s="2">
        <f>B178</f>
        <v/>
      </c>
      <c r="G178" s="88" t="n">
        <v>176</v>
      </c>
      <c r="H178" s="89" t="n"/>
      <c r="I178" s="89" t="n"/>
      <c r="J178" s="89" t="n"/>
      <c r="K178" s="89" t="n"/>
      <c r="L178" s="89" t="n"/>
      <c r="M178" s="89" t="n"/>
      <c r="N178" s="89" t="n"/>
      <c r="O178" s="89" t="n"/>
      <c r="P178" s="89" t="n"/>
      <c r="Q178" s="89" t="n"/>
      <c r="R178" s="89" t="n"/>
      <c r="S178" s="89" t="n"/>
      <c r="T178" s="89" t="n"/>
      <c r="U178" s="89" t="n"/>
      <c r="V178" s="89" t="n"/>
      <c r="W178" s="89" t="n"/>
      <c r="X178" s="89" t="n"/>
      <c r="Y178" s="89" t="n"/>
      <c r="Z178" s="89" t="n"/>
      <c r="AA178" s="89" t="n"/>
      <c r="AB178" s="89" t="n"/>
      <c r="AC178" s="89" t="n"/>
      <c r="AD178" s="89" t="n"/>
      <c r="AE178" s="89" t="n"/>
      <c r="AF178" s="89" t="n"/>
      <c r="AG178" s="89" t="n"/>
      <c r="AH178" s="89" t="n"/>
      <c r="AI178" s="89" t="n"/>
      <c r="AJ178" s="89" t="n"/>
      <c r="AK178" s="89" t="n"/>
      <c r="AL178" s="89" t="n"/>
      <c r="AM178" s="89" t="n"/>
      <c r="AN178" s="89" t="n"/>
      <c r="AO178" s="89" t="n">
        <v>5.346484</v>
      </c>
      <c r="AP178" s="89" t="n"/>
      <c r="AQ178" s="89" t="n"/>
      <c r="AR178" s="89" t="n"/>
      <c r="AS178" s="89" t="n">
        <v>-0.523819</v>
      </c>
      <c r="AT178" s="89" t="n"/>
      <c r="AU178" s="89" t="n">
        <v>-0.225649</v>
      </c>
      <c r="AV178" s="89" t="n"/>
      <c r="AW178" s="89" t="n"/>
      <c r="AX178" s="89" t="n"/>
      <c r="AY178" s="89" t="n"/>
    </row>
    <row r="179">
      <c r="A179" t="inlineStr">
        <is>
          <t>1933-10</t>
        </is>
      </c>
      <c r="B179" s="1" t="n">
        <v>12328</v>
      </c>
      <c r="C179" s="88" t="n">
        <v>179</v>
      </c>
      <c r="D179" s="1" t="n"/>
      <c r="E179" s="1">
        <f>B179</f>
        <v/>
      </c>
      <c r="F179" s="2">
        <f>B179</f>
        <v/>
      </c>
      <c r="G179" s="88" t="n">
        <v>177</v>
      </c>
      <c r="H179" s="89" t="n"/>
      <c r="I179" s="89" t="n"/>
      <c r="J179" s="89" t="n"/>
      <c r="K179" s="89" t="n"/>
      <c r="L179" s="89" t="n"/>
      <c r="M179" s="89" t="n"/>
      <c r="N179" s="89" t="n"/>
      <c r="O179" s="89" t="n"/>
      <c r="P179" s="89" t="n"/>
      <c r="Q179" s="89" t="n"/>
      <c r="R179" s="89" t="n"/>
      <c r="S179" s="89" t="n"/>
      <c r="T179" s="89" t="n"/>
      <c r="U179" s="89" t="n"/>
      <c r="V179" s="89" t="n"/>
      <c r="W179" s="89" t="n"/>
      <c r="X179" s="89" t="n"/>
      <c r="Y179" s="89" t="n"/>
      <c r="Z179" s="89" t="n"/>
      <c r="AA179" s="89" t="n"/>
      <c r="AB179" s="89" t="n"/>
      <c r="AC179" s="89" t="n"/>
      <c r="AD179" s="89" t="n"/>
      <c r="AE179" s="89" t="n"/>
      <c r="AF179" s="89" t="n"/>
      <c r="AG179" s="89" t="n"/>
      <c r="AH179" s="89" t="n"/>
      <c r="AI179" s="89" t="n"/>
      <c r="AJ179" s="89" t="n"/>
      <c r="AK179" s="89" t="n"/>
      <c r="AL179" s="89" t="n"/>
      <c r="AM179" s="89" t="n"/>
      <c r="AN179" s="89" t="n"/>
      <c r="AO179" s="89" t="n">
        <v>5.080423</v>
      </c>
      <c r="AP179" s="89" t="n"/>
      <c r="AQ179" s="89" t="n"/>
      <c r="AR179" s="89" t="n"/>
      <c r="AS179" s="89" t="n">
        <v>0.041996</v>
      </c>
      <c r="AT179" s="89" t="n"/>
      <c r="AU179" s="89" t="n">
        <v>-0.038786</v>
      </c>
      <c r="AV179" s="89" t="n"/>
      <c r="AW179" s="89" t="n"/>
      <c r="AX179" s="89" t="n"/>
      <c r="AY179" s="89" t="n"/>
    </row>
    <row r="180">
      <c r="A180" t="inlineStr">
        <is>
          <t>1933-11</t>
        </is>
      </c>
      <c r="B180" s="1" t="n">
        <v>12359</v>
      </c>
      <c r="C180" s="88" t="n">
        <v>180</v>
      </c>
      <c r="D180" s="1" t="n"/>
      <c r="E180" s="1">
        <f>B180</f>
        <v/>
      </c>
      <c r="F180" s="2">
        <f>B180</f>
        <v/>
      </c>
      <c r="G180" s="88" t="n">
        <v>178</v>
      </c>
      <c r="H180" s="89" t="n"/>
      <c r="I180" s="89" t="n"/>
      <c r="J180" s="89" t="n"/>
      <c r="K180" s="89" t="n"/>
      <c r="L180" s="89" t="n"/>
      <c r="M180" s="89" t="n"/>
      <c r="N180" s="89" t="n"/>
      <c r="O180" s="89" t="n"/>
      <c r="P180" s="89" t="n"/>
      <c r="Q180" s="89" t="n"/>
      <c r="R180" s="89" t="n"/>
      <c r="S180" s="89" t="n"/>
      <c r="T180" s="89" t="n"/>
      <c r="U180" s="89" t="n"/>
      <c r="V180" s="89" t="n"/>
      <c r="W180" s="89" t="n"/>
      <c r="X180" s="89" t="n"/>
      <c r="Y180" s="89" t="n"/>
      <c r="Z180" s="89" t="n"/>
      <c r="AA180" s="89" t="n"/>
      <c r="AB180" s="89" t="n"/>
      <c r="AC180" s="89" t="n"/>
      <c r="AD180" s="89" t="n"/>
      <c r="AE180" s="89" t="n"/>
      <c r="AF180" s="89" t="n"/>
      <c r="AG180" s="89" t="n"/>
      <c r="AH180" s="89" t="n"/>
      <c r="AI180" s="89" t="n"/>
      <c r="AJ180" s="89" t="n"/>
      <c r="AK180" s="89" t="n"/>
      <c r="AL180" s="89" t="n"/>
      <c r="AM180" s="89" t="n"/>
      <c r="AN180" s="89" t="n"/>
      <c r="AO180" s="89" t="n">
        <v>4.787852</v>
      </c>
      <c r="AP180" s="89" t="n"/>
      <c r="AQ180" s="89" t="n"/>
      <c r="AR180" s="89" t="n"/>
      <c r="AS180" s="89" t="n">
        <v>0.102257</v>
      </c>
      <c r="AT180" s="89" t="n"/>
      <c r="AU180" s="89" t="n">
        <v>-0.172065</v>
      </c>
      <c r="AV180" s="89" t="n"/>
      <c r="AW180" s="89" t="n"/>
      <c r="AX180" s="89" t="n"/>
      <c r="AY180" s="89" t="n"/>
    </row>
    <row r="181">
      <c r="A181" t="inlineStr">
        <is>
          <t>1933-12</t>
        </is>
      </c>
      <c r="B181" s="1" t="n">
        <v>12389</v>
      </c>
      <c r="C181" s="88" t="n">
        <v>181</v>
      </c>
      <c r="D181" s="1" t="n"/>
      <c r="E181" s="1">
        <f>B181</f>
        <v/>
      </c>
      <c r="F181" s="2">
        <f>B181</f>
        <v/>
      </c>
      <c r="G181" s="88" t="n">
        <v>179</v>
      </c>
      <c r="H181" s="89" t="n"/>
      <c r="I181" s="89" t="n"/>
      <c r="J181" s="89" t="n"/>
      <c r="K181" s="89" t="n"/>
      <c r="L181" s="89" t="n"/>
      <c r="M181" s="89" t="n"/>
      <c r="N181" s="89" t="n"/>
      <c r="O181" s="89" t="n"/>
      <c r="P181" s="89" t="n"/>
      <c r="Q181" s="89" t="n"/>
      <c r="R181" s="89" t="n"/>
      <c r="S181" s="89" t="n"/>
      <c r="T181" s="89" t="n"/>
      <c r="U181" s="89" t="n"/>
      <c r="V181" s="89" t="n"/>
      <c r="W181" s="89" t="n"/>
      <c r="X181" s="89" t="n"/>
      <c r="Y181" s="89" t="n"/>
      <c r="Z181" s="89" t="n"/>
      <c r="AA181" s="89" t="n"/>
      <c r="AB181" s="89" t="n"/>
      <c r="AC181" s="89" t="n"/>
      <c r="AD181" s="89" t="n"/>
      <c r="AE181" s="89" t="n"/>
      <c r="AF181" s="89" t="n"/>
      <c r="AG181" s="89" t="n"/>
      <c r="AH181" s="89" t="n"/>
      <c r="AI181" s="89" t="n"/>
      <c r="AJ181" s="89" t="n"/>
      <c r="AK181" s="89" t="n"/>
      <c r="AL181" s="89" t="n"/>
      <c r="AM181" s="89" t="n"/>
      <c r="AN181" s="89" t="n"/>
      <c r="AO181" s="89" t="n">
        <v>4.814458</v>
      </c>
      <c r="AP181" s="89" t="n"/>
      <c r="AQ181" s="89" t="n"/>
      <c r="AR181" s="89" t="n"/>
      <c r="AS181" s="89" t="n">
        <v>0.6088710000000001</v>
      </c>
      <c r="AT181" s="89" t="n"/>
      <c r="AU181" s="89" t="n">
        <v>-0.700748</v>
      </c>
      <c r="AV181" s="89" t="n"/>
      <c r="AW181" s="89" t="n"/>
      <c r="AX181" s="89" t="n"/>
      <c r="AY181" s="89" t="n"/>
    </row>
    <row r="182">
      <c r="A182" t="inlineStr">
        <is>
          <t>1934-01</t>
        </is>
      </c>
      <c r="B182" s="1" t="n">
        <v>12420</v>
      </c>
      <c r="C182" s="88" t="n">
        <v>182</v>
      </c>
      <c r="D182" s="1" t="n"/>
      <c r="E182" s="1">
        <f>B182</f>
        <v/>
      </c>
      <c r="F182" s="2">
        <f>B182</f>
        <v/>
      </c>
      <c r="G182" s="88" t="n">
        <v>180</v>
      </c>
      <c r="H182" s="89" t="n"/>
      <c r="I182" s="89" t="n"/>
      <c r="J182" s="89" t="n"/>
      <c r="K182" s="89" t="n"/>
      <c r="L182" s="89" t="n"/>
      <c r="M182" s="89" t="n"/>
      <c r="N182" s="89" t="n"/>
      <c r="O182" s="89" t="n"/>
      <c r="P182" s="89" t="n"/>
      <c r="Q182" s="89" t="n"/>
      <c r="R182" s="89" t="n"/>
      <c r="S182" s="89" t="n"/>
      <c r="T182" s="89" t="n"/>
      <c r="U182" s="89" t="n"/>
      <c r="V182" s="89" t="n"/>
      <c r="W182" s="89" t="n"/>
      <c r="X182" s="89" t="n"/>
      <c r="Y182" s="89" t="n"/>
      <c r="Z182" s="89" t="n"/>
      <c r="AA182" s="89" t="n"/>
      <c r="AB182" s="89" t="n"/>
      <c r="AC182" s="89" t="n"/>
      <c r="AD182" s="89" t="n"/>
      <c r="AE182" s="89" t="n"/>
      <c r="AF182" s="89" t="n"/>
      <c r="AG182" s="89" t="n"/>
      <c r="AH182" s="89" t="n"/>
      <c r="AI182" s="89" t="n"/>
      <c r="AJ182" s="89" t="n"/>
      <c r="AK182" s="89" t="n"/>
      <c r="AL182" s="89" t="n"/>
      <c r="AM182" s="89" t="n"/>
      <c r="AN182" s="89" t="n"/>
      <c r="AO182" s="89" t="n">
        <v>4.973999</v>
      </c>
      <c r="AP182" s="89" t="n"/>
      <c r="AQ182" s="89" t="n"/>
      <c r="AR182" s="89" t="n"/>
      <c r="AS182" s="89" t="n">
        <v>-0.248539</v>
      </c>
      <c r="AT182" s="89" t="n"/>
      <c r="AU182" s="89" t="n">
        <v>-0.6133729999999999</v>
      </c>
      <c r="AV182" s="89" t="n"/>
      <c r="AW182" s="89" t="n"/>
      <c r="AX182" s="89" t="n"/>
      <c r="AY182" s="89" t="n"/>
    </row>
    <row r="183">
      <c r="A183" t="inlineStr">
        <is>
          <t>1934-02</t>
        </is>
      </c>
      <c r="B183" s="1" t="n">
        <v>12451</v>
      </c>
      <c r="C183" s="88" t="n">
        <v>183</v>
      </c>
      <c r="D183" s="1" t="n"/>
      <c r="E183" s="1">
        <f>B183</f>
        <v/>
      </c>
      <c r="F183" s="2">
        <f>B183</f>
        <v/>
      </c>
      <c r="G183" s="88" t="n">
        <v>181</v>
      </c>
      <c r="H183" s="89" t="n"/>
      <c r="I183" s="89" t="n"/>
      <c r="J183" s="89" t="n"/>
      <c r="K183" s="89" t="n"/>
      <c r="L183" s="89" t="n"/>
      <c r="M183" s="89" t="n"/>
      <c r="N183" s="89" t="n"/>
      <c r="O183" s="89" t="n"/>
      <c r="P183" s="89" t="n"/>
      <c r="Q183" s="89" t="n"/>
      <c r="R183" s="89" t="n"/>
      <c r="S183" s="89" t="n"/>
      <c r="T183" s="89" t="n"/>
      <c r="U183" s="89" t="n"/>
      <c r="V183" s="89" t="n"/>
      <c r="W183" s="89" t="n"/>
      <c r="X183" s="89" t="n"/>
      <c r="Y183" s="89" t="n"/>
      <c r="Z183" s="89" t="n"/>
      <c r="AA183" s="89" t="n"/>
      <c r="AB183" s="89" t="n"/>
      <c r="AC183" s="89" t="n"/>
      <c r="AD183" s="89" t="n"/>
      <c r="AE183" s="89" t="n"/>
      <c r="AF183" s="89" t="n"/>
      <c r="AG183" s="89" t="n"/>
      <c r="AH183" s="89" t="n"/>
      <c r="AI183" s="89" t="n"/>
      <c r="AJ183" s="89" t="n"/>
      <c r="AK183" s="89" t="n"/>
      <c r="AL183" s="89" t="n"/>
      <c r="AM183" s="89" t="n"/>
      <c r="AN183" s="89" t="n"/>
      <c r="AO183" s="89" t="n">
        <v>5.213454</v>
      </c>
      <c r="AP183" s="89" t="n"/>
      <c r="AQ183" s="89" t="n"/>
      <c r="AR183" s="89" t="n"/>
      <c r="AS183" s="89" t="n">
        <v>-0.753634</v>
      </c>
      <c r="AT183" s="89" t="n"/>
      <c r="AU183" s="89" t="n">
        <v>-1.157736</v>
      </c>
      <c r="AV183" s="89" t="n"/>
      <c r="AW183" s="89" t="n"/>
      <c r="AX183" s="89" t="n"/>
      <c r="AY183" s="89" t="n"/>
    </row>
    <row r="184">
      <c r="A184" t="inlineStr">
        <is>
          <t>1934-03</t>
        </is>
      </c>
      <c r="B184" s="1" t="n">
        <v>12479</v>
      </c>
      <c r="C184" s="88" t="n">
        <v>184</v>
      </c>
      <c r="D184" s="1" t="n"/>
      <c r="E184" s="1">
        <f>B184</f>
        <v/>
      </c>
      <c r="F184" s="2">
        <f>B184</f>
        <v/>
      </c>
      <c r="G184" s="88" t="n">
        <v>182</v>
      </c>
      <c r="H184" s="89" t="n"/>
      <c r="I184" s="89" t="n"/>
      <c r="J184" s="89" t="n"/>
      <c r="K184" s="89" t="n"/>
      <c r="L184" s="89" t="n"/>
      <c r="M184" s="89" t="n"/>
      <c r="N184" s="89" t="n"/>
      <c r="O184" s="89" t="n"/>
      <c r="P184" s="89" t="n"/>
      <c r="Q184" s="89" t="n"/>
      <c r="R184" s="89" t="n"/>
      <c r="S184" s="89" t="n"/>
      <c r="T184" s="89" t="n"/>
      <c r="U184" s="89" t="n"/>
      <c r="V184" s="89" t="n"/>
      <c r="W184" s="89" t="n"/>
      <c r="X184" s="89" t="n"/>
      <c r="Y184" s="89" t="n"/>
      <c r="Z184" s="89" t="n"/>
      <c r="AA184" s="89" t="n"/>
      <c r="AB184" s="89" t="n"/>
      <c r="AC184" s="89" t="n"/>
      <c r="AD184" s="89" t="n"/>
      <c r="AE184" s="89" t="n"/>
      <c r="AF184" s="89" t="n"/>
      <c r="AG184" s="89" t="n"/>
      <c r="AH184" s="89" t="n"/>
      <c r="AI184" s="89" t="n"/>
      <c r="AJ184" s="89" t="n"/>
      <c r="AK184" s="89" t="n"/>
      <c r="AL184" s="89" t="n"/>
      <c r="AM184" s="89" t="n"/>
      <c r="AN184" s="89" t="n"/>
      <c r="AO184" s="89" t="n">
        <v>5.452813</v>
      </c>
      <c r="AP184" s="89" t="n"/>
      <c r="AQ184" s="89" t="n"/>
      <c r="AR184" s="89" t="n"/>
      <c r="AS184" s="89" t="n">
        <v>-0.7105359999999999</v>
      </c>
      <c r="AT184" s="89" t="n"/>
      <c r="AU184" s="89" t="n">
        <v>-0.849714</v>
      </c>
      <c r="AV184" s="89" t="n"/>
      <c r="AW184" s="89" t="n"/>
      <c r="AX184" s="89" t="n"/>
      <c r="AY184" s="89" t="n"/>
    </row>
    <row r="185">
      <c r="A185" t="inlineStr">
        <is>
          <t>1934-04</t>
        </is>
      </c>
      <c r="B185" s="1" t="n">
        <v>12510</v>
      </c>
      <c r="C185" s="88" t="n">
        <v>185</v>
      </c>
      <c r="D185" s="1" t="n"/>
      <c r="E185" s="1">
        <f>B185</f>
        <v/>
      </c>
      <c r="F185" s="2">
        <f>B185</f>
        <v/>
      </c>
      <c r="G185" s="88" t="n">
        <v>183</v>
      </c>
      <c r="H185" s="89" t="n"/>
      <c r="I185" s="89" t="n"/>
      <c r="J185" s="89" t="n"/>
      <c r="K185" s="89" t="n"/>
      <c r="L185" s="89" t="n"/>
      <c r="M185" s="89" t="n"/>
      <c r="N185" s="89" t="n"/>
      <c r="O185" s="89" t="n"/>
      <c r="P185" s="89" t="n"/>
      <c r="Q185" s="89" t="n"/>
      <c r="R185" s="89" t="n"/>
      <c r="S185" s="89" t="n"/>
      <c r="T185" s="89" t="n"/>
      <c r="U185" s="89" t="n"/>
      <c r="V185" s="89" t="n"/>
      <c r="W185" s="89" t="n"/>
      <c r="X185" s="89" t="n"/>
      <c r="Y185" s="89" t="n"/>
      <c r="Z185" s="89" t="n"/>
      <c r="AA185" s="89" t="n"/>
      <c r="AB185" s="89" t="n"/>
      <c r="AC185" s="89" t="n"/>
      <c r="AD185" s="89" t="n"/>
      <c r="AE185" s="89" t="n"/>
      <c r="AF185" s="89" t="n"/>
      <c r="AG185" s="89" t="n"/>
      <c r="AH185" s="89" t="n"/>
      <c r="AI185" s="89" t="n"/>
      <c r="AJ185" s="89" t="n"/>
      <c r="AK185" s="89" t="n"/>
      <c r="AL185" s="89" t="n"/>
      <c r="AM185" s="89" t="n"/>
      <c r="AN185" s="89" t="n"/>
      <c r="AO185" s="89" t="n">
        <v>5.452813</v>
      </c>
      <c r="AP185" s="89" t="n"/>
      <c r="AQ185" s="89" t="n"/>
      <c r="AR185" s="89" t="n"/>
      <c r="AS185" s="89" t="n">
        <v>0.043779</v>
      </c>
      <c r="AT185" s="89" t="n"/>
      <c r="AU185" s="89" t="n">
        <v>0.885902</v>
      </c>
      <c r="AV185" s="89" t="n"/>
      <c r="AW185" s="89" t="n"/>
      <c r="AX185" s="89" t="n"/>
      <c r="AY185" s="89" t="n"/>
    </row>
    <row r="186">
      <c r="A186" t="inlineStr">
        <is>
          <t>1934-05</t>
        </is>
      </c>
      <c r="B186" s="1" t="n">
        <v>12540</v>
      </c>
      <c r="C186" s="88" t="n">
        <v>186</v>
      </c>
      <c r="D186" s="1" t="n"/>
      <c r="E186" s="1">
        <f>B186</f>
        <v/>
      </c>
      <c r="F186" s="2">
        <f>B186</f>
        <v/>
      </c>
      <c r="G186" s="88" t="n">
        <v>184</v>
      </c>
      <c r="H186" s="89" t="n"/>
      <c r="I186" s="89" t="n"/>
      <c r="J186" s="89" t="n"/>
      <c r="K186" s="89" t="n"/>
      <c r="L186" s="89" t="n"/>
      <c r="M186" s="89" t="n"/>
      <c r="N186" s="89" t="n"/>
      <c r="O186" s="89" t="n"/>
      <c r="P186" s="89" t="n"/>
      <c r="Q186" s="89" t="n"/>
      <c r="R186" s="89" t="n"/>
      <c r="S186" s="89" t="n"/>
      <c r="T186" s="89" t="n"/>
      <c r="U186" s="89" t="n"/>
      <c r="V186" s="89" t="n"/>
      <c r="W186" s="89" t="n"/>
      <c r="X186" s="89" t="n"/>
      <c r="Y186" s="89" t="n"/>
      <c r="Z186" s="89" t="n"/>
      <c r="AA186" s="89" t="n"/>
      <c r="AB186" s="89" t="n"/>
      <c r="AC186" s="89" t="n"/>
      <c r="AD186" s="89" t="n"/>
      <c r="AE186" s="89" t="n"/>
      <c r="AF186" s="89" t="n"/>
      <c r="AG186" s="89" t="n"/>
      <c r="AH186" s="89" t="n"/>
      <c r="AI186" s="89" t="n"/>
      <c r="AJ186" s="89" t="n"/>
      <c r="AK186" s="89" t="n"/>
      <c r="AL186" s="89" t="n"/>
      <c r="AM186" s="89" t="n"/>
      <c r="AN186" s="89" t="n"/>
      <c r="AO186" s="89" t="n">
        <v>5.559237</v>
      </c>
      <c r="AP186" s="89" t="n"/>
      <c r="AQ186" s="89" t="n"/>
      <c r="AR186" s="89" t="n"/>
      <c r="AS186" s="89" t="n">
        <v>0.773674</v>
      </c>
      <c r="AT186" s="89" t="n"/>
      <c r="AU186" s="89" t="n">
        <v>1.096857</v>
      </c>
      <c r="AV186" s="89" t="n"/>
      <c r="AW186" s="89" t="n"/>
      <c r="AX186" s="89" t="n"/>
      <c r="AY186" s="89" t="n"/>
      <c r="AZ186" t="n">
        <v>2.852959</v>
      </c>
    </row>
    <row r="187">
      <c r="A187" t="inlineStr">
        <is>
          <t>1934-06</t>
        </is>
      </c>
      <c r="B187" s="1" t="n">
        <v>12571</v>
      </c>
      <c r="C187" s="88" t="n">
        <v>187</v>
      </c>
      <c r="D187" s="1" t="n"/>
      <c r="E187" s="1">
        <f>B187</f>
        <v/>
      </c>
      <c r="F187" s="2">
        <f>B187</f>
        <v/>
      </c>
      <c r="G187" s="88" t="n">
        <v>185</v>
      </c>
      <c r="H187" s="89" t="n"/>
      <c r="I187" s="89" t="n"/>
      <c r="J187" s="89" t="n"/>
      <c r="K187" s="89" t="n"/>
      <c r="L187" s="89" t="n"/>
      <c r="M187" s="89" t="n"/>
      <c r="N187" s="89" t="n"/>
      <c r="O187" s="89" t="n"/>
      <c r="P187" s="89" t="n"/>
      <c r="Q187" s="89" t="n"/>
      <c r="R187" s="89" t="n"/>
      <c r="S187" s="89" t="n"/>
      <c r="T187" s="89" t="n"/>
      <c r="U187" s="89" t="n"/>
      <c r="V187" s="89" t="n"/>
      <c r="W187" s="89" t="n"/>
      <c r="X187" s="89" t="n"/>
      <c r="Y187" s="89" t="n"/>
      <c r="Z187" s="89" t="n"/>
      <c r="AA187" s="89" t="n"/>
      <c r="AB187" s="89" t="n"/>
      <c r="AC187" s="89" t="n"/>
      <c r="AD187" s="89" t="n"/>
      <c r="AE187" s="89" t="n"/>
      <c r="AF187" s="89" t="n"/>
      <c r="AG187" s="89" t="n"/>
      <c r="AH187" s="89" t="n"/>
      <c r="AI187" s="89" t="n"/>
      <c r="AJ187" s="89" t="n"/>
      <c r="AK187" s="89" t="n"/>
      <c r="AL187" s="89" t="n"/>
      <c r="AM187" s="89" t="n"/>
      <c r="AN187" s="89" t="n"/>
      <c r="AO187" s="89" t="n">
        <v>5.452813</v>
      </c>
      <c r="AP187" s="89" t="n"/>
      <c r="AQ187" s="89" t="n"/>
      <c r="AR187" s="89" t="n"/>
      <c r="AS187" s="89" t="n">
        <v>0.220969</v>
      </c>
      <c r="AT187" s="89" t="n"/>
      <c r="AU187" s="89" t="n">
        <v>1.439518</v>
      </c>
      <c r="AV187" s="89" t="n"/>
      <c r="AW187" s="89" t="n"/>
      <c r="AX187" s="89" t="n"/>
      <c r="AY187" s="89" t="n"/>
      <c r="AZ187" t="n">
        <v>2.010236</v>
      </c>
    </row>
    <row r="188">
      <c r="A188" t="inlineStr">
        <is>
          <t>1934-07</t>
        </is>
      </c>
      <c r="B188" s="1" t="n">
        <v>12601</v>
      </c>
      <c r="C188" s="88" t="n">
        <v>188</v>
      </c>
      <c r="D188" s="1" t="n"/>
      <c r="E188" s="1">
        <f>B188</f>
        <v/>
      </c>
      <c r="F188" s="2">
        <f>B188</f>
        <v/>
      </c>
      <c r="G188" s="88" t="n">
        <v>186</v>
      </c>
      <c r="H188" s="89" t="n"/>
      <c r="I188" s="89" t="n"/>
      <c r="J188" s="89" t="n"/>
      <c r="K188" s="89" t="n"/>
      <c r="L188" s="89" t="n"/>
      <c r="M188" s="89" t="n"/>
      <c r="N188" s="89" t="n"/>
      <c r="O188" s="89" t="n"/>
      <c r="P188" s="89" t="n"/>
      <c r="Q188" s="89" t="n"/>
      <c r="R188" s="89" t="n"/>
      <c r="S188" s="89" t="n"/>
      <c r="T188" s="89" t="n"/>
      <c r="U188" s="89" t="n"/>
      <c r="V188" s="89" t="n"/>
      <c r="W188" s="89" t="n"/>
      <c r="X188" s="89" t="n"/>
      <c r="Y188" s="89" t="n"/>
      <c r="Z188" s="89" t="n"/>
      <c r="AA188" s="89" t="n"/>
      <c r="AB188" s="89" t="n"/>
      <c r="AC188" s="89" t="n"/>
      <c r="AD188" s="89" t="n"/>
      <c r="AE188" s="89" t="n"/>
      <c r="AF188" s="89" t="n"/>
      <c r="AG188" s="89" t="n"/>
      <c r="AH188" s="89" t="n"/>
      <c r="AI188" s="89" t="n"/>
      <c r="AJ188" s="89" t="n"/>
      <c r="AK188" s="89" t="n"/>
      <c r="AL188" s="89" t="n"/>
      <c r="AM188" s="89" t="n"/>
      <c r="AN188" s="89" t="n"/>
      <c r="AO188" s="89" t="n">
        <v>5.080423</v>
      </c>
      <c r="AP188" s="89" t="n"/>
      <c r="AQ188" s="89" t="n"/>
      <c r="AR188" s="89" t="n"/>
      <c r="AS188" s="89" t="n">
        <v>0.480108</v>
      </c>
      <c r="AT188" s="89" t="n"/>
      <c r="AU188" s="89" t="n">
        <v>0.740852</v>
      </c>
      <c r="AV188" s="89" t="n"/>
      <c r="AW188" s="89" t="n"/>
      <c r="AX188" s="89" t="n"/>
      <c r="AY188" s="89" t="n"/>
      <c r="AZ188" t="n">
        <v>0.805455</v>
      </c>
    </row>
    <row r="189">
      <c r="A189" t="inlineStr">
        <is>
          <t>1934-08</t>
        </is>
      </c>
      <c r="B189" s="1" t="n">
        <v>12632</v>
      </c>
      <c r="C189" s="88" t="n">
        <v>189</v>
      </c>
      <c r="D189" s="1" t="n"/>
      <c r="E189" s="1">
        <f>B189</f>
        <v/>
      </c>
      <c r="F189" s="2">
        <f>B189</f>
        <v/>
      </c>
      <c r="G189" s="88" t="n">
        <v>187</v>
      </c>
      <c r="H189" s="89" t="n"/>
      <c r="I189" s="89" t="n"/>
      <c r="J189" s="89" t="n"/>
      <c r="K189" s="89" t="n"/>
      <c r="L189" s="89" t="n"/>
      <c r="M189" s="89" t="n"/>
      <c r="N189" s="89" t="n"/>
      <c r="O189" s="89" t="n"/>
      <c r="P189" s="89" t="n"/>
      <c r="Q189" s="89" t="n"/>
      <c r="R189" s="89" t="n"/>
      <c r="S189" s="89" t="n"/>
      <c r="T189" s="89" t="n"/>
      <c r="U189" s="89" t="n"/>
      <c r="V189" s="89" t="n"/>
      <c r="W189" s="89" t="n"/>
      <c r="X189" s="89" t="n"/>
      <c r="Y189" s="89" t="n"/>
      <c r="Z189" s="89" t="n"/>
      <c r="AA189" s="89" t="n"/>
      <c r="AB189" s="89" t="n"/>
      <c r="AC189" s="89" t="n"/>
      <c r="AD189" s="89" t="n"/>
      <c r="AE189" s="89" t="n"/>
      <c r="AF189" s="89" t="n"/>
      <c r="AG189" s="89" t="n"/>
      <c r="AH189" s="89" t="n"/>
      <c r="AI189" s="89" t="n"/>
      <c r="AJ189" s="89" t="n"/>
      <c r="AK189" s="89" t="n"/>
      <c r="AL189" s="89" t="n"/>
      <c r="AM189" s="89" t="n"/>
      <c r="AN189" s="89" t="n"/>
      <c r="AO189" s="89" t="n">
        <v>5.027211</v>
      </c>
      <c r="AP189" s="89" t="n"/>
      <c r="AQ189" s="89" t="n"/>
      <c r="AR189" s="89" t="n"/>
      <c r="AS189" s="89" t="n">
        <v>0.466317</v>
      </c>
      <c r="AT189" s="89" t="n"/>
      <c r="AU189" s="89" t="n">
        <v>-0.142492</v>
      </c>
      <c r="AV189" s="89" t="n"/>
      <c r="AW189" s="89" t="n"/>
      <c r="AX189" s="89" t="n"/>
      <c r="AY189" s="89" t="n"/>
      <c r="AZ189" t="n">
        <v>1.421339</v>
      </c>
    </row>
    <row r="190">
      <c r="A190" t="inlineStr">
        <is>
          <t>1934-09</t>
        </is>
      </c>
      <c r="B190" s="1" t="n">
        <v>12663</v>
      </c>
      <c r="C190" s="88" t="n">
        <v>190</v>
      </c>
      <c r="D190" s="1" t="n"/>
      <c r="E190" s="1">
        <f>B190</f>
        <v/>
      </c>
      <c r="F190" s="2">
        <f>B190</f>
        <v/>
      </c>
      <c r="G190" s="88" t="n">
        <v>188</v>
      </c>
      <c r="H190" s="89" t="n"/>
      <c r="I190" s="89" t="n"/>
      <c r="J190" s="89" t="n"/>
      <c r="K190" s="89" t="n"/>
      <c r="L190" s="89" t="n"/>
      <c r="M190" s="89" t="n"/>
      <c r="N190" s="89" t="n"/>
      <c r="O190" s="89" t="n"/>
      <c r="P190" s="89" t="n"/>
      <c r="Q190" s="89" t="n"/>
      <c r="R190" s="89" t="n"/>
      <c r="S190" s="89" t="n"/>
      <c r="T190" s="89" t="n"/>
      <c r="U190" s="89" t="n"/>
      <c r="V190" s="89" t="n"/>
      <c r="W190" s="89" t="n"/>
      <c r="X190" s="89" t="n"/>
      <c r="Y190" s="89" t="n"/>
      <c r="Z190" s="89" t="n"/>
      <c r="AA190" s="89" t="n"/>
      <c r="AB190" s="89" t="n"/>
      <c r="AC190" s="89" t="n"/>
      <c r="AD190" s="89" t="n"/>
      <c r="AE190" s="89" t="n"/>
      <c r="AF190" s="89" t="n"/>
      <c r="AG190" s="89" t="n"/>
      <c r="AH190" s="89" t="n"/>
      <c r="AI190" s="89" t="n"/>
      <c r="AJ190" s="89" t="n"/>
      <c r="AK190" s="89" t="n"/>
      <c r="AL190" s="89" t="n"/>
      <c r="AM190" s="89" t="n"/>
      <c r="AN190" s="89" t="n"/>
      <c r="AO190" s="89" t="n">
        <v>4.73464</v>
      </c>
      <c r="AP190" s="89" t="n"/>
      <c r="AQ190" s="89" t="n"/>
      <c r="AR190" s="89" t="n"/>
      <c r="AS190" s="89" t="n">
        <v>-0.319434</v>
      </c>
      <c r="AT190" s="89" t="n"/>
      <c r="AU190" s="89" t="n">
        <v>1.084857</v>
      </c>
      <c r="AV190" s="89" t="n"/>
      <c r="AW190" s="89" t="n"/>
      <c r="AX190" s="89" t="n"/>
      <c r="AY190" s="89" t="n"/>
      <c r="AZ190" t="n">
        <v>2.06826</v>
      </c>
    </row>
    <row r="191">
      <c r="A191" t="inlineStr">
        <is>
          <t>1934-10</t>
        </is>
      </c>
      <c r="B191" s="1" t="n">
        <v>12693</v>
      </c>
      <c r="C191" s="88" t="n">
        <v>191</v>
      </c>
      <c r="D191" s="1" t="n"/>
      <c r="E191" s="1">
        <f>B191</f>
        <v/>
      </c>
      <c r="F191" s="2">
        <f>B191</f>
        <v/>
      </c>
      <c r="G191" s="88" t="n">
        <v>189</v>
      </c>
      <c r="H191" s="89" t="n"/>
      <c r="I191" s="89" t="n"/>
      <c r="J191" s="89" t="n"/>
      <c r="K191" s="89" t="n"/>
      <c r="L191" s="89" t="n"/>
      <c r="M191" s="89" t="n"/>
      <c r="N191" s="89" t="n"/>
      <c r="O191" s="89" t="n"/>
      <c r="P191" s="89" t="n"/>
      <c r="Q191" s="89" t="n"/>
      <c r="R191" s="89" t="n"/>
      <c r="S191" s="89" t="n"/>
      <c r="T191" s="89" t="n"/>
      <c r="U191" s="89" t="n"/>
      <c r="V191" s="89" t="n"/>
      <c r="W191" s="89" t="n"/>
      <c r="X191" s="89" t="n"/>
      <c r="Y191" s="89" t="n"/>
      <c r="Z191" s="89" t="n"/>
      <c r="AA191" s="89" t="n"/>
      <c r="AB191" s="89" t="n"/>
      <c r="AC191" s="89" t="n"/>
      <c r="AD191" s="89" t="n"/>
      <c r="AE191" s="89" t="n"/>
      <c r="AF191" s="89" t="n"/>
      <c r="AG191" s="89" t="n"/>
      <c r="AH191" s="89" t="n"/>
      <c r="AI191" s="89" t="n"/>
      <c r="AJ191" s="89" t="n"/>
      <c r="AK191" s="89" t="n"/>
      <c r="AL191" s="89" t="n"/>
      <c r="AM191" s="89" t="n"/>
      <c r="AN191" s="89" t="n"/>
      <c r="AO191" s="89" t="n">
        <v>4.947488</v>
      </c>
      <c r="AP191" s="89" t="n"/>
      <c r="AQ191" s="89" t="n"/>
      <c r="AR191" s="89" t="n"/>
      <c r="AS191" s="89" t="n">
        <v>0.690416</v>
      </c>
      <c r="AT191" s="89" t="n"/>
      <c r="AU191" s="89" t="n">
        <v>1.124755</v>
      </c>
      <c r="AV191" s="89" t="n"/>
      <c r="AW191" s="89" t="n"/>
      <c r="AX191" s="89" t="n"/>
      <c r="AY191" s="89" t="n"/>
      <c r="AZ191" t="n">
        <v>0.252391</v>
      </c>
    </row>
    <row r="192">
      <c r="A192" t="inlineStr">
        <is>
          <t>1934-11</t>
        </is>
      </c>
      <c r="B192" s="1" t="n">
        <v>12724</v>
      </c>
      <c r="C192" s="88" t="n">
        <v>192</v>
      </c>
      <c r="D192" s="1" t="n"/>
      <c r="E192" s="1">
        <f>B192</f>
        <v/>
      </c>
      <c r="F192" s="2">
        <f>B192</f>
        <v/>
      </c>
      <c r="G192" s="88" t="n">
        <v>190</v>
      </c>
      <c r="H192" s="89" t="n"/>
      <c r="I192" s="89" t="n"/>
      <c r="J192" s="89" t="n"/>
      <c r="K192" s="89" t="n"/>
      <c r="L192" s="89" t="n"/>
      <c r="M192" s="89" t="n"/>
      <c r="N192" s="89" t="n"/>
      <c r="O192" s="89" t="n"/>
      <c r="P192" s="89" t="n"/>
      <c r="Q192" s="89" t="n"/>
      <c r="R192" s="89" t="n"/>
      <c r="S192" s="89" t="n"/>
      <c r="T192" s="89" t="n"/>
      <c r="U192" s="89" t="n"/>
      <c r="V192" s="89" t="n"/>
      <c r="W192" s="89" t="n"/>
      <c r="X192" s="89" t="n"/>
      <c r="Y192" s="89" t="n"/>
      <c r="Z192" s="89" t="n"/>
      <c r="AA192" s="89" t="n"/>
      <c r="AB192" s="89" t="n"/>
      <c r="AC192" s="89" t="n"/>
      <c r="AD192" s="89" t="n"/>
      <c r="AE192" s="89" t="n"/>
      <c r="AF192" s="89" t="n"/>
      <c r="AG192" s="89" t="n"/>
      <c r="AH192" s="89" t="n"/>
      <c r="AI192" s="89" t="n"/>
      <c r="AJ192" s="89" t="n"/>
      <c r="AK192" s="89" t="n"/>
      <c r="AL192" s="89" t="n"/>
      <c r="AM192" s="89" t="n"/>
      <c r="AN192" s="89" t="n"/>
      <c r="AO192" s="89" t="n">
        <v>5.000605</v>
      </c>
      <c r="AP192" s="89" t="n"/>
      <c r="AQ192" s="89" t="n"/>
      <c r="AR192" s="89" t="n"/>
      <c r="AS192" s="89" t="n">
        <v>0.337664</v>
      </c>
      <c r="AT192" s="89" t="n"/>
      <c r="AU192" s="89" t="n">
        <v>1.669118</v>
      </c>
      <c r="AV192" s="89" t="n"/>
      <c r="AW192" s="89" t="n"/>
      <c r="AX192" s="89" t="n"/>
      <c r="AY192" s="89" t="n"/>
      <c r="AZ192" t="n">
        <v>1.240935</v>
      </c>
    </row>
    <row r="193">
      <c r="A193" t="inlineStr">
        <is>
          <t>1934-12</t>
        </is>
      </c>
      <c r="B193" s="1" t="n">
        <v>12754</v>
      </c>
      <c r="C193" s="88" t="n">
        <v>193</v>
      </c>
      <c r="D193" s="1" t="n"/>
      <c r="E193" s="1">
        <f>B193</f>
        <v/>
      </c>
      <c r="F193" s="2">
        <f>B193</f>
        <v/>
      </c>
      <c r="G193" s="88" t="n">
        <v>191</v>
      </c>
      <c r="H193" s="89" t="n"/>
      <c r="I193" s="89" t="n"/>
      <c r="J193" s="89" t="n"/>
      <c r="K193" s="89" t="n"/>
      <c r="L193" s="89" t="n"/>
      <c r="M193" s="89" t="n"/>
      <c r="N193" s="89" t="n"/>
      <c r="O193" s="89" t="n"/>
      <c r="P193" s="89" t="n"/>
      <c r="Q193" s="89" t="n"/>
      <c r="R193" s="89" t="n"/>
      <c r="S193" s="89" t="n"/>
      <c r="T193" s="89" t="n"/>
      <c r="U193" s="89" t="n"/>
      <c r="V193" s="89" t="n"/>
      <c r="W193" s="89" t="n"/>
      <c r="X193" s="89" t="n"/>
      <c r="Y193" s="89" t="n"/>
      <c r="Z193" s="89" t="n"/>
      <c r="AA193" s="89" t="n"/>
      <c r="AB193" s="89" t="n"/>
      <c r="AC193" s="89" t="n"/>
      <c r="AD193" s="89" t="n"/>
      <c r="AE193" s="89" t="n"/>
      <c r="AF193" s="89" t="n"/>
      <c r="AG193" s="89" t="n"/>
      <c r="AH193" s="89" t="n"/>
      <c r="AI193" s="89" t="n"/>
      <c r="AJ193" s="89" t="n"/>
      <c r="AK193" s="89" t="n"/>
      <c r="AL193" s="89" t="n"/>
      <c r="AM193" s="89" t="n"/>
      <c r="AN193" s="89" t="n"/>
      <c r="AO193" s="89" t="n">
        <v>5.319878</v>
      </c>
      <c r="AP193" s="89" t="n"/>
      <c r="AQ193" s="89" t="n"/>
      <c r="AR193" s="89" t="n"/>
      <c r="AS193" s="89" t="n">
        <v>-0.552884</v>
      </c>
      <c r="AT193" s="89" t="n"/>
      <c r="AU193" s="89" t="n">
        <v>0.361223</v>
      </c>
      <c r="AV193" s="89" t="n"/>
      <c r="AW193" s="89" t="n"/>
      <c r="AX193" s="89" t="n"/>
      <c r="AY193" s="89" t="n"/>
      <c r="AZ193" t="n">
        <v>-1.543122</v>
      </c>
    </row>
    <row r="194">
      <c r="A194" t="inlineStr">
        <is>
          <t>1935-01</t>
        </is>
      </c>
      <c r="B194" s="1" t="n">
        <v>12785</v>
      </c>
      <c r="C194" s="88" t="n">
        <v>194</v>
      </c>
      <c r="D194" s="1" t="n"/>
      <c r="E194" s="1">
        <f>B194</f>
        <v/>
      </c>
      <c r="F194" s="2">
        <f>B194</f>
        <v/>
      </c>
      <c r="G194" s="88" t="n">
        <v>192</v>
      </c>
      <c r="H194" s="89" t="n"/>
      <c r="I194" s="89" t="n"/>
      <c r="J194" s="89" t="n"/>
      <c r="K194" s="89" t="n"/>
      <c r="L194" s="89" t="n"/>
      <c r="M194" s="89" t="n"/>
      <c r="N194" s="89" t="n"/>
      <c r="O194" s="89" t="n"/>
      <c r="P194" s="89" t="n"/>
      <c r="Q194" s="89" t="n"/>
      <c r="R194" s="89" t="n"/>
      <c r="S194" s="89" t="n"/>
      <c r="T194" s="89" t="n"/>
      <c r="U194" s="89" t="n"/>
      <c r="V194" s="89" t="n"/>
      <c r="W194" s="89" t="n"/>
      <c r="X194" s="89" t="n"/>
      <c r="Y194" s="89" t="n"/>
      <c r="Z194" s="89" t="n"/>
      <c r="AA194" s="89" t="n"/>
      <c r="AB194" s="89" t="n"/>
      <c r="AC194" s="89" t="n"/>
      <c r="AD194" s="89" t="n"/>
      <c r="AE194" s="89" t="n"/>
      <c r="AF194" s="89" t="n"/>
      <c r="AG194" s="89" t="n"/>
      <c r="AH194" s="89" t="n"/>
      <c r="AI194" s="89" t="n"/>
      <c r="AJ194" s="89" t="n"/>
      <c r="AK194" s="89" t="n"/>
      <c r="AL194" s="89" t="n"/>
      <c r="AM194" s="89" t="n"/>
      <c r="AN194" s="89" t="n"/>
      <c r="AO194" s="89" t="n">
        <v>5.745384</v>
      </c>
      <c r="AP194" s="89" t="n">
        <v>0.5994119999999999</v>
      </c>
      <c r="AQ194" s="89" t="n"/>
      <c r="AR194" s="89" t="n"/>
      <c r="AS194" s="89" t="n">
        <v>0.262247</v>
      </c>
      <c r="AT194" s="89" t="n"/>
      <c r="AU194" s="89" t="n">
        <v>0.444021</v>
      </c>
      <c r="AV194" s="89" t="n"/>
      <c r="AW194" s="89" t="n"/>
      <c r="AX194" s="89" t="n"/>
      <c r="AY194" s="89" t="n"/>
      <c r="AZ194" t="n">
        <v>-3.790304</v>
      </c>
    </row>
    <row r="195">
      <c r="A195" t="inlineStr">
        <is>
          <t>1935-02</t>
        </is>
      </c>
      <c r="B195" s="1" t="n">
        <v>12816</v>
      </c>
      <c r="C195" s="88" t="n">
        <v>195</v>
      </c>
      <c r="D195" s="1" t="n"/>
      <c r="E195" s="1">
        <f>B195</f>
        <v/>
      </c>
      <c r="F195" s="2">
        <f>B195</f>
        <v/>
      </c>
      <c r="G195" s="88" t="n">
        <v>193</v>
      </c>
      <c r="H195" s="89" t="n"/>
      <c r="I195" s="89" t="n"/>
      <c r="J195" s="89" t="n"/>
      <c r="K195" s="89" t="n"/>
      <c r="L195" s="89" t="n"/>
      <c r="M195" s="89" t="n"/>
      <c r="N195" s="89" t="n"/>
      <c r="O195" s="89" t="n"/>
      <c r="P195" s="89" t="n"/>
      <c r="Q195" s="89" t="n"/>
      <c r="R195" s="89" t="n"/>
      <c r="S195" s="89" t="n"/>
      <c r="T195" s="89" t="n"/>
      <c r="U195" s="89" t="n"/>
      <c r="V195" s="89" t="n"/>
      <c r="W195" s="89" t="n"/>
      <c r="X195" s="89" t="n"/>
      <c r="Y195" s="89" t="n"/>
      <c r="Z195" s="89" t="n"/>
      <c r="AA195" s="89" t="n"/>
      <c r="AB195" s="89" t="n"/>
      <c r="AC195" s="89" t="n"/>
      <c r="AD195" s="89" t="n"/>
      <c r="AE195" s="89" t="n"/>
      <c r="AF195" s="89" t="n"/>
      <c r="AG195" s="89" t="n"/>
      <c r="AH195" s="89" t="n"/>
      <c r="AI195" s="89" t="n"/>
      <c r="AJ195" s="89" t="n"/>
      <c r="AK195" s="89" t="n"/>
      <c r="AL195" s="89" t="n"/>
      <c r="AM195" s="89" t="n"/>
      <c r="AN195" s="89" t="n"/>
      <c r="AO195" s="89" t="n">
        <v>5.851808</v>
      </c>
      <c r="AP195" s="89" t="n">
        <v>0.29018</v>
      </c>
      <c r="AQ195" s="89" t="n"/>
      <c r="AR195" s="89" t="n"/>
      <c r="AS195" s="89" t="n">
        <v>0.702697</v>
      </c>
      <c r="AT195" s="89" t="n"/>
      <c r="AU195" s="89" t="n">
        <v>0.431641</v>
      </c>
      <c r="AV195" s="89" t="n"/>
      <c r="AW195" s="89" t="n"/>
      <c r="AX195" s="89" t="n"/>
      <c r="AY195" s="89" t="n"/>
      <c r="AZ195" t="n">
        <v>-0.3863</v>
      </c>
    </row>
    <row r="196">
      <c r="A196" t="inlineStr">
        <is>
          <t>1935-03</t>
        </is>
      </c>
      <c r="B196" s="1" t="n">
        <v>12844</v>
      </c>
      <c r="C196" s="88" t="n">
        <v>196</v>
      </c>
      <c r="D196" s="1" t="n"/>
      <c r="E196" s="1">
        <f>B196</f>
        <v/>
      </c>
      <c r="F196" s="2">
        <f>B196</f>
        <v/>
      </c>
      <c r="G196" s="88" t="n">
        <v>194</v>
      </c>
      <c r="H196" s="89" t="n"/>
      <c r="I196" s="89" t="n"/>
      <c r="J196" s="89" t="n"/>
      <c r="K196" s="89" t="n"/>
      <c r="L196" s="89" t="n"/>
      <c r="M196" s="89" t="n"/>
      <c r="N196" s="89" t="n"/>
      <c r="O196" s="89" t="n"/>
      <c r="P196" s="89" t="n"/>
      <c r="Q196" s="89" t="n"/>
      <c r="R196" s="89" t="n"/>
      <c r="S196" s="89" t="n"/>
      <c r="T196" s="89" t="n"/>
      <c r="U196" s="89" t="n"/>
      <c r="V196" s="89" t="n"/>
      <c r="W196" s="89" t="n"/>
      <c r="X196" s="89" t="n"/>
      <c r="Y196" s="89" t="n"/>
      <c r="Z196" s="89" t="n"/>
      <c r="AA196" s="89" t="n"/>
      <c r="AB196" s="89" t="n"/>
      <c r="AC196" s="89" t="n"/>
      <c r="AD196" s="89" t="n"/>
      <c r="AE196" s="89" t="n"/>
      <c r="AF196" s="89" t="n"/>
      <c r="AG196" s="89" t="n"/>
      <c r="AH196" s="89" t="n"/>
      <c r="AI196" s="89" t="n"/>
      <c r="AJ196" s="89" t="n"/>
      <c r="AK196" s="89" t="n"/>
      <c r="AL196" s="89" t="n"/>
      <c r="AM196" s="89" t="n"/>
      <c r="AN196" s="89" t="n"/>
      <c r="AO196" s="89" t="n">
        <v>5.825202</v>
      </c>
      <c r="AP196" s="89" t="n">
        <v>0.287762</v>
      </c>
      <c r="AQ196" s="89" t="n"/>
      <c r="AR196" s="89" t="n"/>
      <c r="AS196" s="89" t="n">
        <v>0.107137</v>
      </c>
      <c r="AT196" s="89" t="n"/>
      <c r="AU196" s="89" t="n">
        <v>0.394653</v>
      </c>
      <c r="AV196" s="89" t="n"/>
      <c r="AW196" s="89" t="n"/>
      <c r="AX196" s="89" t="n"/>
      <c r="AY196" s="89" t="n"/>
      <c r="AZ196" t="n">
        <v>0.766785</v>
      </c>
    </row>
    <row r="197">
      <c r="A197" t="inlineStr">
        <is>
          <t>1935-04</t>
        </is>
      </c>
      <c r="B197" s="1" t="n">
        <v>12875</v>
      </c>
      <c r="C197" s="88" t="n">
        <v>197</v>
      </c>
      <c r="D197" s="1" t="n"/>
      <c r="E197" s="1">
        <f>B197</f>
        <v/>
      </c>
      <c r="F197" s="2">
        <f>B197</f>
        <v/>
      </c>
      <c r="G197" s="88" t="n">
        <v>195</v>
      </c>
      <c r="H197" s="89" t="n"/>
      <c r="I197" s="89" t="n"/>
      <c r="J197" s="89" t="n"/>
      <c r="K197" s="89" t="n"/>
      <c r="L197" s="89" t="n"/>
      <c r="M197" s="89" t="n"/>
      <c r="N197" s="89" t="n"/>
      <c r="O197" s="89" t="n"/>
      <c r="P197" s="89" t="n"/>
      <c r="Q197" s="89" t="n"/>
      <c r="R197" s="89" t="n"/>
      <c r="S197" s="89" t="n"/>
      <c r="T197" s="89" t="n"/>
      <c r="U197" s="89" t="n"/>
      <c r="V197" s="89" t="n"/>
      <c r="W197" s="89" t="n"/>
      <c r="X197" s="89" t="n"/>
      <c r="Y197" s="89" t="n"/>
      <c r="Z197" s="89" t="n"/>
      <c r="AA197" s="89" t="n"/>
      <c r="AB197" s="89" t="n"/>
      <c r="AC197" s="89" t="n"/>
      <c r="AD197" s="89" t="n"/>
      <c r="AE197" s="89" t="n"/>
      <c r="AF197" s="89" t="n"/>
      <c r="AG197" s="89" t="n"/>
      <c r="AH197" s="89" t="n"/>
      <c r="AI197" s="89" t="n"/>
      <c r="AJ197" s="89" t="n"/>
      <c r="AK197" s="89" t="n"/>
      <c r="AL197" s="89" t="n"/>
      <c r="AM197" s="89" t="n"/>
      <c r="AN197" s="89" t="n"/>
      <c r="AO197" s="89" t="n">
        <v>5.718778</v>
      </c>
      <c r="AP197" s="89" t="n">
        <v>0.128258</v>
      </c>
      <c r="AQ197" s="89" t="n"/>
      <c r="AR197" s="89" t="n"/>
      <c r="AS197" s="89" t="n">
        <v>0.253144</v>
      </c>
      <c r="AT197" s="89" t="n"/>
      <c r="AU197" s="89" t="n">
        <v>1.403239</v>
      </c>
      <c r="AV197" s="89" t="n"/>
      <c r="AW197" s="89" t="n"/>
      <c r="AX197" s="89" t="n"/>
      <c r="AY197" s="89" t="n"/>
      <c r="AZ197" t="n">
        <v>2.74966</v>
      </c>
    </row>
    <row r="198">
      <c r="A198" t="inlineStr">
        <is>
          <t>1935-05</t>
        </is>
      </c>
      <c r="B198" s="1" t="n">
        <v>12905</v>
      </c>
      <c r="C198" s="88" t="n">
        <v>198</v>
      </c>
      <c r="D198" s="1" t="n"/>
      <c r="E198" s="1">
        <f>B198</f>
        <v/>
      </c>
      <c r="F198" s="2">
        <f>B198</f>
        <v/>
      </c>
      <c r="G198" s="88" t="n">
        <v>196</v>
      </c>
      <c r="H198" s="89" t="n"/>
      <c r="I198" s="89" t="n"/>
      <c r="J198" s="89" t="n"/>
      <c r="K198" s="89" t="n"/>
      <c r="L198" s="89" t="n"/>
      <c r="M198" s="89" t="n"/>
      <c r="N198" s="89" t="n"/>
      <c r="O198" s="89" t="n"/>
      <c r="P198" s="89" t="n"/>
      <c r="Q198" s="89" t="n"/>
      <c r="R198" s="89" t="n"/>
      <c r="S198" s="89" t="n"/>
      <c r="T198" s="89" t="n"/>
      <c r="U198" s="89" t="n"/>
      <c r="V198" s="89" t="n"/>
      <c r="W198" s="89" t="n"/>
      <c r="X198" s="89" t="n"/>
      <c r="Y198" s="89" t="n"/>
      <c r="Z198" s="89" t="n"/>
      <c r="AA198" s="89" t="n"/>
      <c r="AB198" s="89" t="n"/>
      <c r="AC198" s="89" t="n"/>
      <c r="AD198" s="89" t="n"/>
      <c r="AE198" s="89" t="n"/>
      <c r="AF198" s="89" t="n"/>
      <c r="AG198" s="89" t="n"/>
      <c r="AH198" s="89" t="n"/>
      <c r="AI198" s="89" t="n"/>
      <c r="AJ198" s="89" t="n"/>
      <c r="AK198" s="89" t="n"/>
      <c r="AL198" s="89" t="n"/>
      <c r="AM198" s="89" t="n"/>
      <c r="AN198" s="89" t="n"/>
      <c r="AO198" s="89" t="n">
        <v>5.718778</v>
      </c>
      <c r="AP198" s="89" t="n">
        <v>0.717378</v>
      </c>
      <c r="AQ198" s="89" t="n"/>
      <c r="AR198" s="89" t="n"/>
      <c r="AS198" s="89" t="n">
        <v>-0.269413</v>
      </c>
      <c r="AT198" s="89" t="n"/>
      <c r="AU198" s="89" t="n">
        <v>1.873041</v>
      </c>
      <c r="AV198" s="89" t="n"/>
      <c r="AW198" s="89" t="n"/>
      <c r="AX198" s="89" t="n"/>
      <c r="AY198" s="89" t="n">
        <v>-0.10174</v>
      </c>
      <c r="AZ198" t="n">
        <v>2.228766</v>
      </c>
    </row>
    <row r="199">
      <c r="A199" t="inlineStr">
        <is>
          <t>1935-06</t>
        </is>
      </c>
      <c r="B199" s="1" t="n">
        <v>12936</v>
      </c>
      <c r="C199" s="88" t="n">
        <v>199</v>
      </c>
      <c r="D199" s="1" t="n"/>
      <c r="E199" s="1">
        <f>B199</f>
        <v/>
      </c>
      <c r="F199" s="2">
        <f>B199</f>
        <v/>
      </c>
      <c r="G199" s="88" t="n">
        <v>197</v>
      </c>
      <c r="H199" s="89" t="n"/>
      <c r="I199" s="89" t="n"/>
      <c r="J199" s="89" t="n"/>
      <c r="K199" s="89" t="n"/>
      <c r="L199" s="89" t="n"/>
      <c r="M199" s="89" t="n"/>
      <c r="N199" s="89" t="n"/>
      <c r="O199" s="89" t="n"/>
      <c r="P199" s="89" t="n"/>
      <c r="Q199" s="89" t="n"/>
      <c r="R199" s="89" t="n"/>
      <c r="S199" s="89" t="n"/>
      <c r="T199" s="89" t="n"/>
      <c r="U199" s="89" t="n"/>
      <c r="V199" s="89" t="n"/>
      <c r="W199" s="89" t="n"/>
      <c r="X199" s="89" t="n"/>
      <c r="Y199" s="89" t="n"/>
      <c r="Z199" s="89" t="n"/>
      <c r="AA199" s="89" t="n"/>
      <c r="AB199" s="89" t="n"/>
      <c r="AC199" s="89" t="n"/>
      <c r="AD199" s="89" t="n"/>
      <c r="AE199" s="89" t="n"/>
      <c r="AF199" s="89" t="n"/>
      <c r="AG199" s="89" t="n"/>
      <c r="AH199" s="89" t="n"/>
      <c r="AI199" s="89" t="n"/>
      <c r="AJ199" s="89" t="n"/>
      <c r="AK199" s="89" t="n"/>
      <c r="AL199" s="89" t="n"/>
      <c r="AM199" s="89" t="n"/>
      <c r="AN199" s="89" t="n"/>
      <c r="AO199" s="89" t="n">
        <v>5.798596</v>
      </c>
      <c r="AP199" s="89" t="n">
        <v>0.648681</v>
      </c>
      <c r="AQ199" s="89" t="n"/>
      <c r="AR199" s="89" t="n"/>
      <c r="AS199" s="89" t="n">
        <v>-0.292629</v>
      </c>
      <c r="AT199" s="89" t="n">
        <v>0.488981</v>
      </c>
      <c r="AU199" s="89" t="n">
        <v>1.13476</v>
      </c>
      <c r="AV199" s="89" t="n"/>
      <c r="AW199" s="89" t="n"/>
      <c r="AX199" s="89" t="n"/>
      <c r="AY199" s="89" t="n">
        <v>3.898924</v>
      </c>
      <c r="AZ199" t="n">
        <v>2.296678</v>
      </c>
    </row>
    <row r="200">
      <c r="A200" t="inlineStr">
        <is>
          <t>1935-07</t>
        </is>
      </c>
      <c r="B200" s="1" t="n">
        <v>12966</v>
      </c>
      <c r="C200" s="88" t="n">
        <v>200</v>
      </c>
      <c r="D200" s="1" t="n"/>
      <c r="E200" s="1">
        <f>B200</f>
        <v/>
      </c>
      <c r="F200" s="2">
        <f>B200</f>
        <v/>
      </c>
      <c r="G200" s="88" t="n">
        <v>198</v>
      </c>
      <c r="H200" s="89" t="n"/>
      <c r="I200" s="89" t="n"/>
      <c r="J200" s="89" t="n"/>
      <c r="K200" s="89" t="n"/>
      <c r="L200" s="89" t="n"/>
      <c r="M200" s="89" t="n"/>
      <c r="N200" s="89" t="n"/>
      <c r="O200" s="89" t="n"/>
      <c r="P200" s="89" t="n"/>
      <c r="Q200" s="89" t="n"/>
      <c r="R200" s="89" t="n"/>
      <c r="S200" s="89" t="n"/>
      <c r="T200" s="89" t="n"/>
      <c r="U200" s="89" t="n"/>
      <c r="V200" s="89" t="n"/>
      <c r="W200" s="89" t="n"/>
      <c r="X200" s="89" t="n"/>
      <c r="Y200" s="89" t="n"/>
      <c r="Z200" s="89" t="n"/>
      <c r="AA200" s="89" t="n"/>
      <c r="AB200" s="89" t="n"/>
      <c r="AC200" s="89" t="n"/>
      <c r="AD200" s="89" t="n"/>
      <c r="AE200" s="89" t="n"/>
      <c r="AF200" s="89" t="n"/>
      <c r="AG200" s="89" t="n"/>
      <c r="AH200" s="89" t="n"/>
      <c r="AI200" s="89" t="n"/>
      <c r="AJ200" s="89" t="n"/>
      <c r="AK200" s="89" t="n"/>
      <c r="AL200" s="89" t="n"/>
      <c r="AM200" s="89" t="n"/>
      <c r="AN200" s="89" t="n"/>
      <c r="AO200" s="89" t="n">
        <v>5.798596</v>
      </c>
      <c r="AP200" s="89" t="n">
        <v>0.422721</v>
      </c>
      <c r="AQ200" s="89" t="n"/>
      <c r="AR200" s="89" t="n"/>
      <c r="AS200" s="89" t="n">
        <v>0.533012</v>
      </c>
      <c r="AT200" s="89" t="n">
        <v>1.585574</v>
      </c>
      <c r="AU200" s="89" t="n">
        <v>0.948474</v>
      </c>
      <c r="AV200" s="89" t="n"/>
      <c r="AW200" s="89" t="n"/>
      <c r="AX200" s="89" t="n"/>
      <c r="AY200" s="89" t="n">
        <v>-1.015052</v>
      </c>
      <c r="AZ200" t="n">
        <v>1.822266</v>
      </c>
    </row>
    <row r="201">
      <c r="A201" t="inlineStr">
        <is>
          <t>1935-08</t>
        </is>
      </c>
      <c r="B201" s="1" t="n">
        <v>12997</v>
      </c>
      <c r="C201" s="88" t="n">
        <v>201</v>
      </c>
      <c r="D201" s="1" t="n"/>
      <c r="E201" s="1">
        <f>B201</f>
        <v/>
      </c>
      <c r="F201" s="2">
        <f>B201</f>
        <v/>
      </c>
      <c r="G201" s="88" t="n">
        <v>199</v>
      </c>
      <c r="H201" s="89" t="n"/>
      <c r="I201" s="89" t="n"/>
      <c r="J201" s="89" t="n"/>
      <c r="K201" s="89" t="n"/>
      <c r="L201" s="89" t="n"/>
      <c r="M201" s="89" t="n"/>
      <c r="N201" s="89" t="n"/>
      <c r="O201" s="89" t="n"/>
      <c r="P201" s="89" t="n"/>
      <c r="Q201" s="89" t="n"/>
      <c r="R201" s="89" t="n"/>
      <c r="S201" s="89" t="n"/>
      <c r="T201" s="89" t="n"/>
      <c r="U201" s="89" t="n"/>
      <c r="V201" s="89" t="n"/>
      <c r="W201" s="89" t="n"/>
      <c r="X201" s="89" t="n"/>
      <c r="Y201" s="89" t="n"/>
      <c r="Z201" s="89" t="n"/>
      <c r="AA201" s="89" t="n"/>
      <c r="AB201" s="89" t="n"/>
      <c r="AC201" s="89" t="n"/>
      <c r="AD201" s="89" t="n"/>
      <c r="AE201" s="89" t="n"/>
      <c r="AF201" s="89" t="n"/>
      <c r="AG201" s="89" t="n"/>
      <c r="AH201" s="89" t="n"/>
      <c r="AI201" s="89" t="n"/>
      <c r="AJ201" s="89" t="n"/>
      <c r="AK201" s="89" t="n"/>
      <c r="AL201" s="89" t="n"/>
      <c r="AM201" s="89" t="n"/>
      <c r="AN201" s="89" t="n"/>
      <c r="AO201" s="89" t="n">
        <v>6.011445</v>
      </c>
      <c r="AP201" s="89" t="n">
        <v>0.216047</v>
      </c>
      <c r="AQ201" s="89" t="n"/>
      <c r="AR201" s="89" t="n"/>
      <c r="AS201" s="89" t="n">
        <v>0.761947</v>
      </c>
      <c r="AT201" s="89" t="n">
        <v>0.752362</v>
      </c>
      <c r="AU201" s="89" t="n">
        <v>0.287285</v>
      </c>
      <c r="AV201" s="89" t="n"/>
      <c r="AW201" s="89" t="n"/>
      <c r="AX201" s="89" t="n"/>
      <c r="AY201" s="89" t="n">
        <v>0.8943759999999999</v>
      </c>
      <c r="AZ201" t="n">
        <v>2.100205</v>
      </c>
    </row>
    <row r="202">
      <c r="A202" t="inlineStr">
        <is>
          <t>1935-09</t>
        </is>
      </c>
      <c r="B202" s="1" t="n">
        <v>13028</v>
      </c>
      <c r="C202" s="88" t="n">
        <v>202</v>
      </c>
      <c r="D202" s="1" t="n"/>
      <c r="E202" s="1">
        <f>B202</f>
        <v/>
      </c>
      <c r="F202" s="2">
        <f>B202</f>
        <v/>
      </c>
      <c r="G202" s="88" t="n">
        <v>200</v>
      </c>
      <c r="H202" s="89" t="n"/>
      <c r="I202" s="89" t="n"/>
      <c r="J202" s="89" t="n"/>
      <c r="K202" s="89" t="n"/>
      <c r="L202" s="89" t="n"/>
      <c r="M202" s="89" t="n"/>
      <c r="N202" s="89" t="n"/>
      <c r="O202" s="89" t="n"/>
      <c r="P202" s="89" t="n"/>
      <c r="Q202" s="89" t="n"/>
      <c r="R202" s="89" t="n"/>
      <c r="S202" s="89" t="n"/>
      <c r="T202" s="89" t="n"/>
      <c r="U202" s="89" t="n"/>
      <c r="V202" s="89" t="n"/>
      <c r="W202" s="89" t="n"/>
      <c r="X202" s="89" t="n"/>
      <c r="Y202" s="89" t="n"/>
      <c r="Z202" s="89" t="n"/>
      <c r="AA202" s="89" t="n"/>
      <c r="AB202" s="89" t="n"/>
      <c r="AC202" s="89" t="n"/>
      <c r="AD202" s="89" t="n"/>
      <c r="AE202" s="89" t="n"/>
      <c r="AF202" s="89" t="n"/>
      <c r="AG202" s="89" t="n"/>
      <c r="AH202" s="89" t="n"/>
      <c r="AI202" s="89" t="n"/>
      <c r="AJ202" s="89" t="n"/>
      <c r="AK202" s="89" t="n"/>
      <c r="AL202" s="89" t="n"/>
      <c r="AM202" s="89" t="n"/>
      <c r="AN202" s="89" t="n"/>
      <c r="AO202" s="89" t="n">
        <v>6.170986</v>
      </c>
      <c r="AP202" s="89" t="n">
        <v>1.290115</v>
      </c>
      <c r="AQ202" s="89" t="n"/>
      <c r="AR202" s="89" t="n"/>
      <c r="AS202" s="89" t="n">
        <v>0.7105399999999999</v>
      </c>
      <c r="AT202" s="89" t="n">
        <v>0.409848</v>
      </c>
      <c r="AU202" s="89" t="n">
        <v>0.611664</v>
      </c>
      <c r="AV202" s="89" t="n"/>
      <c r="AW202" s="89" t="n"/>
      <c r="AX202" s="89" t="n"/>
      <c r="AY202" s="89" t="n">
        <v>0.935087</v>
      </c>
      <c r="AZ202" t="n">
        <v>1.487514</v>
      </c>
    </row>
    <row r="203">
      <c r="A203" t="inlineStr">
        <is>
          <t>1935-10</t>
        </is>
      </c>
      <c r="B203" s="1" t="n">
        <v>13058</v>
      </c>
      <c r="C203" s="88" t="n">
        <v>203</v>
      </c>
      <c r="D203" s="1" t="n"/>
      <c r="E203" s="1">
        <f>B203</f>
        <v/>
      </c>
      <c r="F203" s="2">
        <f>B203</f>
        <v/>
      </c>
      <c r="G203" s="88" t="n">
        <v>201</v>
      </c>
      <c r="H203" s="89" t="n"/>
      <c r="I203" s="89" t="n"/>
      <c r="J203" s="89" t="n"/>
      <c r="K203" s="89" t="n"/>
      <c r="L203" s="89" t="n"/>
      <c r="M203" s="89" t="n"/>
      <c r="N203" s="89" t="n"/>
      <c r="O203" s="89" t="n"/>
      <c r="P203" s="89" t="n"/>
      <c r="Q203" s="89" t="n"/>
      <c r="R203" s="89" t="n"/>
      <c r="S203" s="89" t="n"/>
      <c r="T203" s="89" t="n"/>
      <c r="U203" s="89" t="n"/>
      <c r="V203" s="89" t="n"/>
      <c r="W203" s="89" t="n"/>
      <c r="X203" s="89" t="n"/>
      <c r="Y203" s="89" t="n"/>
      <c r="Z203" s="89" t="n"/>
      <c r="AA203" s="89" t="n"/>
      <c r="AB203" s="89" t="n"/>
      <c r="AC203" s="89" t="n"/>
      <c r="AD203" s="89" t="n"/>
      <c r="AE203" s="89" t="n"/>
      <c r="AF203" s="89" t="n"/>
      <c r="AG203" s="89" t="n"/>
      <c r="AH203" s="89" t="n"/>
      <c r="AI203" s="89" t="n"/>
      <c r="AJ203" s="89" t="n"/>
      <c r="AK203" s="89" t="n"/>
      <c r="AL203" s="89" t="n"/>
      <c r="AM203" s="89" t="n"/>
      <c r="AN203" s="89" t="n"/>
      <c r="AO203" s="89" t="n">
        <v>6.357228</v>
      </c>
      <c r="AP203" s="89" t="n">
        <v>0.766738</v>
      </c>
      <c r="AQ203" s="89" t="n"/>
      <c r="AR203" s="89" t="n"/>
      <c r="AS203" s="89" t="n">
        <v>1.187225</v>
      </c>
      <c r="AT203" s="89" t="n">
        <v>1.192832</v>
      </c>
      <c r="AU203" s="89" t="n">
        <v>0.208898</v>
      </c>
      <c r="AV203" s="89" t="n"/>
      <c r="AW203" s="89" t="n"/>
      <c r="AX203" s="89" t="n"/>
      <c r="AY203" s="89" t="n">
        <v>1.107052</v>
      </c>
      <c r="AZ203" t="n">
        <v>2.517217</v>
      </c>
    </row>
    <row r="204">
      <c r="A204" t="inlineStr">
        <is>
          <t>1935-11</t>
        </is>
      </c>
      <c r="B204" s="1" t="n">
        <v>13089</v>
      </c>
      <c r="C204" s="88" t="n">
        <v>204</v>
      </c>
      <c r="D204" s="1" t="n"/>
      <c r="E204" s="1">
        <f>B204</f>
        <v/>
      </c>
      <c r="F204" s="2">
        <f>B204</f>
        <v/>
      </c>
      <c r="G204" s="88" t="n">
        <v>202</v>
      </c>
      <c r="H204" s="89" t="n"/>
      <c r="I204" s="89" t="n"/>
      <c r="J204" s="89" t="n"/>
      <c r="K204" s="89" t="n"/>
      <c r="L204" s="89" t="n"/>
      <c r="M204" s="89" t="n"/>
      <c r="N204" s="89" t="n"/>
      <c r="O204" s="89" t="n"/>
      <c r="P204" s="89" t="n"/>
      <c r="Q204" s="89" t="n"/>
      <c r="R204" s="89" t="n"/>
      <c r="S204" s="89" t="n"/>
      <c r="T204" s="89" t="n"/>
      <c r="U204" s="89" t="n"/>
      <c r="V204" s="89" t="n"/>
      <c r="W204" s="89" t="n"/>
      <c r="X204" s="89" t="n"/>
      <c r="Y204" s="89" t="n"/>
      <c r="Z204" s="89" t="n"/>
      <c r="AA204" s="89" t="n"/>
      <c r="AB204" s="89" t="n"/>
      <c r="AC204" s="89" t="n"/>
      <c r="AD204" s="89" t="n"/>
      <c r="AE204" s="89" t="n"/>
      <c r="AF204" s="89" t="n"/>
      <c r="AG204" s="89" t="n"/>
      <c r="AH204" s="89" t="n"/>
      <c r="AI204" s="89" t="n"/>
      <c r="AJ204" s="89" t="n"/>
      <c r="AK204" s="89" t="n"/>
      <c r="AL204" s="89" t="n"/>
      <c r="AM204" s="89" t="n"/>
      <c r="AN204" s="89" t="n"/>
      <c r="AO204" s="89" t="n">
        <v>6.490163</v>
      </c>
      <c r="AP204" s="89" t="n">
        <v>1.100453</v>
      </c>
      <c r="AQ204" s="89" t="n"/>
      <c r="AR204" s="89" t="n"/>
      <c r="AS204" s="89" t="n">
        <v>0.918106</v>
      </c>
      <c r="AT204" s="89" t="n">
        <v>1.600856</v>
      </c>
      <c r="AU204" s="89" t="n">
        <v>0.150986</v>
      </c>
      <c r="AV204" s="89" t="n"/>
      <c r="AW204" s="89" t="n"/>
      <c r="AX204" s="89" t="n"/>
      <c r="AY204" s="89" t="n">
        <v>0.77367</v>
      </c>
      <c r="AZ204" t="n">
        <v>1.351458</v>
      </c>
    </row>
    <row r="205">
      <c r="A205" t="inlineStr">
        <is>
          <t>1935-12</t>
        </is>
      </c>
      <c r="B205" s="1" t="n">
        <v>13119</v>
      </c>
      <c r="C205" s="88" t="n">
        <v>205</v>
      </c>
      <c r="D205" s="1" t="n"/>
      <c r="E205" s="1">
        <f>B205</f>
        <v/>
      </c>
      <c r="F205" s="2">
        <f>B205</f>
        <v/>
      </c>
      <c r="G205" s="88" t="n">
        <v>203</v>
      </c>
      <c r="H205" s="89" t="n"/>
      <c r="I205" s="89" t="n"/>
      <c r="J205" s="89" t="n"/>
      <c r="K205" s="89" t="n"/>
      <c r="L205" s="89" t="n"/>
      <c r="M205" s="89" t="n"/>
      <c r="N205" s="89" t="n"/>
      <c r="O205" s="89" t="n"/>
      <c r="P205" s="89" t="n"/>
      <c r="Q205" s="89" t="n"/>
      <c r="R205" s="89" t="n"/>
      <c r="S205" s="89" t="n"/>
      <c r="T205" s="89" t="n"/>
      <c r="U205" s="89" t="n"/>
      <c r="V205" s="89" t="n"/>
      <c r="W205" s="89" t="n"/>
      <c r="X205" s="89" t="n"/>
      <c r="Y205" s="89" t="n"/>
      <c r="Z205" s="89" t="n"/>
      <c r="AA205" s="89" t="n"/>
      <c r="AB205" s="89" t="n"/>
      <c r="AC205" s="89" t="n"/>
      <c r="AD205" s="89" t="n"/>
      <c r="AE205" s="89" t="n"/>
      <c r="AF205" s="89" t="n"/>
      <c r="AG205" s="89" t="n"/>
      <c r="AH205" s="89" t="n"/>
      <c r="AI205" s="89" t="n"/>
      <c r="AJ205" s="89" t="n"/>
      <c r="AK205" s="89" t="n"/>
      <c r="AL205" s="89" t="n"/>
      <c r="AM205" s="89" t="n"/>
      <c r="AN205" s="89" t="n"/>
      <c r="AO205" s="89" t="n">
        <v>6.569981</v>
      </c>
      <c r="AP205" s="89" t="n">
        <v>0.612756</v>
      </c>
      <c r="AQ205" s="89" t="n"/>
      <c r="AR205" s="89" t="n"/>
      <c r="AS205" s="89" t="n">
        <v>0.699433</v>
      </c>
      <c r="AT205" s="89" t="n">
        <v>1.630075</v>
      </c>
      <c r="AU205" s="89" t="n">
        <v>0.126386</v>
      </c>
      <c r="AV205" s="89" t="n"/>
      <c r="AW205" s="89" t="n"/>
      <c r="AX205" s="89" t="n"/>
      <c r="AY205" s="89" t="n">
        <v>-1.88679</v>
      </c>
      <c r="AZ205" t="n">
        <v>0.517422</v>
      </c>
    </row>
    <row r="206">
      <c r="A206" t="inlineStr">
        <is>
          <t>1936-01</t>
        </is>
      </c>
      <c r="B206" s="1" t="n">
        <v>13150</v>
      </c>
      <c r="C206" s="88" t="n">
        <v>206</v>
      </c>
      <c r="D206" s="1" t="n"/>
      <c r="E206" s="1">
        <f>B206</f>
        <v/>
      </c>
      <c r="F206" s="2">
        <f>B206</f>
        <v/>
      </c>
      <c r="G206" s="88" t="n">
        <v>204</v>
      </c>
      <c r="H206" s="89" t="n"/>
      <c r="I206" s="89" t="n"/>
      <c r="J206" s="89" t="n"/>
      <c r="K206" s="89" t="n"/>
      <c r="L206" s="89" t="n"/>
      <c r="M206" s="89" t="n"/>
      <c r="N206" s="89" t="n"/>
      <c r="O206" s="89" t="n"/>
      <c r="P206" s="89" t="n"/>
      <c r="Q206" s="89" t="n"/>
      <c r="R206" s="89" t="n"/>
      <c r="S206" s="89" t="n"/>
      <c r="T206" s="89" t="n"/>
      <c r="U206" s="89" t="n"/>
      <c r="V206" s="89" t="n"/>
      <c r="W206" s="89" t="n"/>
      <c r="X206" s="89" t="n"/>
      <c r="Y206" s="89" t="n"/>
      <c r="Z206" s="89" t="n"/>
      <c r="AA206" s="89" t="n"/>
      <c r="AB206" s="89" t="n"/>
      <c r="AC206" s="89" t="n"/>
      <c r="AD206" s="89" t="n"/>
      <c r="AE206" s="89" t="n"/>
      <c r="AF206" s="89" t="n"/>
      <c r="AG206" s="89" t="n"/>
      <c r="AH206" s="89" t="n"/>
      <c r="AI206" s="89" t="n"/>
      <c r="AJ206" s="89" t="n"/>
      <c r="AK206" s="89" t="n"/>
      <c r="AL206" s="89" t="n"/>
      <c r="AM206" s="89" t="n"/>
      <c r="AN206" s="89" t="n"/>
      <c r="AO206" s="89" t="n">
        <v>6.463557</v>
      </c>
      <c r="AP206" s="89" t="n">
        <v>0.41789</v>
      </c>
      <c r="AQ206" s="89" t="n"/>
      <c r="AR206" s="89" t="n"/>
      <c r="AS206" s="89" t="n">
        <v>1.181725</v>
      </c>
      <c r="AT206" s="89" t="n">
        <v>1.310736</v>
      </c>
      <c r="AU206" s="89" t="n">
        <v>0.141419</v>
      </c>
      <c r="AV206" s="89" t="n"/>
      <c r="AW206" s="89" t="n"/>
      <c r="AX206" s="89" t="n">
        <v>-0.095249</v>
      </c>
      <c r="AY206" s="89" t="n">
        <v>1.525789</v>
      </c>
      <c r="AZ206" t="n">
        <v>1.959505</v>
      </c>
    </row>
    <row r="207">
      <c r="A207" t="inlineStr">
        <is>
          <t>1936-02</t>
        </is>
      </c>
      <c r="B207" s="1" t="n">
        <v>13181</v>
      </c>
      <c r="C207" s="88" t="n">
        <v>207</v>
      </c>
      <c r="D207" s="1" t="n"/>
      <c r="E207" s="1">
        <f>B207</f>
        <v/>
      </c>
      <c r="F207" s="2">
        <f>B207</f>
        <v/>
      </c>
      <c r="G207" s="88" t="n">
        <v>205</v>
      </c>
      <c r="H207" s="89" t="n"/>
      <c r="I207" s="89" t="n"/>
      <c r="J207" s="89" t="n"/>
      <c r="K207" s="89" t="n"/>
      <c r="L207" s="89" t="n"/>
      <c r="M207" s="89" t="n"/>
      <c r="N207" s="89" t="n"/>
      <c r="O207" s="89" t="n"/>
      <c r="P207" s="89" t="n"/>
      <c r="Q207" s="89" t="n"/>
      <c r="R207" s="89" t="n"/>
      <c r="S207" s="89" t="n"/>
      <c r="T207" s="89" t="n"/>
      <c r="U207" s="89" t="n"/>
      <c r="V207" s="89" t="n"/>
      <c r="W207" s="89" t="n"/>
      <c r="X207" s="89" t="n"/>
      <c r="Y207" s="89" t="n"/>
      <c r="Z207" s="89" t="n"/>
      <c r="AA207" s="89" t="n"/>
      <c r="AB207" s="89" t="n"/>
      <c r="AC207" s="89" t="n"/>
      <c r="AD207" s="89" t="n"/>
      <c r="AE207" s="89" t="n"/>
      <c r="AF207" s="89" t="n"/>
      <c r="AG207" s="89" t="n"/>
      <c r="AH207" s="89" t="n"/>
      <c r="AI207" s="89" t="n"/>
      <c r="AJ207" s="89" t="n"/>
      <c r="AK207" s="89" t="n"/>
      <c r="AL207" s="89" t="n"/>
      <c r="AM207" s="89" t="n"/>
      <c r="AN207" s="89" t="n"/>
      <c r="AO207" s="89" t="n">
        <v>6.304016</v>
      </c>
      <c r="AP207" s="89" t="n">
        <v>0.562276</v>
      </c>
      <c r="AQ207" s="89" t="n"/>
      <c r="AR207" s="89" t="n"/>
      <c r="AS207" s="89" t="n">
        <v>-0.100578</v>
      </c>
      <c r="AT207" s="89" t="n">
        <v>1.814746</v>
      </c>
      <c r="AU207" s="89" t="n">
        <v>-0.219162</v>
      </c>
      <c r="AV207" s="89" t="n"/>
      <c r="AW207" s="89" t="n"/>
      <c r="AX207" s="89" t="n">
        <v>0.495544</v>
      </c>
      <c r="AY207" s="89" t="n">
        <v>0.097457</v>
      </c>
      <c r="AZ207" t="n">
        <v>-0.304614</v>
      </c>
    </row>
    <row r="208">
      <c r="A208" t="inlineStr">
        <is>
          <t>1936-03</t>
        </is>
      </c>
      <c r="B208" s="1" t="n">
        <v>13210</v>
      </c>
      <c r="C208" s="88" t="n">
        <v>208</v>
      </c>
      <c r="D208" s="1" t="n"/>
      <c r="E208" s="1">
        <f>B208</f>
        <v/>
      </c>
      <c r="F208" s="2">
        <f>B208</f>
        <v/>
      </c>
      <c r="G208" s="88" t="n">
        <v>206</v>
      </c>
      <c r="H208" s="89" t="n"/>
      <c r="I208" s="89" t="n"/>
      <c r="J208" s="89" t="n"/>
      <c r="K208" s="89" t="n"/>
      <c r="L208" s="89" t="n"/>
      <c r="M208" s="89" t="n"/>
      <c r="N208" s="89" t="n"/>
      <c r="O208" s="89" t="n"/>
      <c r="P208" s="89" t="n"/>
      <c r="Q208" s="89" t="n"/>
      <c r="R208" s="89" t="n"/>
      <c r="S208" s="89" t="n"/>
      <c r="T208" s="89" t="n"/>
      <c r="U208" s="89" t="n"/>
      <c r="V208" s="89" t="n"/>
      <c r="W208" s="89" t="n"/>
      <c r="X208" s="89" t="n"/>
      <c r="Y208" s="89" t="n"/>
      <c r="Z208" s="89" t="n"/>
      <c r="AA208" s="89" t="n"/>
      <c r="AB208" s="89" t="n"/>
      <c r="AC208" s="89" t="n"/>
      <c r="AD208" s="89" t="n"/>
      <c r="AE208" s="89" t="n"/>
      <c r="AF208" s="89" t="n"/>
      <c r="AG208" s="89" t="n"/>
      <c r="AH208" s="89" t="n"/>
      <c r="AI208" s="89" t="n"/>
      <c r="AJ208" s="89" t="n"/>
      <c r="AK208" s="89" t="n"/>
      <c r="AL208" s="89" t="n"/>
      <c r="AM208" s="89" t="n"/>
      <c r="AN208" s="89" t="n"/>
      <c r="AO208" s="89" t="n">
        <v>6.383834</v>
      </c>
      <c r="AP208" s="89" t="n">
        <v>0.276106</v>
      </c>
      <c r="AQ208" s="89" t="n"/>
      <c r="AR208" s="89" t="n"/>
      <c r="AS208" s="89" t="n">
        <v>-0.338556</v>
      </c>
      <c r="AT208" s="89" t="n">
        <v>1.31071</v>
      </c>
      <c r="AU208" s="89" t="n">
        <v>0.096626</v>
      </c>
      <c r="AV208" s="89" t="n"/>
      <c r="AW208" s="89" t="n"/>
      <c r="AX208" s="89" t="n">
        <v>-2.592175</v>
      </c>
      <c r="AY208" s="89" t="n">
        <v>-1.175934</v>
      </c>
      <c r="AZ208" t="n">
        <v>-2.549266</v>
      </c>
    </row>
    <row r="209">
      <c r="A209" t="inlineStr">
        <is>
          <t>1936-04</t>
        </is>
      </c>
      <c r="B209" s="1" t="n">
        <v>13241</v>
      </c>
      <c r="C209" s="88" t="n">
        <v>209</v>
      </c>
      <c r="D209" s="1" t="n"/>
      <c r="E209" s="1">
        <f>B209</f>
        <v/>
      </c>
      <c r="F209" s="2">
        <f>B209</f>
        <v/>
      </c>
      <c r="G209" s="88" t="n">
        <v>207</v>
      </c>
      <c r="H209" s="89" t="n"/>
      <c r="I209" s="89" t="n"/>
      <c r="J209" s="89" t="n"/>
      <c r="K209" s="89" t="n"/>
      <c r="L209" s="89" t="n"/>
      <c r="M209" s="89" t="n"/>
      <c r="N209" s="89" t="n"/>
      <c r="O209" s="89" t="n"/>
      <c r="P209" s="89" t="n"/>
      <c r="Q209" s="89" t="n"/>
      <c r="R209" s="89" t="n"/>
      <c r="S209" s="89" t="n"/>
      <c r="T209" s="89" t="n"/>
      <c r="U209" s="89" t="n"/>
      <c r="V209" s="89" t="n"/>
      <c r="W209" s="89" t="n"/>
      <c r="X209" s="89" t="n"/>
      <c r="Y209" s="89" t="n"/>
      <c r="Z209" s="89" t="n"/>
      <c r="AA209" s="89" t="n"/>
      <c r="AB209" s="89" t="n"/>
      <c r="AC209" s="89" t="n"/>
      <c r="AD209" s="89" t="n"/>
      <c r="AE209" s="89" t="n"/>
      <c r="AF209" s="89" t="n"/>
      <c r="AG209" s="89" t="n"/>
      <c r="AH209" s="89" t="n"/>
      <c r="AI209" s="89" t="n"/>
      <c r="AJ209" s="89" t="n"/>
      <c r="AK209" s="89" t="n"/>
      <c r="AL209" s="89" t="n"/>
      <c r="AM209" s="89" t="n"/>
      <c r="AN209" s="89" t="n"/>
      <c r="AO209" s="89" t="n">
        <v>6.78283</v>
      </c>
      <c r="AP209" s="89" t="n">
        <v>0.857965</v>
      </c>
      <c r="AQ209" s="89" t="n"/>
      <c r="AR209" s="89" t="n"/>
      <c r="AS209" s="89" t="n">
        <v>0.063097</v>
      </c>
      <c r="AT209" s="89" t="n">
        <v>1.624153</v>
      </c>
      <c r="AU209" s="89" t="n">
        <v>0.919591</v>
      </c>
      <c r="AV209" s="89" t="n"/>
      <c r="AW209" s="89" t="n"/>
      <c r="AX209" s="89" t="n">
        <v>-2.53035</v>
      </c>
      <c r="AY209" s="89" t="n">
        <v>0.211806</v>
      </c>
      <c r="AZ209" t="n">
        <v>-1.245853</v>
      </c>
    </row>
    <row r="210">
      <c r="A210" t="inlineStr">
        <is>
          <t>1936-05</t>
        </is>
      </c>
      <c r="B210" s="1" t="n">
        <v>13271</v>
      </c>
      <c r="C210" s="88" t="n">
        <v>210</v>
      </c>
      <c r="D210" s="1" t="n"/>
      <c r="E210" s="1">
        <f>B210</f>
        <v/>
      </c>
      <c r="F210" s="2">
        <f>B210</f>
        <v/>
      </c>
      <c r="G210" s="88" t="n">
        <v>208</v>
      </c>
      <c r="H210" s="89" t="n"/>
      <c r="I210" s="89" t="n"/>
      <c r="J210" s="89" t="n"/>
      <c r="K210" s="89" t="n"/>
      <c r="L210" s="89" t="n"/>
      <c r="M210" s="89" t="n"/>
      <c r="N210" s="89" t="n"/>
      <c r="O210" s="89" t="n"/>
      <c r="P210" s="89" t="n"/>
      <c r="Q210" s="89" t="n"/>
      <c r="R210" s="89" t="n"/>
      <c r="S210" s="89" t="n"/>
      <c r="T210" s="89" t="n"/>
      <c r="U210" s="89" t="n"/>
      <c r="V210" s="89" t="n"/>
      <c r="W210" s="89" t="n"/>
      <c r="X210" s="89" t="n"/>
      <c r="Y210" s="89" t="n"/>
      <c r="Z210" s="89" t="n"/>
      <c r="AA210" s="89" t="n"/>
      <c r="AB210" s="89" t="n"/>
      <c r="AC210" s="89" t="n"/>
      <c r="AD210" s="89" t="n"/>
      <c r="AE210" s="89" t="n"/>
      <c r="AF210" s="89" t="n"/>
      <c r="AG210" s="89" t="n"/>
      <c r="AH210" s="89" t="n"/>
      <c r="AI210" s="89" t="n"/>
      <c r="AJ210" s="89" t="n"/>
      <c r="AK210" s="89" t="n"/>
      <c r="AL210" s="89" t="n"/>
      <c r="AM210" s="89" t="n"/>
      <c r="AN210" s="89" t="n"/>
      <c r="AO210" s="89" t="n">
        <v>6.915765</v>
      </c>
      <c r="AP210" s="89" t="n">
        <v>0.676215</v>
      </c>
      <c r="AQ210" s="89" t="n"/>
      <c r="AR210" s="89" t="n"/>
      <c r="AS210" s="89" t="n">
        <v>0.910534</v>
      </c>
      <c r="AT210" s="89" t="n">
        <v>2.582232</v>
      </c>
      <c r="AU210" s="89" t="n">
        <v>0.795848</v>
      </c>
      <c r="AV210" s="89" t="n"/>
      <c r="AW210" s="89" t="n"/>
      <c r="AX210" s="89" t="n">
        <v>0.827989</v>
      </c>
      <c r="AY210" s="89" t="n">
        <v>0.472061</v>
      </c>
      <c r="AZ210" t="n">
        <v>-1.129907</v>
      </c>
    </row>
    <row r="211">
      <c r="A211" t="inlineStr">
        <is>
          <t>1936-06</t>
        </is>
      </c>
      <c r="B211" s="1" t="n">
        <v>13302</v>
      </c>
      <c r="C211" s="88" t="n">
        <v>211</v>
      </c>
      <c r="D211" s="1" t="n"/>
      <c r="E211" s="1">
        <f>B211</f>
        <v/>
      </c>
      <c r="F211" s="2">
        <f>B211</f>
        <v/>
      </c>
      <c r="G211" s="88" t="n">
        <v>209</v>
      </c>
      <c r="H211" s="89" t="n"/>
      <c r="I211" s="89" t="n"/>
      <c r="J211" s="89" t="n"/>
      <c r="K211" s="89" t="n"/>
      <c r="L211" s="89" t="n"/>
      <c r="M211" s="89" t="n"/>
      <c r="N211" s="89" t="n"/>
      <c r="O211" s="89" t="n"/>
      <c r="P211" s="89" t="n"/>
      <c r="Q211" s="89" t="n"/>
      <c r="R211" s="89" t="n"/>
      <c r="S211" s="89" t="n"/>
      <c r="T211" s="89" t="n"/>
      <c r="U211" s="89" t="n"/>
      <c r="V211" s="89" t="n"/>
      <c r="W211" s="89" t="n"/>
      <c r="X211" s="89" t="n"/>
      <c r="Y211" s="89" t="n"/>
      <c r="Z211" s="89" t="n"/>
      <c r="AA211" s="89" t="n"/>
      <c r="AB211" s="89" t="n"/>
      <c r="AC211" s="89" t="n"/>
      <c r="AD211" s="89" t="n"/>
      <c r="AE211" s="89" t="n"/>
      <c r="AF211" s="89" t="n"/>
      <c r="AG211" s="89" t="n"/>
      <c r="AH211" s="89" t="n"/>
      <c r="AI211" s="89" t="n"/>
      <c r="AJ211" s="89" t="n"/>
      <c r="AK211" s="89" t="n"/>
      <c r="AL211" s="89" t="n"/>
      <c r="AM211" s="89" t="n"/>
      <c r="AN211" s="89" t="n"/>
      <c r="AO211" s="89" t="n">
        <v>7.048795</v>
      </c>
      <c r="AP211" s="89" t="n">
        <v>1.097075</v>
      </c>
      <c r="AQ211" s="89" t="n"/>
      <c r="AR211" s="89" t="n"/>
      <c r="AS211" s="89" t="n">
        <v>0.6226660000000001</v>
      </c>
      <c r="AT211" s="89" t="n">
        <v>1.245329</v>
      </c>
      <c r="AU211" s="89" t="n">
        <v>1.092119</v>
      </c>
      <c r="AV211" s="89" t="n"/>
      <c r="AW211" s="89" t="n"/>
      <c r="AX211" s="89" t="n">
        <v>0.381461</v>
      </c>
      <c r="AY211" s="89" t="n">
        <v>-0.014398</v>
      </c>
      <c r="AZ211" t="n">
        <v>-0.28815</v>
      </c>
    </row>
    <row r="212">
      <c r="A212" t="inlineStr">
        <is>
          <t>1936-07</t>
        </is>
      </c>
      <c r="B212" s="1" t="n">
        <v>13332</v>
      </c>
      <c r="C212" s="88" t="n">
        <v>212</v>
      </c>
      <c r="D212" s="1" t="n"/>
      <c r="E212" s="1">
        <f>B212</f>
        <v/>
      </c>
      <c r="F212" s="2">
        <f>B212</f>
        <v/>
      </c>
      <c r="G212" s="88" t="n">
        <v>210</v>
      </c>
      <c r="H212" s="89" t="n"/>
      <c r="I212" s="89" t="n"/>
      <c r="J212" s="89" t="n"/>
      <c r="K212" s="89" t="n"/>
      <c r="L212" s="89" t="n"/>
      <c r="M212" s="89" t="n"/>
      <c r="N212" s="89" t="n"/>
      <c r="O212" s="89" t="n"/>
      <c r="P212" s="89" t="n"/>
      <c r="Q212" s="89" t="n"/>
      <c r="R212" s="89" t="n"/>
      <c r="S212" s="89" t="n"/>
      <c r="T212" s="89" t="n"/>
      <c r="U212" s="89" t="n"/>
      <c r="V212" s="89" t="n"/>
      <c r="W212" s="89" t="n"/>
      <c r="X212" s="89" t="n"/>
      <c r="Y212" s="89" t="n"/>
      <c r="Z212" s="89" t="n"/>
      <c r="AA212" s="89" t="n"/>
      <c r="AB212" s="89" t="n"/>
      <c r="AC212" s="89" t="n"/>
      <c r="AD212" s="89" t="n"/>
      <c r="AE212" s="89" t="n"/>
      <c r="AF212" s="89" t="n"/>
      <c r="AG212" s="89" t="n"/>
      <c r="AH212" s="89" t="n"/>
      <c r="AI212" s="89" t="n"/>
      <c r="AJ212" s="89" t="n"/>
      <c r="AK212" s="89" t="n"/>
      <c r="AL212" s="89" t="n"/>
      <c r="AM212" s="89" t="n"/>
      <c r="AN212" s="89" t="n"/>
      <c r="AO212" s="89" t="n">
        <v>7.18173</v>
      </c>
      <c r="AP212" s="89" t="n">
        <v>1.28413</v>
      </c>
      <c r="AQ212" s="89" t="n"/>
      <c r="AR212" s="89" t="n"/>
      <c r="AS212" s="89" t="n">
        <v>2.363472</v>
      </c>
      <c r="AT212" s="89" t="n">
        <v>1.65076</v>
      </c>
      <c r="AU212" s="89" t="n">
        <v>1.099653</v>
      </c>
      <c r="AV212" s="89" t="n"/>
      <c r="AW212" s="89" t="n"/>
      <c r="AX212" s="89" t="n">
        <v>0.280583</v>
      </c>
      <c r="AY212" s="89" t="n">
        <v>1.482157</v>
      </c>
      <c r="AZ212" t="n">
        <v>1.672821</v>
      </c>
    </row>
    <row r="213">
      <c r="A213" t="inlineStr">
        <is>
          <t>1936-08</t>
        </is>
      </c>
      <c r="B213" s="1" t="n">
        <v>13363</v>
      </c>
      <c r="C213" s="88" t="n">
        <v>213</v>
      </c>
      <c r="D213" s="1" t="n"/>
      <c r="E213" s="1">
        <f>B213</f>
        <v/>
      </c>
      <c r="F213" s="2">
        <f>B213</f>
        <v/>
      </c>
      <c r="G213" s="88" t="n">
        <v>211</v>
      </c>
      <c r="H213" s="89" t="n"/>
      <c r="I213" s="89" t="n"/>
      <c r="J213" s="89" t="n"/>
      <c r="K213" s="89" t="n"/>
      <c r="L213" s="89" t="n"/>
      <c r="M213" s="89" t="n"/>
      <c r="N213" s="89" t="n"/>
      <c r="O213" s="89" t="n"/>
      <c r="P213" s="89" t="n"/>
      <c r="Q213" s="89" t="n"/>
      <c r="R213" s="89" t="n"/>
      <c r="S213" s="89" t="n"/>
      <c r="T213" s="89" t="n"/>
      <c r="U213" s="89" t="n"/>
      <c r="V213" s="89" t="n"/>
      <c r="W213" s="89" t="n"/>
      <c r="X213" s="89" t="n"/>
      <c r="Y213" s="89" t="n"/>
      <c r="Z213" s="89" t="n"/>
      <c r="AA213" s="89" t="n"/>
      <c r="AB213" s="89" t="n"/>
      <c r="AC213" s="89" t="n"/>
      <c r="AD213" s="89" t="n"/>
      <c r="AE213" s="89" t="n"/>
      <c r="AF213" s="89" t="n"/>
      <c r="AG213" s="89" t="n"/>
      <c r="AH213" s="89" t="n"/>
      <c r="AI213" s="89" t="n"/>
      <c r="AJ213" s="89" t="n"/>
      <c r="AK213" s="89" t="n"/>
      <c r="AL213" s="89" t="n"/>
      <c r="AM213" s="89" t="n"/>
      <c r="AN213" s="89" t="n"/>
      <c r="AO213" s="89" t="n">
        <v>7.288154</v>
      </c>
      <c r="AP213" s="89" t="n">
        <v>1.106521</v>
      </c>
      <c r="AQ213" s="89" t="n"/>
      <c r="AR213" s="89" t="n"/>
      <c r="AS213" s="89" t="n">
        <v>0.775636</v>
      </c>
      <c r="AT213" s="89" t="n">
        <v>2.099527</v>
      </c>
      <c r="AU213" s="89" t="n">
        <v>1.124835</v>
      </c>
      <c r="AV213" s="89" t="n"/>
      <c r="AW213" s="89" t="n"/>
      <c r="AX213" s="89" t="n">
        <v>0.955728</v>
      </c>
      <c r="AY213" s="89" t="n">
        <v>1.754179</v>
      </c>
      <c r="AZ213" t="n">
        <v>-0.340002</v>
      </c>
    </row>
    <row r="214">
      <c r="A214" t="inlineStr">
        <is>
          <t>1936-09</t>
        </is>
      </c>
      <c r="B214" s="1" t="n">
        <v>13394</v>
      </c>
      <c r="C214" s="88" t="n">
        <v>214</v>
      </c>
      <c r="D214" s="1" t="n"/>
      <c r="E214" s="1">
        <f>B214</f>
        <v/>
      </c>
      <c r="F214" s="2">
        <f>B214</f>
        <v/>
      </c>
      <c r="G214" s="88" t="n">
        <v>212</v>
      </c>
      <c r="H214" s="89" t="n"/>
      <c r="I214" s="89" t="n"/>
      <c r="J214" s="89" t="n"/>
      <c r="K214" s="89" t="n"/>
      <c r="L214" s="89" t="n"/>
      <c r="M214" s="89" t="n"/>
      <c r="N214" s="89" t="n"/>
      <c r="O214" s="89" t="n"/>
      <c r="P214" s="89" t="n"/>
      <c r="Q214" s="89" t="n"/>
      <c r="R214" s="89" t="n"/>
      <c r="S214" s="89" t="n"/>
      <c r="T214" s="89" t="n"/>
      <c r="U214" s="89" t="n"/>
      <c r="V214" s="89" t="n"/>
      <c r="W214" s="89" t="n"/>
      <c r="X214" s="89" t="n"/>
      <c r="Y214" s="89" t="n"/>
      <c r="Z214" s="89" t="n"/>
      <c r="AA214" s="89" t="n"/>
      <c r="AB214" s="89" t="n"/>
      <c r="AC214" s="89" t="n"/>
      <c r="AD214" s="89" t="n"/>
      <c r="AE214" s="89" t="n"/>
      <c r="AF214" s="89" t="n"/>
      <c r="AG214" s="89" t="n"/>
      <c r="AH214" s="89" t="n"/>
      <c r="AI214" s="89" t="n"/>
      <c r="AJ214" s="89" t="n"/>
      <c r="AK214" s="89" t="n"/>
      <c r="AL214" s="89" t="n"/>
      <c r="AM214" s="89" t="n"/>
      <c r="AN214" s="89" t="n"/>
      <c r="AO214" s="89" t="n">
        <v>7.421185</v>
      </c>
      <c r="AP214" s="89" t="n">
        <v>0.912002</v>
      </c>
      <c r="AQ214" s="89" t="n"/>
      <c r="AR214" s="89" t="n"/>
      <c r="AS214" s="89" t="n">
        <v>0.417097</v>
      </c>
      <c r="AT214" s="89" t="n">
        <v>0.134907</v>
      </c>
      <c r="AU214" s="89" t="n">
        <v>0.920104</v>
      </c>
      <c r="AV214" s="89" t="n"/>
      <c r="AW214" s="89" t="n"/>
      <c r="AX214" s="89" t="n">
        <v>5.035754</v>
      </c>
      <c r="AY214" s="89" t="n">
        <v>0.696361</v>
      </c>
      <c r="AZ214" t="n">
        <v>-1.608892</v>
      </c>
    </row>
    <row r="215">
      <c r="A215" t="inlineStr">
        <is>
          <t>1936-10</t>
        </is>
      </c>
      <c r="B215" s="1" t="n">
        <v>13424</v>
      </c>
      <c r="C215" s="88" t="n">
        <v>215</v>
      </c>
      <c r="D215" s="1" t="n"/>
      <c r="E215" s="1">
        <f>B215</f>
        <v/>
      </c>
      <c r="F215" s="2">
        <f>B215</f>
        <v/>
      </c>
      <c r="G215" s="88" t="n">
        <v>213</v>
      </c>
      <c r="H215" s="89" t="n"/>
      <c r="I215" s="89" t="n"/>
      <c r="J215" s="89" t="n"/>
      <c r="K215" s="89" t="n"/>
      <c r="L215" s="89" t="n"/>
      <c r="M215" s="89" t="n"/>
      <c r="N215" s="89" t="n"/>
      <c r="O215" s="89" t="n"/>
      <c r="P215" s="89" t="n"/>
      <c r="Q215" s="89" t="n"/>
      <c r="R215" s="89" t="n"/>
      <c r="S215" s="89" t="n"/>
      <c r="T215" s="89" t="n"/>
      <c r="U215" s="89" t="n"/>
      <c r="V215" s="89" t="n"/>
      <c r="W215" s="89" t="n"/>
      <c r="X215" s="89" t="n"/>
      <c r="Y215" s="89" t="n"/>
      <c r="Z215" s="89" t="n"/>
      <c r="AA215" s="89" t="n"/>
      <c r="AB215" s="89" t="n"/>
      <c r="AC215" s="89" t="n"/>
      <c r="AD215" s="89" t="n"/>
      <c r="AE215" s="89" t="n"/>
      <c r="AF215" s="89" t="n"/>
      <c r="AG215" s="89" t="n"/>
      <c r="AH215" s="89" t="n"/>
      <c r="AI215" s="89" t="n"/>
      <c r="AJ215" s="89" t="n"/>
      <c r="AK215" s="89" t="n"/>
      <c r="AL215" s="89" t="n"/>
      <c r="AM215" s="89" t="n"/>
      <c r="AN215" s="89" t="n"/>
      <c r="AO215" s="89" t="n">
        <v>7.527609</v>
      </c>
      <c r="AP215" s="89" t="n">
        <v>0.527925</v>
      </c>
      <c r="AQ215" s="89" t="n"/>
      <c r="AR215" s="89" t="n"/>
      <c r="AS215" s="89" t="n">
        <v>0.776759</v>
      </c>
      <c r="AT215" s="89" t="n">
        <v>1.327693</v>
      </c>
      <c r="AU215" s="89" t="n">
        <v>0.990386</v>
      </c>
      <c r="AV215" s="89" t="n"/>
      <c r="AW215" s="89" t="n"/>
      <c r="AX215" s="89" t="n">
        <v>2.334709</v>
      </c>
      <c r="AY215" s="89" t="n">
        <v>1.380937</v>
      </c>
      <c r="AZ215" t="n">
        <v>-0.255185</v>
      </c>
    </row>
    <row r="216">
      <c r="A216" t="inlineStr">
        <is>
          <t>1936-11</t>
        </is>
      </c>
      <c r="B216" s="1" t="n">
        <v>13455</v>
      </c>
      <c r="C216" s="88" t="n">
        <v>216</v>
      </c>
      <c r="D216" s="1" t="n"/>
      <c r="E216" s="1">
        <f>B216</f>
        <v/>
      </c>
      <c r="F216" s="2">
        <f>B216</f>
        <v/>
      </c>
      <c r="G216" s="88" t="n">
        <v>214</v>
      </c>
      <c r="H216" s="89" t="n"/>
      <c r="I216" s="89" t="n"/>
      <c r="J216" s="89" t="n"/>
      <c r="K216" s="89" t="n"/>
      <c r="L216" s="89" t="n"/>
      <c r="M216" s="89" t="n"/>
      <c r="N216" s="89" t="n"/>
      <c r="O216" s="89" t="n"/>
      <c r="P216" s="89" t="n"/>
      <c r="Q216" s="89" t="n"/>
      <c r="R216" s="89" t="n"/>
      <c r="S216" s="89" t="n"/>
      <c r="T216" s="89" t="n"/>
      <c r="U216" s="89" t="n"/>
      <c r="V216" s="89" t="n"/>
      <c r="W216" s="89" t="n"/>
      <c r="X216" s="89" t="n"/>
      <c r="Y216" s="89" t="n"/>
      <c r="Z216" s="89" t="n"/>
      <c r="AA216" s="89" t="n"/>
      <c r="AB216" s="89" t="n"/>
      <c r="AC216" s="89" t="n"/>
      <c r="AD216" s="89" t="n"/>
      <c r="AE216" s="89" t="n"/>
      <c r="AF216" s="89" t="n"/>
      <c r="AG216" s="89" t="n"/>
      <c r="AH216" s="89" t="n"/>
      <c r="AI216" s="89" t="n"/>
      <c r="AJ216" s="89" t="n"/>
      <c r="AK216" s="89" t="n"/>
      <c r="AL216" s="89" t="n"/>
      <c r="AM216" s="89" t="n"/>
      <c r="AN216" s="89" t="n"/>
      <c r="AO216" s="89" t="n">
        <v>7.740362</v>
      </c>
      <c r="AP216" s="89" t="n">
        <v>0.81737</v>
      </c>
      <c r="AQ216" s="89" t="n"/>
      <c r="AR216" s="89" t="n"/>
      <c r="AS216" s="89" t="n">
        <v>0.982137</v>
      </c>
      <c r="AT216" s="89" t="n">
        <v>0.041891</v>
      </c>
      <c r="AU216" s="89" t="n">
        <v>0.850764</v>
      </c>
      <c r="AV216" s="89" t="n"/>
      <c r="AW216" s="89" t="n"/>
      <c r="AX216" s="89" t="n">
        <v>-0.281288</v>
      </c>
      <c r="AY216" s="89" t="n">
        <v>1.295144</v>
      </c>
      <c r="AZ216" t="n">
        <v>0.306858</v>
      </c>
    </row>
    <row r="217">
      <c r="A217" t="inlineStr">
        <is>
          <t>1936-12</t>
        </is>
      </c>
      <c r="B217" s="1" t="n">
        <v>13485</v>
      </c>
      <c r="C217" s="88" t="n">
        <v>217</v>
      </c>
      <c r="D217" s="1" t="n"/>
      <c r="E217" s="1">
        <f>B217</f>
        <v/>
      </c>
      <c r="F217" s="2">
        <f>B217</f>
        <v/>
      </c>
      <c r="G217" s="88" t="n">
        <v>215</v>
      </c>
      <c r="H217" s="89" t="n"/>
      <c r="I217" s="89" t="n"/>
      <c r="J217" s="89" t="n"/>
      <c r="K217" s="89" t="n"/>
      <c r="L217" s="89" t="n"/>
      <c r="M217" s="89" t="n"/>
      <c r="N217" s="89" t="n"/>
      <c r="O217" s="89" t="n"/>
      <c r="P217" s="89" t="n"/>
      <c r="Q217" s="89" t="n"/>
      <c r="R217" s="89" t="n"/>
      <c r="S217" s="89" t="n"/>
      <c r="T217" s="89" t="n"/>
      <c r="U217" s="89" t="n"/>
      <c r="V217" s="89" t="n"/>
      <c r="W217" s="89" t="n"/>
      <c r="X217" s="89" t="n"/>
      <c r="Y217" s="89" t="n"/>
      <c r="Z217" s="89" t="n"/>
      <c r="AA217" s="89" t="n"/>
      <c r="AB217" s="89" t="n"/>
      <c r="AC217" s="89" t="n"/>
      <c r="AD217" s="89" t="n"/>
      <c r="AE217" s="89" t="n"/>
      <c r="AF217" s="89" t="n"/>
      <c r="AG217" s="89" t="n"/>
      <c r="AH217" s="89" t="n"/>
      <c r="AI217" s="89" t="n"/>
      <c r="AJ217" s="89" t="n"/>
      <c r="AK217" s="89" t="n"/>
      <c r="AL217" s="89" t="n"/>
      <c r="AM217" s="89" t="n"/>
      <c r="AN217" s="89" t="n"/>
      <c r="AO217" s="89" t="n">
        <v>7.979721</v>
      </c>
      <c r="AP217" s="89" t="n">
        <v>0.82185</v>
      </c>
      <c r="AQ217" s="89" t="n"/>
      <c r="AR217" s="89" t="n"/>
      <c r="AS217" s="89" t="n">
        <v>0.038084</v>
      </c>
      <c r="AT217" s="89" t="n">
        <v>0.5406609999999999</v>
      </c>
      <c r="AU217" s="89" t="n">
        <v>0.649408</v>
      </c>
      <c r="AV217" s="89" t="n"/>
      <c r="AW217" s="89" t="n"/>
      <c r="AX217" s="89" t="n">
        <v>-4.49036</v>
      </c>
      <c r="AY217" s="89" t="n">
        <v>-0.293275</v>
      </c>
      <c r="AZ217" t="n">
        <v>0.163646</v>
      </c>
    </row>
    <row r="218">
      <c r="A218" t="inlineStr">
        <is>
          <t>1937-01</t>
        </is>
      </c>
      <c r="B218" s="1" t="n">
        <v>13516</v>
      </c>
      <c r="C218" s="88" t="n">
        <v>218</v>
      </c>
      <c r="D218" s="1" t="n"/>
      <c r="E218" s="1">
        <f>B218</f>
        <v/>
      </c>
      <c r="F218" s="2">
        <f>B218</f>
        <v/>
      </c>
      <c r="G218" s="88" t="n">
        <v>216</v>
      </c>
      <c r="H218" s="89" t="n"/>
      <c r="I218" s="89" t="n"/>
      <c r="J218" s="89" t="n"/>
      <c r="K218" s="89" t="n"/>
      <c r="L218" s="89" t="n"/>
      <c r="M218" s="89" t="n"/>
      <c r="N218" s="89" t="n"/>
      <c r="O218" s="89" t="n"/>
      <c r="P218" s="89" t="n"/>
      <c r="Q218" s="89" t="n"/>
      <c r="R218" s="89" t="n"/>
      <c r="S218" s="89" t="n"/>
      <c r="T218" s="89" t="n"/>
      <c r="U218" s="89" t="n"/>
      <c r="V218" s="89" t="n"/>
      <c r="W218" s="89" t="n"/>
      <c r="X218" s="89" t="n"/>
      <c r="Y218" s="89" t="n"/>
      <c r="Z218" s="89" t="n"/>
      <c r="AA218" s="89" t="n"/>
      <c r="AB218" s="89" t="n"/>
      <c r="AC218" s="89" t="n"/>
      <c r="AD218" s="89" t="n"/>
      <c r="AE218" s="89" t="n"/>
      <c r="AF218" s="89" t="n"/>
      <c r="AG218" s="89" t="n"/>
      <c r="AH218" s="89" t="n"/>
      <c r="AI218" s="89" t="n"/>
      <c r="AJ218" s="89" t="n"/>
      <c r="AK218" s="89" t="n"/>
      <c r="AL218" s="89" t="n"/>
      <c r="AM218" s="89" t="n"/>
      <c r="AN218" s="89" t="n"/>
      <c r="AO218" s="89" t="n">
        <v>7.953115</v>
      </c>
      <c r="AP218" s="89" t="n">
        <v>0.161665</v>
      </c>
      <c r="AQ218" s="89" t="n"/>
      <c r="AR218" s="89" t="n"/>
      <c r="AS218" s="89" t="n">
        <v>0.243741</v>
      </c>
      <c r="AT218" s="89" t="n">
        <v>2.081372</v>
      </c>
      <c r="AU218" s="89" t="n">
        <v>0.49991</v>
      </c>
      <c r="AV218" s="89" t="n"/>
      <c r="AW218" s="89" t="n"/>
      <c r="AX218" s="89" t="n">
        <v>-5.155386</v>
      </c>
      <c r="AY218" s="89" t="n">
        <v>-0.0548</v>
      </c>
      <c r="AZ218" t="n">
        <v>-0.8298179999999999</v>
      </c>
    </row>
    <row r="219">
      <c r="A219" t="inlineStr">
        <is>
          <t>1937-02</t>
        </is>
      </c>
      <c r="B219" s="1" t="n">
        <v>13547</v>
      </c>
      <c r="C219" s="88" t="n">
        <v>219</v>
      </c>
      <c r="D219" s="1" t="n"/>
      <c r="E219" s="1">
        <f>B219</f>
        <v/>
      </c>
      <c r="F219" s="2">
        <f>B219</f>
        <v/>
      </c>
      <c r="G219" s="88" t="n">
        <v>217</v>
      </c>
      <c r="H219" s="89" t="n"/>
      <c r="I219" s="89" t="n"/>
      <c r="J219" s="89" t="n"/>
      <c r="K219" s="89" t="n"/>
      <c r="L219" s="89" t="n"/>
      <c r="M219" s="89" t="n"/>
      <c r="N219" s="89" t="n"/>
      <c r="O219" s="89" t="n"/>
      <c r="P219" s="89" t="n"/>
      <c r="Q219" s="89" t="n"/>
      <c r="R219" s="89" t="n"/>
      <c r="S219" s="89" t="n"/>
      <c r="T219" s="89" t="n"/>
      <c r="U219" s="89" t="n"/>
      <c r="V219" s="89" t="n"/>
      <c r="W219" s="89" t="n"/>
      <c r="X219" s="89" t="n"/>
      <c r="Y219" s="89" t="n"/>
      <c r="Z219" s="89" t="n"/>
      <c r="AA219" s="89" t="n"/>
      <c r="AB219" s="89" t="n"/>
      <c r="AC219" s="89" t="n"/>
      <c r="AD219" s="89" t="n"/>
      <c r="AE219" s="89" t="n"/>
      <c r="AF219" s="89" t="n"/>
      <c r="AG219" s="89" t="n"/>
      <c r="AH219" s="89" t="n"/>
      <c r="AI219" s="89" t="n"/>
      <c r="AJ219" s="89" t="n"/>
      <c r="AK219" s="89" t="n"/>
      <c r="AL219" s="89" t="n"/>
      <c r="AM219" s="89" t="n"/>
      <c r="AN219" s="89" t="n"/>
      <c r="AO219" s="89" t="n">
        <v>8.05954</v>
      </c>
      <c r="AP219" s="89" t="n">
        <v>0.06963900000000001</v>
      </c>
      <c r="AQ219" s="89" t="n"/>
      <c r="AR219" s="89" t="n"/>
      <c r="AS219" s="89" t="n">
        <v>-0.307322</v>
      </c>
      <c r="AT219" s="89" t="n">
        <v>1.236859</v>
      </c>
      <c r="AU219" s="89" t="n">
        <v>0.265579</v>
      </c>
      <c r="AV219" s="89" t="n"/>
      <c r="AW219" s="89" t="n"/>
      <c r="AX219" s="89" t="n">
        <v>2.289808</v>
      </c>
      <c r="AY219" s="89" t="n">
        <v>-0.410626</v>
      </c>
      <c r="AZ219" t="n">
        <v>-4.645879</v>
      </c>
    </row>
    <row r="220">
      <c r="A220" t="inlineStr">
        <is>
          <t>1937-03</t>
        </is>
      </c>
      <c r="B220" s="1" t="n">
        <v>13575</v>
      </c>
      <c r="C220" s="88" t="n">
        <v>220</v>
      </c>
      <c r="D220" s="1" t="n"/>
      <c r="E220" s="1">
        <f>B220</f>
        <v/>
      </c>
      <c r="F220" s="2">
        <f>B220</f>
        <v/>
      </c>
      <c r="G220" s="88" t="n">
        <v>218</v>
      </c>
      <c r="H220" s="89" t="n"/>
      <c r="I220" s="89" t="n"/>
      <c r="J220" s="89" t="n"/>
      <c r="K220" s="89" t="n"/>
      <c r="L220" s="89" t="n"/>
      <c r="M220" s="89" t="n"/>
      <c r="N220" s="89" t="n"/>
      <c r="O220" s="89" t="n"/>
      <c r="P220" s="89" t="n"/>
      <c r="Q220" s="89" t="n"/>
      <c r="R220" s="89" t="n"/>
      <c r="S220" s="89" t="n"/>
      <c r="T220" s="89" t="n"/>
      <c r="U220" s="89" t="n"/>
      <c r="V220" s="89" t="n"/>
      <c r="W220" s="89" t="n"/>
      <c r="X220" s="89" t="n"/>
      <c r="Y220" s="89" t="n"/>
      <c r="Z220" s="89" t="n"/>
      <c r="AA220" s="89" t="n"/>
      <c r="AB220" s="89" t="n"/>
      <c r="AC220" s="89" t="n"/>
      <c r="AD220" s="89" t="n"/>
      <c r="AE220" s="89" t="n"/>
      <c r="AF220" s="89" t="n"/>
      <c r="AG220" s="89" t="n"/>
      <c r="AH220" s="89" t="n"/>
      <c r="AI220" s="89" t="n"/>
      <c r="AJ220" s="89" t="n"/>
      <c r="AK220" s="89" t="n"/>
      <c r="AL220" s="89" t="n"/>
      <c r="AM220" s="89" t="n"/>
      <c r="AN220" s="89" t="n"/>
      <c r="AO220" s="89" t="n">
        <v>8.245782</v>
      </c>
      <c r="AP220" s="89" t="n">
        <v>0.21527</v>
      </c>
      <c r="AQ220" s="89" t="n"/>
      <c r="AR220" s="89" t="n"/>
      <c r="AS220" s="89" t="n">
        <v>-0.047284</v>
      </c>
      <c r="AT220" s="89" t="n">
        <v>2.295883</v>
      </c>
      <c r="AU220" s="89" t="n">
        <v>0.768899</v>
      </c>
      <c r="AV220" s="89" t="n"/>
      <c r="AW220" s="89" t="n"/>
      <c r="AX220" s="89" t="n">
        <v>-3.650652</v>
      </c>
      <c r="AY220" s="89" t="n">
        <v>-0.382526</v>
      </c>
      <c r="AZ220" t="n">
        <v>-5.694873</v>
      </c>
    </row>
    <row r="221">
      <c r="A221" t="inlineStr">
        <is>
          <t>1937-04</t>
        </is>
      </c>
      <c r="B221" s="1" t="n">
        <v>13606</v>
      </c>
      <c r="C221" s="88" t="n">
        <v>221</v>
      </c>
      <c r="D221" s="1" t="n"/>
      <c r="E221" s="1">
        <f>B221</f>
        <v/>
      </c>
      <c r="F221" s="2">
        <f>B221</f>
        <v/>
      </c>
      <c r="G221" s="88" t="n">
        <v>219</v>
      </c>
      <c r="H221" s="89" t="n"/>
      <c r="I221" s="89" t="n"/>
      <c r="J221" s="89" t="n"/>
      <c r="K221" s="89" t="n"/>
      <c r="L221" s="89" t="n"/>
      <c r="M221" s="89" t="n"/>
      <c r="N221" s="89" t="n"/>
      <c r="O221" s="89" t="n"/>
      <c r="P221" s="89" t="n"/>
      <c r="Q221" s="89" t="n"/>
      <c r="R221" s="89" t="n"/>
      <c r="S221" s="89" t="n"/>
      <c r="T221" s="89" t="n"/>
      <c r="U221" s="89" t="n"/>
      <c r="V221" s="89" t="n"/>
      <c r="W221" s="89" t="n"/>
      <c r="X221" s="89" t="n"/>
      <c r="Y221" s="89" t="n"/>
      <c r="Z221" s="89" t="n"/>
      <c r="AA221" s="89" t="n"/>
      <c r="AB221" s="89" t="n"/>
      <c r="AC221" s="89" t="n"/>
      <c r="AD221" s="89" t="n"/>
      <c r="AE221" s="89" t="n"/>
      <c r="AF221" s="89" t="n"/>
      <c r="AG221" s="89" t="n"/>
      <c r="AH221" s="89" t="n"/>
      <c r="AI221" s="89" t="n"/>
      <c r="AJ221" s="89" t="n"/>
      <c r="AK221" s="89" t="n"/>
      <c r="AL221" s="89" t="n"/>
      <c r="AM221" s="89" t="n"/>
      <c r="AN221" s="89" t="n"/>
      <c r="AO221" s="89" t="n">
        <v>8.245782</v>
      </c>
      <c r="AP221" s="89" t="n">
        <v>0.128193</v>
      </c>
      <c r="AQ221" s="89" t="n"/>
      <c r="AR221" s="89" t="n"/>
      <c r="AS221" s="89" t="n">
        <v>0.269064</v>
      </c>
      <c r="AT221" s="89" t="n">
        <v>0.807097</v>
      </c>
      <c r="AU221" s="89" t="n">
        <v>1.297595</v>
      </c>
      <c r="AV221" s="89" t="n"/>
      <c r="AW221" s="89" t="n"/>
      <c r="AX221" s="89" t="n">
        <v>5.620015</v>
      </c>
      <c r="AY221" s="89" t="n">
        <v>1.898301</v>
      </c>
      <c r="AZ221" t="n">
        <v>-4.931019</v>
      </c>
    </row>
    <row r="222">
      <c r="A222" t="inlineStr">
        <is>
          <t>1937-05</t>
        </is>
      </c>
      <c r="B222" s="1" t="n">
        <v>13636</v>
      </c>
      <c r="C222" s="88" t="n">
        <v>222</v>
      </c>
      <c r="D222" s="1" t="n"/>
      <c r="E222" s="1">
        <f>B222</f>
        <v/>
      </c>
      <c r="F222" s="2">
        <f>B222</f>
        <v/>
      </c>
      <c r="G222" s="88" t="n">
        <v>220</v>
      </c>
      <c r="H222" s="89" t="n"/>
      <c r="I222" s="89" t="n"/>
      <c r="J222" s="89" t="n"/>
      <c r="K222" s="89" t="n"/>
      <c r="L222" s="89" t="n"/>
      <c r="M222" s="89" t="n"/>
      <c r="N222" s="89" t="n"/>
      <c r="O222" s="89" t="n"/>
      <c r="P222" s="89" t="n"/>
      <c r="Q222" s="89" t="n"/>
      <c r="R222" s="89" t="n"/>
      <c r="S222" s="89" t="n"/>
      <c r="T222" s="89" t="n"/>
      <c r="U222" s="89" t="n"/>
      <c r="V222" s="89" t="n"/>
      <c r="W222" s="89" t="n"/>
      <c r="X222" s="89" t="n"/>
      <c r="Y222" s="89" t="n"/>
      <c r="Z222" s="89" t="n"/>
      <c r="AA222" s="89" t="n"/>
      <c r="AB222" s="89" t="n"/>
      <c r="AC222" s="89" t="n"/>
      <c r="AD222" s="89" t="n"/>
      <c r="AE222" s="89" t="n"/>
      <c r="AF222" s="89" t="n"/>
      <c r="AG222" s="89" t="n"/>
      <c r="AH222" s="89" t="n"/>
      <c r="AI222" s="89" t="n"/>
      <c r="AJ222" s="89" t="n"/>
      <c r="AK222" s="89" t="n"/>
      <c r="AL222" s="89" t="n"/>
      <c r="AM222" s="89" t="n"/>
      <c r="AN222" s="89" t="n"/>
      <c r="AO222" s="89" t="n">
        <v>8.272387999999999</v>
      </c>
      <c r="AP222" s="89" t="n">
        <v>0.497408</v>
      </c>
      <c r="AQ222" s="89" t="n"/>
      <c r="AR222" s="89" t="n"/>
      <c r="AS222" s="89" t="n">
        <v>0.085785</v>
      </c>
      <c r="AT222" s="89" t="n">
        <v>0.623762</v>
      </c>
      <c r="AU222" s="89" t="n">
        <v>1.210956</v>
      </c>
      <c r="AV222" s="89" t="n"/>
      <c r="AW222" s="89" t="n"/>
      <c r="AX222" s="89" t="n">
        <v>3.903793</v>
      </c>
      <c r="AY222" s="89" t="n">
        <v>1.177176</v>
      </c>
      <c r="AZ222" t="n">
        <v>0.423986</v>
      </c>
    </row>
    <row r="223">
      <c r="A223" t="inlineStr">
        <is>
          <t>1937-06</t>
        </is>
      </c>
      <c r="B223" s="1" t="n">
        <v>13667</v>
      </c>
      <c r="C223" s="88" t="n">
        <v>223</v>
      </c>
      <c r="D223" s="1" t="n"/>
      <c r="E223" s="1">
        <f>B223</f>
        <v/>
      </c>
      <c r="F223" s="2">
        <f>B223</f>
        <v/>
      </c>
      <c r="G223" s="88" t="n">
        <v>221</v>
      </c>
      <c r="H223" s="89" t="n"/>
      <c r="I223" s="89" t="n"/>
      <c r="J223" s="89" t="n"/>
      <c r="K223" s="89" t="n"/>
      <c r="L223" s="89" t="n"/>
      <c r="M223" s="89" t="n"/>
      <c r="N223" s="89" t="n"/>
      <c r="O223" s="89" t="n"/>
      <c r="P223" s="89" t="n"/>
      <c r="Q223" s="89" t="n"/>
      <c r="R223" s="89" t="n"/>
      <c r="S223" s="89" t="n"/>
      <c r="T223" s="89" t="n"/>
      <c r="U223" s="89" t="n"/>
      <c r="V223" s="89" t="n"/>
      <c r="W223" s="89" t="n"/>
      <c r="X223" s="89" t="n"/>
      <c r="Y223" s="89" t="n"/>
      <c r="Z223" s="89" t="n"/>
      <c r="AA223" s="89" t="n"/>
      <c r="AB223" s="89" t="n"/>
      <c r="AC223" s="89" t="n"/>
      <c r="AD223" s="89" t="n"/>
      <c r="AE223" s="89" t="n"/>
      <c r="AF223" s="89" t="n"/>
      <c r="AG223" s="89" t="n"/>
      <c r="AH223" s="89" t="n"/>
      <c r="AI223" s="89" t="n"/>
      <c r="AJ223" s="89" t="n"/>
      <c r="AK223" s="89" t="n"/>
      <c r="AL223" s="89" t="n"/>
      <c r="AM223" s="89" t="n"/>
      <c r="AN223" s="89" t="n"/>
      <c r="AO223" s="89" t="n">
        <v>8.165964000000001</v>
      </c>
      <c r="AP223" s="89" t="n">
        <v>0.396237</v>
      </c>
      <c r="AQ223" s="89" t="n"/>
      <c r="AR223" s="89" t="n"/>
      <c r="AS223" s="89" t="n">
        <v>0.158717</v>
      </c>
      <c r="AT223" s="89" t="n">
        <v>0.593563</v>
      </c>
      <c r="AU223" s="89" t="n">
        <v>0.820279</v>
      </c>
      <c r="AV223" s="89" t="n"/>
      <c r="AW223" s="89" t="n"/>
      <c r="AX223" s="89" t="n">
        <v>1.353065</v>
      </c>
      <c r="AY223" s="89" t="n">
        <v>0.948905</v>
      </c>
      <c r="AZ223" t="n">
        <v>0.07449699999999999</v>
      </c>
    </row>
    <row r="224">
      <c r="A224" t="inlineStr">
        <is>
          <t>1937-07</t>
        </is>
      </c>
      <c r="B224" s="1" t="n">
        <v>13697</v>
      </c>
      <c r="C224" s="88" t="n">
        <v>224</v>
      </c>
      <c r="D224" s="1" t="n"/>
      <c r="E224" s="1">
        <f>B224</f>
        <v/>
      </c>
      <c r="F224" s="2">
        <f>B224</f>
        <v/>
      </c>
      <c r="G224" s="88" t="n">
        <v>222</v>
      </c>
      <c r="H224" s="89" t="n"/>
      <c r="I224" s="89" t="n"/>
      <c r="J224" s="89" t="n"/>
      <c r="K224" s="89" t="n"/>
      <c r="L224" s="89" t="n"/>
      <c r="M224" s="89" t="n"/>
      <c r="N224" s="89" t="n"/>
      <c r="O224" s="89" t="n"/>
      <c r="P224" s="89" t="n"/>
      <c r="Q224" s="89" t="n"/>
      <c r="R224" s="89" t="n"/>
      <c r="S224" s="89" t="n"/>
      <c r="T224" s="89" t="n"/>
      <c r="U224" s="89" t="n"/>
      <c r="V224" s="89" t="n"/>
      <c r="W224" s="89" t="n"/>
      <c r="X224" s="89" t="n"/>
      <c r="Y224" s="89" t="n"/>
      <c r="Z224" s="89" t="n"/>
      <c r="AA224" s="89" t="n"/>
      <c r="AB224" s="89" t="n"/>
      <c r="AC224" s="89" t="n"/>
      <c r="AD224" s="89" t="n"/>
      <c r="AE224" s="89" t="n"/>
      <c r="AF224" s="89" t="n"/>
      <c r="AG224" s="89" t="n"/>
      <c r="AH224" s="89" t="n"/>
      <c r="AI224" s="89" t="n"/>
      <c r="AJ224" s="89" t="n"/>
      <c r="AK224" s="89" t="n"/>
      <c r="AL224" s="89" t="n"/>
      <c r="AM224" s="89" t="n"/>
      <c r="AN224" s="89" t="n"/>
      <c r="AO224" s="89" t="n">
        <v>8.219175999999999</v>
      </c>
      <c r="AP224" s="89" t="n">
        <v>0.159858</v>
      </c>
      <c r="AQ224" s="89" t="n"/>
      <c r="AR224" s="89" t="n"/>
      <c r="AS224" s="89" t="n">
        <v>-0.384877</v>
      </c>
      <c r="AT224" s="89" t="n">
        <v>0.078241</v>
      </c>
      <c r="AU224" s="89" t="n">
        <v>0.668049</v>
      </c>
      <c r="AV224" s="89" t="n"/>
      <c r="AW224" s="89" t="n"/>
      <c r="AX224" s="89" t="n">
        <v>0.603124</v>
      </c>
      <c r="AY224" s="89" t="n">
        <v>1.124827</v>
      </c>
      <c r="AZ224" t="n">
        <v>1.019057</v>
      </c>
    </row>
    <row r="225">
      <c r="A225" t="inlineStr">
        <is>
          <t>1937-08</t>
        </is>
      </c>
      <c r="B225" s="1" t="n">
        <v>13728</v>
      </c>
      <c r="C225" s="88" t="n">
        <v>225</v>
      </c>
      <c r="D225" s="1" t="n"/>
      <c r="E225" s="1">
        <f>B225</f>
        <v/>
      </c>
      <c r="F225" s="2">
        <f>B225</f>
        <v/>
      </c>
      <c r="G225" s="88" t="n">
        <v>223</v>
      </c>
      <c r="H225" s="89" t="n"/>
      <c r="I225" s="89" t="n"/>
      <c r="J225" s="89" t="n"/>
      <c r="K225" s="89" t="n"/>
      <c r="L225" s="89" t="n"/>
      <c r="M225" s="89" t="n"/>
      <c r="N225" s="89" t="n"/>
      <c r="O225" s="89" t="n"/>
      <c r="P225" s="89" t="n"/>
      <c r="Q225" s="89" t="n"/>
      <c r="R225" s="89" t="n"/>
      <c r="S225" s="89" t="n"/>
      <c r="T225" s="89" t="n"/>
      <c r="U225" s="89" t="n"/>
      <c r="V225" s="89" t="n"/>
      <c r="W225" s="89" t="n"/>
      <c r="X225" s="89" t="n"/>
      <c r="Y225" s="89" t="n"/>
      <c r="Z225" s="89" t="n"/>
      <c r="AA225" s="89" t="n"/>
      <c r="AB225" s="89" t="n"/>
      <c r="AC225" s="89" t="n"/>
      <c r="AD225" s="89" t="n"/>
      <c r="AE225" s="89" t="n"/>
      <c r="AF225" s="89" t="n"/>
      <c r="AG225" s="89" t="n"/>
      <c r="AH225" s="89" t="n"/>
      <c r="AI225" s="89" t="n"/>
      <c r="AJ225" s="89" t="n"/>
      <c r="AK225" s="89" t="n"/>
      <c r="AL225" s="89" t="n"/>
      <c r="AM225" s="89" t="n"/>
      <c r="AN225" s="89" t="n"/>
      <c r="AO225" s="89" t="n">
        <v>8.165964000000001</v>
      </c>
      <c r="AP225" s="89" t="n">
        <v>-0.248737</v>
      </c>
      <c r="AQ225" s="89" t="n"/>
      <c r="AR225" s="89" t="n"/>
      <c r="AS225" s="89" t="n">
        <v>-0.691513</v>
      </c>
      <c r="AT225" s="89" t="n">
        <v>2.251095</v>
      </c>
      <c r="AU225" s="89" t="n">
        <v>0.92537</v>
      </c>
      <c r="AV225" s="89" t="n"/>
      <c r="AW225" s="89" t="n"/>
      <c r="AX225" s="89" t="n">
        <v>1.448892</v>
      </c>
      <c r="AY225" s="89" t="n">
        <v>-0.663319</v>
      </c>
      <c r="AZ225" t="n">
        <v>3.695017</v>
      </c>
    </row>
    <row r="226">
      <c r="A226" t="inlineStr">
        <is>
          <t>1937-09</t>
        </is>
      </c>
      <c r="B226" s="1" t="n">
        <v>13759</v>
      </c>
      <c r="C226" s="88" t="n">
        <v>226</v>
      </c>
      <c r="D226" s="1" t="n"/>
      <c r="E226" s="1">
        <f>B226</f>
        <v/>
      </c>
      <c r="F226" s="2">
        <f>B226</f>
        <v/>
      </c>
      <c r="G226" s="88" t="n">
        <v>224</v>
      </c>
      <c r="H226" s="89" t="n"/>
      <c r="I226" s="89" t="n"/>
      <c r="J226" s="89" t="n"/>
      <c r="K226" s="89" t="n"/>
      <c r="L226" s="89" t="n"/>
      <c r="M226" s="89" t="n"/>
      <c r="N226" s="89" t="n"/>
      <c r="O226" s="89" t="n"/>
      <c r="P226" s="89" t="n"/>
      <c r="Q226" s="89" t="n"/>
      <c r="R226" s="89" t="n"/>
      <c r="S226" s="89" t="n"/>
      <c r="T226" s="89" t="n"/>
      <c r="U226" s="89" t="n"/>
      <c r="V226" s="89" t="n"/>
      <c r="W226" s="89" t="n"/>
      <c r="X226" s="89" t="n"/>
      <c r="Y226" s="89" t="n"/>
      <c r="Z226" s="89" t="n"/>
      <c r="AA226" s="89" t="n"/>
      <c r="AB226" s="89" t="n"/>
      <c r="AC226" s="89" t="n"/>
      <c r="AD226" s="89" t="n"/>
      <c r="AE226" s="89" t="n"/>
      <c r="AF226" s="89" t="n"/>
      <c r="AG226" s="89" t="n"/>
      <c r="AH226" s="89" t="n"/>
      <c r="AI226" s="89" t="n"/>
      <c r="AJ226" s="89" t="n"/>
      <c r="AK226" s="89" t="n"/>
      <c r="AL226" s="89" t="n"/>
      <c r="AM226" s="89" t="n"/>
      <c r="AN226" s="89" t="n"/>
      <c r="AO226" s="89" t="n">
        <v>7.899999</v>
      </c>
      <c r="AP226" s="89" t="n">
        <v>0.051971</v>
      </c>
      <c r="AQ226" s="89" t="n"/>
      <c r="AR226" s="89" t="n"/>
      <c r="AS226" s="89" t="n">
        <v>0.211446</v>
      </c>
      <c r="AT226" s="89" t="n">
        <v>2.533199</v>
      </c>
      <c r="AU226" s="89" t="n">
        <v>0.488346</v>
      </c>
      <c r="AV226" s="89" t="n">
        <v>1.115437</v>
      </c>
      <c r="AW226" s="89" t="n"/>
      <c r="AX226" s="89" t="n">
        <v>0.362453</v>
      </c>
      <c r="AY226" s="89" t="n">
        <v>-0.630783</v>
      </c>
      <c r="AZ226" t="n">
        <v>3.164325</v>
      </c>
    </row>
    <row r="227">
      <c r="A227" t="inlineStr">
        <is>
          <t>1937-10</t>
        </is>
      </c>
      <c r="B227" s="1" t="n">
        <v>13789</v>
      </c>
      <c r="C227" s="88" t="n">
        <v>227</v>
      </c>
      <c r="D227" s="1" t="n"/>
      <c r="E227" s="1">
        <f>B227</f>
        <v/>
      </c>
      <c r="F227" s="2">
        <f>B227</f>
        <v/>
      </c>
      <c r="G227" s="88" t="n">
        <v>225</v>
      </c>
      <c r="H227" s="89" t="n"/>
      <c r="I227" s="89" t="n"/>
      <c r="J227" s="89" t="n"/>
      <c r="K227" s="89" t="n"/>
      <c r="L227" s="89" t="n"/>
      <c r="M227" s="89" t="n"/>
      <c r="N227" s="89" t="n"/>
      <c r="O227" s="89" t="n"/>
      <c r="P227" s="89" t="n"/>
      <c r="Q227" s="89" t="n"/>
      <c r="R227" s="89" t="n"/>
      <c r="S227" s="89" t="n"/>
      <c r="T227" s="89" t="n"/>
      <c r="U227" s="89" t="n"/>
      <c r="V227" s="89" t="n"/>
      <c r="W227" s="89" t="n"/>
      <c r="X227" s="89" t="n"/>
      <c r="Y227" s="89" t="n"/>
      <c r="Z227" s="89" t="n"/>
      <c r="AA227" s="89" t="n"/>
      <c r="AB227" s="89" t="n"/>
      <c r="AC227" s="89" t="n"/>
      <c r="AD227" s="89" t="n"/>
      <c r="AE227" s="89" t="n"/>
      <c r="AF227" s="89" t="n"/>
      <c r="AG227" s="89" t="n"/>
      <c r="AH227" s="89" t="n"/>
      <c r="AI227" s="89" t="n"/>
      <c r="AJ227" s="89" t="n"/>
      <c r="AK227" s="89" t="n"/>
      <c r="AL227" s="89" t="n"/>
      <c r="AM227" s="89" t="n"/>
      <c r="AN227" s="89" t="n"/>
      <c r="AO227" s="89" t="n">
        <v>7.31476</v>
      </c>
      <c r="AP227" s="89" t="n">
        <v>0.498316</v>
      </c>
      <c r="AQ227" s="89" t="n"/>
      <c r="AR227" s="89" t="n"/>
      <c r="AS227" s="89" t="n">
        <v>0.976761</v>
      </c>
      <c r="AT227" s="89" t="n">
        <v>2.632113</v>
      </c>
      <c r="AU227" s="89" t="n">
        <v>0.542675</v>
      </c>
      <c r="AV227" s="89" t="n">
        <v>1.688167</v>
      </c>
      <c r="AW227" s="89" t="n"/>
      <c r="AX227" s="89" t="n">
        <v>2.89206</v>
      </c>
      <c r="AY227" s="89" t="n">
        <v>0.762872</v>
      </c>
      <c r="AZ227" t="n">
        <v>2.443638</v>
      </c>
    </row>
    <row r="228">
      <c r="A228" t="inlineStr">
        <is>
          <t>1937-11</t>
        </is>
      </c>
      <c r="B228" s="1" t="n">
        <v>13820</v>
      </c>
      <c r="C228" s="88" t="n">
        <v>228</v>
      </c>
      <c r="D228" s="1" t="n"/>
      <c r="E228" s="1">
        <f>B228</f>
        <v/>
      </c>
      <c r="F228" s="2">
        <f>B228</f>
        <v/>
      </c>
      <c r="G228" s="88" t="n">
        <v>226</v>
      </c>
      <c r="H228" s="89" t="n"/>
      <c r="I228" s="89" t="n"/>
      <c r="J228" s="89" t="n"/>
      <c r="K228" s="89" t="n"/>
      <c r="L228" s="89" t="n"/>
      <c r="M228" s="89" t="n"/>
      <c r="N228" s="89" t="n"/>
      <c r="O228" s="89" t="n"/>
      <c r="P228" s="89" t="n"/>
      <c r="Q228" s="89" t="n"/>
      <c r="R228" s="89" t="n"/>
      <c r="S228" s="89" t="n"/>
      <c r="T228" s="89" t="n"/>
      <c r="U228" s="89" t="n"/>
      <c r="V228" s="89" t="n"/>
      <c r="W228" s="89" t="n"/>
      <c r="X228" s="89" t="n"/>
      <c r="Y228" s="89" t="n"/>
      <c r="Z228" s="89" t="n"/>
      <c r="AA228" s="89" t="n"/>
      <c r="AB228" s="89" t="n"/>
      <c r="AC228" s="89" t="n"/>
      <c r="AD228" s="89" t="n"/>
      <c r="AE228" s="89" t="n"/>
      <c r="AF228" s="89" t="n"/>
      <c r="AG228" s="89" t="n"/>
      <c r="AH228" s="89" t="n"/>
      <c r="AI228" s="89" t="n"/>
      <c r="AJ228" s="89" t="n"/>
      <c r="AK228" s="89" t="n"/>
      <c r="AL228" s="89" t="n"/>
      <c r="AM228" s="89" t="n"/>
      <c r="AN228" s="89" t="n"/>
      <c r="AO228" s="89" t="n">
        <v>6.596587</v>
      </c>
      <c r="AP228" s="89" t="n">
        <v>0.76701</v>
      </c>
      <c r="AQ228" s="89" t="n"/>
      <c r="AR228" s="89" t="n"/>
      <c r="AS228" s="89" t="n">
        <v>1.222633</v>
      </c>
      <c r="AT228" s="89" t="n">
        <v>3.283207</v>
      </c>
      <c r="AU228" s="89" t="n">
        <v>0.57686</v>
      </c>
      <c r="AV228" s="89" t="n">
        <v>1.823819</v>
      </c>
      <c r="AW228" s="89" t="n"/>
      <c r="AX228" s="89" t="n">
        <v>2.018129</v>
      </c>
      <c r="AY228" s="89" t="n">
        <v>1.174735</v>
      </c>
      <c r="AZ228" t="n">
        <v>1.876499</v>
      </c>
    </row>
    <row r="229">
      <c r="A229" t="inlineStr">
        <is>
          <t>1937-12</t>
        </is>
      </c>
      <c r="B229" s="1" t="n">
        <v>13850</v>
      </c>
      <c r="C229" s="88" t="n">
        <v>229</v>
      </c>
      <c r="D229" s="1" t="n"/>
      <c r="E229" s="1">
        <f>B229</f>
        <v/>
      </c>
      <c r="F229" s="2">
        <f>B229</f>
        <v/>
      </c>
      <c r="G229" s="88" t="n">
        <v>227</v>
      </c>
      <c r="H229" s="89" t="n"/>
      <c r="I229" s="89" t="n"/>
      <c r="J229" s="89" t="n"/>
      <c r="K229" s="89" t="n"/>
      <c r="L229" s="89" t="n"/>
      <c r="M229" s="89" t="n"/>
      <c r="N229" s="89" t="n"/>
      <c r="O229" s="89" t="n"/>
      <c r="P229" s="89" t="n"/>
      <c r="Q229" s="89" t="n"/>
      <c r="R229" s="89" t="n"/>
      <c r="S229" s="89" t="n"/>
      <c r="T229" s="89" t="n"/>
      <c r="U229" s="89" t="n"/>
      <c r="V229" s="89" t="n"/>
      <c r="W229" s="89" t="n"/>
      <c r="X229" s="89" t="n"/>
      <c r="Y229" s="89" t="n"/>
      <c r="Z229" s="89" t="n"/>
      <c r="AA229" s="89" t="n"/>
      <c r="AB229" s="89" t="n"/>
      <c r="AC229" s="89" t="n"/>
      <c r="AD229" s="89" t="n"/>
      <c r="AE229" s="89" t="n"/>
      <c r="AF229" s="89" t="n"/>
      <c r="AG229" s="89" t="n"/>
      <c r="AH229" s="89" t="n"/>
      <c r="AI229" s="89" t="n"/>
      <c r="AJ229" s="89" t="n"/>
      <c r="AK229" s="89" t="n"/>
      <c r="AL229" s="89" t="n"/>
      <c r="AM229" s="89" t="n"/>
      <c r="AN229" s="89" t="n"/>
      <c r="AO229" s="89" t="n">
        <v>6.011445</v>
      </c>
      <c r="AP229" s="89" t="n">
        <v>0.579611</v>
      </c>
      <c r="AQ229" s="89" t="n"/>
      <c r="AR229" s="89" t="n"/>
      <c r="AS229" s="89" t="n">
        <v>0.671645</v>
      </c>
      <c r="AT229" s="89" t="n">
        <v>0.364491</v>
      </c>
      <c r="AU229" s="89" t="n">
        <v>1.513863</v>
      </c>
      <c r="AV229" s="89" t="n">
        <v>1.878667</v>
      </c>
      <c r="AW229" s="89" t="n"/>
      <c r="AX229" s="89" t="n">
        <v>4.008951</v>
      </c>
      <c r="AY229" s="89" t="n">
        <v>2.116082</v>
      </c>
      <c r="AZ229" t="n">
        <v>3.254059</v>
      </c>
    </row>
    <row r="230">
      <c r="A230" t="inlineStr">
        <is>
          <t>1938-01</t>
        </is>
      </c>
      <c r="B230" s="1" t="n">
        <v>13881</v>
      </c>
      <c r="C230" s="88" t="n">
        <v>230</v>
      </c>
      <c r="D230" s="1" t="n"/>
      <c r="E230" s="1">
        <f>B230</f>
        <v/>
      </c>
      <c r="F230" s="2">
        <f>B230</f>
        <v/>
      </c>
      <c r="G230" s="88" t="n">
        <v>228</v>
      </c>
      <c r="H230" s="89" t="n"/>
      <c r="I230" s="89" t="n"/>
      <c r="J230" s="89" t="n"/>
      <c r="K230" s="89" t="n"/>
      <c r="L230" s="89" t="n"/>
      <c r="M230" s="89" t="n"/>
      <c r="N230" s="89" t="n"/>
      <c r="O230" s="89" t="n"/>
      <c r="P230" s="89" t="n"/>
      <c r="Q230" s="89" t="n"/>
      <c r="R230" s="89" t="n"/>
      <c r="S230" s="89" t="n"/>
      <c r="T230" s="89" t="n"/>
      <c r="U230" s="89" t="n"/>
      <c r="V230" s="89" t="n"/>
      <c r="W230" s="89" t="n"/>
      <c r="X230" s="89" t="n"/>
      <c r="Y230" s="89" t="n"/>
      <c r="Z230" s="89" t="n"/>
      <c r="AA230" s="89" t="n"/>
      <c r="AB230" s="89" t="n"/>
      <c r="AC230" s="89" t="n"/>
      <c r="AD230" s="89" t="n"/>
      <c r="AE230" s="89" t="n"/>
      <c r="AF230" s="89" t="n"/>
      <c r="AG230" s="89" t="n"/>
      <c r="AH230" s="89" t="n"/>
      <c r="AI230" s="89" t="n"/>
      <c r="AJ230" s="89" t="n"/>
      <c r="AK230" s="89" t="n"/>
      <c r="AL230" s="89" t="n"/>
      <c r="AM230" s="89" t="n"/>
      <c r="AN230" s="89" t="n"/>
      <c r="AO230" s="89" t="n">
        <v>5.878414</v>
      </c>
      <c r="AP230" s="89" t="n">
        <v>0.534147</v>
      </c>
      <c r="AQ230" s="89" t="n"/>
      <c r="AR230" s="89" t="n"/>
      <c r="AS230" s="89" t="n">
        <v>0.406113</v>
      </c>
      <c r="AT230" s="89" t="n">
        <v>2.224965</v>
      </c>
      <c r="AU230" s="89" t="n">
        <v>1.397434</v>
      </c>
      <c r="AV230" s="89" t="n">
        <v>1.927184</v>
      </c>
      <c r="AW230" s="89" t="n"/>
      <c r="AX230" s="89" t="n">
        <v>2.115163</v>
      </c>
      <c r="AY230" s="89" t="n">
        <v>2.062422</v>
      </c>
      <c r="AZ230" t="n">
        <v>-1.106863</v>
      </c>
    </row>
    <row r="231">
      <c r="A231" t="inlineStr">
        <is>
          <t>1938-02</t>
        </is>
      </c>
      <c r="B231" s="1" t="n">
        <v>13912</v>
      </c>
      <c r="C231" s="88" t="n">
        <v>231</v>
      </c>
      <c r="D231" s="1" t="n"/>
      <c r="E231" s="1">
        <f>B231</f>
        <v/>
      </c>
      <c r="F231" s="2">
        <f>B231</f>
        <v/>
      </c>
      <c r="G231" s="88" t="n">
        <v>229</v>
      </c>
      <c r="H231" s="89" t="n"/>
      <c r="I231" s="89" t="n"/>
      <c r="J231" s="89" t="n"/>
      <c r="K231" s="89" t="n"/>
      <c r="L231" s="89" t="n"/>
      <c r="M231" s="89" t="n"/>
      <c r="N231" s="89" t="n"/>
      <c r="O231" s="89" t="n"/>
      <c r="P231" s="89" t="n"/>
      <c r="Q231" s="89" t="n"/>
      <c r="R231" s="89" t="n"/>
      <c r="S231" s="89" t="n"/>
      <c r="T231" s="89" t="n"/>
      <c r="U231" s="89" t="n"/>
      <c r="V231" s="89" t="n"/>
      <c r="W231" s="89" t="n"/>
      <c r="X231" s="89" t="n"/>
      <c r="Y231" s="89" t="n"/>
      <c r="Z231" s="89" t="n"/>
      <c r="AA231" s="89" t="n"/>
      <c r="AB231" s="89" t="n"/>
      <c r="AC231" s="89" t="n"/>
      <c r="AD231" s="89" t="n"/>
      <c r="AE231" s="89" t="n"/>
      <c r="AF231" s="89" t="n"/>
      <c r="AG231" s="89" t="n"/>
      <c r="AH231" s="89" t="n"/>
      <c r="AI231" s="89" t="n"/>
      <c r="AJ231" s="89" t="n"/>
      <c r="AK231" s="89" t="n"/>
      <c r="AL231" s="89" t="n"/>
      <c r="AM231" s="89" t="n"/>
      <c r="AN231" s="89" t="n"/>
      <c r="AO231" s="89" t="n">
        <v>5.825202</v>
      </c>
      <c r="AP231" s="89" t="n">
        <v>0.295346</v>
      </c>
      <c r="AQ231" s="89" t="n"/>
      <c r="AR231" s="89" t="n"/>
      <c r="AS231" s="89" t="n">
        <v>0.260477</v>
      </c>
      <c r="AT231" s="89" t="n">
        <v>2.365662</v>
      </c>
      <c r="AU231" s="89" t="n">
        <v>1.635115</v>
      </c>
      <c r="AV231" s="89" t="n">
        <v>1.514535</v>
      </c>
      <c r="AW231" s="89" t="n"/>
      <c r="AX231" s="89" t="n">
        <v>0.352847</v>
      </c>
      <c r="AY231" s="89" t="n">
        <v>1.132182</v>
      </c>
      <c r="AZ231" t="n">
        <v>5.030222</v>
      </c>
    </row>
    <row r="232">
      <c r="A232" t="inlineStr">
        <is>
          <t>1938-03</t>
        </is>
      </c>
      <c r="B232" s="1" t="n">
        <v>13940</v>
      </c>
      <c r="C232" s="88" t="n">
        <v>232</v>
      </c>
      <c r="D232" s="1" t="n"/>
      <c r="E232" s="1">
        <f>B232</f>
        <v/>
      </c>
      <c r="F232" s="2">
        <f>B232</f>
        <v/>
      </c>
      <c r="G232" s="88" t="n">
        <v>230</v>
      </c>
      <c r="H232" s="89" t="n"/>
      <c r="I232" s="89" t="n"/>
      <c r="J232" s="89" t="n"/>
      <c r="K232" s="89" t="n"/>
      <c r="L232" s="89" t="n"/>
      <c r="M232" s="89" t="n"/>
      <c r="N232" s="89" t="n"/>
      <c r="O232" s="89" t="n"/>
      <c r="P232" s="89" t="n"/>
      <c r="Q232" s="89" t="n"/>
      <c r="R232" s="89" t="n"/>
      <c r="S232" s="89" t="n"/>
      <c r="T232" s="89" t="n"/>
      <c r="U232" s="89" t="n"/>
      <c r="V232" s="89" t="n"/>
      <c r="W232" s="89" t="n"/>
      <c r="X232" s="89" t="n"/>
      <c r="Y232" s="89" t="n"/>
      <c r="Z232" s="89" t="n"/>
      <c r="AA232" s="89" t="n"/>
      <c r="AB232" s="89" t="n"/>
      <c r="AC232" s="89" t="n"/>
      <c r="AD232" s="89" t="n"/>
      <c r="AE232" s="89" t="n"/>
      <c r="AF232" s="89" t="n"/>
      <c r="AG232" s="89" t="n"/>
      <c r="AH232" s="89" t="n"/>
      <c r="AI232" s="89" t="n"/>
      <c r="AJ232" s="89" t="n"/>
      <c r="AK232" s="89" t="n"/>
      <c r="AL232" s="89" t="n"/>
      <c r="AM232" s="89" t="n"/>
      <c r="AN232" s="89" t="n"/>
      <c r="AO232" s="89" t="n">
        <v>5.825202</v>
      </c>
      <c r="AP232" s="89" t="n">
        <v>0.377902</v>
      </c>
      <c r="AQ232" s="89" t="n"/>
      <c r="AR232" s="89" t="n"/>
      <c r="AS232" s="89" t="n">
        <v>0.147458</v>
      </c>
      <c r="AT232" s="89" t="n">
        <v>2.134975</v>
      </c>
      <c r="AU232" s="89" t="n">
        <v>1.067865</v>
      </c>
      <c r="AV232" s="89" t="n">
        <v>1.118171</v>
      </c>
      <c r="AW232" s="89" t="n"/>
      <c r="AX232" s="89" t="n">
        <v>1.123807</v>
      </c>
      <c r="AY232" s="89" t="n">
        <v>0.88536</v>
      </c>
      <c r="AZ232" t="n">
        <v>1.366054</v>
      </c>
    </row>
    <row r="233">
      <c r="A233" t="inlineStr">
        <is>
          <t>1938-04</t>
        </is>
      </c>
      <c r="B233" s="1" t="n">
        <v>13971</v>
      </c>
      <c r="C233" s="88" t="n">
        <v>233</v>
      </c>
      <c r="D233" s="1" t="n"/>
      <c r="E233" s="1">
        <f>B233</f>
        <v/>
      </c>
      <c r="F233" s="2">
        <f>B233</f>
        <v/>
      </c>
      <c r="G233" s="88" t="n">
        <v>231</v>
      </c>
      <c r="H233" s="89" t="n"/>
      <c r="I233" s="89" t="n"/>
      <c r="J233" s="89" t="n"/>
      <c r="K233" s="89" t="n"/>
      <c r="L233" s="89" t="n"/>
      <c r="M233" s="89" t="n"/>
      <c r="N233" s="89" t="n"/>
      <c r="O233" s="89" t="n"/>
      <c r="P233" s="89" t="n"/>
      <c r="Q233" s="89" t="n"/>
      <c r="R233" s="89" t="n"/>
      <c r="S233" s="89" t="n"/>
      <c r="T233" s="89" t="n"/>
      <c r="U233" s="89" t="n"/>
      <c r="V233" s="89" t="n"/>
      <c r="W233" s="89" t="n"/>
      <c r="X233" s="89" t="n"/>
      <c r="Y233" s="89" t="n"/>
      <c r="Z233" s="89" t="n"/>
      <c r="AA233" s="89" t="n"/>
      <c r="AB233" s="89" t="n"/>
      <c r="AC233" s="89" t="n"/>
      <c r="AD233" s="89" t="n"/>
      <c r="AE233" s="89" t="n"/>
      <c r="AF233" s="89" t="n"/>
      <c r="AG233" s="89" t="n"/>
      <c r="AH233" s="89" t="n"/>
      <c r="AI233" s="89" t="n"/>
      <c r="AJ233" s="89" t="n"/>
      <c r="AK233" s="89" t="n"/>
      <c r="AL233" s="89" t="n"/>
      <c r="AM233" s="89" t="n"/>
      <c r="AN233" s="89" t="n"/>
      <c r="AO233" s="89" t="n">
        <v>5.718778</v>
      </c>
      <c r="AP233" s="89" t="n">
        <v>0.166713</v>
      </c>
      <c r="AQ233" s="89" t="n"/>
      <c r="AR233" s="89" t="n"/>
      <c r="AS233" s="89" t="n">
        <v>1.208984</v>
      </c>
      <c r="AT233" s="89" t="n">
        <v>1.881039</v>
      </c>
      <c r="AU233" s="89" t="n">
        <v>1.016627</v>
      </c>
      <c r="AV233" s="89" t="n">
        <v>1.748082</v>
      </c>
      <c r="AW233" s="89" t="n"/>
      <c r="AX233" s="89" t="n">
        <v>5.499646</v>
      </c>
      <c r="AY233" s="89" t="n">
        <v>0.349215</v>
      </c>
      <c r="AZ233" t="n">
        <v>2.971087</v>
      </c>
    </row>
    <row r="234">
      <c r="A234" t="inlineStr">
        <is>
          <t>1938-05</t>
        </is>
      </c>
      <c r="B234" s="1" t="n">
        <v>14001</v>
      </c>
      <c r="C234" s="88" t="n">
        <v>234</v>
      </c>
      <c r="D234" s="1" t="n"/>
      <c r="E234" s="1">
        <f>B234</f>
        <v/>
      </c>
      <c r="F234" s="2">
        <f>B234</f>
        <v/>
      </c>
      <c r="G234" s="88" t="n">
        <v>232</v>
      </c>
      <c r="H234" s="89" t="n"/>
      <c r="I234" s="89" t="n"/>
      <c r="J234" s="89" t="n"/>
      <c r="K234" s="89" t="n"/>
      <c r="L234" s="89" t="n"/>
      <c r="M234" s="89" t="n"/>
      <c r="N234" s="89" t="n"/>
      <c r="O234" s="89" t="n"/>
      <c r="P234" s="89" t="n"/>
      <c r="Q234" s="89" t="n"/>
      <c r="R234" s="89" t="n"/>
      <c r="S234" s="89" t="n"/>
      <c r="T234" s="89" t="n"/>
      <c r="U234" s="89" t="n"/>
      <c r="V234" s="89" t="n"/>
      <c r="W234" s="89" t="n"/>
      <c r="X234" s="89" t="n"/>
      <c r="Y234" s="89" t="n"/>
      <c r="Z234" s="89" t="n"/>
      <c r="AA234" s="89" t="n"/>
      <c r="AB234" s="89" t="n"/>
      <c r="AC234" s="89" t="n"/>
      <c r="AD234" s="89" t="n"/>
      <c r="AE234" s="89" t="n"/>
      <c r="AF234" s="89" t="n"/>
      <c r="AG234" s="89" t="n"/>
      <c r="AH234" s="89" t="n"/>
      <c r="AI234" s="89" t="n"/>
      <c r="AJ234" s="89" t="n"/>
      <c r="AK234" s="89" t="n"/>
      <c r="AL234" s="89" t="n"/>
      <c r="AM234" s="89" t="n"/>
      <c r="AN234" s="89" t="n"/>
      <c r="AO234" s="89" t="n">
        <v>5.585843</v>
      </c>
      <c r="AP234" s="89" t="n">
        <v>0.687856</v>
      </c>
      <c r="AQ234" s="89" t="n"/>
      <c r="AR234" s="89" t="n"/>
      <c r="AS234" s="89" t="n">
        <v>1.136635</v>
      </c>
      <c r="AT234" s="89" t="n">
        <v>2.966533</v>
      </c>
      <c r="AU234" s="89" t="n">
        <v>1.794583</v>
      </c>
      <c r="AV234" s="89" t="n">
        <v>1.522295</v>
      </c>
      <c r="AW234" s="89" t="n"/>
      <c r="AX234" s="89" t="n">
        <v>0.419311</v>
      </c>
      <c r="AY234" s="89" t="n">
        <v>1.996449</v>
      </c>
      <c r="AZ234" t="n">
        <v>2.087314</v>
      </c>
    </row>
    <row r="235">
      <c r="A235" t="inlineStr">
        <is>
          <t>1938-06</t>
        </is>
      </c>
      <c r="B235" s="1" t="n">
        <v>14032</v>
      </c>
      <c r="C235" s="88" t="n">
        <v>235</v>
      </c>
      <c r="D235" s="1" t="n"/>
      <c r="E235" s="1">
        <f>B235</f>
        <v/>
      </c>
      <c r="F235" s="2">
        <f>B235</f>
        <v/>
      </c>
      <c r="G235" s="88" t="n">
        <v>233</v>
      </c>
      <c r="H235" s="89" t="n"/>
      <c r="I235" s="89" t="n"/>
      <c r="J235" s="89" t="n"/>
      <c r="K235" s="89" t="n"/>
      <c r="L235" s="89" t="n"/>
      <c r="M235" s="89" t="n"/>
      <c r="N235" s="89" t="n"/>
      <c r="O235" s="89" t="n"/>
      <c r="P235" s="89" t="n"/>
      <c r="Q235" s="89" t="n"/>
      <c r="R235" s="89" t="n"/>
      <c r="S235" s="89" t="n"/>
      <c r="T235" s="89" t="n"/>
      <c r="U235" s="89" t="n"/>
      <c r="V235" s="89" t="n"/>
      <c r="W235" s="89" t="n"/>
      <c r="X235" s="89" t="n"/>
      <c r="Y235" s="89" t="n"/>
      <c r="Z235" s="89" t="n"/>
      <c r="AA235" s="89" t="n"/>
      <c r="AB235" s="89" t="n"/>
      <c r="AC235" s="89" t="n"/>
      <c r="AD235" s="89" t="n"/>
      <c r="AE235" s="89" t="n"/>
      <c r="AF235" s="89" t="n"/>
      <c r="AG235" s="89" t="n"/>
      <c r="AH235" s="89" t="n"/>
      <c r="AI235" s="89" t="n"/>
      <c r="AJ235" s="89" t="n"/>
      <c r="AK235" s="89" t="n"/>
      <c r="AL235" s="89" t="n"/>
      <c r="AM235" s="89" t="n"/>
      <c r="AN235" s="89" t="n"/>
      <c r="AO235" s="89" t="n">
        <v>5.639055</v>
      </c>
      <c r="AP235" s="89" t="n">
        <v>0.7380100000000001</v>
      </c>
      <c r="AQ235" s="89" t="n"/>
      <c r="AR235" s="89" t="n"/>
      <c r="AS235" s="89" t="n">
        <v>0.99371</v>
      </c>
      <c r="AT235" s="89" t="n">
        <v>1.399216</v>
      </c>
      <c r="AU235" s="89" t="n">
        <v>1.363622</v>
      </c>
      <c r="AV235" s="89" t="n">
        <v>1.762205</v>
      </c>
      <c r="AW235" s="89" t="n"/>
      <c r="AX235" s="89" t="n">
        <v>1.025129</v>
      </c>
      <c r="AY235" s="89" t="n">
        <v>-1.130675</v>
      </c>
      <c r="AZ235" t="n">
        <v>0.754387</v>
      </c>
    </row>
    <row r="236">
      <c r="A236" t="inlineStr">
        <is>
          <t>1938-07</t>
        </is>
      </c>
      <c r="B236" s="1" t="n">
        <v>14062</v>
      </c>
      <c r="C236" s="88" t="n">
        <v>236</v>
      </c>
      <c r="D236" s="1" t="n"/>
      <c r="E236" s="1">
        <f>B236</f>
        <v/>
      </c>
      <c r="F236" s="2">
        <f>B236</f>
        <v/>
      </c>
      <c r="G236" s="88" t="n">
        <v>234</v>
      </c>
      <c r="H236" s="89" t="n"/>
      <c r="I236" s="89" t="n"/>
      <c r="J236" s="89" t="n"/>
      <c r="K236" s="89" t="n"/>
      <c r="L236" s="89" t="n"/>
      <c r="M236" s="89" t="n"/>
      <c r="N236" s="89" t="n"/>
      <c r="O236" s="89" t="n"/>
      <c r="P236" s="89" t="n"/>
      <c r="Q236" s="89" t="n"/>
      <c r="R236" s="89" t="n"/>
      <c r="S236" s="89" t="n"/>
      <c r="T236" s="89" t="n"/>
      <c r="U236" s="89" t="n"/>
      <c r="V236" s="89" t="n"/>
      <c r="W236" s="89" t="n"/>
      <c r="X236" s="89" t="n"/>
      <c r="Y236" s="89" t="n"/>
      <c r="Z236" s="89" t="n"/>
      <c r="AA236" s="89" t="n"/>
      <c r="AB236" s="89" t="n"/>
      <c r="AC236" s="89" t="n"/>
      <c r="AD236" s="89" t="n"/>
      <c r="AE236" s="89" t="n"/>
      <c r="AF236" s="89" t="n"/>
      <c r="AG236" s="89" t="n"/>
      <c r="AH236" s="89" t="n"/>
      <c r="AI236" s="89" t="n"/>
      <c r="AJ236" s="89" t="n"/>
      <c r="AK236" s="89" t="n"/>
      <c r="AL236" s="89" t="n"/>
      <c r="AM236" s="89" t="n"/>
      <c r="AN236" s="89" t="n"/>
      <c r="AO236" s="89" t="n">
        <v>5.958233</v>
      </c>
      <c r="AP236" s="89" t="n">
        <v>0.607231</v>
      </c>
      <c r="AQ236" s="89" t="n"/>
      <c r="AR236" s="89" t="n"/>
      <c r="AS236" s="89" t="n">
        <v>0.8966420000000001</v>
      </c>
      <c r="AT236" s="89" t="n">
        <v>2.537604</v>
      </c>
      <c r="AU236" s="89" t="n">
        <v>0.669611</v>
      </c>
      <c r="AV236" s="89" t="n">
        <v>2.06284</v>
      </c>
      <c r="AW236" s="89" t="n"/>
      <c r="AX236" s="89" t="n">
        <v>3.358647</v>
      </c>
      <c r="AY236" s="89" t="n">
        <v>1.487764</v>
      </c>
      <c r="AZ236" t="n">
        <v>1.8372</v>
      </c>
    </row>
    <row r="237">
      <c r="A237" t="inlineStr">
        <is>
          <t>1938-08</t>
        </is>
      </c>
      <c r="B237" s="1" t="n">
        <v>14093</v>
      </c>
      <c r="C237" s="88" t="n">
        <v>237</v>
      </c>
      <c r="D237" s="1" t="n"/>
      <c r="E237" s="1">
        <f>B237</f>
        <v/>
      </c>
      <c r="F237" s="2">
        <f>B237</f>
        <v/>
      </c>
      <c r="G237" s="88" t="n">
        <v>235</v>
      </c>
      <c r="H237" s="89" t="n"/>
      <c r="I237" s="89" t="n"/>
      <c r="J237" s="89" t="n"/>
      <c r="K237" s="89" t="n"/>
      <c r="L237" s="89" t="n"/>
      <c r="M237" s="89" t="n"/>
      <c r="N237" s="89" t="n"/>
      <c r="O237" s="89" t="n"/>
      <c r="P237" s="89" t="n"/>
      <c r="Q237" s="89" t="n"/>
      <c r="R237" s="89" t="n"/>
      <c r="S237" s="89" t="n"/>
      <c r="T237" s="89" t="n"/>
      <c r="U237" s="89" t="n"/>
      <c r="V237" s="89" t="n"/>
      <c r="W237" s="89" t="n"/>
      <c r="X237" s="89" t="n"/>
      <c r="Y237" s="89" t="n"/>
      <c r="Z237" s="89" t="n"/>
      <c r="AA237" s="89" t="n"/>
      <c r="AB237" s="89" t="n"/>
      <c r="AC237" s="89" t="n"/>
      <c r="AD237" s="89" t="n"/>
      <c r="AE237" s="89" t="n"/>
      <c r="AF237" s="89" t="n"/>
      <c r="AG237" s="89" t="n"/>
      <c r="AH237" s="89" t="n"/>
      <c r="AI237" s="89" t="n"/>
      <c r="AJ237" s="89" t="n"/>
      <c r="AK237" s="89" t="n"/>
      <c r="AL237" s="89" t="n"/>
      <c r="AM237" s="89" t="n"/>
      <c r="AN237" s="89" t="n"/>
      <c r="AO237" s="89" t="n">
        <v>6.27741</v>
      </c>
      <c r="AP237" s="89" t="n">
        <v>0.89257</v>
      </c>
      <c r="AQ237" s="89" t="n"/>
      <c r="AR237" s="89" t="n"/>
      <c r="AS237" s="89" t="n">
        <v>1.114749</v>
      </c>
      <c r="AT237" s="89" t="n">
        <v>2.510422</v>
      </c>
      <c r="AU237" s="89" t="n">
        <v>1.756821</v>
      </c>
      <c r="AV237" s="89" t="n">
        <v>1.930605</v>
      </c>
      <c r="AW237" s="89" t="n"/>
      <c r="AX237" s="89" t="n">
        <v>2.064101</v>
      </c>
      <c r="AY237" s="89" t="n">
        <v>1.362482</v>
      </c>
      <c r="AZ237" t="n">
        <v>2.749143</v>
      </c>
    </row>
    <row r="238">
      <c r="A238" t="inlineStr">
        <is>
          <t>1938-09</t>
        </is>
      </c>
      <c r="B238" s="1" t="n">
        <v>14124</v>
      </c>
      <c r="C238" s="88" t="n">
        <v>238</v>
      </c>
      <c r="D238" s="1" t="n"/>
      <c r="E238" s="1">
        <f>B238</f>
        <v/>
      </c>
      <c r="F238" s="2">
        <f>B238</f>
        <v/>
      </c>
      <c r="G238" s="88" t="n">
        <v>236</v>
      </c>
      <c r="H238" s="89" t="n"/>
      <c r="I238" s="89" t="n"/>
      <c r="J238" s="89" t="n"/>
      <c r="K238" s="89" t="n"/>
      <c r="L238" s="89" t="n"/>
      <c r="M238" s="89" t="n"/>
      <c r="N238" s="89" t="n"/>
      <c r="O238" s="89" t="n"/>
      <c r="P238" s="89" t="n"/>
      <c r="Q238" s="89" t="n"/>
      <c r="R238" s="89" t="n"/>
      <c r="S238" s="89" t="n"/>
      <c r="T238" s="89" t="n"/>
      <c r="U238" s="89" t="n"/>
      <c r="V238" s="89" t="n"/>
      <c r="W238" s="89" t="n"/>
      <c r="X238" s="89" t="n"/>
      <c r="Y238" s="89" t="n"/>
      <c r="Z238" s="89" t="n"/>
      <c r="AA238" s="89" t="n"/>
      <c r="AB238" s="89" t="n"/>
      <c r="AC238" s="89" t="n"/>
      <c r="AD238" s="89" t="n"/>
      <c r="AE238" s="89" t="n"/>
      <c r="AF238" s="89" t="n"/>
      <c r="AG238" s="89" t="n"/>
      <c r="AH238" s="89" t="n"/>
      <c r="AI238" s="89" t="n"/>
      <c r="AJ238" s="89" t="n"/>
      <c r="AK238" s="89" t="n"/>
      <c r="AL238" s="89" t="n"/>
      <c r="AM238" s="89" t="n"/>
      <c r="AN238" s="89" t="n"/>
      <c r="AO238" s="89" t="n">
        <v>6.463557</v>
      </c>
      <c r="AP238" s="89" t="n">
        <v>1.069016</v>
      </c>
      <c r="AQ238" s="89" t="n"/>
      <c r="AR238" s="89" t="n"/>
      <c r="AS238" s="89" t="n">
        <v>0.8551569999999999</v>
      </c>
      <c r="AT238" s="89" t="n">
        <v>1.323343</v>
      </c>
      <c r="AU238" s="89" t="n">
        <v>1.420302</v>
      </c>
      <c r="AV238" s="89" t="n">
        <v>1.925104</v>
      </c>
      <c r="AW238" s="89" t="n"/>
      <c r="AX238" s="89" t="n">
        <v>2.773807</v>
      </c>
      <c r="AY238" s="89" t="n">
        <v>0.5248429999999999</v>
      </c>
      <c r="AZ238" t="n">
        <v>1.148671</v>
      </c>
    </row>
    <row r="239">
      <c r="A239" t="inlineStr">
        <is>
          <t>1938-10</t>
        </is>
      </c>
      <c r="B239" s="1" t="n">
        <v>14154</v>
      </c>
      <c r="C239" s="88" t="n">
        <v>239</v>
      </c>
      <c r="D239" s="1" t="n"/>
      <c r="E239" s="1">
        <f>B239</f>
        <v/>
      </c>
      <c r="F239" s="2">
        <f>B239</f>
        <v/>
      </c>
      <c r="G239" s="88" t="n">
        <v>237</v>
      </c>
      <c r="H239" s="89" t="n"/>
      <c r="I239" s="89" t="n"/>
      <c r="J239" s="89" t="n"/>
      <c r="K239" s="89" t="n"/>
      <c r="L239" s="89" t="n"/>
      <c r="M239" s="89" t="n"/>
      <c r="N239" s="89" t="n"/>
      <c r="O239" s="89" t="n"/>
      <c r="P239" s="89" t="n"/>
      <c r="Q239" s="89" t="n"/>
      <c r="R239" s="89" t="n"/>
      <c r="S239" s="89" t="n"/>
      <c r="T239" s="89" t="n"/>
      <c r="U239" s="89" t="n"/>
      <c r="V239" s="89" t="n"/>
      <c r="W239" s="89" t="n"/>
      <c r="X239" s="89" t="n"/>
      <c r="Y239" s="89" t="n"/>
      <c r="Z239" s="89" t="n"/>
      <c r="AA239" s="89" t="n"/>
      <c r="AB239" s="89" t="n"/>
      <c r="AC239" s="89" t="n"/>
      <c r="AD239" s="89" t="n"/>
      <c r="AE239" s="89" t="n"/>
      <c r="AF239" s="89" t="n"/>
      <c r="AG239" s="89" t="n"/>
      <c r="AH239" s="89" t="n"/>
      <c r="AI239" s="89" t="n"/>
      <c r="AJ239" s="89" t="n"/>
      <c r="AK239" s="89" t="n"/>
      <c r="AL239" s="89" t="n"/>
      <c r="AM239" s="89" t="n"/>
      <c r="AN239" s="89" t="n"/>
      <c r="AO239" s="89" t="n">
        <v>6.623193</v>
      </c>
      <c r="AP239" s="89" t="n">
        <v>0.652421</v>
      </c>
      <c r="AQ239" s="89" t="n"/>
      <c r="AR239" s="89" t="n"/>
      <c r="AS239" s="89" t="n">
        <v>0.825464</v>
      </c>
      <c r="AT239" s="89" t="n">
        <v>3.193479</v>
      </c>
      <c r="AU239" s="89" t="n">
        <v>1.381133</v>
      </c>
      <c r="AV239" s="89" t="n">
        <v>2.296129</v>
      </c>
      <c r="AW239" s="89" t="n"/>
      <c r="AX239" s="89" t="n">
        <v>-1.730059</v>
      </c>
      <c r="AY239" s="89" t="n">
        <v>1.575954</v>
      </c>
      <c r="AZ239" t="n">
        <v>2.811594</v>
      </c>
    </row>
    <row r="240">
      <c r="A240" t="inlineStr">
        <is>
          <t>1938-11</t>
        </is>
      </c>
      <c r="B240" s="1" t="n">
        <v>14185</v>
      </c>
      <c r="C240" s="88" t="n">
        <v>240</v>
      </c>
      <c r="D240" s="1" t="n"/>
      <c r="E240" s="1">
        <f>B240</f>
        <v/>
      </c>
      <c r="F240" s="2">
        <f>B240</f>
        <v/>
      </c>
      <c r="G240" s="88" t="n">
        <v>238</v>
      </c>
      <c r="H240" s="89" t="n"/>
      <c r="I240" s="89" t="n"/>
      <c r="J240" s="89" t="n"/>
      <c r="K240" s="89" t="n"/>
      <c r="L240" s="89" t="n"/>
      <c r="M240" s="89" t="n"/>
      <c r="N240" s="89" t="n"/>
      <c r="O240" s="89" t="n"/>
      <c r="P240" s="89" t="n"/>
      <c r="Q240" s="89" t="n"/>
      <c r="R240" s="89" t="n"/>
      <c r="S240" s="89" t="n"/>
      <c r="T240" s="89" t="n"/>
      <c r="U240" s="89" t="n"/>
      <c r="V240" s="89" t="n"/>
      <c r="W240" s="89" t="n"/>
      <c r="X240" s="89" t="n"/>
      <c r="Y240" s="89" t="n"/>
      <c r="Z240" s="89" t="n"/>
      <c r="AA240" s="89" t="n"/>
      <c r="AB240" s="89" t="n"/>
      <c r="AC240" s="89" t="n"/>
      <c r="AD240" s="89" t="n"/>
      <c r="AE240" s="89" t="n"/>
      <c r="AF240" s="89" t="n"/>
      <c r="AG240" s="89" t="n"/>
      <c r="AH240" s="89" t="n"/>
      <c r="AI240" s="89" t="n"/>
      <c r="AJ240" s="89" t="n"/>
      <c r="AK240" s="89" t="n"/>
      <c r="AL240" s="89" t="n"/>
      <c r="AM240" s="89" t="n"/>
      <c r="AN240" s="89" t="n"/>
      <c r="AO240" s="89" t="n">
        <v>6.889159</v>
      </c>
      <c r="AP240" s="89" t="n">
        <v>1.116927</v>
      </c>
      <c r="AQ240" s="89" t="n"/>
      <c r="AR240" s="89" t="n"/>
      <c r="AS240" s="89" t="n">
        <v>1.572683</v>
      </c>
      <c r="AT240" s="89" t="n">
        <v>2.360675</v>
      </c>
      <c r="AU240" s="89" t="n">
        <v>1.382769</v>
      </c>
      <c r="AV240" s="89" t="n">
        <v>1.899241</v>
      </c>
      <c r="AW240" s="89" t="n"/>
      <c r="AX240" s="89" t="n">
        <v>2.986986</v>
      </c>
      <c r="AY240" s="89" t="n">
        <v>1.28028</v>
      </c>
      <c r="AZ240" t="n">
        <v>2.075388</v>
      </c>
    </row>
    <row r="241">
      <c r="A241" t="inlineStr">
        <is>
          <t>1938-12</t>
        </is>
      </c>
      <c r="B241" s="1" t="n">
        <v>14215</v>
      </c>
      <c r="C241" s="88" t="n">
        <v>241</v>
      </c>
      <c r="D241" s="1" t="n"/>
      <c r="E241" s="1">
        <f>B241</f>
        <v/>
      </c>
      <c r="F241" s="2">
        <f>B241</f>
        <v/>
      </c>
      <c r="G241" s="88" t="n">
        <v>239</v>
      </c>
      <c r="H241" s="89" t="n"/>
      <c r="I241" s="89" t="n"/>
      <c r="J241" s="89" t="n"/>
      <c r="K241" s="89" t="n"/>
      <c r="L241" s="89" t="n"/>
      <c r="M241" s="89" t="n"/>
      <c r="N241" s="89" t="n"/>
      <c r="O241" s="89" t="n"/>
      <c r="P241" s="89" t="n"/>
      <c r="Q241" s="89" t="n"/>
      <c r="R241" s="89" t="n"/>
      <c r="S241" s="89" t="n"/>
      <c r="T241" s="89" t="n"/>
      <c r="U241" s="89" t="n"/>
      <c r="V241" s="89" t="n"/>
      <c r="W241" s="89" t="n"/>
      <c r="X241" s="89" t="n"/>
      <c r="Y241" s="89" t="n"/>
      <c r="Z241" s="89" t="n"/>
      <c r="AA241" s="89" t="n"/>
      <c r="AB241" s="89" t="n"/>
      <c r="AC241" s="89" t="n"/>
      <c r="AD241" s="89" t="n"/>
      <c r="AE241" s="89" t="n"/>
      <c r="AF241" s="89" t="n"/>
      <c r="AG241" s="89" t="n"/>
      <c r="AH241" s="89" t="n"/>
      <c r="AI241" s="89" t="n"/>
      <c r="AJ241" s="89" t="n"/>
      <c r="AK241" s="89" t="n"/>
      <c r="AL241" s="89" t="n"/>
      <c r="AM241" s="89" t="n"/>
      <c r="AN241" s="89" t="n"/>
      <c r="AO241" s="89" t="n">
        <v>6.968977</v>
      </c>
      <c r="AP241" s="89" t="n">
        <v>0.751712</v>
      </c>
      <c r="AQ241" s="89" t="n"/>
      <c r="AR241" s="89" t="n"/>
      <c r="AS241" s="89" t="n">
        <v>0.85977</v>
      </c>
      <c r="AT241" s="89" t="n">
        <v>2.224703</v>
      </c>
      <c r="AU241" s="89" t="n">
        <v>1.623794</v>
      </c>
      <c r="AV241" s="89" t="n">
        <v>1.813651</v>
      </c>
      <c r="AW241" s="89" t="n"/>
      <c r="AX241" s="89" t="n">
        <v>3.540213</v>
      </c>
      <c r="AY241" s="89" t="n">
        <v>1.654601</v>
      </c>
      <c r="AZ241" t="n">
        <v>2.48139</v>
      </c>
    </row>
    <row r="242">
      <c r="A242" t="inlineStr">
        <is>
          <t>1939-01</t>
        </is>
      </c>
      <c r="B242" s="1" t="n">
        <v>14246</v>
      </c>
      <c r="C242" s="88" t="n">
        <v>242</v>
      </c>
      <c r="D242" s="1" t="n"/>
      <c r="E242" s="1">
        <f>B242</f>
        <v/>
      </c>
      <c r="F242" s="2">
        <f>B242</f>
        <v/>
      </c>
      <c r="G242" s="88" t="n">
        <v>240</v>
      </c>
      <c r="H242" s="89" t="n"/>
      <c r="I242" s="89" t="n"/>
      <c r="J242" s="89" t="n"/>
      <c r="K242" s="89" t="n"/>
      <c r="L242" s="89" t="n"/>
      <c r="M242" s="89" t="n"/>
      <c r="N242" s="89" t="n"/>
      <c r="O242" s="89" t="n"/>
      <c r="P242" s="89" t="n"/>
      <c r="Q242" s="89" t="n"/>
      <c r="R242" s="89" t="n"/>
      <c r="S242" s="89" t="n"/>
      <c r="T242" s="89" t="n"/>
      <c r="U242" s="89" t="n"/>
      <c r="V242" s="89" t="n"/>
      <c r="W242" s="89" t="n"/>
      <c r="X242" s="89" t="n"/>
      <c r="Y242" s="89" t="n"/>
      <c r="Z242" s="89" t="n"/>
      <c r="AA242" s="89" t="n"/>
      <c r="AB242" s="89" t="n"/>
      <c r="AC242" s="89" t="n"/>
      <c r="AD242" s="89" t="n"/>
      <c r="AE242" s="89" t="n"/>
      <c r="AF242" s="89" t="n"/>
      <c r="AG242" s="89" t="n"/>
      <c r="AH242" s="89" t="n"/>
      <c r="AI242" s="89" t="n"/>
      <c r="AJ242" s="89" t="n"/>
      <c r="AK242" s="89" t="n"/>
      <c r="AL242" s="89" t="n"/>
      <c r="AM242" s="89" t="n"/>
      <c r="AN242" s="89" t="n"/>
      <c r="AO242" s="89" t="n">
        <v>6.968977</v>
      </c>
      <c r="AP242" s="89" t="n">
        <v>0.645993</v>
      </c>
      <c r="AQ242" s="89" t="n"/>
      <c r="AR242" s="89" t="n"/>
      <c r="AS242" s="89" t="n">
        <v>1.09564</v>
      </c>
      <c r="AT242" s="89" t="n">
        <v>2.142407</v>
      </c>
      <c r="AU242" s="89" t="n">
        <v>0.819509</v>
      </c>
      <c r="AV242" s="89" t="n">
        <v>2.523798</v>
      </c>
      <c r="AW242" s="89" t="n"/>
      <c r="AX242" s="89" t="n">
        <v>-1.500318</v>
      </c>
      <c r="AY242" s="89" t="n">
        <v>1.861019</v>
      </c>
      <c r="AZ242" t="n">
        <v>2.14123</v>
      </c>
    </row>
    <row r="243">
      <c r="A243" t="inlineStr">
        <is>
          <t>1939-02</t>
        </is>
      </c>
      <c r="B243" s="1" t="n">
        <v>14277</v>
      </c>
      <c r="C243" s="88" t="n">
        <v>243</v>
      </c>
      <c r="D243" s="1" t="n"/>
      <c r="E243" s="1">
        <f>B243</f>
        <v/>
      </c>
      <c r="F243" s="2">
        <f>B243</f>
        <v/>
      </c>
      <c r="G243" s="88" t="n">
        <v>241</v>
      </c>
      <c r="H243" s="89" t="n"/>
      <c r="I243" s="89" t="n"/>
      <c r="J243" s="89" t="n"/>
      <c r="K243" s="89" t="n"/>
      <c r="L243" s="89" t="n"/>
      <c r="M243" s="89" t="n"/>
      <c r="N243" s="89" t="n"/>
      <c r="O243" s="89" t="n"/>
      <c r="P243" s="89" t="n"/>
      <c r="Q243" s="89" t="n"/>
      <c r="R243" s="89" t="n"/>
      <c r="S243" s="89" t="n"/>
      <c r="T243" s="89" t="n"/>
      <c r="U243" s="89" t="n"/>
      <c r="V243" s="89" t="n"/>
      <c r="W243" s="89" t="n"/>
      <c r="X243" s="89" t="n"/>
      <c r="Y243" s="89" t="n"/>
      <c r="Z243" s="89" t="n"/>
      <c r="AA243" s="89" t="n"/>
      <c r="AB243" s="89" t="n"/>
      <c r="AC243" s="89" t="n"/>
      <c r="AD243" s="89" t="n"/>
      <c r="AE243" s="89" t="n"/>
      <c r="AF243" s="89" t="n"/>
      <c r="AG243" s="89" t="n"/>
      <c r="AH243" s="89" t="n"/>
      <c r="AI243" s="89" t="n"/>
      <c r="AJ243" s="89" t="n"/>
      <c r="AK243" s="89" t="n"/>
      <c r="AL243" s="89" t="n"/>
      <c r="AM243" s="89" t="n"/>
      <c r="AN243" s="89" t="n"/>
      <c r="AO243" s="89" t="n">
        <v>7.022189</v>
      </c>
      <c r="AP243" s="89" t="n">
        <v>0.478552</v>
      </c>
      <c r="AQ243" s="89" t="n"/>
      <c r="AR243" s="89" t="n"/>
      <c r="AS243" s="89" t="n">
        <v>0.810382</v>
      </c>
      <c r="AT243" s="89" t="n">
        <v>1.58819</v>
      </c>
      <c r="AU243" s="89" t="n">
        <v>1.17193</v>
      </c>
      <c r="AV243" s="89" t="n">
        <v>2.20511</v>
      </c>
      <c r="AW243" s="89" t="n"/>
      <c r="AX243" s="89" t="n">
        <v>-1.423104</v>
      </c>
      <c r="AY243" s="89" t="n">
        <v>1.01421</v>
      </c>
      <c r="AZ243" t="n">
        <v>1.274967</v>
      </c>
    </row>
    <row r="244">
      <c r="A244" t="inlineStr">
        <is>
          <t>1939-03</t>
        </is>
      </c>
      <c r="B244" s="1" t="n">
        <v>14305</v>
      </c>
      <c r="C244" s="88" t="n">
        <v>244</v>
      </c>
      <c r="D244" s="1" t="n"/>
      <c r="E244" s="1">
        <f>B244</f>
        <v/>
      </c>
      <c r="F244" s="2">
        <f>B244</f>
        <v/>
      </c>
      <c r="G244" s="88" t="n">
        <v>242</v>
      </c>
      <c r="H244" s="89" t="n"/>
      <c r="I244" s="89" t="n"/>
      <c r="J244" s="89" t="n"/>
      <c r="K244" s="89" t="n"/>
      <c r="L244" s="89" t="n"/>
      <c r="M244" s="89" t="n"/>
      <c r="N244" s="89" t="n"/>
      <c r="O244" s="89" t="n"/>
      <c r="P244" s="89" t="n"/>
      <c r="Q244" s="89" t="n"/>
      <c r="R244" s="89" t="n"/>
      <c r="S244" s="89" t="n"/>
      <c r="T244" s="89" t="n"/>
      <c r="U244" s="89" t="n"/>
      <c r="V244" s="89" t="n"/>
      <c r="W244" s="89" t="n"/>
      <c r="X244" s="89" t="n"/>
      <c r="Y244" s="89" t="n"/>
      <c r="Z244" s="89" t="n"/>
      <c r="AA244" s="89" t="n"/>
      <c r="AB244" s="89" t="n"/>
      <c r="AC244" s="89" t="n"/>
      <c r="AD244" s="89" t="n"/>
      <c r="AE244" s="89" t="n"/>
      <c r="AF244" s="89" t="n"/>
      <c r="AG244" s="89" t="n"/>
      <c r="AH244" s="89" t="n"/>
      <c r="AI244" s="89" t="n"/>
      <c r="AJ244" s="89" t="n"/>
      <c r="AK244" s="89" t="n"/>
      <c r="AL244" s="89" t="n"/>
      <c r="AM244" s="89" t="n"/>
      <c r="AN244" s="89" t="n"/>
      <c r="AO244" s="89" t="n">
        <v>7.048795</v>
      </c>
      <c r="AP244" s="89" t="n">
        <v>0.521298</v>
      </c>
      <c r="AQ244" s="89" t="n"/>
      <c r="AR244" s="89" t="n"/>
      <c r="AS244" s="89" t="n">
        <v>0.630726</v>
      </c>
      <c r="AT244" s="89" t="n">
        <v>5.002149</v>
      </c>
      <c r="AU244" s="89" t="n">
        <v>1.416847</v>
      </c>
      <c r="AV244" s="89" t="n">
        <v>3.193832</v>
      </c>
      <c r="AW244" s="89" t="n"/>
      <c r="AX244" s="89" t="n">
        <v>5.081427</v>
      </c>
      <c r="AY244" s="89" t="n">
        <v>1.499308</v>
      </c>
      <c r="AZ244" t="n">
        <v>3.002868</v>
      </c>
    </row>
    <row r="245">
      <c r="A245" t="inlineStr">
        <is>
          <t>1939-04</t>
        </is>
      </c>
      <c r="B245" s="1" t="n">
        <v>14336</v>
      </c>
      <c r="C245" s="88" t="n">
        <v>245</v>
      </c>
      <c r="D245" s="1" t="n"/>
      <c r="E245" s="1">
        <f>B245</f>
        <v/>
      </c>
      <c r="F245" s="2">
        <f>B245</f>
        <v/>
      </c>
      <c r="G245" s="88" t="n">
        <v>243</v>
      </c>
      <c r="H245" s="89" t="n"/>
      <c r="I245" s="89" t="n"/>
      <c r="J245" s="89" t="n"/>
      <c r="K245" s="89" t="n"/>
      <c r="L245" s="89" t="n"/>
      <c r="M245" s="89" t="n"/>
      <c r="N245" s="89" t="n"/>
      <c r="O245" s="89" t="n"/>
      <c r="P245" s="89" t="n"/>
      <c r="Q245" s="89" t="n"/>
      <c r="R245" s="89" t="n"/>
      <c r="S245" s="89" t="n"/>
      <c r="T245" s="89" t="n"/>
      <c r="U245" s="89" t="n"/>
      <c r="V245" s="89" t="n"/>
      <c r="W245" s="89" t="n"/>
      <c r="X245" s="89" t="n"/>
      <c r="Y245" s="89" t="n"/>
      <c r="Z245" s="89" t="n"/>
      <c r="AA245" s="89" t="n"/>
      <c r="AB245" s="89" t="n"/>
      <c r="AC245" s="89" t="n"/>
      <c r="AD245" s="89" t="n"/>
      <c r="AE245" s="89" t="n"/>
      <c r="AF245" s="89" t="n"/>
      <c r="AG245" s="89" t="n"/>
      <c r="AH245" s="89" t="n"/>
      <c r="AI245" s="89" t="n"/>
      <c r="AJ245" s="89" t="n"/>
      <c r="AK245" s="89" t="n"/>
      <c r="AL245" s="89" t="n"/>
      <c r="AM245" s="89" t="n"/>
      <c r="AN245" s="89" t="n"/>
      <c r="AO245" s="89" t="n">
        <v>7.022189</v>
      </c>
      <c r="AP245" s="89" t="n">
        <v>0.55314</v>
      </c>
      <c r="AQ245" s="89" t="n"/>
      <c r="AR245" s="89" t="n"/>
      <c r="AS245" s="89" t="n">
        <v>0.89206</v>
      </c>
      <c r="AT245" s="89" t="n">
        <v>0.016278</v>
      </c>
      <c r="AU245" s="89" t="n">
        <v>0.420212</v>
      </c>
      <c r="AV245" s="89" t="n">
        <v>2.653172</v>
      </c>
      <c r="AW245" s="89" t="n"/>
      <c r="AX245" s="89" t="n">
        <v>4.027451</v>
      </c>
      <c r="AY245" s="89" t="n">
        <v>1.703815</v>
      </c>
      <c r="AZ245" t="n">
        <v>0.966923</v>
      </c>
    </row>
    <row r="246">
      <c r="A246" t="inlineStr">
        <is>
          <t>1939-05</t>
        </is>
      </c>
      <c r="B246" s="1" t="n">
        <v>14366</v>
      </c>
      <c r="C246" s="88" t="n">
        <v>246</v>
      </c>
      <c r="D246" s="1" t="n"/>
      <c r="E246" s="1">
        <f>B246</f>
        <v/>
      </c>
      <c r="F246" s="2">
        <f>B246</f>
        <v/>
      </c>
      <c r="G246" s="88" t="n">
        <v>244</v>
      </c>
      <c r="H246" s="89" t="n"/>
      <c r="I246" s="89" t="n"/>
      <c r="J246" s="89" t="n"/>
      <c r="K246" s="89" t="n"/>
      <c r="L246" s="89" t="n"/>
      <c r="M246" s="89" t="n"/>
      <c r="N246" s="89" t="n"/>
      <c r="O246" s="89" t="n"/>
      <c r="P246" s="89" t="n"/>
      <c r="Q246" s="89" t="n"/>
      <c r="R246" s="89" t="n"/>
      <c r="S246" s="89" t="n"/>
      <c r="T246" s="89" t="n"/>
      <c r="U246" s="89" t="n"/>
      <c r="V246" s="89" t="n"/>
      <c r="W246" s="89" t="n"/>
      <c r="X246" s="89" t="n"/>
      <c r="Y246" s="89" t="n"/>
      <c r="Z246" s="89" t="n"/>
      <c r="AA246" s="89" t="n"/>
      <c r="AB246" s="89" t="n"/>
      <c r="AC246" s="89" t="n"/>
      <c r="AD246" s="89" t="n"/>
      <c r="AE246" s="89" t="n"/>
      <c r="AF246" s="89" t="n"/>
      <c r="AG246" s="89" t="n"/>
      <c r="AH246" s="89" t="n"/>
      <c r="AI246" s="89" t="n"/>
      <c r="AJ246" s="89" t="n"/>
      <c r="AK246" s="89" t="n"/>
      <c r="AL246" s="89" t="n"/>
      <c r="AM246" s="89" t="n"/>
      <c r="AN246" s="89" t="n"/>
      <c r="AO246" s="89" t="n">
        <v>6.995583</v>
      </c>
      <c r="AP246" s="89" t="n">
        <v>-0.362279</v>
      </c>
      <c r="AQ246" s="89" t="n"/>
      <c r="AR246" s="89" t="n"/>
      <c r="AS246" s="89" t="n">
        <v>0.64211</v>
      </c>
      <c r="AT246" s="89" t="n">
        <v>0.615193</v>
      </c>
      <c r="AU246" s="89" t="n">
        <v>1.220868</v>
      </c>
      <c r="AV246" s="89" t="n">
        <v>0.621602</v>
      </c>
      <c r="AW246" s="89" t="n"/>
      <c r="AX246" s="89" t="n">
        <v>-5.055762</v>
      </c>
      <c r="AY246" s="89" t="n">
        <v>1.957596</v>
      </c>
      <c r="AZ246" t="n">
        <v>0.693862</v>
      </c>
    </row>
    <row r="247">
      <c r="A247" t="inlineStr">
        <is>
          <t>1939-06</t>
        </is>
      </c>
      <c r="B247" s="1" t="n">
        <v>14397</v>
      </c>
      <c r="C247" s="88" t="n">
        <v>247</v>
      </c>
      <c r="D247" s="1" t="n"/>
      <c r="E247" s="1">
        <f>B247</f>
        <v/>
      </c>
      <c r="F247" s="2">
        <f>B247</f>
        <v/>
      </c>
      <c r="G247" s="88" t="n">
        <v>245</v>
      </c>
      <c r="H247" s="89" t="n"/>
      <c r="I247" s="89" t="n"/>
      <c r="J247" s="89" t="n"/>
      <c r="K247" s="89" t="n"/>
      <c r="L247" s="89" t="n"/>
      <c r="M247" s="89" t="n"/>
      <c r="N247" s="89" t="n"/>
      <c r="O247" s="89" t="n"/>
      <c r="P247" s="89" t="n"/>
      <c r="Q247" s="89" t="n"/>
      <c r="R247" s="89" t="n"/>
      <c r="S247" s="89" t="n"/>
      <c r="T247" s="89" t="n"/>
      <c r="U247" s="89" t="n"/>
      <c r="V247" s="89" t="n"/>
      <c r="W247" s="89" t="n"/>
      <c r="X247" s="89" t="n"/>
      <c r="Y247" s="89" t="n"/>
      <c r="Z247" s="89" t="n"/>
      <c r="AA247" s="89" t="n"/>
      <c r="AB247" s="89" t="n"/>
      <c r="AC247" s="89" t="n"/>
      <c r="AD247" s="89" t="n"/>
      <c r="AE247" s="89" t="n"/>
      <c r="AF247" s="89" t="n"/>
      <c r="AG247" s="89" t="n"/>
      <c r="AH247" s="89" t="n"/>
      <c r="AI247" s="89" t="n"/>
      <c r="AJ247" s="89" t="n"/>
      <c r="AK247" s="89" t="n"/>
      <c r="AL247" s="89" t="n"/>
      <c r="AM247" s="89" t="n"/>
      <c r="AN247" s="89" t="n"/>
      <c r="AO247" s="89" t="n">
        <v>7.15522</v>
      </c>
      <c r="AP247" s="89" t="n">
        <v>-0.572204</v>
      </c>
      <c r="AQ247" s="89" t="n"/>
      <c r="AR247" s="89" t="n"/>
      <c r="AS247" s="89" t="n">
        <v>0.115191</v>
      </c>
      <c r="AT247" s="89" t="n">
        <v>0.539676</v>
      </c>
      <c r="AU247" s="89" t="n">
        <v>0.238976</v>
      </c>
      <c r="AV247" s="89" t="n">
        <v>-1.490669</v>
      </c>
      <c r="AW247" s="89" t="n"/>
      <c r="AX247" s="89" t="n">
        <v>-3.092393</v>
      </c>
      <c r="AY247" s="89" t="n">
        <v>1.333198</v>
      </c>
      <c r="AZ247" t="n">
        <v>0.704539</v>
      </c>
    </row>
    <row r="248">
      <c r="A248" t="inlineStr">
        <is>
          <t>1939-07</t>
        </is>
      </c>
      <c r="B248" s="1" t="n">
        <v>14427</v>
      </c>
      <c r="C248" s="88" t="n">
        <v>248</v>
      </c>
      <c r="D248" s="1" t="n"/>
      <c r="E248" s="1">
        <f>B248</f>
        <v/>
      </c>
      <c r="F248" s="2">
        <f>B248</f>
        <v/>
      </c>
      <c r="G248" s="88" t="n">
        <v>246</v>
      </c>
      <c r="H248" s="89" t="n"/>
      <c r="I248" s="89" t="n"/>
      <c r="J248" s="89" t="n"/>
      <c r="K248" s="89" t="n"/>
      <c r="L248" s="89" t="n"/>
      <c r="M248" s="89" t="n"/>
      <c r="N248" s="89" t="n"/>
      <c r="O248" s="89" t="n"/>
      <c r="P248" s="89" t="n"/>
      <c r="Q248" s="89" t="n"/>
      <c r="R248" s="89" t="n"/>
      <c r="S248" s="89" t="n"/>
      <c r="T248" s="89" t="n"/>
      <c r="U248" s="89" t="n"/>
      <c r="V248" s="89" t="n"/>
      <c r="W248" s="89" t="n"/>
      <c r="X248" s="89" t="n"/>
      <c r="Y248" s="89" t="n"/>
      <c r="Z248" s="89" t="n"/>
      <c r="AA248" s="89" t="n"/>
      <c r="AB248" s="89" t="n"/>
      <c r="AC248" s="89" t="n"/>
      <c r="AD248" s="89" t="n"/>
      <c r="AE248" s="89" t="n"/>
      <c r="AF248" s="89" t="n"/>
      <c r="AG248" s="89" t="n"/>
      <c r="AH248" s="89" t="n"/>
      <c r="AI248" s="89" t="n"/>
      <c r="AJ248" s="89" t="n"/>
      <c r="AK248" s="89" t="n"/>
      <c r="AL248" s="89" t="n"/>
      <c r="AM248" s="89" t="n"/>
      <c r="AN248" s="89" t="n"/>
      <c r="AO248" s="89" t="n">
        <v>7.367972</v>
      </c>
      <c r="AP248" s="89" t="n">
        <v>-1.704736</v>
      </c>
      <c r="AQ248" s="89" t="n"/>
      <c r="AR248" s="89" t="n"/>
      <c r="AS248" s="89" t="n">
        <v>-1.913999</v>
      </c>
      <c r="AT248" s="89" t="n">
        <v>0.859214</v>
      </c>
      <c r="AU248" s="89" t="n">
        <v>-0.569327</v>
      </c>
      <c r="AV248" s="89" t="n">
        <v>-3.252211</v>
      </c>
      <c r="AW248" s="89" t="n"/>
      <c r="AX248" s="89" t="n">
        <v>-0.9161550000000001</v>
      </c>
      <c r="AY248" s="89" t="n">
        <v>-3.881607</v>
      </c>
      <c r="AZ248" t="n">
        <v>-4.794325</v>
      </c>
    </row>
    <row r="249">
      <c r="A249" t="inlineStr">
        <is>
          <t>1939-08</t>
        </is>
      </c>
      <c r="B249" s="1" t="n">
        <v>14458</v>
      </c>
      <c r="C249" s="88" t="n">
        <v>249</v>
      </c>
      <c r="D249" s="1" t="n"/>
      <c r="E249" s="1">
        <f>B249</f>
        <v/>
      </c>
      <c r="F249" s="2">
        <f>B249</f>
        <v/>
      </c>
      <c r="G249" s="88" t="n">
        <v>247</v>
      </c>
      <c r="H249" s="89" t="n"/>
      <c r="I249" s="89" t="n"/>
      <c r="J249" s="89" t="n"/>
      <c r="K249" s="89" t="n"/>
      <c r="L249" s="89" t="n"/>
      <c r="M249" s="89" t="n"/>
      <c r="N249" s="89" t="n"/>
      <c r="O249" s="89" t="n"/>
      <c r="P249" s="89" t="n"/>
      <c r="Q249" s="89" t="n"/>
      <c r="R249" s="89" t="n"/>
      <c r="S249" s="89" t="n"/>
      <c r="T249" s="89" t="n"/>
      <c r="U249" s="89" t="n"/>
      <c r="V249" s="89" t="n"/>
      <c r="W249" s="89" t="n"/>
      <c r="X249" s="89" t="n"/>
      <c r="Y249" s="89" t="n"/>
      <c r="Z249" s="89" t="n"/>
      <c r="AA249" s="89" t="n"/>
      <c r="AB249" s="89" t="n"/>
      <c r="AC249" s="89" t="n"/>
      <c r="AD249" s="89" t="n"/>
      <c r="AE249" s="89" t="n"/>
      <c r="AF249" s="89" t="n"/>
      <c r="AG249" s="89" t="n"/>
      <c r="AH249" s="89" t="n"/>
      <c r="AI249" s="89" t="n"/>
      <c r="AJ249" s="89" t="n"/>
      <c r="AK249" s="89" t="n"/>
      <c r="AL249" s="89" t="n"/>
      <c r="AM249" s="89" t="n"/>
      <c r="AN249" s="89" t="n"/>
      <c r="AO249" s="89" t="n">
        <v>7.474397</v>
      </c>
      <c r="AP249" s="89" t="n">
        <v>-2.978876</v>
      </c>
      <c r="AQ249" s="89" t="n"/>
      <c r="AR249" s="89" t="n"/>
      <c r="AS249" s="89" t="n">
        <v>-1.556526</v>
      </c>
      <c r="AT249" s="89" t="n">
        <v>-1.723446</v>
      </c>
      <c r="AU249" s="89" t="n">
        <v>-1.555488</v>
      </c>
      <c r="AV249" s="89" t="n">
        <v>-3.526982</v>
      </c>
      <c r="AW249" s="89" t="n"/>
      <c r="AX249" s="89" t="n">
        <v>-4.049454</v>
      </c>
      <c r="AY249" s="89" t="n">
        <v>-1.340499</v>
      </c>
      <c r="AZ249" t="n">
        <v>-3.540374</v>
      </c>
    </row>
    <row r="250">
      <c r="A250" t="inlineStr">
        <is>
          <t>1939-09</t>
        </is>
      </c>
      <c r="B250" s="1" t="n">
        <v>14489</v>
      </c>
      <c r="C250" s="88" t="n">
        <v>250</v>
      </c>
      <c r="D250" s="1" t="n"/>
      <c r="E250" s="1">
        <f>B250</f>
        <v/>
      </c>
      <c r="F250" s="2">
        <f>B250</f>
        <v/>
      </c>
      <c r="G250" s="88" t="n">
        <v>248</v>
      </c>
      <c r="H250" s="89" t="n"/>
      <c r="I250" s="89" t="n"/>
      <c r="J250" s="89" t="n"/>
      <c r="K250" s="89" t="n"/>
      <c r="L250" s="89" t="n"/>
      <c r="M250" s="89" t="n"/>
      <c r="N250" s="89" t="n"/>
      <c r="O250" s="89" t="n"/>
      <c r="P250" s="89" t="n"/>
      <c r="Q250" s="89" t="n"/>
      <c r="R250" s="89" t="n"/>
      <c r="S250" s="89" t="n"/>
      <c r="T250" s="89" t="n"/>
      <c r="U250" s="89" t="n"/>
      <c r="V250" s="89" t="n"/>
      <c r="W250" s="89" t="n"/>
      <c r="X250" s="89" t="n"/>
      <c r="Y250" s="89" t="n"/>
      <c r="Z250" s="89" t="n"/>
      <c r="AA250" s="89" t="n"/>
      <c r="AB250" s="89" t="n"/>
      <c r="AC250" s="89" t="n"/>
      <c r="AD250" s="89" t="n"/>
      <c r="AE250" s="89" t="n"/>
      <c r="AF250" s="89" t="n"/>
      <c r="AG250" s="89" t="n"/>
      <c r="AH250" s="89" t="n"/>
      <c r="AI250" s="89" t="n"/>
      <c r="AJ250" s="89" t="n"/>
      <c r="AK250" s="89" t="n"/>
      <c r="AL250" s="89" t="n"/>
      <c r="AM250" s="89" t="n"/>
      <c r="AN250" s="89" t="n"/>
      <c r="AO250" s="89" t="n">
        <v>7.926605</v>
      </c>
      <c r="AP250" s="89" t="n">
        <v>-0.242649</v>
      </c>
      <c r="AQ250" s="89" t="n"/>
      <c r="AR250" s="89" t="n"/>
      <c r="AS250" s="89" t="n">
        <v>-0.010895</v>
      </c>
      <c r="AT250" s="89" t="n">
        <v>5.370874</v>
      </c>
      <c r="AU250" s="89" t="n">
        <v>-0.343175</v>
      </c>
      <c r="AV250" s="89" t="n">
        <v>-1.458861</v>
      </c>
      <c r="AW250" s="89" t="n"/>
      <c r="AX250" s="89" t="n">
        <v>1.961845</v>
      </c>
      <c r="AY250" s="89" t="n">
        <v>1.760859</v>
      </c>
      <c r="AZ250" t="n">
        <v>-2.205431</v>
      </c>
    </row>
    <row r="251">
      <c r="A251" t="inlineStr">
        <is>
          <t>1939-10</t>
        </is>
      </c>
      <c r="B251" s="1" t="n">
        <v>14519</v>
      </c>
      <c r="C251" s="88" t="n">
        <v>251</v>
      </c>
      <c r="D251" s="1" t="n"/>
      <c r="E251" s="1">
        <f>B251</f>
        <v/>
      </c>
      <c r="F251" s="2">
        <f>B251</f>
        <v/>
      </c>
      <c r="G251" s="88" t="n">
        <v>249</v>
      </c>
      <c r="H251" s="89" t="n"/>
      <c r="I251" s="89" t="n"/>
      <c r="J251" s="89" t="n"/>
      <c r="K251" s="89" t="n"/>
      <c r="L251" s="89" t="n"/>
      <c r="M251" s="89" t="n"/>
      <c r="N251" s="89" t="n"/>
      <c r="O251" s="89" t="n"/>
      <c r="P251" s="89" t="n"/>
      <c r="Q251" s="89" t="n"/>
      <c r="R251" s="89" t="n"/>
      <c r="S251" s="89" t="n"/>
      <c r="T251" s="89" t="n"/>
      <c r="U251" s="89" t="n"/>
      <c r="V251" s="89" t="n"/>
      <c r="W251" s="89" t="n"/>
      <c r="X251" s="89" t="n"/>
      <c r="Y251" s="89" t="n"/>
      <c r="Z251" s="89" t="n"/>
      <c r="AA251" s="89" t="n"/>
      <c r="AB251" s="89" t="n"/>
      <c r="AC251" s="89" t="n"/>
      <c r="AD251" s="89" t="n"/>
      <c r="AE251" s="89" t="n"/>
      <c r="AF251" s="89" t="n"/>
      <c r="AG251" s="89" t="n"/>
      <c r="AH251" s="89" t="n"/>
      <c r="AI251" s="89" t="n"/>
      <c r="AJ251" s="89" t="n"/>
      <c r="AK251" s="89" t="n"/>
      <c r="AL251" s="89" t="n"/>
      <c r="AM251" s="89" t="n"/>
      <c r="AN251" s="89" t="n"/>
      <c r="AO251" s="89" t="n">
        <v>8.325504</v>
      </c>
      <c r="AP251" s="89" t="n">
        <v>0.327865</v>
      </c>
      <c r="AQ251" s="89" t="n"/>
      <c r="AR251" s="89" t="n"/>
      <c r="AS251" s="89" t="n">
        <v>0.9947319999999999</v>
      </c>
      <c r="AT251" s="89" t="n">
        <v>2.558919</v>
      </c>
      <c r="AU251" s="89" t="n">
        <v>0.231904</v>
      </c>
      <c r="AV251" s="89" t="n">
        <v>0.410425</v>
      </c>
      <c r="AW251" s="89" t="n"/>
      <c r="AX251" s="89" t="n">
        <v>1.5701</v>
      </c>
      <c r="AY251" s="89" t="n">
        <v>2.40666</v>
      </c>
      <c r="AZ251" t="n">
        <v>3.844624</v>
      </c>
    </row>
    <row r="252">
      <c r="A252" t="inlineStr">
        <is>
          <t>1939-11</t>
        </is>
      </c>
      <c r="B252" s="1" t="n">
        <v>14550</v>
      </c>
      <c r="C252" s="88" t="n">
        <v>252</v>
      </c>
      <c r="D252" s="1" t="n"/>
      <c r="E252" s="1">
        <f>B252</f>
        <v/>
      </c>
      <c r="F252" s="2">
        <f>B252</f>
        <v/>
      </c>
      <c r="G252" s="88" t="n">
        <v>250</v>
      </c>
      <c r="H252" s="89" t="n"/>
      <c r="I252" s="89" t="n"/>
      <c r="J252" s="89" t="n"/>
      <c r="K252" s="89" t="n"/>
      <c r="L252" s="89" t="n"/>
      <c r="M252" s="89" t="n"/>
      <c r="N252" s="89" t="n"/>
      <c r="O252" s="89" t="n"/>
      <c r="P252" s="89" t="n"/>
      <c r="Q252" s="89" t="n"/>
      <c r="R252" s="89" t="n"/>
      <c r="S252" s="89" t="n"/>
      <c r="T252" s="89" t="n"/>
      <c r="U252" s="89" t="n"/>
      <c r="V252" s="89" t="n"/>
      <c r="W252" s="89" t="n"/>
      <c r="X252" s="89" t="n"/>
      <c r="Y252" s="89" t="n"/>
      <c r="Z252" s="89" t="n"/>
      <c r="AA252" s="89" t="n"/>
      <c r="AB252" s="89" t="n"/>
      <c r="AC252" s="89" t="n"/>
      <c r="AD252" s="89" t="n"/>
      <c r="AE252" s="89" t="n"/>
      <c r="AF252" s="89" t="n"/>
      <c r="AG252" s="89" t="n"/>
      <c r="AH252" s="89" t="n"/>
      <c r="AI252" s="89" t="n"/>
      <c r="AJ252" s="89" t="n"/>
      <c r="AK252" s="89" t="n"/>
      <c r="AL252" s="89" t="n"/>
      <c r="AM252" s="89" t="n"/>
      <c r="AN252" s="89" t="n"/>
      <c r="AO252" s="89" t="n">
        <v>8.538353000000001</v>
      </c>
      <c r="AP252" s="89" t="n">
        <v>0.540979</v>
      </c>
      <c r="AQ252" s="89" t="n"/>
      <c r="AR252" s="89" t="n"/>
      <c r="AS252" s="89" t="n">
        <v>0.248704</v>
      </c>
      <c r="AT252" s="89" t="n">
        <v>2.173056</v>
      </c>
      <c r="AU252" s="89" t="n">
        <v>0.6667689999999999</v>
      </c>
      <c r="AV252" s="89" t="n">
        <v>1.081708</v>
      </c>
      <c r="AW252" s="89" t="n"/>
      <c r="AX252" s="89" t="n">
        <v>2.143184</v>
      </c>
      <c r="AY252" s="89" t="n">
        <v>2.450185</v>
      </c>
      <c r="AZ252" t="n">
        <v>1.807144</v>
      </c>
    </row>
    <row r="253">
      <c r="A253" t="inlineStr">
        <is>
          <t>1939-12</t>
        </is>
      </c>
      <c r="B253" s="1" t="n">
        <v>14580</v>
      </c>
      <c r="C253" s="88" t="n">
        <v>253</v>
      </c>
      <c r="D253" s="1" t="n"/>
      <c r="E253" s="1">
        <f>B253</f>
        <v/>
      </c>
      <c r="F253" s="2">
        <f>B253</f>
        <v/>
      </c>
      <c r="G253" s="88" t="n">
        <v>251</v>
      </c>
      <c r="H253" s="89" t="n"/>
      <c r="I253" s="89" t="n"/>
      <c r="J253" s="89" t="n"/>
      <c r="K253" s="89" t="n"/>
      <c r="L253" s="89" t="n"/>
      <c r="M253" s="89" t="n"/>
      <c r="N253" s="89" t="n"/>
      <c r="O253" s="89" t="n"/>
      <c r="P253" s="89" t="n"/>
      <c r="Q253" s="89" t="n"/>
      <c r="R253" s="89" t="n"/>
      <c r="S253" s="89" t="n"/>
      <c r="T253" s="89" t="n"/>
      <c r="U253" s="89" t="n"/>
      <c r="V253" s="89" t="n"/>
      <c r="W253" s="89" t="n"/>
      <c r="X253" s="89" t="n"/>
      <c r="Y253" s="89" t="n"/>
      <c r="Z253" s="89" t="n"/>
      <c r="AA253" s="89" t="n"/>
      <c r="AB253" s="89" t="n"/>
      <c r="AC253" s="89" t="n"/>
      <c r="AD253" s="89" t="n"/>
      <c r="AE253" s="89" t="n"/>
      <c r="AF253" s="89" t="n"/>
      <c r="AG253" s="89" t="n"/>
      <c r="AH253" s="89" t="n"/>
      <c r="AI253" s="89" t="n"/>
      <c r="AJ253" s="89" t="n"/>
      <c r="AK253" s="89" t="n"/>
      <c r="AL253" s="89" t="n"/>
      <c r="AM253" s="89" t="n"/>
      <c r="AN253" s="89" t="n"/>
      <c r="AO253" s="89" t="n">
        <v>8.538353000000001</v>
      </c>
      <c r="AP253" s="89" t="n">
        <v>0.414672</v>
      </c>
      <c r="AQ253" s="89" t="n"/>
      <c r="AR253" s="89" t="n"/>
      <c r="AS253" s="89" t="n">
        <v>1.024431</v>
      </c>
      <c r="AT253" s="89" t="n">
        <v>2.616574</v>
      </c>
      <c r="AU253" s="89" t="n">
        <v>1.138547</v>
      </c>
      <c r="AV253" s="89" t="n">
        <v>2.138462</v>
      </c>
      <c r="AW253" s="89" t="n"/>
      <c r="AX253" s="89" t="n">
        <v>1.706515</v>
      </c>
      <c r="AY253" s="89" t="n">
        <v>2.072468</v>
      </c>
      <c r="AZ253" t="n">
        <v>3.17133</v>
      </c>
    </row>
    <row r="254">
      <c r="A254" t="inlineStr">
        <is>
          <t>1940-01</t>
        </is>
      </c>
      <c r="B254" s="1" t="n">
        <v>14611</v>
      </c>
      <c r="C254" s="88" t="n">
        <v>254</v>
      </c>
      <c r="D254" s="1" t="n"/>
      <c r="E254" s="1">
        <f>B254</f>
        <v/>
      </c>
      <c r="F254" s="2">
        <f>B254</f>
        <v/>
      </c>
      <c r="G254" s="88" t="n">
        <v>252</v>
      </c>
      <c r="H254" s="89" t="n"/>
      <c r="I254" s="89" t="n"/>
      <c r="J254" s="89" t="n"/>
      <c r="K254" s="89" t="n"/>
      <c r="L254" s="89" t="n"/>
      <c r="M254" s="89" t="n"/>
      <c r="N254" s="89" t="n"/>
      <c r="O254" s="89" t="n"/>
      <c r="P254" s="89" t="n"/>
      <c r="Q254" s="89" t="n"/>
      <c r="R254" s="89" t="n"/>
      <c r="S254" s="89" t="n"/>
      <c r="T254" s="89" t="n"/>
      <c r="U254" s="89" t="n"/>
      <c r="V254" s="89" t="n"/>
      <c r="W254" s="89" t="n"/>
      <c r="X254" s="89" t="n"/>
      <c r="Y254" s="89" t="n"/>
      <c r="Z254" s="89" t="n"/>
      <c r="AA254" s="89" t="n"/>
      <c r="AB254" s="89" t="n"/>
      <c r="AC254" s="89" t="n"/>
      <c r="AD254" s="89" t="n"/>
      <c r="AE254" s="89" t="n"/>
      <c r="AF254" s="89" t="n"/>
      <c r="AG254" s="89" t="n"/>
      <c r="AH254" s="89" t="n"/>
      <c r="AI254" s="89" t="n"/>
      <c r="AJ254" s="89" t="n"/>
      <c r="AK254" s="89" t="n"/>
      <c r="AL254" s="89" t="n"/>
      <c r="AM254" s="89" t="n"/>
      <c r="AN254" s="89" t="n"/>
      <c r="AO254" s="89" t="n">
        <v>8.431929</v>
      </c>
      <c r="AP254" s="89" t="n">
        <v>0.914216</v>
      </c>
      <c r="AQ254" s="89" t="n"/>
      <c r="AR254" s="89" t="n"/>
      <c r="AS254" s="89" t="n">
        <v>0.981325</v>
      </c>
      <c r="AT254" s="89" t="n">
        <v>2.526739</v>
      </c>
      <c r="AU254" s="89" t="n">
        <v>0.682244</v>
      </c>
      <c r="AV254" s="89" t="n">
        <v>0.950099</v>
      </c>
      <c r="AW254" s="89" t="n"/>
      <c r="AX254" s="89" t="n">
        <v>2.583102</v>
      </c>
      <c r="AY254" s="89" t="n">
        <v>1.303546</v>
      </c>
      <c r="AZ254" t="n">
        <v>4.486623</v>
      </c>
    </row>
    <row r="255">
      <c r="A255" t="inlineStr">
        <is>
          <t>1940-02</t>
        </is>
      </c>
      <c r="B255" s="1" t="n">
        <v>14642</v>
      </c>
      <c r="C255" s="88" t="n">
        <v>255</v>
      </c>
      <c r="D255" s="1" t="n"/>
      <c r="E255" s="1">
        <f>B255</f>
        <v/>
      </c>
      <c r="F255" s="2">
        <f>B255</f>
        <v/>
      </c>
      <c r="G255" s="88" t="n">
        <v>253</v>
      </c>
      <c r="H255" s="89" t="n"/>
      <c r="I255" s="89" t="n"/>
      <c r="J255" s="89" t="n"/>
      <c r="K255" s="89" t="n"/>
      <c r="L255" s="89" t="n"/>
      <c r="M255" s="89" t="n"/>
      <c r="N255" s="89" t="n"/>
      <c r="O255" s="89" t="n"/>
      <c r="P255" s="89" t="n"/>
      <c r="Q255" s="89" t="n"/>
      <c r="R255" s="89" t="n"/>
      <c r="S255" s="89" t="n"/>
      <c r="T255" s="89" t="n"/>
      <c r="U255" s="89" t="n"/>
      <c r="V255" s="89" t="n"/>
      <c r="W255" s="89" t="n"/>
      <c r="X255" s="89" t="n"/>
      <c r="Y255" s="89" t="n"/>
      <c r="Z255" s="89" t="n"/>
      <c r="AA255" s="89" t="n"/>
      <c r="AB255" s="89" t="n"/>
      <c r="AC255" s="89" t="n"/>
      <c r="AD255" s="89" t="n"/>
      <c r="AE255" s="89" t="n"/>
      <c r="AF255" s="89" t="n"/>
      <c r="AG255" s="89" t="n"/>
      <c r="AH255" s="89" t="n"/>
      <c r="AI255" s="89" t="n"/>
      <c r="AJ255" s="89" t="n"/>
      <c r="AK255" s="89" t="n"/>
      <c r="AL255" s="89" t="n"/>
      <c r="AM255" s="89" t="n"/>
      <c r="AN255" s="89" t="n"/>
      <c r="AO255" s="89" t="n">
        <v>8.165964000000001</v>
      </c>
      <c r="AP255" s="89" t="n">
        <v>0.466643</v>
      </c>
      <c r="AQ255" s="89" t="n"/>
      <c r="AR255" s="89" t="n"/>
      <c r="AS255" s="89" t="n">
        <v>0.442511</v>
      </c>
      <c r="AT255" s="89" t="n">
        <v>2.365134</v>
      </c>
      <c r="AU255" s="89" t="n">
        <v>1.111748</v>
      </c>
      <c r="AV255" s="89" t="n">
        <v>0.523513</v>
      </c>
      <c r="AW255" s="89" t="n"/>
      <c r="AX255" s="89" t="n">
        <v>2.314438</v>
      </c>
      <c r="AY255" s="89" t="n">
        <v>1.086582</v>
      </c>
      <c r="AZ255" t="n">
        <v>0.411067</v>
      </c>
    </row>
    <row r="256">
      <c r="A256" t="inlineStr">
        <is>
          <t>1940-03</t>
        </is>
      </c>
      <c r="B256" s="1" t="n">
        <v>14671</v>
      </c>
      <c r="C256" s="88" t="n">
        <v>256</v>
      </c>
      <c r="D256" s="1" t="n"/>
      <c r="E256" s="1">
        <f>B256</f>
        <v/>
      </c>
      <c r="F256" s="2">
        <f>B256</f>
        <v/>
      </c>
      <c r="G256" s="88" t="n">
        <v>254</v>
      </c>
      <c r="H256" s="89" t="n"/>
      <c r="I256" s="89" t="n"/>
      <c r="J256" s="89" t="n"/>
      <c r="K256" s="89" t="n"/>
      <c r="L256" s="89" t="n"/>
      <c r="M256" s="89" t="n"/>
      <c r="N256" s="89" t="n"/>
      <c r="O256" s="89" t="n"/>
      <c r="P256" s="89" t="n"/>
      <c r="Q256" s="89" t="n"/>
      <c r="R256" s="89" t="n"/>
      <c r="S256" s="89" t="n"/>
      <c r="T256" s="89" t="n"/>
      <c r="U256" s="89" t="n"/>
      <c r="V256" s="89" t="n"/>
      <c r="W256" s="89" t="n"/>
      <c r="X256" s="89" t="n"/>
      <c r="Y256" s="89" t="n"/>
      <c r="Z256" s="89" t="n"/>
      <c r="AA256" s="89" t="n"/>
      <c r="AB256" s="89" t="n"/>
      <c r="AC256" s="89" t="n"/>
      <c r="AD256" s="89" t="n"/>
      <c r="AE256" s="89" t="n"/>
      <c r="AF256" s="89" t="n"/>
      <c r="AG256" s="89" t="n"/>
      <c r="AH256" s="89" t="n"/>
      <c r="AI256" s="89" t="n"/>
      <c r="AJ256" s="89" t="n"/>
      <c r="AK256" s="89" t="n"/>
      <c r="AL256" s="89" t="n"/>
      <c r="AM256" s="89" t="n"/>
      <c r="AN256" s="89" t="n"/>
      <c r="AO256" s="89" t="n">
        <v>7.979721</v>
      </c>
      <c r="AP256" s="89" t="n">
        <v>0.6221370000000001</v>
      </c>
      <c r="AQ256" s="89" t="n"/>
      <c r="AR256" s="89" t="n"/>
      <c r="AS256" s="89" t="n">
        <v>0.700684</v>
      </c>
      <c r="AT256" s="89" t="n">
        <v>2.685385</v>
      </c>
      <c r="AU256" s="89" t="n">
        <v>1.069624</v>
      </c>
      <c r="AV256" s="89" t="n">
        <v>1.25698</v>
      </c>
      <c r="AW256" s="89" t="n"/>
      <c r="AX256" s="89" t="n">
        <v>3.556788</v>
      </c>
      <c r="AY256" s="89" t="n">
        <v>1.169951</v>
      </c>
      <c r="AZ256" t="n">
        <v>1.402793</v>
      </c>
    </row>
    <row r="257">
      <c r="A257" t="inlineStr">
        <is>
          <t>1940-04</t>
        </is>
      </c>
      <c r="B257" s="1" t="n">
        <v>14702</v>
      </c>
      <c r="C257" s="88" t="n">
        <v>257</v>
      </c>
      <c r="D257" s="1" t="n"/>
      <c r="E257" s="1">
        <f>B257</f>
        <v/>
      </c>
      <c r="F257" s="2">
        <f>B257</f>
        <v/>
      </c>
      <c r="G257" s="88" t="n">
        <v>255</v>
      </c>
      <c r="H257" s="89" t="n"/>
      <c r="I257" s="89" t="n"/>
      <c r="J257" s="89" t="n"/>
      <c r="K257" s="89" t="n"/>
      <c r="L257" s="89" t="n"/>
      <c r="M257" s="89" t="n"/>
      <c r="N257" s="89" t="n"/>
      <c r="O257" s="89" t="n"/>
      <c r="P257" s="89" t="n"/>
      <c r="Q257" s="89" t="n"/>
      <c r="R257" s="89" t="n"/>
      <c r="S257" s="89" t="n"/>
      <c r="T257" s="89" t="n"/>
      <c r="U257" s="89" t="n"/>
      <c r="V257" s="89" t="n"/>
      <c r="W257" s="89" t="n"/>
      <c r="X257" s="89" t="n"/>
      <c r="Y257" s="89" t="n"/>
      <c r="Z257" s="89" t="n"/>
      <c r="AA257" s="89" t="n"/>
      <c r="AB257" s="89" t="n"/>
      <c r="AC257" s="89" t="n"/>
      <c r="AD257" s="89" t="n"/>
      <c r="AE257" s="89" t="n"/>
      <c r="AF257" s="89" t="n"/>
      <c r="AG257" s="89" t="n"/>
      <c r="AH257" s="89" t="n"/>
      <c r="AI257" s="89" t="n"/>
      <c r="AJ257" s="89" t="n"/>
      <c r="AK257" s="89" t="n"/>
      <c r="AL257" s="89" t="n"/>
      <c r="AM257" s="89" t="n"/>
      <c r="AN257" s="89" t="n"/>
      <c r="AO257" s="89" t="n">
        <v>8.139358</v>
      </c>
      <c r="AP257" s="89" t="n">
        <v>0.8081199999999999</v>
      </c>
      <c r="AQ257" s="89" t="n"/>
      <c r="AR257" s="89" t="n"/>
      <c r="AS257" s="89" t="n">
        <v>0.480227</v>
      </c>
      <c r="AT257" s="89" t="n">
        <v>2.21981</v>
      </c>
      <c r="AU257" s="89" t="n">
        <v>0.9508259999999999</v>
      </c>
      <c r="AV257" s="89" t="n">
        <v>0.953668</v>
      </c>
      <c r="AW257" s="89" t="n">
        <v>2.6</v>
      </c>
      <c r="AX257" s="89" t="n">
        <v>2.577497</v>
      </c>
      <c r="AY257" s="89" t="n">
        <v>1.328412</v>
      </c>
      <c r="AZ257" t="n">
        <v>2.399388</v>
      </c>
    </row>
    <row r="258">
      <c r="A258" t="inlineStr">
        <is>
          <t>1940-05</t>
        </is>
      </c>
      <c r="B258" s="1" t="n">
        <v>14732</v>
      </c>
      <c r="C258" s="88" t="n">
        <v>258</v>
      </c>
      <c r="D258" s="1" t="n"/>
      <c r="E258" s="1">
        <f>B258</f>
        <v/>
      </c>
      <c r="F258" s="2">
        <f>B258</f>
        <v/>
      </c>
      <c r="G258" s="88" t="n">
        <v>256</v>
      </c>
      <c r="H258" s="89" t="n"/>
      <c r="I258" s="89" t="n"/>
      <c r="J258" s="89" t="n"/>
      <c r="K258" s="89" t="n"/>
      <c r="L258" s="89" t="n"/>
      <c r="M258" s="89" t="n"/>
      <c r="N258" s="89" t="n"/>
      <c r="O258" s="89" t="n"/>
      <c r="P258" s="89" t="n"/>
      <c r="Q258" s="89" t="n"/>
      <c r="R258" s="89" t="n"/>
      <c r="S258" s="89" t="n"/>
      <c r="T258" s="89" t="n"/>
      <c r="U258" s="89" t="n"/>
      <c r="V258" s="89" t="n"/>
      <c r="W258" s="89" t="n"/>
      <c r="X258" s="89" t="n"/>
      <c r="Y258" s="89" t="n"/>
      <c r="Z258" s="89" t="n"/>
      <c r="AA258" s="89" t="n"/>
      <c r="AB258" s="89" t="n"/>
      <c r="AC258" s="89" t="n"/>
      <c r="AD258" s="89" t="n"/>
      <c r="AE258" s="89" t="n"/>
      <c r="AF258" s="89" t="n"/>
      <c r="AG258" s="89" t="n"/>
      <c r="AH258" s="89" t="n"/>
      <c r="AI258" s="89" t="n"/>
      <c r="AJ258" s="89" t="n"/>
      <c r="AK258" s="89" t="n"/>
      <c r="AL258" s="89" t="n"/>
      <c r="AM258" s="89" t="n"/>
      <c r="AN258" s="89" t="n"/>
      <c r="AO258" s="89" t="n">
        <v>8.378716000000001</v>
      </c>
      <c r="AP258" s="89" t="n">
        <v>0.022554</v>
      </c>
      <c r="AQ258" s="89" t="n"/>
      <c r="AR258" s="89" t="n"/>
      <c r="AS258" s="89" t="n">
        <v>0.487728</v>
      </c>
      <c r="AT258" s="89" t="n">
        <v>1.746085</v>
      </c>
      <c r="AU258" s="89" t="n">
        <v>0.574942</v>
      </c>
      <c r="AV258" s="89" t="n">
        <v>1.188686</v>
      </c>
      <c r="AW258" s="89" t="n">
        <v>2.3</v>
      </c>
      <c r="AX258" s="89" t="n">
        <v>2.181548</v>
      </c>
      <c r="AY258" s="89" t="n">
        <v>1.063795</v>
      </c>
      <c r="AZ258" t="n">
        <v>0.972643</v>
      </c>
    </row>
    <row r="259">
      <c r="A259" t="inlineStr">
        <is>
          <t>1940-06</t>
        </is>
      </c>
      <c r="B259" s="1" t="n">
        <v>14763</v>
      </c>
      <c r="C259" s="88" t="n">
        <v>259</v>
      </c>
      <c r="D259" s="1" t="n"/>
      <c r="E259" s="1">
        <f>B259</f>
        <v/>
      </c>
      <c r="F259" s="2">
        <f>B259</f>
        <v/>
      </c>
      <c r="G259" s="88" t="n">
        <v>257</v>
      </c>
      <c r="H259" s="89" t="n"/>
      <c r="I259" s="89" t="n"/>
      <c r="J259" s="89" t="n"/>
      <c r="K259" s="89" t="n"/>
      <c r="L259" s="89" t="n"/>
      <c r="M259" s="89" t="n"/>
      <c r="N259" s="89" t="n"/>
      <c r="O259" s="89" t="n"/>
      <c r="P259" s="89" t="n"/>
      <c r="Q259" s="89" t="n"/>
      <c r="R259" s="89" t="n"/>
      <c r="S259" s="89" t="n"/>
      <c r="T259" s="89" t="n"/>
      <c r="U259" s="89" t="n"/>
      <c r="V259" s="89" t="n"/>
      <c r="W259" s="89" t="n"/>
      <c r="X259" s="89" t="n"/>
      <c r="Y259" s="89" t="n"/>
      <c r="Z259" s="89" t="n"/>
      <c r="AA259" s="89" t="n"/>
      <c r="AB259" s="89" t="n"/>
      <c r="AC259" s="89" t="n"/>
      <c r="AD259" s="89" t="n"/>
      <c r="AE259" s="89" t="n"/>
      <c r="AF259" s="89" t="n"/>
      <c r="AG259" s="89" t="n"/>
      <c r="AH259" s="89" t="n"/>
      <c r="AI259" s="89" t="n"/>
      <c r="AJ259" s="89" t="n"/>
      <c r="AK259" s="89" t="n"/>
      <c r="AL259" s="89" t="n"/>
      <c r="AM259" s="89" t="n"/>
      <c r="AN259" s="89" t="n"/>
      <c r="AO259" s="89" t="n">
        <v>8.644778000000001</v>
      </c>
      <c r="AP259" s="89" t="n">
        <v>-0.00435</v>
      </c>
      <c r="AQ259" s="89" t="n"/>
      <c r="AR259" s="89" t="n"/>
      <c r="AS259" s="89" t="n">
        <v>-0.320376</v>
      </c>
      <c r="AT259" s="89" t="n">
        <v>-1.463069</v>
      </c>
      <c r="AU259" s="89" t="n">
        <v>0.298202</v>
      </c>
      <c r="AV259" s="89" t="n">
        <v>1.137752</v>
      </c>
      <c r="AW259" s="89" t="n">
        <v>1.8</v>
      </c>
      <c r="AX259" s="89" t="n">
        <v>2.651322</v>
      </c>
      <c r="AY259" s="89" t="n">
        <v>0.037405</v>
      </c>
      <c r="AZ259" t="n">
        <v>0.789035</v>
      </c>
    </row>
    <row r="260">
      <c r="A260" t="inlineStr">
        <is>
          <t>1940-07</t>
        </is>
      </c>
      <c r="B260" s="1" t="n">
        <v>14793</v>
      </c>
      <c r="C260" s="88" t="n">
        <v>260</v>
      </c>
      <c r="D260" s="1" t="n"/>
      <c r="E260" s="1">
        <f>B260</f>
        <v/>
      </c>
      <c r="F260" s="2">
        <f>B260</f>
        <v/>
      </c>
      <c r="G260" s="88" t="n">
        <v>258</v>
      </c>
      <c r="H260" s="89" t="n"/>
      <c r="I260" s="89" t="n"/>
      <c r="J260" s="89" t="n"/>
      <c r="K260" s="89" t="n"/>
      <c r="L260" s="89" t="n"/>
      <c r="M260" s="89" t="n"/>
      <c r="N260" s="89" t="n"/>
      <c r="O260" s="89" t="n"/>
      <c r="P260" s="89" t="n"/>
      <c r="Q260" s="89" t="n"/>
      <c r="R260" s="89" t="n"/>
      <c r="S260" s="89" t="n"/>
      <c r="T260" s="89" t="n"/>
      <c r="U260" s="89" t="n"/>
      <c r="V260" s="89" t="n"/>
      <c r="W260" s="89" t="n"/>
      <c r="X260" s="89" t="n"/>
      <c r="Y260" s="89" t="n"/>
      <c r="Z260" s="89" t="n"/>
      <c r="AA260" s="89" t="n"/>
      <c r="AB260" s="89" t="n"/>
      <c r="AC260" s="89" t="n"/>
      <c r="AD260" s="89" t="n"/>
      <c r="AE260" s="89" t="n"/>
      <c r="AF260" s="89" t="n"/>
      <c r="AG260" s="89" t="n"/>
      <c r="AH260" s="89" t="n"/>
      <c r="AI260" s="89" t="n"/>
      <c r="AJ260" s="89" t="n"/>
      <c r="AK260" s="89" t="n"/>
      <c r="AL260" s="89" t="n"/>
      <c r="AM260" s="89" t="n"/>
      <c r="AN260" s="89" t="n"/>
      <c r="AO260" s="89" t="n">
        <v>8.751106</v>
      </c>
      <c r="AP260" s="89" t="n">
        <v>-0.287329</v>
      </c>
      <c r="AQ260" s="89" t="n"/>
      <c r="AR260" s="89" t="n"/>
      <c r="AS260" s="89" t="n">
        <v>0.610472</v>
      </c>
      <c r="AT260" s="89" t="n">
        <v>1.965761</v>
      </c>
      <c r="AU260" s="89" t="n">
        <v>0.7621019999999999</v>
      </c>
      <c r="AV260" s="89" t="n">
        <v>1.312534</v>
      </c>
      <c r="AW260" s="89" t="n">
        <v>1.5</v>
      </c>
      <c r="AX260" s="89" t="n">
        <v>1.09369</v>
      </c>
      <c r="AY260" s="89" t="n">
        <v>0.57439</v>
      </c>
      <c r="AZ260" t="n">
        <v>0.070025</v>
      </c>
    </row>
    <row r="261">
      <c r="A261" t="inlineStr">
        <is>
          <t>1940-08</t>
        </is>
      </c>
      <c r="B261" s="1" t="n">
        <v>14824</v>
      </c>
      <c r="C261" s="88" t="n">
        <v>261</v>
      </c>
      <c r="D261" s="1" t="n"/>
      <c r="E261" s="1">
        <f>B261</f>
        <v/>
      </c>
      <c r="F261" s="2">
        <f>B261</f>
        <v/>
      </c>
      <c r="G261" s="88" t="n">
        <v>259</v>
      </c>
      <c r="H261" s="89" t="n"/>
      <c r="I261" s="89" t="n"/>
      <c r="J261" s="89" t="n"/>
      <c r="K261" s="89" t="n"/>
      <c r="L261" s="89" t="n"/>
      <c r="M261" s="89" t="n"/>
      <c r="N261" s="89" t="n"/>
      <c r="O261" s="89" t="n"/>
      <c r="P261" s="89" t="n"/>
      <c r="Q261" s="89" t="n"/>
      <c r="R261" s="89" t="n"/>
      <c r="S261" s="89" t="n"/>
      <c r="T261" s="89" t="n"/>
      <c r="U261" s="89" t="n"/>
      <c r="V261" s="89" t="n"/>
      <c r="W261" s="89" t="n"/>
      <c r="X261" s="89" t="n"/>
      <c r="Y261" s="89" t="n"/>
      <c r="Z261" s="89" t="n"/>
      <c r="AA261" s="89" t="n"/>
      <c r="AB261" s="89" t="n"/>
      <c r="AC261" s="89" t="n"/>
      <c r="AD261" s="89" t="n"/>
      <c r="AE261" s="89" t="n"/>
      <c r="AF261" s="89" t="n"/>
      <c r="AG261" s="89" t="n"/>
      <c r="AH261" s="89" t="n"/>
      <c r="AI261" s="89" t="n"/>
      <c r="AJ261" s="89" t="n"/>
      <c r="AK261" s="89" t="n"/>
      <c r="AL261" s="89" t="n"/>
      <c r="AM261" s="89" t="n"/>
      <c r="AN261" s="89" t="n"/>
      <c r="AO261" s="89" t="n">
        <v>8.804318</v>
      </c>
      <c r="AP261" s="89" t="n">
        <v>-0.159648</v>
      </c>
      <c r="AQ261" s="89" t="n"/>
      <c r="AR261" s="89" t="n"/>
      <c r="AS261" s="89" t="n">
        <v>0.09039700000000001</v>
      </c>
      <c r="AT261" s="89" t="n">
        <v>1.754009</v>
      </c>
      <c r="AU261" s="89" t="n">
        <v>0.399771</v>
      </c>
      <c r="AV261" s="89" t="n">
        <v>0.845982</v>
      </c>
      <c r="AW261" s="89" t="n">
        <v>2</v>
      </c>
      <c r="AX261" s="89" t="n">
        <v>-0.388222</v>
      </c>
      <c r="AY261" s="89" t="n">
        <v>-0.424938</v>
      </c>
      <c r="AZ261" t="n">
        <v>-1.06384</v>
      </c>
    </row>
    <row r="262">
      <c r="A262" t="inlineStr">
        <is>
          <t>1940-09</t>
        </is>
      </c>
      <c r="B262" s="1" t="n">
        <v>14855</v>
      </c>
      <c r="C262" s="88" t="n">
        <v>262</v>
      </c>
      <c r="D262" s="1" t="n"/>
      <c r="E262" s="1">
        <f>B262</f>
        <v/>
      </c>
      <c r="F262" s="2">
        <f>B262</f>
        <v/>
      </c>
      <c r="G262" s="88" t="n">
        <v>260</v>
      </c>
      <c r="H262" s="89" t="n"/>
      <c r="I262" s="89" t="n"/>
      <c r="J262" s="89" t="n"/>
      <c r="K262" s="89" t="n"/>
      <c r="L262" s="89" t="n"/>
      <c r="M262" s="89" t="n"/>
      <c r="N262" s="89" t="n"/>
      <c r="O262" s="89" t="n"/>
      <c r="P262" s="89" t="n"/>
      <c r="Q262" s="89" t="n"/>
      <c r="R262" s="89" t="n"/>
      <c r="S262" s="89" t="n"/>
      <c r="T262" s="89" t="n"/>
      <c r="U262" s="89" t="n"/>
      <c r="V262" s="89" t="n"/>
      <c r="W262" s="89" t="n"/>
      <c r="X262" s="89" t="n"/>
      <c r="Y262" s="89" t="n"/>
      <c r="Z262" s="89" t="n"/>
      <c r="AA262" s="89" t="n"/>
      <c r="AB262" s="89" t="n"/>
      <c r="AC262" s="89" t="n"/>
      <c r="AD262" s="89" t="n"/>
      <c r="AE262" s="89" t="n"/>
      <c r="AF262" s="89" t="n"/>
      <c r="AG262" s="89" t="n"/>
      <c r="AH262" s="89" t="n"/>
      <c r="AI262" s="89" t="n"/>
      <c r="AJ262" s="89" t="n"/>
      <c r="AK262" s="89" t="n"/>
      <c r="AL262" s="89" t="n"/>
      <c r="AM262" s="89" t="n"/>
      <c r="AN262" s="89" t="n"/>
      <c r="AO262" s="89" t="n">
        <v>8.990561</v>
      </c>
      <c r="AP262" s="89" t="n">
        <v>-0.333419</v>
      </c>
      <c r="AQ262" s="89" t="n"/>
      <c r="AR262" s="89" t="n"/>
      <c r="AS262" s="89" t="n">
        <v>0.247966</v>
      </c>
      <c r="AT262" s="89" t="n">
        <v>1.459641</v>
      </c>
      <c r="AU262" s="89" t="n">
        <v>0.897717</v>
      </c>
      <c r="AV262" s="89" t="n">
        <v>1.014654</v>
      </c>
      <c r="AW262" s="89" t="n">
        <v>2.1</v>
      </c>
      <c r="AX262" s="89" t="n">
        <v>1.683077</v>
      </c>
      <c r="AY262" s="89" t="n">
        <v>0.843268</v>
      </c>
      <c r="AZ262" t="n">
        <v>-3.446436</v>
      </c>
    </row>
    <row r="263">
      <c r="A263" t="inlineStr">
        <is>
          <t>1940-10</t>
        </is>
      </c>
      <c r="B263" s="1" t="n">
        <v>14885</v>
      </c>
      <c r="C263" s="88" t="n">
        <v>263</v>
      </c>
      <c r="D263" s="1" t="n"/>
      <c r="E263" s="1">
        <f>B263</f>
        <v/>
      </c>
      <c r="F263" s="2">
        <f>B263</f>
        <v/>
      </c>
      <c r="G263" s="88" t="n">
        <v>261</v>
      </c>
      <c r="H263" s="89" t="n"/>
      <c r="I263" s="89" t="n"/>
      <c r="J263" s="89" t="n"/>
      <c r="K263" s="89" t="n"/>
      <c r="L263" s="89" t="n"/>
      <c r="M263" s="89" t="n"/>
      <c r="N263" s="89" t="n"/>
      <c r="O263" s="89" t="n"/>
      <c r="P263" s="89" t="n"/>
      <c r="Q263" s="89" t="n"/>
      <c r="R263" s="89" t="n"/>
      <c r="S263" s="89" t="n"/>
      <c r="T263" s="89" t="n"/>
      <c r="U263" s="89" t="n"/>
      <c r="V263" s="89" t="n"/>
      <c r="W263" s="89" t="n"/>
      <c r="X263" s="89" t="n"/>
      <c r="Y263" s="89" t="n"/>
      <c r="Z263" s="89" t="n"/>
      <c r="AA263" s="89" t="n"/>
      <c r="AB263" s="89" t="n"/>
      <c r="AC263" s="89" t="n"/>
      <c r="AD263" s="89" t="n"/>
      <c r="AE263" s="89" t="n"/>
      <c r="AF263" s="89" t="n"/>
      <c r="AG263" s="89" t="n"/>
      <c r="AH263" s="89" t="n"/>
      <c r="AI263" s="89" t="n"/>
      <c r="AJ263" s="89" t="n"/>
      <c r="AK263" s="89" t="n"/>
      <c r="AL263" s="89" t="n"/>
      <c r="AM263" s="89" t="n"/>
      <c r="AN263" s="89" t="n"/>
      <c r="AO263" s="89" t="n">
        <v>9.123495999999999</v>
      </c>
      <c r="AP263" s="89" t="n">
        <v>-0.138372</v>
      </c>
      <c r="AQ263" s="89" t="n"/>
      <c r="AR263" s="89" t="n"/>
      <c r="AS263" s="89" t="n">
        <v>0.515752</v>
      </c>
      <c r="AT263" s="89" t="n">
        <v>1.228166</v>
      </c>
      <c r="AU263" s="89" t="n">
        <v>0.299332</v>
      </c>
      <c r="AV263" s="89" t="n">
        <v>0.5544750000000001</v>
      </c>
      <c r="AW263" s="89" t="n">
        <v>1.8</v>
      </c>
      <c r="AX263" s="89" t="n">
        <v>1.58142</v>
      </c>
      <c r="AY263" s="89" t="n">
        <v>1.979215</v>
      </c>
      <c r="AZ263" t="n">
        <v>3.126092</v>
      </c>
    </row>
    <row r="264">
      <c r="A264" t="inlineStr">
        <is>
          <t>1940-11</t>
        </is>
      </c>
      <c r="B264" s="1" t="n">
        <v>14916</v>
      </c>
      <c r="C264" s="88" t="n">
        <v>264</v>
      </c>
      <c r="D264" s="1" t="n"/>
      <c r="E264" s="1">
        <f>B264</f>
        <v/>
      </c>
      <c r="F264" s="2">
        <f>B264</f>
        <v/>
      </c>
      <c r="G264" s="88" t="n">
        <v>262</v>
      </c>
      <c r="H264" s="89" t="n"/>
      <c r="I264" s="89" t="n"/>
      <c r="J264" s="89" t="n"/>
      <c r="K264" s="89" t="n"/>
      <c r="L264" s="89" t="n"/>
      <c r="M264" s="89" t="n"/>
      <c r="N264" s="89" t="n"/>
      <c r="O264" s="89" t="n"/>
      <c r="P264" s="89" t="n"/>
      <c r="Q264" s="89" t="n"/>
      <c r="R264" s="89" t="n"/>
      <c r="S264" s="89" t="n"/>
      <c r="T264" s="89" t="n"/>
      <c r="U264" s="89" t="n"/>
      <c r="V264" s="89" t="n"/>
      <c r="W264" s="89" t="n"/>
      <c r="X264" s="89" t="n"/>
      <c r="Y264" s="89" t="n"/>
      <c r="Z264" s="89" t="n"/>
      <c r="AA264" s="89" t="n"/>
      <c r="AB264" s="89" t="n"/>
      <c r="AC264" s="89" t="n"/>
      <c r="AD264" s="89" t="n"/>
      <c r="AE264" s="89" t="n"/>
      <c r="AF264" s="89" t="n"/>
      <c r="AG264" s="89" t="n"/>
      <c r="AH264" s="89" t="n"/>
      <c r="AI264" s="89" t="n"/>
      <c r="AJ264" s="89" t="n"/>
      <c r="AK264" s="89" t="n"/>
      <c r="AL264" s="89" t="n"/>
      <c r="AM264" s="89" t="n"/>
      <c r="AN264" s="89" t="n"/>
      <c r="AO264" s="89" t="n">
        <v>9.336345</v>
      </c>
      <c r="AP264" s="89" t="n">
        <v>-0.430115</v>
      </c>
      <c r="AQ264" s="89" t="n"/>
      <c r="AR264" s="89" t="n"/>
      <c r="AS264" s="89" t="n">
        <v>0.201542</v>
      </c>
      <c r="AT264" s="89" t="n">
        <v>1.289361</v>
      </c>
      <c r="AU264" s="89" t="n">
        <v>0.435785</v>
      </c>
      <c r="AV264" s="89" t="n">
        <v>0.14448</v>
      </c>
      <c r="AW264" s="89" t="n">
        <v>2</v>
      </c>
      <c r="AX264" s="89" t="n">
        <v>1.334811</v>
      </c>
      <c r="AY264" s="89" t="n">
        <v>-0.236913</v>
      </c>
      <c r="AZ264" t="n">
        <v>1.730653</v>
      </c>
    </row>
    <row r="265">
      <c r="A265" t="inlineStr">
        <is>
          <t>1940-12</t>
        </is>
      </c>
      <c r="B265" s="1" t="n">
        <v>14946</v>
      </c>
      <c r="C265" s="88" t="n">
        <v>265</v>
      </c>
      <c r="D265" s="1" t="n"/>
      <c r="E265" s="1">
        <f>B265</f>
        <v/>
      </c>
      <c r="F265" s="2">
        <f>B265</f>
        <v/>
      </c>
      <c r="G265" s="88" t="n">
        <v>263</v>
      </c>
      <c r="H265" s="89" t="n"/>
      <c r="I265" s="89" t="n"/>
      <c r="J265" s="89" t="n"/>
      <c r="K265" s="89" t="n"/>
      <c r="L265" s="89" t="n"/>
      <c r="M265" s="89" t="n"/>
      <c r="N265" s="89" t="n"/>
      <c r="O265" s="89" t="n"/>
      <c r="P265" s="89" t="n"/>
      <c r="Q265" s="89" t="n"/>
      <c r="R265" s="89" t="n"/>
      <c r="S265" s="89" t="n"/>
      <c r="T265" s="89" t="n"/>
      <c r="U265" s="89" t="n"/>
      <c r="V265" s="89" t="n"/>
      <c r="W265" s="89" t="n"/>
      <c r="X265" s="89" t="n"/>
      <c r="Y265" s="89" t="n"/>
      <c r="Z265" s="89" t="n"/>
      <c r="AA265" s="89" t="n"/>
      <c r="AB265" s="89" t="n"/>
      <c r="AC265" s="89" t="n"/>
      <c r="AD265" s="89" t="n"/>
      <c r="AE265" s="89" t="n"/>
      <c r="AF265" s="89" t="n"/>
      <c r="AG265" s="89" t="n"/>
      <c r="AH265" s="89" t="n"/>
      <c r="AI265" s="89" t="n"/>
      <c r="AJ265" s="89" t="n"/>
      <c r="AK265" s="89" t="n"/>
      <c r="AL265" s="89" t="n"/>
      <c r="AM265" s="89" t="n"/>
      <c r="AN265" s="89" t="n"/>
      <c r="AO265" s="89" t="n">
        <v>9.655521999999999</v>
      </c>
      <c r="AP265" s="89" t="n">
        <v>-0.343575</v>
      </c>
      <c r="AQ265" s="89" t="n"/>
      <c r="AR265" s="89" t="n"/>
      <c r="AS265" s="89" t="n">
        <v>0.413321</v>
      </c>
      <c r="AT265" s="89" t="n">
        <v>1.595587</v>
      </c>
      <c r="AU265" s="89" t="n">
        <v>0.413646</v>
      </c>
      <c r="AV265" s="89" t="n">
        <v>0.741944</v>
      </c>
      <c r="AW265" s="89" t="n">
        <v>1.9</v>
      </c>
      <c r="AX265" s="89" t="n">
        <v>3.620847</v>
      </c>
      <c r="AY265" s="89" t="n">
        <v>0.136486</v>
      </c>
      <c r="AZ265" t="n">
        <v>-0.06456099999999999</v>
      </c>
    </row>
    <row r="266">
      <c r="A266" t="inlineStr">
        <is>
          <t>1941-01</t>
        </is>
      </c>
      <c r="B266" s="1" t="n">
        <v>14977</v>
      </c>
      <c r="C266" s="88" t="n">
        <v>266</v>
      </c>
      <c r="D266" s="1" t="n"/>
      <c r="E266" s="1">
        <f>B266</f>
        <v/>
      </c>
      <c r="F266" s="2">
        <f>B266</f>
        <v/>
      </c>
      <c r="G266" s="88" t="n">
        <v>264</v>
      </c>
      <c r="H266" s="89" t="n"/>
      <c r="I266" s="89" t="n"/>
      <c r="J266" s="89" t="n"/>
      <c r="K266" s="89" t="n"/>
      <c r="L266" s="89" t="n"/>
      <c r="M266" s="89" t="n"/>
      <c r="N266" s="89" t="n"/>
      <c r="O266" s="89" t="n"/>
      <c r="P266" s="89" t="n"/>
      <c r="Q266" s="89" t="n"/>
      <c r="R266" s="89" t="n"/>
      <c r="S266" s="89" t="n"/>
      <c r="T266" s="89" t="n"/>
      <c r="U266" s="89" t="n"/>
      <c r="V266" s="89" t="n"/>
      <c r="W266" s="89" t="n"/>
      <c r="X266" s="89" t="n"/>
      <c r="Y266" s="89" t="n"/>
      <c r="Z266" s="89" t="n"/>
      <c r="AA266" s="89" t="n"/>
      <c r="AB266" s="89" t="n"/>
      <c r="AC266" s="89" t="n"/>
      <c r="AD266" s="89" t="n"/>
      <c r="AE266" s="89" t="n"/>
      <c r="AF266" s="89" t="n"/>
      <c r="AG266" s="89" t="n"/>
      <c r="AH266" s="89" t="n"/>
      <c r="AI266" s="89" t="n"/>
      <c r="AJ266" s="89" t="n"/>
      <c r="AK266" s="89" t="n"/>
      <c r="AL266" s="89" t="n"/>
      <c r="AM266" s="89" t="n"/>
      <c r="AN266" s="89" t="n"/>
      <c r="AO266" s="89" t="n">
        <v>9.894881</v>
      </c>
      <c r="AP266" s="89" t="n">
        <v>0.503966</v>
      </c>
      <c r="AQ266" s="89" t="n"/>
      <c r="AR266" s="89" t="n"/>
      <c r="AS266" s="89" t="n">
        <v>0.786377</v>
      </c>
      <c r="AT266" s="89" t="n">
        <v>1.478413</v>
      </c>
      <c r="AU266" s="89" t="n">
        <v>1.060008</v>
      </c>
      <c r="AV266" s="89" t="n">
        <v>0.255291</v>
      </c>
      <c r="AW266" s="89" t="n">
        <v>1.8</v>
      </c>
      <c r="AX266" s="89" t="n">
        <v>2.617872</v>
      </c>
      <c r="AY266" s="89" t="n">
        <v>2.175245</v>
      </c>
      <c r="AZ266" t="n">
        <v>0.591272</v>
      </c>
    </row>
    <row r="267">
      <c r="A267" t="inlineStr">
        <is>
          <t>1941-02</t>
        </is>
      </c>
      <c r="B267" s="1" t="n">
        <v>15008</v>
      </c>
      <c r="C267" s="88" t="n">
        <v>267</v>
      </c>
      <c r="D267" s="1" t="n"/>
      <c r="E267" s="1">
        <f>B267</f>
        <v/>
      </c>
      <c r="F267" s="2">
        <f>B267</f>
        <v/>
      </c>
      <c r="G267" s="88" t="n">
        <v>265</v>
      </c>
      <c r="H267" s="89" t="n"/>
      <c r="I267" s="89" t="n"/>
      <c r="J267" s="89" t="n"/>
      <c r="K267" s="89" t="n"/>
      <c r="L267" s="89" t="n"/>
      <c r="M267" s="89" t="n"/>
      <c r="N267" s="89" t="n"/>
      <c r="O267" s="89" t="n"/>
      <c r="P267" s="89" t="n"/>
      <c r="Q267" s="89" t="n"/>
      <c r="R267" s="89" t="n"/>
      <c r="S267" s="89" t="n"/>
      <c r="T267" s="89" t="n"/>
      <c r="U267" s="89" t="n"/>
      <c r="V267" s="89" t="n"/>
      <c r="W267" s="89" t="n"/>
      <c r="X267" s="89" t="n"/>
      <c r="Y267" s="89" t="n"/>
      <c r="Z267" s="89" t="n"/>
      <c r="AA267" s="89" t="n"/>
      <c r="AB267" s="89" t="n"/>
      <c r="AC267" s="89" t="n"/>
      <c r="AD267" s="89" t="n"/>
      <c r="AE267" s="89" t="n"/>
      <c r="AF267" s="89" t="n"/>
      <c r="AG267" s="89" t="n"/>
      <c r="AH267" s="89" t="n"/>
      <c r="AI267" s="89" t="n"/>
      <c r="AJ267" s="89" t="n"/>
      <c r="AK267" s="89" t="n"/>
      <c r="AL267" s="89" t="n"/>
      <c r="AM267" s="89" t="n"/>
      <c r="AN267" s="89" t="n"/>
      <c r="AO267" s="89" t="n">
        <v>10.18745</v>
      </c>
      <c r="AP267" s="89" t="n">
        <v>0.354703</v>
      </c>
      <c r="AQ267" s="89" t="n"/>
      <c r="AR267" s="89" t="n"/>
      <c r="AS267" s="89" t="n">
        <v>0.6990459999999999</v>
      </c>
      <c r="AT267" s="89" t="n">
        <v>1.642365</v>
      </c>
      <c r="AU267" s="89" t="n">
        <v>0.459097</v>
      </c>
      <c r="AV267" s="89" t="n">
        <v>0.687474</v>
      </c>
      <c r="AW267" s="89" t="n">
        <v>2.1</v>
      </c>
      <c r="AX267" s="89" t="n">
        <v>1.346778</v>
      </c>
      <c r="AY267" s="89" t="n">
        <v>0.396211</v>
      </c>
      <c r="AZ267" t="n">
        <v>0.606621</v>
      </c>
    </row>
    <row r="268">
      <c r="A268" t="inlineStr">
        <is>
          <t>1941-03</t>
        </is>
      </c>
      <c r="B268" s="1" t="n">
        <v>15036</v>
      </c>
      <c r="C268" s="88" t="n">
        <v>268</v>
      </c>
      <c r="D268" s="1" t="n"/>
      <c r="E268" s="1">
        <f>B268</f>
        <v/>
      </c>
      <c r="F268" s="2">
        <f>B268</f>
        <v/>
      </c>
      <c r="G268" s="88" t="n">
        <v>266</v>
      </c>
      <c r="H268" s="89" t="n"/>
      <c r="I268" s="89" t="n"/>
      <c r="J268" s="89" t="n"/>
      <c r="K268" s="89" t="n"/>
      <c r="L268" s="89" t="n"/>
      <c r="M268" s="89" t="n"/>
      <c r="N268" s="89" t="n"/>
      <c r="O268" s="89" t="n"/>
      <c r="P268" s="89" t="n"/>
      <c r="Q268" s="89" t="n"/>
      <c r="R268" s="89" t="n"/>
      <c r="S268" s="89" t="n"/>
      <c r="T268" s="89" t="n"/>
      <c r="U268" s="89" t="n"/>
      <c r="V268" s="89" t="n"/>
      <c r="W268" s="89" t="n"/>
      <c r="X268" s="89" t="n"/>
      <c r="Y268" s="89" t="n"/>
      <c r="Z268" s="89" t="n"/>
      <c r="AA268" s="89" t="n"/>
      <c r="AB268" s="89" t="n"/>
      <c r="AC268" s="89" t="n"/>
      <c r="AD268" s="89" t="n"/>
      <c r="AE268" s="89" t="n"/>
      <c r="AF268" s="89" t="n"/>
      <c r="AG268" s="89" t="n"/>
      <c r="AH268" s="89" t="n"/>
      <c r="AI268" s="89" t="n"/>
      <c r="AJ268" s="89" t="n"/>
      <c r="AK268" s="89" t="n"/>
      <c r="AL268" s="89" t="n"/>
      <c r="AM268" s="89" t="n"/>
      <c r="AN268" s="89" t="n"/>
      <c r="AO268" s="89" t="n">
        <v>10.50663</v>
      </c>
      <c r="AP268" s="89" t="n">
        <v>0.229694</v>
      </c>
      <c r="AQ268" s="89" t="n"/>
      <c r="AR268" s="89" t="n"/>
      <c r="AS268" s="89" t="n">
        <v>0.174053</v>
      </c>
      <c r="AT268" s="89" t="n">
        <v>2.163399</v>
      </c>
      <c r="AU268" s="89" t="n">
        <v>1.287982</v>
      </c>
      <c r="AV268" s="89" t="n">
        <v>0.473903</v>
      </c>
      <c r="AW268" s="89" t="n">
        <v>1.6</v>
      </c>
      <c r="AX268" s="89" t="n">
        <v>0.732303</v>
      </c>
      <c r="AY268" s="89" t="n">
        <v>-0.106866</v>
      </c>
      <c r="AZ268" t="n">
        <v>-0.947051</v>
      </c>
    </row>
    <row r="269">
      <c r="A269" t="inlineStr">
        <is>
          <t>1941-04</t>
        </is>
      </c>
      <c r="B269" s="1" t="n">
        <v>15067</v>
      </c>
      <c r="C269" s="88" t="n">
        <v>269</v>
      </c>
      <c r="D269" s="1" t="n"/>
      <c r="E269" s="1">
        <f>B269</f>
        <v/>
      </c>
      <c r="F269" s="2">
        <f>B269</f>
        <v/>
      </c>
      <c r="G269" s="88" t="n">
        <v>267</v>
      </c>
      <c r="H269" s="89" t="n"/>
      <c r="I269" s="89" t="n"/>
      <c r="J269" s="89" t="n"/>
      <c r="K269" s="89" t="n"/>
      <c r="L269" s="89" t="n"/>
      <c r="M269" s="89" t="n"/>
      <c r="N269" s="89" t="n"/>
      <c r="O269" s="89" t="n"/>
      <c r="P269" s="89" t="n"/>
      <c r="Q269" s="89" t="n"/>
      <c r="R269" s="89" t="n"/>
      <c r="S269" s="89" t="n"/>
      <c r="T269" s="89" t="n"/>
      <c r="U269" s="89" t="n"/>
      <c r="V269" s="89" t="n"/>
      <c r="W269" s="89" t="n"/>
      <c r="X269" s="89" t="n"/>
      <c r="Y269" s="89" t="n"/>
      <c r="Z269" s="89" t="n"/>
      <c r="AA269" s="89" t="n"/>
      <c r="AB269" s="89" t="n"/>
      <c r="AC269" s="89" t="n"/>
      <c r="AD269" s="89" t="n"/>
      <c r="AE269" s="89" t="n"/>
      <c r="AF269" s="89" t="n"/>
      <c r="AG269" s="89" t="n"/>
      <c r="AH269" s="89" t="n"/>
      <c r="AI269" s="89" t="n"/>
      <c r="AJ269" s="89" t="n"/>
      <c r="AK269" s="89" t="n"/>
      <c r="AL269" s="89" t="n"/>
      <c r="AM269" s="89" t="n"/>
      <c r="AN269" s="89" t="n"/>
      <c r="AO269" s="89" t="n">
        <v>10.53324</v>
      </c>
      <c r="AP269" s="89" t="n">
        <v>0.473316</v>
      </c>
      <c r="AQ269" s="89" t="n"/>
      <c r="AR269" s="89" t="n"/>
      <c r="AS269" s="89" t="n">
        <v>0.739521</v>
      </c>
      <c r="AT269" s="89" t="n">
        <v>1.172162</v>
      </c>
      <c r="AU269" s="89" t="n">
        <v>-0.390104</v>
      </c>
      <c r="AV269" s="89" t="n">
        <v>0.386097</v>
      </c>
      <c r="AW269" s="89" t="n">
        <v>1.8</v>
      </c>
      <c r="AX269" s="89" t="n">
        <v>2.66442</v>
      </c>
      <c r="AY269" s="89" t="n">
        <v>0.71517</v>
      </c>
      <c r="AZ269" t="n">
        <v>-1.509716</v>
      </c>
    </row>
    <row r="270">
      <c r="A270" t="inlineStr">
        <is>
          <t>1941-05</t>
        </is>
      </c>
      <c r="B270" s="1" t="n">
        <v>15097</v>
      </c>
      <c r="C270" s="88" t="n">
        <v>270</v>
      </c>
      <c r="D270" s="1" t="n"/>
      <c r="E270" s="1">
        <f>B270</f>
        <v/>
      </c>
      <c r="F270" s="2">
        <f>B270</f>
        <v/>
      </c>
      <c r="G270" s="88" t="n">
        <v>268</v>
      </c>
      <c r="H270" s="89" t="n"/>
      <c r="I270" s="89" t="n"/>
      <c r="J270" s="89" t="n"/>
      <c r="K270" s="89" t="n"/>
      <c r="L270" s="89" t="n"/>
      <c r="M270" s="89" t="n"/>
      <c r="N270" s="89" t="n"/>
      <c r="O270" s="89" t="n"/>
      <c r="P270" s="89" t="n"/>
      <c r="Q270" s="89" t="n"/>
      <c r="R270" s="89" t="n"/>
      <c r="S270" s="89" t="n"/>
      <c r="T270" s="89" t="n"/>
      <c r="U270" s="89" t="n"/>
      <c r="V270" s="89" t="n"/>
      <c r="W270" s="89" t="n"/>
      <c r="X270" s="89" t="n"/>
      <c r="Y270" s="89" t="n"/>
      <c r="Z270" s="89" t="n"/>
      <c r="AA270" s="89" t="n"/>
      <c r="AB270" s="89" t="n"/>
      <c r="AC270" s="89" t="n"/>
      <c r="AD270" s="89" t="n"/>
      <c r="AE270" s="89" t="n"/>
      <c r="AF270" s="89" t="n"/>
      <c r="AG270" s="89" t="n"/>
      <c r="AH270" s="89" t="n"/>
      <c r="AI270" s="89" t="n"/>
      <c r="AJ270" s="89" t="n"/>
      <c r="AK270" s="89" t="n"/>
      <c r="AL270" s="89" t="n"/>
      <c r="AM270" s="89" t="n"/>
      <c r="AN270" s="89" t="n"/>
      <c r="AO270" s="89" t="n">
        <v>11.01205</v>
      </c>
      <c r="AP270" s="89" t="n">
        <v>0.196961</v>
      </c>
      <c r="AQ270" s="89" t="n"/>
      <c r="AR270" s="89" t="n"/>
      <c r="AS270" s="89" t="n">
        <v>0.600895</v>
      </c>
      <c r="AT270" s="89" t="n">
        <v>2.25766</v>
      </c>
      <c r="AU270" s="89" t="n">
        <v>0.244204</v>
      </c>
      <c r="AV270" s="89" t="n">
        <v>0.265331</v>
      </c>
      <c r="AW270" s="89" t="n">
        <v>1.8</v>
      </c>
      <c r="AX270" s="89" t="n">
        <v>-1.549806</v>
      </c>
      <c r="AY270" s="89" t="n">
        <v>-1.38468</v>
      </c>
      <c r="AZ270" t="n">
        <v>-0.639415</v>
      </c>
    </row>
    <row r="271">
      <c r="A271" t="inlineStr">
        <is>
          <t>1941-06</t>
        </is>
      </c>
      <c r="B271" s="1" t="n">
        <v>15128</v>
      </c>
      <c r="C271" s="88" t="n">
        <v>271</v>
      </c>
      <c r="D271" s="1" t="n"/>
      <c r="E271" s="1">
        <f>B271</f>
        <v/>
      </c>
      <c r="F271" s="2">
        <f>B271</f>
        <v/>
      </c>
      <c r="G271" s="88" t="n">
        <v>269</v>
      </c>
      <c r="H271" s="89" t="n"/>
      <c r="I271" s="89" t="n"/>
      <c r="J271" s="89" t="n"/>
      <c r="K271" s="89" t="n"/>
      <c r="L271" s="89" t="n"/>
      <c r="M271" s="89" t="n"/>
      <c r="N271" s="89" t="n"/>
      <c r="O271" s="89" t="n"/>
      <c r="P271" s="89" t="n"/>
      <c r="Q271" s="89" t="n"/>
      <c r="R271" s="89" t="n"/>
      <c r="S271" s="89" t="n"/>
      <c r="T271" s="89" t="n"/>
      <c r="U271" s="89" t="n"/>
      <c r="V271" s="89" t="n"/>
      <c r="W271" s="89" t="n"/>
      <c r="X271" s="89" t="n"/>
      <c r="Y271" s="89" t="n"/>
      <c r="Z271" s="89" t="n"/>
      <c r="AA271" s="89" t="n"/>
      <c r="AB271" s="89" t="n"/>
      <c r="AC271" s="89" t="n"/>
      <c r="AD271" s="89" t="n"/>
      <c r="AE271" s="89" t="n"/>
      <c r="AF271" s="89" t="n"/>
      <c r="AG271" s="89" t="n"/>
      <c r="AH271" s="89" t="n"/>
      <c r="AI271" s="89" t="n"/>
      <c r="AJ271" s="89" t="n"/>
      <c r="AK271" s="89" t="n"/>
      <c r="AL271" s="89" t="n"/>
      <c r="AM271" s="89" t="n"/>
      <c r="AN271" s="89" t="n"/>
      <c r="AO271" s="89" t="n">
        <v>11.09187</v>
      </c>
      <c r="AP271" s="89" t="n">
        <v>0.40272</v>
      </c>
      <c r="AQ271" s="89" t="n"/>
      <c r="AR271" s="89" t="n"/>
      <c r="AS271" s="89" t="n">
        <v>0.783212</v>
      </c>
      <c r="AT271" s="89" t="n">
        <v>1.850944</v>
      </c>
      <c r="AU271" s="89" t="n">
        <v>0.637474</v>
      </c>
      <c r="AV271" s="89" t="n">
        <v>-0.551895</v>
      </c>
      <c r="AW271" s="89" t="n">
        <v>1.8</v>
      </c>
      <c r="AX271" s="89" t="n">
        <v>2.356837</v>
      </c>
      <c r="AY271" s="89" t="n">
        <v>0.184398</v>
      </c>
      <c r="AZ271" t="n">
        <v>-0.789077</v>
      </c>
    </row>
    <row r="272">
      <c r="A272" t="inlineStr">
        <is>
          <t>1941-07</t>
        </is>
      </c>
      <c r="B272" s="1" t="n">
        <v>15158</v>
      </c>
      <c r="C272" s="88" t="n">
        <v>272</v>
      </c>
      <c r="D272" s="1" t="n"/>
      <c r="E272" s="1">
        <f>B272</f>
        <v/>
      </c>
      <c r="F272" s="2">
        <f>B272</f>
        <v/>
      </c>
      <c r="G272" s="88" t="n">
        <v>270</v>
      </c>
      <c r="H272" s="89" t="n"/>
      <c r="I272" s="89" t="n"/>
      <c r="J272" s="89" t="n"/>
      <c r="K272" s="89" t="n"/>
      <c r="L272" s="89" t="n"/>
      <c r="M272" s="89" t="n"/>
      <c r="N272" s="89" t="n"/>
      <c r="O272" s="89" t="n"/>
      <c r="P272" s="89" t="n"/>
      <c r="Q272" s="89" t="n"/>
      <c r="R272" s="89" t="n"/>
      <c r="S272" s="89" t="n"/>
      <c r="T272" s="89" t="n"/>
      <c r="U272" s="89" t="n"/>
      <c r="V272" s="89" t="n"/>
      <c r="W272" s="89" t="n"/>
      <c r="X272" s="89" t="n"/>
      <c r="Y272" s="89" t="n"/>
      <c r="Z272" s="89" t="n"/>
      <c r="AA272" s="89" t="n"/>
      <c r="AB272" s="89" t="n"/>
      <c r="AC272" s="89" t="n"/>
      <c r="AD272" s="89" t="n"/>
      <c r="AE272" s="89" t="n"/>
      <c r="AF272" s="89" t="n"/>
      <c r="AG272" s="89" t="n"/>
      <c r="AH272" s="89" t="n"/>
      <c r="AI272" s="89" t="n"/>
      <c r="AJ272" s="89" t="n"/>
      <c r="AK272" s="89" t="n"/>
      <c r="AL272" s="89" t="n"/>
      <c r="AM272" s="89" t="n"/>
      <c r="AN272" s="89" t="n"/>
      <c r="AO272" s="89" t="n">
        <v>11.2249</v>
      </c>
      <c r="AP272" s="89" t="n">
        <v>0.478565</v>
      </c>
      <c r="AQ272" s="89" t="n"/>
      <c r="AR272" s="89" t="n"/>
      <c r="AS272" s="89" t="n">
        <v>0.814073</v>
      </c>
      <c r="AT272" s="89" t="n">
        <v>1.511692</v>
      </c>
      <c r="AU272" s="89" t="n">
        <v>1.086025</v>
      </c>
      <c r="AV272" s="89" t="n">
        <v>-0.346739</v>
      </c>
      <c r="AW272" s="89" t="n">
        <v>1.7</v>
      </c>
      <c r="AX272" s="89" t="n">
        <v>1.494893</v>
      </c>
      <c r="AY272" s="89" t="n">
        <v>0.373635</v>
      </c>
      <c r="AZ272" t="n">
        <v>0.470132</v>
      </c>
    </row>
    <row r="273">
      <c r="A273" t="inlineStr">
        <is>
          <t>1941-08</t>
        </is>
      </c>
      <c r="B273" s="1" t="n">
        <v>15189</v>
      </c>
      <c r="C273" s="88" t="n">
        <v>273</v>
      </c>
      <c r="D273" s="1" t="n"/>
      <c r="E273" s="1">
        <f>B273</f>
        <v/>
      </c>
      <c r="F273" s="2">
        <f>B273</f>
        <v/>
      </c>
      <c r="G273" s="88" t="n">
        <v>271</v>
      </c>
      <c r="H273" s="89" t="n"/>
      <c r="I273" s="89" t="n"/>
      <c r="J273" s="89" t="n"/>
      <c r="K273" s="89" t="n"/>
      <c r="L273" s="89" t="n"/>
      <c r="M273" s="89" t="n"/>
      <c r="N273" s="89" t="n"/>
      <c r="O273" s="89" t="n"/>
      <c r="P273" s="89" t="n"/>
      <c r="Q273" s="89" t="n"/>
      <c r="R273" s="89" t="n"/>
      <c r="S273" s="89" t="n"/>
      <c r="T273" s="89" t="n"/>
      <c r="U273" s="89" t="n"/>
      <c r="V273" s="89" t="n"/>
      <c r="W273" s="89" t="n"/>
      <c r="X273" s="89" t="n"/>
      <c r="Y273" s="89" t="n"/>
      <c r="Z273" s="89" t="n"/>
      <c r="AA273" s="89" t="n"/>
      <c r="AB273" s="89" t="n"/>
      <c r="AC273" s="89" t="n"/>
      <c r="AD273" s="89" t="n"/>
      <c r="AE273" s="89" t="n"/>
      <c r="AF273" s="89" t="n"/>
      <c r="AG273" s="89" t="n"/>
      <c r="AH273" s="89" t="n"/>
      <c r="AI273" s="89" t="n"/>
      <c r="AJ273" s="89" t="n"/>
      <c r="AK273" s="89" t="n"/>
      <c r="AL273" s="89" t="n"/>
      <c r="AM273" s="89" t="n"/>
      <c r="AN273" s="89" t="n"/>
      <c r="AO273" s="89" t="n">
        <v>11.35783</v>
      </c>
      <c r="AP273" s="89" t="n">
        <v>0.727258</v>
      </c>
      <c r="AQ273" s="89" t="n"/>
      <c r="AR273" s="89" t="n"/>
      <c r="AS273" s="89" t="n">
        <v>-0.317738</v>
      </c>
      <c r="AT273" s="89" t="n">
        <v>1.772913</v>
      </c>
      <c r="AU273" s="89" t="n">
        <v>0.430871</v>
      </c>
      <c r="AV273" s="89" t="n">
        <v>-1.189103</v>
      </c>
      <c r="AW273" s="89" t="n">
        <v>1.7</v>
      </c>
      <c r="AX273" s="89" t="n">
        <v>1.968017</v>
      </c>
      <c r="AY273" s="89" t="n">
        <v>-0.906873</v>
      </c>
      <c r="AZ273" t="n">
        <v>1.47343</v>
      </c>
    </row>
    <row r="274">
      <c r="A274" t="inlineStr">
        <is>
          <t>1941-09</t>
        </is>
      </c>
      <c r="B274" s="1" t="n">
        <v>15220</v>
      </c>
      <c r="C274" s="88" t="n">
        <v>274</v>
      </c>
      <c r="D274" s="1" t="n"/>
      <c r="E274" s="1">
        <f>B274</f>
        <v/>
      </c>
      <c r="F274" s="2">
        <f>B274</f>
        <v/>
      </c>
      <c r="G274" s="88" t="n">
        <v>272</v>
      </c>
      <c r="H274" s="89" t="n"/>
      <c r="I274" s="89" t="n"/>
      <c r="J274" s="89" t="n"/>
      <c r="K274" s="89" t="n"/>
      <c r="L274" s="89" t="n"/>
      <c r="M274" s="89" t="n"/>
      <c r="N274" s="89" t="n"/>
      <c r="O274" s="89" t="n"/>
      <c r="P274" s="89" t="n"/>
      <c r="Q274" s="89" t="n"/>
      <c r="R274" s="89" t="n"/>
      <c r="S274" s="89" t="n"/>
      <c r="T274" s="89" t="n"/>
      <c r="U274" s="89" t="n"/>
      <c r="V274" s="89" t="n"/>
      <c r="W274" s="89" t="n"/>
      <c r="X274" s="89" t="n"/>
      <c r="Y274" s="89" t="n"/>
      <c r="Z274" s="89" t="n"/>
      <c r="AA274" s="89" t="n"/>
      <c r="AB274" s="89" t="n"/>
      <c r="AC274" s="89" t="n"/>
      <c r="AD274" s="89" t="n"/>
      <c r="AE274" s="89" t="n"/>
      <c r="AF274" s="89" t="n"/>
      <c r="AG274" s="89" t="n"/>
      <c r="AH274" s="89" t="n"/>
      <c r="AI274" s="89" t="n"/>
      <c r="AJ274" s="89" t="n"/>
      <c r="AK274" s="89" t="n"/>
      <c r="AL274" s="89" t="n"/>
      <c r="AM274" s="89" t="n"/>
      <c r="AN274" s="89" t="n"/>
      <c r="AO274" s="89" t="n">
        <v>11.35783</v>
      </c>
      <c r="AP274" s="89" t="n">
        <v>0.418818</v>
      </c>
      <c r="AQ274" s="89" t="n"/>
      <c r="AR274" s="89" t="n"/>
      <c r="AS274" s="89" t="n">
        <v>0.027513</v>
      </c>
      <c r="AT274" s="89" t="n">
        <v>2.284905</v>
      </c>
      <c r="AU274" s="89" t="n">
        <v>-0.522174</v>
      </c>
      <c r="AV274" s="89" t="n">
        <v>-0.9150239999999999</v>
      </c>
      <c r="AW274" s="89" t="n">
        <v>1.8</v>
      </c>
      <c r="AX274" s="89" t="n">
        <v>1.454328</v>
      </c>
      <c r="AY274" s="89" t="n">
        <v>-2.31546</v>
      </c>
      <c r="AZ274" t="n">
        <v>2.365503</v>
      </c>
    </row>
    <row r="275">
      <c r="A275" t="inlineStr">
        <is>
          <t>1941-10</t>
        </is>
      </c>
      <c r="B275" s="1" t="n">
        <v>15250</v>
      </c>
      <c r="C275" s="88" t="n">
        <v>275</v>
      </c>
      <c r="D275" s="1" t="n"/>
      <c r="E275" s="1">
        <f>B275</f>
        <v/>
      </c>
      <c r="F275" s="2">
        <f>B275</f>
        <v/>
      </c>
      <c r="G275" s="88" t="n">
        <v>273</v>
      </c>
      <c r="H275" s="89" t="n"/>
      <c r="I275" s="89" t="n"/>
      <c r="J275" s="89" t="n"/>
      <c r="K275" s="89" t="n"/>
      <c r="L275" s="89" t="n"/>
      <c r="M275" s="89" t="n"/>
      <c r="N275" s="89" t="n"/>
      <c r="O275" s="89" t="n"/>
      <c r="P275" s="89" t="n"/>
      <c r="Q275" s="89" t="n"/>
      <c r="R275" s="89" t="n"/>
      <c r="S275" s="89" t="n"/>
      <c r="T275" s="89" t="n"/>
      <c r="U275" s="89" t="n"/>
      <c r="V275" s="89" t="n"/>
      <c r="W275" s="89" t="n"/>
      <c r="X275" s="89" t="n"/>
      <c r="Y275" s="89" t="n"/>
      <c r="Z275" s="89" t="n"/>
      <c r="AA275" s="89" t="n"/>
      <c r="AB275" s="89" t="n"/>
      <c r="AC275" s="89" t="n"/>
      <c r="AD275" s="89" t="n"/>
      <c r="AE275" s="89" t="n"/>
      <c r="AF275" s="89" t="n"/>
      <c r="AG275" s="89" t="n"/>
      <c r="AH275" s="89" t="n"/>
      <c r="AI275" s="89" t="n"/>
      <c r="AJ275" s="89" t="n"/>
      <c r="AK275" s="89" t="n"/>
      <c r="AL275" s="89" t="n"/>
      <c r="AM275" s="89" t="n"/>
      <c r="AN275" s="89" t="n"/>
      <c r="AO275" s="89" t="n">
        <v>11.46426</v>
      </c>
      <c r="AP275" s="89" t="n">
        <v>0.374066</v>
      </c>
      <c r="AQ275" s="89" t="n"/>
      <c r="AR275" s="89" t="n"/>
      <c r="AS275" s="89" t="n">
        <v>0.6314070000000001</v>
      </c>
      <c r="AT275" s="89" t="n">
        <v>2.091919</v>
      </c>
      <c r="AU275" s="89" t="n">
        <v>0.055541</v>
      </c>
      <c r="AV275" s="89" t="n">
        <v>-0.06360300000000001</v>
      </c>
      <c r="AW275" s="89" t="n">
        <v>1.7</v>
      </c>
      <c r="AX275" s="89" t="n">
        <v>1.217331</v>
      </c>
      <c r="AY275" s="89" t="n">
        <v>-1.498764</v>
      </c>
      <c r="AZ275" t="n">
        <v>-0.034886</v>
      </c>
    </row>
    <row r="276">
      <c r="A276" t="inlineStr">
        <is>
          <t>1941-11</t>
        </is>
      </c>
      <c r="B276" s="1" t="n">
        <v>15281</v>
      </c>
      <c r="C276" s="88" t="n">
        <v>276</v>
      </c>
      <c r="D276" s="1" t="n"/>
      <c r="E276" s="1">
        <f>B276</f>
        <v/>
      </c>
      <c r="F276" s="2">
        <f>B276</f>
        <v/>
      </c>
      <c r="G276" s="88" t="n">
        <v>274</v>
      </c>
      <c r="H276" s="89" t="n"/>
      <c r="I276" s="89" t="n"/>
      <c r="J276" s="89" t="n"/>
      <c r="K276" s="89" t="n"/>
      <c r="L276" s="89" t="n"/>
      <c r="M276" s="89" t="n"/>
      <c r="N276" s="89" t="n"/>
      <c r="O276" s="89" t="n"/>
      <c r="P276" s="89" t="n"/>
      <c r="Q276" s="89" t="n"/>
      <c r="R276" s="89" t="n"/>
      <c r="S276" s="89" t="n"/>
      <c r="T276" s="89" t="n"/>
      <c r="U276" s="89" t="n"/>
      <c r="V276" s="89" t="n"/>
      <c r="W276" s="89" t="n"/>
      <c r="X276" s="89" t="n"/>
      <c r="Y276" s="89" t="n"/>
      <c r="Z276" s="89" t="n"/>
      <c r="AA276" s="89" t="n"/>
      <c r="AB276" s="89" t="n"/>
      <c r="AC276" s="89" t="n"/>
      <c r="AD276" s="89" t="n"/>
      <c r="AE276" s="89" t="n"/>
      <c r="AF276" s="89" t="n"/>
      <c r="AG276" s="89" t="n"/>
      <c r="AH276" s="89" t="n"/>
      <c r="AI276" s="89" t="n"/>
      <c r="AJ276" s="89" t="n"/>
      <c r="AK276" s="89" t="n"/>
      <c r="AL276" s="89" t="n"/>
      <c r="AM276" s="89" t="n"/>
      <c r="AN276" s="89" t="n"/>
      <c r="AO276" s="89" t="n">
        <v>11.51747</v>
      </c>
      <c r="AP276" s="89" t="n">
        <v>0.478352</v>
      </c>
      <c r="AQ276" s="89" t="n"/>
      <c r="AR276" s="89" t="n"/>
      <c r="AS276" s="89" t="n">
        <v>0.379026</v>
      </c>
      <c r="AT276" s="89" t="n">
        <v>1.826261</v>
      </c>
      <c r="AU276" s="89" t="n">
        <v>0.080882</v>
      </c>
      <c r="AV276" s="89" t="n">
        <v>-0.387608</v>
      </c>
      <c r="AW276" s="89" t="n">
        <v>1.5</v>
      </c>
      <c r="AX276" s="89" t="n">
        <v>0.890804</v>
      </c>
      <c r="AY276" s="89" t="n">
        <v>-0.925783</v>
      </c>
      <c r="AZ276" t="n">
        <v>-1.203864</v>
      </c>
    </row>
    <row r="277">
      <c r="A277" t="inlineStr">
        <is>
          <t>1941-12</t>
        </is>
      </c>
      <c r="B277" s="1" t="n">
        <v>15311</v>
      </c>
      <c r="C277" s="88" t="n">
        <v>277</v>
      </c>
      <c r="D277" s="1" t="n"/>
      <c r="E277" s="1">
        <f>B277</f>
        <v/>
      </c>
      <c r="F277" s="2">
        <f>B277</f>
        <v/>
      </c>
      <c r="G277" s="88" t="n">
        <v>275</v>
      </c>
      <c r="H277" s="89" t="n"/>
      <c r="I277" s="89" t="n"/>
      <c r="J277" s="89" t="n"/>
      <c r="K277" s="89" t="n"/>
      <c r="L277" s="89" t="n"/>
      <c r="M277" s="89" t="n"/>
      <c r="N277" s="89" t="n"/>
      <c r="O277" s="89" t="n"/>
      <c r="P277" s="89" t="n"/>
      <c r="Q277" s="89" t="n"/>
      <c r="R277" s="89" t="n"/>
      <c r="S277" s="89" t="n"/>
      <c r="T277" s="89" t="n"/>
      <c r="U277" s="89" t="n"/>
      <c r="V277" s="89" t="n"/>
      <c r="W277" s="89" t="n"/>
      <c r="X277" s="89" t="n"/>
      <c r="Y277" s="89" t="n"/>
      <c r="Z277" s="89" t="n"/>
      <c r="AA277" s="89" t="n"/>
      <c r="AB277" s="89" t="n"/>
      <c r="AC277" s="89" t="n"/>
      <c r="AD277" s="89" t="n"/>
      <c r="AE277" s="89" t="n"/>
      <c r="AF277" s="89" t="n"/>
      <c r="AG277" s="89" t="n"/>
      <c r="AH277" s="89" t="n"/>
      <c r="AI277" s="89" t="n"/>
      <c r="AJ277" s="89" t="n"/>
      <c r="AK277" s="89" t="n"/>
      <c r="AL277" s="89" t="n"/>
      <c r="AM277" s="89" t="n"/>
      <c r="AN277" s="89" t="n"/>
      <c r="AO277" s="89" t="n">
        <v>11.70362</v>
      </c>
      <c r="AP277" s="89" t="n">
        <v>0.692312</v>
      </c>
      <c r="AQ277" s="89" t="n"/>
      <c r="AR277" s="89" t="n"/>
      <c r="AS277" s="89" t="n">
        <v>0.5747409999999999</v>
      </c>
      <c r="AT277" s="89" t="n">
        <v>2.374645</v>
      </c>
      <c r="AU277" s="89" t="n">
        <v>-0.203199</v>
      </c>
      <c r="AV277" s="89" t="n">
        <v>0.052004</v>
      </c>
      <c r="AW277" s="89" t="n">
        <v>1.4</v>
      </c>
      <c r="AX277" s="89" t="n">
        <v>0.680601</v>
      </c>
      <c r="AY277" s="89" t="n">
        <v>-0.886709</v>
      </c>
      <c r="AZ277" t="n">
        <v>-0.745161</v>
      </c>
    </row>
    <row r="278">
      <c r="A278" t="inlineStr">
        <is>
          <t>1942-01</t>
        </is>
      </c>
      <c r="B278" s="1" t="n">
        <v>15342</v>
      </c>
      <c r="C278" s="88" t="n">
        <v>278</v>
      </c>
      <c r="D278" s="1" t="n"/>
      <c r="E278" s="1">
        <f>B278</f>
        <v/>
      </c>
      <c r="F278" s="2">
        <f>B278</f>
        <v/>
      </c>
      <c r="G278" s="88" t="n">
        <v>276</v>
      </c>
      <c r="H278" s="89" t="n"/>
      <c r="I278" s="89" t="n"/>
      <c r="J278" s="89" t="n"/>
      <c r="K278" s="89" t="n"/>
      <c r="L278" s="89" t="n"/>
      <c r="M278" s="89" t="n"/>
      <c r="N278" s="89" t="n"/>
      <c r="O278" s="89" t="n"/>
      <c r="P278" s="89" t="n"/>
      <c r="Q278" s="89" t="n"/>
      <c r="R278" s="89" t="n"/>
      <c r="S278" s="89" t="n"/>
      <c r="T278" s="89" t="n"/>
      <c r="U278" s="89" t="n"/>
      <c r="V278" s="89" t="n"/>
      <c r="W278" s="89" t="n"/>
      <c r="X278" s="89" t="n"/>
      <c r="Y278" s="89" t="n"/>
      <c r="Z278" s="89" t="n"/>
      <c r="AA278" s="89" t="n"/>
      <c r="AB278" s="89" t="n"/>
      <c r="AC278" s="89" t="n"/>
      <c r="AD278" s="89" t="n"/>
      <c r="AE278" s="89" t="n"/>
      <c r="AF278" s="89" t="n"/>
      <c r="AG278" s="89" t="n"/>
      <c r="AH278" s="89" t="n"/>
      <c r="AI278" s="89" t="n"/>
      <c r="AJ278" s="89" t="n"/>
      <c r="AK278" s="89" t="n"/>
      <c r="AL278" s="89" t="n"/>
      <c r="AM278" s="89" t="n"/>
      <c r="AN278" s="89" t="n"/>
      <c r="AO278" s="89" t="n">
        <v>11.94307</v>
      </c>
      <c r="AP278" s="89" t="n">
        <v>0.280049</v>
      </c>
      <c r="AQ278" s="89" t="n"/>
      <c r="AR278" s="89" t="n"/>
      <c r="AS278" s="89" t="n">
        <v>0.310682</v>
      </c>
      <c r="AT278" s="89" t="n">
        <v>1.575107</v>
      </c>
      <c r="AU278" s="89" t="n">
        <v>0.887309</v>
      </c>
      <c r="AV278" s="89" t="n">
        <v>-0.327256</v>
      </c>
      <c r="AW278" s="89" t="n">
        <v>1.9</v>
      </c>
      <c r="AX278" s="89" t="n">
        <v>1.391938</v>
      </c>
      <c r="AY278" s="89" t="n">
        <v>-0.120794</v>
      </c>
      <c r="AZ278" t="n">
        <v>-1.309288</v>
      </c>
    </row>
    <row r="279">
      <c r="A279" t="inlineStr">
        <is>
          <t>1942-02</t>
        </is>
      </c>
      <c r="B279" s="1" t="n">
        <v>15373</v>
      </c>
      <c r="C279" s="88" t="n">
        <v>279</v>
      </c>
      <c r="D279" s="1" t="n"/>
      <c r="E279" s="1">
        <f>B279</f>
        <v/>
      </c>
      <c r="F279" s="2">
        <f>B279</f>
        <v/>
      </c>
      <c r="G279" s="88" t="n">
        <v>277</v>
      </c>
      <c r="H279" s="89" t="n"/>
      <c r="I279" s="89" t="n"/>
      <c r="J279" s="89" t="n"/>
      <c r="K279" s="89" t="n"/>
      <c r="L279" s="89" t="n"/>
      <c r="M279" s="89" t="n"/>
      <c r="N279" s="89" t="n"/>
      <c r="O279" s="89" t="n"/>
      <c r="P279" s="89" t="n"/>
      <c r="Q279" s="89" t="n"/>
      <c r="R279" s="89" t="n"/>
      <c r="S279" s="89" t="n"/>
      <c r="T279" s="89" t="n"/>
      <c r="U279" s="89" t="n"/>
      <c r="V279" s="89" t="n"/>
      <c r="W279" s="89" t="n"/>
      <c r="X279" s="89" t="n"/>
      <c r="Y279" s="89" t="n"/>
      <c r="Z279" s="89" t="n"/>
      <c r="AA279" s="89" t="n"/>
      <c r="AB279" s="89" t="n"/>
      <c r="AC279" s="89" t="n"/>
      <c r="AD279" s="89" t="n"/>
      <c r="AE279" s="89" t="n"/>
      <c r="AF279" s="89" t="n"/>
      <c r="AG279" s="89" t="n"/>
      <c r="AH279" s="89" t="n"/>
      <c r="AI279" s="89" t="n"/>
      <c r="AJ279" s="89" t="n"/>
      <c r="AK279" s="89" t="n"/>
      <c r="AL279" s="89" t="n"/>
      <c r="AM279" s="89" t="n"/>
      <c r="AN279" s="89" t="n"/>
      <c r="AO279" s="89" t="n">
        <v>12.15582</v>
      </c>
      <c r="AP279" s="89" t="n">
        <v>0.339397</v>
      </c>
      <c r="AQ279" s="89" t="n"/>
      <c r="AR279" s="89" t="n"/>
      <c r="AS279" s="89" t="n">
        <v>0.398571</v>
      </c>
      <c r="AT279" s="89" t="n">
        <v>1.485708</v>
      </c>
      <c r="AU279" s="89" t="n">
        <v>0.244169</v>
      </c>
      <c r="AV279" s="89" t="n">
        <v>0.06478299999999999</v>
      </c>
      <c r="AW279" s="89" t="n">
        <v>1.7</v>
      </c>
      <c r="AX279" s="89" t="n">
        <v>-2.577387</v>
      </c>
      <c r="AY279" s="89" t="n">
        <v>-0.798439</v>
      </c>
      <c r="AZ279" t="n">
        <v>0.149165</v>
      </c>
    </row>
    <row r="280">
      <c r="A280" t="inlineStr">
        <is>
          <t>1942-03</t>
        </is>
      </c>
      <c r="B280" s="1" t="n">
        <v>15401</v>
      </c>
      <c r="C280" s="88" t="n">
        <v>280</v>
      </c>
      <c r="D280" s="1" t="n"/>
      <c r="E280" s="1">
        <f>B280</f>
        <v/>
      </c>
      <c r="F280" s="2">
        <f>B280</f>
        <v/>
      </c>
      <c r="G280" s="88" t="n">
        <v>278</v>
      </c>
      <c r="H280" s="89" t="n"/>
      <c r="I280" s="89" t="n"/>
      <c r="J280" s="89" t="n"/>
      <c r="K280" s="89" t="n"/>
      <c r="L280" s="89" t="n"/>
      <c r="M280" s="89" t="n"/>
      <c r="N280" s="89" t="n"/>
      <c r="O280" s="89" t="n"/>
      <c r="P280" s="89" t="n"/>
      <c r="Q280" s="89" t="n"/>
      <c r="R280" s="89" t="n"/>
      <c r="S280" s="89" t="n"/>
      <c r="T280" s="89" t="n"/>
      <c r="U280" s="89" t="n"/>
      <c r="V280" s="89" t="n"/>
      <c r="W280" s="89" t="n"/>
      <c r="X280" s="89" t="n"/>
      <c r="Y280" s="89" t="n"/>
      <c r="Z280" s="89" t="n"/>
      <c r="AA280" s="89" t="n"/>
      <c r="AB280" s="89" t="n"/>
      <c r="AC280" s="89" t="n"/>
      <c r="AD280" s="89" t="n"/>
      <c r="AE280" s="89" t="n"/>
      <c r="AF280" s="89" t="n"/>
      <c r="AG280" s="89" t="n"/>
      <c r="AH280" s="89" t="n"/>
      <c r="AI280" s="89" t="n"/>
      <c r="AJ280" s="89" t="n"/>
      <c r="AK280" s="89" t="n"/>
      <c r="AL280" s="89" t="n"/>
      <c r="AM280" s="89" t="n"/>
      <c r="AN280" s="89" t="n"/>
      <c r="AO280" s="89" t="n">
        <v>12.28885</v>
      </c>
      <c r="AP280" s="89" t="n">
        <v>0.763089</v>
      </c>
      <c r="AQ280" s="89" t="n"/>
      <c r="AR280" s="89" t="n"/>
      <c r="AS280" s="89" t="n">
        <v>-0.138319</v>
      </c>
      <c r="AT280" s="89" t="n">
        <v>1.38328</v>
      </c>
      <c r="AU280" s="89" t="n">
        <v>0.096876</v>
      </c>
      <c r="AV280" s="89" t="n">
        <v>0.816545</v>
      </c>
      <c r="AW280" s="89" t="n">
        <v>1.6</v>
      </c>
      <c r="AX280" s="89" t="n">
        <v>4.601093</v>
      </c>
      <c r="AY280" s="89" t="n">
        <v>-0.269416</v>
      </c>
      <c r="AZ280" t="n">
        <v>0.670739</v>
      </c>
    </row>
    <row r="281">
      <c r="A281" t="inlineStr">
        <is>
          <t>1942-04</t>
        </is>
      </c>
      <c r="B281" s="1" t="n">
        <v>15432</v>
      </c>
      <c r="C281" s="88" t="n">
        <v>281</v>
      </c>
      <c r="D281" s="1" t="n"/>
      <c r="E281" s="1">
        <f>B281</f>
        <v/>
      </c>
      <c r="F281" s="2">
        <f>B281</f>
        <v/>
      </c>
      <c r="G281" s="88" t="n">
        <v>279</v>
      </c>
      <c r="H281" s="89" t="n"/>
      <c r="I281" s="89" t="n"/>
      <c r="J281" s="89" t="n"/>
      <c r="K281" s="89" t="n"/>
      <c r="L281" s="89" t="n"/>
      <c r="M281" s="89" t="n"/>
      <c r="N281" s="89" t="n"/>
      <c r="O281" s="89" t="n"/>
      <c r="P281" s="89" t="n"/>
      <c r="Q281" s="89" t="n"/>
      <c r="R281" s="89" t="n"/>
      <c r="S281" s="89" t="n"/>
      <c r="T281" s="89" t="n"/>
      <c r="U281" s="89" t="n"/>
      <c r="V281" s="89" t="n"/>
      <c r="W281" s="89" t="n"/>
      <c r="X281" s="89" t="n"/>
      <c r="Y281" s="89" t="n"/>
      <c r="Z281" s="89" t="n"/>
      <c r="AA281" s="89" t="n"/>
      <c r="AB281" s="89" t="n"/>
      <c r="AC281" s="89" t="n"/>
      <c r="AD281" s="89" t="n"/>
      <c r="AE281" s="89" t="n"/>
      <c r="AF281" s="89" t="n"/>
      <c r="AG281" s="89" t="n"/>
      <c r="AH281" s="89" t="n"/>
      <c r="AI281" s="89" t="n"/>
      <c r="AJ281" s="89" t="n"/>
      <c r="AK281" s="89" t="n"/>
      <c r="AL281" s="89" t="n"/>
      <c r="AM281" s="89" t="n"/>
      <c r="AN281" s="89" t="n"/>
      <c r="AO281" s="89" t="n">
        <v>11.94307</v>
      </c>
      <c r="AP281" s="89" t="n">
        <v>0.662427</v>
      </c>
      <c r="AQ281" s="89" t="n"/>
      <c r="AR281" s="89" t="n"/>
      <c r="AS281" s="89" t="n">
        <v>0.389751</v>
      </c>
      <c r="AT281" s="89" t="n">
        <v>1.396067</v>
      </c>
      <c r="AU281" s="89" t="n">
        <v>-0.118535</v>
      </c>
      <c r="AV281" s="89" t="n">
        <v>0.734077</v>
      </c>
      <c r="AW281" s="89" t="n">
        <v>1.5</v>
      </c>
      <c r="AX281" s="89" t="n">
        <v>1.795582</v>
      </c>
      <c r="AY281" s="89" t="n">
        <v>1.046352</v>
      </c>
      <c r="AZ281" t="n">
        <v>0.739453</v>
      </c>
    </row>
    <row r="282">
      <c r="A282" t="inlineStr">
        <is>
          <t>1942-05</t>
        </is>
      </c>
      <c r="B282" s="1" t="n">
        <v>15462</v>
      </c>
      <c r="C282" s="88" t="n">
        <v>282</v>
      </c>
      <c r="D282" s="1" t="n"/>
      <c r="E282" s="1">
        <f>B282</f>
        <v/>
      </c>
      <c r="F282" s="2">
        <f>B282</f>
        <v/>
      </c>
      <c r="G282" s="88" t="n">
        <v>280</v>
      </c>
      <c r="H282" s="89" t="n"/>
      <c r="I282" s="89" t="n"/>
      <c r="J282" s="89" t="n"/>
      <c r="K282" s="89" t="n"/>
      <c r="L282" s="89" t="n"/>
      <c r="M282" s="89" t="n"/>
      <c r="N282" s="89" t="n"/>
      <c r="O282" s="89" t="n"/>
      <c r="P282" s="89" t="n"/>
      <c r="Q282" s="89" t="n"/>
      <c r="R282" s="89" t="n"/>
      <c r="S282" s="89" t="n"/>
      <c r="T282" s="89" t="n"/>
      <c r="U282" s="89" t="n"/>
      <c r="V282" s="89" t="n"/>
      <c r="W282" s="89" t="n"/>
      <c r="X282" s="89" t="n"/>
      <c r="Y282" s="89" t="n"/>
      <c r="Z282" s="89" t="n"/>
      <c r="AA282" s="89" t="n"/>
      <c r="AB282" s="89" t="n"/>
      <c r="AC282" s="89" t="n"/>
      <c r="AD282" s="89" t="n"/>
      <c r="AE282" s="89" t="n"/>
      <c r="AF282" s="89" t="n"/>
      <c r="AG282" s="89" t="n"/>
      <c r="AH282" s="89" t="n"/>
      <c r="AI282" s="89" t="n"/>
      <c r="AJ282" s="89" t="n"/>
      <c r="AK282" s="89" t="n"/>
      <c r="AL282" s="89" t="n"/>
      <c r="AM282" s="89" t="n"/>
      <c r="AN282" s="89" t="n"/>
      <c r="AO282" s="89" t="n">
        <v>11.96958</v>
      </c>
      <c r="AP282" s="89" t="n">
        <v>0.681405</v>
      </c>
      <c r="AQ282" s="89" t="n"/>
      <c r="AR282" s="89" t="n"/>
      <c r="AS282" s="89" t="n">
        <v>0.7312380000000001</v>
      </c>
      <c r="AT282" s="89" t="n">
        <v>1.48074</v>
      </c>
      <c r="AU282" s="89" t="n">
        <v>0.721479</v>
      </c>
      <c r="AV282" s="89" t="n">
        <v>0.509826</v>
      </c>
      <c r="AW282" s="89" t="n">
        <v>1.8</v>
      </c>
      <c r="AX282" s="89" t="n">
        <v>2.530272</v>
      </c>
      <c r="AY282" s="89" t="n">
        <v>0.411501</v>
      </c>
      <c r="AZ282" t="n">
        <v>1.863032</v>
      </c>
    </row>
    <row r="283">
      <c r="A283" t="inlineStr">
        <is>
          <t>1942-06</t>
        </is>
      </c>
      <c r="B283" s="1" t="n">
        <v>15493</v>
      </c>
      <c r="C283" s="88" t="n">
        <v>283</v>
      </c>
      <c r="D283" s="1" t="n"/>
      <c r="E283" s="1">
        <f>B283</f>
        <v/>
      </c>
      <c r="F283" s="2">
        <f>B283</f>
        <v/>
      </c>
      <c r="G283" s="88" t="n">
        <v>281</v>
      </c>
      <c r="H283" s="89" t="n"/>
      <c r="I283" s="89" t="n"/>
      <c r="J283" s="89" t="n"/>
      <c r="K283" s="89" t="n"/>
      <c r="L283" s="89" t="n"/>
      <c r="M283" s="89" t="n"/>
      <c r="N283" s="89" t="n"/>
      <c r="O283" s="89" t="n"/>
      <c r="P283" s="89" t="n"/>
      <c r="Q283" s="89" t="n"/>
      <c r="R283" s="89" t="n"/>
      <c r="S283" s="89" t="n"/>
      <c r="T283" s="89" t="n"/>
      <c r="U283" s="89" t="n"/>
      <c r="V283" s="89" t="n"/>
      <c r="W283" s="89" t="n"/>
      <c r="X283" s="89" t="n"/>
      <c r="Y283" s="89" t="n"/>
      <c r="Z283" s="89" t="n"/>
      <c r="AA283" s="89" t="n"/>
      <c r="AB283" s="89" t="n"/>
      <c r="AC283" s="89" t="n"/>
      <c r="AD283" s="89" t="n"/>
      <c r="AE283" s="89" t="n"/>
      <c r="AF283" s="89" t="n"/>
      <c r="AG283" s="89" t="n"/>
      <c r="AH283" s="89" t="n"/>
      <c r="AI283" s="89" t="n"/>
      <c r="AJ283" s="89" t="n"/>
      <c r="AK283" s="89" t="n"/>
      <c r="AL283" s="89" t="n"/>
      <c r="AM283" s="89" t="n"/>
      <c r="AN283" s="89" t="n"/>
      <c r="AO283" s="89" t="n">
        <v>11.99628</v>
      </c>
      <c r="AP283" s="89" t="n">
        <v>0.6575029999999999</v>
      </c>
      <c r="AQ283" s="89" t="n"/>
      <c r="AR283" s="89" t="n"/>
      <c r="AS283" s="89" t="n">
        <v>0.682738</v>
      </c>
      <c r="AT283" s="89" t="n">
        <v>1.947164</v>
      </c>
      <c r="AU283" s="89" t="n">
        <v>0.5630309999999999</v>
      </c>
      <c r="AV283" s="89" t="n">
        <v>0.297706</v>
      </c>
      <c r="AW283" s="89" t="n">
        <v>1.8</v>
      </c>
      <c r="AX283" s="89" t="n">
        <v>1.295786</v>
      </c>
      <c r="AY283" s="89" t="n">
        <v>0.627211</v>
      </c>
      <c r="AZ283" t="n">
        <v>0.504006</v>
      </c>
    </row>
    <row r="284">
      <c r="A284" t="inlineStr">
        <is>
          <t>1942-07</t>
        </is>
      </c>
      <c r="B284" s="1" t="n">
        <v>15523</v>
      </c>
      <c r="C284" s="88" t="n">
        <v>284</v>
      </c>
      <c r="D284" s="1" t="n"/>
      <c r="E284" s="1">
        <f>B284</f>
        <v/>
      </c>
      <c r="F284" s="2">
        <f>B284</f>
        <v/>
      </c>
      <c r="G284" s="88" t="n">
        <v>282</v>
      </c>
      <c r="H284" s="89" t="n"/>
      <c r="I284" s="89" t="n"/>
      <c r="J284" s="89" t="n"/>
      <c r="K284" s="89" t="n"/>
      <c r="L284" s="89" t="n"/>
      <c r="M284" s="89" t="n"/>
      <c r="N284" s="89" t="n"/>
      <c r="O284" s="89" t="n"/>
      <c r="P284" s="89" t="n"/>
      <c r="Q284" s="89" t="n"/>
      <c r="R284" s="89" t="n"/>
      <c r="S284" s="89" t="n"/>
      <c r="T284" s="89" t="n"/>
      <c r="U284" s="89" t="n"/>
      <c r="V284" s="89" t="n"/>
      <c r="W284" s="89" t="n"/>
      <c r="X284" s="89" t="n"/>
      <c r="Y284" s="89" t="n"/>
      <c r="Z284" s="89" t="n"/>
      <c r="AA284" s="89" t="n"/>
      <c r="AB284" s="89" t="n"/>
      <c r="AC284" s="89" t="n"/>
      <c r="AD284" s="89" t="n"/>
      <c r="AE284" s="89" t="n"/>
      <c r="AF284" s="89" t="n"/>
      <c r="AG284" s="89" t="n"/>
      <c r="AH284" s="89" t="n"/>
      <c r="AI284" s="89" t="n"/>
      <c r="AJ284" s="89" t="n"/>
      <c r="AK284" s="89" t="n"/>
      <c r="AL284" s="89" t="n"/>
      <c r="AM284" s="89" t="n"/>
      <c r="AN284" s="89" t="n"/>
      <c r="AO284" s="89" t="n">
        <v>12.28885</v>
      </c>
      <c r="AP284" s="89" t="n">
        <v>0.66172</v>
      </c>
      <c r="AQ284" s="89" t="n"/>
      <c r="AR284" s="89" t="n"/>
      <c r="AS284" s="89" t="n">
        <v>0.80541</v>
      </c>
      <c r="AT284" s="89" t="n">
        <v>1.921663</v>
      </c>
      <c r="AU284" s="89" t="n">
        <v>0.76217</v>
      </c>
      <c r="AV284" s="89" t="n">
        <v>0.104219</v>
      </c>
      <c r="AW284" s="89" t="n">
        <v>1.5</v>
      </c>
      <c r="AX284" s="89" t="n">
        <v>1.626553</v>
      </c>
      <c r="AY284" s="89" t="n">
        <v>0.048686</v>
      </c>
      <c r="AZ284" t="n">
        <v>0.764313</v>
      </c>
    </row>
    <row r="285">
      <c r="A285" t="inlineStr">
        <is>
          <t>1942-08</t>
        </is>
      </c>
      <c r="B285" s="1" t="n">
        <v>15554</v>
      </c>
      <c r="C285" s="88" t="n">
        <v>285</v>
      </c>
      <c r="D285" s="1" t="n"/>
      <c r="E285" s="1">
        <f>B285</f>
        <v/>
      </c>
      <c r="F285" s="2">
        <f>B285</f>
        <v/>
      </c>
      <c r="G285" s="88" t="n">
        <v>283</v>
      </c>
      <c r="H285" s="89" t="n"/>
      <c r="I285" s="89" t="n"/>
      <c r="J285" s="89" t="n"/>
      <c r="K285" s="89" t="n"/>
      <c r="L285" s="89" t="n"/>
      <c r="M285" s="89" t="n"/>
      <c r="N285" s="89" t="n"/>
      <c r="O285" s="89" t="n"/>
      <c r="P285" s="89" t="n"/>
      <c r="Q285" s="89" t="n"/>
      <c r="R285" s="89" t="n"/>
      <c r="S285" s="89" t="n"/>
      <c r="T285" s="89" t="n"/>
      <c r="U285" s="89" t="n"/>
      <c r="V285" s="89" t="n"/>
      <c r="W285" s="89" t="n"/>
      <c r="X285" s="89" t="n"/>
      <c r="Y285" s="89" t="n"/>
      <c r="Z285" s="89" t="n"/>
      <c r="AA285" s="89" t="n"/>
      <c r="AB285" s="89" t="n"/>
      <c r="AC285" s="89" t="n"/>
      <c r="AD285" s="89" t="n"/>
      <c r="AE285" s="89" t="n"/>
      <c r="AF285" s="89" t="n"/>
      <c r="AG285" s="89" t="n"/>
      <c r="AH285" s="89" t="n"/>
      <c r="AI285" s="89" t="n"/>
      <c r="AJ285" s="89" t="n"/>
      <c r="AK285" s="89" t="n"/>
      <c r="AL285" s="89" t="n"/>
      <c r="AM285" s="89" t="n"/>
      <c r="AN285" s="89" t="n"/>
      <c r="AO285" s="89" t="n">
        <v>12.66124</v>
      </c>
      <c r="AP285" s="89" t="n">
        <v>0.385892</v>
      </c>
      <c r="AQ285" s="89" t="n"/>
      <c r="AR285" s="89" t="n"/>
      <c r="AS285" s="89" t="n">
        <v>0.985455</v>
      </c>
      <c r="AT285" s="89" t="n">
        <v>1.992268</v>
      </c>
      <c r="AU285" s="89" t="n">
        <v>-0.655325</v>
      </c>
      <c r="AV285" s="89" t="n">
        <v>0.367285</v>
      </c>
      <c r="AW285" s="89" t="n">
        <v>1.5</v>
      </c>
      <c r="AX285" s="89" t="n">
        <v>1.547741</v>
      </c>
      <c r="AY285" s="89" t="n">
        <v>0.134387</v>
      </c>
      <c r="AZ285" t="n">
        <v>0.740269</v>
      </c>
    </row>
    <row r="286">
      <c r="A286" t="inlineStr">
        <is>
          <t>1942-09</t>
        </is>
      </c>
      <c r="B286" s="1" t="n">
        <v>15585</v>
      </c>
      <c r="C286" s="88" t="n">
        <v>286</v>
      </c>
      <c r="E286" s="1">
        <f>B286</f>
        <v/>
      </c>
      <c r="F286" s="2">
        <f>B286</f>
        <v/>
      </c>
      <c r="G286" s="88" t="n">
        <v>284</v>
      </c>
      <c r="H286" s="89" t="n"/>
      <c r="I286" s="89" t="n"/>
      <c r="J286" s="89" t="n"/>
      <c r="K286" s="89" t="n"/>
      <c r="L286" s="89" t="n"/>
      <c r="M286" s="89" t="n"/>
      <c r="N286" s="89" t="n"/>
      <c r="O286" s="89" t="n"/>
      <c r="P286" s="89" t="n"/>
      <c r="Q286" s="89" t="n"/>
      <c r="R286" s="89" t="n"/>
      <c r="S286" s="89" t="n"/>
      <c r="T286" s="89" t="n"/>
      <c r="U286" s="89" t="n"/>
      <c r="V286" s="89" t="n"/>
      <c r="W286" s="89" t="n"/>
      <c r="X286" s="89" t="n"/>
      <c r="Y286" s="89" t="n"/>
      <c r="Z286" s="89" t="n"/>
      <c r="AA286" s="89" t="n"/>
      <c r="AB286" s="89" t="n"/>
      <c r="AC286" s="89" t="n"/>
      <c r="AD286" s="89" t="n"/>
      <c r="AE286" s="89" t="n"/>
      <c r="AF286" s="89" t="n"/>
      <c r="AG286" s="89" t="n"/>
      <c r="AH286" s="89" t="n"/>
      <c r="AI286" s="89" t="n"/>
      <c r="AJ286" s="89" t="n"/>
      <c r="AK286" s="89" t="n"/>
      <c r="AL286" s="89" t="n"/>
      <c r="AM286" s="89" t="n"/>
      <c r="AN286" s="89" t="n"/>
      <c r="AO286" s="89" t="n">
        <v>12.95382</v>
      </c>
      <c r="AP286" s="89" t="n">
        <v>0.449432</v>
      </c>
      <c r="AQ286" s="89" t="n"/>
      <c r="AR286" s="89" t="n"/>
      <c r="AS286" s="89" t="n">
        <v>0.720298</v>
      </c>
      <c r="AT286" s="89" t="n">
        <v>1.949581</v>
      </c>
      <c r="AU286" s="89" t="n">
        <v>-0.173665</v>
      </c>
      <c r="AV286" s="89" t="n">
        <v>0.924794</v>
      </c>
      <c r="AW286" s="89" t="n">
        <v>1.7</v>
      </c>
      <c r="AX286" s="89" t="n">
        <v>0.934697</v>
      </c>
      <c r="AY286" s="89" t="n">
        <v>0.166024</v>
      </c>
      <c r="AZ286" t="n">
        <v>-4.031456</v>
      </c>
    </row>
    <row r="287">
      <c r="A287" t="inlineStr">
        <is>
          <t>1942-10</t>
        </is>
      </c>
      <c r="B287" s="1" t="n">
        <v>15615</v>
      </c>
      <c r="C287" s="88" t="n">
        <v>287</v>
      </c>
      <c r="E287" s="1">
        <f>B287</f>
        <v/>
      </c>
      <c r="F287" s="2">
        <f>B287</f>
        <v/>
      </c>
      <c r="G287" s="88" t="n">
        <v>285</v>
      </c>
      <c r="H287" s="89" t="n"/>
      <c r="I287" s="89" t="n"/>
      <c r="J287" s="89" t="n"/>
      <c r="K287" s="89" t="n"/>
      <c r="L287" s="89" t="n"/>
      <c r="M287" s="89" t="n"/>
      <c r="N287" s="89" t="n"/>
      <c r="O287" s="89" t="n"/>
      <c r="P287" s="89" t="n"/>
      <c r="Q287" s="89" t="n"/>
      <c r="R287" s="89" t="n"/>
      <c r="S287" s="89" t="n"/>
      <c r="T287" s="89" t="n"/>
      <c r="U287" s="89" t="n"/>
      <c r="V287" s="89" t="n"/>
      <c r="W287" s="89" t="n"/>
      <c r="X287" s="89" t="n"/>
      <c r="Y287" s="89" t="n"/>
      <c r="Z287" s="89" t="n"/>
      <c r="AA287" s="89" t="n"/>
      <c r="AB287" s="89" t="n"/>
      <c r="AC287" s="89" t="n"/>
      <c r="AD287" s="89" t="n"/>
      <c r="AE287" s="89" t="n"/>
      <c r="AF287" s="89" t="n"/>
      <c r="AG287" s="89" t="n"/>
      <c r="AH287" s="89" t="n"/>
      <c r="AI287" s="89" t="n"/>
      <c r="AJ287" s="89" t="n"/>
      <c r="AK287" s="89" t="n"/>
      <c r="AL287" s="89" t="n"/>
      <c r="AM287" s="89" t="n"/>
      <c r="AN287" s="89" t="n"/>
      <c r="AO287" s="89" t="n">
        <v>13.37942</v>
      </c>
      <c r="AP287" s="89" t="n"/>
      <c r="AQ287" s="89" t="n"/>
      <c r="AR287" s="89" t="n"/>
      <c r="AS287" s="89" t="n"/>
      <c r="AT287" s="89" t="n"/>
      <c r="AU287" s="89" t="n"/>
      <c r="AV287" s="89" t="n"/>
      <c r="AW287" s="89" t="n">
        <v>1.6</v>
      </c>
      <c r="AX287" s="89" t="n"/>
      <c r="AY287" s="89" t="n"/>
    </row>
    <row r="288">
      <c r="A288" t="inlineStr">
        <is>
          <t>1942-11</t>
        </is>
      </c>
      <c r="B288" s="1" t="n">
        <v>15646</v>
      </c>
      <c r="C288" s="88" t="n">
        <v>288</v>
      </c>
      <c r="E288" s="1">
        <f>B288</f>
        <v/>
      </c>
      <c r="F288" s="2">
        <f>B288</f>
        <v/>
      </c>
      <c r="G288" s="88" t="n">
        <v>286</v>
      </c>
      <c r="H288" s="89" t="n"/>
      <c r="I288" s="89" t="n"/>
      <c r="J288" s="89" t="n"/>
      <c r="K288" s="89" t="n"/>
      <c r="L288" s="89" t="n"/>
      <c r="M288" s="89" t="n"/>
      <c r="N288" s="89" t="n"/>
      <c r="O288" s="89" t="n"/>
      <c r="P288" s="89" t="n"/>
      <c r="Q288" s="89" t="n"/>
      <c r="R288" s="89" t="n"/>
      <c r="S288" s="89" t="n"/>
      <c r="T288" s="89" t="n"/>
      <c r="U288" s="89" t="n"/>
      <c r="V288" s="89" t="n"/>
      <c r="W288" s="89" t="n"/>
      <c r="X288" s="89" t="n"/>
      <c r="Y288" s="89" t="n"/>
      <c r="Z288" s="89" t="n"/>
      <c r="AA288" s="89" t="n"/>
      <c r="AB288" s="89" t="n"/>
      <c r="AC288" s="89" t="n"/>
      <c r="AD288" s="89" t="n"/>
      <c r="AE288" s="89" t="n"/>
      <c r="AF288" s="89" t="n"/>
      <c r="AG288" s="89" t="n"/>
      <c r="AH288" s="89" t="n"/>
      <c r="AI288" s="89" t="n"/>
      <c r="AJ288" s="89" t="n"/>
      <c r="AK288" s="89" t="n"/>
      <c r="AL288" s="89" t="n"/>
      <c r="AM288" s="89" t="n"/>
      <c r="AN288" s="89" t="n"/>
      <c r="AO288" s="89" t="n">
        <v>13.6986</v>
      </c>
      <c r="AP288" s="89" t="n"/>
      <c r="AQ288" s="89" t="n"/>
      <c r="AR288" s="89" t="n"/>
      <c r="AS288" s="89" t="n"/>
      <c r="AT288" s="89" t="n"/>
      <c r="AU288" s="89" t="n"/>
      <c r="AV288" s="89" t="n"/>
      <c r="AW288" s="89" t="n"/>
      <c r="AX288" s="89" t="n"/>
      <c r="AY288" s="89" t="n"/>
    </row>
    <row r="289">
      <c r="A289" t="inlineStr">
        <is>
          <t>1942-12</t>
        </is>
      </c>
      <c r="B289" s="1" t="n">
        <v>15676</v>
      </c>
      <c r="C289" s="88" t="n">
        <v>289</v>
      </c>
      <c r="E289" s="1">
        <f>B289</f>
        <v/>
      </c>
      <c r="F289" s="2">
        <f>B289</f>
        <v/>
      </c>
      <c r="G289" s="88" t="n">
        <v>287</v>
      </c>
      <c r="H289" s="89" t="n"/>
      <c r="I289" s="89" t="n"/>
      <c r="J289" s="89" t="n"/>
      <c r="K289" s="89" t="n"/>
      <c r="L289" s="89" t="n"/>
      <c r="M289" s="89" t="n"/>
      <c r="N289" s="89" t="n"/>
      <c r="O289" s="89" t="n"/>
      <c r="P289" s="89" t="n"/>
      <c r="Q289" s="89" t="n"/>
      <c r="R289" s="89" t="n"/>
      <c r="S289" s="89" t="n"/>
      <c r="T289" s="89" t="n"/>
      <c r="U289" s="89" t="n"/>
      <c r="V289" s="89" t="n"/>
      <c r="W289" s="89" t="n"/>
      <c r="X289" s="89" t="n"/>
      <c r="Y289" s="89" t="n"/>
      <c r="Z289" s="89" t="n"/>
      <c r="AA289" s="89" t="n"/>
      <c r="AB289" s="89" t="n"/>
      <c r="AC289" s="89" t="n"/>
      <c r="AD289" s="89" t="n"/>
      <c r="AE289" s="89" t="n"/>
      <c r="AF289" s="89" t="n"/>
      <c r="AG289" s="89" t="n"/>
      <c r="AH289" s="89" t="n"/>
      <c r="AI289" s="89" t="n"/>
      <c r="AJ289" s="89" t="n"/>
      <c r="AK289" s="89" t="n"/>
      <c r="AL289" s="89" t="n"/>
      <c r="AM289" s="89" t="n"/>
      <c r="AN289" s="89" t="n"/>
      <c r="AO289" s="89" t="n">
        <v>14.01777</v>
      </c>
      <c r="AP289" s="89" t="n"/>
      <c r="AQ289" s="89" t="n"/>
      <c r="AR289" s="89" t="n"/>
      <c r="AS289" s="89" t="n"/>
      <c r="AT289" s="89" t="n"/>
      <c r="AU289" s="89" t="n"/>
      <c r="AV289" s="89" t="n"/>
      <c r="AW289" s="89" t="n"/>
      <c r="AX289" s="89" t="n"/>
      <c r="AY289" s="89" t="n"/>
    </row>
    <row r="290">
      <c r="A290" t="inlineStr">
        <is>
          <t>1943-01</t>
        </is>
      </c>
      <c r="B290" s="1" t="n">
        <v>15707</v>
      </c>
      <c r="C290" s="88" t="n">
        <v>290</v>
      </c>
      <c r="E290" s="1">
        <f>B290</f>
        <v/>
      </c>
      <c r="F290" s="2">
        <f>B290</f>
        <v/>
      </c>
      <c r="G290" s="88" t="n">
        <v>288</v>
      </c>
      <c r="H290" s="89" t="n"/>
      <c r="I290" s="89" t="n"/>
      <c r="J290" s="89" t="n"/>
      <c r="K290" s="89" t="n"/>
      <c r="L290" s="89" t="n"/>
      <c r="M290" s="89" t="n"/>
      <c r="N290" s="89" t="n"/>
      <c r="O290" s="89" t="n"/>
      <c r="P290" s="89" t="n"/>
      <c r="Q290" s="89" t="n"/>
      <c r="R290" s="89" t="n"/>
      <c r="S290" s="89" t="n"/>
      <c r="T290" s="89" t="n"/>
      <c r="U290" s="89" t="n"/>
      <c r="V290" s="89" t="n"/>
      <c r="W290" s="89" t="n"/>
      <c r="X290" s="89" t="n"/>
      <c r="Y290" s="89" t="n"/>
      <c r="Z290" s="89" t="n"/>
      <c r="AA290" s="89" t="n"/>
      <c r="AB290" s="89" t="n"/>
      <c r="AC290" s="89" t="n"/>
      <c r="AD290" s="89" t="n"/>
      <c r="AE290" s="89" t="n"/>
      <c r="AF290" s="89" t="n"/>
      <c r="AG290" s="89" t="n"/>
      <c r="AH290" s="89" t="n"/>
      <c r="AI290" s="89" t="n"/>
      <c r="AJ290" s="89" t="n"/>
      <c r="AK290" s="89" t="n"/>
      <c r="AL290" s="89" t="n"/>
      <c r="AM290" s="89" t="n"/>
      <c r="AN290" s="89" t="n"/>
      <c r="AO290" s="89" t="n">
        <v>14.1508</v>
      </c>
      <c r="AP290" s="89" t="n"/>
      <c r="AQ290" s="89" t="n"/>
      <c r="AR290" s="89" t="n"/>
      <c r="AS290" s="89" t="n"/>
      <c r="AT290" s="89" t="n"/>
      <c r="AU290" s="89" t="n"/>
      <c r="AV290" s="89" t="n"/>
      <c r="AW290" s="89" t="n"/>
      <c r="AX290" s="89" t="n"/>
      <c r="AY290" s="89" t="n"/>
    </row>
    <row r="291">
      <c r="A291" t="inlineStr">
        <is>
          <t>1943-02</t>
        </is>
      </c>
      <c r="B291" s="1" t="n">
        <v>15738</v>
      </c>
      <c r="C291" s="88" t="n">
        <v>291</v>
      </c>
      <c r="E291" s="1">
        <f>B291</f>
        <v/>
      </c>
      <c r="F291" s="2">
        <f>B291</f>
        <v/>
      </c>
      <c r="G291" s="88" t="n">
        <v>289</v>
      </c>
      <c r="H291" s="89" t="n"/>
      <c r="I291" s="89" t="n"/>
      <c r="J291" s="89" t="n"/>
      <c r="K291" s="89" t="n"/>
      <c r="L291" s="89" t="n"/>
      <c r="M291" s="89" t="n"/>
      <c r="N291" s="89" t="n"/>
      <c r="O291" s="89" t="n"/>
      <c r="P291" s="89" t="n"/>
      <c r="Q291" s="89" t="n"/>
      <c r="R291" s="89" t="n"/>
      <c r="S291" s="89" t="n"/>
      <c r="T291" s="89" t="n"/>
      <c r="U291" s="89" t="n"/>
      <c r="V291" s="89" t="n"/>
      <c r="W291" s="89" t="n"/>
      <c r="X291" s="89" t="n"/>
      <c r="Y291" s="89" t="n"/>
      <c r="Z291" s="89" t="n"/>
      <c r="AA291" s="89" t="n"/>
      <c r="AB291" s="89" t="n"/>
      <c r="AC291" s="89" t="n"/>
      <c r="AD291" s="89" t="n"/>
      <c r="AE291" s="89" t="n"/>
      <c r="AF291" s="89" t="n"/>
      <c r="AG291" s="89" t="n"/>
      <c r="AH291" s="89" t="n"/>
      <c r="AI291" s="89" t="n"/>
      <c r="AJ291" s="89" t="n"/>
      <c r="AK291" s="89" t="n"/>
      <c r="AL291" s="89" t="n"/>
      <c r="AM291" s="89" t="n"/>
      <c r="AN291" s="89" t="n"/>
      <c r="AO291" s="89" t="n">
        <v>14.52319</v>
      </c>
      <c r="AP291" s="89" t="n"/>
      <c r="AQ291" s="89" t="n"/>
      <c r="AR291" s="89" t="n"/>
      <c r="AS291" s="89" t="n"/>
      <c r="AT291" s="89" t="n"/>
      <c r="AU291" s="89" t="n"/>
      <c r="AV291" s="89" t="n"/>
      <c r="AW291" s="89" t="n"/>
      <c r="AX291" s="89" t="n"/>
      <c r="AY291" s="89" t="n"/>
    </row>
    <row r="292">
      <c r="A292" t="inlineStr">
        <is>
          <t>1943-03</t>
        </is>
      </c>
      <c r="B292" s="1" t="n">
        <v>15766</v>
      </c>
      <c r="C292" s="88" t="n">
        <v>292</v>
      </c>
      <c r="E292" s="1">
        <f>B292</f>
        <v/>
      </c>
      <c r="F292" s="2">
        <f>B292</f>
        <v/>
      </c>
      <c r="G292" s="88" t="n">
        <v>290</v>
      </c>
      <c r="H292" s="89" t="n"/>
      <c r="I292" s="89" t="n"/>
      <c r="J292" s="89" t="n"/>
      <c r="K292" s="89" t="n"/>
      <c r="L292" s="89" t="n"/>
      <c r="M292" s="89" t="n"/>
      <c r="N292" s="89" t="n"/>
      <c r="O292" s="89" t="n"/>
      <c r="P292" s="89" t="n"/>
      <c r="Q292" s="89" t="n"/>
      <c r="R292" s="89" t="n"/>
      <c r="S292" s="89" t="n"/>
      <c r="T292" s="89" t="n"/>
      <c r="U292" s="89" t="n"/>
      <c r="V292" s="89" t="n"/>
      <c r="W292" s="89" t="n"/>
      <c r="X292" s="89" t="n"/>
      <c r="Y292" s="89" t="n"/>
      <c r="Z292" s="89" t="n"/>
      <c r="AA292" s="89" t="n"/>
      <c r="AB292" s="89" t="n"/>
      <c r="AC292" s="89" t="n"/>
      <c r="AD292" s="89" t="n"/>
      <c r="AE292" s="89" t="n"/>
      <c r="AF292" s="89" t="n"/>
      <c r="AG292" s="89" t="n"/>
      <c r="AH292" s="89" t="n"/>
      <c r="AI292" s="89" t="n"/>
      <c r="AJ292" s="89" t="n"/>
      <c r="AK292" s="89" t="n"/>
      <c r="AL292" s="89" t="n"/>
      <c r="AM292" s="89" t="n"/>
      <c r="AN292" s="89" t="n"/>
      <c r="AO292" s="89" t="n">
        <v>14.62952</v>
      </c>
      <c r="AP292" s="89" t="n"/>
      <c r="AQ292" s="89" t="n"/>
      <c r="AR292" s="89" t="n"/>
      <c r="AS292" s="89" t="n"/>
      <c r="AT292" s="89" t="n"/>
      <c r="AU292" s="89" t="n"/>
      <c r="AV292" s="89" t="n"/>
      <c r="AW292" s="89" t="n"/>
      <c r="AX292" s="89" t="n"/>
      <c r="AY292" s="89" t="n"/>
    </row>
    <row r="293">
      <c r="A293" t="inlineStr">
        <is>
          <t>1943-04</t>
        </is>
      </c>
      <c r="B293" s="1" t="n">
        <v>15797</v>
      </c>
      <c r="C293" s="88" t="n">
        <v>293</v>
      </c>
      <c r="E293" s="1">
        <f>B293</f>
        <v/>
      </c>
      <c r="F293" s="2">
        <f>B293</f>
        <v/>
      </c>
      <c r="G293" s="88" t="n">
        <v>291</v>
      </c>
      <c r="H293" s="89" t="n"/>
      <c r="I293" s="89" t="n"/>
      <c r="J293" s="89" t="n"/>
      <c r="K293" s="89" t="n"/>
      <c r="L293" s="89" t="n"/>
      <c r="M293" s="89" t="n"/>
      <c r="N293" s="89" t="n"/>
      <c r="O293" s="89" t="n"/>
      <c r="P293" s="89" t="n"/>
      <c r="Q293" s="89" t="n"/>
      <c r="R293" s="89" t="n"/>
      <c r="S293" s="89" t="n"/>
      <c r="T293" s="89" t="n"/>
      <c r="U293" s="89" t="n"/>
      <c r="V293" s="89" t="n"/>
      <c r="W293" s="89" t="n"/>
      <c r="X293" s="89" t="n"/>
      <c r="Y293" s="89" t="n"/>
      <c r="Z293" s="89" t="n"/>
      <c r="AA293" s="89" t="n"/>
      <c r="AB293" s="89" t="n"/>
      <c r="AC293" s="89" t="n"/>
      <c r="AD293" s="89" t="n"/>
      <c r="AE293" s="89" t="n"/>
      <c r="AF293" s="89" t="n"/>
      <c r="AG293" s="89" t="n"/>
      <c r="AH293" s="89" t="n"/>
      <c r="AI293" s="89" t="n"/>
      <c r="AJ293" s="89" t="n"/>
      <c r="AK293" s="89" t="n"/>
      <c r="AL293" s="89" t="n"/>
      <c r="AM293" s="89" t="n"/>
      <c r="AN293" s="89" t="n"/>
      <c r="AO293" s="89" t="n">
        <v>14.81576</v>
      </c>
      <c r="AP293" s="89" t="n"/>
      <c r="AQ293" s="89" t="n"/>
      <c r="AR293" s="89" t="n"/>
      <c r="AS293" s="89" t="n"/>
      <c r="AT293" s="89" t="n"/>
      <c r="AU293" s="89" t="n"/>
      <c r="AV293" s="89" t="n"/>
      <c r="AW293" s="89" t="n"/>
      <c r="AX293" s="89" t="n"/>
      <c r="AY293" s="89" t="n"/>
    </row>
    <row r="294">
      <c r="A294" t="inlineStr">
        <is>
          <t>1943-05</t>
        </is>
      </c>
      <c r="B294" s="1" t="n">
        <v>15827</v>
      </c>
      <c r="C294" s="88" t="n">
        <v>294</v>
      </c>
      <c r="E294" s="1">
        <f>B294</f>
        <v/>
      </c>
      <c r="F294" s="2">
        <f>B294</f>
        <v/>
      </c>
      <c r="G294" s="88" t="n">
        <v>292</v>
      </c>
      <c r="H294" s="89" t="n"/>
      <c r="I294" s="89" t="n"/>
      <c r="J294" s="89" t="n"/>
      <c r="K294" s="89" t="n"/>
      <c r="L294" s="89" t="n"/>
      <c r="M294" s="89" t="n"/>
      <c r="N294" s="89" t="n"/>
      <c r="O294" s="89" t="n"/>
      <c r="P294" s="89" t="n"/>
      <c r="Q294" s="89" t="n"/>
      <c r="R294" s="89" t="n"/>
      <c r="S294" s="89" t="n"/>
      <c r="T294" s="89" t="n"/>
      <c r="U294" s="89" t="n"/>
      <c r="V294" s="89" t="n"/>
      <c r="W294" s="89" t="n"/>
      <c r="X294" s="89" t="n"/>
      <c r="Y294" s="89" t="n"/>
      <c r="Z294" s="89" t="n"/>
      <c r="AA294" s="89" t="n"/>
      <c r="AB294" s="89" t="n"/>
      <c r="AC294" s="89" t="n"/>
      <c r="AD294" s="89" t="n"/>
      <c r="AE294" s="89" t="n"/>
      <c r="AF294" s="89" t="n"/>
      <c r="AG294" s="89" t="n"/>
      <c r="AH294" s="89" t="n"/>
      <c r="AI294" s="89" t="n"/>
      <c r="AJ294" s="89" t="n"/>
      <c r="AK294" s="89" t="n"/>
      <c r="AL294" s="89" t="n"/>
      <c r="AM294" s="89" t="n"/>
      <c r="AN294" s="89" t="n"/>
      <c r="AO294" s="89" t="n">
        <v>14.92209</v>
      </c>
      <c r="AP294" s="89" t="n"/>
      <c r="AQ294" s="89" t="n"/>
      <c r="AR294" s="89" t="n"/>
      <c r="AS294" s="89" t="n"/>
      <c r="AT294" s="89" t="n"/>
      <c r="AU294" s="89" t="n"/>
      <c r="AV294" s="89" t="n"/>
      <c r="AW294" s="89" t="n"/>
      <c r="AX294" s="89" t="n"/>
      <c r="AY294" s="89" t="n"/>
    </row>
    <row r="295">
      <c r="A295" t="inlineStr">
        <is>
          <t>1943-06</t>
        </is>
      </c>
      <c r="B295" s="1" t="n">
        <v>15858</v>
      </c>
      <c r="C295" s="88" t="n">
        <v>295</v>
      </c>
      <c r="E295" s="1">
        <f>B295</f>
        <v/>
      </c>
      <c r="F295" s="2">
        <f>B295</f>
        <v/>
      </c>
      <c r="G295" s="88" t="n">
        <v>293</v>
      </c>
      <c r="H295" s="89" t="n"/>
      <c r="I295" s="89" t="n"/>
      <c r="J295" s="89" t="n"/>
      <c r="K295" s="89" t="n"/>
      <c r="L295" s="89" t="n"/>
      <c r="M295" s="89" t="n"/>
      <c r="N295" s="89" t="n"/>
      <c r="O295" s="89" t="n"/>
      <c r="P295" s="89" t="n"/>
      <c r="Q295" s="89" t="n"/>
      <c r="R295" s="89" t="n"/>
      <c r="S295" s="89" t="n"/>
      <c r="T295" s="89" t="n"/>
      <c r="U295" s="89" t="n"/>
      <c r="V295" s="89" t="n"/>
      <c r="W295" s="89" t="n"/>
      <c r="X295" s="89" t="n"/>
      <c r="Y295" s="89" t="n"/>
      <c r="Z295" s="89" t="n"/>
      <c r="AA295" s="89" t="n"/>
      <c r="AB295" s="89" t="n"/>
      <c r="AC295" s="89" t="n"/>
      <c r="AD295" s="89" t="n"/>
      <c r="AE295" s="89" t="n"/>
      <c r="AF295" s="89" t="n"/>
      <c r="AG295" s="89" t="n"/>
      <c r="AH295" s="89" t="n"/>
      <c r="AI295" s="89" t="n"/>
      <c r="AJ295" s="89" t="n"/>
      <c r="AK295" s="89" t="n"/>
      <c r="AL295" s="89" t="n"/>
      <c r="AM295" s="89" t="n"/>
      <c r="AN295" s="89" t="n"/>
      <c r="AO295" s="89" t="n">
        <v>14.84237</v>
      </c>
      <c r="AP295" s="89" t="n"/>
      <c r="AQ295" s="89" t="n"/>
      <c r="AR295" s="89" t="n"/>
      <c r="AS295" s="89" t="n"/>
      <c r="AT295" s="89" t="n"/>
      <c r="AU295" s="89" t="n"/>
      <c r="AV295" s="89" t="n"/>
      <c r="AW295" s="89" t="n"/>
      <c r="AX295" s="89" t="n"/>
      <c r="AY295" s="89" t="n"/>
    </row>
    <row r="296">
      <c r="A296" t="inlineStr">
        <is>
          <t>1943-07</t>
        </is>
      </c>
      <c r="B296" s="1" t="n">
        <v>15888</v>
      </c>
      <c r="C296" s="88" t="n">
        <v>296</v>
      </c>
      <c r="E296" s="1">
        <f>B296</f>
        <v/>
      </c>
      <c r="F296" s="2">
        <f>B296</f>
        <v/>
      </c>
      <c r="G296" s="88" t="n">
        <v>294</v>
      </c>
      <c r="H296" s="89" t="n"/>
      <c r="I296" s="89" t="n"/>
      <c r="J296" s="89" t="n"/>
      <c r="K296" s="89" t="n"/>
      <c r="L296" s="89" t="n"/>
      <c r="M296" s="89" t="n"/>
      <c r="N296" s="89" t="n"/>
      <c r="O296" s="89" t="n"/>
      <c r="P296" s="89" t="n"/>
      <c r="Q296" s="89" t="n"/>
      <c r="R296" s="89" t="n"/>
      <c r="S296" s="89" t="n"/>
      <c r="T296" s="89" t="n"/>
      <c r="U296" s="89" t="n"/>
      <c r="V296" s="89" t="n"/>
      <c r="W296" s="89" t="n"/>
      <c r="X296" s="89" t="n"/>
      <c r="Y296" s="89" t="n"/>
      <c r="Z296" s="89" t="n"/>
      <c r="AA296" s="89" t="n"/>
      <c r="AB296" s="89" t="n"/>
      <c r="AC296" s="89" t="n"/>
      <c r="AD296" s="89" t="n"/>
      <c r="AE296" s="89" t="n"/>
      <c r="AF296" s="89" t="n"/>
      <c r="AG296" s="89" t="n"/>
      <c r="AH296" s="89" t="n"/>
      <c r="AI296" s="89" t="n"/>
      <c r="AJ296" s="89" t="n"/>
      <c r="AK296" s="89" t="n"/>
      <c r="AL296" s="89" t="n"/>
      <c r="AM296" s="89" t="n"/>
      <c r="AN296" s="89" t="n"/>
      <c r="AO296" s="89" t="n">
        <v>15.29448</v>
      </c>
      <c r="AP296" s="89" t="n"/>
      <c r="AQ296" s="89" t="n"/>
      <c r="AR296" s="89" t="n"/>
      <c r="AS296" s="89" t="n"/>
      <c r="AT296" s="89" t="n"/>
      <c r="AU296" s="89" t="n"/>
      <c r="AV296" s="89" t="n"/>
      <c r="AW296" s="89" t="n"/>
      <c r="AX296" s="89" t="n"/>
      <c r="AY296" s="89" t="n"/>
    </row>
    <row r="297">
      <c r="A297" t="inlineStr">
        <is>
          <t>1943-08</t>
        </is>
      </c>
      <c r="B297" s="1" t="n">
        <v>15919</v>
      </c>
      <c r="C297" s="88" t="n">
        <v>297</v>
      </c>
      <c r="E297" s="1">
        <f>B297</f>
        <v/>
      </c>
      <c r="F297" s="2">
        <f>B297</f>
        <v/>
      </c>
      <c r="G297" s="88" t="n">
        <v>295</v>
      </c>
      <c r="H297" s="89" t="n"/>
      <c r="I297" s="89" t="n"/>
      <c r="J297" s="89" t="n"/>
      <c r="K297" s="89" t="n"/>
      <c r="L297" s="89" t="n"/>
      <c r="M297" s="89" t="n"/>
      <c r="N297" s="89" t="n"/>
      <c r="O297" s="89" t="n"/>
      <c r="P297" s="89" t="n"/>
      <c r="Q297" s="89" t="n"/>
      <c r="R297" s="89" t="n"/>
      <c r="S297" s="89" t="n"/>
      <c r="T297" s="89" t="n"/>
      <c r="U297" s="89" t="n"/>
      <c r="V297" s="89" t="n"/>
      <c r="W297" s="89" t="n"/>
      <c r="X297" s="89" t="n"/>
      <c r="Y297" s="89" t="n"/>
      <c r="Z297" s="89" t="n"/>
      <c r="AA297" s="89" t="n"/>
      <c r="AB297" s="89" t="n"/>
      <c r="AC297" s="89" t="n"/>
      <c r="AD297" s="89" t="n"/>
      <c r="AE297" s="89" t="n"/>
      <c r="AF297" s="89" t="n"/>
      <c r="AG297" s="89" t="n"/>
      <c r="AH297" s="89" t="n"/>
      <c r="AI297" s="89" t="n"/>
      <c r="AJ297" s="89" t="n"/>
      <c r="AK297" s="89" t="n"/>
      <c r="AL297" s="89" t="n"/>
      <c r="AM297" s="89" t="n"/>
      <c r="AN297" s="89" t="n"/>
      <c r="AO297" s="89" t="n">
        <v>15.61376</v>
      </c>
      <c r="AP297" s="89" t="n"/>
      <c r="AQ297" s="89" t="n"/>
      <c r="AR297" s="89" t="n"/>
      <c r="AS297" s="89" t="n"/>
      <c r="AT297" s="89" t="n"/>
      <c r="AU297" s="89" t="n"/>
      <c r="AV297" s="89" t="n"/>
      <c r="AW297" s="89" t="n"/>
      <c r="AX297" s="89" t="n"/>
      <c r="AY297" s="89" t="n"/>
    </row>
    <row r="298">
      <c r="A298" t="inlineStr">
        <is>
          <t>1943-09</t>
        </is>
      </c>
      <c r="B298" s="1" t="n">
        <v>15950</v>
      </c>
      <c r="C298" s="88" t="n">
        <v>298</v>
      </c>
      <c r="E298" s="1">
        <f>B298</f>
        <v/>
      </c>
      <c r="F298" s="2">
        <f>B298</f>
        <v/>
      </c>
      <c r="G298" s="88" t="n">
        <v>296</v>
      </c>
      <c r="H298" s="89" t="n"/>
      <c r="I298" s="89" t="n"/>
      <c r="J298" s="89" t="n"/>
      <c r="K298" s="89" t="n"/>
      <c r="L298" s="89" t="n"/>
      <c r="M298" s="89" t="n"/>
      <c r="N298" s="89" t="n"/>
      <c r="O298" s="89" t="n"/>
      <c r="P298" s="89" t="n"/>
      <c r="Q298" s="89" t="n"/>
      <c r="R298" s="89" t="n"/>
      <c r="S298" s="89" t="n"/>
      <c r="T298" s="89" t="n"/>
      <c r="U298" s="89" t="n"/>
      <c r="V298" s="89" t="n"/>
      <c r="W298" s="89" t="n"/>
      <c r="X298" s="89" t="n"/>
      <c r="Y298" s="89" t="n"/>
      <c r="Z298" s="89" t="n"/>
      <c r="AA298" s="89" t="n"/>
      <c r="AB298" s="89" t="n"/>
      <c r="AC298" s="89" t="n"/>
      <c r="AD298" s="89" t="n"/>
      <c r="AE298" s="89" t="n"/>
      <c r="AF298" s="89" t="n"/>
      <c r="AG298" s="89" t="n"/>
      <c r="AH298" s="89" t="n"/>
      <c r="AI298" s="89" t="n"/>
      <c r="AJ298" s="89" t="n"/>
      <c r="AK298" s="89" t="n"/>
      <c r="AL298" s="89" t="n"/>
      <c r="AM298" s="89" t="n"/>
      <c r="AN298" s="89" t="n"/>
      <c r="AO298" s="89" t="n">
        <v>16.01275</v>
      </c>
      <c r="AP298" s="89" t="n"/>
      <c r="AQ298" s="89" t="n"/>
      <c r="AR298" s="89" t="n"/>
      <c r="AS298" s="89" t="n"/>
      <c r="AT298" s="89" t="n"/>
      <c r="AU298" s="89" t="n"/>
      <c r="AV298" s="89" t="n"/>
      <c r="AW298" s="89" t="n"/>
      <c r="AX298" s="89" t="n"/>
      <c r="AY298" s="89" t="n"/>
    </row>
    <row r="299">
      <c r="A299" t="inlineStr">
        <is>
          <t>1943-10</t>
        </is>
      </c>
      <c r="B299" s="1" t="n">
        <v>15980</v>
      </c>
      <c r="C299" s="88" t="n">
        <v>299</v>
      </c>
      <c r="E299" s="1">
        <f>B299</f>
        <v/>
      </c>
      <c r="F299" s="2">
        <f>B299</f>
        <v/>
      </c>
      <c r="G299" s="88" t="n">
        <v>297</v>
      </c>
      <c r="H299" s="89" t="n"/>
      <c r="I299" s="89" t="n"/>
      <c r="J299" s="89" t="n"/>
      <c r="K299" s="89" t="n"/>
      <c r="L299" s="89" t="n"/>
      <c r="M299" s="89" t="n"/>
      <c r="N299" s="89" t="n"/>
      <c r="O299" s="89" t="n"/>
      <c r="P299" s="89" t="n"/>
      <c r="Q299" s="89" t="n"/>
      <c r="R299" s="89" t="n"/>
      <c r="S299" s="89" t="n"/>
      <c r="T299" s="89" t="n"/>
      <c r="U299" s="89" t="n"/>
      <c r="V299" s="89" t="n"/>
      <c r="W299" s="89" t="n"/>
      <c r="X299" s="89" t="n"/>
      <c r="Y299" s="89" t="n"/>
      <c r="Z299" s="89" t="n"/>
      <c r="AA299" s="89" t="n"/>
      <c r="AB299" s="89" t="n"/>
      <c r="AC299" s="89" t="n"/>
      <c r="AD299" s="89" t="n"/>
      <c r="AE299" s="89" t="n"/>
      <c r="AF299" s="89" t="n"/>
      <c r="AG299" s="89" t="n"/>
      <c r="AH299" s="89" t="n"/>
      <c r="AI299" s="89" t="n"/>
      <c r="AJ299" s="89" t="n"/>
      <c r="AK299" s="89" t="n"/>
      <c r="AL299" s="89" t="n"/>
      <c r="AM299" s="89" t="n"/>
      <c r="AN299" s="89" t="n"/>
      <c r="AO299" s="89" t="n">
        <v>16.25211</v>
      </c>
      <c r="AP299" s="89" t="n"/>
      <c r="AQ299" s="89" t="n"/>
      <c r="AR299" s="89" t="n"/>
      <c r="AS299" s="89" t="n"/>
      <c r="AT299" s="89" t="n"/>
      <c r="AU299" s="89" t="n"/>
      <c r="AV299" s="89" t="n"/>
      <c r="AW299" s="89" t="n"/>
      <c r="AX299" s="89" t="n"/>
      <c r="AY299" s="89" t="n"/>
    </row>
    <row r="300">
      <c r="A300" t="inlineStr">
        <is>
          <t>1943-11</t>
        </is>
      </c>
      <c r="B300" s="1" t="n">
        <v>16011</v>
      </c>
      <c r="C300" s="88" t="n">
        <v>300</v>
      </c>
      <c r="E300" s="1">
        <f>B300</f>
        <v/>
      </c>
      <c r="F300" s="2">
        <f>B300</f>
        <v/>
      </c>
      <c r="G300" s="88" t="n">
        <v>298</v>
      </c>
      <c r="H300" s="89" t="n"/>
      <c r="I300" s="89" t="n"/>
      <c r="J300" s="89" t="n"/>
      <c r="K300" s="89" t="n"/>
      <c r="L300" s="89" t="n"/>
      <c r="M300" s="89" t="n"/>
      <c r="N300" s="89" t="n"/>
      <c r="O300" s="89" t="n"/>
      <c r="P300" s="89" t="n"/>
      <c r="Q300" s="89" t="n"/>
      <c r="R300" s="89" t="n"/>
      <c r="S300" s="89" t="n"/>
      <c r="T300" s="89" t="n"/>
      <c r="U300" s="89" t="n"/>
      <c r="V300" s="89" t="n"/>
      <c r="W300" s="89" t="n"/>
      <c r="X300" s="89" t="n"/>
      <c r="Y300" s="89" t="n"/>
      <c r="Z300" s="89" t="n"/>
      <c r="AA300" s="89" t="n"/>
      <c r="AB300" s="89" t="n"/>
      <c r="AC300" s="89" t="n"/>
      <c r="AD300" s="89" t="n"/>
      <c r="AE300" s="89" t="n"/>
      <c r="AF300" s="89" t="n"/>
      <c r="AG300" s="89" t="n"/>
      <c r="AH300" s="89" t="n"/>
      <c r="AI300" s="89" t="n"/>
      <c r="AJ300" s="89" t="n"/>
      <c r="AK300" s="89" t="n"/>
      <c r="AL300" s="89" t="n"/>
      <c r="AM300" s="89" t="n"/>
      <c r="AN300" s="89" t="n"/>
      <c r="AO300" s="89" t="n">
        <v>16.46486</v>
      </c>
      <c r="AP300" s="89" t="n"/>
      <c r="AQ300" s="89" t="n"/>
      <c r="AR300" s="89" t="n"/>
      <c r="AS300" s="89" t="n"/>
      <c r="AT300" s="89" t="n"/>
      <c r="AU300" s="89" t="n"/>
      <c r="AV300" s="89" t="n"/>
      <c r="AW300" s="89" t="n"/>
      <c r="AX300" s="89" t="n"/>
      <c r="AY300" s="89" t="n"/>
    </row>
    <row r="301">
      <c r="A301" t="inlineStr">
        <is>
          <t>1943-12</t>
        </is>
      </c>
      <c r="B301" s="1" t="n">
        <v>16041</v>
      </c>
      <c r="C301" s="88" t="n">
        <v>301</v>
      </c>
      <c r="E301" s="1">
        <f>B301</f>
        <v/>
      </c>
      <c r="F301" s="2">
        <f>B301</f>
        <v/>
      </c>
      <c r="G301" s="88" t="n">
        <v>299</v>
      </c>
      <c r="H301" s="89" t="n"/>
      <c r="I301" s="89" t="n"/>
      <c r="J301" s="89" t="n"/>
      <c r="K301" s="89" t="n"/>
      <c r="L301" s="89" t="n"/>
      <c r="M301" s="89" t="n"/>
      <c r="N301" s="89" t="n"/>
      <c r="O301" s="89" t="n"/>
      <c r="P301" s="89" t="n"/>
      <c r="Q301" s="89" t="n"/>
      <c r="R301" s="89" t="n"/>
      <c r="S301" s="89" t="n"/>
      <c r="T301" s="89" t="n"/>
      <c r="U301" s="89" t="n"/>
      <c r="V301" s="89" t="n"/>
      <c r="W301" s="89" t="n"/>
      <c r="X301" s="89" t="n"/>
      <c r="Y301" s="89" t="n"/>
      <c r="Z301" s="89" t="n"/>
      <c r="AA301" s="89" t="n"/>
      <c r="AB301" s="89" t="n"/>
      <c r="AC301" s="89" t="n"/>
      <c r="AD301" s="89" t="n"/>
      <c r="AE301" s="89" t="n"/>
      <c r="AF301" s="89" t="n"/>
      <c r="AG301" s="89" t="n"/>
      <c r="AH301" s="89" t="n"/>
      <c r="AI301" s="89" t="n"/>
      <c r="AJ301" s="89" t="n"/>
      <c r="AK301" s="89" t="n"/>
      <c r="AL301" s="89" t="n"/>
      <c r="AM301" s="89" t="n"/>
      <c r="AN301" s="89" t="n"/>
      <c r="AO301" s="89" t="n">
        <v>16.25211</v>
      </c>
      <c r="AP301" s="89" t="n"/>
      <c r="AQ301" s="89" t="n"/>
      <c r="AR301" s="89" t="n"/>
      <c r="AS301" s="89" t="n"/>
      <c r="AT301" s="89" t="n"/>
      <c r="AU301" s="89" t="n"/>
      <c r="AV301" s="89" t="n"/>
      <c r="AW301" s="89" t="n"/>
      <c r="AX301" s="89" t="n"/>
      <c r="AY301" s="89" t="n"/>
    </row>
    <row r="302">
      <c r="A302" t="inlineStr">
        <is>
          <t>1944-01</t>
        </is>
      </c>
      <c r="B302" s="1" t="n">
        <v>16072</v>
      </c>
      <c r="C302" s="88" t="n">
        <v>302</v>
      </c>
      <c r="E302" s="1">
        <f>B302</f>
        <v/>
      </c>
      <c r="F302" s="2">
        <f>B302</f>
        <v/>
      </c>
      <c r="G302" s="88" t="n">
        <v>300</v>
      </c>
      <c r="H302" s="89" t="n"/>
      <c r="I302" s="89" t="n"/>
      <c r="J302" s="89" t="n"/>
      <c r="K302" s="89" t="n"/>
      <c r="L302" s="89" t="n"/>
      <c r="M302" s="89" t="n"/>
      <c r="N302" s="89" t="n"/>
      <c r="O302" s="89" t="n"/>
      <c r="P302" s="89" t="n"/>
      <c r="Q302" s="89" t="n"/>
      <c r="R302" s="89" t="n"/>
      <c r="S302" s="89" t="n"/>
      <c r="T302" s="89" t="n"/>
      <c r="U302" s="89" t="n"/>
      <c r="V302" s="89" t="n"/>
      <c r="W302" s="89" t="n"/>
      <c r="X302" s="89" t="n"/>
      <c r="Y302" s="89" t="n"/>
      <c r="Z302" s="89" t="n"/>
      <c r="AA302" s="89" t="n"/>
      <c r="AB302" s="89" t="n"/>
      <c r="AC302" s="89" t="n"/>
      <c r="AD302" s="89" t="n"/>
      <c r="AE302" s="89" t="n"/>
      <c r="AF302" s="89" t="n"/>
      <c r="AG302" s="89" t="n"/>
      <c r="AH302" s="89" t="n"/>
      <c r="AI302" s="89" t="n"/>
      <c r="AJ302" s="89" t="n"/>
      <c r="AK302" s="89" t="n"/>
      <c r="AL302" s="89" t="n"/>
      <c r="AM302" s="89" t="n"/>
      <c r="AN302" s="89" t="n"/>
      <c r="AO302" s="89" t="n">
        <v>16.43826</v>
      </c>
      <c r="AP302" s="89" t="n"/>
      <c r="AQ302" s="89" t="n"/>
      <c r="AR302" s="89" t="n"/>
      <c r="AS302" s="89" t="n"/>
      <c r="AT302" s="89" t="n"/>
      <c r="AU302" s="89" t="n"/>
      <c r="AV302" s="89" t="n"/>
      <c r="AW302" s="89" t="n"/>
      <c r="AX302" s="89" t="n"/>
      <c r="AY302" s="89" t="n"/>
    </row>
    <row r="303">
      <c r="A303" t="inlineStr">
        <is>
          <t>1944-02</t>
        </is>
      </c>
      <c r="B303" s="1" t="n">
        <v>16103</v>
      </c>
      <c r="C303" s="88" t="n">
        <v>303</v>
      </c>
      <c r="E303" s="1">
        <f>B303</f>
        <v/>
      </c>
      <c r="F303" s="2">
        <f>B303</f>
        <v/>
      </c>
      <c r="G303" s="88" t="n">
        <v>301</v>
      </c>
      <c r="H303" s="89" t="n"/>
      <c r="I303" s="89" t="n"/>
      <c r="J303" s="89" t="n"/>
      <c r="K303" s="89" t="n"/>
      <c r="L303" s="89" t="n"/>
      <c r="M303" s="89" t="n"/>
      <c r="N303" s="89" t="n"/>
      <c r="O303" s="89" t="n"/>
      <c r="P303" s="89" t="n"/>
      <c r="Q303" s="89" t="n"/>
      <c r="R303" s="89" t="n"/>
      <c r="S303" s="89" t="n"/>
      <c r="T303" s="89" t="n"/>
      <c r="U303" s="89" t="n"/>
      <c r="V303" s="89" t="n"/>
      <c r="W303" s="89" t="n"/>
      <c r="X303" s="89" t="n"/>
      <c r="Y303" s="89" t="n"/>
      <c r="Z303" s="89" t="n"/>
      <c r="AA303" s="89" t="n"/>
      <c r="AB303" s="89" t="n"/>
      <c r="AC303" s="89" t="n"/>
      <c r="AD303" s="89" t="n"/>
      <c r="AE303" s="89" t="n"/>
      <c r="AF303" s="89" t="n"/>
      <c r="AG303" s="89" t="n"/>
      <c r="AH303" s="89" t="n"/>
      <c r="AI303" s="89" t="n"/>
      <c r="AJ303" s="89" t="n"/>
      <c r="AK303" s="89" t="n"/>
      <c r="AL303" s="89" t="n"/>
      <c r="AM303" s="89" t="n"/>
      <c r="AN303" s="89" t="n"/>
      <c r="AO303" s="89" t="n">
        <v>16.57129</v>
      </c>
      <c r="AP303" s="89" t="n"/>
      <c r="AQ303" s="89" t="n"/>
      <c r="AR303" s="89" t="n"/>
      <c r="AS303" s="89" t="n"/>
      <c r="AT303" s="89" t="n"/>
      <c r="AU303" s="89" t="n"/>
      <c r="AV303" s="89" t="n"/>
      <c r="AW303" s="89" t="n"/>
      <c r="AX303" s="89" t="n"/>
      <c r="AY303" s="89" t="n"/>
    </row>
    <row r="304">
      <c r="A304" t="inlineStr">
        <is>
          <t>1944-03</t>
        </is>
      </c>
      <c r="B304" s="1" t="n">
        <v>16132</v>
      </c>
      <c r="C304" s="88" t="n">
        <v>304</v>
      </c>
      <c r="E304" s="1">
        <f>B304</f>
        <v/>
      </c>
      <c r="F304" s="2">
        <f>B304</f>
        <v/>
      </c>
      <c r="G304" s="88" t="n">
        <v>302</v>
      </c>
      <c r="H304" s="89" t="n"/>
      <c r="I304" s="89" t="n"/>
      <c r="J304" s="89" t="n"/>
      <c r="K304" s="89" t="n"/>
      <c r="L304" s="89" t="n"/>
      <c r="M304" s="89" t="n"/>
      <c r="N304" s="89" t="n"/>
      <c r="O304" s="89" t="n"/>
      <c r="P304" s="89" t="n"/>
      <c r="Q304" s="89" t="n"/>
      <c r="R304" s="89" t="n"/>
      <c r="S304" s="89" t="n"/>
      <c r="T304" s="89" t="n"/>
      <c r="U304" s="89" t="n"/>
      <c r="V304" s="89" t="n"/>
      <c r="W304" s="89" t="n"/>
      <c r="X304" s="89" t="n"/>
      <c r="Y304" s="89" t="n"/>
      <c r="Z304" s="89" t="n"/>
      <c r="AA304" s="89" t="n"/>
      <c r="AB304" s="89" t="n"/>
      <c r="AC304" s="89" t="n"/>
      <c r="AD304" s="89" t="n"/>
      <c r="AE304" s="89" t="n"/>
      <c r="AF304" s="89" t="n"/>
      <c r="AG304" s="89" t="n"/>
      <c r="AH304" s="89" t="n"/>
      <c r="AI304" s="89" t="n"/>
      <c r="AJ304" s="89" t="n"/>
      <c r="AK304" s="89" t="n"/>
      <c r="AL304" s="89" t="n"/>
      <c r="AM304" s="89" t="n"/>
      <c r="AN304" s="89" t="n"/>
      <c r="AO304" s="89" t="n">
        <v>16.54468</v>
      </c>
      <c r="AP304" s="89" t="n"/>
      <c r="AQ304" s="89" t="n"/>
      <c r="AR304" s="89" t="n"/>
      <c r="AS304" s="89" t="n"/>
      <c r="AT304" s="89" t="n"/>
      <c r="AU304" s="89" t="n"/>
      <c r="AV304" s="89" t="n"/>
      <c r="AW304" s="89" t="n"/>
      <c r="AX304" s="89" t="n"/>
      <c r="AY304" s="89" t="n"/>
    </row>
    <row r="305">
      <c r="A305" t="inlineStr">
        <is>
          <t>1944-04</t>
        </is>
      </c>
      <c r="B305" s="1" t="n">
        <v>16163</v>
      </c>
      <c r="C305" s="88" t="n">
        <v>305</v>
      </c>
      <c r="E305" s="1">
        <f>B305</f>
        <v/>
      </c>
      <c r="F305" s="2">
        <f>B305</f>
        <v/>
      </c>
      <c r="G305" s="88" t="n">
        <v>303</v>
      </c>
      <c r="H305" s="89" t="n"/>
      <c r="I305" s="89" t="n"/>
      <c r="J305" s="89" t="n"/>
      <c r="K305" s="89" t="n"/>
      <c r="L305" s="89" t="n"/>
      <c r="M305" s="89" t="n"/>
      <c r="N305" s="89" t="n"/>
      <c r="O305" s="89" t="n"/>
      <c r="P305" s="89" t="n"/>
      <c r="Q305" s="89" t="n"/>
      <c r="R305" s="89" t="n"/>
      <c r="S305" s="89" t="n"/>
      <c r="T305" s="89" t="n"/>
      <c r="U305" s="89" t="n"/>
      <c r="V305" s="89" t="n"/>
      <c r="W305" s="89" t="n"/>
      <c r="X305" s="89" t="n"/>
      <c r="Y305" s="89" t="n"/>
      <c r="Z305" s="89" t="n"/>
      <c r="AA305" s="89" t="n"/>
      <c r="AB305" s="89" t="n"/>
      <c r="AC305" s="89" t="n"/>
      <c r="AD305" s="89" t="n"/>
      <c r="AE305" s="89" t="n"/>
      <c r="AF305" s="89" t="n"/>
      <c r="AG305" s="89" t="n"/>
      <c r="AH305" s="89" t="n"/>
      <c r="AI305" s="89" t="n"/>
      <c r="AJ305" s="89" t="n"/>
      <c r="AK305" s="89" t="n"/>
      <c r="AL305" s="89" t="n"/>
      <c r="AM305" s="89" t="n"/>
      <c r="AN305" s="89" t="n"/>
      <c r="AO305" s="89" t="n">
        <v>16.54468</v>
      </c>
      <c r="AP305" s="89" t="n"/>
      <c r="AQ305" s="89" t="n"/>
      <c r="AR305" s="89" t="n"/>
      <c r="AS305" s="89" t="n"/>
      <c r="AT305" s="89" t="n"/>
      <c r="AU305" s="89" t="n"/>
      <c r="AV305" s="89" t="n"/>
      <c r="AW305" s="89" t="n"/>
      <c r="AX305" s="89" t="n"/>
      <c r="AY305" s="89" t="n"/>
    </row>
    <row r="306">
      <c r="A306" t="inlineStr">
        <is>
          <t>1944-05</t>
        </is>
      </c>
      <c r="B306" s="1" t="n">
        <v>16193</v>
      </c>
      <c r="C306" s="88" t="n">
        <v>306</v>
      </c>
      <c r="E306" s="1">
        <f>B306</f>
        <v/>
      </c>
      <c r="F306" s="2">
        <f>B306</f>
        <v/>
      </c>
      <c r="G306" s="88" t="n">
        <v>304</v>
      </c>
      <c r="H306" s="89" t="n"/>
      <c r="I306" s="89" t="n"/>
      <c r="J306" s="89" t="n"/>
      <c r="K306" s="89" t="n"/>
      <c r="L306" s="89" t="n"/>
      <c r="M306" s="89" t="n"/>
      <c r="N306" s="89" t="n"/>
      <c r="O306" s="89" t="n"/>
      <c r="P306" s="89" t="n"/>
      <c r="Q306" s="89" t="n"/>
      <c r="R306" s="89" t="n"/>
      <c r="S306" s="89" t="n"/>
      <c r="T306" s="89" t="n"/>
      <c r="U306" s="89" t="n"/>
      <c r="V306" s="89" t="n"/>
      <c r="W306" s="89" t="n"/>
      <c r="X306" s="89" t="n"/>
      <c r="Y306" s="89" t="n"/>
      <c r="Z306" s="89" t="n"/>
      <c r="AA306" s="89" t="n"/>
      <c r="AB306" s="89" t="n"/>
      <c r="AC306" s="89" t="n"/>
      <c r="AD306" s="89" t="n"/>
      <c r="AE306" s="89" t="n"/>
      <c r="AF306" s="89" t="n"/>
      <c r="AG306" s="89" t="n"/>
      <c r="AH306" s="89" t="n"/>
      <c r="AI306" s="89" t="n"/>
      <c r="AJ306" s="89" t="n"/>
      <c r="AK306" s="89" t="n"/>
      <c r="AL306" s="89" t="n"/>
      <c r="AM306" s="89" t="n"/>
      <c r="AN306" s="89" t="n"/>
      <c r="AO306" s="89" t="n">
        <v>16.43835</v>
      </c>
      <c r="AP306" s="89" t="n"/>
      <c r="AQ306" s="89" t="n"/>
      <c r="AR306" s="89" t="n"/>
      <c r="AS306" s="89" t="n"/>
      <c r="AT306" s="89" t="n"/>
      <c r="AU306" s="89" t="n"/>
      <c r="AV306" s="89" t="n"/>
      <c r="AW306" s="89" t="n"/>
      <c r="AX306" s="89" t="n"/>
      <c r="AY306" s="89" t="n"/>
    </row>
    <row r="307">
      <c r="A307" t="inlineStr">
        <is>
          <t>1944-06</t>
        </is>
      </c>
      <c r="B307" s="1" t="n">
        <v>16224</v>
      </c>
      <c r="C307" s="88" t="n">
        <v>307</v>
      </c>
      <c r="E307" s="1">
        <f>B307</f>
        <v/>
      </c>
      <c r="F307" s="2">
        <f>B307</f>
        <v/>
      </c>
      <c r="G307" s="88" t="n">
        <v>305</v>
      </c>
      <c r="H307" s="89" t="n"/>
      <c r="I307" s="89" t="n"/>
      <c r="J307" s="89" t="n"/>
      <c r="K307" s="89" t="n"/>
      <c r="L307" s="89" t="n"/>
      <c r="M307" s="89" t="n"/>
      <c r="N307" s="89" t="n"/>
      <c r="O307" s="89" t="n"/>
      <c r="P307" s="89" t="n"/>
      <c r="Q307" s="89" t="n"/>
      <c r="R307" s="89" t="n"/>
      <c r="S307" s="89" t="n"/>
      <c r="T307" s="89" t="n"/>
      <c r="U307" s="89" t="n"/>
      <c r="V307" s="89" t="n"/>
      <c r="W307" s="89" t="n"/>
      <c r="X307" s="89" t="n"/>
      <c r="Y307" s="89" t="n"/>
      <c r="Z307" s="89" t="n"/>
      <c r="AA307" s="89" t="n"/>
      <c r="AB307" s="89" t="n"/>
      <c r="AC307" s="89" t="n"/>
      <c r="AD307" s="89" t="n"/>
      <c r="AE307" s="89" t="n"/>
      <c r="AF307" s="89" t="n"/>
      <c r="AG307" s="89" t="n"/>
      <c r="AH307" s="89" t="n"/>
      <c r="AI307" s="89" t="n"/>
      <c r="AJ307" s="89" t="n"/>
      <c r="AK307" s="89" t="n"/>
      <c r="AL307" s="89" t="n"/>
      <c r="AM307" s="89" t="n"/>
      <c r="AN307" s="89" t="n"/>
      <c r="AO307" s="89" t="n">
        <v>16.38514</v>
      </c>
      <c r="AP307" s="89" t="n"/>
      <c r="AQ307" s="89" t="n"/>
      <c r="AR307" s="89" t="n"/>
      <c r="AS307" s="89" t="n"/>
      <c r="AT307" s="89" t="n"/>
      <c r="AU307" s="89" t="n"/>
      <c r="AV307" s="89" t="n"/>
      <c r="AW307" s="89" t="n"/>
      <c r="AX307" s="89" t="n"/>
      <c r="AY307" s="89" t="n"/>
    </row>
    <row r="308">
      <c r="A308" t="inlineStr">
        <is>
          <t>1944-07</t>
        </is>
      </c>
      <c r="B308" s="1" t="n">
        <v>16254</v>
      </c>
      <c r="C308" s="88" t="n">
        <v>308</v>
      </c>
      <c r="E308" s="1">
        <f>B308</f>
        <v/>
      </c>
      <c r="F308" s="2">
        <f>B308</f>
        <v/>
      </c>
      <c r="G308" s="88" t="n">
        <v>306</v>
      </c>
      <c r="H308" s="89" t="n"/>
      <c r="I308" s="89" t="n"/>
      <c r="J308" s="89" t="n"/>
      <c r="K308" s="89" t="n"/>
      <c r="L308" s="89" t="n"/>
      <c r="M308" s="89" t="n"/>
      <c r="N308" s="89" t="n"/>
      <c r="O308" s="89" t="n"/>
      <c r="P308" s="89" t="n"/>
      <c r="Q308" s="89" t="n"/>
      <c r="R308" s="89" t="n"/>
      <c r="S308" s="89" t="n"/>
      <c r="T308" s="89" t="n"/>
      <c r="U308" s="89" t="n"/>
      <c r="V308" s="89" t="n"/>
      <c r="W308" s="89" t="n"/>
      <c r="X308" s="89" t="n"/>
      <c r="Y308" s="89" t="n"/>
      <c r="Z308" s="89" t="n"/>
      <c r="AA308" s="89" t="n"/>
      <c r="AB308" s="89" t="n"/>
      <c r="AC308" s="89" t="n"/>
      <c r="AD308" s="89" t="n"/>
      <c r="AE308" s="89" t="n"/>
      <c r="AF308" s="89" t="n"/>
      <c r="AG308" s="89" t="n"/>
      <c r="AH308" s="89" t="n"/>
      <c r="AI308" s="89" t="n"/>
      <c r="AJ308" s="89" t="n"/>
      <c r="AK308" s="89" t="n"/>
      <c r="AL308" s="89" t="n"/>
      <c r="AM308" s="89" t="n"/>
      <c r="AN308" s="89" t="n"/>
      <c r="AO308" s="89" t="n">
        <v>16.35853</v>
      </c>
      <c r="AP308" s="89" t="n"/>
      <c r="AQ308" s="89" t="n"/>
      <c r="AR308" s="89" t="n"/>
      <c r="AS308" s="89" t="n"/>
      <c r="AT308" s="89" t="n"/>
      <c r="AU308" s="89" t="n"/>
      <c r="AV308" s="89" t="n"/>
      <c r="AW308" s="89" t="n"/>
      <c r="AX308" s="89" t="n"/>
      <c r="AY308" s="89" t="n"/>
    </row>
    <row r="309">
      <c r="A309" t="inlineStr">
        <is>
          <t>1944-08</t>
        </is>
      </c>
      <c r="B309" s="1" t="n">
        <v>16285</v>
      </c>
      <c r="C309" s="88" t="n">
        <v>309</v>
      </c>
      <c r="E309" s="1">
        <f>B309</f>
        <v/>
      </c>
      <c r="F309" s="2">
        <f>B309</f>
        <v/>
      </c>
      <c r="G309" s="88" t="n">
        <v>307</v>
      </c>
      <c r="H309" s="89" t="n"/>
      <c r="I309" s="89" t="n"/>
      <c r="J309" s="89" t="n"/>
      <c r="K309" s="89" t="n"/>
      <c r="L309" s="89" t="n"/>
      <c r="M309" s="89" t="n"/>
      <c r="N309" s="89" t="n"/>
      <c r="O309" s="89" t="n"/>
      <c r="P309" s="89" t="n"/>
      <c r="Q309" s="89" t="n"/>
      <c r="R309" s="89" t="n"/>
      <c r="S309" s="89" t="n"/>
      <c r="T309" s="89" t="n"/>
      <c r="U309" s="89" t="n"/>
      <c r="V309" s="89" t="n"/>
      <c r="W309" s="89" t="n"/>
      <c r="X309" s="89" t="n"/>
      <c r="Y309" s="89" t="n"/>
      <c r="Z309" s="89" t="n"/>
      <c r="AA309" s="89" t="n"/>
      <c r="AB309" s="89" t="n"/>
      <c r="AC309" s="89" t="n"/>
      <c r="AD309" s="89" t="n"/>
      <c r="AE309" s="89" t="n"/>
      <c r="AF309" s="89" t="n"/>
      <c r="AG309" s="89" t="n"/>
      <c r="AH309" s="89" t="n"/>
      <c r="AI309" s="89" t="n"/>
      <c r="AJ309" s="89" t="n"/>
      <c r="AK309" s="89" t="n"/>
      <c r="AL309" s="89" t="n"/>
      <c r="AM309" s="89" t="n"/>
      <c r="AN309" s="89" t="n"/>
      <c r="AO309" s="89" t="n">
        <v>16.57129</v>
      </c>
      <c r="AP309" s="89" t="n"/>
      <c r="AQ309" s="89" t="n"/>
      <c r="AR309" s="89" t="n"/>
      <c r="AS309" s="89" t="n"/>
      <c r="AT309" s="89" t="n"/>
      <c r="AU309" s="89" t="n"/>
      <c r="AV309" s="89" t="n"/>
      <c r="AW309" s="89" t="n"/>
      <c r="AX309" s="89" t="n"/>
      <c r="AY309" s="89" t="n"/>
    </row>
    <row r="310">
      <c r="A310" t="inlineStr">
        <is>
          <t>1944-09</t>
        </is>
      </c>
      <c r="B310" s="1" t="n">
        <v>16316</v>
      </c>
      <c r="C310" s="88" t="n">
        <v>310</v>
      </c>
      <c r="E310" s="1">
        <f>B310</f>
        <v/>
      </c>
      <c r="F310" s="2">
        <f>B310</f>
        <v/>
      </c>
      <c r="G310" s="88" t="n">
        <v>308</v>
      </c>
      <c r="H310" s="89" t="n"/>
      <c r="I310" s="89" t="n"/>
      <c r="J310" s="89" t="n"/>
      <c r="K310" s="89" t="n"/>
      <c r="L310" s="89" t="n"/>
      <c r="M310" s="89" t="n"/>
      <c r="N310" s="89" t="n"/>
      <c r="O310" s="89" t="n"/>
      <c r="P310" s="89" t="n"/>
      <c r="Q310" s="89" t="n"/>
      <c r="R310" s="89" t="n"/>
      <c r="S310" s="89" t="n"/>
      <c r="T310" s="89" t="n"/>
      <c r="U310" s="89" t="n"/>
      <c r="V310" s="89" t="n"/>
      <c r="W310" s="89" t="n"/>
      <c r="X310" s="89" t="n"/>
      <c r="Y310" s="89" t="n"/>
      <c r="Z310" s="89" t="n"/>
      <c r="AA310" s="89" t="n"/>
      <c r="AB310" s="89" t="n"/>
      <c r="AC310" s="89" t="n"/>
      <c r="AD310" s="89" t="n"/>
      <c r="AE310" s="89" t="n"/>
      <c r="AF310" s="89" t="n"/>
      <c r="AG310" s="89" t="n"/>
      <c r="AH310" s="89" t="n"/>
      <c r="AI310" s="89" t="n"/>
      <c r="AJ310" s="89" t="n"/>
      <c r="AK310" s="89" t="n"/>
      <c r="AL310" s="89" t="n"/>
      <c r="AM310" s="89" t="n"/>
      <c r="AN310" s="89" t="n"/>
      <c r="AO310" s="89" t="n">
        <v>16.46486</v>
      </c>
      <c r="AP310" s="89" t="n"/>
      <c r="AQ310" s="89" t="n"/>
      <c r="AR310" s="89" t="n"/>
      <c r="AS310" s="89" t="n"/>
      <c r="AT310" s="89" t="n"/>
      <c r="AU310" s="89" t="n"/>
      <c r="AV310" s="89" t="n"/>
      <c r="AW310" s="89" t="n"/>
      <c r="AX310" s="89" t="n"/>
      <c r="AY310" s="89" t="n"/>
    </row>
    <row r="311">
      <c r="A311" t="inlineStr">
        <is>
          <t>1944-10</t>
        </is>
      </c>
      <c r="B311" s="1" t="n">
        <v>16346</v>
      </c>
      <c r="C311" s="88" t="n">
        <v>311</v>
      </c>
      <c r="E311" s="1">
        <f>B311</f>
        <v/>
      </c>
      <c r="F311" s="2">
        <f>B311</f>
        <v/>
      </c>
      <c r="G311" s="88" t="n">
        <v>309</v>
      </c>
      <c r="H311" s="89" t="n"/>
      <c r="I311" s="89" t="n"/>
      <c r="J311" s="89" t="n"/>
      <c r="K311" s="89" t="n"/>
      <c r="L311" s="89" t="n"/>
      <c r="M311" s="89" t="n"/>
      <c r="N311" s="89" t="n"/>
      <c r="O311" s="89" t="n"/>
      <c r="P311" s="89" t="n"/>
      <c r="Q311" s="89" t="n"/>
      <c r="R311" s="89" t="n"/>
      <c r="S311" s="89" t="n"/>
      <c r="T311" s="89" t="n"/>
      <c r="U311" s="89" t="n"/>
      <c r="V311" s="89" t="n"/>
      <c r="W311" s="89" t="n"/>
      <c r="X311" s="89" t="n"/>
      <c r="Y311" s="89" t="n"/>
      <c r="Z311" s="89" t="n"/>
      <c r="AA311" s="89" t="n"/>
      <c r="AB311" s="89" t="n"/>
      <c r="AC311" s="89" t="n"/>
      <c r="AD311" s="89" t="n"/>
      <c r="AE311" s="89" t="n"/>
      <c r="AF311" s="89" t="n"/>
      <c r="AG311" s="89" t="n"/>
      <c r="AH311" s="89" t="n"/>
      <c r="AI311" s="89" t="n"/>
      <c r="AJ311" s="89" t="n"/>
      <c r="AK311" s="89" t="n"/>
      <c r="AL311" s="89" t="n"/>
      <c r="AM311" s="89" t="n"/>
      <c r="AN311" s="89" t="n"/>
      <c r="AO311" s="89" t="n">
        <v>16.51807</v>
      </c>
      <c r="AP311" s="89" t="n"/>
      <c r="AQ311" s="89" t="n"/>
      <c r="AR311" s="89" t="n"/>
      <c r="AS311" s="89" t="n"/>
      <c r="AT311" s="89" t="n"/>
      <c r="AU311" s="89" t="n"/>
      <c r="AV311" s="89" t="n"/>
      <c r="AW311" s="89" t="n"/>
      <c r="AX311" s="89" t="n"/>
      <c r="AY311" s="89" t="n"/>
    </row>
    <row r="312">
      <c r="A312" t="inlineStr">
        <is>
          <t>1944-11</t>
        </is>
      </c>
      <c r="B312" s="1" t="n">
        <v>16377</v>
      </c>
      <c r="C312" s="88" t="n">
        <v>312</v>
      </c>
      <c r="E312" s="1">
        <f>B312</f>
        <v/>
      </c>
      <c r="F312" s="2">
        <f>B312</f>
        <v/>
      </c>
      <c r="G312" s="88" t="n">
        <v>310</v>
      </c>
      <c r="H312" s="89" t="n"/>
      <c r="I312" s="89" t="n"/>
      <c r="J312" s="89" t="n"/>
      <c r="K312" s="89" t="n"/>
      <c r="L312" s="89" t="n"/>
      <c r="M312" s="89" t="n"/>
      <c r="N312" s="89" t="n"/>
      <c r="O312" s="89" t="n"/>
      <c r="P312" s="89" t="n"/>
      <c r="Q312" s="89" t="n"/>
      <c r="R312" s="89" t="n"/>
      <c r="S312" s="89" t="n"/>
      <c r="T312" s="89" t="n"/>
      <c r="U312" s="89" t="n"/>
      <c r="V312" s="89" t="n"/>
      <c r="W312" s="89" t="n"/>
      <c r="X312" s="89" t="n"/>
      <c r="Y312" s="89" t="n"/>
      <c r="Z312" s="89" t="n"/>
      <c r="AA312" s="89" t="n"/>
      <c r="AB312" s="89" t="n"/>
      <c r="AC312" s="89" t="n"/>
      <c r="AD312" s="89" t="n"/>
      <c r="AE312" s="89" t="n"/>
      <c r="AF312" s="89" t="n"/>
      <c r="AG312" s="89" t="n"/>
      <c r="AH312" s="89" t="n"/>
      <c r="AI312" s="89" t="n"/>
      <c r="AJ312" s="89" t="n"/>
      <c r="AK312" s="89" t="n"/>
      <c r="AL312" s="89" t="n"/>
      <c r="AM312" s="89" t="n"/>
      <c r="AN312" s="89" t="n"/>
      <c r="AO312" s="89" t="n">
        <v>16.38514</v>
      </c>
      <c r="AP312" s="89" t="n"/>
      <c r="AQ312" s="89" t="n"/>
      <c r="AR312" s="89" t="n"/>
      <c r="AS312" s="89" t="n"/>
      <c r="AT312" s="89" t="n"/>
      <c r="AU312" s="89" t="n"/>
      <c r="AV312" s="89" t="n"/>
      <c r="AW312" s="89" t="n"/>
      <c r="AX312" s="89" t="n"/>
      <c r="AY312" s="89" t="n"/>
    </row>
    <row r="313">
      <c r="A313" t="inlineStr">
        <is>
          <t>1944-12</t>
        </is>
      </c>
      <c r="B313" s="1" t="n">
        <v>16407</v>
      </c>
      <c r="C313" s="88" t="n">
        <v>313</v>
      </c>
      <c r="E313" s="1">
        <f>B313</f>
        <v/>
      </c>
      <c r="F313" s="2">
        <f>B313</f>
        <v/>
      </c>
      <c r="G313" s="88" t="n">
        <v>311</v>
      </c>
      <c r="H313" s="89" t="n"/>
      <c r="I313" s="89" t="n"/>
      <c r="J313" s="89" t="n"/>
      <c r="K313" s="89" t="n"/>
      <c r="L313" s="89" t="n"/>
      <c r="M313" s="89" t="n"/>
      <c r="N313" s="89" t="n"/>
      <c r="O313" s="89" t="n"/>
      <c r="P313" s="89" t="n"/>
      <c r="Q313" s="89" t="n"/>
      <c r="R313" s="89" t="n"/>
      <c r="S313" s="89" t="n"/>
      <c r="T313" s="89" t="n"/>
      <c r="U313" s="89" t="n"/>
      <c r="V313" s="89" t="n"/>
      <c r="W313" s="89" t="n"/>
      <c r="X313" s="89" t="n"/>
      <c r="Y313" s="89" t="n"/>
      <c r="Z313" s="89" t="n"/>
      <c r="AA313" s="89" t="n"/>
      <c r="AB313" s="89" t="n"/>
      <c r="AC313" s="89" t="n"/>
      <c r="AD313" s="89" t="n"/>
      <c r="AE313" s="89" t="n"/>
      <c r="AF313" s="89" t="n"/>
      <c r="AG313" s="89" t="n"/>
      <c r="AH313" s="89" t="n"/>
      <c r="AI313" s="89" t="n"/>
      <c r="AJ313" s="89" t="n"/>
      <c r="AK313" s="89" t="n"/>
      <c r="AL313" s="89" t="n"/>
      <c r="AM313" s="89" t="n"/>
      <c r="AN313" s="89" t="n"/>
      <c r="AO313" s="89" t="n">
        <v>16.33193</v>
      </c>
      <c r="AP313" s="89" t="n"/>
      <c r="AQ313" s="89" t="n"/>
      <c r="AR313" s="89" t="n"/>
      <c r="AS313" s="89" t="n"/>
      <c r="AT313" s="89" t="n"/>
      <c r="AU313" s="89" t="n"/>
      <c r="AV313" s="89" t="n"/>
      <c r="AW313" s="89" t="n"/>
      <c r="AX313" s="89" t="n"/>
      <c r="AY313" s="89" t="n"/>
    </row>
    <row r="314">
      <c r="A314" t="inlineStr">
        <is>
          <t>1945-01</t>
        </is>
      </c>
      <c r="B314" s="1" t="n">
        <v>16438</v>
      </c>
      <c r="C314" s="88" t="n">
        <v>314</v>
      </c>
      <c r="E314" s="1">
        <f>B314</f>
        <v/>
      </c>
      <c r="F314" s="2">
        <f>B314</f>
        <v/>
      </c>
      <c r="G314" s="88" t="n">
        <v>312</v>
      </c>
      <c r="H314" s="89" t="n"/>
      <c r="I314" s="89" t="n"/>
      <c r="J314" s="89" t="n"/>
      <c r="K314" s="89" t="n"/>
      <c r="L314" s="89" t="n"/>
      <c r="M314" s="89" t="n"/>
      <c r="N314" s="89" t="n"/>
      <c r="O314" s="89" t="n"/>
      <c r="P314" s="89" t="n"/>
      <c r="Q314" s="89" t="n"/>
      <c r="R314" s="89" t="n"/>
      <c r="S314" s="89" t="n"/>
      <c r="T314" s="89" t="n"/>
      <c r="U314" s="89" t="n"/>
      <c r="V314" s="89" t="n"/>
      <c r="W314" s="89" t="n"/>
      <c r="X314" s="89" t="n"/>
      <c r="Y314" s="89" t="n"/>
      <c r="Z314" s="89" t="n"/>
      <c r="AA314" s="89" t="n"/>
      <c r="AB314" s="89" t="n"/>
      <c r="AC314" s="89" t="n"/>
      <c r="AD314" s="89" t="n"/>
      <c r="AE314" s="89" t="n"/>
      <c r="AF314" s="89" t="n"/>
      <c r="AG314" s="89" t="n"/>
      <c r="AH314" s="89" t="n"/>
      <c r="AI314" s="89" t="n"/>
      <c r="AJ314" s="89" t="n"/>
      <c r="AK314" s="89" t="n"/>
      <c r="AL314" s="89" t="n"/>
      <c r="AM314" s="89" t="n"/>
      <c r="AN314" s="89" t="n"/>
      <c r="AO314" s="89" t="n">
        <v>16.17229</v>
      </c>
      <c r="AP314" s="89" t="n"/>
      <c r="AQ314" s="89" t="n"/>
      <c r="AR314" s="89" t="n"/>
      <c r="AS314" s="89" t="n"/>
      <c r="AT314" s="89" t="n"/>
      <c r="AU314" s="89" t="n"/>
      <c r="AV314" s="89" t="n"/>
      <c r="AW314" s="89" t="n"/>
      <c r="AX314" s="89" t="n"/>
      <c r="AY314" s="89" t="n"/>
    </row>
    <row r="315">
      <c r="A315" t="inlineStr">
        <is>
          <t>1945-02</t>
        </is>
      </c>
      <c r="B315" s="1" t="n">
        <v>16469</v>
      </c>
      <c r="C315" s="88" t="n">
        <v>315</v>
      </c>
      <c r="E315" s="1">
        <f>B315</f>
        <v/>
      </c>
      <c r="F315" s="2">
        <f>B315</f>
        <v/>
      </c>
      <c r="G315" s="88" t="n">
        <v>313</v>
      </c>
      <c r="H315" s="89" t="n"/>
      <c r="I315" s="89" t="n"/>
      <c r="J315" s="89" t="n"/>
      <c r="K315" s="89" t="n"/>
      <c r="L315" s="89" t="n"/>
      <c r="M315" s="89" t="n"/>
      <c r="N315" s="89" t="n"/>
      <c r="O315" s="89" t="n"/>
      <c r="P315" s="89" t="n"/>
      <c r="Q315" s="89" t="n"/>
      <c r="R315" s="89" t="n"/>
      <c r="S315" s="89" t="n"/>
      <c r="T315" s="89" t="n"/>
      <c r="U315" s="89" t="n"/>
      <c r="V315" s="89" t="n"/>
      <c r="W315" s="89" t="n"/>
      <c r="X315" s="89" t="n"/>
      <c r="Y315" s="89" t="n"/>
      <c r="Z315" s="89" t="n"/>
      <c r="AA315" s="89" t="n"/>
      <c r="AB315" s="89" t="n"/>
      <c r="AC315" s="89" t="n"/>
      <c r="AD315" s="89" t="n"/>
      <c r="AE315" s="89" t="n"/>
      <c r="AF315" s="89" t="n"/>
      <c r="AG315" s="89" t="n"/>
      <c r="AH315" s="89" t="n"/>
      <c r="AI315" s="89" t="n"/>
      <c r="AJ315" s="89" t="n"/>
      <c r="AK315" s="89" t="n"/>
      <c r="AL315" s="89" t="n"/>
      <c r="AM315" s="89" t="n"/>
      <c r="AN315" s="89" t="n"/>
      <c r="AO315" s="89" t="n">
        <v>16.11908</v>
      </c>
      <c r="AP315" s="89" t="n"/>
      <c r="AQ315" s="89" t="n"/>
      <c r="AR315" s="89" t="n"/>
      <c r="AS315" s="89" t="n"/>
      <c r="AT315" s="89" t="n"/>
      <c r="AU315" s="89" t="n"/>
      <c r="AV315" s="89" t="n"/>
      <c r="AW315" s="89" t="n"/>
      <c r="AX315" s="89" t="n"/>
      <c r="AY315" s="89" t="n"/>
    </row>
    <row r="316">
      <c r="A316" t="inlineStr">
        <is>
          <t>1945-03</t>
        </is>
      </c>
      <c r="B316" s="1" t="n">
        <v>16497</v>
      </c>
      <c r="C316" s="88" t="n">
        <v>316</v>
      </c>
      <c r="E316" s="1">
        <f>B316</f>
        <v/>
      </c>
      <c r="F316" s="2">
        <f>B316</f>
        <v/>
      </c>
      <c r="G316" s="88" t="n">
        <v>314</v>
      </c>
      <c r="H316" s="89" t="n"/>
      <c r="I316" s="89" t="n"/>
      <c r="J316" s="89" t="n"/>
      <c r="K316" s="89" t="n"/>
      <c r="L316" s="89" t="n"/>
      <c r="M316" s="89" t="n"/>
      <c r="N316" s="89" t="n"/>
      <c r="O316" s="89" t="n"/>
      <c r="P316" s="89" t="n"/>
      <c r="Q316" s="89" t="n"/>
      <c r="R316" s="89" t="n"/>
      <c r="S316" s="89" t="n"/>
      <c r="T316" s="89" t="n"/>
      <c r="U316" s="89" t="n"/>
      <c r="V316" s="89" t="n"/>
      <c r="W316" s="89" t="n"/>
      <c r="X316" s="89" t="n"/>
      <c r="Y316" s="89" t="n"/>
      <c r="Z316" s="89" t="n"/>
      <c r="AA316" s="89" t="n"/>
      <c r="AB316" s="89" t="n"/>
      <c r="AC316" s="89" t="n"/>
      <c r="AD316" s="89" t="n"/>
      <c r="AE316" s="89" t="n"/>
      <c r="AF316" s="89" t="n"/>
      <c r="AG316" s="89" t="n"/>
      <c r="AH316" s="89" t="n"/>
      <c r="AI316" s="89" t="n"/>
      <c r="AJ316" s="89" t="n"/>
      <c r="AK316" s="89" t="n"/>
      <c r="AL316" s="89" t="n"/>
      <c r="AM316" s="89" t="n"/>
      <c r="AN316" s="89" t="n"/>
      <c r="AO316" s="89" t="n">
        <v>16.01266</v>
      </c>
      <c r="AP316" s="89" t="n"/>
      <c r="AQ316" s="89" t="n"/>
      <c r="AR316" s="89" t="n"/>
      <c r="AS316" s="89" t="n"/>
      <c r="AT316" s="89" t="n"/>
      <c r="AU316" s="89" t="n"/>
      <c r="AV316" s="89" t="n"/>
      <c r="AW316" s="89" t="n"/>
      <c r="AX316" s="89" t="n"/>
      <c r="AY316" s="89" t="n"/>
    </row>
    <row r="317">
      <c r="A317" t="inlineStr">
        <is>
          <t>1945-04</t>
        </is>
      </c>
      <c r="B317" s="1" t="n">
        <v>16528</v>
      </c>
      <c r="C317" s="88" t="n">
        <v>317</v>
      </c>
      <c r="E317" s="1">
        <f>B317</f>
        <v/>
      </c>
      <c r="F317" s="2">
        <f>B317</f>
        <v/>
      </c>
      <c r="G317" s="88" t="n">
        <v>315</v>
      </c>
      <c r="H317" s="89" t="n"/>
      <c r="I317" s="89" t="n"/>
      <c r="J317" s="89" t="n"/>
      <c r="K317" s="89" t="n"/>
      <c r="L317" s="89" t="n"/>
      <c r="M317" s="89" t="n"/>
      <c r="N317" s="89" t="n"/>
      <c r="O317" s="89" t="n"/>
      <c r="P317" s="89" t="n"/>
      <c r="Q317" s="89" t="n"/>
      <c r="R317" s="89" t="n"/>
      <c r="S317" s="89" t="n"/>
      <c r="T317" s="89" t="n"/>
      <c r="U317" s="89" t="n"/>
      <c r="V317" s="89" t="n"/>
      <c r="W317" s="89" t="n"/>
      <c r="X317" s="89" t="n"/>
      <c r="Y317" s="89" t="n"/>
      <c r="Z317" s="89" t="n"/>
      <c r="AA317" s="89" t="n"/>
      <c r="AB317" s="89" t="n"/>
      <c r="AC317" s="89" t="n"/>
      <c r="AD317" s="89" t="n"/>
      <c r="AE317" s="89" t="n"/>
      <c r="AF317" s="89" t="n"/>
      <c r="AG317" s="89" t="n"/>
      <c r="AH317" s="89" t="n"/>
      <c r="AI317" s="89" t="n"/>
      <c r="AJ317" s="89" t="n"/>
      <c r="AK317" s="89" t="n"/>
      <c r="AL317" s="89" t="n"/>
      <c r="AM317" s="89" t="n"/>
      <c r="AN317" s="89" t="n"/>
      <c r="AO317" s="89" t="n">
        <v>15.72008</v>
      </c>
      <c r="AP317" s="89" t="n"/>
      <c r="AQ317" s="89" t="n"/>
      <c r="AR317" s="89" t="n"/>
      <c r="AS317" s="89" t="n"/>
      <c r="AT317" s="89" t="n"/>
      <c r="AU317" s="89" t="n"/>
      <c r="AV317" s="89" t="n"/>
      <c r="AW317" s="89" t="n"/>
      <c r="AX317" s="89" t="n"/>
      <c r="AY317" s="89" t="n"/>
    </row>
    <row r="318">
      <c r="A318" t="inlineStr">
        <is>
          <t>1945-05</t>
        </is>
      </c>
      <c r="B318" s="1" t="n">
        <v>16558</v>
      </c>
      <c r="C318" s="88" t="n">
        <v>318</v>
      </c>
      <c r="E318" s="1">
        <f>B318</f>
        <v/>
      </c>
      <c r="F318" s="2">
        <f>B318</f>
        <v/>
      </c>
      <c r="G318" s="88" t="n">
        <v>316</v>
      </c>
      <c r="H318" s="89" t="n"/>
      <c r="I318" s="89" t="n"/>
      <c r="J318" s="89" t="n"/>
      <c r="K318" s="89" t="n"/>
      <c r="L318" s="89" t="n"/>
      <c r="M318" s="89" t="n"/>
      <c r="N318" s="89" t="n"/>
      <c r="O318" s="89" t="n"/>
      <c r="P318" s="89" t="n"/>
      <c r="Q318" s="89" t="n"/>
      <c r="R318" s="89" t="n"/>
      <c r="S318" s="89" t="n"/>
      <c r="T318" s="89" t="n"/>
      <c r="U318" s="89" t="n"/>
      <c r="V318" s="89" t="n"/>
      <c r="W318" s="89" t="n"/>
      <c r="X318" s="89" t="n"/>
      <c r="Y318" s="89" t="n"/>
      <c r="Z318" s="89" t="n"/>
      <c r="AA318" s="89" t="n"/>
      <c r="AB318" s="89" t="n"/>
      <c r="AC318" s="89" t="n"/>
      <c r="AD318" s="89" t="n"/>
      <c r="AE318" s="89" t="n"/>
      <c r="AF318" s="89" t="n"/>
      <c r="AG318" s="89" t="n"/>
      <c r="AH318" s="89" t="n"/>
      <c r="AI318" s="89" t="n"/>
      <c r="AJ318" s="89" t="n"/>
      <c r="AK318" s="89" t="n"/>
      <c r="AL318" s="89" t="n"/>
      <c r="AM318" s="89" t="n"/>
      <c r="AN318" s="89" t="n"/>
      <c r="AO318" s="89" t="n">
        <v>15.29458</v>
      </c>
      <c r="AP318" s="89" t="n"/>
      <c r="AQ318" s="89" t="n"/>
      <c r="AR318" s="89" t="n"/>
      <c r="AS318" s="89" t="n"/>
      <c r="AT318" s="89" t="n"/>
      <c r="AU318" s="89" t="n"/>
      <c r="AV318" s="89" t="n"/>
      <c r="AW318" s="89" t="n"/>
      <c r="AX318" s="89" t="n"/>
      <c r="AY318" s="89" t="n"/>
    </row>
    <row r="319">
      <c r="A319" t="inlineStr">
        <is>
          <t>1945-06</t>
        </is>
      </c>
      <c r="B319" s="1" t="n">
        <v>16589</v>
      </c>
      <c r="C319" s="88" t="n">
        <v>319</v>
      </c>
      <c r="E319" s="1">
        <f>B319</f>
        <v/>
      </c>
      <c r="F319" s="2">
        <f>B319</f>
        <v/>
      </c>
      <c r="G319" s="88" t="n">
        <v>317</v>
      </c>
      <c r="H319" s="89" t="n"/>
      <c r="I319" s="89" t="n"/>
      <c r="J319" s="89" t="n"/>
      <c r="K319" s="89" t="n"/>
      <c r="L319" s="89" t="n"/>
      <c r="M319" s="89" t="n"/>
      <c r="N319" s="89" t="n"/>
      <c r="O319" s="89" t="n"/>
      <c r="P319" s="89" t="n"/>
      <c r="Q319" s="89" t="n"/>
      <c r="R319" s="89" t="n"/>
      <c r="S319" s="89" t="n"/>
      <c r="T319" s="89" t="n"/>
      <c r="U319" s="89" t="n"/>
      <c r="V319" s="89" t="n"/>
      <c r="W319" s="89" t="n"/>
      <c r="X319" s="89" t="n"/>
      <c r="Y319" s="89" t="n"/>
      <c r="Z319" s="89" t="n"/>
      <c r="AA319" s="89" t="n"/>
      <c r="AB319" s="89" t="n"/>
      <c r="AC319" s="89" t="n"/>
      <c r="AD319" s="89" t="n"/>
      <c r="AE319" s="89" t="n"/>
      <c r="AF319" s="89" t="n"/>
      <c r="AG319" s="89" t="n"/>
      <c r="AH319" s="89" t="n"/>
      <c r="AI319" s="89" t="n"/>
      <c r="AJ319" s="89" t="n"/>
      <c r="AK319" s="89" t="n"/>
      <c r="AL319" s="89" t="n"/>
      <c r="AM319" s="89" t="n"/>
      <c r="AN319" s="89" t="n"/>
      <c r="AO319" s="89" t="n">
        <v>14.9487</v>
      </c>
      <c r="AP319" s="89" t="n"/>
      <c r="AQ319" s="89" t="n"/>
      <c r="AR319" s="89" t="n"/>
      <c r="AS319" s="89" t="n"/>
      <c r="AT319" s="89" t="n"/>
      <c r="AU319" s="89" t="n"/>
      <c r="AV319" s="89" t="n"/>
      <c r="AW319" s="89" t="n"/>
      <c r="AX319" s="89" t="n"/>
      <c r="AY319" s="89" t="n"/>
    </row>
    <row r="320">
      <c r="A320" t="inlineStr">
        <is>
          <t>1945-07</t>
        </is>
      </c>
      <c r="B320" s="1" t="n">
        <v>16619</v>
      </c>
      <c r="C320" s="88" t="n">
        <v>320</v>
      </c>
      <c r="E320" s="1">
        <f>B320</f>
        <v/>
      </c>
      <c r="F320" s="2">
        <f>B320</f>
        <v/>
      </c>
      <c r="G320" s="88" t="n">
        <v>318</v>
      </c>
      <c r="H320" s="89" t="n"/>
      <c r="I320" s="89" t="n"/>
      <c r="J320" s="89" t="n"/>
      <c r="K320" s="89" t="n"/>
      <c r="L320" s="89" t="n"/>
      <c r="M320" s="89" t="n"/>
      <c r="N320" s="89" t="n"/>
      <c r="O320" s="89" t="n"/>
      <c r="P320" s="89" t="n"/>
      <c r="Q320" s="89" t="n"/>
      <c r="R320" s="89" t="n"/>
      <c r="S320" s="89" t="n"/>
      <c r="T320" s="89" t="n"/>
      <c r="U320" s="89" t="n"/>
      <c r="V320" s="89" t="n"/>
      <c r="W320" s="89" t="n"/>
      <c r="X320" s="89" t="n"/>
      <c r="Y320" s="89" t="n"/>
      <c r="Z320" s="89" t="n"/>
      <c r="AA320" s="89" t="n"/>
      <c r="AB320" s="89" t="n"/>
      <c r="AC320" s="89" t="n"/>
      <c r="AD320" s="89" t="n"/>
      <c r="AE320" s="89" t="n"/>
      <c r="AF320" s="89" t="n"/>
      <c r="AG320" s="89" t="n"/>
      <c r="AH320" s="89" t="n"/>
      <c r="AI320" s="89" t="n"/>
      <c r="AJ320" s="89" t="n"/>
      <c r="AK320" s="89" t="n"/>
      <c r="AL320" s="89" t="n"/>
      <c r="AM320" s="89" t="n"/>
      <c r="AN320" s="89" t="n"/>
      <c r="AO320" s="89" t="n">
        <v>14.60301</v>
      </c>
      <c r="AP320" s="89" t="n"/>
      <c r="AQ320" s="89" t="n"/>
      <c r="AR320" s="89" t="n"/>
      <c r="AS320" s="89" t="n"/>
      <c r="AT320" s="89" t="n"/>
      <c r="AU320" s="89" t="n"/>
      <c r="AV320" s="89" t="n"/>
      <c r="AW320" s="89" t="n"/>
      <c r="AX320" s="89" t="n"/>
      <c r="AY320" s="89" t="n"/>
    </row>
    <row r="321">
      <c r="A321" t="inlineStr">
        <is>
          <t>1945-08</t>
        </is>
      </c>
      <c r="B321" s="1" t="n">
        <v>16650</v>
      </c>
      <c r="C321" s="88" t="n">
        <v>321</v>
      </c>
      <c r="E321" s="1">
        <f>B321</f>
        <v/>
      </c>
      <c r="F321" s="2">
        <f>B321</f>
        <v/>
      </c>
      <c r="G321" s="88" t="n">
        <v>319</v>
      </c>
      <c r="H321" s="89" t="n"/>
      <c r="I321" s="89" t="n"/>
      <c r="J321" s="89" t="n"/>
      <c r="K321" s="89" t="n"/>
      <c r="L321" s="89" t="n"/>
      <c r="M321" s="89" t="n"/>
      <c r="N321" s="89" t="n"/>
      <c r="O321" s="89" t="n"/>
      <c r="P321" s="89" t="n"/>
      <c r="Q321" s="89" t="n"/>
      <c r="R321" s="89" t="n"/>
      <c r="S321" s="89" t="n"/>
      <c r="T321" s="89" t="n"/>
      <c r="U321" s="89" t="n"/>
      <c r="V321" s="89" t="n"/>
      <c r="W321" s="89" t="n"/>
      <c r="X321" s="89" t="n"/>
      <c r="Y321" s="89" t="n"/>
      <c r="Z321" s="89" t="n"/>
      <c r="AA321" s="89" t="n"/>
      <c r="AB321" s="89" t="n"/>
      <c r="AC321" s="89" t="n"/>
      <c r="AD321" s="89" t="n"/>
      <c r="AE321" s="89" t="n"/>
      <c r="AF321" s="89" t="n"/>
      <c r="AG321" s="89" t="n"/>
      <c r="AH321" s="89" t="n"/>
      <c r="AI321" s="89" t="n"/>
      <c r="AJ321" s="89" t="n"/>
      <c r="AK321" s="89" t="n"/>
      <c r="AL321" s="89" t="n"/>
      <c r="AM321" s="89" t="n"/>
      <c r="AN321" s="89" t="n"/>
      <c r="AO321" s="89" t="n">
        <v>13.08685</v>
      </c>
      <c r="AP321" s="89" t="n"/>
      <c r="AQ321" s="89" t="n"/>
      <c r="AR321" s="89" t="n"/>
      <c r="AS321" s="89" t="n"/>
      <c r="AT321" s="89" t="n"/>
      <c r="AU321" s="89" t="n"/>
      <c r="AV321" s="89" t="n"/>
      <c r="AW321" s="89" t="n"/>
      <c r="AX321" s="89" t="n"/>
      <c r="AY321" s="89" t="n"/>
    </row>
    <row r="322">
      <c r="A322" t="inlineStr">
        <is>
          <t>1945-09</t>
        </is>
      </c>
      <c r="B322" s="1" t="n">
        <v>16681</v>
      </c>
      <c r="C322" s="88" t="n">
        <v>322</v>
      </c>
      <c r="E322" s="1">
        <f>B322</f>
        <v/>
      </c>
      <c r="F322" s="2">
        <f>B322</f>
        <v/>
      </c>
      <c r="G322" s="88" t="n">
        <v>320</v>
      </c>
      <c r="H322" s="89" t="n"/>
      <c r="I322" s="89" t="n"/>
      <c r="J322" s="89" t="n"/>
      <c r="K322" s="89" t="n"/>
      <c r="L322" s="89" t="n"/>
      <c r="M322" s="89" t="n"/>
      <c r="N322" s="89" t="n"/>
      <c r="O322" s="89" t="n"/>
      <c r="P322" s="89" t="n"/>
      <c r="Q322" s="89" t="n"/>
      <c r="R322" s="89" t="n"/>
      <c r="S322" s="89" t="n"/>
      <c r="T322" s="89" t="n"/>
      <c r="U322" s="89" t="n"/>
      <c r="V322" s="89" t="n"/>
      <c r="W322" s="89" t="n"/>
      <c r="X322" s="89" t="n"/>
      <c r="Y322" s="89" t="n"/>
      <c r="Z322" s="89" t="n"/>
      <c r="AA322" s="89" t="n"/>
      <c r="AB322" s="89" t="n"/>
      <c r="AC322" s="89" t="n"/>
      <c r="AD322" s="89" t="n"/>
      <c r="AE322" s="89" t="n"/>
      <c r="AF322" s="89" t="n"/>
      <c r="AG322" s="89" t="n"/>
      <c r="AH322" s="89" t="n"/>
      <c r="AI322" s="89" t="n"/>
      <c r="AJ322" s="89" t="n"/>
      <c r="AK322" s="89" t="n"/>
      <c r="AL322" s="89" t="n"/>
      <c r="AM322" s="89" t="n"/>
      <c r="AN322" s="89" t="n"/>
      <c r="AO322" s="89" t="n">
        <v>11.91647</v>
      </c>
      <c r="AP322" s="89" t="n"/>
      <c r="AQ322" s="89" t="n"/>
      <c r="AR322" s="89" t="n"/>
      <c r="AS322" s="89" t="n"/>
      <c r="AT322" s="89" t="n"/>
      <c r="AU322" s="89" t="n"/>
      <c r="AV322" s="89" t="n"/>
      <c r="AW322" s="89" t="n"/>
      <c r="AX322" s="89" t="n"/>
      <c r="AY322" s="89" t="n"/>
    </row>
    <row r="323">
      <c r="A323" t="inlineStr">
        <is>
          <t>1945-10</t>
        </is>
      </c>
      <c r="B323" s="1" t="n">
        <v>16711</v>
      </c>
      <c r="C323" s="88" t="n">
        <v>323</v>
      </c>
      <c r="E323" s="1">
        <f>B323</f>
        <v/>
      </c>
      <c r="F323" s="2">
        <f>B323</f>
        <v/>
      </c>
      <c r="G323" s="88" t="n">
        <v>321</v>
      </c>
      <c r="H323" s="89" t="n"/>
      <c r="I323" s="89" t="n"/>
      <c r="J323" s="89" t="n"/>
      <c r="K323" s="89" t="n"/>
      <c r="L323" s="89" t="n"/>
      <c r="M323" s="89" t="n"/>
      <c r="N323" s="89" t="n"/>
      <c r="O323" s="89" t="n"/>
      <c r="P323" s="89" t="n"/>
      <c r="Q323" s="89" t="n"/>
      <c r="R323" s="89" t="n"/>
      <c r="S323" s="89" t="n"/>
      <c r="T323" s="89" t="n"/>
      <c r="U323" s="89" t="n"/>
      <c r="V323" s="89" t="n"/>
      <c r="W323" s="89" t="n"/>
      <c r="X323" s="89" t="n"/>
      <c r="Y323" s="89" t="n"/>
      <c r="Z323" s="89" t="n"/>
      <c r="AA323" s="89" t="n"/>
      <c r="AB323" s="89" t="n"/>
      <c r="AC323" s="89" t="n"/>
      <c r="AD323" s="89" t="n"/>
      <c r="AE323" s="89" t="n"/>
      <c r="AF323" s="89" t="n"/>
      <c r="AG323" s="89" t="n"/>
      <c r="AH323" s="89" t="n"/>
      <c r="AI323" s="89" t="n"/>
      <c r="AJ323" s="89" t="n"/>
      <c r="AK323" s="89" t="n"/>
      <c r="AL323" s="89" t="n"/>
      <c r="AM323" s="89" t="n"/>
      <c r="AN323" s="89" t="n"/>
      <c r="AO323" s="89" t="n">
        <v>11.43765</v>
      </c>
      <c r="AP323" s="89" t="n"/>
      <c r="AQ323" s="89" t="n"/>
      <c r="AR323" s="89" t="n"/>
      <c r="AS323" s="89" t="n"/>
      <c r="AT323" s="89" t="n"/>
      <c r="AU323" s="89" t="n"/>
      <c r="AV323" s="89" t="n"/>
      <c r="AW323" s="89" t="n"/>
      <c r="AX323" s="89" t="n"/>
      <c r="AY323" s="89" t="n"/>
    </row>
    <row r="324">
      <c r="A324" t="inlineStr">
        <is>
          <t>1945-11</t>
        </is>
      </c>
      <c r="B324" s="1" t="n">
        <v>16742</v>
      </c>
      <c r="C324" s="88" t="n">
        <v>324</v>
      </c>
      <c r="E324" s="1">
        <f>B324</f>
        <v/>
      </c>
      <c r="F324" s="2">
        <f>B324</f>
        <v/>
      </c>
      <c r="G324" s="88" t="n">
        <v>322</v>
      </c>
      <c r="H324" s="89" t="n"/>
      <c r="I324" s="89" t="n"/>
      <c r="J324" s="89" t="n"/>
      <c r="K324" s="89" t="n"/>
      <c r="L324" s="89" t="n"/>
      <c r="M324" s="89" t="n"/>
      <c r="N324" s="89" t="n"/>
      <c r="O324" s="89" t="n"/>
      <c r="P324" s="89" t="n"/>
      <c r="Q324" s="89" t="n"/>
      <c r="R324" s="89" t="n"/>
      <c r="S324" s="89" t="n"/>
      <c r="T324" s="89" t="n"/>
      <c r="U324" s="89" t="n"/>
      <c r="V324" s="89" t="n"/>
      <c r="W324" s="89" t="n"/>
      <c r="X324" s="89" t="n"/>
      <c r="Y324" s="89" t="n"/>
      <c r="Z324" s="89" t="n"/>
      <c r="AA324" s="89" t="n"/>
      <c r="AB324" s="89" t="n"/>
      <c r="AC324" s="89" t="n"/>
      <c r="AD324" s="89" t="n"/>
      <c r="AE324" s="89" t="n"/>
      <c r="AF324" s="89" t="n"/>
      <c r="AG324" s="89" t="n"/>
      <c r="AH324" s="89" t="n"/>
      <c r="AI324" s="89" t="n"/>
      <c r="AJ324" s="89" t="n"/>
      <c r="AK324" s="89" t="n"/>
      <c r="AL324" s="89" t="n"/>
      <c r="AM324" s="89" t="n"/>
      <c r="AN324" s="89" t="n"/>
      <c r="AO324" s="89" t="n">
        <v>11.86325</v>
      </c>
      <c r="AP324" s="89" t="n"/>
      <c r="AQ324" s="89" t="n"/>
      <c r="AR324" s="89" t="n"/>
      <c r="AS324" s="89" t="n"/>
      <c r="AT324" s="89" t="n"/>
      <c r="AU324" s="89" t="n"/>
      <c r="AV324" s="89" t="n"/>
      <c r="AW324" s="89" t="n"/>
      <c r="AX324" s="89" t="n"/>
      <c r="AY324" s="89" t="n"/>
    </row>
    <row r="325">
      <c r="A325" t="inlineStr">
        <is>
          <t>1945-12</t>
        </is>
      </c>
      <c r="B325" s="1" t="n">
        <v>16772</v>
      </c>
      <c r="C325" s="88" t="n">
        <v>325</v>
      </c>
      <c r="E325" s="1">
        <f>B325</f>
        <v/>
      </c>
      <c r="F325" s="2">
        <f>B325</f>
        <v/>
      </c>
      <c r="G325" s="88" t="n">
        <v>323</v>
      </c>
      <c r="H325" s="89" t="n"/>
      <c r="I325" s="89" t="n"/>
      <c r="J325" s="89" t="n"/>
      <c r="K325" s="89" t="n"/>
      <c r="L325" s="89" t="n"/>
      <c r="M325" s="89" t="n"/>
      <c r="N325" s="89" t="n"/>
      <c r="O325" s="89" t="n"/>
      <c r="P325" s="89" t="n"/>
      <c r="Q325" s="89" t="n"/>
      <c r="R325" s="89" t="n"/>
      <c r="S325" s="89" t="n"/>
      <c r="T325" s="89" t="n"/>
      <c r="U325" s="89" t="n"/>
      <c r="V325" s="89" t="n"/>
      <c r="W325" s="89" t="n"/>
      <c r="X325" s="89" t="n"/>
      <c r="Y325" s="89" t="n"/>
      <c r="Z325" s="89" t="n"/>
      <c r="AA325" s="89" t="n"/>
      <c r="AB325" s="89" t="n"/>
      <c r="AC325" s="89" t="n"/>
      <c r="AD325" s="89" t="n"/>
      <c r="AE325" s="89" t="n"/>
      <c r="AF325" s="89" t="n"/>
      <c r="AG325" s="89" t="n"/>
      <c r="AH325" s="89" t="n"/>
      <c r="AI325" s="89" t="n"/>
      <c r="AJ325" s="89" t="n"/>
      <c r="AK325" s="89" t="n"/>
      <c r="AL325" s="89" t="n"/>
      <c r="AM325" s="89" t="n"/>
      <c r="AN325" s="89" t="n"/>
      <c r="AO325" s="89" t="n">
        <v>11.91647</v>
      </c>
      <c r="AP325" s="89" t="n"/>
      <c r="AQ325" s="89" t="n"/>
      <c r="AR325" s="89" t="n"/>
      <c r="AS325" s="89" t="n"/>
      <c r="AT325" s="89" t="n"/>
      <c r="AU325" s="89" t="n"/>
      <c r="AV325" s="89" t="n"/>
      <c r="AW325" s="89" t="n"/>
      <c r="AX325" s="89" t="n"/>
      <c r="AY325" s="89" t="n"/>
    </row>
    <row r="326">
      <c r="A326" t="inlineStr">
        <is>
          <t>1946-01</t>
        </is>
      </c>
      <c r="B326" s="1" t="n">
        <v>16803</v>
      </c>
      <c r="C326" s="88" t="n">
        <v>326</v>
      </c>
      <c r="E326" s="1">
        <f>B326</f>
        <v/>
      </c>
      <c r="F326" s="2">
        <f>B326</f>
        <v/>
      </c>
      <c r="G326" s="88" t="n">
        <v>324</v>
      </c>
      <c r="H326" s="89" t="n"/>
      <c r="I326" s="89" t="n"/>
      <c r="J326" s="89" t="n"/>
      <c r="K326" s="89" t="n"/>
      <c r="L326" s="89" t="n"/>
      <c r="M326" s="89" t="n"/>
      <c r="N326" s="89" t="n"/>
      <c r="O326" s="89" t="n"/>
      <c r="P326" s="89" t="n"/>
      <c r="Q326" s="89" t="n"/>
      <c r="R326" s="89" t="n"/>
      <c r="S326" s="89" t="n"/>
      <c r="T326" s="89" t="n"/>
      <c r="U326" s="89" t="n"/>
      <c r="V326" s="89" t="n"/>
      <c r="W326" s="89" t="n"/>
      <c r="X326" s="89" t="n"/>
      <c r="Y326" s="89" t="n"/>
      <c r="Z326" s="89" t="n"/>
      <c r="AA326" s="89" t="n"/>
      <c r="AB326" s="89" t="n"/>
      <c r="AC326" s="89" t="n"/>
      <c r="AD326" s="89" t="n"/>
      <c r="AE326" s="89" t="n"/>
      <c r="AF326" s="89" t="n"/>
      <c r="AG326" s="89" t="n"/>
      <c r="AH326" s="89" t="n"/>
      <c r="AI326" s="89" t="n"/>
      <c r="AJ326" s="89" t="n"/>
      <c r="AK326" s="89" t="n"/>
      <c r="AL326" s="89" t="n"/>
      <c r="AM326" s="89" t="n"/>
      <c r="AN326" s="89" t="n"/>
      <c r="AO326" s="89" t="n">
        <v>11.25141</v>
      </c>
      <c r="AP326" s="89" t="n"/>
      <c r="AQ326" s="89" t="n"/>
      <c r="AR326" s="89" t="n"/>
      <c r="AS326" s="89" t="n"/>
      <c r="AT326" s="89" t="n"/>
      <c r="AU326" s="89" t="n"/>
      <c r="AV326" s="89" t="n"/>
      <c r="AW326" s="89" t="n"/>
      <c r="AX326" s="89" t="n"/>
      <c r="AY326" s="89" t="n"/>
    </row>
    <row r="327">
      <c r="A327" t="inlineStr">
        <is>
          <t>1946-02</t>
        </is>
      </c>
      <c r="B327" s="1" t="n">
        <v>16834</v>
      </c>
      <c r="C327" s="88" t="n">
        <v>327</v>
      </c>
      <c r="E327" s="1">
        <f>B327</f>
        <v/>
      </c>
      <c r="F327" s="2">
        <f>B327</f>
        <v/>
      </c>
      <c r="G327" s="88" t="n">
        <v>325</v>
      </c>
      <c r="H327" s="89" t="n"/>
      <c r="I327" s="89" t="n"/>
      <c r="J327" s="89" t="n"/>
      <c r="K327" s="89" t="n"/>
      <c r="L327" s="89" t="n"/>
      <c r="M327" s="89" t="n"/>
      <c r="N327" s="89" t="n"/>
      <c r="O327" s="89" t="n"/>
      <c r="P327" s="89" t="n"/>
      <c r="Q327" s="89" t="n"/>
      <c r="R327" s="89" t="n"/>
      <c r="S327" s="89" t="n"/>
      <c r="T327" s="89" t="n"/>
      <c r="U327" s="89" t="n"/>
      <c r="V327" s="89" t="n"/>
      <c r="W327" s="89" t="n"/>
      <c r="X327" s="89" t="n"/>
      <c r="Y327" s="89" t="n"/>
      <c r="Z327" s="89" t="n"/>
      <c r="AA327" s="89" t="n"/>
      <c r="AB327" s="89" t="n"/>
      <c r="AC327" s="89" t="n"/>
      <c r="AD327" s="89" t="n"/>
      <c r="AE327" s="89" t="n"/>
      <c r="AF327" s="89" t="n"/>
      <c r="AG327" s="89" t="n"/>
      <c r="AH327" s="89" t="n"/>
      <c r="AI327" s="89" t="n"/>
      <c r="AJ327" s="89" t="n"/>
      <c r="AK327" s="89" t="n"/>
      <c r="AL327" s="89" t="n"/>
      <c r="AM327" s="89" t="n"/>
      <c r="AN327" s="89" t="n"/>
      <c r="AO327" s="89" t="n">
        <v>10.69287</v>
      </c>
      <c r="AP327" s="89" t="n"/>
      <c r="AQ327" s="89" t="n"/>
      <c r="AR327" s="89" t="n"/>
      <c r="AS327" s="89" t="n"/>
      <c r="AT327" s="89" t="n"/>
      <c r="AU327" s="89" t="n"/>
      <c r="AV327" s="89" t="n"/>
      <c r="AW327" s="89" t="n"/>
      <c r="AX327" s="89" t="n"/>
      <c r="AY327" s="89" t="n"/>
    </row>
    <row r="328">
      <c r="A328" t="inlineStr">
        <is>
          <t>1946-03</t>
        </is>
      </c>
      <c r="B328" s="1" t="n">
        <v>16862</v>
      </c>
      <c r="C328" s="88" t="n">
        <v>328</v>
      </c>
      <c r="E328" s="1">
        <f>B328</f>
        <v/>
      </c>
      <c r="F328" s="2">
        <f>B328</f>
        <v/>
      </c>
      <c r="G328" s="88" t="n">
        <v>326</v>
      </c>
      <c r="H328" s="89" t="n"/>
      <c r="I328" s="89" t="n"/>
      <c r="J328" s="89" t="n"/>
      <c r="K328" s="89" t="n"/>
      <c r="L328" s="89" t="n"/>
      <c r="M328" s="89" t="n"/>
      <c r="N328" s="89" t="n"/>
      <c r="O328" s="89" t="n"/>
      <c r="P328" s="89" t="n"/>
      <c r="Q328" s="89" t="n"/>
      <c r="R328" s="89" t="n"/>
      <c r="S328" s="89" t="n"/>
      <c r="T328" s="89" t="n"/>
      <c r="U328" s="89" t="n"/>
      <c r="V328" s="89" t="n"/>
      <c r="W328" s="89" t="n"/>
      <c r="X328" s="89" t="n"/>
      <c r="Y328" s="89" t="n"/>
      <c r="Z328" s="89" t="n"/>
      <c r="AA328" s="89" t="n"/>
      <c r="AB328" s="89" t="n"/>
      <c r="AC328" s="89" t="n"/>
      <c r="AD328" s="89" t="n"/>
      <c r="AE328" s="89" t="n"/>
      <c r="AF328" s="89" t="n"/>
      <c r="AG328" s="89" t="n"/>
      <c r="AH328" s="89" t="n"/>
      <c r="AI328" s="89" t="n"/>
      <c r="AJ328" s="89" t="n"/>
      <c r="AK328" s="89" t="n"/>
      <c r="AL328" s="89" t="n"/>
      <c r="AM328" s="89" t="n"/>
      <c r="AN328" s="89" t="n"/>
      <c r="AO328" s="89" t="n">
        <v>11.81004</v>
      </c>
      <c r="AP328" s="89" t="n"/>
      <c r="AQ328" s="89" t="n"/>
      <c r="AR328" s="89" t="n"/>
      <c r="AS328" s="89" t="n"/>
      <c r="AT328" s="89" t="n"/>
      <c r="AU328" s="89" t="n"/>
      <c r="AV328" s="89" t="n"/>
      <c r="AW328" s="89" t="n"/>
      <c r="AX328" s="89" t="n"/>
      <c r="AY328" s="89" t="n"/>
    </row>
    <row r="329">
      <c r="A329" t="inlineStr">
        <is>
          <t>1946-04</t>
        </is>
      </c>
      <c r="B329" s="1" t="n">
        <v>16893</v>
      </c>
      <c r="C329" s="88" t="n">
        <v>329</v>
      </c>
      <c r="E329" s="1">
        <f>B329</f>
        <v/>
      </c>
      <c r="F329" s="2">
        <f>B329</f>
        <v/>
      </c>
      <c r="G329" s="88" t="n">
        <v>327</v>
      </c>
      <c r="H329" s="89" t="n"/>
      <c r="I329" s="89" t="n"/>
      <c r="J329" s="89" t="n"/>
      <c r="K329" s="89" t="n"/>
      <c r="L329" s="89" t="n"/>
      <c r="M329" s="89" t="n"/>
      <c r="N329" s="89" t="n"/>
      <c r="O329" s="89" t="n"/>
      <c r="P329" s="89" t="n"/>
      <c r="Q329" s="89" t="n"/>
      <c r="R329" s="89" t="n"/>
      <c r="S329" s="89" t="n"/>
      <c r="T329" s="89" t="n"/>
      <c r="U329" s="89" t="n"/>
      <c r="V329" s="89" t="n"/>
      <c r="W329" s="89" t="n"/>
      <c r="X329" s="89" t="n"/>
      <c r="Y329" s="89" t="n"/>
      <c r="Z329" s="89" t="n"/>
      <c r="AA329" s="89" t="n"/>
      <c r="AB329" s="89" t="n"/>
      <c r="AC329" s="89" t="n"/>
      <c r="AD329" s="89" t="n"/>
      <c r="AE329" s="89" t="n"/>
      <c r="AF329" s="89" t="n"/>
      <c r="AG329" s="89" t="n"/>
      <c r="AH329" s="89" t="n"/>
      <c r="AI329" s="89" t="n"/>
      <c r="AJ329" s="89" t="n"/>
      <c r="AK329" s="89" t="n"/>
      <c r="AL329" s="89" t="n"/>
      <c r="AM329" s="89" t="n"/>
      <c r="AN329" s="89" t="n"/>
      <c r="AO329" s="89" t="n">
        <v>11.59729</v>
      </c>
      <c r="AP329" s="89" t="n"/>
      <c r="AQ329" s="89" t="n"/>
      <c r="AR329" s="89" t="n"/>
      <c r="AS329" s="89" t="n"/>
      <c r="AT329" s="89" t="n"/>
      <c r="AU329" s="89" t="n"/>
      <c r="AV329" s="89" t="n"/>
      <c r="AW329" s="89" t="n"/>
      <c r="AX329" s="89" t="n"/>
      <c r="AY329" s="89" t="n"/>
    </row>
    <row r="330">
      <c r="A330" t="inlineStr">
        <is>
          <t>1946-05</t>
        </is>
      </c>
      <c r="B330" s="1" t="n">
        <v>16923</v>
      </c>
      <c r="C330" s="88" t="n">
        <v>330</v>
      </c>
      <c r="E330" s="1">
        <f>B330</f>
        <v/>
      </c>
      <c r="F330" s="2">
        <f>B330</f>
        <v/>
      </c>
      <c r="G330" s="88" t="n">
        <v>328</v>
      </c>
      <c r="H330" s="89" t="n"/>
      <c r="I330" s="89" t="n"/>
      <c r="J330" s="89" t="n"/>
      <c r="K330" s="89" t="n"/>
      <c r="L330" s="89" t="n"/>
      <c r="M330" s="89" t="n"/>
      <c r="N330" s="89" t="n"/>
      <c r="O330" s="89" t="n"/>
      <c r="P330" s="89" t="n"/>
      <c r="Q330" s="89" t="n"/>
      <c r="R330" s="89" t="n"/>
      <c r="S330" s="89" t="n"/>
      <c r="T330" s="89" t="n"/>
      <c r="U330" s="89" t="n"/>
      <c r="V330" s="89" t="n"/>
      <c r="W330" s="89" t="n"/>
      <c r="X330" s="89" t="n"/>
      <c r="Y330" s="89" t="n"/>
      <c r="Z330" s="89" t="n"/>
      <c r="AA330" s="89" t="n"/>
      <c r="AB330" s="89" t="n"/>
      <c r="AC330" s="89" t="n"/>
      <c r="AD330" s="89" t="n"/>
      <c r="AE330" s="89" t="n"/>
      <c r="AF330" s="89" t="n"/>
      <c r="AG330" s="89" t="n"/>
      <c r="AH330" s="89" t="n"/>
      <c r="AI330" s="89" t="n"/>
      <c r="AJ330" s="89" t="n"/>
      <c r="AK330" s="89" t="n"/>
      <c r="AL330" s="89" t="n"/>
      <c r="AM330" s="89" t="n"/>
      <c r="AN330" s="89" t="n"/>
      <c r="AO330" s="89" t="n">
        <v>11.17169</v>
      </c>
      <c r="AP330" s="89" t="n"/>
      <c r="AQ330" s="89" t="n"/>
      <c r="AR330" s="89" t="n"/>
      <c r="AS330" s="89" t="n"/>
      <c r="AT330" s="89" t="n"/>
      <c r="AU330" s="89" t="n"/>
      <c r="AV330" s="89" t="n"/>
      <c r="AW330" s="89" t="n"/>
      <c r="AX330" s="89" t="n"/>
      <c r="AY330" s="89" t="n"/>
    </row>
    <row r="331">
      <c r="A331" t="inlineStr">
        <is>
          <t>1946-06</t>
        </is>
      </c>
      <c r="B331" s="1" t="n">
        <v>16954</v>
      </c>
      <c r="C331" s="88" t="n">
        <v>331</v>
      </c>
      <c r="E331" s="1">
        <f>B331</f>
        <v/>
      </c>
      <c r="F331" s="2">
        <f>B331</f>
        <v/>
      </c>
      <c r="G331" s="88" t="n">
        <v>329</v>
      </c>
      <c r="H331" s="89" t="n"/>
      <c r="I331" s="89" t="n"/>
      <c r="J331" s="89" t="n"/>
      <c r="K331" s="89" t="n"/>
      <c r="L331" s="89" t="n"/>
      <c r="M331" s="89" t="n"/>
      <c r="N331" s="89" t="n"/>
      <c r="O331" s="89" t="n"/>
      <c r="P331" s="89" t="n"/>
      <c r="Q331" s="89" t="n"/>
      <c r="R331" s="89" t="n"/>
      <c r="S331" s="89" t="n"/>
      <c r="T331" s="89" t="n"/>
      <c r="U331" s="89" t="n"/>
      <c r="V331" s="89" t="n"/>
      <c r="W331" s="89" t="n"/>
      <c r="X331" s="89" t="n"/>
      <c r="Y331" s="89" t="n"/>
      <c r="Z331" s="89" t="n"/>
      <c r="AA331" s="89" t="n"/>
      <c r="AB331" s="89" t="n"/>
      <c r="AC331" s="89" t="n"/>
      <c r="AD331" s="89" t="n"/>
      <c r="AE331" s="89" t="n"/>
      <c r="AF331" s="89" t="n"/>
      <c r="AG331" s="89" t="n"/>
      <c r="AH331" s="89" t="n"/>
      <c r="AI331" s="89" t="n"/>
      <c r="AJ331" s="89" t="n"/>
      <c r="AK331" s="89" t="n"/>
      <c r="AL331" s="89" t="n"/>
      <c r="AM331" s="89" t="n"/>
      <c r="AN331" s="89" t="n"/>
      <c r="AO331" s="89" t="n">
        <v>11.86325</v>
      </c>
      <c r="AP331" s="89" t="n"/>
      <c r="AQ331" s="89" t="n"/>
      <c r="AR331" s="89" t="n"/>
      <c r="AS331" s="89" t="n"/>
      <c r="AT331" s="89" t="n"/>
      <c r="AU331" s="89" t="n"/>
      <c r="AV331" s="89" t="n"/>
      <c r="AW331" s="89" t="n"/>
      <c r="AX331" s="89" t="n"/>
      <c r="AY331" s="89" t="n"/>
    </row>
    <row r="332">
      <c r="A332" t="inlineStr">
        <is>
          <t>1946-07</t>
        </is>
      </c>
      <c r="B332" s="1" t="n">
        <v>16984</v>
      </c>
      <c r="C332" s="88" t="n">
        <v>332</v>
      </c>
      <c r="E332" s="1">
        <f>B332</f>
        <v/>
      </c>
      <c r="F332" s="2">
        <f>B332</f>
        <v/>
      </c>
      <c r="G332" s="88" t="n">
        <v>330</v>
      </c>
      <c r="H332" s="89" t="n"/>
      <c r="I332" s="89" t="n"/>
      <c r="J332" s="89" t="n"/>
      <c r="K332" s="89" t="n"/>
      <c r="L332" s="89" t="n"/>
      <c r="M332" s="89" t="n"/>
      <c r="N332" s="89" t="n"/>
      <c r="O332" s="89" t="n"/>
      <c r="P332" s="89" t="n"/>
      <c r="Q332" s="89" t="n"/>
      <c r="R332" s="89" t="n"/>
      <c r="S332" s="89" t="n"/>
      <c r="T332" s="89" t="n"/>
      <c r="U332" s="89" t="n"/>
      <c r="V332" s="89" t="n"/>
      <c r="W332" s="89" t="n"/>
      <c r="X332" s="89" t="n"/>
      <c r="Y332" s="89" t="n"/>
      <c r="Z332" s="89" t="n"/>
      <c r="AA332" s="89" t="n"/>
      <c r="AB332" s="89" t="n"/>
      <c r="AC332" s="89" t="n"/>
      <c r="AD332" s="89" t="n"/>
      <c r="AE332" s="89" t="n"/>
      <c r="AF332" s="89" t="n"/>
      <c r="AG332" s="89" t="n"/>
      <c r="AH332" s="89" t="n"/>
      <c r="AI332" s="89" t="n"/>
      <c r="AJ332" s="89" t="n"/>
      <c r="AK332" s="89" t="n"/>
      <c r="AL332" s="89" t="n"/>
      <c r="AM332" s="89" t="n"/>
      <c r="AN332" s="89" t="n"/>
      <c r="AO332" s="89" t="n">
        <v>12.26225</v>
      </c>
      <c r="AP332" s="89" t="n"/>
      <c r="AQ332" s="89" t="n"/>
      <c r="AR332" s="89" t="n"/>
      <c r="AS332" s="89" t="n"/>
      <c r="AT332" s="89" t="n"/>
      <c r="AU332" s="89" t="n"/>
      <c r="AV332" s="89" t="n"/>
      <c r="AW332" s="89" t="n"/>
      <c r="AX332" s="89" t="n"/>
      <c r="AY332" s="89" t="n"/>
    </row>
    <row r="333">
      <c r="A333" t="inlineStr">
        <is>
          <t>1946-08</t>
        </is>
      </c>
      <c r="B333" s="1" t="n">
        <v>17015</v>
      </c>
      <c r="C333" s="88" t="n">
        <v>333</v>
      </c>
      <c r="E333" s="1">
        <f>B333</f>
        <v/>
      </c>
      <c r="F333" s="2">
        <f>B333</f>
        <v/>
      </c>
      <c r="G333" s="88" t="n">
        <v>331</v>
      </c>
      <c r="H333" s="89" t="n"/>
      <c r="I333" s="89" t="n"/>
      <c r="J333" s="89" t="n"/>
      <c r="K333" s="89" t="n"/>
      <c r="L333" s="89" t="n"/>
      <c r="M333" s="89" t="n"/>
      <c r="N333" s="89" t="n"/>
      <c r="O333" s="89" t="n"/>
      <c r="P333" s="89" t="n"/>
      <c r="Q333" s="89" t="n"/>
      <c r="R333" s="89" t="n"/>
      <c r="S333" s="89" t="n"/>
      <c r="T333" s="89" t="n"/>
      <c r="U333" s="89" t="n"/>
      <c r="V333" s="89" t="n"/>
      <c r="W333" s="89" t="n"/>
      <c r="X333" s="89" t="n"/>
      <c r="Y333" s="89" t="n"/>
      <c r="Z333" s="89" t="n"/>
      <c r="AA333" s="89" t="n"/>
      <c r="AB333" s="89" t="n"/>
      <c r="AC333" s="89" t="n"/>
      <c r="AD333" s="89" t="n"/>
      <c r="AE333" s="89" t="n"/>
      <c r="AF333" s="89" t="n"/>
      <c r="AG333" s="89" t="n"/>
      <c r="AH333" s="89" t="n"/>
      <c r="AI333" s="89" t="n"/>
      <c r="AJ333" s="89" t="n"/>
      <c r="AK333" s="89" t="n"/>
      <c r="AL333" s="89" t="n"/>
      <c r="AM333" s="89" t="n"/>
      <c r="AN333" s="89" t="n"/>
      <c r="AO333" s="89" t="n">
        <v>12.71436</v>
      </c>
      <c r="AP333" s="89" t="n"/>
      <c r="AQ333" s="89" t="n"/>
      <c r="AR333" s="89" t="n"/>
      <c r="AS333" s="89" t="n"/>
      <c r="AT333" s="89" t="n"/>
      <c r="AU333" s="89" t="n"/>
      <c r="AV333" s="89" t="n"/>
      <c r="AW333" s="89" t="n"/>
      <c r="AX333" s="89" t="n"/>
      <c r="AY333" s="89" t="n"/>
    </row>
    <row r="334">
      <c r="A334" t="inlineStr">
        <is>
          <t>1946-09</t>
        </is>
      </c>
      <c r="B334" s="1" t="n">
        <v>17046</v>
      </c>
      <c r="C334" s="88" t="n">
        <v>334</v>
      </c>
      <c r="E334" s="1">
        <f>B334</f>
        <v/>
      </c>
      <c r="F334" s="2">
        <f>B334</f>
        <v/>
      </c>
      <c r="G334" s="88" t="n">
        <v>332</v>
      </c>
      <c r="H334" s="89" t="n"/>
      <c r="I334" s="89" t="n"/>
      <c r="J334" s="89" t="n"/>
      <c r="K334" s="89" t="n"/>
      <c r="L334" s="89" t="n"/>
      <c r="M334" s="89" t="n"/>
      <c r="N334" s="89" t="n"/>
      <c r="O334" s="89" t="n"/>
      <c r="P334" s="89" t="n"/>
      <c r="Q334" s="89" t="n"/>
      <c r="R334" s="89" t="n"/>
      <c r="S334" s="89" t="n"/>
      <c r="T334" s="89" t="n"/>
      <c r="U334" s="89" t="n"/>
      <c r="V334" s="89" t="n"/>
      <c r="W334" s="89" t="n"/>
      <c r="X334" s="89" t="n"/>
      <c r="Y334" s="89" t="n"/>
      <c r="Z334" s="89" t="n"/>
      <c r="AA334" s="89" t="n"/>
      <c r="AB334" s="89" t="n"/>
      <c r="AC334" s="89" t="n"/>
      <c r="AD334" s="89" t="n"/>
      <c r="AE334" s="89" t="n"/>
      <c r="AF334" s="89" t="n"/>
      <c r="AG334" s="89" t="n"/>
      <c r="AH334" s="89" t="n"/>
      <c r="AI334" s="89" t="n"/>
      <c r="AJ334" s="89" t="n"/>
      <c r="AK334" s="89" t="n"/>
      <c r="AL334" s="89" t="n"/>
      <c r="AM334" s="89" t="n"/>
      <c r="AN334" s="89" t="n"/>
      <c r="AO334" s="89" t="n">
        <v>12.95382</v>
      </c>
      <c r="AP334" s="89" t="n"/>
      <c r="AQ334" s="89" t="n"/>
      <c r="AR334" s="89" t="n"/>
      <c r="AS334" s="89" t="n"/>
      <c r="AT334" s="89" t="n"/>
      <c r="AU334" s="89" t="n"/>
      <c r="AV334" s="89" t="n"/>
      <c r="AW334" s="89" t="n"/>
      <c r="AX334" s="89" t="n"/>
      <c r="AY334" s="89" t="n"/>
    </row>
    <row r="335">
      <c r="A335" t="inlineStr">
        <is>
          <t>1946-10</t>
        </is>
      </c>
      <c r="B335" s="1" t="n">
        <v>17076</v>
      </c>
      <c r="C335" s="88" t="n">
        <v>335</v>
      </c>
      <c r="E335" s="1">
        <f>B335</f>
        <v/>
      </c>
      <c r="F335" s="2">
        <f>B335</f>
        <v/>
      </c>
      <c r="G335" s="88" t="n">
        <v>333</v>
      </c>
      <c r="H335" s="89" t="n"/>
      <c r="I335" s="89" t="n"/>
      <c r="J335" s="89" t="n"/>
      <c r="K335" s="89" t="n"/>
      <c r="L335" s="89" t="n"/>
      <c r="M335" s="89" t="n"/>
      <c r="N335" s="89" t="n"/>
      <c r="O335" s="89" t="n"/>
      <c r="P335" s="89" t="n"/>
      <c r="Q335" s="89" t="n"/>
      <c r="R335" s="89" t="n"/>
      <c r="S335" s="89" t="n"/>
      <c r="T335" s="89" t="n"/>
      <c r="U335" s="89" t="n"/>
      <c r="V335" s="89" t="n"/>
      <c r="W335" s="89" t="n"/>
      <c r="X335" s="89" t="n"/>
      <c r="Y335" s="89" t="n"/>
      <c r="Z335" s="89" t="n"/>
      <c r="AA335" s="89" t="n"/>
      <c r="AB335" s="89" t="n"/>
      <c r="AC335" s="89" t="n"/>
      <c r="AD335" s="89" t="n"/>
      <c r="AE335" s="89" t="n"/>
      <c r="AF335" s="89" t="n"/>
      <c r="AG335" s="89" t="n"/>
      <c r="AH335" s="89" t="n"/>
      <c r="AI335" s="89" t="n"/>
      <c r="AJ335" s="89" t="n"/>
      <c r="AK335" s="89" t="n"/>
      <c r="AL335" s="89" t="n"/>
      <c r="AM335" s="89" t="n"/>
      <c r="AN335" s="89" t="n"/>
      <c r="AO335" s="89" t="n">
        <v>13.19317</v>
      </c>
      <c r="AP335" s="89" t="n"/>
      <c r="AQ335" s="89" t="n"/>
      <c r="AR335" s="89" t="n"/>
      <c r="AS335" s="89" t="n"/>
      <c r="AT335" s="89" t="n"/>
      <c r="AU335" s="89" t="n"/>
      <c r="AV335" s="89" t="n"/>
      <c r="AW335" s="89" t="n"/>
      <c r="AX335" s="89" t="n"/>
      <c r="AY335" s="89" t="n"/>
    </row>
    <row r="336">
      <c r="A336" t="inlineStr">
        <is>
          <t>1946-11</t>
        </is>
      </c>
      <c r="B336" s="1" t="n">
        <v>17107</v>
      </c>
      <c r="C336" s="88" t="n">
        <v>336</v>
      </c>
      <c r="E336" s="1">
        <f>B336</f>
        <v/>
      </c>
      <c r="F336" s="2">
        <f>B336</f>
        <v/>
      </c>
      <c r="G336" s="88" t="n">
        <v>334</v>
      </c>
      <c r="H336" s="89" t="n"/>
      <c r="I336" s="89" t="n"/>
      <c r="J336" s="89" t="n"/>
      <c r="K336" s="89" t="n"/>
      <c r="L336" s="89" t="n"/>
      <c r="M336" s="89" t="n"/>
      <c r="N336" s="89" t="n"/>
      <c r="O336" s="89" t="n"/>
      <c r="P336" s="89" t="n"/>
      <c r="Q336" s="89" t="n"/>
      <c r="R336" s="89" t="n"/>
      <c r="S336" s="89" t="n"/>
      <c r="T336" s="89" t="n"/>
      <c r="U336" s="89" t="n"/>
      <c r="V336" s="89" t="n"/>
      <c r="W336" s="89" t="n"/>
      <c r="X336" s="89" t="n"/>
      <c r="Y336" s="89" t="n"/>
      <c r="Z336" s="89" t="n"/>
      <c r="AA336" s="89" t="n"/>
      <c r="AB336" s="89" t="n"/>
      <c r="AC336" s="89" t="n"/>
      <c r="AD336" s="89" t="n"/>
      <c r="AE336" s="89" t="n"/>
      <c r="AF336" s="89" t="n"/>
      <c r="AG336" s="89" t="n"/>
      <c r="AH336" s="89" t="n"/>
      <c r="AI336" s="89" t="n"/>
      <c r="AJ336" s="89" t="n"/>
      <c r="AK336" s="89" t="n"/>
      <c r="AL336" s="89" t="n"/>
      <c r="AM336" s="89" t="n"/>
      <c r="AN336" s="89" t="n"/>
      <c r="AO336" s="89" t="n">
        <v>13.27299</v>
      </c>
      <c r="AP336" s="89" t="n"/>
      <c r="AQ336" s="89" t="n"/>
      <c r="AR336" s="89" t="n"/>
      <c r="AS336" s="89" t="n"/>
      <c r="AT336" s="89" t="n"/>
      <c r="AU336" s="89" t="n"/>
      <c r="AV336" s="89" t="n"/>
      <c r="AW336" s="89" t="n"/>
      <c r="AX336" s="89" t="n"/>
      <c r="AY336" s="89" t="n"/>
    </row>
    <row r="337">
      <c r="A337" t="inlineStr">
        <is>
          <t>1946-12</t>
        </is>
      </c>
      <c r="B337" s="1" t="n">
        <v>17137</v>
      </c>
      <c r="C337" s="88" t="n">
        <v>337</v>
      </c>
      <c r="E337" s="1">
        <f>B337</f>
        <v/>
      </c>
      <c r="F337" s="2">
        <f>B337</f>
        <v/>
      </c>
      <c r="G337" s="88" t="n">
        <v>335</v>
      </c>
      <c r="H337" s="89" t="n"/>
      <c r="I337" s="89" t="n"/>
      <c r="J337" s="89" t="n"/>
      <c r="K337" s="89" t="n"/>
      <c r="L337" s="89" t="n"/>
      <c r="M337" s="89" t="n"/>
      <c r="N337" s="89" t="n"/>
      <c r="O337" s="89" t="n"/>
      <c r="P337" s="89" t="n"/>
      <c r="Q337" s="89" t="n"/>
      <c r="R337" s="89" t="n"/>
      <c r="S337" s="89" t="n"/>
      <c r="T337" s="89" t="n"/>
      <c r="U337" s="89" t="n"/>
      <c r="V337" s="89" t="n"/>
      <c r="W337" s="89" t="n"/>
      <c r="X337" s="89" t="n"/>
      <c r="Y337" s="89" t="n"/>
      <c r="Z337" s="89" t="n"/>
      <c r="AA337" s="89" t="n"/>
      <c r="AB337" s="89" t="n"/>
      <c r="AC337" s="89" t="n"/>
      <c r="AD337" s="89" t="n"/>
      <c r="AE337" s="89" t="n"/>
      <c r="AF337" s="89" t="n"/>
      <c r="AG337" s="89" t="n"/>
      <c r="AH337" s="89" t="n"/>
      <c r="AI337" s="89" t="n"/>
      <c r="AJ337" s="89" t="n"/>
      <c r="AK337" s="89" t="n"/>
      <c r="AL337" s="89" t="n"/>
      <c r="AM337" s="89" t="n"/>
      <c r="AN337" s="89" t="n"/>
      <c r="AO337" s="89" t="n">
        <v>13.35281</v>
      </c>
      <c r="AP337" s="89" t="n"/>
      <c r="AQ337" s="89" t="n"/>
      <c r="AR337" s="89" t="n"/>
      <c r="AS337" s="89" t="n"/>
      <c r="AT337" s="89" t="n"/>
      <c r="AU337" s="89" t="n"/>
      <c r="AV337" s="89" t="n"/>
      <c r="AW337" s="89" t="n"/>
      <c r="AX337" s="89" t="n"/>
      <c r="AY337" s="89" t="n"/>
    </row>
    <row r="338">
      <c r="A338" t="inlineStr">
        <is>
          <t>1947-01</t>
        </is>
      </c>
      <c r="B338" s="1" t="n">
        <v>17168</v>
      </c>
      <c r="C338" s="88" t="n">
        <v>338</v>
      </c>
      <c r="E338" s="1">
        <f>B338</f>
        <v/>
      </c>
      <c r="F338" s="2">
        <f>B338</f>
        <v/>
      </c>
      <c r="G338" s="88" t="n">
        <v>336</v>
      </c>
      <c r="H338" s="89" t="n"/>
      <c r="I338" s="89" t="n"/>
      <c r="J338" s="89" t="n"/>
      <c r="K338" s="89" t="n"/>
      <c r="L338" s="89" t="n"/>
      <c r="M338" s="89" t="n"/>
      <c r="N338" s="89" t="n"/>
      <c r="O338" s="89" t="n"/>
      <c r="P338" s="89" t="n"/>
      <c r="Q338" s="89" t="n"/>
      <c r="R338" s="89" t="n"/>
      <c r="S338" s="89" t="n"/>
      <c r="T338" s="89" t="n"/>
      <c r="U338" s="89" t="n"/>
      <c r="V338" s="89" t="n"/>
      <c r="W338" s="89" t="n"/>
      <c r="X338" s="89" t="n"/>
      <c r="Y338" s="89" t="n"/>
      <c r="Z338" s="89" t="n"/>
      <c r="AA338" s="89" t="n"/>
      <c r="AB338" s="89" t="n"/>
      <c r="AC338" s="89" t="n"/>
      <c r="AD338" s="89" t="n"/>
      <c r="AE338" s="89" t="n"/>
      <c r="AF338" s="89" t="n"/>
      <c r="AG338" s="89" t="n"/>
      <c r="AH338" s="89" t="n"/>
      <c r="AI338" s="89" t="n"/>
      <c r="AJ338" s="89" t="n"/>
      <c r="AK338" s="89" t="n"/>
      <c r="AL338" s="89" t="n"/>
      <c r="AM338" s="89" t="n"/>
      <c r="AN338" s="89" t="n"/>
      <c r="AO338" s="89" t="n">
        <v>13.51235</v>
      </c>
      <c r="AP338" s="89" t="n"/>
      <c r="AQ338" s="89" t="n"/>
      <c r="AR338" s="89" t="n"/>
      <c r="AS338" s="89" t="n"/>
      <c r="AT338" s="89" t="n"/>
      <c r="AU338" s="89" t="n"/>
      <c r="AV338" s="89" t="n"/>
      <c r="AW338" s="89" t="n"/>
      <c r="AX338" s="89" t="n"/>
      <c r="AY338" s="89" t="n"/>
    </row>
    <row r="339">
      <c r="A339" t="inlineStr">
        <is>
          <t>1947-02</t>
        </is>
      </c>
      <c r="B339" s="1" t="n">
        <v>17199</v>
      </c>
      <c r="C339" s="88" t="n">
        <v>339</v>
      </c>
      <c r="E339" s="1">
        <f>B339</f>
        <v/>
      </c>
      <c r="F339" s="2">
        <f>B339</f>
        <v/>
      </c>
      <c r="G339" s="88" t="n">
        <v>337</v>
      </c>
      <c r="H339" s="89" t="n"/>
      <c r="I339" s="89" t="n"/>
      <c r="J339" s="89" t="n"/>
      <c r="K339" s="89" t="n"/>
      <c r="L339" s="89" t="n"/>
      <c r="M339" s="89" t="n"/>
      <c r="N339" s="89" t="n"/>
      <c r="O339" s="89" t="n"/>
      <c r="P339" s="89" t="n"/>
      <c r="Q339" s="89" t="n"/>
      <c r="R339" s="89" t="n"/>
      <c r="S339" s="89" t="n"/>
      <c r="T339" s="89" t="n"/>
      <c r="U339" s="89" t="n"/>
      <c r="V339" s="89" t="n"/>
      <c r="W339" s="89" t="n"/>
      <c r="X339" s="89" t="n"/>
      <c r="Y339" s="89" t="n"/>
      <c r="Z339" s="89" t="n"/>
      <c r="AA339" s="89" t="n"/>
      <c r="AB339" s="89" t="n"/>
      <c r="AC339" s="89" t="n"/>
      <c r="AD339" s="89" t="n"/>
      <c r="AE339" s="89" t="n"/>
      <c r="AF339" s="89" t="n"/>
      <c r="AG339" s="89" t="n"/>
      <c r="AH339" s="89" t="n"/>
      <c r="AI339" s="89" t="n"/>
      <c r="AJ339" s="89" t="n"/>
      <c r="AK339" s="89" t="n"/>
      <c r="AL339" s="89" t="n"/>
      <c r="AM339" s="89" t="n"/>
      <c r="AN339" s="89" t="n"/>
      <c r="AO339" s="89" t="n">
        <v>13.59217</v>
      </c>
      <c r="AP339" s="89" t="n"/>
      <c r="AQ339" s="89" t="n"/>
      <c r="AR339" s="89" t="n"/>
      <c r="AS339" s="89" t="n"/>
      <c r="AT339" s="89" t="n"/>
      <c r="AU339" s="89" t="n"/>
      <c r="AV339" s="89" t="n"/>
      <c r="AW339" s="89" t="n"/>
      <c r="AX339" s="89" t="n"/>
      <c r="AY339" s="89" t="n"/>
    </row>
    <row r="340">
      <c r="A340" t="inlineStr">
        <is>
          <t>1947-03</t>
        </is>
      </c>
      <c r="B340" s="1" t="n">
        <v>17227</v>
      </c>
      <c r="C340" s="88" t="n">
        <v>340</v>
      </c>
      <c r="E340" s="1">
        <f>B340</f>
        <v/>
      </c>
      <c r="F340" s="2">
        <f>B340</f>
        <v/>
      </c>
      <c r="G340" s="88" t="n">
        <v>338</v>
      </c>
      <c r="H340" s="89" t="n"/>
      <c r="I340" s="89" t="n"/>
      <c r="J340" s="89" t="n"/>
      <c r="K340" s="89" t="n"/>
      <c r="L340" s="89" t="n"/>
      <c r="M340" s="89" t="n"/>
      <c r="N340" s="89" t="n"/>
      <c r="O340" s="89" t="n"/>
      <c r="P340" s="89" t="n"/>
      <c r="Q340" s="89" t="n"/>
      <c r="R340" s="89" t="n"/>
      <c r="S340" s="89" t="n"/>
      <c r="T340" s="89" t="n"/>
      <c r="U340" s="89" t="n"/>
      <c r="V340" s="89" t="n"/>
      <c r="W340" s="89" t="n"/>
      <c r="X340" s="89" t="n"/>
      <c r="Y340" s="89" t="n"/>
      <c r="Z340" s="89" t="n"/>
      <c r="AA340" s="89" t="n"/>
      <c r="AB340" s="89" t="n"/>
      <c r="AC340" s="89" t="n"/>
      <c r="AD340" s="89" t="n"/>
      <c r="AE340" s="89" t="n"/>
      <c r="AF340" s="89" t="n"/>
      <c r="AG340" s="89" t="n"/>
      <c r="AH340" s="89" t="n"/>
      <c r="AI340" s="89" t="n"/>
      <c r="AJ340" s="89" t="n"/>
      <c r="AK340" s="89" t="n"/>
      <c r="AL340" s="89" t="n"/>
      <c r="AM340" s="89" t="n"/>
      <c r="AN340" s="89" t="n"/>
      <c r="AO340" s="89" t="n">
        <v>13.67199</v>
      </c>
      <c r="AP340" s="89" t="n"/>
      <c r="AQ340" s="89" t="n"/>
      <c r="AR340" s="89" t="n"/>
      <c r="AS340" s="89" t="n"/>
      <c r="AT340" s="89" t="n"/>
      <c r="AU340" s="89" t="n"/>
      <c r="AV340" s="89" t="n"/>
      <c r="AW340" s="89" t="n"/>
      <c r="AX340" s="89" t="n"/>
      <c r="AY340" s="89" t="n"/>
    </row>
    <row r="341">
      <c r="A341" t="inlineStr">
        <is>
          <t>1947-04</t>
        </is>
      </c>
      <c r="B341" s="1" t="n">
        <v>17258</v>
      </c>
      <c r="C341" s="88" t="n">
        <v>341</v>
      </c>
      <c r="E341" s="1">
        <f>B341</f>
        <v/>
      </c>
      <c r="F341" s="2">
        <f>B341</f>
        <v/>
      </c>
      <c r="G341" s="88" t="n">
        <v>339</v>
      </c>
      <c r="H341" s="89" t="n"/>
      <c r="I341" s="89" t="n"/>
      <c r="J341" s="89" t="n"/>
      <c r="K341" s="89" t="n"/>
      <c r="L341" s="89" t="n"/>
      <c r="M341" s="89" t="n"/>
      <c r="N341" s="89" t="n"/>
      <c r="O341" s="89" t="n"/>
      <c r="P341" s="89" t="n"/>
      <c r="Q341" s="89" t="n"/>
      <c r="R341" s="89" t="n"/>
      <c r="S341" s="89" t="n"/>
      <c r="T341" s="89" t="n"/>
      <c r="U341" s="89" t="n"/>
      <c r="V341" s="89" t="n"/>
      <c r="W341" s="89" t="n"/>
      <c r="X341" s="89" t="n"/>
      <c r="Y341" s="89" t="n"/>
      <c r="Z341" s="89" t="n"/>
      <c r="AA341" s="89" t="n"/>
      <c r="AB341" s="89" t="n"/>
      <c r="AC341" s="89" t="n"/>
      <c r="AD341" s="89" t="n"/>
      <c r="AE341" s="89" t="n"/>
      <c r="AF341" s="89" t="n"/>
      <c r="AG341" s="89" t="n"/>
      <c r="AH341" s="89" t="n"/>
      <c r="AI341" s="89" t="n"/>
      <c r="AJ341" s="89" t="n"/>
      <c r="AK341" s="89" t="n"/>
      <c r="AL341" s="89" t="n"/>
      <c r="AM341" s="89" t="n"/>
      <c r="AN341" s="89" t="n"/>
      <c r="AO341" s="89" t="n">
        <v>13.56556</v>
      </c>
      <c r="AP341" s="89" t="n"/>
      <c r="AQ341" s="89" t="n"/>
      <c r="AR341" s="89" t="n"/>
      <c r="AS341" s="89" t="n"/>
      <c r="AT341" s="89" t="n"/>
      <c r="AU341" s="89" t="n"/>
      <c r="AV341" s="89" t="n"/>
      <c r="AW341" s="89" t="n"/>
      <c r="AX341" s="89" t="n"/>
      <c r="AY341" s="89" t="n"/>
    </row>
    <row r="342">
      <c r="A342" t="inlineStr">
        <is>
          <t>1947-05</t>
        </is>
      </c>
      <c r="B342" s="1" t="n">
        <v>17288</v>
      </c>
      <c r="C342" s="88" t="n">
        <v>342</v>
      </c>
      <c r="E342" s="1">
        <f>B342</f>
        <v/>
      </c>
      <c r="F342" s="2">
        <f>B342</f>
        <v/>
      </c>
      <c r="G342" s="88" t="n">
        <v>340</v>
      </c>
      <c r="H342" s="89" t="n"/>
      <c r="I342" s="89" t="n"/>
      <c r="J342" s="89" t="n"/>
      <c r="K342" s="89" t="n"/>
      <c r="L342" s="89" t="n"/>
      <c r="M342" s="89" t="n"/>
      <c r="N342" s="89" t="n"/>
      <c r="O342" s="89" t="n"/>
      <c r="P342" s="89" t="n"/>
      <c r="Q342" s="89" t="n"/>
      <c r="R342" s="89" t="n"/>
      <c r="S342" s="89" t="n"/>
      <c r="T342" s="89" t="n"/>
      <c r="U342" s="89" t="n"/>
      <c r="V342" s="89" t="n"/>
      <c r="W342" s="89" t="n"/>
      <c r="X342" s="89" t="n"/>
      <c r="Y342" s="89" t="n"/>
      <c r="Z342" s="89" t="n"/>
      <c r="AA342" s="89" t="n"/>
      <c r="AB342" s="89" t="n"/>
      <c r="AC342" s="89" t="n"/>
      <c r="AD342" s="89" t="n"/>
      <c r="AE342" s="89" t="n"/>
      <c r="AF342" s="89" t="n"/>
      <c r="AG342" s="89" t="n"/>
      <c r="AH342" s="89" t="n"/>
      <c r="AI342" s="89" t="n"/>
      <c r="AJ342" s="89" t="n"/>
      <c r="AK342" s="89" t="n"/>
      <c r="AL342" s="89" t="n"/>
      <c r="AM342" s="89" t="n"/>
      <c r="AN342" s="89" t="n"/>
      <c r="AO342" s="89" t="n">
        <v>13.61878</v>
      </c>
      <c r="AP342" s="89" t="n"/>
      <c r="AQ342" s="89" t="n"/>
      <c r="AR342" s="89" t="n"/>
      <c r="AS342" s="89" t="n"/>
      <c r="AT342" s="89" t="n"/>
      <c r="AU342" s="89" t="n"/>
      <c r="AV342" s="89" t="n"/>
      <c r="AW342" s="89" t="n"/>
      <c r="AX342" s="89" t="n"/>
      <c r="AY342" s="89" t="n"/>
    </row>
    <row r="343">
      <c r="A343" t="inlineStr">
        <is>
          <t>1947-06</t>
        </is>
      </c>
      <c r="B343" s="1" t="n">
        <v>17319</v>
      </c>
      <c r="C343" s="88" t="n">
        <v>343</v>
      </c>
      <c r="E343" s="1">
        <f>B343</f>
        <v/>
      </c>
      <c r="F343" s="2">
        <f>B343</f>
        <v/>
      </c>
      <c r="G343" s="88" t="n">
        <v>341</v>
      </c>
      <c r="H343" s="89" t="n"/>
      <c r="I343" s="89" t="n"/>
      <c r="J343" s="89" t="n"/>
      <c r="K343" s="89" t="n"/>
      <c r="L343" s="89" t="n"/>
      <c r="M343" s="89" t="n"/>
      <c r="N343" s="89" t="n"/>
      <c r="O343" s="89" t="n"/>
      <c r="P343" s="89" t="n"/>
      <c r="Q343" s="89" t="n"/>
      <c r="R343" s="89" t="n"/>
      <c r="S343" s="89" t="n"/>
      <c r="T343" s="89" t="n"/>
      <c r="U343" s="89" t="n"/>
      <c r="V343" s="89" t="n"/>
      <c r="W343" s="89" t="n"/>
      <c r="X343" s="89" t="n"/>
      <c r="Y343" s="89" t="n"/>
      <c r="Z343" s="89" t="n"/>
      <c r="AA343" s="89" t="n"/>
      <c r="AB343" s="89" t="n"/>
      <c r="AC343" s="89" t="n"/>
      <c r="AD343" s="89" t="n"/>
      <c r="AE343" s="89" t="n"/>
      <c r="AF343" s="89" t="n"/>
      <c r="AG343" s="89" t="n"/>
      <c r="AH343" s="89" t="n"/>
      <c r="AI343" s="89" t="n"/>
      <c r="AJ343" s="89" t="n"/>
      <c r="AK343" s="89" t="n"/>
      <c r="AL343" s="89" t="n"/>
      <c r="AM343" s="89" t="n"/>
      <c r="AN343" s="89" t="n"/>
      <c r="AO343" s="89" t="n">
        <v>13.61878</v>
      </c>
      <c r="AP343" s="89" t="n"/>
      <c r="AQ343" s="89" t="n"/>
      <c r="AR343" s="89" t="n"/>
      <c r="AS343" s="89" t="n"/>
      <c r="AT343" s="89" t="n"/>
      <c r="AU343" s="89" t="n"/>
      <c r="AV343" s="89" t="n"/>
      <c r="AW343" s="89" t="n"/>
      <c r="AX343" s="89" t="n"/>
      <c r="AY343" s="89" t="n"/>
    </row>
    <row r="344">
      <c r="A344" t="inlineStr">
        <is>
          <t>1947-07</t>
        </is>
      </c>
      <c r="B344" s="1" t="n">
        <v>17349</v>
      </c>
      <c r="C344" s="88" t="n">
        <v>344</v>
      </c>
      <c r="E344" s="1">
        <f>B344</f>
        <v/>
      </c>
      <c r="F344" s="2">
        <f>B344</f>
        <v/>
      </c>
      <c r="G344" s="88" t="n">
        <v>342</v>
      </c>
      <c r="H344" s="89" t="n"/>
      <c r="I344" s="89" t="n"/>
      <c r="J344" s="89" t="n"/>
      <c r="K344" s="89" t="n"/>
      <c r="L344" s="89" t="n"/>
      <c r="M344" s="89" t="n"/>
      <c r="N344" s="89" t="n"/>
      <c r="O344" s="89" t="n"/>
      <c r="P344" s="89" t="n"/>
      <c r="Q344" s="89" t="n"/>
      <c r="R344" s="89" t="n"/>
      <c r="S344" s="89" t="n"/>
      <c r="T344" s="89" t="n"/>
      <c r="U344" s="89" t="n"/>
      <c r="V344" s="89" t="n"/>
      <c r="W344" s="89" t="n"/>
      <c r="X344" s="89" t="n"/>
      <c r="Y344" s="89" t="n"/>
      <c r="Z344" s="89" t="n"/>
      <c r="AA344" s="89" t="n"/>
      <c r="AB344" s="89" t="n"/>
      <c r="AC344" s="89" t="n"/>
      <c r="AD344" s="89" t="n"/>
      <c r="AE344" s="89" t="n"/>
      <c r="AF344" s="89" t="n"/>
      <c r="AG344" s="89" t="n"/>
      <c r="AH344" s="89" t="n"/>
      <c r="AI344" s="89" t="n"/>
      <c r="AJ344" s="89" t="n"/>
      <c r="AK344" s="89" t="n"/>
      <c r="AL344" s="89" t="n"/>
      <c r="AM344" s="89" t="n"/>
      <c r="AN344" s="89" t="n"/>
      <c r="AO344" s="89" t="n">
        <v>13.53896</v>
      </c>
      <c r="AP344" s="89" t="n"/>
      <c r="AQ344" s="89" t="n"/>
      <c r="AR344" s="89" t="n"/>
      <c r="AS344" s="89" t="n"/>
      <c r="AT344" s="89" t="n"/>
      <c r="AU344" s="89" t="n"/>
      <c r="AV344" s="89" t="n"/>
      <c r="AW344" s="89" t="n"/>
      <c r="AX344" s="89" t="n"/>
      <c r="AY344" s="89" t="n"/>
    </row>
    <row r="345">
      <c r="A345" t="inlineStr">
        <is>
          <t>1947-08</t>
        </is>
      </c>
      <c r="B345" s="1" t="n">
        <v>17380</v>
      </c>
      <c r="C345" s="88" t="n">
        <v>345</v>
      </c>
      <c r="E345" s="1">
        <f>B345</f>
        <v/>
      </c>
      <c r="F345" s="2">
        <f>B345</f>
        <v/>
      </c>
      <c r="G345" s="88" t="n">
        <v>343</v>
      </c>
      <c r="H345" s="89" t="n"/>
      <c r="I345" s="89" t="n"/>
      <c r="J345" s="89" t="n"/>
      <c r="K345" s="89" t="n"/>
      <c r="L345" s="89" t="n"/>
      <c r="M345" s="89" t="n"/>
      <c r="N345" s="89" t="n"/>
      <c r="O345" s="89" t="n"/>
      <c r="P345" s="89" t="n"/>
      <c r="Q345" s="89" t="n"/>
      <c r="R345" s="89" t="n"/>
      <c r="S345" s="89" t="n"/>
      <c r="T345" s="89" t="n"/>
      <c r="U345" s="89" t="n"/>
      <c r="V345" s="89" t="n"/>
      <c r="W345" s="89" t="n"/>
      <c r="X345" s="89" t="n"/>
      <c r="Y345" s="89" t="n"/>
      <c r="Z345" s="89" t="n"/>
      <c r="AA345" s="89" t="n"/>
      <c r="AB345" s="89" t="n"/>
      <c r="AC345" s="89" t="n"/>
      <c r="AD345" s="89" t="n"/>
      <c r="AE345" s="89" t="n"/>
      <c r="AF345" s="89" t="n"/>
      <c r="AG345" s="89" t="n"/>
      <c r="AH345" s="89" t="n"/>
      <c r="AI345" s="89" t="n"/>
      <c r="AJ345" s="89" t="n"/>
      <c r="AK345" s="89" t="n"/>
      <c r="AL345" s="89" t="n"/>
      <c r="AM345" s="89" t="n"/>
      <c r="AN345" s="89" t="n"/>
      <c r="AO345" s="89" t="n">
        <v>13.61878</v>
      </c>
      <c r="AP345" s="89" t="n"/>
      <c r="AQ345" s="89" t="n"/>
      <c r="AR345" s="89" t="n"/>
      <c r="AS345" s="89" t="n"/>
      <c r="AT345" s="89" t="n"/>
      <c r="AU345" s="89" t="n"/>
      <c r="AV345" s="89" t="n"/>
      <c r="AW345" s="89" t="n"/>
      <c r="AX345" s="89" t="n"/>
      <c r="AY345" s="89" t="n"/>
    </row>
    <row r="346">
      <c r="A346" t="inlineStr">
        <is>
          <t>1947-09</t>
        </is>
      </c>
      <c r="B346" s="1" t="n">
        <v>17411</v>
      </c>
      <c r="C346" s="88" t="n">
        <v>346</v>
      </c>
      <c r="E346" s="1">
        <f>B346</f>
        <v/>
      </c>
      <c r="F346" s="2">
        <f>B346</f>
        <v/>
      </c>
      <c r="G346" s="88" t="n">
        <v>344</v>
      </c>
      <c r="H346" s="89" t="n"/>
      <c r="I346" s="89" t="n"/>
      <c r="J346" s="89" t="n"/>
      <c r="K346" s="89" t="n"/>
      <c r="L346" s="89" t="n"/>
      <c r="M346" s="89" t="n"/>
      <c r="N346" s="89" t="n"/>
      <c r="O346" s="89" t="n"/>
      <c r="P346" s="89" t="n"/>
      <c r="Q346" s="89" t="n"/>
      <c r="R346" s="89" t="n"/>
      <c r="S346" s="89" t="n"/>
      <c r="T346" s="89" t="n"/>
      <c r="U346" s="89" t="n"/>
      <c r="V346" s="89" t="n"/>
      <c r="W346" s="89" t="n"/>
      <c r="X346" s="89" t="n"/>
      <c r="Y346" s="89" t="n"/>
      <c r="Z346" s="89" t="n"/>
      <c r="AA346" s="89" t="n"/>
      <c r="AB346" s="89" t="n"/>
      <c r="AC346" s="89" t="n"/>
      <c r="AD346" s="89" t="n"/>
      <c r="AE346" s="89" t="n"/>
      <c r="AF346" s="89" t="n"/>
      <c r="AG346" s="89" t="n"/>
      <c r="AH346" s="89" t="n"/>
      <c r="AI346" s="89" t="n"/>
      <c r="AJ346" s="89" t="n"/>
      <c r="AK346" s="89" t="n"/>
      <c r="AL346" s="89" t="n"/>
      <c r="AM346" s="89" t="n"/>
      <c r="AN346" s="89" t="n"/>
      <c r="AO346" s="89" t="n">
        <v>13.7252</v>
      </c>
      <c r="AP346" s="89" t="n"/>
      <c r="AQ346" s="89" t="n"/>
      <c r="AR346" s="89" t="n"/>
      <c r="AS346" s="89" t="n"/>
      <c r="AT346" s="89" t="n"/>
      <c r="AU346" s="89" t="n"/>
      <c r="AV346" s="89" t="n"/>
      <c r="AW346" s="89" t="n"/>
      <c r="AX346" s="89" t="n"/>
      <c r="AY346" s="89" t="n"/>
    </row>
    <row r="347">
      <c r="A347" t="inlineStr">
        <is>
          <t>1947-10</t>
        </is>
      </c>
      <c r="B347" s="1" t="n">
        <v>17441</v>
      </c>
      <c r="C347" s="88" t="n">
        <v>347</v>
      </c>
      <c r="E347" s="1">
        <f>B347</f>
        <v/>
      </c>
      <c r="F347" s="2">
        <f>B347</f>
        <v/>
      </c>
      <c r="G347" s="88" t="n">
        <v>345</v>
      </c>
      <c r="H347" s="89" t="n"/>
      <c r="I347" s="89" t="n"/>
      <c r="J347" s="89" t="n"/>
      <c r="K347" s="89" t="n"/>
      <c r="L347" s="89" t="n"/>
      <c r="M347" s="89" t="n"/>
      <c r="N347" s="89" t="n"/>
      <c r="O347" s="89" t="n"/>
      <c r="P347" s="89" t="n"/>
      <c r="Q347" s="89" t="n"/>
      <c r="R347" s="89" t="n"/>
      <c r="S347" s="89" t="n"/>
      <c r="T347" s="89" t="n"/>
      <c r="U347" s="89" t="n"/>
      <c r="V347" s="89" t="n"/>
      <c r="W347" s="89" t="n"/>
      <c r="X347" s="89" t="n"/>
      <c r="Y347" s="89" t="n"/>
      <c r="Z347" s="89" t="n"/>
      <c r="AA347" s="89" t="n"/>
      <c r="AB347" s="89" t="n"/>
      <c r="AC347" s="89" t="n"/>
      <c r="AD347" s="89" t="n"/>
      <c r="AE347" s="89" t="n"/>
      <c r="AF347" s="89" t="n"/>
      <c r="AG347" s="89" t="n"/>
      <c r="AH347" s="89" t="n"/>
      <c r="AI347" s="89" t="n"/>
      <c r="AJ347" s="89" t="n"/>
      <c r="AK347" s="89" t="n"/>
      <c r="AL347" s="89" t="n"/>
      <c r="AM347" s="89" t="n"/>
      <c r="AN347" s="89" t="n"/>
      <c r="AO347" s="89" t="n">
        <v>13.85814</v>
      </c>
      <c r="AP347" s="89" t="n"/>
      <c r="AQ347" s="89" t="n"/>
      <c r="AR347" s="89" t="n"/>
      <c r="AS347" s="89" t="n"/>
      <c r="AT347" s="89" t="n"/>
      <c r="AU347" s="89" t="n"/>
      <c r="AV347" s="89" t="n"/>
      <c r="AW347" s="89" t="n"/>
      <c r="AX347" s="89" t="n"/>
      <c r="AY347" s="89" t="n"/>
    </row>
    <row r="348">
      <c r="A348" t="inlineStr">
        <is>
          <t>1947-11</t>
        </is>
      </c>
      <c r="B348" s="1" t="n">
        <v>17472</v>
      </c>
      <c r="C348" s="88" t="n">
        <v>348</v>
      </c>
      <c r="E348" s="1">
        <f>B348</f>
        <v/>
      </c>
      <c r="F348" s="2">
        <f>B348</f>
        <v/>
      </c>
      <c r="G348" s="88" t="n">
        <v>346</v>
      </c>
      <c r="H348" s="89" t="n"/>
      <c r="I348" s="89" t="n"/>
      <c r="J348" s="89" t="n"/>
      <c r="K348" s="89" t="n"/>
      <c r="L348" s="89" t="n"/>
      <c r="M348" s="89" t="n"/>
      <c r="N348" s="89" t="n"/>
      <c r="O348" s="89" t="n"/>
      <c r="P348" s="89" t="n"/>
      <c r="Q348" s="89" t="n"/>
      <c r="R348" s="89" t="n"/>
      <c r="S348" s="89" t="n"/>
      <c r="T348" s="89" t="n"/>
      <c r="U348" s="89" t="n"/>
      <c r="V348" s="89" t="n"/>
      <c r="W348" s="89" t="n"/>
      <c r="X348" s="89" t="n"/>
      <c r="Y348" s="89" t="n"/>
      <c r="Z348" s="89" t="n"/>
      <c r="AA348" s="89" t="n"/>
      <c r="AB348" s="89" t="n"/>
      <c r="AC348" s="89" t="n"/>
      <c r="AD348" s="89" t="n"/>
      <c r="AE348" s="89" t="n"/>
      <c r="AF348" s="89" t="n"/>
      <c r="AG348" s="89" t="n"/>
      <c r="AH348" s="89" t="n"/>
      <c r="AI348" s="89" t="n"/>
      <c r="AJ348" s="89" t="n"/>
      <c r="AK348" s="89" t="n"/>
      <c r="AL348" s="89" t="n"/>
      <c r="AM348" s="89" t="n"/>
      <c r="AN348" s="89" t="n"/>
      <c r="AO348" s="89" t="n">
        <v>14.04438</v>
      </c>
      <c r="AP348" s="89" t="n"/>
      <c r="AQ348" s="89" t="n"/>
      <c r="AR348" s="89" t="n"/>
      <c r="AS348" s="89" t="n"/>
      <c r="AT348" s="89" t="n"/>
      <c r="AU348" s="89" t="n"/>
      <c r="AV348" s="89" t="n"/>
      <c r="AW348" s="89" t="n"/>
      <c r="AX348" s="89" t="n"/>
      <c r="AY348" s="89" t="n"/>
    </row>
    <row r="349">
      <c r="A349" t="inlineStr">
        <is>
          <t>1947-12</t>
        </is>
      </c>
      <c r="B349" s="1" t="n">
        <v>17502</v>
      </c>
      <c r="C349" s="88" t="n">
        <v>349</v>
      </c>
      <c r="E349" s="1">
        <f>B349</f>
        <v/>
      </c>
      <c r="F349" s="2">
        <f>B349</f>
        <v/>
      </c>
      <c r="G349" s="88" t="n">
        <v>347</v>
      </c>
      <c r="H349" s="89" t="n"/>
      <c r="I349" s="89" t="n"/>
      <c r="J349" s="89" t="n"/>
      <c r="K349" s="89" t="n"/>
      <c r="L349" s="89" t="n"/>
      <c r="M349" s="89" t="n"/>
      <c r="N349" s="89" t="n"/>
      <c r="O349" s="89" t="n"/>
      <c r="P349" s="89" t="n"/>
      <c r="Q349" s="89" t="n"/>
      <c r="R349" s="89" t="n"/>
      <c r="S349" s="89" t="n"/>
      <c r="T349" s="89" t="n"/>
      <c r="U349" s="89" t="n"/>
      <c r="V349" s="89" t="n"/>
      <c r="W349" s="89" t="n"/>
      <c r="X349" s="89" t="n"/>
      <c r="Y349" s="89" t="n"/>
      <c r="Z349" s="89" t="n"/>
      <c r="AA349" s="89" t="n"/>
      <c r="AB349" s="89" t="n"/>
      <c r="AC349" s="89" t="n"/>
      <c r="AD349" s="89" t="n"/>
      <c r="AE349" s="89" t="n"/>
      <c r="AF349" s="89" t="n"/>
      <c r="AG349" s="89" t="n"/>
      <c r="AH349" s="89" t="n"/>
      <c r="AI349" s="89" t="n"/>
      <c r="AJ349" s="89" t="n"/>
      <c r="AK349" s="89" t="n"/>
      <c r="AL349" s="89" t="n"/>
      <c r="AM349" s="89" t="n"/>
      <c r="AN349" s="89" t="n"/>
      <c r="AO349" s="89" t="n">
        <v>14.09759</v>
      </c>
      <c r="AP349" s="89" t="n"/>
      <c r="AQ349" s="89" t="n"/>
      <c r="AR349" s="89" t="n"/>
      <c r="AS349" s="89" t="n"/>
      <c r="AT349" s="89" t="n"/>
      <c r="AU349" s="89" t="n"/>
      <c r="AV349" s="89" t="n"/>
      <c r="AW349" s="89" t="n"/>
      <c r="AX349" s="89" t="n"/>
      <c r="AY349" s="89" t="n"/>
    </row>
    <row r="350">
      <c r="A350" t="inlineStr">
        <is>
          <t>1948-01</t>
        </is>
      </c>
      <c r="B350" s="1" t="n">
        <v>17533</v>
      </c>
      <c r="C350" s="88" t="n">
        <v>350</v>
      </c>
      <c r="E350" s="1">
        <f>B350</f>
        <v/>
      </c>
      <c r="F350" s="2">
        <f>B350</f>
        <v/>
      </c>
      <c r="G350" s="88" t="n">
        <v>348</v>
      </c>
      <c r="H350" s="89" t="n"/>
      <c r="I350" s="89" t="n"/>
      <c r="J350" s="89" t="n"/>
      <c r="K350" s="89" t="n"/>
      <c r="L350" s="89" t="n"/>
      <c r="M350" s="89" t="n"/>
      <c r="N350" s="89" t="n"/>
      <c r="O350" s="89" t="n"/>
      <c r="P350" s="89" t="n"/>
      <c r="Q350" s="89" t="n"/>
      <c r="R350" s="89" t="n"/>
      <c r="S350" s="89" t="n"/>
      <c r="T350" s="89" t="n"/>
      <c r="U350" s="89" t="n"/>
      <c r="V350" s="89" t="n"/>
      <c r="W350" s="89" t="n"/>
      <c r="X350" s="89" t="n"/>
      <c r="Y350" s="89" t="n"/>
      <c r="Z350" s="89" t="n"/>
      <c r="AA350" s="89" t="n"/>
      <c r="AB350" s="89" t="n"/>
      <c r="AC350" s="89" t="n"/>
      <c r="AD350" s="89" t="n"/>
      <c r="AE350" s="89" t="n"/>
      <c r="AF350" s="89" t="n"/>
      <c r="AG350" s="89" t="n"/>
      <c r="AH350" s="89" t="n"/>
      <c r="AI350" s="89" t="n"/>
      <c r="AJ350" s="89" t="n"/>
      <c r="AK350" s="89" t="n"/>
      <c r="AL350" s="89" t="n"/>
      <c r="AM350" s="89" t="n"/>
      <c r="AN350" s="89" t="n"/>
      <c r="AO350" s="89" t="n">
        <v>14.17741</v>
      </c>
      <c r="AP350" s="89" t="n"/>
      <c r="AQ350" s="89" t="n"/>
      <c r="AR350" s="89" t="n"/>
      <c r="AS350" s="89" t="n"/>
      <c r="AT350" s="89" t="n"/>
      <c r="AU350" s="89" t="n"/>
      <c r="AV350" s="89" t="n"/>
      <c r="AW350" s="89" t="n"/>
      <c r="AX350" s="89" t="n"/>
      <c r="AY350" s="89" t="n"/>
    </row>
    <row r="351">
      <c r="A351" t="inlineStr">
        <is>
          <t>1948-02</t>
        </is>
      </c>
      <c r="B351" s="1" t="n">
        <v>17564</v>
      </c>
      <c r="C351" s="88" t="n">
        <v>351</v>
      </c>
      <c r="E351" s="1">
        <f>B351</f>
        <v/>
      </c>
      <c r="F351" s="2">
        <f>B351</f>
        <v/>
      </c>
      <c r="G351" s="88" t="n">
        <v>349</v>
      </c>
      <c r="H351" s="89" t="n"/>
      <c r="I351" s="89" t="n"/>
      <c r="J351" s="89" t="n"/>
      <c r="K351" s="89" t="n"/>
      <c r="L351" s="89" t="n"/>
      <c r="M351" s="89" t="n"/>
      <c r="N351" s="89" t="n"/>
      <c r="O351" s="89" t="n"/>
      <c r="P351" s="89" t="n"/>
      <c r="Q351" s="89" t="n"/>
      <c r="R351" s="89" t="n"/>
      <c r="S351" s="89" t="n"/>
      <c r="T351" s="89" t="n"/>
      <c r="U351" s="89" t="n"/>
      <c r="V351" s="89" t="n"/>
      <c r="W351" s="89" t="n"/>
      <c r="X351" s="89" t="n"/>
      <c r="Y351" s="89" t="n"/>
      <c r="Z351" s="89" t="n"/>
      <c r="AA351" s="89" t="n"/>
      <c r="AB351" s="89" t="n"/>
      <c r="AC351" s="89" t="n"/>
      <c r="AD351" s="89" t="n"/>
      <c r="AE351" s="89" t="n"/>
      <c r="AF351" s="89" t="n"/>
      <c r="AG351" s="89" t="n"/>
      <c r="AH351" s="89" t="n"/>
      <c r="AI351" s="89" t="n"/>
      <c r="AJ351" s="89" t="n"/>
      <c r="AK351" s="89" t="n"/>
      <c r="AL351" s="89" t="n"/>
      <c r="AM351" s="89" t="n"/>
      <c r="AN351" s="89" t="n"/>
      <c r="AO351" s="89" t="n">
        <v>14.20401</v>
      </c>
      <c r="AP351" s="89" t="n"/>
      <c r="AQ351" s="89" t="n"/>
      <c r="AR351" s="89" t="n"/>
      <c r="AS351" s="89" t="n"/>
      <c r="AT351" s="89" t="n"/>
      <c r="AU351" s="89" t="n"/>
      <c r="AV351" s="89" t="n"/>
      <c r="AW351" s="89" t="n"/>
      <c r="AX351" s="89" t="n"/>
      <c r="AY351" s="89" t="n"/>
    </row>
    <row r="352">
      <c r="A352" t="inlineStr">
        <is>
          <t>1948-03</t>
        </is>
      </c>
      <c r="B352" s="1" t="n">
        <v>17593</v>
      </c>
      <c r="C352" s="88" t="n">
        <v>352</v>
      </c>
      <c r="E352" s="1">
        <f>B352</f>
        <v/>
      </c>
      <c r="F352" s="2">
        <f>B352</f>
        <v/>
      </c>
      <c r="G352" s="88" t="n">
        <v>350</v>
      </c>
      <c r="H352" s="89" t="n"/>
      <c r="I352" s="89" t="n"/>
      <c r="J352" s="89" t="n"/>
      <c r="K352" s="89" t="n"/>
      <c r="L352" s="89" t="n"/>
      <c r="M352" s="89" t="n"/>
      <c r="N352" s="89" t="n"/>
      <c r="O352" s="89" t="n"/>
      <c r="P352" s="89" t="n"/>
      <c r="Q352" s="89" t="n"/>
      <c r="R352" s="89" t="n"/>
      <c r="S352" s="89" t="n"/>
      <c r="T352" s="89" t="n"/>
      <c r="U352" s="89" t="n"/>
      <c r="V352" s="89" t="n"/>
      <c r="W352" s="89" t="n"/>
      <c r="X352" s="89" t="n"/>
      <c r="Y352" s="89" t="n"/>
      <c r="Z352" s="89" t="n"/>
      <c r="AA352" s="89" t="n"/>
      <c r="AB352" s="89" t="n"/>
      <c r="AC352" s="89" t="n"/>
      <c r="AD352" s="89" t="n"/>
      <c r="AE352" s="89" t="n"/>
      <c r="AF352" s="89" t="n"/>
      <c r="AG352" s="89" t="n"/>
      <c r="AH352" s="89" t="n"/>
      <c r="AI352" s="89" t="n"/>
      <c r="AJ352" s="89" t="n"/>
      <c r="AK352" s="89" t="n"/>
      <c r="AL352" s="89" t="n"/>
      <c r="AM352" s="89" t="n"/>
      <c r="AN352" s="89" t="n"/>
      <c r="AO352" s="89" t="n">
        <v>14.04438</v>
      </c>
      <c r="AP352" s="89" t="n"/>
      <c r="AQ352" s="89" t="n"/>
      <c r="AR352" s="89" t="n"/>
      <c r="AS352" s="89" t="n"/>
      <c r="AT352" s="89" t="n"/>
      <c r="AU352" s="89" t="n"/>
      <c r="AV352" s="89" t="n"/>
      <c r="AW352" s="89" t="n"/>
      <c r="AX352" s="89" t="n"/>
      <c r="AY352" s="89" t="n"/>
    </row>
    <row r="353">
      <c r="A353" t="inlineStr">
        <is>
          <t>1948-04</t>
        </is>
      </c>
      <c r="B353" s="1" t="n">
        <v>17624</v>
      </c>
      <c r="C353" s="88" t="n">
        <v>353</v>
      </c>
      <c r="E353" s="1">
        <f>B353</f>
        <v/>
      </c>
      <c r="F353" s="2">
        <f>B353</f>
        <v/>
      </c>
      <c r="G353" s="88" t="n">
        <v>351</v>
      </c>
      <c r="H353" s="89" t="n"/>
      <c r="I353" s="89" t="n"/>
      <c r="J353" s="89" t="n"/>
      <c r="K353" s="89" t="n"/>
      <c r="L353" s="89" t="n"/>
      <c r="M353" s="89" t="n"/>
      <c r="N353" s="89" t="n"/>
      <c r="O353" s="89" t="n"/>
      <c r="P353" s="89" t="n"/>
      <c r="Q353" s="89" t="n"/>
      <c r="R353" s="89" t="n"/>
      <c r="S353" s="89" t="n"/>
      <c r="T353" s="89" t="n"/>
      <c r="U353" s="89" t="n"/>
      <c r="V353" s="89" t="n"/>
      <c r="W353" s="89" t="n"/>
      <c r="X353" s="89" t="n"/>
      <c r="Y353" s="89" t="n"/>
      <c r="Z353" s="89" t="n"/>
      <c r="AA353" s="89" t="n"/>
      <c r="AB353" s="89" t="n"/>
      <c r="AC353" s="89" t="n"/>
      <c r="AD353" s="89" t="n"/>
      <c r="AE353" s="89" t="n"/>
      <c r="AF353" s="89" t="n"/>
      <c r="AG353" s="89" t="n"/>
      <c r="AH353" s="89" t="n"/>
      <c r="AI353" s="89" t="n"/>
      <c r="AJ353" s="89" t="n"/>
      <c r="AK353" s="89" t="n"/>
      <c r="AL353" s="89" t="n"/>
      <c r="AM353" s="89" t="n"/>
      <c r="AN353" s="89" t="n"/>
      <c r="AO353" s="89" t="n">
        <v>14.07098</v>
      </c>
      <c r="AP353" s="89" t="n"/>
      <c r="AQ353" s="89" t="n"/>
      <c r="AR353" s="89" t="n"/>
      <c r="AS353" s="89" t="n"/>
      <c r="AT353" s="89" t="n"/>
      <c r="AU353" s="89" t="n"/>
      <c r="AV353" s="89" t="n"/>
      <c r="AW353" s="89" t="n"/>
      <c r="AX353" s="89" t="n"/>
      <c r="AY353" s="89" t="n"/>
    </row>
    <row r="354">
      <c r="A354" t="inlineStr">
        <is>
          <t>1948-05</t>
        </is>
      </c>
      <c r="B354" s="1" t="n">
        <v>17654</v>
      </c>
      <c r="C354" s="88" t="n">
        <v>354</v>
      </c>
      <c r="E354" s="1">
        <f>B354</f>
        <v/>
      </c>
      <c r="F354" s="2">
        <f>B354</f>
        <v/>
      </c>
      <c r="G354" s="88" t="n">
        <v>352</v>
      </c>
      <c r="H354" s="89" t="n"/>
      <c r="I354" s="89" t="n"/>
      <c r="J354" s="89" t="n"/>
      <c r="K354" s="89" t="n"/>
      <c r="L354" s="89" t="n"/>
      <c r="M354" s="89" t="n"/>
      <c r="N354" s="89" t="n"/>
      <c r="O354" s="89" t="n"/>
      <c r="P354" s="89" t="n"/>
      <c r="Q354" s="89" t="n"/>
      <c r="R354" s="89" t="n"/>
      <c r="S354" s="89" t="n"/>
      <c r="T354" s="89" t="n"/>
      <c r="U354" s="89" t="n"/>
      <c r="V354" s="89" t="n"/>
      <c r="W354" s="89" t="n"/>
      <c r="X354" s="89" t="n"/>
      <c r="Y354" s="89" t="n"/>
      <c r="Z354" s="89" t="n"/>
      <c r="AA354" s="89" t="n"/>
      <c r="AB354" s="89" t="n"/>
      <c r="AC354" s="89" t="n"/>
      <c r="AD354" s="89" t="n"/>
      <c r="AE354" s="89" t="n"/>
      <c r="AF354" s="89" t="n"/>
      <c r="AG354" s="89" t="n"/>
      <c r="AH354" s="89" t="n"/>
      <c r="AI354" s="89" t="n"/>
      <c r="AJ354" s="89" t="n"/>
      <c r="AK354" s="89" t="n"/>
      <c r="AL354" s="89" t="n"/>
      <c r="AM354" s="89" t="n"/>
      <c r="AN354" s="89" t="n"/>
      <c r="AO354" s="89" t="n">
        <v>14.31034</v>
      </c>
      <c r="AP354" s="89" t="n"/>
      <c r="AQ354" s="89" t="n"/>
      <c r="AR354" s="89" t="n"/>
      <c r="AS354" s="89" t="n"/>
      <c r="AT354" s="89" t="n"/>
      <c r="AU354" s="89" t="n"/>
      <c r="AV354" s="89" t="n"/>
      <c r="AW354" s="89" t="n"/>
      <c r="AX354" s="89" t="n"/>
      <c r="AY354" s="89" t="n"/>
    </row>
    <row r="355">
      <c r="A355" t="inlineStr">
        <is>
          <t>1948-06</t>
        </is>
      </c>
      <c r="B355" s="1" t="n">
        <v>17685</v>
      </c>
      <c r="C355" s="88" t="n">
        <v>355</v>
      </c>
      <c r="E355" s="1">
        <f>B355</f>
        <v/>
      </c>
      <c r="F355" s="2">
        <f>B355</f>
        <v/>
      </c>
      <c r="G355" s="88" t="n">
        <v>353</v>
      </c>
      <c r="H355" s="89" t="n"/>
      <c r="I355" s="89" t="n"/>
      <c r="J355" s="89" t="n"/>
      <c r="K355" s="89" t="n"/>
      <c r="L355" s="89" t="n"/>
      <c r="M355" s="89" t="n"/>
      <c r="N355" s="89" t="n"/>
      <c r="O355" s="89" t="n"/>
      <c r="P355" s="89" t="n"/>
      <c r="Q355" s="89" t="n"/>
      <c r="R355" s="89" t="n"/>
      <c r="S355" s="89" t="n"/>
      <c r="T355" s="89" t="n"/>
      <c r="U355" s="89" t="n"/>
      <c r="V355" s="89" t="n"/>
      <c r="W355" s="89" t="n"/>
      <c r="X355" s="89" t="n"/>
      <c r="Y355" s="89" t="n"/>
      <c r="Z355" s="89" t="n"/>
      <c r="AA355" s="89" t="n"/>
      <c r="AB355" s="89" t="n"/>
      <c r="AC355" s="89" t="n"/>
      <c r="AD355" s="89" t="n"/>
      <c r="AE355" s="89" t="n"/>
      <c r="AF355" s="89" t="n"/>
      <c r="AG355" s="89" t="n"/>
      <c r="AH355" s="89" t="n"/>
      <c r="AI355" s="89" t="n"/>
      <c r="AJ355" s="89" t="n"/>
      <c r="AK355" s="89" t="n"/>
      <c r="AL355" s="89" t="n"/>
      <c r="AM355" s="89" t="n"/>
      <c r="AN355" s="89" t="n"/>
      <c r="AO355" s="89" t="n">
        <v>14.49659</v>
      </c>
      <c r="AP355" s="89" t="n"/>
      <c r="AQ355" s="89" t="n"/>
      <c r="AR355" s="89" t="n"/>
      <c r="AS355" s="89" t="n"/>
      <c r="AT355" s="89" t="n"/>
      <c r="AU355" s="89" t="n"/>
      <c r="AV355" s="89" t="n"/>
      <c r="AW355" s="89" t="n"/>
      <c r="AX355" s="89" t="n"/>
      <c r="AY355" s="89" t="n"/>
    </row>
    <row r="356">
      <c r="A356" t="inlineStr">
        <is>
          <t>1948-07</t>
        </is>
      </c>
      <c r="B356" s="1" t="n">
        <v>17715</v>
      </c>
      <c r="C356" s="88" t="n">
        <v>356</v>
      </c>
      <c r="E356" s="1">
        <f>B356</f>
        <v/>
      </c>
      <c r="F356" s="2">
        <f>B356</f>
        <v/>
      </c>
      <c r="G356" s="88" t="n">
        <v>354</v>
      </c>
      <c r="H356" s="89" t="n"/>
      <c r="I356" s="89" t="n"/>
      <c r="J356" s="89" t="n"/>
      <c r="K356" s="89" t="n"/>
      <c r="L356" s="89" t="n"/>
      <c r="M356" s="89" t="n"/>
      <c r="N356" s="89" t="n"/>
      <c r="O356" s="89" t="n"/>
      <c r="P356" s="89" t="n"/>
      <c r="Q356" s="89" t="n"/>
      <c r="R356" s="89" t="n"/>
      <c r="S356" s="89" t="n"/>
      <c r="T356" s="89" t="n"/>
      <c r="U356" s="89" t="n"/>
      <c r="V356" s="89" t="n"/>
      <c r="W356" s="89" t="n"/>
      <c r="X356" s="89" t="n"/>
      <c r="Y356" s="89" t="n"/>
      <c r="Z356" s="89" t="n"/>
      <c r="AA356" s="89" t="n"/>
      <c r="AB356" s="89" t="n"/>
      <c r="AC356" s="89" t="n"/>
      <c r="AD356" s="89" t="n"/>
      <c r="AE356" s="89" t="n"/>
      <c r="AF356" s="89" t="n"/>
      <c r="AG356" s="89" t="n"/>
      <c r="AH356" s="89" t="n"/>
      <c r="AI356" s="89" t="n"/>
      <c r="AJ356" s="89" t="n"/>
      <c r="AK356" s="89" t="n"/>
      <c r="AL356" s="89" t="n"/>
      <c r="AM356" s="89" t="n"/>
      <c r="AN356" s="89" t="n"/>
      <c r="AO356" s="89" t="n">
        <v>14.49659</v>
      </c>
      <c r="AP356" s="89" t="n"/>
      <c r="AQ356" s="89" t="n"/>
      <c r="AR356" s="89" t="n"/>
      <c r="AS356" s="89" t="n"/>
      <c r="AT356" s="89" t="n"/>
      <c r="AU356" s="89" t="n"/>
      <c r="AV356" s="89" t="n"/>
      <c r="AW356" s="89" t="n"/>
      <c r="AX356" s="89" t="n"/>
      <c r="AY356" s="89" t="n"/>
    </row>
    <row r="357">
      <c r="A357" t="inlineStr">
        <is>
          <t>1948-08</t>
        </is>
      </c>
      <c r="B357" s="1" t="n">
        <v>17746</v>
      </c>
      <c r="C357" s="88" t="n">
        <v>357</v>
      </c>
      <c r="E357" s="1">
        <f>B357</f>
        <v/>
      </c>
      <c r="F357" s="2">
        <f>B357</f>
        <v/>
      </c>
      <c r="G357" s="88" t="n">
        <v>355</v>
      </c>
      <c r="H357" s="89" t="n"/>
      <c r="I357" s="89" t="n"/>
      <c r="J357" s="89" t="n"/>
      <c r="K357" s="89" t="n"/>
      <c r="L357" s="89" t="n"/>
      <c r="M357" s="89" t="n"/>
      <c r="N357" s="89" t="n"/>
      <c r="O357" s="89" t="n"/>
      <c r="P357" s="89" t="n"/>
      <c r="Q357" s="89" t="n"/>
      <c r="R357" s="89" t="n"/>
      <c r="S357" s="89" t="n"/>
      <c r="T357" s="89" t="n"/>
      <c r="U357" s="89" t="n"/>
      <c r="V357" s="89" t="n"/>
      <c r="W357" s="89" t="n"/>
      <c r="X357" s="89" t="n"/>
      <c r="Y357" s="89" t="n"/>
      <c r="Z357" s="89" t="n"/>
      <c r="AA357" s="89" t="n"/>
      <c r="AB357" s="89" t="n"/>
      <c r="AC357" s="89" t="n"/>
      <c r="AD357" s="89" t="n"/>
      <c r="AE357" s="89" t="n"/>
      <c r="AF357" s="89" t="n"/>
      <c r="AG357" s="89" t="n"/>
      <c r="AH357" s="89" t="n"/>
      <c r="AI357" s="89" t="n"/>
      <c r="AJ357" s="89" t="n"/>
      <c r="AK357" s="89" t="n"/>
      <c r="AL357" s="89" t="n"/>
      <c r="AM357" s="89" t="n"/>
      <c r="AN357" s="89" t="n"/>
      <c r="AO357" s="89" t="n">
        <v>14.44337</v>
      </c>
      <c r="AP357" s="89" t="n"/>
      <c r="AQ357" s="89" t="n"/>
      <c r="AR357" s="89" t="n"/>
      <c r="AS357" s="89" t="n"/>
      <c r="AT357" s="89" t="n"/>
      <c r="AU357" s="89" t="n"/>
      <c r="AV357" s="89" t="n"/>
      <c r="AW357" s="89" t="n"/>
      <c r="AX357" s="89" t="n"/>
      <c r="AY357" s="89" t="n"/>
    </row>
    <row r="358">
      <c r="A358" t="inlineStr">
        <is>
          <t>1948-09</t>
        </is>
      </c>
      <c r="B358" s="1" t="n">
        <v>17777</v>
      </c>
      <c r="C358" s="88" t="n">
        <v>358</v>
      </c>
      <c r="E358" s="1">
        <f>B358</f>
        <v/>
      </c>
      <c r="F358" s="2">
        <f>B358</f>
        <v/>
      </c>
      <c r="G358" s="88" t="n">
        <v>356</v>
      </c>
      <c r="H358" s="89" t="n"/>
      <c r="I358" s="89" t="n"/>
      <c r="J358" s="89" t="n"/>
      <c r="K358" s="89" t="n"/>
      <c r="L358" s="89" t="n"/>
      <c r="M358" s="89" t="n"/>
      <c r="N358" s="89" t="n"/>
      <c r="O358" s="89" t="n"/>
      <c r="P358" s="89" t="n"/>
      <c r="Q358" s="89" t="n"/>
      <c r="R358" s="89" t="n"/>
      <c r="S358" s="89" t="n"/>
      <c r="T358" s="89" t="n"/>
      <c r="U358" s="89" t="n"/>
      <c r="V358" s="89" t="n"/>
      <c r="W358" s="89" t="n"/>
      <c r="X358" s="89" t="n"/>
      <c r="Y358" s="89" t="n"/>
      <c r="Z358" s="89" t="n"/>
      <c r="AA358" s="89" t="n"/>
      <c r="AB358" s="89" t="n"/>
      <c r="AC358" s="89" t="n"/>
      <c r="AD358" s="89" t="n"/>
      <c r="AE358" s="89" t="n"/>
      <c r="AF358" s="89" t="n"/>
      <c r="AG358" s="89" t="n"/>
      <c r="AH358" s="89" t="n"/>
      <c r="AI358" s="89" t="n"/>
      <c r="AJ358" s="89" t="n"/>
      <c r="AK358" s="89" t="n"/>
      <c r="AL358" s="89" t="n"/>
      <c r="AM358" s="89" t="n"/>
      <c r="AN358" s="89" t="n"/>
      <c r="AO358" s="89" t="n">
        <v>14.33695</v>
      </c>
      <c r="AP358" s="89" t="n"/>
      <c r="AQ358" s="89" t="n"/>
      <c r="AR358" s="89" t="n"/>
      <c r="AS358" s="89" t="n"/>
      <c r="AT358" s="89" t="n"/>
      <c r="AU358" s="89" t="n"/>
      <c r="AV358" s="89" t="n"/>
      <c r="AW358" s="89" t="n"/>
      <c r="AX358" s="89" t="n"/>
      <c r="AY358" s="89" t="n"/>
    </row>
    <row r="359">
      <c r="A359" t="inlineStr">
        <is>
          <t>1948-10</t>
        </is>
      </c>
      <c r="B359" s="1" t="n">
        <v>17807</v>
      </c>
      <c r="C359" s="88" t="n">
        <v>359</v>
      </c>
      <c r="E359" s="1">
        <f>B359</f>
        <v/>
      </c>
      <c r="F359" s="2">
        <f>B359</f>
        <v/>
      </c>
      <c r="G359" s="88" t="n">
        <v>357</v>
      </c>
      <c r="H359" s="89" t="n"/>
      <c r="I359" s="89" t="n"/>
      <c r="J359" s="89" t="n"/>
      <c r="K359" s="89" t="n"/>
      <c r="L359" s="89" t="n"/>
      <c r="M359" s="89" t="n"/>
      <c r="N359" s="89" t="n"/>
      <c r="O359" s="89" t="n"/>
      <c r="P359" s="89" t="n"/>
      <c r="Q359" s="89" t="n"/>
      <c r="R359" s="89" t="n"/>
      <c r="S359" s="89" t="n"/>
      <c r="T359" s="89" t="n"/>
      <c r="U359" s="89" t="n"/>
      <c r="V359" s="89" t="n"/>
      <c r="W359" s="89" t="n"/>
      <c r="X359" s="89" t="n"/>
      <c r="Y359" s="89" t="n"/>
      <c r="Z359" s="89" t="n"/>
      <c r="AA359" s="89" t="n"/>
      <c r="AB359" s="89" t="n"/>
      <c r="AC359" s="89" t="n"/>
      <c r="AD359" s="89" t="n"/>
      <c r="AE359" s="89" t="n"/>
      <c r="AF359" s="89" t="n"/>
      <c r="AG359" s="89" t="n"/>
      <c r="AH359" s="89" t="n"/>
      <c r="AI359" s="89" t="n"/>
      <c r="AJ359" s="89" t="n"/>
      <c r="AK359" s="89" t="n"/>
      <c r="AL359" s="89" t="n"/>
      <c r="AM359" s="89" t="n"/>
      <c r="AN359" s="89" t="n"/>
      <c r="AO359" s="89" t="n">
        <v>14.44337</v>
      </c>
      <c r="AP359" s="89" t="n"/>
      <c r="AQ359" s="89" t="n"/>
      <c r="AR359" s="89" t="n"/>
      <c r="AS359" s="89" t="n"/>
      <c r="AT359" s="89" t="n"/>
      <c r="AU359" s="89" t="n"/>
      <c r="AV359" s="89" t="n"/>
      <c r="AW359" s="89" t="n"/>
      <c r="AX359" s="89" t="n"/>
      <c r="AY359" s="89" t="n"/>
    </row>
    <row r="360">
      <c r="A360" t="inlineStr">
        <is>
          <t>1948-11</t>
        </is>
      </c>
      <c r="B360" s="1" t="n">
        <v>17838</v>
      </c>
      <c r="C360" s="88" t="n">
        <v>360</v>
      </c>
      <c r="E360" s="1">
        <f>B360</f>
        <v/>
      </c>
      <c r="F360" s="2">
        <f>B360</f>
        <v/>
      </c>
      <c r="G360" s="88" t="n">
        <v>358</v>
      </c>
      <c r="H360" s="89" t="n"/>
      <c r="I360" s="89" t="n"/>
      <c r="J360" s="89" t="n"/>
      <c r="K360" s="89" t="n"/>
      <c r="L360" s="89" t="n"/>
      <c r="M360" s="89" t="n"/>
      <c r="N360" s="89" t="n"/>
      <c r="O360" s="89" t="n"/>
      <c r="P360" s="89" t="n"/>
      <c r="Q360" s="89" t="n"/>
      <c r="R360" s="89" t="n"/>
      <c r="S360" s="89" t="n"/>
      <c r="T360" s="89" t="n"/>
      <c r="U360" s="89" t="n"/>
      <c r="V360" s="89" t="n"/>
      <c r="W360" s="89" t="n"/>
      <c r="X360" s="89" t="n"/>
      <c r="Y360" s="89" t="n"/>
      <c r="Z360" s="89" t="n"/>
      <c r="AA360" s="89" t="n"/>
      <c r="AB360" s="89" t="n"/>
      <c r="AC360" s="89" t="n"/>
      <c r="AD360" s="89" t="n"/>
      <c r="AE360" s="89" t="n"/>
      <c r="AF360" s="89" t="n"/>
      <c r="AG360" s="89" t="n"/>
      <c r="AH360" s="89" t="n"/>
      <c r="AI360" s="89" t="n"/>
      <c r="AJ360" s="89" t="n"/>
      <c r="AK360" s="89" t="n"/>
      <c r="AL360" s="89" t="n"/>
      <c r="AM360" s="89" t="n"/>
      <c r="AN360" s="89" t="n"/>
      <c r="AO360" s="89" t="n">
        <v>14.25713</v>
      </c>
      <c r="AP360" s="89" t="n"/>
      <c r="AQ360" s="89" t="n"/>
      <c r="AR360" s="89" t="n"/>
      <c r="AS360" s="89" t="n"/>
      <c r="AT360" s="89" t="n"/>
      <c r="AU360" s="89" t="n"/>
      <c r="AV360" s="89" t="n"/>
      <c r="AW360" s="89" t="n"/>
      <c r="AX360" s="89" t="n"/>
      <c r="AY360" s="89" t="n"/>
    </row>
    <row r="361">
      <c r="A361" t="inlineStr">
        <is>
          <t>1948-12</t>
        </is>
      </c>
      <c r="B361" s="1" t="n">
        <v>17868</v>
      </c>
      <c r="C361" s="88" t="n">
        <v>361</v>
      </c>
      <c r="E361" s="1">
        <f>B361</f>
        <v/>
      </c>
      <c r="F361" s="2">
        <f>B361</f>
        <v/>
      </c>
      <c r="G361" s="88" t="n">
        <v>359</v>
      </c>
      <c r="H361" s="89" t="n"/>
      <c r="I361" s="89" t="n"/>
      <c r="J361" s="89" t="n"/>
      <c r="K361" s="89" t="n"/>
      <c r="L361" s="89" t="n"/>
      <c r="M361" s="89" t="n"/>
      <c r="N361" s="89" t="n"/>
      <c r="O361" s="89" t="n"/>
      <c r="P361" s="89" t="n"/>
      <c r="Q361" s="89" t="n"/>
      <c r="R361" s="89" t="n"/>
      <c r="S361" s="89" t="n"/>
      <c r="T361" s="89" t="n"/>
      <c r="U361" s="89" t="n"/>
      <c r="V361" s="89" t="n"/>
      <c r="W361" s="89" t="n"/>
      <c r="X361" s="89" t="n"/>
      <c r="Y361" s="89" t="n"/>
      <c r="Z361" s="89" t="n"/>
      <c r="AA361" s="89" t="n"/>
      <c r="AB361" s="89" t="n"/>
      <c r="AC361" s="89" t="n"/>
      <c r="AD361" s="89" t="n"/>
      <c r="AE361" s="89" t="n"/>
      <c r="AF361" s="89" t="n"/>
      <c r="AG361" s="89" t="n"/>
      <c r="AH361" s="89" t="n"/>
      <c r="AI361" s="89" t="n"/>
      <c r="AJ361" s="89" t="n"/>
      <c r="AK361" s="89" t="n"/>
      <c r="AL361" s="89" t="n"/>
      <c r="AM361" s="89" t="n"/>
      <c r="AN361" s="89" t="n"/>
      <c r="AO361" s="89" t="n">
        <v>14.1242</v>
      </c>
      <c r="AP361" s="89" t="n"/>
      <c r="AQ361" s="89" t="n"/>
      <c r="AR361" s="89" t="n"/>
      <c r="AS361" s="89" t="n"/>
      <c r="AT361" s="89" t="n"/>
      <c r="AU361" s="89" t="n"/>
      <c r="AV361" s="89" t="n"/>
      <c r="AW361" s="89" t="n"/>
      <c r="AX361" s="89" t="n"/>
      <c r="AY361" s="89" t="n"/>
    </row>
    <row r="362">
      <c r="A362" t="inlineStr">
        <is>
          <t>1949-01</t>
        </is>
      </c>
      <c r="B362" s="1" t="n">
        <v>17899</v>
      </c>
      <c r="C362" s="88" t="n">
        <v>362</v>
      </c>
      <c r="E362" s="1">
        <f>B362</f>
        <v/>
      </c>
      <c r="F362" s="2">
        <f>B362</f>
        <v/>
      </c>
      <c r="G362" s="88" t="n">
        <v>360</v>
      </c>
      <c r="H362" s="89" t="n"/>
      <c r="I362" s="89" t="n"/>
      <c r="J362" s="89" t="n"/>
      <c r="K362" s="89" t="n"/>
      <c r="L362" s="89" t="n"/>
      <c r="M362" s="89" t="n"/>
      <c r="N362" s="89" t="n"/>
      <c r="O362" s="89" t="n"/>
      <c r="P362" s="89" t="n"/>
      <c r="Q362" s="89" t="n"/>
      <c r="R362" s="89" t="n"/>
      <c r="S362" s="89" t="n"/>
      <c r="T362" s="89" t="n"/>
      <c r="U362" s="89" t="n"/>
      <c r="V362" s="89" t="n"/>
      <c r="W362" s="89" t="n"/>
      <c r="X362" s="89" t="n"/>
      <c r="Y362" s="89" t="n"/>
      <c r="Z362" s="89" t="n"/>
      <c r="AA362" s="89" t="n"/>
      <c r="AB362" s="89" t="n"/>
      <c r="AC362" s="89" t="n"/>
      <c r="AD362" s="89" t="n"/>
      <c r="AE362" s="89" t="n"/>
      <c r="AF362" s="89" t="n"/>
      <c r="AG362" s="89" t="n"/>
      <c r="AH362" s="89" t="n"/>
      <c r="AI362" s="89" t="n"/>
      <c r="AJ362" s="89" t="n"/>
      <c r="AK362" s="89" t="n"/>
      <c r="AL362" s="89" t="n"/>
      <c r="AM362" s="89" t="n"/>
      <c r="AN362" s="89" t="n"/>
      <c r="AO362" s="89" t="n">
        <v>13.99117</v>
      </c>
      <c r="AP362" s="89" t="n"/>
      <c r="AQ362" s="89" t="n"/>
      <c r="AR362" s="89" t="n"/>
      <c r="AS362" s="89" t="n"/>
      <c r="AT362" s="89" t="n"/>
      <c r="AU362" s="89" t="n"/>
      <c r="AV362" s="89" t="n"/>
      <c r="AW362" s="89" t="n"/>
      <c r="AX362" s="89" t="n"/>
      <c r="AY362" s="89" t="n"/>
    </row>
    <row r="363">
      <c r="A363" t="inlineStr">
        <is>
          <t>1949-02</t>
        </is>
      </c>
      <c r="B363" s="1" t="n">
        <v>17930</v>
      </c>
      <c r="C363" s="88" t="n">
        <v>363</v>
      </c>
      <c r="E363" s="1">
        <f>B363</f>
        <v/>
      </c>
      <c r="F363" s="2">
        <f>B363</f>
        <v/>
      </c>
      <c r="G363" s="88" t="n">
        <v>361</v>
      </c>
      <c r="H363" s="89" t="n"/>
      <c r="I363" s="89" t="n"/>
      <c r="J363" s="89" t="n"/>
      <c r="K363" s="89" t="n"/>
      <c r="L363" s="89" t="n"/>
      <c r="M363" s="89" t="n"/>
      <c r="N363" s="89" t="n"/>
      <c r="O363" s="89" t="n"/>
      <c r="P363" s="89" t="n"/>
      <c r="Q363" s="89" t="n"/>
      <c r="R363" s="89" t="n"/>
      <c r="S363" s="89" t="n"/>
      <c r="T363" s="89" t="n"/>
      <c r="U363" s="89" t="n"/>
      <c r="V363" s="89" t="n"/>
      <c r="W363" s="89" t="n"/>
      <c r="X363" s="89" t="n"/>
      <c r="Y363" s="89" t="n"/>
      <c r="Z363" s="89" t="n"/>
      <c r="AA363" s="89" t="n"/>
      <c r="AB363" s="89" t="n"/>
      <c r="AC363" s="89" t="n"/>
      <c r="AD363" s="89" t="n"/>
      <c r="AE363" s="89" t="n"/>
      <c r="AF363" s="89" t="n"/>
      <c r="AG363" s="89" t="n"/>
      <c r="AH363" s="89" t="n"/>
      <c r="AI363" s="89" t="n"/>
      <c r="AJ363" s="89" t="n"/>
      <c r="AK363" s="89" t="n"/>
      <c r="AL363" s="89" t="n"/>
      <c r="AM363" s="89" t="n"/>
      <c r="AN363" s="89" t="n"/>
      <c r="AO363" s="89" t="n">
        <v>13.85823</v>
      </c>
      <c r="AP363" s="89" t="n"/>
      <c r="AQ363" s="89" t="n"/>
      <c r="AR363" s="89" t="n"/>
      <c r="AS363" s="89" t="n"/>
      <c r="AT363" s="89" t="n"/>
      <c r="AU363" s="89" t="n"/>
      <c r="AV363" s="89" t="n"/>
      <c r="AW363" s="89" t="n"/>
      <c r="AX363" s="89" t="n"/>
      <c r="AY363" s="89" t="n"/>
    </row>
    <row r="364">
      <c r="A364" t="inlineStr">
        <is>
          <t>1949-03</t>
        </is>
      </c>
      <c r="B364" s="1" t="n">
        <v>17958</v>
      </c>
      <c r="C364" s="88" t="n">
        <v>364</v>
      </c>
      <c r="E364" s="1">
        <f>B364</f>
        <v/>
      </c>
      <c r="F364" s="2">
        <f>B364</f>
        <v/>
      </c>
      <c r="G364" s="88" t="n">
        <v>362</v>
      </c>
      <c r="H364" s="89" t="n"/>
      <c r="I364" s="89" t="n"/>
      <c r="J364" s="89" t="n"/>
      <c r="K364" s="89" t="n"/>
      <c r="L364" s="89" t="n"/>
      <c r="M364" s="89" t="n"/>
      <c r="N364" s="89" t="n"/>
      <c r="O364" s="89" t="n"/>
      <c r="P364" s="89" t="n"/>
      <c r="Q364" s="89" t="n"/>
      <c r="R364" s="89" t="n"/>
      <c r="S364" s="89" t="n"/>
      <c r="T364" s="89" t="n"/>
      <c r="U364" s="89" t="n"/>
      <c r="V364" s="89" t="n"/>
      <c r="W364" s="89" t="n"/>
      <c r="X364" s="89" t="n"/>
      <c r="Y364" s="89" t="n"/>
      <c r="Z364" s="89" t="n"/>
      <c r="AA364" s="89" t="n"/>
      <c r="AB364" s="89" t="n"/>
      <c r="AC364" s="89" t="n"/>
      <c r="AD364" s="89" t="n"/>
      <c r="AE364" s="89" t="n"/>
      <c r="AF364" s="89" t="n"/>
      <c r="AG364" s="89" t="n"/>
      <c r="AH364" s="89" t="n"/>
      <c r="AI364" s="89" t="n"/>
      <c r="AJ364" s="89" t="n"/>
      <c r="AK364" s="89" t="n"/>
      <c r="AL364" s="89" t="n"/>
      <c r="AM364" s="89" t="n"/>
      <c r="AN364" s="89" t="n"/>
      <c r="AO364" s="89" t="n">
        <v>13.59217</v>
      </c>
      <c r="AP364" s="89" t="n"/>
      <c r="AQ364" s="89" t="n"/>
      <c r="AR364" s="89" t="n"/>
      <c r="AS364" s="89" t="n"/>
      <c r="AT364" s="89" t="n"/>
      <c r="AU364" s="89" t="n"/>
      <c r="AV364" s="89" t="n"/>
      <c r="AW364" s="89" t="n"/>
      <c r="AX364" s="89" t="n"/>
      <c r="AY364" s="89" t="n"/>
    </row>
    <row r="365">
      <c r="A365" t="inlineStr">
        <is>
          <t>1949-04</t>
        </is>
      </c>
      <c r="B365" s="1" t="n">
        <v>17989</v>
      </c>
      <c r="C365" s="88" t="n">
        <v>365</v>
      </c>
      <c r="E365" s="1">
        <f>B365</f>
        <v/>
      </c>
      <c r="F365" s="2">
        <f>B365</f>
        <v/>
      </c>
      <c r="G365" s="88" t="n">
        <v>363</v>
      </c>
      <c r="H365" s="89" t="n"/>
      <c r="I365" s="89" t="n"/>
      <c r="J365" s="89" t="n"/>
      <c r="K365" s="89" t="n"/>
      <c r="L365" s="89" t="n"/>
      <c r="M365" s="89" t="n"/>
      <c r="N365" s="89" t="n"/>
      <c r="O365" s="89" t="n"/>
      <c r="P365" s="89" t="n"/>
      <c r="Q365" s="89" t="n"/>
      <c r="R365" s="89" t="n"/>
      <c r="S365" s="89" t="n"/>
      <c r="T365" s="89" t="n"/>
      <c r="U365" s="89" t="n"/>
      <c r="V365" s="89" t="n"/>
      <c r="W365" s="89" t="n"/>
      <c r="X365" s="89" t="n"/>
      <c r="Y365" s="89" t="n"/>
      <c r="Z365" s="89" t="n"/>
      <c r="AA365" s="89" t="n"/>
      <c r="AB365" s="89" t="n"/>
      <c r="AC365" s="89" t="n"/>
      <c r="AD365" s="89" t="n"/>
      <c r="AE365" s="89" t="n"/>
      <c r="AF365" s="89" t="n"/>
      <c r="AG365" s="89" t="n"/>
      <c r="AH365" s="89" t="n"/>
      <c r="AI365" s="89" t="n"/>
      <c r="AJ365" s="89" t="n"/>
      <c r="AK365" s="89" t="n"/>
      <c r="AL365" s="89" t="n"/>
      <c r="AM365" s="89" t="n"/>
      <c r="AN365" s="89" t="n"/>
      <c r="AO365" s="89" t="n">
        <v>13.51235</v>
      </c>
      <c r="AP365" s="89" t="n"/>
      <c r="AQ365" s="89" t="n"/>
      <c r="AR365" s="89" t="n"/>
      <c r="AS365" s="89" t="n"/>
      <c r="AT365" s="89" t="n"/>
      <c r="AU365" s="89" t="n"/>
      <c r="AV365" s="89" t="n"/>
      <c r="AW365" s="89" t="n"/>
      <c r="AX365" s="89" t="n"/>
      <c r="AY365" s="89" t="n"/>
    </row>
    <row r="366">
      <c r="A366" t="inlineStr">
        <is>
          <t>1949-05</t>
        </is>
      </c>
      <c r="B366" s="1" t="n">
        <v>18019</v>
      </c>
      <c r="C366" s="88" t="n">
        <v>366</v>
      </c>
      <c r="E366" s="1">
        <f>B366</f>
        <v/>
      </c>
      <c r="F366" s="2">
        <f>B366</f>
        <v/>
      </c>
      <c r="G366" s="88" t="n">
        <v>364</v>
      </c>
      <c r="H366" s="89" t="n"/>
      <c r="I366" s="89" t="n"/>
      <c r="J366" s="89" t="n"/>
      <c r="K366" s="89" t="n"/>
      <c r="L366" s="89" t="n"/>
      <c r="M366" s="89" t="n"/>
      <c r="N366" s="89" t="n"/>
      <c r="O366" s="89" t="n"/>
      <c r="P366" s="89" t="n"/>
      <c r="Q366" s="89" t="n"/>
      <c r="R366" s="89" t="n"/>
      <c r="S366" s="89" t="n"/>
      <c r="T366" s="89" t="n"/>
      <c r="U366" s="89" t="n"/>
      <c r="V366" s="89" t="n"/>
      <c r="W366" s="89" t="n"/>
      <c r="X366" s="89" t="n"/>
      <c r="Y366" s="89" t="n"/>
      <c r="Z366" s="89" t="n"/>
      <c r="AA366" s="89" t="n"/>
      <c r="AB366" s="89" t="n"/>
      <c r="AC366" s="89" t="n"/>
      <c r="AD366" s="89" t="n"/>
      <c r="AE366" s="89" t="n"/>
      <c r="AF366" s="89" t="n"/>
      <c r="AG366" s="89" t="n"/>
      <c r="AH366" s="89" t="n"/>
      <c r="AI366" s="89" t="n"/>
      <c r="AJ366" s="89" t="n"/>
      <c r="AK366" s="89" t="n"/>
      <c r="AL366" s="89" t="n"/>
      <c r="AM366" s="89" t="n"/>
      <c r="AN366" s="89" t="n"/>
      <c r="AO366" s="89" t="n">
        <v>13.32621</v>
      </c>
      <c r="AP366" s="89" t="n"/>
      <c r="AQ366" s="89" t="n"/>
      <c r="AR366" s="89" t="n"/>
      <c r="AS366" s="89" t="n"/>
      <c r="AT366" s="89" t="n"/>
      <c r="AU366" s="89" t="n"/>
      <c r="AV366" s="89" t="n"/>
      <c r="AW366" s="89" t="n"/>
      <c r="AX366" s="89" t="n"/>
      <c r="AY366" s="89" t="n"/>
    </row>
    <row r="367">
      <c r="A367" t="inlineStr">
        <is>
          <t>1949-06</t>
        </is>
      </c>
      <c r="B367" s="1" t="n">
        <v>18050</v>
      </c>
      <c r="C367" s="88" t="n">
        <v>367</v>
      </c>
      <c r="E367" s="1">
        <f>B367</f>
        <v/>
      </c>
      <c r="F367" s="2">
        <f>B367</f>
        <v/>
      </c>
      <c r="G367" s="88" t="n">
        <v>365</v>
      </c>
      <c r="H367" s="89" t="n"/>
      <c r="I367" s="89" t="n"/>
      <c r="J367" s="89" t="n"/>
      <c r="K367" s="89" t="n"/>
      <c r="L367" s="89" t="n"/>
      <c r="M367" s="89" t="n"/>
      <c r="N367" s="89" t="n"/>
      <c r="O367" s="89" t="n"/>
      <c r="P367" s="89" t="n"/>
      <c r="Q367" s="89" t="n"/>
      <c r="R367" s="89" t="n"/>
      <c r="S367" s="89" t="n"/>
      <c r="T367" s="89" t="n"/>
      <c r="U367" s="89" t="n"/>
      <c r="V367" s="89" t="n"/>
      <c r="W367" s="89" t="n"/>
      <c r="X367" s="89" t="n"/>
      <c r="Y367" s="89" t="n"/>
      <c r="Z367" s="89" t="n"/>
      <c r="AA367" s="89" t="n"/>
      <c r="AB367" s="89" t="n"/>
      <c r="AC367" s="89" t="n"/>
      <c r="AD367" s="89" t="n"/>
      <c r="AE367" s="89" t="n"/>
      <c r="AF367" s="89" t="n"/>
      <c r="AG367" s="89" t="n"/>
      <c r="AH367" s="89" t="n"/>
      <c r="AI367" s="89" t="n"/>
      <c r="AJ367" s="89" t="n"/>
      <c r="AK367" s="89" t="n"/>
      <c r="AL367" s="89" t="n"/>
      <c r="AM367" s="89" t="n"/>
      <c r="AN367" s="89" t="n"/>
      <c r="AO367" s="89" t="n">
        <v>13.2996</v>
      </c>
      <c r="AP367" s="89" t="n"/>
      <c r="AQ367" s="89" t="n"/>
      <c r="AR367" s="89" t="n"/>
      <c r="AS367" s="89" t="n"/>
      <c r="AT367" s="89" t="n"/>
      <c r="AU367" s="89" t="n"/>
      <c r="AV367" s="89" t="n"/>
      <c r="AW367" s="89" t="n"/>
      <c r="AX367" s="89" t="n"/>
      <c r="AY367" s="89" t="n"/>
    </row>
    <row r="368">
      <c r="A368" t="inlineStr">
        <is>
          <t>1949-07</t>
        </is>
      </c>
      <c r="B368" s="1" t="n">
        <v>18080</v>
      </c>
      <c r="C368" s="88" t="n">
        <v>368</v>
      </c>
      <c r="E368" s="1">
        <f>B368</f>
        <v/>
      </c>
      <c r="F368" s="2">
        <f>B368</f>
        <v/>
      </c>
      <c r="G368" s="88" t="n">
        <v>366</v>
      </c>
      <c r="H368" s="89" t="n"/>
      <c r="I368" s="89" t="n"/>
      <c r="J368" s="89" t="n"/>
      <c r="K368" s="89" t="n"/>
      <c r="L368" s="89" t="n"/>
      <c r="M368" s="89" t="n"/>
      <c r="N368" s="89" t="n"/>
      <c r="O368" s="89" t="n"/>
      <c r="P368" s="89" t="n"/>
      <c r="Q368" s="89" t="n"/>
      <c r="R368" s="89" t="n"/>
      <c r="S368" s="89" t="n"/>
      <c r="T368" s="89" t="n"/>
      <c r="U368" s="89" t="n"/>
      <c r="V368" s="89" t="n"/>
      <c r="W368" s="89" t="n"/>
      <c r="X368" s="89" t="n"/>
      <c r="Y368" s="89" t="n"/>
      <c r="Z368" s="89" t="n"/>
      <c r="AA368" s="89" t="n"/>
      <c r="AB368" s="89" t="n"/>
      <c r="AC368" s="89" t="n"/>
      <c r="AD368" s="89" t="n"/>
      <c r="AE368" s="89" t="n"/>
      <c r="AF368" s="89" t="n"/>
      <c r="AG368" s="89" t="n"/>
      <c r="AH368" s="89" t="n"/>
      <c r="AI368" s="89" t="n"/>
      <c r="AJ368" s="89" t="n"/>
      <c r="AK368" s="89" t="n"/>
      <c r="AL368" s="89" t="n"/>
      <c r="AM368" s="89" t="n"/>
      <c r="AN368" s="89" t="n"/>
      <c r="AO368" s="89" t="n">
        <v>13.27299</v>
      </c>
      <c r="AP368" s="89" t="n"/>
      <c r="AQ368" s="89" t="n"/>
      <c r="AR368" s="89" t="n"/>
      <c r="AS368" s="89" t="n"/>
      <c r="AT368" s="89" t="n"/>
      <c r="AU368" s="89" t="n"/>
      <c r="AV368" s="89" t="n"/>
      <c r="AW368" s="89" t="n"/>
      <c r="AX368" s="89" t="n"/>
      <c r="AY368" s="89" t="n"/>
    </row>
    <row r="369">
      <c r="A369" t="inlineStr">
        <is>
          <t>1949-08</t>
        </is>
      </c>
      <c r="B369" s="1" t="n">
        <v>18111</v>
      </c>
      <c r="C369" s="88" t="n">
        <v>369</v>
      </c>
      <c r="E369" s="1">
        <f>B369</f>
        <v/>
      </c>
      <c r="F369" s="2">
        <f>B369</f>
        <v/>
      </c>
      <c r="G369" s="88" t="n">
        <v>367</v>
      </c>
      <c r="H369" s="89" t="n"/>
      <c r="I369" s="89" t="n"/>
      <c r="J369" s="89" t="n"/>
      <c r="K369" s="89" t="n"/>
      <c r="L369" s="89" t="n"/>
      <c r="M369" s="89" t="n"/>
      <c r="N369" s="89" t="n"/>
      <c r="O369" s="89" t="n"/>
      <c r="P369" s="89" t="n"/>
      <c r="Q369" s="89" t="n"/>
      <c r="R369" s="89" t="n"/>
      <c r="S369" s="89" t="n"/>
      <c r="T369" s="89" t="n"/>
      <c r="U369" s="89" t="n"/>
      <c r="V369" s="89" t="n"/>
      <c r="W369" s="89" t="n"/>
      <c r="X369" s="89" t="n"/>
      <c r="Y369" s="89" t="n"/>
      <c r="Z369" s="89" t="n"/>
      <c r="AA369" s="89" t="n"/>
      <c r="AB369" s="89" t="n"/>
      <c r="AC369" s="89" t="n"/>
      <c r="AD369" s="89" t="n"/>
      <c r="AE369" s="89" t="n"/>
      <c r="AF369" s="89" t="n"/>
      <c r="AG369" s="89" t="n"/>
      <c r="AH369" s="89" t="n"/>
      <c r="AI369" s="89" t="n"/>
      <c r="AJ369" s="89" t="n"/>
      <c r="AK369" s="89" t="n"/>
      <c r="AL369" s="89" t="n"/>
      <c r="AM369" s="89" t="n"/>
      <c r="AN369" s="89" t="n"/>
      <c r="AO369" s="89" t="n">
        <v>13.40602</v>
      </c>
      <c r="AP369" s="89" t="n"/>
      <c r="AQ369" s="89" t="n"/>
      <c r="AR369" s="89" t="n"/>
      <c r="AS369" s="89" t="n"/>
      <c r="AT369" s="89" t="n"/>
      <c r="AU369" s="89" t="n"/>
      <c r="AV369" s="89" t="n"/>
      <c r="AW369" s="89" t="n"/>
      <c r="AX369" s="89" t="n"/>
      <c r="AY369" s="89" t="n"/>
    </row>
    <row r="370">
      <c r="A370" t="inlineStr">
        <is>
          <t>1949-09</t>
        </is>
      </c>
      <c r="B370" s="1" t="n">
        <v>18142</v>
      </c>
      <c r="C370" s="88" t="n">
        <v>370</v>
      </c>
      <c r="E370" s="1">
        <f>B370</f>
        <v/>
      </c>
      <c r="F370" s="2">
        <f>B370</f>
        <v/>
      </c>
      <c r="G370" s="88" t="n">
        <v>368</v>
      </c>
      <c r="H370" s="89" t="n"/>
      <c r="I370" s="89" t="n"/>
      <c r="J370" s="89" t="n"/>
      <c r="K370" s="89" t="n"/>
      <c r="L370" s="89" t="n"/>
      <c r="M370" s="89" t="n"/>
      <c r="N370" s="89" t="n"/>
      <c r="O370" s="89" t="n"/>
      <c r="P370" s="89" t="n"/>
      <c r="Q370" s="89" t="n"/>
      <c r="R370" s="89" t="n"/>
      <c r="S370" s="89" t="n"/>
      <c r="T370" s="89" t="n"/>
      <c r="U370" s="89" t="n"/>
      <c r="V370" s="89" t="n"/>
      <c r="W370" s="89" t="n"/>
      <c r="X370" s="89" t="n"/>
      <c r="Y370" s="89" t="n"/>
      <c r="Z370" s="89" t="n"/>
      <c r="AA370" s="89" t="n"/>
      <c r="AB370" s="89" t="n"/>
      <c r="AC370" s="89" t="n"/>
      <c r="AD370" s="89" t="n"/>
      <c r="AE370" s="89" t="n"/>
      <c r="AF370" s="89" t="n"/>
      <c r="AG370" s="89" t="n"/>
      <c r="AH370" s="89" t="n"/>
      <c r="AI370" s="89" t="n"/>
      <c r="AJ370" s="89" t="n"/>
      <c r="AK370" s="89" t="n"/>
      <c r="AL370" s="89" t="n"/>
      <c r="AM370" s="89" t="n"/>
      <c r="AN370" s="89" t="n"/>
      <c r="AO370" s="89" t="n">
        <v>13.53896</v>
      </c>
      <c r="AP370" s="89" t="n"/>
      <c r="AQ370" s="89" t="n"/>
      <c r="AR370" s="89" t="n"/>
      <c r="AS370" s="89" t="n"/>
      <c r="AT370" s="89" t="n"/>
      <c r="AU370" s="89" t="n"/>
      <c r="AV370" s="89" t="n"/>
      <c r="AW370" s="89" t="n"/>
      <c r="AX370" s="89" t="n"/>
      <c r="AY370" s="89" t="n"/>
    </row>
    <row r="371">
      <c r="A371" t="inlineStr">
        <is>
          <t>1949-10</t>
        </is>
      </c>
      <c r="B371" s="1" t="n">
        <v>18172</v>
      </c>
      <c r="C371" s="88" t="n">
        <v>371</v>
      </c>
      <c r="E371" s="1">
        <f>B371</f>
        <v/>
      </c>
      <c r="F371" s="2">
        <f>B371</f>
        <v/>
      </c>
      <c r="G371" s="88" t="n">
        <v>369</v>
      </c>
      <c r="H371" s="89" t="n"/>
      <c r="I371" s="89" t="n"/>
      <c r="J371" s="89" t="n"/>
      <c r="K371" s="89" t="n"/>
      <c r="L371" s="89" t="n"/>
      <c r="M371" s="89" t="n"/>
      <c r="N371" s="89" t="n"/>
      <c r="O371" s="89" t="n"/>
      <c r="P371" s="89" t="n"/>
      <c r="Q371" s="89" t="n"/>
      <c r="R371" s="89" t="n"/>
      <c r="S371" s="89" t="n"/>
      <c r="T371" s="89" t="n"/>
      <c r="U371" s="89" t="n"/>
      <c r="V371" s="89" t="n"/>
      <c r="W371" s="89" t="n"/>
      <c r="X371" s="89" t="n"/>
      <c r="Y371" s="89" t="n"/>
      <c r="Z371" s="89" t="n"/>
      <c r="AA371" s="89" t="n"/>
      <c r="AB371" s="89" t="n"/>
      <c r="AC371" s="89" t="n"/>
      <c r="AD371" s="89" t="n"/>
      <c r="AE371" s="89" t="n"/>
      <c r="AF371" s="89" t="n"/>
      <c r="AG371" s="89" t="n"/>
      <c r="AH371" s="89" t="n"/>
      <c r="AI371" s="89" t="n"/>
      <c r="AJ371" s="89" t="n"/>
      <c r="AK371" s="89" t="n"/>
      <c r="AL371" s="89" t="n"/>
      <c r="AM371" s="89" t="n"/>
      <c r="AN371" s="89" t="n"/>
      <c r="AO371" s="89" t="n">
        <v>13.03363</v>
      </c>
      <c r="AP371" s="89" t="n"/>
      <c r="AQ371" s="89" t="n"/>
      <c r="AR371" s="89" t="n"/>
      <c r="AS371" s="89" t="n"/>
      <c r="AT371" s="89" t="n"/>
      <c r="AU371" s="89" t="n"/>
      <c r="AV371" s="89" t="n"/>
      <c r="AW371" s="89" t="n"/>
      <c r="AX371" s="89" t="n"/>
      <c r="AY371" s="89" t="n"/>
    </row>
    <row r="372">
      <c r="A372" t="inlineStr">
        <is>
          <t>1949-11</t>
        </is>
      </c>
      <c r="B372" s="1" t="n">
        <v>18203</v>
      </c>
      <c r="C372" s="88" t="n">
        <v>372</v>
      </c>
      <c r="E372" s="1">
        <f>B372</f>
        <v/>
      </c>
      <c r="F372" s="2">
        <f>B372</f>
        <v/>
      </c>
      <c r="G372" s="88" t="n">
        <v>370</v>
      </c>
      <c r="H372" s="89" t="n"/>
      <c r="I372" s="89" t="n"/>
      <c r="J372" s="89" t="n"/>
      <c r="K372" s="89" t="n"/>
      <c r="L372" s="89" t="n"/>
      <c r="M372" s="89" t="n"/>
      <c r="N372" s="89" t="n"/>
      <c r="O372" s="89" t="n"/>
      <c r="P372" s="89" t="n"/>
      <c r="Q372" s="89" t="n"/>
      <c r="R372" s="89" t="n"/>
      <c r="S372" s="89" t="n"/>
      <c r="T372" s="89" t="n"/>
      <c r="U372" s="89" t="n"/>
      <c r="V372" s="89" t="n"/>
      <c r="W372" s="89" t="n"/>
      <c r="X372" s="89" t="n"/>
      <c r="Y372" s="89" t="n"/>
      <c r="Z372" s="89" t="n"/>
      <c r="AA372" s="89" t="n"/>
      <c r="AB372" s="89" t="n"/>
      <c r="AC372" s="89" t="n"/>
      <c r="AD372" s="89" t="n"/>
      <c r="AE372" s="89" t="n"/>
      <c r="AF372" s="89" t="n"/>
      <c r="AG372" s="89" t="n"/>
      <c r="AH372" s="89" t="n"/>
      <c r="AI372" s="89" t="n"/>
      <c r="AJ372" s="89" t="n"/>
      <c r="AK372" s="89" t="n"/>
      <c r="AL372" s="89" t="n"/>
      <c r="AM372" s="89" t="n"/>
      <c r="AN372" s="89" t="n"/>
      <c r="AO372" s="89" t="n">
        <v>13.37942</v>
      </c>
      <c r="AP372" s="89" t="n"/>
      <c r="AQ372" s="89" t="n"/>
      <c r="AR372" s="89" t="n"/>
      <c r="AS372" s="89" t="n"/>
      <c r="AT372" s="89" t="n"/>
      <c r="AU372" s="89" t="n"/>
      <c r="AV372" s="89" t="n"/>
      <c r="AW372" s="89" t="n"/>
      <c r="AX372" s="89" t="n"/>
      <c r="AY372" s="89" t="n"/>
    </row>
    <row r="373">
      <c r="A373" t="inlineStr">
        <is>
          <t>1949-12</t>
        </is>
      </c>
      <c r="B373" s="1" t="n">
        <v>18233</v>
      </c>
      <c r="C373" s="88" t="n">
        <v>373</v>
      </c>
      <c r="E373" s="1">
        <f>B373</f>
        <v/>
      </c>
      <c r="F373" s="2">
        <f>B373</f>
        <v/>
      </c>
      <c r="G373" s="88" t="n">
        <v>371</v>
      </c>
      <c r="H373" s="89" t="n"/>
      <c r="I373" s="89" t="n"/>
      <c r="J373" s="89" t="n"/>
      <c r="K373" s="89" t="n"/>
      <c r="L373" s="89" t="n"/>
      <c r="M373" s="89" t="n"/>
      <c r="N373" s="89" t="n"/>
      <c r="O373" s="89" t="n"/>
      <c r="P373" s="89" t="n"/>
      <c r="Q373" s="89" t="n"/>
      <c r="R373" s="89" t="n"/>
      <c r="S373" s="89" t="n"/>
      <c r="T373" s="89" t="n"/>
      <c r="U373" s="89" t="n"/>
      <c r="V373" s="89" t="n"/>
      <c r="W373" s="89" t="n"/>
      <c r="X373" s="89" t="n"/>
      <c r="Y373" s="89" t="n"/>
      <c r="Z373" s="89" t="n"/>
      <c r="AA373" s="89" t="n"/>
      <c r="AB373" s="89" t="n"/>
      <c r="AC373" s="89" t="n"/>
      <c r="AD373" s="89" t="n"/>
      <c r="AE373" s="89" t="n"/>
      <c r="AF373" s="89" t="n"/>
      <c r="AG373" s="89" t="n"/>
      <c r="AH373" s="89" t="n"/>
      <c r="AI373" s="89" t="n"/>
      <c r="AJ373" s="89" t="n"/>
      <c r="AK373" s="89" t="n"/>
      <c r="AL373" s="89" t="n"/>
      <c r="AM373" s="89" t="n"/>
      <c r="AN373" s="89" t="n"/>
      <c r="AO373" s="89" t="n">
        <v>13.61878</v>
      </c>
      <c r="AP373" s="89" t="n"/>
      <c r="AQ373" s="89" t="n"/>
      <c r="AR373" s="89" t="n"/>
      <c r="AS373" s="89" t="n"/>
      <c r="AT373" s="89" t="n"/>
      <c r="AU373" s="89" t="n"/>
      <c r="AV373" s="89" t="n"/>
      <c r="AW373" s="89" t="n"/>
      <c r="AX373" s="89" t="n"/>
      <c r="AY373" s="89" t="n"/>
    </row>
    <row r="374">
      <c r="A374" t="inlineStr">
        <is>
          <t>1950-01</t>
        </is>
      </c>
      <c r="B374" s="1" t="n">
        <v>18264</v>
      </c>
      <c r="C374" s="88" t="n">
        <v>374</v>
      </c>
      <c r="E374" s="1">
        <f>B374</f>
        <v/>
      </c>
      <c r="F374" s="2">
        <f>B374</f>
        <v/>
      </c>
      <c r="G374" s="88" t="n">
        <v>372</v>
      </c>
      <c r="H374" s="89" t="n"/>
      <c r="I374" s="89" t="n"/>
      <c r="J374" s="89" t="n"/>
      <c r="K374" s="89" t="n"/>
      <c r="L374" s="89" t="n"/>
      <c r="M374" s="89" t="n"/>
      <c r="N374" s="89" t="n"/>
      <c r="O374" s="89" t="n"/>
      <c r="P374" s="89" t="n"/>
      <c r="Q374" s="89" t="n"/>
      <c r="R374" s="89" t="n"/>
      <c r="S374" s="89" t="n"/>
      <c r="T374" s="89" t="n"/>
      <c r="U374" s="89" t="n"/>
      <c r="V374" s="89" t="n"/>
      <c r="W374" s="89" t="n"/>
      <c r="X374" s="89" t="n"/>
      <c r="Y374" s="89" t="n"/>
      <c r="Z374" s="89" t="n"/>
      <c r="AA374" s="89" t="n"/>
      <c r="AB374" s="89" t="n"/>
      <c r="AC374" s="89" t="n"/>
      <c r="AD374" s="89" t="n"/>
      <c r="AE374" s="89" t="n"/>
      <c r="AF374" s="89" t="n"/>
      <c r="AG374" s="89" t="n"/>
      <c r="AH374" s="89" t="n"/>
      <c r="AI374" s="89" t="n"/>
      <c r="AJ374" s="89" t="n"/>
      <c r="AK374" s="89" t="n"/>
      <c r="AL374" s="89" t="n"/>
      <c r="AM374" s="89" t="n"/>
      <c r="AN374" s="89" t="n"/>
      <c r="AO374" s="89" t="n">
        <v>13.85814</v>
      </c>
      <c r="AP374" s="89" t="n"/>
      <c r="AQ374" s="89" t="n"/>
      <c r="AR374" s="89" t="n"/>
      <c r="AS374" s="89" t="n"/>
      <c r="AT374" s="89" t="n"/>
      <c r="AU374" s="89" t="n"/>
      <c r="AV374" s="89" t="n"/>
      <c r="AW374" s="89" t="n"/>
      <c r="AX374" s="89" t="n"/>
      <c r="AY374" s="89" t="n"/>
    </row>
    <row r="375">
      <c r="A375" t="inlineStr">
        <is>
          <t>1950-02</t>
        </is>
      </c>
      <c r="B375" s="1" t="n">
        <v>18295</v>
      </c>
      <c r="C375" s="88" t="n">
        <v>375</v>
      </c>
      <c r="E375" s="1">
        <f>B375</f>
        <v/>
      </c>
      <c r="F375" s="2">
        <f>B375</f>
        <v/>
      </c>
      <c r="G375" s="88" t="n">
        <v>373</v>
      </c>
      <c r="H375" s="89" t="n"/>
      <c r="I375" s="89" t="n"/>
      <c r="J375" s="89" t="n"/>
      <c r="K375" s="89" t="n"/>
      <c r="L375" s="89" t="n"/>
      <c r="M375" s="89" t="n"/>
      <c r="N375" s="89" t="n"/>
      <c r="O375" s="89" t="n"/>
      <c r="P375" s="89" t="n"/>
      <c r="Q375" s="89" t="n"/>
      <c r="R375" s="89" t="n"/>
      <c r="S375" s="89" t="n"/>
      <c r="T375" s="89" t="n"/>
      <c r="U375" s="89" t="n"/>
      <c r="V375" s="89" t="n"/>
      <c r="W375" s="89" t="n"/>
      <c r="X375" s="89" t="n"/>
      <c r="Y375" s="89" t="n"/>
      <c r="Z375" s="89" t="n"/>
      <c r="AA375" s="89" t="n"/>
      <c r="AB375" s="89" t="n"/>
      <c r="AC375" s="89" t="n"/>
      <c r="AD375" s="89" t="n"/>
      <c r="AE375" s="89" t="n"/>
      <c r="AF375" s="89" t="n"/>
      <c r="AG375" s="89" t="n"/>
      <c r="AH375" s="89" t="n"/>
      <c r="AI375" s="89" t="n"/>
      <c r="AJ375" s="89" t="n"/>
      <c r="AK375" s="89" t="n"/>
      <c r="AL375" s="89" t="n"/>
      <c r="AM375" s="89" t="n"/>
      <c r="AN375" s="89" t="n"/>
      <c r="AO375" s="89" t="n">
        <v>13.91135</v>
      </c>
      <c r="AP375" s="89" t="n"/>
      <c r="AQ375" s="89" t="n"/>
      <c r="AR375" s="89" t="n"/>
      <c r="AS375" s="89" t="n"/>
      <c r="AT375" s="89" t="n"/>
      <c r="AU375" s="89" t="n"/>
      <c r="AV375" s="89" t="n"/>
      <c r="AW375" s="89" t="n"/>
      <c r="AX375" s="89" t="n"/>
      <c r="AY375" s="89" t="n"/>
    </row>
    <row r="376">
      <c r="A376" t="inlineStr">
        <is>
          <t>1950-03</t>
        </is>
      </c>
      <c r="B376" s="1" t="n">
        <v>18323</v>
      </c>
      <c r="C376" s="88" t="n">
        <v>376</v>
      </c>
      <c r="E376" s="1">
        <f>B376</f>
        <v/>
      </c>
      <c r="F376" s="2">
        <f>B376</f>
        <v/>
      </c>
      <c r="G376" s="88" t="n">
        <v>374</v>
      </c>
      <c r="H376" s="89" t="n"/>
      <c r="I376" s="89" t="n"/>
      <c r="J376" s="89" t="n"/>
      <c r="K376" s="89" t="n"/>
      <c r="L376" s="89" t="n"/>
      <c r="M376" s="89" t="n"/>
      <c r="N376" s="89" t="n"/>
      <c r="O376" s="89" t="n"/>
      <c r="P376" s="89" t="n"/>
      <c r="Q376" s="89" t="n"/>
      <c r="R376" s="89" t="n"/>
      <c r="S376" s="89" t="n"/>
      <c r="T376" s="89" t="n"/>
      <c r="U376" s="89" t="n"/>
      <c r="V376" s="89" t="n"/>
      <c r="W376" s="89" t="n"/>
      <c r="X376" s="89" t="n"/>
      <c r="Y376" s="89" t="n"/>
      <c r="Z376" s="89" t="n"/>
      <c r="AA376" s="89" t="n"/>
      <c r="AB376" s="89" t="n"/>
      <c r="AC376" s="89" t="n"/>
      <c r="AD376" s="89" t="n"/>
      <c r="AE376" s="89" t="n"/>
      <c r="AF376" s="89" t="n"/>
      <c r="AG376" s="89" t="n"/>
      <c r="AH376" s="89" t="n"/>
      <c r="AI376" s="89" t="n"/>
      <c r="AJ376" s="89" t="n"/>
      <c r="AK376" s="89" t="n"/>
      <c r="AL376" s="89" t="n"/>
      <c r="AM376" s="89" t="n"/>
      <c r="AN376" s="89" t="n"/>
      <c r="AO376" s="89" t="n">
        <v>14.36356</v>
      </c>
      <c r="AP376" s="89" t="n"/>
      <c r="AQ376" s="89" t="n"/>
      <c r="AR376" s="89" t="n"/>
      <c r="AS376" s="89" t="n"/>
      <c r="AT376" s="89" t="n"/>
      <c r="AU376" s="89" t="n"/>
      <c r="AV376" s="89" t="n"/>
      <c r="AW376" s="89" t="n"/>
      <c r="AX376" s="89" t="n"/>
      <c r="AY376" s="89" t="n"/>
    </row>
    <row r="377">
      <c r="A377" t="inlineStr">
        <is>
          <t>1950-04</t>
        </is>
      </c>
      <c r="B377" s="1" t="n">
        <v>18354</v>
      </c>
      <c r="C377" s="88" t="n">
        <v>377</v>
      </c>
      <c r="E377" s="1">
        <f>B377</f>
        <v/>
      </c>
      <c r="F377" s="2">
        <f>B377</f>
        <v/>
      </c>
      <c r="G377" s="88" t="n">
        <v>375</v>
      </c>
      <c r="H377" s="89" t="n"/>
      <c r="I377" s="89" t="n"/>
      <c r="J377" s="89" t="n"/>
      <c r="K377" s="89" t="n"/>
      <c r="L377" s="89" t="n"/>
      <c r="M377" s="89" t="n"/>
      <c r="N377" s="89" t="n"/>
      <c r="O377" s="89" t="n"/>
      <c r="P377" s="89" t="n"/>
      <c r="Q377" s="89" t="n"/>
      <c r="R377" s="89" t="n"/>
      <c r="S377" s="89" t="n"/>
      <c r="T377" s="89" t="n"/>
      <c r="U377" s="89" t="n"/>
      <c r="V377" s="89" t="n"/>
      <c r="W377" s="89" t="n"/>
      <c r="X377" s="89" t="n"/>
      <c r="Y377" s="89" t="n"/>
      <c r="Z377" s="89" t="n"/>
      <c r="AA377" s="89" t="n"/>
      <c r="AB377" s="89" t="n"/>
      <c r="AC377" s="89" t="n"/>
      <c r="AD377" s="89" t="n"/>
      <c r="AE377" s="89" t="n"/>
      <c r="AF377" s="89" t="n"/>
      <c r="AG377" s="89" t="n"/>
      <c r="AH377" s="89" t="n"/>
      <c r="AI377" s="89" t="n"/>
      <c r="AJ377" s="89" t="n"/>
      <c r="AK377" s="89" t="n"/>
      <c r="AL377" s="89" t="n"/>
      <c r="AM377" s="89" t="n"/>
      <c r="AN377" s="89" t="n"/>
      <c r="AO377" s="89" t="n">
        <v>14.84237</v>
      </c>
      <c r="AP377" s="89" t="n"/>
      <c r="AQ377" s="89" t="n"/>
      <c r="AR377" s="89" t="n"/>
      <c r="AS377" s="89" t="n"/>
      <c r="AT377" s="89" t="n"/>
      <c r="AU377" s="89" t="n"/>
      <c r="AV377" s="89" t="n"/>
      <c r="AW377" s="89" t="n"/>
      <c r="AX377" s="89" t="n"/>
      <c r="AY377" s="89" t="n"/>
    </row>
    <row r="378">
      <c r="A378" t="inlineStr">
        <is>
          <t>1950-05</t>
        </is>
      </c>
      <c r="B378" s="1" t="n">
        <v>18384</v>
      </c>
      <c r="C378" s="88" t="n">
        <v>378</v>
      </c>
      <c r="E378" s="1">
        <f>B378</f>
        <v/>
      </c>
      <c r="F378" s="2">
        <f>B378</f>
        <v/>
      </c>
      <c r="G378" s="88" t="n">
        <v>376</v>
      </c>
      <c r="H378" s="89" t="n"/>
      <c r="I378" s="89" t="n"/>
      <c r="J378" s="89" t="n"/>
      <c r="K378" s="89" t="n"/>
      <c r="L378" s="89" t="n"/>
      <c r="M378" s="89" t="n"/>
      <c r="N378" s="89" t="n"/>
      <c r="O378" s="89" t="n"/>
      <c r="P378" s="89" t="n"/>
      <c r="Q378" s="89" t="n"/>
      <c r="R378" s="89" t="n"/>
      <c r="S378" s="89" t="n"/>
      <c r="T378" s="89" t="n"/>
      <c r="U378" s="89" t="n"/>
      <c r="V378" s="89" t="n"/>
      <c r="W378" s="89" t="n"/>
      <c r="X378" s="89" t="n"/>
      <c r="Y378" s="89" t="n"/>
      <c r="Z378" s="89" t="n"/>
      <c r="AA378" s="89" t="n"/>
      <c r="AB378" s="89" t="n"/>
      <c r="AC378" s="89" t="n"/>
      <c r="AD378" s="89" t="n"/>
      <c r="AE378" s="89" t="n"/>
      <c r="AF378" s="89" t="n"/>
      <c r="AG378" s="89" t="n"/>
      <c r="AH378" s="89" t="n"/>
      <c r="AI378" s="89" t="n"/>
      <c r="AJ378" s="89" t="n"/>
      <c r="AK378" s="89" t="n"/>
      <c r="AL378" s="89" t="n"/>
      <c r="AM378" s="89" t="n"/>
      <c r="AN378" s="89" t="n"/>
      <c r="AO378" s="89" t="n">
        <v>15.18815</v>
      </c>
      <c r="AP378" s="89" t="n"/>
      <c r="AQ378" s="89" t="n"/>
      <c r="AR378" s="89" t="n"/>
      <c r="AS378" s="89" t="n"/>
      <c r="AT378" s="89" t="n"/>
      <c r="AU378" s="89" t="n"/>
      <c r="AV378" s="89" t="n"/>
      <c r="AW378" s="89" t="n"/>
      <c r="AX378" s="89" t="n"/>
      <c r="AY378" s="89" t="n"/>
    </row>
    <row r="379">
      <c r="A379" t="inlineStr">
        <is>
          <t>1950-06</t>
        </is>
      </c>
      <c r="B379" s="1" t="n">
        <v>18415</v>
      </c>
      <c r="C379" s="88" t="n">
        <v>379</v>
      </c>
      <c r="E379" s="1">
        <f>B379</f>
        <v/>
      </c>
      <c r="F379" s="2">
        <f>B379</f>
        <v/>
      </c>
      <c r="G379" s="88" t="n">
        <v>377</v>
      </c>
      <c r="H379" s="89" t="n"/>
      <c r="I379" s="89" t="n"/>
      <c r="J379" s="89" t="n"/>
      <c r="K379" s="89" t="n"/>
      <c r="L379" s="89" t="n"/>
      <c r="M379" s="89" t="n"/>
      <c r="N379" s="89" t="n"/>
      <c r="O379" s="89" t="n"/>
      <c r="P379" s="89" t="n"/>
      <c r="Q379" s="89" t="n"/>
      <c r="R379" s="89" t="n"/>
      <c r="S379" s="89" t="n"/>
      <c r="T379" s="89" t="n"/>
      <c r="U379" s="89" t="n"/>
      <c r="V379" s="89" t="n"/>
      <c r="W379" s="89" t="n"/>
      <c r="X379" s="89" t="n"/>
      <c r="Y379" s="89" t="n"/>
      <c r="Z379" s="89" t="n"/>
      <c r="AA379" s="89" t="n"/>
      <c r="AB379" s="89" t="n"/>
      <c r="AC379" s="89" t="n"/>
      <c r="AD379" s="89" t="n"/>
      <c r="AE379" s="89" t="n"/>
      <c r="AF379" s="89" t="n"/>
      <c r="AG379" s="89" t="n"/>
      <c r="AH379" s="89" t="n"/>
      <c r="AI379" s="89" t="n"/>
      <c r="AJ379" s="89" t="n"/>
      <c r="AK379" s="89" t="n"/>
      <c r="AL379" s="89" t="n"/>
      <c r="AM379" s="89" t="n"/>
      <c r="AN379" s="89" t="n"/>
      <c r="AO379" s="89" t="n">
        <v>15.64036</v>
      </c>
      <c r="AP379" s="89" t="n"/>
      <c r="AQ379" s="89" t="n"/>
      <c r="AR379" s="89" t="n"/>
      <c r="AS379" s="89" t="n"/>
      <c r="AT379" s="89" t="n"/>
      <c r="AU379" s="89" t="n"/>
      <c r="AV379" s="89" t="n"/>
      <c r="AW379" s="89" t="n"/>
      <c r="AX379" s="89" t="n"/>
      <c r="AY379" s="89" t="n"/>
    </row>
    <row r="380">
      <c r="A380" t="inlineStr">
        <is>
          <t>1950-07</t>
        </is>
      </c>
      <c r="B380" s="1" t="n">
        <v>18445</v>
      </c>
      <c r="C380" s="88" t="n">
        <v>380</v>
      </c>
      <c r="E380" s="1">
        <f>B380</f>
        <v/>
      </c>
      <c r="F380" s="2">
        <f>B380</f>
        <v/>
      </c>
      <c r="G380" s="88" t="n">
        <v>378</v>
      </c>
      <c r="H380" s="89" t="n"/>
      <c r="I380" s="89" t="n"/>
      <c r="J380" s="89" t="n"/>
      <c r="K380" s="89" t="n"/>
      <c r="L380" s="89" t="n"/>
      <c r="M380" s="89" t="n"/>
      <c r="N380" s="89" t="n"/>
      <c r="O380" s="89" t="n"/>
      <c r="P380" s="89" t="n"/>
      <c r="Q380" s="89" t="n"/>
      <c r="R380" s="89" t="n"/>
      <c r="S380" s="89" t="n"/>
      <c r="T380" s="89" t="n"/>
      <c r="U380" s="89" t="n"/>
      <c r="V380" s="89" t="n"/>
      <c r="W380" s="89" t="n"/>
      <c r="X380" s="89" t="n"/>
      <c r="Y380" s="89" t="n"/>
      <c r="Z380" s="89" t="n"/>
      <c r="AA380" s="89" t="n"/>
      <c r="AB380" s="89" t="n"/>
      <c r="AC380" s="89" t="n"/>
      <c r="AD380" s="89" t="n"/>
      <c r="AE380" s="89" t="n"/>
      <c r="AF380" s="89" t="n"/>
      <c r="AG380" s="89" t="n"/>
      <c r="AH380" s="89" t="n"/>
      <c r="AI380" s="89" t="n"/>
      <c r="AJ380" s="89" t="n"/>
      <c r="AK380" s="89" t="n"/>
      <c r="AL380" s="89" t="n"/>
      <c r="AM380" s="89" t="n"/>
      <c r="AN380" s="89" t="n"/>
      <c r="AO380" s="89" t="n">
        <v>16.14569</v>
      </c>
      <c r="AP380" s="89" t="n"/>
      <c r="AQ380" s="89" t="n"/>
      <c r="AR380" s="89" t="n"/>
      <c r="AS380" s="89" t="n"/>
      <c r="AT380" s="89" t="n"/>
      <c r="AU380" s="89" t="n"/>
      <c r="AV380" s="89" t="n"/>
      <c r="AW380" s="89" t="n"/>
      <c r="AX380" s="89" t="n"/>
      <c r="AY380" s="89" t="n"/>
    </row>
    <row r="381">
      <c r="A381" t="inlineStr">
        <is>
          <t>1950-08</t>
        </is>
      </c>
      <c r="B381" s="1" t="n">
        <v>18476</v>
      </c>
      <c r="C381" s="88" t="n">
        <v>381</v>
      </c>
      <c r="E381" s="1">
        <f>B381</f>
        <v/>
      </c>
      <c r="F381" s="2">
        <f>B381</f>
        <v/>
      </c>
      <c r="G381" s="88" t="n">
        <v>379</v>
      </c>
      <c r="H381" s="89" t="n"/>
      <c r="I381" s="89" t="n"/>
      <c r="J381" s="89" t="n"/>
      <c r="K381" s="89" t="n"/>
      <c r="L381" s="89" t="n"/>
      <c r="M381" s="89" t="n"/>
      <c r="N381" s="89" t="n"/>
      <c r="O381" s="89" t="n"/>
      <c r="P381" s="89" t="n"/>
      <c r="Q381" s="89" t="n"/>
      <c r="R381" s="89" t="n"/>
      <c r="S381" s="89" t="n"/>
      <c r="T381" s="89" t="n"/>
      <c r="U381" s="89" t="n"/>
      <c r="V381" s="89" t="n"/>
      <c r="W381" s="89" t="n"/>
      <c r="X381" s="89" t="n"/>
      <c r="Y381" s="89" t="n"/>
      <c r="Z381" s="89" t="n"/>
      <c r="AA381" s="89" t="n"/>
      <c r="AB381" s="89" t="n"/>
      <c r="AC381" s="89" t="n"/>
      <c r="AD381" s="89" t="n"/>
      <c r="AE381" s="89" t="n"/>
      <c r="AF381" s="89" t="n"/>
      <c r="AG381" s="89" t="n"/>
      <c r="AH381" s="89" t="n"/>
      <c r="AI381" s="89" t="n"/>
      <c r="AJ381" s="89" t="n"/>
      <c r="AK381" s="89" t="n"/>
      <c r="AL381" s="89" t="n"/>
      <c r="AM381" s="89" t="n"/>
      <c r="AN381" s="89" t="n"/>
      <c r="AO381" s="89" t="n">
        <v>16.65111</v>
      </c>
      <c r="AP381" s="89" t="n"/>
      <c r="AQ381" s="89" t="n"/>
      <c r="AR381" s="89" t="n"/>
      <c r="AS381" s="89" t="n"/>
      <c r="AT381" s="89" t="n"/>
      <c r="AU381" s="89" t="n"/>
      <c r="AV381" s="89" t="n"/>
      <c r="AW381" s="89" t="n"/>
      <c r="AX381" s="89" t="n"/>
      <c r="AY381" s="89" t="n"/>
    </row>
    <row r="382">
      <c r="A382" t="inlineStr">
        <is>
          <t>1950-09</t>
        </is>
      </c>
      <c r="B382" s="1" t="n">
        <v>18507</v>
      </c>
      <c r="C382" s="88" t="n">
        <v>382</v>
      </c>
      <c r="E382" s="1">
        <f>B382</f>
        <v/>
      </c>
      <c r="F382" s="2">
        <f>B382</f>
        <v/>
      </c>
      <c r="G382" s="88" t="n">
        <v>380</v>
      </c>
      <c r="H382" s="89" t="n"/>
      <c r="I382" s="89" t="n"/>
      <c r="J382" s="89" t="n"/>
      <c r="K382" s="89" t="n"/>
      <c r="L382" s="89" t="n"/>
      <c r="M382" s="89" t="n"/>
      <c r="N382" s="89" t="n"/>
      <c r="O382" s="89" t="n"/>
      <c r="P382" s="89" t="n"/>
      <c r="Q382" s="89" t="n"/>
      <c r="R382" s="89" t="n"/>
      <c r="S382" s="89" t="n"/>
      <c r="T382" s="89" t="n"/>
      <c r="U382" s="89" t="n"/>
      <c r="V382" s="89" t="n"/>
      <c r="W382" s="89" t="n"/>
      <c r="X382" s="89" t="n"/>
      <c r="Y382" s="89" t="n"/>
      <c r="Z382" s="89" t="n"/>
      <c r="AA382" s="89" t="n"/>
      <c r="AB382" s="89" t="n"/>
      <c r="AC382" s="89" t="n"/>
      <c r="AD382" s="89" t="n"/>
      <c r="AE382" s="89" t="n"/>
      <c r="AF382" s="89" t="n"/>
      <c r="AG382" s="89" t="n"/>
      <c r="AH382" s="89" t="n"/>
      <c r="AI382" s="89" t="n"/>
      <c r="AJ382" s="89" t="n"/>
      <c r="AK382" s="89" t="n"/>
      <c r="AL382" s="89" t="n"/>
      <c r="AM382" s="89" t="n"/>
      <c r="AN382" s="89" t="n"/>
      <c r="AO382" s="89" t="n">
        <v>16.54468</v>
      </c>
      <c r="AP382" s="89" t="n"/>
      <c r="AQ382" s="89" t="n"/>
      <c r="AR382" s="89" t="n"/>
      <c r="AS382" s="89" t="n"/>
      <c r="AT382" s="89" t="n"/>
      <c r="AU382" s="89" t="n"/>
      <c r="AV382" s="89" t="n"/>
      <c r="AW382" s="89" t="n"/>
      <c r="AX382" s="89" t="n"/>
      <c r="AY382" s="89" t="n"/>
    </row>
    <row r="383">
      <c r="A383" t="inlineStr">
        <is>
          <t>1950-10</t>
        </is>
      </c>
      <c r="B383" s="1" t="n">
        <v>18537</v>
      </c>
      <c r="C383" s="88" t="n">
        <v>383</v>
      </c>
      <c r="E383" s="1">
        <f>B383</f>
        <v/>
      </c>
      <c r="F383" s="2">
        <f>B383</f>
        <v/>
      </c>
      <c r="G383" s="88" t="n">
        <v>381</v>
      </c>
      <c r="H383" s="89" t="n"/>
      <c r="I383" s="89" t="n"/>
      <c r="J383" s="89" t="n"/>
      <c r="K383" s="89" t="n"/>
      <c r="L383" s="89" t="n"/>
      <c r="M383" s="89" t="n"/>
      <c r="N383" s="89" t="n"/>
      <c r="O383" s="89" t="n"/>
      <c r="P383" s="89" t="n"/>
      <c r="Q383" s="89" t="n"/>
      <c r="R383" s="89" t="n"/>
      <c r="S383" s="89" t="n"/>
      <c r="T383" s="89" t="n"/>
      <c r="U383" s="89" t="n"/>
      <c r="V383" s="89" t="n"/>
      <c r="W383" s="89" t="n"/>
      <c r="X383" s="89" t="n"/>
      <c r="Y383" s="89" t="n"/>
      <c r="Z383" s="89" t="n"/>
      <c r="AA383" s="89" t="n"/>
      <c r="AB383" s="89" t="n"/>
      <c r="AC383" s="89" t="n"/>
      <c r="AD383" s="89" t="n"/>
      <c r="AE383" s="89" t="n"/>
      <c r="AF383" s="89" t="n"/>
      <c r="AG383" s="89" t="n"/>
      <c r="AH383" s="89" t="n"/>
      <c r="AI383" s="89" t="n"/>
      <c r="AJ383" s="89" t="n"/>
      <c r="AK383" s="89" t="n"/>
      <c r="AL383" s="89" t="n"/>
      <c r="AM383" s="89" t="n"/>
      <c r="AN383" s="89" t="n"/>
      <c r="AO383" s="89" t="n">
        <v>16.65111</v>
      </c>
      <c r="AP383" s="89" t="n"/>
      <c r="AQ383" s="89" t="n"/>
      <c r="AR383" s="89" t="n"/>
      <c r="AS383" s="89" t="n"/>
      <c r="AT383" s="89" t="n"/>
      <c r="AU383" s="89" t="n"/>
      <c r="AV383" s="89" t="n"/>
      <c r="AW383" s="89" t="n"/>
      <c r="AX383" s="89" t="n"/>
      <c r="AY383" s="89" t="n"/>
    </row>
    <row r="384">
      <c r="A384" t="inlineStr">
        <is>
          <t>1950-11</t>
        </is>
      </c>
      <c r="B384" s="1" t="n">
        <v>18568</v>
      </c>
      <c r="C384" s="88" t="n">
        <v>384</v>
      </c>
      <c r="E384" s="1">
        <f>B384</f>
        <v/>
      </c>
      <c r="F384" s="2">
        <f>B384</f>
        <v/>
      </c>
      <c r="G384" s="88" t="n">
        <v>382</v>
      </c>
      <c r="H384" s="89" t="n"/>
      <c r="I384" s="89" t="n"/>
      <c r="J384" s="89" t="n"/>
      <c r="K384" s="89" t="n"/>
      <c r="L384" s="89" t="n"/>
      <c r="M384" s="89" t="n"/>
      <c r="N384" s="89" t="n"/>
      <c r="O384" s="89" t="n"/>
      <c r="P384" s="89" t="n"/>
      <c r="Q384" s="89" t="n"/>
      <c r="R384" s="89" t="n"/>
      <c r="S384" s="89" t="n"/>
      <c r="T384" s="89" t="n"/>
      <c r="U384" s="89" t="n"/>
      <c r="V384" s="89" t="n"/>
      <c r="W384" s="89" t="n"/>
      <c r="X384" s="89" t="n"/>
      <c r="Y384" s="89" t="n"/>
      <c r="Z384" s="89" t="n"/>
      <c r="AA384" s="89" t="n"/>
      <c r="AB384" s="89" t="n"/>
      <c r="AC384" s="89" t="n"/>
      <c r="AD384" s="89" t="n"/>
      <c r="AE384" s="89" t="n"/>
      <c r="AF384" s="89" t="n"/>
      <c r="AG384" s="89" t="n"/>
      <c r="AH384" s="89" t="n"/>
      <c r="AI384" s="89" t="n"/>
      <c r="AJ384" s="89" t="n"/>
      <c r="AK384" s="89" t="n"/>
      <c r="AL384" s="89" t="n"/>
      <c r="AM384" s="89" t="n"/>
      <c r="AN384" s="89" t="n"/>
      <c r="AO384" s="89" t="n">
        <v>16.6245</v>
      </c>
      <c r="AP384" s="89" t="n"/>
      <c r="AQ384" s="89" t="n"/>
      <c r="AR384" s="89" t="n"/>
      <c r="AS384" s="89" t="n"/>
      <c r="AT384" s="89" t="n"/>
      <c r="AU384" s="89" t="n"/>
      <c r="AV384" s="89" t="n"/>
      <c r="AW384" s="89" t="n"/>
      <c r="AX384" s="89" t="n"/>
      <c r="AY384" s="89" t="n"/>
    </row>
    <row r="385">
      <c r="A385" t="inlineStr">
        <is>
          <t>1950-12</t>
        </is>
      </c>
      <c r="B385" s="1" t="n">
        <v>18598</v>
      </c>
      <c r="C385" s="88" t="n">
        <v>385</v>
      </c>
      <c r="E385" s="1">
        <f>B385</f>
        <v/>
      </c>
      <c r="F385" s="2">
        <f>B385</f>
        <v/>
      </c>
      <c r="G385" s="88" t="n">
        <v>383</v>
      </c>
      <c r="H385" s="89" t="n"/>
      <c r="I385" s="89" t="n"/>
      <c r="J385" s="89" t="n"/>
      <c r="K385" s="89" t="n"/>
      <c r="L385" s="89" t="n"/>
      <c r="M385" s="89" t="n"/>
      <c r="N385" s="89" t="n"/>
      <c r="O385" s="89" t="n"/>
      <c r="P385" s="89" t="n"/>
      <c r="Q385" s="89" t="n"/>
      <c r="R385" s="89" t="n"/>
      <c r="S385" s="89" t="n"/>
      <c r="T385" s="89" t="n"/>
      <c r="U385" s="89" t="n"/>
      <c r="V385" s="89" t="n"/>
      <c r="W385" s="89" t="n"/>
      <c r="X385" s="89" t="n"/>
      <c r="Y385" s="89" t="n"/>
      <c r="Z385" s="89" t="n"/>
      <c r="AA385" s="89" t="n"/>
      <c r="AB385" s="89" t="n"/>
      <c r="AC385" s="89" t="n"/>
      <c r="AD385" s="89" t="n"/>
      <c r="AE385" s="89" t="n"/>
      <c r="AF385" s="89" t="n"/>
      <c r="AG385" s="89" t="n"/>
      <c r="AH385" s="89" t="n"/>
      <c r="AI385" s="89" t="n"/>
      <c r="AJ385" s="89" t="n"/>
      <c r="AK385" s="89" t="n"/>
      <c r="AL385" s="89" t="n"/>
      <c r="AM385" s="89" t="n"/>
      <c r="AN385" s="89" t="n"/>
      <c r="AO385" s="89" t="n">
        <v>16.91707</v>
      </c>
      <c r="AP385" s="89" t="n"/>
      <c r="AQ385" s="89" t="n"/>
      <c r="AR385" s="89" t="n"/>
      <c r="AS385" s="89" t="n"/>
      <c r="AT385" s="89" t="n"/>
      <c r="AU385" s="89" t="n"/>
      <c r="AV385" s="89" t="n"/>
      <c r="AW385" s="89" t="n"/>
      <c r="AX385" s="89" t="n"/>
      <c r="AY385" s="89" t="n"/>
    </row>
    <row r="386">
      <c r="A386" t="inlineStr">
        <is>
          <t>1951-01</t>
        </is>
      </c>
      <c r="B386" s="1" t="n">
        <v>18629</v>
      </c>
      <c r="C386" s="88" t="n">
        <v>386</v>
      </c>
      <c r="E386" s="1">
        <f>B386</f>
        <v/>
      </c>
      <c r="F386" s="2">
        <f>B386</f>
        <v/>
      </c>
      <c r="G386" s="88" t="n">
        <v>384</v>
      </c>
      <c r="H386" s="89" t="n"/>
      <c r="I386" s="89" t="n"/>
      <c r="J386" s="89" t="n"/>
      <c r="K386" s="89" t="n"/>
      <c r="L386" s="89" t="n"/>
      <c r="M386" s="89" t="n"/>
      <c r="N386" s="89" t="n"/>
      <c r="O386" s="89" t="n"/>
      <c r="P386" s="89" t="n"/>
      <c r="Q386" s="89" t="n"/>
      <c r="R386" s="89" t="n"/>
      <c r="S386" s="89" t="n"/>
      <c r="T386" s="89" t="n"/>
      <c r="U386" s="89" t="n"/>
      <c r="V386" s="89" t="n"/>
      <c r="W386" s="89" t="n"/>
      <c r="X386" s="89" t="n"/>
      <c r="Y386" s="89" t="n"/>
      <c r="Z386" s="89" t="n"/>
      <c r="AA386" s="89" t="n"/>
      <c r="AB386" s="89" t="n"/>
      <c r="AC386" s="89" t="n"/>
      <c r="AD386" s="89" t="n"/>
      <c r="AE386" s="89" t="n"/>
      <c r="AF386" s="89" t="n"/>
      <c r="AG386" s="89" t="n"/>
      <c r="AH386" s="89" t="n"/>
      <c r="AI386" s="89" t="n"/>
      <c r="AJ386" s="89" t="n"/>
      <c r="AK386" s="89" t="n"/>
      <c r="AL386" s="89" t="n"/>
      <c r="AM386" s="89" t="n"/>
      <c r="AN386" s="89" t="n"/>
      <c r="AO386" s="89" t="n">
        <v>16.97028</v>
      </c>
      <c r="AP386" s="89" t="n"/>
      <c r="AQ386" s="89" t="n"/>
      <c r="AR386" s="89" t="n"/>
      <c r="AS386" s="89" t="n"/>
      <c r="AT386" s="89" t="n"/>
      <c r="AU386" s="89" t="n"/>
      <c r="AV386" s="89" t="n"/>
      <c r="AW386" s="89" t="n"/>
      <c r="AX386" s="89" t="n"/>
      <c r="AY386" s="89" t="n"/>
    </row>
    <row r="387">
      <c r="A387" t="inlineStr">
        <is>
          <t>1951-02</t>
        </is>
      </c>
      <c r="B387" s="1" t="n">
        <v>18660</v>
      </c>
      <c r="C387" s="88" t="n">
        <v>387</v>
      </c>
      <c r="E387" s="1">
        <f>B387</f>
        <v/>
      </c>
      <c r="F387" s="2">
        <f>B387</f>
        <v/>
      </c>
      <c r="G387" s="88" t="n">
        <v>385</v>
      </c>
      <c r="H387" s="89" t="n"/>
      <c r="I387" s="89" t="n"/>
      <c r="J387" s="89" t="n"/>
      <c r="K387" s="89" t="n"/>
      <c r="L387" s="89" t="n"/>
      <c r="M387" s="89" t="n"/>
      <c r="N387" s="89" t="n"/>
      <c r="O387" s="89" t="n"/>
      <c r="P387" s="89" t="n"/>
      <c r="Q387" s="89" t="n"/>
      <c r="R387" s="89" t="n"/>
      <c r="S387" s="89" t="n"/>
      <c r="T387" s="89" t="n"/>
      <c r="U387" s="89" t="n"/>
      <c r="V387" s="89" t="n"/>
      <c r="W387" s="89" t="n"/>
      <c r="X387" s="89" t="n"/>
      <c r="Y387" s="89" t="n"/>
      <c r="Z387" s="89" t="n"/>
      <c r="AA387" s="89" t="n"/>
      <c r="AB387" s="89" t="n"/>
      <c r="AC387" s="89" t="n"/>
      <c r="AD387" s="89" t="n"/>
      <c r="AE387" s="89" t="n"/>
      <c r="AF387" s="89" t="n"/>
      <c r="AG387" s="89" t="n"/>
      <c r="AH387" s="89" t="n"/>
      <c r="AI387" s="89" t="n"/>
      <c r="AJ387" s="89" t="n"/>
      <c r="AK387" s="89" t="n"/>
      <c r="AL387" s="89" t="n"/>
      <c r="AM387" s="89" t="n"/>
      <c r="AN387" s="89" t="n"/>
      <c r="AO387" s="89" t="n">
        <v>17.07671</v>
      </c>
      <c r="AP387" s="89" t="n"/>
      <c r="AQ387" s="89" t="n"/>
      <c r="AR387" s="89" t="n"/>
      <c r="AS387" s="89" t="n"/>
      <c r="AT387" s="89" t="n"/>
      <c r="AU387" s="89" t="n"/>
      <c r="AV387" s="89" t="n"/>
      <c r="AW387" s="89" t="n"/>
      <c r="AX387" s="89" t="n"/>
      <c r="AY387" s="89" t="n"/>
    </row>
    <row r="388">
      <c r="A388" t="inlineStr">
        <is>
          <t>1951-03</t>
        </is>
      </c>
      <c r="B388" s="1" t="n">
        <v>18688</v>
      </c>
      <c r="C388" s="88" t="n">
        <v>388</v>
      </c>
      <c r="E388" s="1">
        <f>B388</f>
        <v/>
      </c>
      <c r="F388" s="2">
        <f>B388</f>
        <v/>
      </c>
      <c r="G388" s="88" t="n">
        <v>386</v>
      </c>
      <c r="H388" s="89" t="n"/>
      <c r="I388" s="89" t="n"/>
      <c r="J388" s="89" t="n"/>
      <c r="K388" s="89" t="n"/>
      <c r="L388" s="89" t="n"/>
      <c r="M388" s="89" t="n"/>
      <c r="N388" s="89" t="n"/>
      <c r="O388" s="89" t="n"/>
      <c r="P388" s="89" t="n"/>
      <c r="Q388" s="89" t="n"/>
      <c r="R388" s="89" t="n"/>
      <c r="S388" s="89" t="n"/>
      <c r="T388" s="89" t="n"/>
      <c r="U388" s="89" t="n"/>
      <c r="V388" s="89" t="n"/>
      <c r="W388" s="89" t="n"/>
      <c r="X388" s="89" t="n"/>
      <c r="Y388" s="89" t="n"/>
      <c r="Z388" s="89" t="n"/>
      <c r="AA388" s="89" t="n"/>
      <c r="AB388" s="89" t="n"/>
      <c r="AC388" s="89" t="n"/>
      <c r="AD388" s="89" t="n"/>
      <c r="AE388" s="89" t="n"/>
      <c r="AF388" s="89" t="n"/>
      <c r="AG388" s="89" t="n"/>
      <c r="AH388" s="89" t="n"/>
      <c r="AI388" s="89" t="n"/>
      <c r="AJ388" s="89" t="n"/>
      <c r="AK388" s="89" t="n"/>
      <c r="AL388" s="89" t="n"/>
      <c r="AM388" s="89" t="n"/>
      <c r="AN388" s="89" t="n"/>
      <c r="AO388" s="89" t="n">
        <v>17.15643</v>
      </c>
      <c r="AP388" s="89" t="n"/>
      <c r="AQ388" s="89" t="n"/>
      <c r="AR388" s="89" t="n"/>
      <c r="AS388" s="89" t="n"/>
      <c r="AT388" s="89" t="n"/>
      <c r="AU388" s="89" t="n"/>
      <c r="AV388" s="89" t="n"/>
      <c r="AW388" s="89" t="n"/>
      <c r="AX388" s="89" t="n"/>
      <c r="AY388" s="89" t="n"/>
    </row>
    <row r="389">
      <c r="A389" t="inlineStr">
        <is>
          <t>1951-04</t>
        </is>
      </c>
      <c r="B389" s="1" t="n">
        <v>18719</v>
      </c>
      <c r="C389" s="88" t="n">
        <v>389</v>
      </c>
      <c r="E389" s="1">
        <f>B389</f>
        <v/>
      </c>
      <c r="F389" s="2">
        <f>B389</f>
        <v/>
      </c>
      <c r="G389" s="88" t="n">
        <v>387</v>
      </c>
      <c r="H389" s="89" t="n"/>
      <c r="I389" s="89" t="n"/>
      <c r="J389" s="89" t="n"/>
      <c r="K389" s="89" t="n"/>
      <c r="L389" s="89" t="n"/>
      <c r="M389" s="89" t="n"/>
      <c r="N389" s="89" t="n"/>
      <c r="O389" s="89" t="n"/>
      <c r="P389" s="89" t="n"/>
      <c r="Q389" s="89" t="n"/>
      <c r="R389" s="89" t="n"/>
      <c r="S389" s="89" t="n"/>
      <c r="T389" s="89" t="n"/>
      <c r="U389" s="89" t="n"/>
      <c r="V389" s="89" t="n"/>
      <c r="W389" s="89" t="n"/>
      <c r="X389" s="89" t="n"/>
      <c r="Y389" s="89" t="n"/>
      <c r="Z389" s="89" t="n"/>
      <c r="AA389" s="89" t="n"/>
      <c r="AB389" s="89" t="n"/>
      <c r="AC389" s="89" t="n"/>
      <c r="AD389" s="89" t="n"/>
      <c r="AE389" s="89" t="n"/>
      <c r="AF389" s="89" t="n"/>
      <c r="AG389" s="89" t="n"/>
      <c r="AH389" s="89" t="n"/>
      <c r="AI389" s="89" t="n"/>
      <c r="AJ389" s="89" t="n"/>
      <c r="AK389" s="89" t="n"/>
      <c r="AL389" s="89" t="n"/>
      <c r="AM389" s="89" t="n"/>
      <c r="AN389" s="89" t="n"/>
      <c r="AO389" s="89" t="n">
        <v>17.18303</v>
      </c>
      <c r="AP389" s="89" t="n"/>
      <c r="AQ389" s="89" t="n"/>
      <c r="AR389" s="89" t="n"/>
      <c r="AS389" s="89" t="n"/>
      <c r="AT389" s="89" t="n"/>
      <c r="AU389" s="89" t="n"/>
      <c r="AV389" s="89" t="n"/>
      <c r="AW389" s="89" t="n"/>
      <c r="AX389" s="89" t="n"/>
      <c r="AY389" s="89" t="n"/>
    </row>
    <row r="390">
      <c r="A390" t="inlineStr">
        <is>
          <t>1951-05</t>
        </is>
      </c>
      <c r="B390" s="1" t="n">
        <v>18749</v>
      </c>
      <c r="C390" s="88" t="n">
        <v>390</v>
      </c>
      <c r="E390" s="1">
        <f>B390</f>
        <v/>
      </c>
      <c r="F390" s="2">
        <f>B390</f>
        <v/>
      </c>
      <c r="G390" s="88" t="n">
        <v>388</v>
      </c>
      <c r="H390" s="89" t="n"/>
      <c r="I390" s="89" t="n"/>
      <c r="J390" s="89" t="n"/>
      <c r="K390" s="89" t="n"/>
      <c r="L390" s="89" t="n"/>
      <c r="M390" s="89" t="n"/>
      <c r="N390" s="89" t="n"/>
      <c r="O390" s="89" t="n"/>
      <c r="P390" s="89" t="n"/>
      <c r="Q390" s="89" t="n"/>
      <c r="R390" s="89" t="n"/>
      <c r="S390" s="89" t="n"/>
      <c r="T390" s="89" t="n"/>
      <c r="U390" s="89" t="n"/>
      <c r="V390" s="89" t="n"/>
      <c r="W390" s="89" t="n"/>
      <c r="X390" s="89" t="n"/>
      <c r="Y390" s="89" t="n"/>
      <c r="Z390" s="89" t="n"/>
      <c r="AA390" s="89" t="n"/>
      <c r="AB390" s="89" t="n"/>
      <c r="AC390" s="89" t="n"/>
      <c r="AD390" s="89" t="n"/>
      <c r="AE390" s="89" t="n"/>
      <c r="AF390" s="89" t="n"/>
      <c r="AG390" s="89" t="n"/>
      <c r="AH390" s="89" t="n"/>
      <c r="AI390" s="89" t="n"/>
      <c r="AJ390" s="89" t="n"/>
      <c r="AK390" s="89" t="n"/>
      <c r="AL390" s="89" t="n"/>
      <c r="AM390" s="89" t="n"/>
      <c r="AN390" s="89" t="n"/>
      <c r="AO390" s="89" t="n">
        <v>17.12992</v>
      </c>
      <c r="AP390" s="89" t="n"/>
      <c r="AQ390" s="89" t="n"/>
      <c r="AR390" s="89" t="n"/>
      <c r="AS390" s="89" t="n"/>
      <c r="AT390" s="89" t="n"/>
      <c r="AU390" s="89" t="n"/>
      <c r="AV390" s="89" t="n"/>
      <c r="AW390" s="89" t="n"/>
      <c r="AX390" s="89" t="n"/>
      <c r="AY390" s="89" t="n"/>
    </row>
    <row r="391">
      <c r="A391" t="inlineStr">
        <is>
          <t>1951-06</t>
        </is>
      </c>
      <c r="B391" s="1" t="n">
        <v>18780</v>
      </c>
      <c r="C391" s="88" t="n">
        <v>391</v>
      </c>
      <c r="E391" s="1">
        <f>B391</f>
        <v/>
      </c>
      <c r="F391" s="2">
        <f>B391</f>
        <v/>
      </c>
      <c r="G391" s="88" t="n">
        <v>389</v>
      </c>
      <c r="H391" s="89" t="n"/>
      <c r="I391" s="89" t="n"/>
      <c r="J391" s="89" t="n"/>
      <c r="K391" s="89" t="n"/>
      <c r="L391" s="89" t="n"/>
      <c r="M391" s="89" t="n"/>
      <c r="N391" s="89" t="n"/>
      <c r="O391" s="89" t="n"/>
      <c r="P391" s="89" t="n"/>
      <c r="Q391" s="89" t="n"/>
      <c r="R391" s="89" t="n"/>
      <c r="S391" s="89" t="n"/>
      <c r="T391" s="89" t="n"/>
      <c r="U391" s="89" t="n"/>
      <c r="V391" s="89" t="n"/>
      <c r="W391" s="89" t="n"/>
      <c r="X391" s="89" t="n"/>
      <c r="Y391" s="89" t="n"/>
      <c r="Z391" s="89" t="n"/>
      <c r="AA391" s="89" t="n"/>
      <c r="AB391" s="89" t="n"/>
      <c r="AC391" s="89" t="n"/>
      <c r="AD391" s="89" t="n"/>
      <c r="AE391" s="89" t="n"/>
      <c r="AF391" s="89" t="n"/>
      <c r="AG391" s="89" t="n"/>
      <c r="AH391" s="89" t="n"/>
      <c r="AI391" s="89" t="n"/>
      <c r="AJ391" s="89" t="n"/>
      <c r="AK391" s="89" t="n"/>
      <c r="AL391" s="89" t="n"/>
      <c r="AM391" s="89" t="n"/>
      <c r="AN391" s="89" t="n"/>
      <c r="AO391" s="89" t="n">
        <v>17.0501</v>
      </c>
      <c r="AP391" s="89" t="n"/>
      <c r="AQ391" s="89" t="n"/>
      <c r="AR391" s="89" t="n"/>
      <c r="AS391" s="89" t="n"/>
      <c r="AT391" s="89" t="n"/>
      <c r="AU391" s="89" t="n"/>
      <c r="AV391" s="89" t="n"/>
      <c r="AW391" s="89" t="n"/>
      <c r="AX391" s="89" t="n"/>
      <c r="AY391" s="89" t="n"/>
    </row>
    <row r="392">
      <c r="A392" t="inlineStr">
        <is>
          <t>1951-07</t>
        </is>
      </c>
      <c r="B392" s="1" t="n">
        <v>18810</v>
      </c>
      <c r="C392" s="88" t="n">
        <v>392</v>
      </c>
      <c r="E392" s="1">
        <f>B392</f>
        <v/>
      </c>
      <c r="F392" s="2">
        <f>B392</f>
        <v/>
      </c>
      <c r="G392" s="88" t="n">
        <v>390</v>
      </c>
      <c r="H392" s="89" t="n"/>
      <c r="I392" s="89" t="n"/>
      <c r="J392" s="89" t="n"/>
      <c r="K392" s="89" t="n"/>
      <c r="L392" s="89" t="n"/>
      <c r="M392" s="89" t="n"/>
      <c r="N392" s="89" t="n"/>
      <c r="O392" s="89" t="n"/>
      <c r="P392" s="89" t="n"/>
      <c r="Q392" s="89" t="n"/>
      <c r="R392" s="89" t="n"/>
      <c r="S392" s="89" t="n"/>
      <c r="T392" s="89" t="n"/>
      <c r="U392" s="89" t="n"/>
      <c r="V392" s="89" t="n"/>
      <c r="W392" s="89" t="n"/>
      <c r="X392" s="89" t="n"/>
      <c r="Y392" s="89" t="n"/>
      <c r="Z392" s="89" t="n"/>
      <c r="AA392" s="89" t="n"/>
      <c r="AB392" s="89" t="n"/>
      <c r="AC392" s="89" t="n"/>
      <c r="AD392" s="89" t="n"/>
      <c r="AE392" s="89" t="n"/>
      <c r="AF392" s="89" t="n"/>
      <c r="AG392" s="89" t="n"/>
      <c r="AH392" s="89" t="n"/>
      <c r="AI392" s="89" t="n"/>
      <c r="AJ392" s="89" t="n"/>
      <c r="AK392" s="89" t="n"/>
      <c r="AL392" s="89" t="n"/>
      <c r="AM392" s="89" t="n"/>
      <c r="AN392" s="89" t="n"/>
      <c r="AO392" s="89" t="n">
        <v>16.78404</v>
      </c>
      <c r="AP392" s="89" t="n"/>
      <c r="AQ392" s="89" t="n"/>
      <c r="AR392" s="89" t="n"/>
      <c r="AS392" s="89" t="n"/>
      <c r="AT392" s="89" t="n"/>
      <c r="AU392" s="89" t="n"/>
      <c r="AV392" s="89" t="n"/>
      <c r="AW392" s="89" t="n"/>
      <c r="AX392" s="89" t="n"/>
      <c r="AY392" s="89" t="n"/>
    </row>
    <row r="393">
      <c r="A393" t="inlineStr">
        <is>
          <t>1951-08</t>
        </is>
      </c>
      <c r="B393" s="1" t="n">
        <v>18841</v>
      </c>
      <c r="C393" s="88" t="n">
        <v>393</v>
      </c>
      <c r="E393" s="1">
        <f>B393</f>
        <v/>
      </c>
      <c r="F393" s="2">
        <f>B393</f>
        <v/>
      </c>
      <c r="G393" s="88" t="n">
        <v>391</v>
      </c>
      <c r="H393" s="89" t="n"/>
      <c r="I393" s="89" t="n"/>
      <c r="J393" s="89" t="n"/>
      <c r="K393" s="89" t="n"/>
      <c r="L393" s="89" t="n"/>
      <c r="M393" s="89" t="n"/>
      <c r="N393" s="89" t="n"/>
      <c r="O393" s="89" t="n"/>
      <c r="P393" s="89" t="n"/>
      <c r="Q393" s="89" t="n"/>
      <c r="R393" s="89" t="n"/>
      <c r="S393" s="89" t="n"/>
      <c r="T393" s="89" t="n"/>
      <c r="U393" s="89" t="n"/>
      <c r="V393" s="89" t="n"/>
      <c r="W393" s="89" t="n"/>
      <c r="X393" s="89" t="n"/>
      <c r="Y393" s="89" t="n"/>
      <c r="Z393" s="89" t="n"/>
      <c r="AA393" s="89" t="n"/>
      <c r="AB393" s="89" t="n"/>
      <c r="AC393" s="89" t="n"/>
      <c r="AD393" s="89" t="n"/>
      <c r="AE393" s="89" t="n"/>
      <c r="AF393" s="89" t="n"/>
      <c r="AG393" s="89" t="n"/>
      <c r="AH393" s="89" t="n"/>
      <c r="AI393" s="89" t="n"/>
      <c r="AJ393" s="89" t="n"/>
      <c r="AK393" s="89" t="n"/>
      <c r="AL393" s="89" t="n"/>
      <c r="AM393" s="89" t="n"/>
      <c r="AN393" s="89" t="n"/>
      <c r="AO393" s="89" t="n">
        <v>16.6245</v>
      </c>
      <c r="AP393" s="89" t="n"/>
      <c r="AQ393" s="89" t="n"/>
      <c r="AR393" s="89" t="n"/>
      <c r="AS393" s="89" t="n"/>
      <c r="AT393" s="89" t="n"/>
      <c r="AU393" s="89" t="n"/>
      <c r="AV393" s="89" t="n"/>
      <c r="AW393" s="89" t="n"/>
      <c r="AX393" s="89" t="n"/>
      <c r="AY393" s="89" t="n"/>
    </row>
    <row r="394">
      <c r="A394" t="inlineStr">
        <is>
          <t>1951-09</t>
        </is>
      </c>
      <c r="B394" s="1" t="n">
        <v>18872</v>
      </c>
      <c r="C394" s="88" t="n">
        <v>394</v>
      </c>
      <c r="E394" s="1">
        <f>B394</f>
        <v/>
      </c>
      <c r="F394" s="2">
        <f>B394</f>
        <v/>
      </c>
      <c r="G394" s="88" t="n">
        <v>392</v>
      </c>
      <c r="H394" s="89" t="n"/>
      <c r="I394" s="89" t="n"/>
      <c r="J394" s="89" t="n"/>
      <c r="K394" s="89" t="n"/>
      <c r="L394" s="89" t="n"/>
      <c r="M394" s="89" t="n"/>
      <c r="N394" s="89" t="n"/>
      <c r="O394" s="89" t="n"/>
      <c r="P394" s="89" t="n"/>
      <c r="Q394" s="89" t="n"/>
      <c r="R394" s="89" t="n"/>
      <c r="S394" s="89" t="n"/>
      <c r="T394" s="89" t="n"/>
      <c r="U394" s="89" t="n"/>
      <c r="V394" s="89" t="n"/>
      <c r="W394" s="89" t="n"/>
      <c r="X394" s="89" t="n"/>
      <c r="Y394" s="89" t="n"/>
      <c r="Z394" s="89" t="n"/>
      <c r="AA394" s="89" t="n"/>
      <c r="AB394" s="89" t="n"/>
      <c r="AC394" s="89" t="n"/>
      <c r="AD394" s="89" t="n"/>
      <c r="AE394" s="89" t="n"/>
      <c r="AF394" s="89" t="n"/>
      <c r="AG394" s="89" t="n"/>
      <c r="AH394" s="89" t="n"/>
      <c r="AI394" s="89" t="n"/>
      <c r="AJ394" s="89" t="n"/>
      <c r="AK394" s="89" t="n"/>
      <c r="AL394" s="89" t="n"/>
      <c r="AM394" s="89" t="n"/>
      <c r="AN394" s="89" t="n"/>
      <c r="AO394" s="89" t="n">
        <v>16.73092</v>
      </c>
      <c r="AP394" s="89" t="n"/>
      <c r="AQ394" s="89" t="n"/>
      <c r="AR394" s="89" t="n"/>
      <c r="AS394" s="89" t="n"/>
      <c r="AT394" s="89" t="n"/>
      <c r="AU394" s="89" t="n"/>
      <c r="AV394" s="89" t="n"/>
      <c r="AW394" s="89" t="n"/>
      <c r="AX394" s="89" t="n"/>
      <c r="AY394" s="89" t="n"/>
    </row>
    <row r="395">
      <c r="A395" t="inlineStr">
        <is>
          <t>1951-10</t>
        </is>
      </c>
      <c r="B395" s="1" t="n">
        <v>18902</v>
      </c>
      <c r="C395" s="88" t="n">
        <v>395</v>
      </c>
      <c r="E395" s="1">
        <f>B395</f>
        <v/>
      </c>
      <c r="F395" s="2">
        <f>B395</f>
        <v/>
      </c>
      <c r="G395" s="88" t="n">
        <v>393</v>
      </c>
      <c r="H395" s="89" t="n"/>
      <c r="I395" s="89" t="n"/>
      <c r="J395" s="89" t="n"/>
      <c r="K395" s="89" t="n"/>
      <c r="L395" s="89" t="n"/>
      <c r="M395" s="89" t="n"/>
      <c r="N395" s="89" t="n"/>
      <c r="O395" s="89" t="n"/>
      <c r="P395" s="89" t="n"/>
      <c r="Q395" s="89" t="n"/>
      <c r="R395" s="89" t="n"/>
      <c r="S395" s="89" t="n"/>
      <c r="T395" s="89" t="n"/>
      <c r="U395" s="89" t="n"/>
      <c r="V395" s="89" t="n"/>
      <c r="W395" s="89" t="n"/>
      <c r="X395" s="89" t="n"/>
      <c r="Y395" s="89" t="n"/>
      <c r="Z395" s="89" t="n"/>
      <c r="AA395" s="89" t="n"/>
      <c r="AB395" s="89" t="n"/>
      <c r="AC395" s="89" t="n"/>
      <c r="AD395" s="89" t="n"/>
      <c r="AE395" s="89" t="n"/>
      <c r="AF395" s="89" t="n"/>
      <c r="AG395" s="89" t="n"/>
      <c r="AH395" s="89" t="n"/>
      <c r="AI395" s="89" t="n"/>
      <c r="AJ395" s="89" t="n"/>
      <c r="AK395" s="89" t="n"/>
      <c r="AL395" s="89" t="n"/>
      <c r="AM395" s="89" t="n"/>
      <c r="AN395" s="89" t="n"/>
      <c r="AO395" s="89" t="n">
        <v>16.70432</v>
      </c>
      <c r="AP395" s="89" t="n"/>
      <c r="AQ395" s="89" t="n"/>
      <c r="AR395" s="89" t="n"/>
      <c r="AS395" s="89" t="n"/>
      <c r="AT395" s="89" t="n"/>
      <c r="AU395" s="89" t="n"/>
      <c r="AV395" s="89" t="n"/>
      <c r="AW395" s="89" t="n"/>
      <c r="AX395" s="89" t="n"/>
      <c r="AY395" s="89" t="n"/>
    </row>
    <row r="396">
      <c r="A396" t="inlineStr">
        <is>
          <t>1951-11</t>
        </is>
      </c>
      <c r="B396" s="1" t="n">
        <v>18933</v>
      </c>
      <c r="C396" s="88" t="n">
        <v>396</v>
      </c>
      <c r="E396" s="1">
        <f>B396</f>
        <v/>
      </c>
      <c r="F396" s="2">
        <f>B396</f>
        <v/>
      </c>
      <c r="G396" s="88" t="n">
        <v>394</v>
      </c>
      <c r="H396" s="89" t="n"/>
      <c r="I396" s="89" t="n"/>
      <c r="J396" s="89" t="n"/>
      <c r="K396" s="89" t="n"/>
      <c r="L396" s="89" t="n"/>
      <c r="M396" s="89" t="n"/>
      <c r="N396" s="89" t="n"/>
      <c r="O396" s="89" t="n"/>
      <c r="P396" s="89" t="n"/>
      <c r="Q396" s="89" t="n"/>
      <c r="R396" s="89" t="n"/>
      <c r="S396" s="89" t="n"/>
      <c r="T396" s="89" t="n"/>
      <c r="U396" s="89" t="n"/>
      <c r="V396" s="89" t="n"/>
      <c r="W396" s="89" t="n"/>
      <c r="X396" s="89" t="n"/>
      <c r="Y396" s="89" t="n"/>
      <c r="Z396" s="89" t="n"/>
      <c r="AA396" s="89" t="n"/>
      <c r="AB396" s="89" t="n"/>
      <c r="AC396" s="89" t="n"/>
      <c r="AD396" s="89" t="n"/>
      <c r="AE396" s="89" t="n"/>
      <c r="AF396" s="89" t="n"/>
      <c r="AG396" s="89" t="n"/>
      <c r="AH396" s="89" t="n"/>
      <c r="AI396" s="89" t="n"/>
      <c r="AJ396" s="89" t="n"/>
      <c r="AK396" s="89" t="n"/>
      <c r="AL396" s="89" t="n"/>
      <c r="AM396" s="89" t="n"/>
      <c r="AN396" s="89" t="n"/>
      <c r="AO396" s="89" t="n">
        <v>16.83725</v>
      </c>
      <c r="AP396" s="89" t="n"/>
      <c r="AQ396" s="89" t="n"/>
      <c r="AR396" s="89" t="n"/>
      <c r="AS396" s="89" t="n"/>
      <c r="AT396" s="89" t="n"/>
      <c r="AU396" s="89" t="n"/>
      <c r="AV396" s="89" t="n"/>
      <c r="AW396" s="89" t="n"/>
      <c r="AX396" s="89" t="n"/>
      <c r="AY396" s="89" t="n"/>
    </row>
    <row r="397">
      <c r="A397" t="inlineStr">
        <is>
          <t>1951-12</t>
        </is>
      </c>
      <c r="B397" s="1" t="n">
        <v>18963</v>
      </c>
      <c r="C397" s="88" t="n">
        <v>397</v>
      </c>
      <c r="E397" s="1">
        <f>B397</f>
        <v/>
      </c>
      <c r="F397" s="2">
        <f>B397</f>
        <v/>
      </c>
      <c r="G397" s="88" t="n">
        <v>395</v>
      </c>
      <c r="H397" s="89" t="n"/>
      <c r="I397" s="89" t="n"/>
      <c r="J397" s="89" t="n"/>
      <c r="K397" s="89" t="n"/>
      <c r="L397" s="89" t="n"/>
      <c r="M397" s="89" t="n"/>
      <c r="N397" s="89" t="n"/>
      <c r="O397" s="89" t="n"/>
      <c r="P397" s="89" t="n"/>
      <c r="Q397" s="89" t="n"/>
      <c r="R397" s="89" t="n"/>
      <c r="S397" s="89" t="n"/>
      <c r="T397" s="89" t="n"/>
      <c r="U397" s="89" t="n"/>
      <c r="V397" s="89" t="n"/>
      <c r="W397" s="89" t="n"/>
      <c r="X397" s="89" t="n"/>
      <c r="Y397" s="89" t="n"/>
      <c r="Z397" s="89" t="n"/>
      <c r="AA397" s="89" t="n"/>
      <c r="AB397" s="89" t="n"/>
      <c r="AC397" s="89" t="n"/>
      <c r="AD397" s="89" t="n"/>
      <c r="AE397" s="89" t="n"/>
      <c r="AF397" s="89" t="n"/>
      <c r="AG397" s="89" t="n"/>
      <c r="AH397" s="89" t="n"/>
      <c r="AI397" s="89" t="n"/>
      <c r="AJ397" s="89" t="n"/>
      <c r="AK397" s="89" t="n"/>
      <c r="AL397" s="89" t="n"/>
      <c r="AM397" s="89" t="n"/>
      <c r="AN397" s="89" t="n"/>
      <c r="AO397" s="89" t="n">
        <v>16.94368</v>
      </c>
      <c r="AP397" s="89" t="n"/>
      <c r="AQ397" s="89" t="n"/>
      <c r="AR397" s="89" t="n"/>
      <c r="AS397" s="89" t="n"/>
      <c r="AT397" s="89" t="n"/>
      <c r="AU397" s="89" t="n"/>
      <c r="AV397" s="89" t="n"/>
      <c r="AW397" s="89" t="n"/>
      <c r="AX397" s="89" t="n"/>
      <c r="AY397" s="89" t="n"/>
    </row>
    <row r="398">
      <c r="A398" t="inlineStr">
        <is>
          <t>1952-01</t>
        </is>
      </c>
      <c r="B398" s="1" t="n">
        <v>18994</v>
      </c>
      <c r="C398" s="88" t="n">
        <v>398</v>
      </c>
      <c r="E398" s="1">
        <f>B398</f>
        <v/>
      </c>
      <c r="F398" s="2">
        <f>B398</f>
        <v/>
      </c>
      <c r="G398" s="88" t="n">
        <v>396</v>
      </c>
      <c r="H398" s="89" t="n"/>
      <c r="I398" s="89" t="n"/>
      <c r="J398" s="89" t="n"/>
      <c r="K398" s="89" t="n"/>
      <c r="L398" s="89" t="n"/>
      <c r="M398" s="89" t="n"/>
      <c r="N398" s="89" t="n"/>
      <c r="O398" s="89" t="n"/>
      <c r="P398" s="89" t="n"/>
      <c r="Q398" s="89" t="n"/>
      <c r="R398" s="89" t="n"/>
      <c r="S398" s="89" t="n"/>
      <c r="T398" s="89" t="n"/>
      <c r="U398" s="89" t="n"/>
      <c r="V398" s="89" t="n"/>
      <c r="W398" s="89" t="n"/>
      <c r="X398" s="89" t="n"/>
      <c r="Y398" s="89" t="n"/>
      <c r="Z398" s="89" t="n"/>
      <c r="AA398" s="89" t="n"/>
      <c r="AB398" s="89" t="n"/>
      <c r="AC398" s="89" t="n"/>
      <c r="AD398" s="89" t="n"/>
      <c r="AE398" s="89" t="n"/>
      <c r="AF398" s="89" t="n"/>
      <c r="AG398" s="89" t="n"/>
      <c r="AH398" s="89" t="n"/>
      <c r="AI398" s="89" t="n"/>
      <c r="AJ398" s="89" t="n"/>
      <c r="AK398" s="89" t="n"/>
      <c r="AL398" s="89" t="n"/>
      <c r="AM398" s="89" t="n"/>
      <c r="AN398" s="89" t="n"/>
      <c r="AO398" s="89" t="n">
        <v>17.12982</v>
      </c>
      <c r="AP398" s="89" t="n"/>
      <c r="AQ398" s="89" t="n"/>
      <c r="AR398" s="89" t="n"/>
      <c r="AS398" s="89" t="n"/>
      <c r="AT398" s="89" t="n"/>
      <c r="AU398" s="89" t="n"/>
      <c r="AV398" s="89" t="n"/>
      <c r="AW398" s="89" t="n"/>
      <c r="AX398" s="89" t="n"/>
      <c r="AY398" s="89" t="n"/>
    </row>
    <row r="399">
      <c r="A399" t="inlineStr">
        <is>
          <t>1952-02</t>
        </is>
      </c>
      <c r="B399" s="1" t="n">
        <v>19025</v>
      </c>
      <c r="C399" s="88" t="n">
        <v>399</v>
      </c>
      <c r="E399" s="1">
        <f>B399</f>
        <v/>
      </c>
      <c r="F399" s="2">
        <f>B399</f>
        <v/>
      </c>
      <c r="G399" s="88" t="n">
        <v>397</v>
      </c>
      <c r="H399" s="89" t="n"/>
      <c r="I399" s="89" t="n"/>
      <c r="J399" s="89" t="n"/>
      <c r="K399" s="89" t="n"/>
      <c r="L399" s="89" t="n"/>
      <c r="M399" s="89" t="n"/>
      <c r="N399" s="89" t="n"/>
      <c r="O399" s="89" t="n"/>
      <c r="P399" s="89" t="n"/>
      <c r="Q399" s="89" t="n"/>
      <c r="R399" s="89" t="n"/>
      <c r="S399" s="89" t="n"/>
      <c r="T399" s="89" t="n"/>
      <c r="U399" s="89" t="n"/>
      <c r="V399" s="89" t="n"/>
      <c r="W399" s="89" t="n"/>
      <c r="X399" s="89" t="n"/>
      <c r="Y399" s="89" t="n"/>
      <c r="Z399" s="89" t="n"/>
      <c r="AA399" s="89" t="n"/>
      <c r="AB399" s="89" t="n"/>
      <c r="AC399" s="89" t="n"/>
      <c r="AD399" s="89" t="n"/>
      <c r="AE399" s="89" t="n"/>
      <c r="AF399" s="89" t="n"/>
      <c r="AG399" s="89" t="n"/>
      <c r="AH399" s="89" t="n"/>
      <c r="AI399" s="89" t="n"/>
      <c r="AJ399" s="89" t="n"/>
      <c r="AK399" s="89" t="n"/>
      <c r="AL399" s="89" t="n"/>
      <c r="AM399" s="89" t="n"/>
      <c r="AN399" s="89" t="n"/>
      <c r="AO399" s="89" t="n">
        <v>17.23625</v>
      </c>
      <c r="AP399" s="89" t="n"/>
      <c r="AQ399" s="89" t="n"/>
      <c r="AR399" s="89" t="n"/>
      <c r="AS399" s="89" t="n"/>
      <c r="AT399" s="89" t="n"/>
      <c r="AU399" s="89" t="n"/>
      <c r="AV399" s="89" t="n"/>
      <c r="AW399" s="89" t="n"/>
      <c r="AX399" s="89" t="n"/>
      <c r="AY399" s="89" t="n"/>
    </row>
    <row r="400">
      <c r="A400" t="inlineStr">
        <is>
          <t>1952-03</t>
        </is>
      </c>
      <c r="B400" s="1" t="n">
        <v>19054</v>
      </c>
      <c r="C400" s="88" t="n">
        <v>400</v>
      </c>
      <c r="E400" s="1">
        <f>B400</f>
        <v/>
      </c>
      <c r="F400" s="2">
        <f>B400</f>
        <v/>
      </c>
      <c r="G400" s="88" t="n">
        <v>398</v>
      </c>
      <c r="H400" s="89" t="n"/>
      <c r="I400" s="89" t="n"/>
      <c r="J400" s="89" t="n"/>
      <c r="K400" s="89" t="n"/>
      <c r="L400" s="89" t="n"/>
      <c r="M400" s="89" t="n"/>
      <c r="N400" s="89" t="n"/>
      <c r="O400" s="89" t="n"/>
      <c r="P400" s="89" t="n"/>
      <c r="Q400" s="89" t="n"/>
      <c r="R400" s="89" t="n"/>
      <c r="S400" s="89" t="n"/>
      <c r="T400" s="89" t="n"/>
      <c r="U400" s="89" t="n"/>
      <c r="V400" s="89" t="n"/>
      <c r="W400" s="89" t="n"/>
      <c r="X400" s="89" t="n"/>
      <c r="Y400" s="89" t="n"/>
      <c r="Z400" s="89" t="n"/>
      <c r="AA400" s="89" t="n"/>
      <c r="AB400" s="89" t="n"/>
      <c r="AC400" s="89" t="n"/>
      <c r="AD400" s="89" t="n"/>
      <c r="AE400" s="89" t="n"/>
      <c r="AF400" s="89" t="n"/>
      <c r="AG400" s="89" t="n"/>
      <c r="AH400" s="89" t="n"/>
      <c r="AI400" s="89" t="n"/>
      <c r="AJ400" s="89" t="n"/>
      <c r="AK400" s="89" t="n"/>
      <c r="AL400" s="89" t="n"/>
      <c r="AM400" s="89" t="n"/>
      <c r="AN400" s="89" t="n"/>
      <c r="AO400" s="89" t="n">
        <v>17.28946</v>
      </c>
      <c r="AP400" s="89" t="n"/>
      <c r="AQ400" s="89" t="n"/>
      <c r="AR400" s="89" t="n"/>
      <c r="AS400" s="89" t="n"/>
      <c r="AT400" s="89" t="n"/>
      <c r="AU400" s="89" t="n"/>
      <c r="AV400" s="89" t="n"/>
      <c r="AW400" s="89" t="n"/>
      <c r="AX400" s="89" t="n"/>
      <c r="AY400" s="89" t="n"/>
    </row>
    <row r="401">
      <c r="A401" t="inlineStr">
        <is>
          <t>1952-04</t>
        </is>
      </c>
      <c r="B401" s="1" t="n">
        <v>19085</v>
      </c>
      <c r="C401" s="88" t="n">
        <v>401</v>
      </c>
      <c r="E401" s="1">
        <f>B401</f>
        <v/>
      </c>
      <c r="F401" s="2">
        <f>B401</f>
        <v/>
      </c>
      <c r="G401" s="88" t="n">
        <v>399</v>
      </c>
      <c r="H401" s="89" t="n"/>
      <c r="I401" s="89" t="n"/>
      <c r="J401" s="89" t="n"/>
      <c r="K401" s="89" t="n"/>
      <c r="L401" s="89" t="n"/>
      <c r="M401" s="89" t="n"/>
      <c r="N401" s="89" t="n"/>
      <c r="O401" s="89" t="n"/>
      <c r="P401" s="89" t="n"/>
      <c r="Q401" s="89" t="n"/>
      <c r="R401" s="89" t="n"/>
      <c r="S401" s="89" t="n"/>
      <c r="T401" s="89" t="n"/>
      <c r="U401" s="89" t="n"/>
      <c r="V401" s="89" t="n"/>
      <c r="W401" s="89" t="n"/>
      <c r="X401" s="89" t="n"/>
      <c r="Y401" s="89" t="n"/>
      <c r="Z401" s="89" t="n"/>
      <c r="AA401" s="89" t="n"/>
      <c r="AB401" s="89" t="n"/>
      <c r="AC401" s="89" t="n"/>
      <c r="AD401" s="89" t="n"/>
      <c r="AE401" s="89" t="n"/>
      <c r="AF401" s="89" t="n"/>
      <c r="AG401" s="89" t="n"/>
      <c r="AH401" s="89" t="n"/>
      <c r="AI401" s="89" t="n"/>
      <c r="AJ401" s="89" t="n"/>
      <c r="AK401" s="89" t="n"/>
      <c r="AL401" s="89" t="n"/>
      <c r="AM401" s="89" t="n"/>
      <c r="AN401" s="89" t="n"/>
      <c r="AO401" s="89" t="n">
        <v>17.12982</v>
      </c>
      <c r="AP401" s="89" t="n"/>
      <c r="AQ401" s="89" t="n"/>
      <c r="AR401" s="89" t="n"/>
      <c r="AS401" s="89" t="n"/>
      <c r="AT401" s="89" t="n"/>
      <c r="AU401" s="89" t="n"/>
      <c r="AV401" s="89" t="n"/>
      <c r="AW401" s="89" t="n"/>
      <c r="AX401" s="89" t="n"/>
      <c r="AY401" s="89" t="n"/>
    </row>
    <row r="402">
      <c r="A402" t="inlineStr">
        <is>
          <t>1952-05</t>
        </is>
      </c>
      <c r="B402" s="1" t="n">
        <v>19115</v>
      </c>
      <c r="C402" s="88" t="n">
        <v>402</v>
      </c>
      <c r="E402" s="1">
        <f>B402</f>
        <v/>
      </c>
      <c r="F402" s="2">
        <f>B402</f>
        <v/>
      </c>
      <c r="G402" s="88" t="n">
        <v>400</v>
      </c>
      <c r="H402" s="89" t="n"/>
      <c r="I402" s="89" t="n"/>
      <c r="J402" s="89" t="n"/>
      <c r="K402" s="89" t="n"/>
      <c r="L402" s="89" t="n"/>
      <c r="M402" s="89" t="n"/>
      <c r="N402" s="89" t="n"/>
      <c r="O402" s="89" t="n"/>
      <c r="P402" s="89" t="n"/>
      <c r="Q402" s="89" t="n"/>
      <c r="R402" s="89" t="n"/>
      <c r="S402" s="89" t="n"/>
      <c r="T402" s="89" t="n"/>
      <c r="U402" s="89" t="n"/>
      <c r="V402" s="89" t="n"/>
      <c r="W402" s="89" t="n"/>
      <c r="X402" s="89" t="n"/>
      <c r="Y402" s="89" t="n"/>
      <c r="Z402" s="89" t="n"/>
      <c r="AA402" s="89" t="n"/>
      <c r="AB402" s="89" t="n"/>
      <c r="AC402" s="89" t="n"/>
      <c r="AD402" s="89" t="n"/>
      <c r="AE402" s="89" t="n"/>
      <c r="AF402" s="89" t="n"/>
      <c r="AG402" s="89" t="n"/>
      <c r="AH402" s="89" t="n"/>
      <c r="AI402" s="89" t="n"/>
      <c r="AJ402" s="89" t="n"/>
      <c r="AK402" s="89" t="n"/>
      <c r="AL402" s="89" t="n"/>
      <c r="AM402" s="89" t="n"/>
      <c r="AN402" s="89" t="n"/>
      <c r="AO402" s="89" t="n">
        <v>16.97028</v>
      </c>
      <c r="AP402" s="89" t="n"/>
      <c r="AQ402" s="89" t="n"/>
      <c r="AR402" s="89" t="n"/>
      <c r="AS402" s="89" t="n"/>
      <c r="AT402" s="89" t="n"/>
      <c r="AU402" s="89" t="n"/>
      <c r="AV402" s="89" t="n"/>
      <c r="AW402" s="89" t="n"/>
      <c r="AX402" s="89" t="n"/>
      <c r="AY402" s="89" t="n"/>
    </row>
    <row r="403">
      <c r="A403" t="inlineStr">
        <is>
          <t>1952-06</t>
        </is>
      </c>
      <c r="B403" s="1" t="n">
        <v>19146</v>
      </c>
      <c r="C403" s="88" t="n">
        <v>403</v>
      </c>
      <c r="E403" s="1">
        <f>B403</f>
        <v/>
      </c>
      <c r="F403" s="2">
        <f>B403</f>
        <v/>
      </c>
      <c r="G403" s="88" t="n">
        <v>401</v>
      </c>
      <c r="H403" s="89" t="n"/>
      <c r="I403" s="89" t="n"/>
      <c r="J403" s="89" t="n"/>
      <c r="K403" s="89" t="n"/>
      <c r="L403" s="89" t="n"/>
      <c r="M403" s="89" t="n"/>
      <c r="N403" s="89" t="n"/>
      <c r="O403" s="89" t="n"/>
      <c r="P403" s="89" t="n"/>
      <c r="Q403" s="89" t="n"/>
      <c r="R403" s="89" t="n"/>
      <c r="S403" s="89" t="n"/>
      <c r="T403" s="89" t="n"/>
      <c r="U403" s="89" t="n"/>
      <c r="V403" s="89" t="n"/>
      <c r="W403" s="89" t="n"/>
      <c r="X403" s="89" t="n"/>
      <c r="Y403" s="89" t="n"/>
      <c r="Z403" s="89" t="n"/>
      <c r="AA403" s="89" t="n"/>
      <c r="AB403" s="89" t="n"/>
      <c r="AC403" s="89" t="n"/>
      <c r="AD403" s="89" t="n"/>
      <c r="AE403" s="89" t="n"/>
      <c r="AF403" s="89" t="n"/>
      <c r="AG403" s="89" t="n"/>
      <c r="AH403" s="89" t="n"/>
      <c r="AI403" s="89" t="n"/>
      <c r="AJ403" s="89" t="n"/>
      <c r="AK403" s="89" t="n"/>
      <c r="AL403" s="89" t="n"/>
      <c r="AM403" s="89" t="n"/>
      <c r="AN403" s="89" t="n"/>
      <c r="AO403" s="89" t="n">
        <v>16.81065</v>
      </c>
      <c r="AP403" s="89" t="n"/>
      <c r="AQ403" s="89" t="n"/>
      <c r="AR403" s="89" t="n"/>
      <c r="AS403" s="89" t="n"/>
      <c r="AT403" s="89" t="n"/>
      <c r="AU403" s="89" t="n"/>
      <c r="AV403" s="89" t="n"/>
      <c r="AW403" s="89" t="n"/>
      <c r="AX403" s="89" t="n"/>
      <c r="AY403" s="89" t="n"/>
    </row>
    <row r="404">
      <c r="A404" t="inlineStr">
        <is>
          <t>1952-07</t>
        </is>
      </c>
      <c r="B404" s="1" t="n">
        <v>19176</v>
      </c>
      <c r="C404" s="88" t="n">
        <v>404</v>
      </c>
      <c r="E404" s="1">
        <f>B404</f>
        <v/>
      </c>
      <c r="F404" s="2">
        <f>B404</f>
        <v/>
      </c>
      <c r="G404" s="88" t="n">
        <v>402</v>
      </c>
      <c r="H404" s="89" t="n"/>
      <c r="I404" s="89" t="n"/>
      <c r="J404" s="89" t="n"/>
      <c r="K404" s="89" t="n"/>
      <c r="L404" s="89" t="n"/>
      <c r="M404" s="89" t="n"/>
      <c r="N404" s="89" t="n"/>
      <c r="O404" s="89" t="n"/>
      <c r="P404" s="89" t="n"/>
      <c r="Q404" s="89" t="n"/>
      <c r="R404" s="89" t="n"/>
      <c r="S404" s="89" t="n"/>
      <c r="T404" s="89" t="n"/>
      <c r="U404" s="89" t="n"/>
      <c r="V404" s="89" t="n"/>
      <c r="W404" s="89" t="n"/>
      <c r="X404" s="89" t="n"/>
      <c r="Y404" s="89" t="n"/>
      <c r="Z404" s="89" t="n"/>
      <c r="AA404" s="89" t="n"/>
      <c r="AB404" s="89" t="n"/>
      <c r="AC404" s="89" t="n"/>
      <c r="AD404" s="89" t="n"/>
      <c r="AE404" s="89" t="n"/>
      <c r="AF404" s="89" t="n"/>
      <c r="AG404" s="89" t="n"/>
      <c r="AH404" s="89" t="n"/>
      <c r="AI404" s="89" t="n"/>
      <c r="AJ404" s="89" t="n"/>
      <c r="AK404" s="89" t="n"/>
      <c r="AL404" s="89" t="n"/>
      <c r="AM404" s="89" t="n"/>
      <c r="AN404" s="89" t="n"/>
      <c r="AO404" s="89" t="n">
        <v>16.54468</v>
      </c>
      <c r="AP404" s="89" t="n"/>
      <c r="AQ404" s="89" t="n"/>
      <c r="AR404" s="89" t="n"/>
      <c r="AS404" s="89" t="n"/>
      <c r="AT404" s="89" t="n"/>
      <c r="AU404" s="89" t="n"/>
      <c r="AV404" s="89" t="n"/>
      <c r="AW404" s="89" t="n"/>
      <c r="AX404" s="89" t="n"/>
      <c r="AY404" s="89" t="n"/>
    </row>
    <row r="405">
      <c r="A405" t="inlineStr">
        <is>
          <t>1952-08</t>
        </is>
      </c>
      <c r="B405" s="1" t="n">
        <v>19207</v>
      </c>
      <c r="C405" s="88" t="n">
        <v>405</v>
      </c>
      <c r="E405" s="1">
        <f>B405</f>
        <v/>
      </c>
      <c r="F405" s="2">
        <f>B405</f>
        <v/>
      </c>
      <c r="G405" s="88" t="n">
        <v>403</v>
      </c>
      <c r="H405" s="89" t="n"/>
      <c r="I405" s="89" t="n"/>
      <c r="J405" s="89" t="n"/>
      <c r="K405" s="89" t="n"/>
      <c r="L405" s="89" t="n"/>
      <c r="M405" s="89" t="n"/>
      <c r="N405" s="89" t="n"/>
      <c r="O405" s="89" t="n"/>
      <c r="P405" s="89" t="n"/>
      <c r="Q405" s="89" t="n"/>
      <c r="R405" s="89" t="n"/>
      <c r="S405" s="89" t="n"/>
      <c r="T405" s="89" t="n"/>
      <c r="U405" s="89" t="n"/>
      <c r="V405" s="89" t="n"/>
      <c r="W405" s="89" t="n"/>
      <c r="X405" s="89" t="n"/>
      <c r="Y405" s="89" t="n"/>
      <c r="Z405" s="89" t="n"/>
      <c r="AA405" s="89" t="n"/>
      <c r="AB405" s="89" t="n"/>
      <c r="AC405" s="89" t="n"/>
      <c r="AD405" s="89" t="n"/>
      <c r="AE405" s="89" t="n"/>
      <c r="AF405" s="89" t="n"/>
      <c r="AG405" s="89" t="n"/>
      <c r="AH405" s="89" t="n"/>
      <c r="AI405" s="89" t="n"/>
      <c r="AJ405" s="89" t="n"/>
      <c r="AK405" s="89" t="n"/>
      <c r="AL405" s="89" t="n"/>
      <c r="AM405" s="89" t="n"/>
      <c r="AN405" s="89" t="n"/>
      <c r="AO405" s="89" t="n">
        <v>17.60864</v>
      </c>
      <c r="AP405" s="89" t="n"/>
      <c r="AQ405" s="89" t="n"/>
      <c r="AR405" s="89" t="n"/>
      <c r="AS405" s="89" t="n"/>
      <c r="AT405" s="89" t="n"/>
      <c r="AU405" s="89" t="n"/>
      <c r="AV405" s="89" t="n"/>
      <c r="AW405" s="89" t="n"/>
      <c r="AX405" s="89" t="n"/>
      <c r="AY405" s="89" t="n"/>
    </row>
    <row r="406">
      <c r="A406" t="inlineStr">
        <is>
          <t>1952-09</t>
        </is>
      </c>
      <c r="B406" s="1" t="n">
        <v>19238</v>
      </c>
      <c r="C406" s="88" t="n">
        <v>406</v>
      </c>
      <c r="E406" s="1">
        <f>B406</f>
        <v/>
      </c>
      <c r="F406" s="2">
        <f>B406</f>
        <v/>
      </c>
      <c r="G406" s="88" t="n">
        <v>404</v>
      </c>
      <c r="H406" s="89" t="n"/>
      <c r="I406" s="89" t="n"/>
      <c r="J406" s="89" t="n"/>
      <c r="K406" s="89" t="n"/>
      <c r="L406" s="89" t="n"/>
      <c r="M406" s="89" t="n"/>
      <c r="N406" s="89" t="n"/>
      <c r="O406" s="89" t="n"/>
      <c r="P406" s="89" t="n"/>
      <c r="Q406" s="89" t="n"/>
      <c r="R406" s="89" t="n"/>
      <c r="S406" s="89" t="n"/>
      <c r="T406" s="89" t="n"/>
      <c r="U406" s="89" t="n"/>
      <c r="V406" s="89" t="n"/>
      <c r="W406" s="89" t="n"/>
      <c r="X406" s="89" t="n"/>
      <c r="Y406" s="89" t="n"/>
      <c r="Z406" s="89" t="n"/>
      <c r="AA406" s="89" t="n"/>
      <c r="AB406" s="89" t="n"/>
      <c r="AC406" s="89" t="n"/>
      <c r="AD406" s="89" t="n"/>
      <c r="AE406" s="89" t="n"/>
      <c r="AF406" s="89" t="n"/>
      <c r="AG406" s="89" t="n"/>
      <c r="AH406" s="89" t="n"/>
      <c r="AI406" s="89" t="n"/>
      <c r="AJ406" s="89" t="n"/>
      <c r="AK406" s="89" t="n"/>
      <c r="AL406" s="89" t="n"/>
      <c r="AM406" s="89" t="n"/>
      <c r="AN406" s="89" t="n"/>
      <c r="AO406" s="89" t="n">
        <v>18.24699</v>
      </c>
      <c r="AP406" s="89" t="n"/>
      <c r="AQ406" s="89" t="n"/>
      <c r="AR406" s="89" t="n"/>
      <c r="AS406" s="89" t="n"/>
      <c r="AT406" s="89" t="n"/>
      <c r="AU406" s="89" t="n"/>
      <c r="AV406" s="89" t="n"/>
      <c r="AW406" s="89" t="n"/>
      <c r="AX406" s="89" t="n"/>
      <c r="AY406" s="89" t="n"/>
    </row>
    <row r="407">
      <c r="A407" t="inlineStr">
        <is>
          <t>1952-10</t>
        </is>
      </c>
      <c r="B407" s="1" t="n">
        <v>19268</v>
      </c>
      <c r="C407" s="88" t="n">
        <v>407</v>
      </c>
      <c r="E407" s="1">
        <f>B407</f>
        <v/>
      </c>
      <c r="F407" s="2">
        <f>B407</f>
        <v/>
      </c>
      <c r="G407" s="88" t="n">
        <v>405</v>
      </c>
      <c r="H407" s="89" t="n"/>
      <c r="I407" s="89" t="n"/>
      <c r="J407" s="89" t="n"/>
      <c r="K407" s="89" t="n"/>
      <c r="L407" s="89" t="n"/>
      <c r="M407" s="89" t="n"/>
      <c r="N407" s="89" t="n"/>
      <c r="O407" s="89" t="n"/>
      <c r="P407" s="89" t="n"/>
      <c r="Q407" s="89" t="n"/>
      <c r="R407" s="89" t="n"/>
      <c r="S407" s="89" t="n"/>
      <c r="T407" s="89" t="n"/>
      <c r="U407" s="89" t="n"/>
      <c r="V407" s="89" t="n"/>
      <c r="W407" s="89" t="n"/>
      <c r="X407" s="89" t="n"/>
      <c r="Y407" s="89" t="n"/>
      <c r="Z407" s="89" t="n"/>
      <c r="AA407" s="89" t="n"/>
      <c r="AB407" s="89" t="n"/>
      <c r="AC407" s="89" t="n"/>
      <c r="AD407" s="89" t="n"/>
      <c r="AE407" s="89" t="n"/>
      <c r="AF407" s="89" t="n"/>
      <c r="AG407" s="89" t="n"/>
      <c r="AH407" s="89" t="n"/>
      <c r="AI407" s="89" t="n"/>
      <c r="AJ407" s="89" t="n"/>
      <c r="AK407" s="89" t="n"/>
      <c r="AL407" s="89" t="n"/>
      <c r="AM407" s="89" t="n"/>
      <c r="AN407" s="89" t="n"/>
      <c r="AO407" s="89" t="n">
        <v>18.43324</v>
      </c>
      <c r="AP407" s="89" t="n"/>
      <c r="AQ407" s="89" t="n"/>
      <c r="AR407" s="89" t="n"/>
      <c r="AS407" s="89" t="n"/>
      <c r="AT407" s="89" t="n"/>
      <c r="AU407" s="89" t="n"/>
      <c r="AV407" s="89" t="n"/>
      <c r="AW407" s="89" t="n"/>
      <c r="AX407" s="89" t="n"/>
      <c r="AY407" s="89" t="n"/>
    </row>
    <row r="408">
      <c r="A408" t="inlineStr">
        <is>
          <t>1952-11</t>
        </is>
      </c>
      <c r="B408" s="1" t="n">
        <v>19299</v>
      </c>
      <c r="C408" s="88" t="n">
        <v>408</v>
      </c>
      <c r="E408" s="1">
        <f>B408</f>
        <v/>
      </c>
      <c r="F408" s="2">
        <f>B408</f>
        <v/>
      </c>
      <c r="G408" s="88" t="n">
        <v>406</v>
      </c>
      <c r="H408" s="89" t="n"/>
      <c r="I408" s="89" t="n"/>
      <c r="J408" s="89" t="n"/>
      <c r="K408" s="89" t="n"/>
      <c r="L408" s="89" t="n"/>
      <c r="M408" s="89" t="n"/>
      <c r="N408" s="89" t="n"/>
      <c r="O408" s="89" t="n"/>
      <c r="P408" s="89" t="n"/>
      <c r="Q408" s="89" t="n"/>
      <c r="R408" s="89" t="n"/>
      <c r="S408" s="89" t="n"/>
      <c r="T408" s="89" t="n"/>
      <c r="U408" s="89" t="n"/>
      <c r="V408" s="89" t="n"/>
      <c r="W408" s="89" t="n"/>
      <c r="X408" s="89" t="n"/>
      <c r="Y408" s="89" t="n"/>
      <c r="Z408" s="89" t="n"/>
      <c r="AA408" s="89" t="n"/>
      <c r="AB408" s="89" t="n"/>
      <c r="AC408" s="89" t="n"/>
      <c r="AD408" s="89" t="n"/>
      <c r="AE408" s="89" t="n"/>
      <c r="AF408" s="89" t="n"/>
      <c r="AG408" s="89" t="n"/>
      <c r="AH408" s="89" t="n"/>
      <c r="AI408" s="89" t="n"/>
      <c r="AJ408" s="89" t="n"/>
      <c r="AK408" s="89" t="n"/>
      <c r="AL408" s="89" t="n"/>
      <c r="AM408" s="89" t="n"/>
      <c r="AN408" s="89" t="n"/>
      <c r="AO408" s="89" t="n">
        <v>18.80562</v>
      </c>
      <c r="AP408" s="89" t="n"/>
      <c r="AQ408" s="89" t="n"/>
      <c r="AR408" s="89" t="n"/>
      <c r="AS408" s="89" t="n"/>
      <c r="AT408" s="89" t="n"/>
      <c r="AU408" s="89" t="n"/>
      <c r="AV408" s="89" t="n"/>
      <c r="AW408" s="89" t="n"/>
      <c r="AX408" s="89" t="n"/>
      <c r="AY408" s="89" t="n"/>
    </row>
    <row r="409">
      <c r="A409" t="inlineStr">
        <is>
          <t>1952-12</t>
        </is>
      </c>
      <c r="B409" s="1" t="n">
        <v>19329</v>
      </c>
      <c r="C409" s="88" t="n">
        <v>409</v>
      </c>
      <c r="E409" s="1">
        <f>B409</f>
        <v/>
      </c>
      <c r="F409" s="2">
        <f>B409</f>
        <v/>
      </c>
      <c r="G409" s="88" t="n">
        <v>407</v>
      </c>
      <c r="H409" s="89" t="n"/>
      <c r="I409" s="89" t="n"/>
      <c r="J409" s="89" t="n"/>
      <c r="K409" s="89" t="n"/>
      <c r="L409" s="89" t="n"/>
      <c r="M409" s="89" t="n"/>
      <c r="N409" s="89" t="n"/>
      <c r="O409" s="89" t="n"/>
      <c r="P409" s="89" t="n"/>
      <c r="Q409" s="89" t="n"/>
      <c r="R409" s="89" t="n"/>
      <c r="S409" s="89" t="n"/>
      <c r="T409" s="89" t="n"/>
      <c r="U409" s="89" t="n"/>
      <c r="V409" s="89" t="n"/>
      <c r="W409" s="89" t="n"/>
      <c r="X409" s="89" t="n"/>
      <c r="Y409" s="89" t="n"/>
      <c r="Z409" s="89" t="n"/>
      <c r="AA409" s="89" t="n"/>
      <c r="AB409" s="89" t="n"/>
      <c r="AC409" s="89" t="n"/>
      <c r="AD409" s="89" t="n"/>
      <c r="AE409" s="89" t="n"/>
      <c r="AF409" s="89" t="n"/>
      <c r="AG409" s="89" t="n"/>
      <c r="AH409" s="89" t="n"/>
      <c r="AI409" s="89" t="n"/>
      <c r="AJ409" s="89" t="n"/>
      <c r="AK409" s="89" t="n"/>
      <c r="AL409" s="89" t="n"/>
      <c r="AM409" s="89" t="n"/>
      <c r="AN409" s="89" t="n"/>
      <c r="AO409" s="89" t="n">
        <v>18.91205</v>
      </c>
      <c r="AP409" s="89" t="n"/>
      <c r="AQ409" s="89" t="n"/>
      <c r="AR409" s="89" t="n"/>
      <c r="AS409" s="89" t="n"/>
      <c r="AT409" s="89" t="n"/>
      <c r="AU409" s="89" t="n"/>
      <c r="AV409" s="89" t="n"/>
      <c r="AW409" s="89" t="n"/>
      <c r="AX409" s="89" t="n"/>
      <c r="AY409" s="89" t="n"/>
    </row>
    <row r="410">
      <c r="A410" t="inlineStr">
        <is>
          <t>1953-01</t>
        </is>
      </c>
      <c r="B410" s="1" t="n">
        <v>19360</v>
      </c>
      <c r="C410" s="88" t="n">
        <v>410</v>
      </c>
      <c r="E410" s="1">
        <f>B410</f>
        <v/>
      </c>
      <c r="F410" s="2">
        <f>B410</f>
        <v/>
      </c>
      <c r="G410" s="88" t="n">
        <v>408</v>
      </c>
      <c r="H410" s="89" t="n"/>
      <c r="I410" s="89" t="n"/>
      <c r="J410" s="89" t="n"/>
      <c r="K410" s="89" t="n"/>
      <c r="L410" s="89" t="n"/>
      <c r="M410" s="89" t="n"/>
      <c r="N410" s="89" t="n"/>
      <c r="O410" s="89" t="n"/>
      <c r="P410" s="89" t="n"/>
      <c r="Q410" s="89" t="n"/>
      <c r="R410" s="89" t="n"/>
      <c r="S410" s="89" t="n"/>
      <c r="T410" s="89" t="n"/>
      <c r="U410" s="89" t="n"/>
      <c r="V410" s="89" t="n"/>
      <c r="W410" s="89" t="n"/>
      <c r="X410" s="89" t="n"/>
      <c r="Y410" s="89" t="n"/>
      <c r="Z410" s="89" t="n"/>
      <c r="AA410" s="89" t="n"/>
      <c r="AB410" s="89" t="n"/>
      <c r="AC410" s="89" t="n"/>
      <c r="AD410" s="89" t="n"/>
      <c r="AE410" s="89" t="n"/>
      <c r="AF410" s="89" t="n"/>
      <c r="AG410" s="89" t="n"/>
      <c r="AH410" s="89" t="n"/>
      <c r="AI410" s="89" t="n"/>
      <c r="AJ410" s="89" t="n"/>
      <c r="AK410" s="89" t="n"/>
      <c r="AL410" s="89" t="n"/>
      <c r="AM410" s="89" t="n"/>
      <c r="AN410" s="89" t="n"/>
      <c r="AO410" s="89" t="n">
        <v>18.96516</v>
      </c>
      <c r="AP410" s="89" t="n"/>
      <c r="AQ410" s="89" t="n"/>
      <c r="AR410" s="89" t="n"/>
      <c r="AS410" s="89" t="n"/>
      <c r="AT410" s="89" t="n"/>
      <c r="AU410" s="89" t="n"/>
      <c r="AV410" s="89" t="n"/>
      <c r="AW410" s="89" t="n"/>
      <c r="AX410" s="89" t="n"/>
      <c r="AY410" s="89" t="n"/>
    </row>
    <row r="411">
      <c r="A411" t="inlineStr">
        <is>
          <t>1953-02</t>
        </is>
      </c>
      <c r="B411" s="1" t="n">
        <v>19391</v>
      </c>
      <c r="C411" s="88" t="n">
        <v>411</v>
      </c>
      <c r="E411" s="1">
        <f>B411</f>
        <v/>
      </c>
      <c r="F411" s="2">
        <f>B411</f>
        <v/>
      </c>
      <c r="G411" s="88" t="n">
        <v>409</v>
      </c>
      <c r="H411" s="89" t="n"/>
      <c r="I411" s="89" t="n"/>
      <c r="J411" s="89" t="n"/>
      <c r="K411" s="89" t="n"/>
      <c r="L411" s="89" t="n"/>
      <c r="M411" s="89" t="n"/>
      <c r="N411" s="89" t="n"/>
      <c r="O411" s="89" t="n"/>
      <c r="P411" s="89" t="n"/>
      <c r="Q411" s="89" t="n"/>
      <c r="R411" s="89" t="n"/>
      <c r="S411" s="89" t="n"/>
      <c r="T411" s="89" t="n"/>
      <c r="U411" s="89" t="n"/>
      <c r="V411" s="89" t="n"/>
      <c r="W411" s="89" t="n"/>
      <c r="X411" s="89" t="n"/>
      <c r="Y411" s="89" t="n"/>
      <c r="Z411" s="89" t="n"/>
      <c r="AA411" s="89" t="n"/>
      <c r="AB411" s="89" t="n"/>
      <c r="AC411" s="89" t="n"/>
      <c r="AD411" s="89" t="n"/>
      <c r="AE411" s="89" t="n"/>
      <c r="AF411" s="89" t="n"/>
      <c r="AG411" s="89" t="n"/>
      <c r="AH411" s="89" t="n"/>
      <c r="AI411" s="89" t="n"/>
      <c r="AJ411" s="89" t="n"/>
      <c r="AK411" s="89" t="n"/>
      <c r="AL411" s="89" t="n"/>
      <c r="AM411" s="89" t="n"/>
      <c r="AN411" s="89" t="n"/>
      <c r="AO411" s="89" t="n">
        <v>19.07159</v>
      </c>
      <c r="AP411" s="89" t="n"/>
      <c r="AQ411" s="89" t="n"/>
      <c r="AR411" s="89" t="n"/>
      <c r="AS411" s="89" t="n"/>
      <c r="AT411" s="89" t="n"/>
      <c r="AU411" s="89" t="n"/>
      <c r="AV411" s="89" t="n"/>
      <c r="AW411" s="89" t="n"/>
      <c r="AX411" s="89" t="n"/>
      <c r="AY411" s="89" t="n"/>
    </row>
    <row r="412">
      <c r="A412" t="inlineStr">
        <is>
          <t>1953-03</t>
        </is>
      </c>
      <c r="B412" s="1" t="n">
        <v>19419</v>
      </c>
      <c r="C412" s="88" t="n">
        <v>412</v>
      </c>
      <c r="E412" s="1">
        <f>B412</f>
        <v/>
      </c>
      <c r="F412" s="2">
        <f>B412</f>
        <v/>
      </c>
      <c r="G412" s="88" t="n">
        <v>410</v>
      </c>
      <c r="H412" s="89" t="n"/>
      <c r="I412" s="89" t="n"/>
      <c r="J412" s="89" t="n"/>
      <c r="K412" s="89" t="n"/>
      <c r="L412" s="89" t="n"/>
      <c r="M412" s="89" t="n"/>
      <c r="N412" s="89" t="n"/>
      <c r="O412" s="89" t="n"/>
      <c r="P412" s="89" t="n"/>
      <c r="Q412" s="89" t="n"/>
      <c r="R412" s="89" t="n"/>
      <c r="S412" s="89" t="n"/>
      <c r="T412" s="89" t="n"/>
      <c r="U412" s="89" t="n"/>
      <c r="V412" s="89" t="n"/>
      <c r="W412" s="89" t="n"/>
      <c r="X412" s="89" t="n"/>
      <c r="Y412" s="89" t="n"/>
      <c r="Z412" s="89" t="n"/>
      <c r="AA412" s="89" t="n"/>
      <c r="AB412" s="89" t="n"/>
      <c r="AC412" s="89" t="n"/>
      <c r="AD412" s="89" t="n"/>
      <c r="AE412" s="89" t="n"/>
      <c r="AF412" s="89" t="n"/>
      <c r="AG412" s="89" t="n"/>
      <c r="AH412" s="89" t="n"/>
      <c r="AI412" s="89" t="n"/>
      <c r="AJ412" s="89" t="n"/>
      <c r="AK412" s="89" t="n"/>
      <c r="AL412" s="89" t="n"/>
      <c r="AM412" s="89" t="n"/>
      <c r="AN412" s="89" t="n"/>
      <c r="AO412" s="89" t="n">
        <v>19.23123</v>
      </c>
      <c r="AP412" s="89" t="n"/>
      <c r="AQ412" s="89" t="n"/>
      <c r="AR412" s="89" t="n"/>
      <c r="AS412" s="89" t="n"/>
      <c r="AT412" s="89" t="n"/>
      <c r="AU412" s="89" t="n"/>
      <c r="AV412" s="89" t="n"/>
      <c r="AW412" s="89" t="n"/>
      <c r="AX412" s="89" t="n"/>
      <c r="AY412" s="89" t="n"/>
    </row>
    <row r="413">
      <c r="A413" t="inlineStr">
        <is>
          <t>1953-04</t>
        </is>
      </c>
      <c r="B413" s="1" t="n">
        <v>19450</v>
      </c>
      <c r="C413" s="88" t="n">
        <v>413</v>
      </c>
      <c r="E413" s="1">
        <f>B413</f>
        <v/>
      </c>
      <c r="F413" s="2">
        <f>B413</f>
        <v/>
      </c>
      <c r="G413" s="88" t="n">
        <v>411</v>
      </c>
      <c r="H413" s="89" t="n"/>
      <c r="I413" s="89" t="n"/>
      <c r="J413" s="89" t="n"/>
      <c r="K413" s="89" t="n"/>
      <c r="L413" s="89" t="n"/>
      <c r="M413" s="89" t="n"/>
      <c r="N413" s="89" t="n"/>
      <c r="O413" s="89" t="n"/>
      <c r="P413" s="89" t="n"/>
      <c r="Q413" s="89" t="n"/>
      <c r="R413" s="89" t="n"/>
      <c r="S413" s="89" t="n"/>
      <c r="T413" s="89" t="n"/>
      <c r="U413" s="89" t="n"/>
      <c r="V413" s="89" t="n"/>
      <c r="W413" s="89" t="n"/>
      <c r="X413" s="89" t="n"/>
      <c r="Y413" s="89" t="n"/>
      <c r="Z413" s="89" t="n"/>
      <c r="AA413" s="89" t="n"/>
      <c r="AB413" s="89" t="n"/>
      <c r="AC413" s="89" t="n"/>
      <c r="AD413" s="89" t="n"/>
      <c r="AE413" s="89" t="n"/>
      <c r="AF413" s="89" t="n"/>
      <c r="AG413" s="89" t="n"/>
      <c r="AH413" s="89" t="n"/>
      <c r="AI413" s="89" t="n"/>
      <c r="AJ413" s="89" t="n"/>
      <c r="AK413" s="89" t="n"/>
      <c r="AL413" s="89" t="n"/>
      <c r="AM413" s="89" t="n"/>
      <c r="AN413" s="89" t="n"/>
      <c r="AO413" s="89" t="n">
        <v>19.31104</v>
      </c>
      <c r="AP413" s="89" t="n"/>
      <c r="AQ413" s="89" t="n"/>
      <c r="AR413" s="89" t="n"/>
      <c r="AS413" s="89" t="n"/>
      <c r="AT413" s="89" t="n"/>
      <c r="AU413" s="89" t="n"/>
      <c r="AV413" s="89" t="n"/>
      <c r="AW413" s="89" t="n"/>
      <c r="AX413" s="89" t="n"/>
      <c r="AY413" s="89" t="n"/>
    </row>
    <row r="414">
      <c r="A414" t="inlineStr">
        <is>
          <t>1953-05</t>
        </is>
      </c>
      <c r="B414" s="1" t="n">
        <v>19480</v>
      </c>
      <c r="C414" s="88" t="n">
        <v>414</v>
      </c>
      <c r="E414" s="1">
        <f>B414</f>
        <v/>
      </c>
      <c r="F414" s="2">
        <f>B414</f>
        <v/>
      </c>
      <c r="G414" s="88" t="n">
        <v>412</v>
      </c>
      <c r="H414" s="89" t="n"/>
      <c r="I414" s="89" t="n"/>
      <c r="J414" s="89" t="n"/>
      <c r="K414" s="89" t="n"/>
      <c r="L414" s="89" t="n"/>
      <c r="M414" s="89" t="n"/>
      <c r="N414" s="89" t="n"/>
      <c r="O414" s="89" t="n"/>
      <c r="P414" s="89" t="n"/>
      <c r="Q414" s="89" t="n"/>
      <c r="R414" s="89" t="n"/>
      <c r="S414" s="89" t="n"/>
      <c r="T414" s="89" t="n"/>
      <c r="U414" s="89" t="n"/>
      <c r="V414" s="89" t="n"/>
      <c r="W414" s="89" t="n"/>
      <c r="X414" s="89" t="n"/>
      <c r="Y414" s="89" t="n"/>
      <c r="Z414" s="89" t="n"/>
      <c r="AA414" s="89" t="n"/>
      <c r="AB414" s="89" t="n"/>
      <c r="AC414" s="89" t="n"/>
      <c r="AD414" s="89" t="n"/>
      <c r="AE414" s="89" t="n"/>
      <c r="AF414" s="89" t="n"/>
      <c r="AG414" s="89" t="n"/>
      <c r="AH414" s="89" t="n"/>
      <c r="AI414" s="89" t="n"/>
      <c r="AJ414" s="89" t="n"/>
      <c r="AK414" s="89" t="n"/>
      <c r="AL414" s="89" t="n"/>
      <c r="AM414" s="89" t="n"/>
      <c r="AN414" s="89" t="n"/>
      <c r="AO414" s="89" t="n">
        <v>19.41737</v>
      </c>
      <c r="AP414" s="89" t="n"/>
      <c r="AQ414" s="89" t="n"/>
      <c r="AR414" s="89" t="n"/>
      <c r="AS414" s="89" t="n"/>
      <c r="AT414" s="89" t="n"/>
      <c r="AU414" s="89" t="n"/>
      <c r="AV414" s="89" t="n"/>
      <c r="AW414" s="89" t="n"/>
      <c r="AX414" s="89" t="n"/>
      <c r="AY414" s="89" t="n"/>
    </row>
    <row r="415">
      <c r="A415" t="inlineStr">
        <is>
          <t>1953-06</t>
        </is>
      </c>
      <c r="B415" s="1" t="n">
        <v>19511</v>
      </c>
      <c r="C415" s="88" t="n">
        <v>415</v>
      </c>
      <c r="E415" s="1">
        <f>B415</f>
        <v/>
      </c>
      <c r="F415" s="2">
        <f>B415</f>
        <v/>
      </c>
      <c r="G415" s="88" t="n">
        <v>413</v>
      </c>
      <c r="H415" s="89" t="n"/>
      <c r="I415" s="89" t="n"/>
      <c r="J415" s="89" t="n"/>
      <c r="K415" s="89" t="n"/>
      <c r="L415" s="89" t="n"/>
      <c r="M415" s="89" t="n"/>
      <c r="N415" s="89" t="n"/>
      <c r="O415" s="89" t="n"/>
      <c r="P415" s="89" t="n"/>
      <c r="Q415" s="89" t="n"/>
      <c r="R415" s="89" t="n"/>
      <c r="S415" s="89" t="n"/>
      <c r="T415" s="89" t="n"/>
      <c r="U415" s="89" t="n"/>
      <c r="V415" s="89" t="n"/>
      <c r="W415" s="89" t="n"/>
      <c r="X415" s="89" t="n"/>
      <c r="Y415" s="89" t="n"/>
      <c r="Z415" s="89" t="n"/>
      <c r="AA415" s="89" t="n"/>
      <c r="AB415" s="89" t="n"/>
      <c r="AC415" s="89" t="n"/>
      <c r="AD415" s="89" t="n"/>
      <c r="AE415" s="89" t="n"/>
      <c r="AF415" s="89" t="n"/>
      <c r="AG415" s="89" t="n"/>
      <c r="AH415" s="89" t="n"/>
      <c r="AI415" s="89" t="n"/>
      <c r="AJ415" s="89" t="n"/>
      <c r="AK415" s="89" t="n"/>
      <c r="AL415" s="89" t="n"/>
      <c r="AM415" s="89" t="n"/>
      <c r="AN415" s="89" t="n"/>
      <c r="AO415" s="89" t="n">
        <v>19.33755</v>
      </c>
      <c r="AP415" s="89" t="n"/>
      <c r="AQ415" s="89" t="n"/>
      <c r="AR415" s="89" t="n"/>
      <c r="AS415" s="89" t="n"/>
      <c r="AT415" s="89" t="n"/>
      <c r="AU415" s="89" t="n"/>
      <c r="AV415" s="89" t="n"/>
      <c r="AW415" s="89" t="n"/>
      <c r="AX415" s="89" t="n"/>
      <c r="AY415" s="89" t="n"/>
    </row>
    <row r="416">
      <c r="A416" t="inlineStr">
        <is>
          <t>1953-07</t>
        </is>
      </c>
      <c r="B416" s="1" t="n">
        <v>19541</v>
      </c>
      <c r="C416" s="88" t="n">
        <v>416</v>
      </c>
      <c r="E416" s="1">
        <f>B416</f>
        <v/>
      </c>
      <c r="F416" s="2">
        <f>B416</f>
        <v/>
      </c>
      <c r="G416" s="88" t="n">
        <v>414</v>
      </c>
      <c r="H416" s="89" t="n"/>
      <c r="I416" s="89" t="n"/>
      <c r="J416" s="89" t="n"/>
      <c r="K416" s="89" t="n"/>
      <c r="L416" s="89" t="n"/>
      <c r="M416" s="89" t="n"/>
      <c r="N416" s="89" t="n"/>
      <c r="O416" s="89" t="n"/>
      <c r="P416" s="89" t="n"/>
      <c r="Q416" s="89" t="n"/>
      <c r="R416" s="89" t="n"/>
      <c r="S416" s="89" t="n"/>
      <c r="T416" s="89" t="n"/>
      <c r="U416" s="89" t="n"/>
      <c r="V416" s="89" t="n"/>
      <c r="W416" s="89" t="n"/>
      <c r="X416" s="89" t="n"/>
      <c r="Y416" s="89" t="n"/>
      <c r="Z416" s="89" t="n"/>
      <c r="AA416" s="89" t="n"/>
      <c r="AB416" s="89" t="n"/>
      <c r="AC416" s="89" t="n"/>
      <c r="AD416" s="89" t="n"/>
      <c r="AE416" s="89" t="n"/>
      <c r="AF416" s="89" t="n"/>
      <c r="AG416" s="89" t="n"/>
      <c r="AH416" s="89" t="n"/>
      <c r="AI416" s="89" t="n"/>
      <c r="AJ416" s="89" t="n"/>
      <c r="AK416" s="89" t="n"/>
      <c r="AL416" s="89" t="n"/>
      <c r="AM416" s="89" t="n"/>
      <c r="AN416" s="89" t="n"/>
      <c r="AO416" s="89" t="n">
        <v>19.57701</v>
      </c>
      <c r="AP416" s="89" t="n"/>
      <c r="AQ416" s="89" t="n"/>
      <c r="AR416" s="89" t="n"/>
      <c r="AS416" s="89" t="n"/>
      <c r="AT416" s="89" t="n"/>
      <c r="AU416" s="89" t="n"/>
      <c r="AV416" s="89" t="n"/>
      <c r="AW416" s="89" t="n"/>
      <c r="AX416" s="89" t="n"/>
      <c r="AY416" s="89" t="n"/>
    </row>
    <row r="417">
      <c r="A417" t="inlineStr">
        <is>
          <t>1953-08</t>
        </is>
      </c>
      <c r="B417" s="1" t="n">
        <v>19572</v>
      </c>
      <c r="C417" s="88" t="n">
        <v>417</v>
      </c>
      <c r="E417" s="1">
        <f>B417</f>
        <v/>
      </c>
      <c r="F417" s="2">
        <f>B417</f>
        <v/>
      </c>
      <c r="G417" s="88" t="n">
        <v>415</v>
      </c>
      <c r="H417" s="89" t="n"/>
      <c r="I417" s="89" t="n"/>
      <c r="J417" s="89" t="n"/>
      <c r="K417" s="89" t="n"/>
      <c r="L417" s="89" t="n"/>
      <c r="M417" s="89" t="n"/>
      <c r="N417" s="89" t="n"/>
      <c r="O417" s="89" t="n"/>
      <c r="P417" s="89" t="n"/>
      <c r="Q417" s="89" t="n"/>
      <c r="R417" s="89" t="n"/>
      <c r="S417" s="89" t="n"/>
      <c r="T417" s="89" t="n"/>
      <c r="U417" s="89" t="n"/>
      <c r="V417" s="89" t="n"/>
      <c r="W417" s="89" t="n"/>
      <c r="X417" s="89" t="n"/>
      <c r="Y417" s="89" t="n"/>
      <c r="Z417" s="89" t="n"/>
      <c r="AA417" s="89" t="n"/>
      <c r="AB417" s="89" t="n"/>
      <c r="AC417" s="89" t="n"/>
      <c r="AD417" s="89" t="n"/>
      <c r="AE417" s="89" t="n"/>
      <c r="AF417" s="89" t="n"/>
      <c r="AG417" s="89" t="n"/>
      <c r="AH417" s="89" t="n"/>
      <c r="AI417" s="89" t="n"/>
      <c r="AJ417" s="89" t="n"/>
      <c r="AK417" s="89" t="n"/>
      <c r="AL417" s="89" t="n"/>
      <c r="AM417" s="89" t="n"/>
      <c r="AN417" s="89" t="n"/>
      <c r="AO417" s="89" t="n">
        <v>19.47058</v>
      </c>
      <c r="AP417" s="89" t="n"/>
      <c r="AQ417" s="89" t="n"/>
      <c r="AR417" s="89" t="n"/>
      <c r="AS417" s="89" t="n"/>
      <c r="AT417" s="89" t="n"/>
      <c r="AU417" s="89" t="n"/>
      <c r="AV417" s="89" t="n"/>
      <c r="AW417" s="89" t="n"/>
      <c r="AX417" s="89" t="n"/>
      <c r="AY417" s="89" t="n"/>
    </row>
    <row r="418">
      <c r="A418" t="inlineStr">
        <is>
          <t>1953-09</t>
        </is>
      </c>
      <c r="B418" s="1" t="n">
        <v>19603</v>
      </c>
      <c r="C418" s="88" t="n">
        <v>418</v>
      </c>
      <c r="E418" s="1">
        <f>B418</f>
        <v/>
      </c>
      <c r="F418" s="2">
        <f>B418</f>
        <v/>
      </c>
      <c r="G418" s="88" t="n">
        <v>416</v>
      </c>
      <c r="H418" s="89" t="n"/>
      <c r="I418" s="89" t="n"/>
      <c r="J418" s="89" t="n"/>
      <c r="K418" s="89" t="n"/>
      <c r="L418" s="89" t="n"/>
      <c r="M418" s="89" t="n"/>
      <c r="N418" s="89" t="n"/>
      <c r="O418" s="89" t="n"/>
      <c r="P418" s="89" t="n"/>
      <c r="Q418" s="89" t="n"/>
      <c r="R418" s="89" t="n"/>
      <c r="S418" s="89" t="n"/>
      <c r="T418" s="89" t="n"/>
      <c r="U418" s="89" t="n"/>
      <c r="V418" s="89" t="n"/>
      <c r="W418" s="89" t="n"/>
      <c r="X418" s="89" t="n"/>
      <c r="Y418" s="89" t="n"/>
      <c r="Z418" s="89" t="n"/>
      <c r="AA418" s="89" t="n"/>
      <c r="AB418" s="89" t="n"/>
      <c r="AC418" s="89" t="n"/>
      <c r="AD418" s="89" t="n"/>
      <c r="AE418" s="89" t="n"/>
      <c r="AF418" s="89" t="n"/>
      <c r="AG418" s="89" t="n"/>
      <c r="AH418" s="89" t="n"/>
      <c r="AI418" s="89" t="n"/>
      <c r="AJ418" s="89" t="n"/>
      <c r="AK418" s="89" t="n"/>
      <c r="AL418" s="89" t="n"/>
      <c r="AM418" s="89" t="n"/>
      <c r="AN418" s="89" t="n"/>
      <c r="AO418" s="89" t="n">
        <v>19.07159</v>
      </c>
      <c r="AP418" s="89" t="n"/>
      <c r="AQ418" s="89" t="n"/>
      <c r="AR418" s="89" t="n"/>
      <c r="AS418" s="89" t="n"/>
      <c r="AT418" s="89" t="n"/>
      <c r="AU418" s="89" t="n"/>
      <c r="AV418" s="89" t="n"/>
      <c r="AW418" s="89" t="n"/>
      <c r="AX418" s="89" t="n"/>
      <c r="AY418" s="89" t="n"/>
    </row>
    <row r="419">
      <c r="A419" t="inlineStr">
        <is>
          <t>1953-10</t>
        </is>
      </c>
      <c r="B419" s="1" t="n">
        <v>19633</v>
      </c>
      <c r="C419" s="88" t="n">
        <v>419</v>
      </c>
      <c r="E419" s="1">
        <f>B419</f>
        <v/>
      </c>
      <c r="F419" s="2">
        <f>B419</f>
        <v/>
      </c>
      <c r="G419" s="88" t="n">
        <v>417</v>
      </c>
      <c r="H419" s="89" t="n"/>
      <c r="I419" s="89" t="n"/>
      <c r="J419" s="89" t="n"/>
      <c r="K419" s="89" t="n"/>
      <c r="L419" s="89" t="n"/>
      <c r="M419" s="89" t="n"/>
      <c r="N419" s="89" t="n"/>
      <c r="O419" s="89" t="n"/>
      <c r="P419" s="89" t="n"/>
      <c r="Q419" s="89" t="n"/>
      <c r="R419" s="89" t="n"/>
      <c r="S419" s="89" t="n"/>
      <c r="T419" s="89" t="n"/>
      <c r="U419" s="89" t="n"/>
      <c r="V419" s="89" t="n"/>
      <c r="W419" s="89" t="n"/>
      <c r="X419" s="89" t="n"/>
      <c r="Y419" s="89" t="n"/>
      <c r="Z419" s="89" t="n"/>
      <c r="AA419" s="89" t="n"/>
      <c r="AB419" s="89" t="n"/>
      <c r="AC419" s="89" t="n"/>
      <c r="AD419" s="89" t="n"/>
      <c r="AE419" s="89" t="n"/>
      <c r="AF419" s="89" t="n"/>
      <c r="AG419" s="89" t="n"/>
      <c r="AH419" s="89" t="n"/>
      <c r="AI419" s="89" t="n"/>
      <c r="AJ419" s="89" t="n"/>
      <c r="AK419" s="89" t="n"/>
      <c r="AL419" s="89" t="n"/>
      <c r="AM419" s="89" t="n"/>
      <c r="AN419" s="89" t="n"/>
      <c r="AO419" s="89" t="n">
        <v>18.91205</v>
      </c>
      <c r="AP419" s="89" t="n"/>
      <c r="AQ419" s="89" t="n"/>
      <c r="AR419" s="89" t="n"/>
      <c r="AS419" s="89" t="n"/>
      <c r="AT419" s="89" t="n"/>
      <c r="AU419" s="89" t="n"/>
      <c r="AV419" s="89" t="n"/>
      <c r="AW419" s="89" t="n"/>
      <c r="AX419" s="89" t="n"/>
      <c r="AY419" s="89" t="n"/>
    </row>
    <row r="420">
      <c r="A420" t="inlineStr">
        <is>
          <t>1953-11</t>
        </is>
      </c>
      <c r="B420" s="1" t="n">
        <v>19664</v>
      </c>
      <c r="C420" s="88" t="n">
        <v>420</v>
      </c>
      <c r="E420" s="1">
        <f>B420</f>
        <v/>
      </c>
      <c r="F420" s="2">
        <f>B420</f>
        <v/>
      </c>
      <c r="G420" s="88" t="n">
        <v>418</v>
      </c>
      <c r="H420" s="89" t="n"/>
      <c r="I420" s="89" t="n"/>
      <c r="J420" s="89" t="n"/>
      <c r="K420" s="89" t="n"/>
      <c r="L420" s="89" t="n"/>
      <c r="M420" s="89" t="n"/>
      <c r="N420" s="89" t="n"/>
      <c r="O420" s="89" t="n"/>
      <c r="P420" s="89" t="n"/>
      <c r="Q420" s="89" t="n"/>
      <c r="R420" s="89" t="n"/>
      <c r="S420" s="89" t="n"/>
      <c r="T420" s="89" t="n"/>
      <c r="U420" s="89" t="n"/>
      <c r="V420" s="89" t="n"/>
      <c r="W420" s="89" t="n"/>
      <c r="X420" s="89" t="n"/>
      <c r="Y420" s="89" t="n"/>
      <c r="Z420" s="89" t="n"/>
      <c r="AA420" s="89" t="n"/>
      <c r="AB420" s="89" t="n"/>
      <c r="AC420" s="89" t="n"/>
      <c r="AD420" s="89" t="n"/>
      <c r="AE420" s="89" t="n"/>
      <c r="AF420" s="89" t="n"/>
      <c r="AG420" s="89" t="n"/>
      <c r="AH420" s="89" t="n"/>
      <c r="AI420" s="89" t="n"/>
      <c r="AJ420" s="89" t="n"/>
      <c r="AK420" s="89" t="n"/>
      <c r="AL420" s="89" t="n"/>
      <c r="AM420" s="89" t="n"/>
      <c r="AN420" s="89" t="n"/>
      <c r="AO420" s="89" t="n">
        <v>18.45984</v>
      </c>
      <c r="AP420" s="89" t="n"/>
      <c r="AQ420" s="89" t="n"/>
      <c r="AR420" s="89" t="n"/>
      <c r="AS420" s="89" t="n"/>
      <c r="AT420" s="89" t="n"/>
      <c r="AU420" s="89" t="n"/>
      <c r="AV420" s="89" t="n"/>
      <c r="AW420" s="89" t="n"/>
      <c r="AX420" s="89" t="n"/>
      <c r="AY420" s="89" t="n"/>
    </row>
    <row r="421">
      <c r="A421" t="inlineStr">
        <is>
          <t>1953-12</t>
        </is>
      </c>
      <c r="B421" s="1" t="n">
        <v>19694</v>
      </c>
      <c r="C421" s="88" t="n">
        <v>421</v>
      </c>
      <c r="E421" s="1">
        <f>B421</f>
        <v/>
      </c>
      <c r="F421" s="2">
        <f>B421</f>
        <v/>
      </c>
      <c r="G421" s="88" t="n">
        <v>419</v>
      </c>
      <c r="H421" s="89" t="n"/>
      <c r="I421" s="89" t="n"/>
      <c r="J421" s="89" t="n"/>
      <c r="K421" s="89" t="n"/>
      <c r="L421" s="89" t="n"/>
      <c r="M421" s="89" t="n"/>
      <c r="N421" s="89" t="n"/>
      <c r="O421" s="89" t="n"/>
      <c r="P421" s="89" t="n"/>
      <c r="Q421" s="89" t="n"/>
      <c r="R421" s="89" t="n"/>
      <c r="S421" s="89" t="n"/>
      <c r="T421" s="89" t="n"/>
      <c r="U421" s="89" t="n"/>
      <c r="V421" s="89" t="n"/>
      <c r="W421" s="89" t="n"/>
      <c r="X421" s="89" t="n"/>
      <c r="Y421" s="89" t="n"/>
      <c r="Z421" s="89" t="n"/>
      <c r="AA421" s="89" t="n"/>
      <c r="AB421" s="89" t="n"/>
      <c r="AC421" s="89" t="n"/>
      <c r="AD421" s="89" t="n"/>
      <c r="AE421" s="89" t="n"/>
      <c r="AF421" s="89" t="n"/>
      <c r="AG421" s="89" t="n"/>
      <c r="AH421" s="89" t="n"/>
      <c r="AI421" s="89" t="n"/>
      <c r="AJ421" s="89" t="n"/>
      <c r="AK421" s="89" t="n"/>
      <c r="AL421" s="89" t="n"/>
      <c r="AM421" s="89" t="n"/>
      <c r="AN421" s="89" t="n"/>
      <c r="AO421" s="89" t="n">
        <v>18.00763</v>
      </c>
      <c r="AP421" s="89" t="n"/>
      <c r="AQ421" s="89" t="n"/>
      <c r="AR421" s="89" t="n"/>
      <c r="AS421" s="89" t="n"/>
      <c r="AT421" s="89" t="n"/>
      <c r="AU421" s="89" t="n"/>
      <c r="AV421" s="89" t="n"/>
      <c r="AW421" s="89" t="n"/>
      <c r="AX421" s="89" t="n"/>
      <c r="AY421" s="89" t="n"/>
    </row>
    <row r="422">
      <c r="A422" t="inlineStr">
        <is>
          <t>1954-01</t>
        </is>
      </c>
      <c r="B422" s="1" t="n">
        <v>19725</v>
      </c>
      <c r="C422" s="88" t="n">
        <v>422</v>
      </c>
      <c r="E422" s="1">
        <f>B422</f>
        <v/>
      </c>
      <c r="F422" s="2">
        <f>B422</f>
        <v/>
      </c>
      <c r="G422" s="88" t="n">
        <v>420</v>
      </c>
      <c r="H422" s="89" t="n"/>
      <c r="I422" s="89" t="n"/>
      <c r="J422" s="89" t="n"/>
      <c r="K422" s="89" t="n"/>
      <c r="L422" s="89" t="n"/>
      <c r="M422" s="89" t="n"/>
      <c r="N422" s="89" t="n"/>
      <c r="O422" s="89" t="n"/>
      <c r="P422" s="89" t="n"/>
      <c r="Q422" s="89" t="n"/>
      <c r="R422" s="89" t="n"/>
      <c r="S422" s="89" t="n"/>
      <c r="T422" s="89" t="n"/>
      <c r="U422" s="89" t="n"/>
      <c r="V422" s="89" t="n"/>
      <c r="W422" s="89" t="n"/>
      <c r="X422" s="89" t="n"/>
      <c r="Y422" s="89" t="n"/>
      <c r="Z422" s="89" t="n"/>
      <c r="AA422" s="89" t="n"/>
      <c r="AB422" s="89" t="n"/>
      <c r="AC422" s="89" t="n"/>
      <c r="AD422" s="89" t="n"/>
      <c r="AE422" s="89" t="n"/>
      <c r="AF422" s="89" t="n"/>
      <c r="AG422" s="89" t="n"/>
      <c r="AH422" s="89" t="n"/>
      <c r="AI422" s="89" t="n"/>
      <c r="AJ422" s="89" t="n"/>
      <c r="AK422" s="89" t="n"/>
      <c r="AL422" s="89" t="n"/>
      <c r="AM422" s="89" t="n"/>
      <c r="AN422" s="89" t="n"/>
      <c r="AO422" s="89" t="n">
        <v>17.8746</v>
      </c>
      <c r="AP422" s="89" t="n"/>
      <c r="AQ422" s="89" t="n"/>
      <c r="AR422" s="89" t="n"/>
      <c r="AS422" s="89" t="n"/>
      <c r="AT422" s="89" t="n"/>
      <c r="AU422" s="89" t="n"/>
      <c r="AV422" s="89" t="n"/>
      <c r="AW422" s="89" t="n"/>
      <c r="AX422" s="89" t="n"/>
      <c r="AY422" s="89" t="n"/>
    </row>
    <row r="423">
      <c r="A423" t="inlineStr">
        <is>
          <t>1954-02</t>
        </is>
      </c>
      <c r="B423" s="1" t="n">
        <v>19756</v>
      </c>
      <c r="C423" s="88" t="n">
        <v>423</v>
      </c>
      <c r="E423" s="1">
        <f>B423</f>
        <v/>
      </c>
      <c r="F423" s="2">
        <f>B423</f>
        <v/>
      </c>
      <c r="G423" s="88" t="n">
        <v>421</v>
      </c>
      <c r="H423" s="89" t="n"/>
      <c r="I423" s="89" t="n"/>
      <c r="J423" s="89" t="n"/>
      <c r="K423" s="89" t="n"/>
      <c r="L423" s="89" t="n"/>
      <c r="M423" s="89" t="n"/>
      <c r="N423" s="89" t="n"/>
      <c r="O423" s="89" t="n"/>
      <c r="P423" s="89" t="n"/>
      <c r="Q423" s="89" t="n"/>
      <c r="R423" s="89" t="n"/>
      <c r="S423" s="89" t="n"/>
      <c r="T423" s="89" t="n"/>
      <c r="U423" s="89" t="n"/>
      <c r="V423" s="89" t="n"/>
      <c r="W423" s="89" t="n"/>
      <c r="X423" s="89" t="n"/>
      <c r="Y423" s="89" t="n"/>
      <c r="Z423" s="89" t="n"/>
      <c r="AA423" s="89" t="n"/>
      <c r="AB423" s="89" t="n"/>
      <c r="AC423" s="89" t="n"/>
      <c r="AD423" s="89" t="n"/>
      <c r="AE423" s="89" t="n"/>
      <c r="AF423" s="89" t="n"/>
      <c r="AG423" s="89" t="n"/>
      <c r="AH423" s="89" t="n"/>
      <c r="AI423" s="89" t="n"/>
      <c r="AJ423" s="89" t="n"/>
      <c r="AK423" s="89" t="n"/>
      <c r="AL423" s="89" t="n"/>
      <c r="AM423" s="89" t="n"/>
      <c r="AN423" s="89" t="n"/>
      <c r="AO423" s="89" t="n">
        <v>17.92781</v>
      </c>
      <c r="AP423" s="89" t="n"/>
      <c r="AQ423" s="89" t="n"/>
      <c r="AR423" s="89" t="n"/>
      <c r="AS423" s="89" t="n"/>
      <c r="AT423" s="89" t="n"/>
      <c r="AU423" s="89" t="n"/>
      <c r="AV423" s="89" t="n"/>
      <c r="AW423" s="89" t="n"/>
      <c r="AX423" s="89" t="n"/>
      <c r="AY423" s="89" t="n"/>
    </row>
    <row r="424">
      <c r="A424" t="inlineStr">
        <is>
          <t>1954-03</t>
        </is>
      </c>
      <c r="B424" s="1" t="n">
        <v>19784</v>
      </c>
      <c r="C424" s="88" t="n">
        <v>424</v>
      </c>
      <c r="E424" s="1">
        <f>B424</f>
        <v/>
      </c>
      <c r="F424" s="2">
        <f>B424</f>
        <v/>
      </c>
      <c r="G424" s="88" t="n">
        <v>422</v>
      </c>
      <c r="H424" s="89" t="n"/>
      <c r="I424" s="89" t="n"/>
      <c r="J424" s="89" t="n"/>
      <c r="K424" s="89" t="n"/>
      <c r="L424" s="89" t="n"/>
      <c r="M424" s="89" t="n"/>
      <c r="N424" s="89" t="n"/>
      <c r="O424" s="89" t="n"/>
      <c r="P424" s="89" t="n"/>
      <c r="Q424" s="89" t="n"/>
      <c r="R424" s="89" t="n"/>
      <c r="S424" s="89" t="n"/>
      <c r="T424" s="89" t="n"/>
      <c r="U424" s="89" t="n"/>
      <c r="V424" s="89" t="n"/>
      <c r="W424" s="89" t="n"/>
      <c r="X424" s="89" t="n"/>
      <c r="Y424" s="89" t="n"/>
      <c r="Z424" s="89" t="n"/>
      <c r="AA424" s="89" t="n"/>
      <c r="AB424" s="89" t="n"/>
      <c r="AC424" s="89" t="n"/>
      <c r="AD424" s="89" t="n"/>
      <c r="AE424" s="89" t="n"/>
      <c r="AF424" s="89" t="n"/>
      <c r="AG424" s="89" t="n"/>
      <c r="AH424" s="89" t="n"/>
      <c r="AI424" s="89" t="n"/>
      <c r="AJ424" s="89" t="n"/>
      <c r="AK424" s="89" t="n"/>
      <c r="AL424" s="89" t="n"/>
      <c r="AM424" s="89" t="n"/>
      <c r="AN424" s="89" t="n"/>
      <c r="AO424" s="89" t="n">
        <v>17.82149</v>
      </c>
      <c r="AP424" s="89" t="n"/>
      <c r="AQ424" s="89" t="n"/>
      <c r="AR424" s="89" t="n"/>
      <c r="AS424" s="89" t="n"/>
      <c r="AT424" s="89" t="n"/>
      <c r="AU424" s="89" t="n"/>
      <c r="AV424" s="89" t="n"/>
      <c r="AW424" s="89" t="n"/>
      <c r="AX424" s="89" t="n"/>
      <c r="AY424" s="89" t="n"/>
    </row>
    <row r="425">
      <c r="A425" t="inlineStr">
        <is>
          <t>1954-04</t>
        </is>
      </c>
      <c r="B425" s="1" t="n">
        <v>19815</v>
      </c>
      <c r="C425" s="88" t="n">
        <v>425</v>
      </c>
      <c r="E425" s="1">
        <f>B425</f>
        <v/>
      </c>
      <c r="F425" s="2">
        <f>B425</f>
        <v/>
      </c>
      <c r="G425" s="88" t="n">
        <v>423</v>
      </c>
      <c r="H425" s="89" t="n"/>
      <c r="I425" s="89" t="n"/>
      <c r="J425" s="89" t="n"/>
      <c r="K425" s="89" t="n"/>
      <c r="L425" s="89" t="n"/>
      <c r="M425" s="89" t="n"/>
      <c r="N425" s="89" t="n"/>
      <c r="O425" s="89" t="n"/>
      <c r="P425" s="89" t="n"/>
      <c r="Q425" s="89" t="n"/>
      <c r="R425" s="89" t="n"/>
      <c r="S425" s="89" t="n"/>
      <c r="T425" s="89" t="n"/>
      <c r="U425" s="89" t="n"/>
      <c r="V425" s="89" t="n"/>
      <c r="W425" s="89" t="n"/>
      <c r="X425" s="89" t="n"/>
      <c r="Y425" s="89" t="n"/>
      <c r="Z425" s="89" t="n"/>
      <c r="AA425" s="89" t="n"/>
      <c r="AB425" s="89" t="n"/>
      <c r="AC425" s="89" t="n"/>
      <c r="AD425" s="89" t="n"/>
      <c r="AE425" s="89" t="n"/>
      <c r="AF425" s="89" t="n"/>
      <c r="AG425" s="89" t="n"/>
      <c r="AH425" s="89" t="n"/>
      <c r="AI425" s="89" t="n"/>
      <c r="AJ425" s="89" t="n"/>
      <c r="AK425" s="89" t="n"/>
      <c r="AL425" s="89" t="n"/>
      <c r="AM425" s="89" t="n"/>
      <c r="AN425" s="89" t="n"/>
      <c r="AO425" s="89" t="n">
        <v>17.71506</v>
      </c>
      <c r="AP425" s="89" t="n"/>
      <c r="AQ425" s="89" t="n"/>
      <c r="AR425" s="89" t="n"/>
      <c r="AS425" s="89" t="n"/>
      <c r="AT425" s="89" t="n"/>
      <c r="AU425" s="89" t="n"/>
      <c r="AV425" s="89" t="n"/>
      <c r="AW425" s="89" t="n"/>
      <c r="AX425" s="89" t="n"/>
      <c r="AY425" s="89" t="n"/>
    </row>
    <row r="426">
      <c r="A426" t="inlineStr">
        <is>
          <t>1954-05</t>
        </is>
      </c>
      <c r="B426" s="1" t="n">
        <v>19845</v>
      </c>
      <c r="C426" s="88" t="n">
        <v>426</v>
      </c>
      <c r="E426" s="1">
        <f>B426</f>
        <v/>
      </c>
      <c r="F426" s="2">
        <f>B426</f>
        <v/>
      </c>
      <c r="G426" s="88" t="n">
        <v>424</v>
      </c>
      <c r="H426" s="89" t="n"/>
      <c r="I426" s="89" t="n"/>
      <c r="J426" s="89" t="n"/>
      <c r="K426" s="89" t="n"/>
      <c r="L426" s="89" t="n"/>
      <c r="M426" s="89" t="n"/>
      <c r="N426" s="89" t="n"/>
      <c r="O426" s="89" t="n"/>
      <c r="P426" s="89" t="n"/>
      <c r="Q426" s="89" t="n"/>
      <c r="R426" s="89" t="n"/>
      <c r="S426" s="89" t="n"/>
      <c r="T426" s="89" t="n"/>
      <c r="U426" s="89" t="n"/>
      <c r="V426" s="89" t="n"/>
      <c r="W426" s="89" t="n"/>
      <c r="X426" s="89" t="n"/>
      <c r="Y426" s="89" t="n"/>
      <c r="Z426" s="89" t="n"/>
      <c r="AA426" s="89" t="n"/>
      <c r="AB426" s="89" t="n"/>
      <c r="AC426" s="89" t="n"/>
      <c r="AD426" s="89" t="n"/>
      <c r="AE426" s="89" t="n"/>
      <c r="AF426" s="89" t="n"/>
      <c r="AG426" s="89" t="n"/>
      <c r="AH426" s="89" t="n"/>
      <c r="AI426" s="89" t="n"/>
      <c r="AJ426" s="89" t="n"/>
      <c r="AK426" s="89" t="n"/>
      <c r="AL426" s="89" t="n"/>
      <c r="AM426" s="89" t="n"/>
      <c r="AN426" s="89" t="n"/>
      <c r="AO426" s="89" t="n">
        <v>17.82149</v>
      </c>
      <c r="AP426" s="89" t="n"/>
      <c r="AQ426" s="89" t="n"/>
      <c r="AR426" s="89" t="n"/>
      <c r="AS426" s="89" t="n"/>
      <c r="AT426" s="89" t="n"/>
      <c r="AU426" s="89" t="n"/>
      <c r="AV426" s="89" t="n"/>
      <c r="AW426" s="89" t="n"/>
      <c r="AX426" s="89" t="n"/>
      <c r="AY426" s="89" t="n"/>
    </row>
    <row r="427">
      <c r="A427" t="inlineStr">
        <is>
          <t>1954-06</t>
        </is>
      </c>
      <c r="B427" s="1" t="n">
        <v>19876</v>
      </c>
      <c r="C427" s="88" t="n">
        <v>427</v>
      </c>
      <c r="E427" s="1">
        <f>B427</f>
        <v/>
      </c>
      <c r="F427" s="2">
        <f>B427</f>
        <v/>
      </c>
      <c r="G427" s="88" t="n">
        <v>425</v>
      </c>
      <c r="H427" s="89" t="n"/>
      <c r="I427" s="89" t="n"/>
      <c r="J427" s="89" t="n"/>
      <c r="K427" s="89" t="n"/>
      <c r="L427" s="89" t="n"/>
      <c r="M427" s="89" t="n"/>
      <c r="N427" s="89" t="n"/>
      <c r="O427" s="89" t="n"/>
      <c r="P427" s="89" t="n"/>
      <c r="Q427" s="89" t="n"/>
      <c r="R427" s="89" t="n"/>
      <c r="S427" s="89" t="n"/>
      <c r="T427" s="89" t="n"/>
      <c r="U427" s="89" t="n"/>
      <c r="V427" s="89" t="n"/>
      <c r="W427" s="89" t="n"/>
      <c r="X427" s="89" t="n"/>
      <c r="Y427" s="89" t="n"/>
      <c r="Z427" s="89" t="n"/>
      <c r="AA427" s="89" t="n"/>
      <c r="AB427" s="89" t="n"/>
      <c r="AC427" s="89" t="n"/>
      <c r="AD427" s="89" t="n"/>
      <c r="AE427" s="89" t="n"/>
      <c r="AF427" s="89" t="n"/>
      <c r="AG427" s="89" t="n"/>
      <c r="AH427" s="89" t="n"/>
      <c r="AI427" s="89" t="n"/>
      <c r="AJ427" s="89" t="n"/>
      <c r="AK427" s="89" t="n"/>
      <c r="AL427" s="89" t="n"/>
      <c r="AM427" s="89" t="n"/>
      <c r="AN427" s="89" t="n"/>
      <c r="AO427" s="89" t="n">
        <v>17.8747</v>
      </c>
      <c r="AP427" s="89" t="n"/>
      <c r="AQ427" s="89" t="n"/>
      <c r="AR427" s="89" t="n"/>
      <c r="AS427" s="89" t="n"/>
      <c r="AT427" s="89" t="n"/>
      <c r="AU427" s="89" t="n"/>
      <c r="AV427" s="89" t="n"/>
      <c r="AW427" s="89" t="n"/>
      <c r="AX427" s="89" t="n"/>
      <c r="AY427" s="89" t="n"/>
    </row>
    <row r="428">
      <c r="A428" t="inlineStr">
        <is>
          <t>1954-07</t>
        </is>
      </c>
      <c r="B428" s="1" t="n">
        <v>19906</v>
      </c>
      <c r="C428" s="88" t="n">
        <v>428</v>
      </c>
      <c r="E428" s="1">
        <f>B428</f>
        <v/>
      </c>
      <c r="F428" s="2">
        <f>B428</f>
        <v/>
      </c>
      <c r="G428" s="88" t="n">
        <v>426</v>
      </c>
      <c r="H428" s="89" t="n"/>
      <c r="I428" s="89" t="n"/>
      <c r="J428" s="89" t="n"/>
      <c r="K428" s="89" t="n"/>
      <c r="L428" s="89" t="n"/>
      <c r="M428" s="89" t="n"/>
      <c r="N428" s="89" t="n"/>
      <c r="O428" s="89" t="n"/>
      <c r="P428" s="89" t="n"/>
      <c r="Q428" s="89" t="n"/>
      <c r="R428" s="89" t="n"/>
      <c r="S428" s="89" t="n"/>
      <c r="T428" s="89" t="n"/>
      <c r="U428" s="89" t="n"/>
      <c r="V428" s="89" t="n"/>
      <c r="W428" s="89" t="n"/>
      <c r="X428" s="89" t="n"/>
      <c r="Y428" s="89" t="n"/>
      <c r="Z428" s="89" t="n"/>
      <c r="AA428" s="89" t="n"/>
      <c r="AB428" s="89" t="n"/>
      <c r="AC428" s="89" t="n"/>
      <c r="AD428" s="89" t="n"/>
      <c r="AE428" s="89" t="n"/>
      <c r="AF428" s="89" t="n"/>
      <c r="AG428" s="89" t="n"/>
      <c r="AH428" s="89" t="n"/>
      <c r="AI428" s="89" t="n"/>
      <c r="AJ428" s="89" t="n"/>
      <c r="AK428" s="89" t="n"/>
      <c r="AL428" s="89" t="n"/>
      <c r="AM428" s="89" t="n"/>
      <c r="AN428" s="89" t="n"/>
      <c r="AO428" s="89" t="n">
        <v>17.90121</v>
      </c>
      <c r="AP428" s="89" t="n"/>
      <c r="AQ428" s="89" t="n"/>
      <c r="AR428" s="89" t="n"/>
      <c r="AS428" s="89" t="n"/>
      <c r="AT428" s="89" t="n"/>
      <c r="AU428" s="89" t="n"/>
      <c r="AV428" s="89" t="n"/>
      <c r="AW428" s="89" t="n"/>
      <c r="AX428" s="89" t="n"/>
      <c r="AY428" s="89" t="n"/>
    </row>
    <row r="429">
      <c r="A429" t="inlineStr">
        <is>
          <t>1954-08</t>
        </is>
      </c>
      <c r="B429" s="1" t="n">
        <v>19937</v>
      </c>
      <c r="C429" s="88" t="n">
        <v>429</v>
      </c>
      <c r="E429" s="1">
        <f>B429</f>
        <v/>
      </c>
      <c r="F429" s="2">
        <f>B429</f>
        <v/>
      </c>
      <c r="G429" s="88" t="n">
        <v>427</v>
      </c>
      <c r="H429" s="89" t="n"/>
      <c r="I429" s="89" t="n"/>
      <c r="J429" s="89" t="n"/>
      <c r="K429" s="89" t="n"/>
      <c r="L429" s="89" t="n"/>
      <c r="M429" s="89" t="n"/>
      <c r="N429" s="89" t="n"/>
      <c r="O429" s="89" t="n"/>
      <c r="P429" s="89" t="n"/>
      <c r="Q429" s="89" t="n"/>
      <c r="R429" s="89" t="n"/>
      <c r="S429" s="89" t="n"/>
      <c r="T429" s="89" t="n"/>
      <c r="U429" s="89" t="n"/>
      <c r="V429" s="89" t="n"/>
      <c r="W429" s="89" t="n"/>
      <c r="X429" s="89" t="n"/>
      <c r="Y429" s="89" t="n"/>
      <c r="Z429" s="89" t="n"/>
      <c r="AA429" s="89" t="n"/>
      <c r="AB429" s="89" t="n"/>
      <c r="AC429" s="89" t="n"/>
      <c r="AD429" s="89" t="n"/>
      <c r="AE429" s="89" t="n"/>
      <c r="AF429" s="89" t="n"/>
      <c r="AG429" s="89" t="n"/>
      <c r="AH429" s="89" t="n"/>
      <c r="AI429" s="89" t="n"/>
      <c r="AJ429" s="89" t="n"/>
      <c r="AK429" s="89" t="n"/>
      <c r="AL429" s="89" t="n"/>
      <c r="AM429" s="89" t="n"/>
      <c r="AN429" s="89" t="n"/>
      <c r="AO429" s="89" t="n">
        <v>17.8746</v>
      </c>
      <c r="AP429" s="89" t="n"/>
      <c r="AQ429" s="89" t="n"/>
      <c r="AR429" s="89" t="n"/>
      <c r="AS429" s="89" t="n"/>
      <c r="AT429" s="89" t="n"/>
      <c r="AU429" s="89" t="n"/>
      <c r="AV429" s="89" t="n"/>
      <c r="AW429" s="89" t="n"/>
      <c r="AX429" s="89" t="n"/>
      <c r="AY429" s="89" t="n"/>
    </row>
    <row r="430">
      <c r="A430" t="inlineStr">
        <is>
          <t>1954-09</t>
        </is>
      </c>
      <c r="B430" s="1" t="n">
        <v>19968</v>
      </c>
      <c r="C430" s="88" t="n">
        <v>430</v>
      </c>
      <c r="E430" s="1">
        <f>B430</f>
        <v/>
      </c>
      <c r="F430" s="2">
        <f>B430</f>
        <v/>
      </c>
      <c r="G430" s="88" t="n">
        <v>428</v>
      </c>
      <c r="H430" s="89" t="n"/>
      <c r="I430" s="89" t="n"/>
      <c r="J430" s="89" t="n"/>
      <c r="K430" s="89" t="n"/>
      <c r="L430" s="89" t="n"/>
      <c r="M430" s="89" t="n"/>
      <c r="N430" s="89" t="n"/>
      <c r="O430" s="89" t="n"/>
      <c r="P430" s="89" t="n"/>
      <c r="Q430" s="89" t="n"/>
      <c r="R430" s="89" t="n"/>
      <c r="S430" s="89" t="n"/>
      <c r="T430" s="89" t="n"/>
      <c r="U430" s="89" t="n"/>
      <c r="V430" s="89" t="n"/>
      <c r="W430" s="89" t="n"/>
      <c r="X430" s="89" t="n"/>
      <c r="Y430" s="89" t="n"/>
      <c r="Z430" s="89" t="n"/>
      <c r="AA430" s="89" t="n"/>
      <c r="AB430" s="89" t="n"/>
      <c r="AC430" s="89" t="n"/>
      <c r="AD430" s="89" t="n"/>
      <c r="AE430" s="89" t="n"/>
      <c r="AF430" s="89" t="n"/>
      <c r="AG430" s="89" t="n"/>
      <c r="AH430" s="89" t="n"/>
      <c r="AI430" s="89" t="n"/>
      <c r="AJ430" s="89" t="n"/>
      <c r="AK430" s="89" t="n"/>
      <c r="AL430" s="89" t="n"/>
      <c r="AM430" s="89" t="n"/>
      <c r="AN430" s="89" t="n"/>
      <c r="AO430" s="89" t="n">
        <v>17.90121</v>
      </c>
      <c r="AP430" s="89" t="n"/>
      <c r="AQ430" s="89" t="n"/>
      <c r="AR430" s="89" t="n"/>
      <c r="AS430" s="89" t="n"/>
      <c r="AT430" s="89" t="n"/>
      <c r="AU430" s="89" t="n"/>
      <c r="AV430" s="89" t="n"/>
      <c r="AW430" s="89" t="n"/>
      <c r="AX430" s="89" t="n"/>
      <c r="AY430" s="89" t="n"/>
    </row>
    <row r="431">
      <c r="A431" t="inlineStr">
        <is>
          <t>1954-10</t>
        </is>
      </c>
      <c r="B431" s="1" t="n">
        <v>19998</v>
      </c>
      <c r="C431" s="88" t="n">
        <v>431</v>
      </c>
      <c r="E431" s="1">
        <f>B431</f>
        <v/>
      </c>
      <c r="F431" s="2">
        <f>B431</f>
        <v/>
      </c>
      <c r="G431" s="88" t="n">
        <v>429</v>
      </c>
      <c r="H431" s="89" t="n"/>
      <c r="I431" s="89" t="n"/>
      <c r="J431" s="89" t="n"/>
      <c r="K431" s="89" t="n"/>
      <c r="L431" s="89" t="n"/>
      <c r="M431" s="89" t="n"/>
      <c r="N431" s="89" t="n"/>
      <c r="O431" s="89" t="n"/>
      <c r="P431" s="89" t="n"/>
      <c r="Q431" s="89" t="n"/>
      <c r="R431" s="89" t="n"/>
      <c r="S431" s="89" t="n"/>
      <c r="T431" s="89" t="n"/>
      <c r="U431" s="89" t="n"/>
      <c r="V431" s="89" t="n"/>
      <c r="W431" s="89" t="n"/>
      <c r="X431" s="89" t="n"/>
      <c r="Y431" s="89" t="n"/>
      <c r="Z431" s="89" t="n"/>
      <c r="AA431" s="89" t="n"/>
      <c r="AB431" s="89" t="n"/>
      <c r="AC431" s="89" t="n"/>
      <c r="AD431" s="89" t="n"/>
      <c r="AE431" s="89" t="n"/>
      <c r="AF431" s="89" t="n"/>
      <c r="AG431" s="89" t="n"/>
      <c r="AH431" s="89" t="n"/>
      <c r="AI431" s="89" t="n"/>
      <c r="AJ431" s="89" t="n"/>
      <c r="AK431" s="89" t="n"/>
      <c r="AL431" s="89" t="n"/>
      <c r="AM431" s="89" t="n"/>
      <c r="AN431" s="89" t="n"/>
      <c r="AO431" s="89" t="n">
        <v>18.11406</v>
      </c>
      <c r="AP431" s="89" t="n"/>
      <c r="AQ431" s="89" t="n"/>
      <c r="AR431" s="89" t="n"/>
      <c r="AS431" s="89" t="n"/>
      <c r="AT431" s="89" t="n"/>
      <c r="AU431" s="89" t="n"/>
      <c r="AV431" s="89" t="n"/>
      <c r="AW431" s="89" t="n"/>
      <c r="AX431" s="89" t="n"/>
      <c r="AY431" s="89" t="n"/>
    </row>
    <row r="432">
      <c r="A432" t="inlineStr">
        <is>
          <t>1954-11</t>
        </is>
      </c>
      <c r="B432" s="1" t="n">
        <v>20029</v>
      </c>
      <c r="C432" s="88" t="n">
        <v>432</v>
      </c>
      <c r="E432" s="1">
        <f>B432</f>
        <v/>
      </c>
      <c r="F432" s="2">
        <f>B432</f>
        <v/>
      </c>
      <c r="G432" s="88" t="n">
        <v>430</v>
      </c>
      <c r="H432" s="89" t="n"/>
      <c r="I432" s="89" t="n"/>
      <c r="J432" s="89" t="n"/>
      <c r="K432" s="89" t="n"/>
      <c r="L432" s="89" t="n"/>
      <c r="M432" s="89" t="n"/>
      <c r="N432" s="89" t="n"/>
      <c r="O432" s="89" t="n"/>
      <c r="P432" s="89" t="n"/>
      <c r="Q432" s="89" t="n"/>
      <c r="R432" s="89" t="n"/>
      <c r="S432" s="89" t="n"/>
      <c r="T432" s="89" t="n"/>
      <c r="U432" s="89" t="n"/>
      <c r="V432" s="89" t="n"/>
      <c r="W432" s="89" t="n"/>
      <c r="X432" s="89" t="n"/>
      <c r="Y432" s="89" t="n"/>
      <c r="Z432" s="89" t="n"/>
      <c r="AA432" s="89" t="n"/>
      <c r="AB432" s="89" t="n"/>
      <c r="AC432" s="89" t="n"/>
      <c r="AD432" s="89" t="n"/>
      <c r="AE432" s="89" t="n"/>
      <c r="AF432" s="89" t="n"/>
      <c r="AG432" s="89" t="n"/>
      <c r="AH432" s="89" t="n"/>
      <c r="AI432" s="89" t="n"/>
      <c r="AJ432" s="89" t="n"/>
      <c r="AK432" s="89" t="n"/>
      <c r="AL432" s="89" t="n"/>
      <c r="AM432" s="89" t="n"/>
      <c r="AN432" s="89" t="n"/>
      <c r="AO432" s="89" t="n">
        <v>18.40663</v>
      </c>
      <c r="AP432" s="89" t="n"/>
      <c r="AQ432" s="89" t="n"/>
      <c r="AR432" s="89" t="n"/>
      <c r="AS432" s="89" t="n"/>
      <c r="AT432" s="89" t="n"/>
      <c r="AU432" s="89" t="n"/>
      <c r="AV432" s="89" t="n"/>
      <c r="AW432" s="89" t="n"/>
      <c r="AX432" s="89" t="n"/>
      <c r="AY432" s="89" t="n"/>
    </row>
    <row r="433">
      <c r="A433" t="inlineStr">
        <is>
          <t>1954-12</t>
        </is>
      </c>
      <c r="B433" s="1" t="n">
        <v>20059</v>
      </c>
      <c r="C433" s="88" t="n">
        <v>433</v>
      </c>
      <c r="E433" s="1">
        <f>B433</f>
        <v/>
      </c>
      <c r="F433" s="2">
        <f>B433</f>
        <v/>
      </c>
      <c r="G433" s="88" t="n">
        <v>431</v>
      </c>
      <c r="H433" s="89" t="n"/>
      <c r="I433" s="89" t="n"/>
      <c r="J433" s="89" t="n"/>
      <c r="K433" s="89" t="n"/>
      <c r="L433" s="89" t="n"/>
      <c r="M433" s="89" t="n"/>
      <c r="N433" s="89" t="n"/>
      <c r="O433" s="89" t="n"/>
      <c r="P433" s="89" t="n"/>
      <c r="Q433" s="89" t="n"/>
      <c r="R433" s="89" t="n"/>
      <c r="S433" s="89" t="n"/>
      <c r="T433" s="89" t="n"/>
      <c r="U433" s="89" t="n"/>
      <c r="V433" s="89" t="n"/>
      <c r="W433" s="89" t="n"/>
      <c r="X433" s="89" t="n"/>
      <c r="Y433" s="89" t="n"/>
      <c r="Z433" s="89" t="n"/>
      <c r="AA433" s="89" t="n"/>
      <c r="AB433" s="89" t="n"/>
      <c r="AC433" s="89" t="n"/>
      <c r="AD433" s="89" t="n"/>
      <c r="AE433" s="89" t="n"/>
      <c r="AF433" s="89" t="n"/>
      <c r="AG433" s="89" t="n"/>
      <c r="AH433" s="89" t="n"/>
      <c r="AI433" s="89" t="n"/>
      <c r="AJ433" s="89" t="n"/>
      <c r="AK433" s="89" t="n"/>
      <c r="AL433" s="89" t="n"/>
      <c r="AM433" s="89" t="n"/>
      <c r="AN433" s="89" t="n"/>
      <c r="AO433" s="89" t="n">
        <v>18.64599</v>
      </c>
      <c r="AP433" s="89" t="n"/>
      <c r="AQ433" s="89" t="n"/>
      <c r="AR433" s="89" t="n"/>
      <c r="AS433" s="89" t="n"/>
      <c r="AT433" s="89" t="n"/>
      <c r="AU433" s="89" t="n"/>
      <c r="AV433" s="89" t="n"/>
      <c r="AW433" s="89" t="n"/>
      <c r="AX433" s="89" t="n"/>
      <c r="AY433" s="89" t="n"/>
    </row>
    <row r="434">
      <c r="A434" t="inlineStr">
        <is>
          <t>1955-01</t>
        </is>
      </c>
      <c r="B434" s="1" t="n">
        <v>20090</v>
      </c>
      <c r="C434" s="88" t="n">
        <v>434</v>
      </c>
      <c r="E434" s="1">
        <f>B434</f>
        <v/>
      </c>
      <c r="F434" s="2">
        <f>B434</f>
        <v/>
      </c>
      <c r="G434" s="88" t="n">
        <v>432</v>
      </c>
      <c r="H434" s="89" t="n"/>
      <c r="I434" s="89" t="n"/>
      <c r="J434" s="89" t="n">
        <v>21.49312</v>
      </c>
      <c r="K434" s="89" t="n"/>
      <c r="L434" s="89" t="n"/>
      <c r="M434" s="89" t="n"/>
      <c r="N434" s="89" t="n"/>
      <c r="O434" s="89" t="n"/>
      <c r="P434" s="89" t="n"/>
      <c r="Q434" s="89" t="n"/>
      <c r="R434" s="89" t="n"/>
      <c r="S434" s="89" t="n"/>
      <c r="T434" s="89" t="n"/>
      <c r="U434" s="89" t="n"/>
      <c r="V434" s="89" t="n"/>
      <c r="W434" s="89" t="n"/>
      <c r="X434" s="89" t="n"/>
      <c r="Y434" s="89" t="n"/>
      <c r="Z434" s="89" t="n">
        <v>21.75209</v>
      </c>
      <c r="AA434" s="89" t="n">
        <v>5.889028</v>
      </c>
      <c r="AB434" s="89" t="n"/>
      <c r="AC434" s="89" t="n">
        <v>32.25689</v>
      </c>
      <c r="AD434" s="89" t="n"/>
      <c r="AE434" s="89" t="n"/>
      <c r="AF434" s="89" t="n"/>
      <c r="AG434" s="89" t="n">
        <v>16.31305</v>
      </c>
      <c r="AH434" s="89" t="n"/>
      <c r="AI434" s="89" t="n"/>
      <c r="AJ434" s="89" t="n">
        <v>14.60289</v>
      </c>
      <c r="AK434" s="89" t="n"/>
      <c r="AL434" s="89" t="n"/>
      <c r="AM434" s="89" t="n"/>
      <c r="AN434" s="89" t="n"/>
      <c r="AO434" s="89" t="n">
        <v>19.07159</v>
      </c>
      <c r="AP434" s="89" t="n"/>
      <c r="AQ434" s="89" t="n"/>
      <c r="AR434" s="89" t="n"/>
      <c r="AS434" s="89" t="n"/>
      <c r="AT434" s="89" t="n"/>
      <c r="AU434" s="89" t="n"/>
      <c r="AV434" s="89" t="n"/>
      <c r="AW434" s="89" t="n"/>
      <c r="AX434" s="89" t="n"/>
      <c r="AY434" s="89" t="n"/>
    </row>
    <row r="435">
      <c r="A435" t="inlineStr">
        <is>
          <t>1955-02</t>
        </is>
      </c>
      <c r="B435" s="1" t="n">
        <v>20121</v>
      </c>
      <c r="C435" s="88" t="n">
        <v>435</v>
      </c>
      <c r="E435" s="1">
        <f>B435</f>
        <v/>
      </c>
      <c r="F435" s="2">
        <f>B435</f>
        <v/>
      </c>
      <c r="G435" s="88" t="n">
        <v>433</v>
      </c>
      <c r="H435" s="89" t="n"/>
      <c r="I435" s="89" t="n"/>
      <c r="J435" s="89" t="n">
        <v>22.21579</v>
      </c>
      <c r="K435" s="89" t="n"/>
      <c r="L435" s="89" t="n"/>
      <c r="M435" s="89" t="n"/>
      <c r="N435" s="89" t="n"/>
      <c r="O435" s="89" t="n"/>
      <c r="P435" s="89" t="n"/>
      <c r="Q435" s="89" t="n"/>
      <c r="R435" s="89" t="n"/>
      <c r="S435" s="89" t="n"/>
      <c r="T435" s="89" t="n"/>
      <c r="U435" s="89" t="n"/>
      <c r="V435" s="89" t="n"/>
      <c r="W435" s="89" t="n"/>
      <c r="X435" s="89" t="n"/>
      <c r="Y435" s="89" t="n"/>
      <c r="Z435" s="89" t="n">
        <v>21.96125</v>
      </c>
      <c r="AA435" s="89" t="n">
        <v>5.973157</v>
      </c>
      <c r="AB435" s="89" t="n"/>
      <c r="AC435" s="89" t="n">
        <v>34.52923</v>
      </c>
      <c r="AD435" s="89" t="n"/>
      <c r="AE435" s="89" t="n"/>
      <c r="AF435" s="89" t="n"/>
      <c r="AG435" s="89" t="n">
        <v>16.51896</v>
      </c>
      <c r="AH435" s="89" t="n"/>
      <c r="AI435" s="89" t="n"/>
      <c r="AJ435" s="89" t="n">
        <v>14.90776</v>
      </c>
      <c r="AK435" s="89" t="n"/>
      <c r="AL435" s="89" t="n"/>
      <c r="AM435" s="89" t="n"/>
      <c r="AN435" s="89" t="n"/>
      <c r="AO435" s="89" t="n">
        <v>19.31104</v>
      </c>
      <c r="AP435" s="89" t="n"/>
      <c r="AQ435" s="89" t="n"/>
      <c r="AR435" s="89" t="n"/>
      <c r="AS435" s="89" t="n"/>
      <c r="AT435" s="89" t="n"/>
      <c r="AU435" s="89" t="n"/>
      <c r="AV435" s="89" t="n"/>
      <c r="AW435" s="89" t="n"/>
      <c r="AX435" s="89" t="n"/>
      <c r="AY435" s="89" t="n"/>
    </row>
    <row r="436">
      <c r="A436" t="inlineStr">
        <is>
          <t>1955-03</t>
        </is>
      </c>
      <c r="B436" s="1" t="n">
        <v>20149</v>
      </c>
      <c r="C436" s="88" t="n">
        <v>436</v>
      </c>
      <c r="E436" s="1">
        <f>B436</f>
        <v/>
      </c>
      <c r="F436" s="2">
        <f>B436</f>
        <v/>
      </c>
      <c r="G436" s="88" t="n">
        <v>434</v>
      </c>
      <c r="H436" s="89" t="n"/>
      <c r="I436" s="89" t="n"/>
      <c r="J436" s="89" t="n">
        <v>23.06005</v>
      </c>
      <c r="K436" s="89" t="n"/>
      <c r="L436" s="89" t="n"/>
      <c r="M436" s="89" t="n"/>
      <c r="N436" s="89" t="n"/>
      <c r="O436" s="89" t="n"/>
      <c r="P436" s="89" t="n"/>
      <c r="Q436" s="89" t="n"/>
      <c r="R436" s="89" t="n"/>
      <c r="S436" s="89" t="n"/>
      <c r="T436" s="89" t="n"/>
      <c r="U436" s="89" t="n"/>
      <c r="V436" s="89" t="n"/>
      <c r="W436" s="89" t="n"/>
      <c r="X436" s="89" t="n"/>
      <c r="Y436" s="89" t="n"/>
      <c r="Z436" s="89" t="n">
        <v>22.28449</v>
      </c>
      <c r="AA436" s="89" t="n">
        <v>6.057286</v>
      </c>
      <c r="AB436" s="89" t="n"/>
      <c r="AC436" s="89" t="n">
        <v>32.29696</v>
      </c>
      <c r="AD436" s="89" t="n"/>
      <c r="AE436" s="89" t="n"/>
      <c r="AF436" s="89" t="n"/>
      <c r="AG436" s="89" t="n">
        <v>16.99943</v>
      </c>
      <c r="AH436" s="89" t="n"/>
      <c r="AI436" s="89" t="n"/>
      <c r="AJ436" s="89" t="n">
        <v>15.76611</v>
      </c>
      <c r="AK436" s="89" t="n"/>
      <c r="AL436" s="89" t="n"/>
      <c r="AM436" s="89" t="n"/>
      <c r="AN436" s="89" t="n"/>
      <c r="AO436" s="89" t="n">
        <v>19.76316</v>
      </c>
      <c r="AP436" s="89" t="n"/>
      <c r="AQ436" s="89" t="n"/>
      <c r="AR436" s="89" t="n"/>
      <c r="AS436" s="89" t="n"/>
      <c r="AT436" s="89" t="n"/>
      <c r="AU436" s="89" t="n"/>
      <c r="AV436" s="89" t="n"/>
      <c r="AW436" s="89" t="n"/>
      <c r="AX436" s="89" t="n"/>
      <c r="AY436" s="89" t="n"/>
    </row>
    <row r="437">
      <c r="A437" t="inlineStr">
        <is>
          <t>1955-04</t>
        </is>
      </c>
      <c r="B437" s="1" t="n">
        <v>20180</v>
      </c>
      <c r="C437" s="88" t="n">
        <v>437</v>
      </c>
      <c r="E437" s="1">
        <f>B437</f>
        <v/>
      </c>
      <c r="F437" s="2">
        <f>B437</f>
        <v/>
      </c>
      <c r="G437" s="88" t="n">
        <v>435</v>
      </c>
      <c r="H437" s="89" t="n"/>
      <c r="I437" s="89" t="n"/>
      <c r="J437" s="89" t="n">
        <v>22.26876</v>
      </c>
      <c r="K437" s="89" t="n"/>
      <c r="L437" s="89" t="n"/>
      <c r="M437" s="89" t="n"/>
      <c r="N437" s="89" t="n"/>
      <c r="O437" s="89" t="n"/>
      <c r="P437" s="89" t="n"/>
      <c r="Q437" s="89" t="n"/>
      <c r="R437" s="89" t="n"/>
      <c r="S437" s="89" t="n"/>
      <c r="T437" s="89" t="n"/>
      <c r="U437" s="89" t="n"/>
      <c r="V437" s="89" t="n"/>
      <c r="W437" s="89" t="n"/>
      <c r="X437" s="89" t="n"/>
      <c r="Y437" s="89" t="n"/>
      <c r="Z437" s="89" t="n">
        <v>22.13238</v>
      </c>
      <c r="AA437" s="89" t="n">
        <v>6.057286</v>
      </c>
      <c r="AB437" s="89" t="n"/>
      <c r="AC437" s="89" t="n">
        <v>31.00866</v>
      </c>
      <c r="AD437" s="89" t="n"/>
      <c r="AE437" s="89" t="n"/>
      <c r="AF437" s="89" t="n"/>
      <c r="AG437" s="89" t="n">
        <v>16.06137</v>
      </c>
      <c r="AH437" s="89" t="n"/>
      <c r="AI437" s="89" t="n"/>
      <c r="AJ437" s="89" t="n">
        <v>15.81631</v>
      </c>
      <c r="AK437" s="89" t="n"/>
      <c r="AL437" s="89" t="n"/>
      <c r="AM437" s="89" t="n"/>
      <c r="AN437" s="89" t="n"/>
      <c r="AO437" s="89" t="n">
        <v>20.00261</v>
      </c>
      <c r="AP437" s="89" t="n"/>
      <c r="AQ437" s="89" t="n"/>
      <c r="AR437" s="89" t="n"/>
      <c r="AS437" s="89" t="n"/>
      <c r="AT437" s="89" t="n"/>
      <c r="AU437" s="89" t="n"/>
      <c r="AV437" s="89" t="n"/>
      <c r="AW437" s="89" t="n"/>
      <c r="AX437" s="89" t="n"/>
      <c r="AY437" s="89" t="n"/>
    </row>
    <row r="438">
      <c r="A438" t="inlineStr">
        <is>
          <t>1955-05</t>
        </is>
      </c>
      <c r="B438" s="1" t="n">
        <v>20210</v>
      </c>
      <c r="C438" s="88" t="n">
        <v>438</v>
      </c>
      <c r="E438" s="1">
        <f>B438</f>
        <v/>
      </c>
      <c r="F438" s="2">
        <f>B438</f>
        <v/>
      </c>
      <c r="G438" s="88" t="n">
        <v>436</v>
      </c>
      <c r="H438" s="89" t="n"/>
      <c r="I438" s="89" t="n"/>
      <c r="J438" s="89" t="n">
        <v>22.32869</v>
      </c>
      <c r="K438" s="89" t="n"/>
      <c r="L438" s="89" t="n"/>
      <c r="M438" s="89" t="n"/>
      <c r="N438" s="89" t="n"/>
      <c r="O438" s="89" t="n"/>
      <c r="P438" s="89" t="n"/>
      <c r="Q438" s="89" t="n"/>
      <c r="R438" s="89" t="n"/>
      <c r="S438" s="89" t="n"/>
      <c r="T438" s="89" t="n"/>
      <c r="U438" s="89" t="n"/>
      <c r="V438" s="89" t="n"/>
      <c r="W438" s="89" t="n"/>
      <c r="X438" s="89" t="n"/>
      <c r="Y438" s="89" t="n"/>
      <c r="Z438" s="89" t="n">
        <v>22.36055</v>
      </c>
      <c r="AA438" s="89" t="n">
        <v>6.057286</v>
      </c>
      <c r="AB438" s="89" t="n"/>
      <c r="AC438" s="89" t="n">
        <v>32.14213</v>
      </c>
      <c r="AD438" s="89" t="n"/>
      <c r="AE438" s="89" t="n"/>
      <c r="AF438" s="89" t="n"/>
      <c r="AG438" s="89" t="n">
        <v>16.90792</v>
      </c>
      <c r="AH438" s="89" t="n"/>
      <c r="AI438" s="89" t="n"/>
      <c r="AJ438" s="89" t="n">
        <v>15.95131</v>
      </c>
      <c r="AK438" s="89" t="n"/>
      <c r="AL438" s="89" t="n"/>
      <c r="AM438" s="89" t="n"/>
      <c r="AN438" s="89" t="n"/>
      <c r="AO438" s="89" t="n">
        <v>20.32179</v>
      </c>
      <c r="AP438" s="89" t="n"/>
      <c r="AQ438" s="89" t="n"/>
      <c r="AR438" s="89" t="n"/>
      <c r="AS438" s="89" t="n"/>
      <c r="AT438" s="89" t="n"/>
      <c r="AU438" s="89" t="n"/>
      <c r="AV438" s="89" t="n"/>
      <c r="AW438" s="89" t="n"/>
      <c r="AX438" s="89" t="n"/>
      <c r="AY438" s="89" t="n"/>
    </row>
    <row r="439">
      <c r="A439" t="inlineStr">
        <is>
          <t>1955-06</t>
        </is>
      </c>
      <c r="B439" s="1" t="n">
        <v>20241</v>
      </c>
      <c r="C439" s="88" t="n">
        <v>439</v>
      </c>
      <c r="E439" s="1">
        <f>B439</f>
        <v/>
      </c>
      <c r="F439" s="2">
        <f>B439</f>
        <v/>
      </c>
      <c r="G439" s="88" t="n">
        <v>437</v>
      </c>
      <c r="H439" s="89" t="n"/>
      <c r="I439" s="89" t="n"/>
      <c r="J439" s="89" t="n">
        <v>23.31649</v>
      </c>
      <c r="K439" s="89" t="n"/>
      <c r="L439" s="89" t="n"/>
      <c r="M439" s="89" t="n"/>
      <c r="N439" s="89" t="n"/>
      <c r="O439" s="89" t="n"/>
      <c r="P439" s="89" t="n"/>
      <c r="Q439" s="89" t="n"/>
      <c r="R439" s="89" t="n"/>
      <c r="S439" s="89" t="n"/>
      <c r="T439" s="89" t="n"/>
      <c r="U439" s="89" t="n"/>
      <c r="V439" s="89" t="n"/>
      <c r="W439" s="89" t="n"/>
      <c r="X439" s="89" t="n"/>
      <c r="Y439" s="89" t="n"/>
      <c r="Z439" s="89" t="n">
        <v>22.93097</v>
      </c>
      <c r="AA439" s="89" t="n">
        <v>6.057286</v>
      </c>
      <c r="AB439" s="89" t="n"/>
      <c r="AC439" s="89" t="n">
        <v>33.50248</v>
      </c>
      <c r="AD439" s="89" t="n"/>
      <c r="AE439" s="89" t="n"/>
      <c r="AF439" s="89" t="n"/>
      <c r="AG439" s="89" t="n">
        <v>17.09095</v>
      </c>
      <c r="AH439" s="89" t="n"/>
      <c r="AI439" s="89" t="n"/>
      <c r="AJ439" s="89" t="n">
        <v>15.43983</v>
      </c>
      <c r="AK439" s="89" t="n"/>
      <c r="AL439" s="89" t="n"/>
      <c r="AM439" s="89" t="n"/>
      <c r="AN439" s="89" t="n"/>
      <c r="AO439" s="89" t="n">
        <v>20.34839</v>
      </c>
      <c r="AP439" s="89" t="n"/>
      <c r="AQ439" s="89" t="n"/>
      <c r="AR439" s="89" t="n"/>
      <c r="AS439" s="89" t="n"/>
      <c r="AT439" s="89" t="n"/>
      <c r="AU439" s="89" t="n"/>
      <c r="AV439" s="89" t="n"/>
      <c r="AW439" s="89" t="n"/>
      <c r="AX439" s="89" t="n"/>
      <c r="AY439" s="89" t="n"/>
    </row>
    <row r="440">
      <c r="A440" t="inlineStr">
        <is>
          <t>1955-07</t>
        </is>
      </c>
      <c r="B440" s="1" t="n">
        <v>20271</v>
      </c>
      <c r="C440" s="88" t="n">
        <v>440</v>
      </c>
      <c r="E440" s="1">
        <f>B440</f>
        <v/>
      </c>
      <c r="F440" s="2">
        <f>B440</f>
        <v/>
      </c>
      <c r="G440" s="88" t="n">
        <v>438</v>
      </c>
      <c r="H440" s="89" t="n"/>
      <c r="I440" s="89" t="n"/>
      <c r="J440" s="89" t="n">
        <v>20.54624</v>
      </c>
      <c r="K440" s="89" t="n"/>
      <c r="L440" s="89" t="n"/>
      <c r="M440" s="89" t="n"/>
      <c r="N440" s="89" t="n"/>
      <c r="O440" s="89" t="n"/>
      <c r="P440" s="89" t="n"/>
      <c r="Q440" s="89" t="n"/>
      <c r="R440" s="89" t="n"/>
      <c r="S440" s="89" t="n"/>
      <c r="T440" s="89" t="n"/>
      <c r="U440" s="89" t="n"/>
      <c r="V440" s="89" t="n"/>
      <c r="W440" s="89" t="n"/>
      <c r="X440" s="89" t="n"/>
      <c r="Y440" s="89" t="n"/>
      <c r="Z440" s="89" t="n">
        <v>22.94998</v>
      </c>
      <c r="AA440" s="89" t="n">
        <v>6.225543</v>
      </c>
      <c r="AB440" s="89" t="n"/>
      <c r="AC440" s="89" t="n">
        <v>33.69846</v>
      </c>
      <c r="AD440" s="89" t="n"/>
      <c r="AE440" s="89" t="n"/>
      <c r="AF440" s="89" t="n"/>
      <c r="AG440" s="89" t="n">
        <v>16.24441</v>
      </c>
      <c r="AH440" s="89" t="n"/>
      <c r="AI440" s="89" t="n"/>
      <c r="AJ440" s="89" t="n">
        <v>16.32044</v>
      </c>
      <c r="AK440" s="89" t="n"/>
      <c r="AL440" s="89" t="n"/>
      <c r="AM440" s="89" t="n"/>
      <c r="AN440" s="89" t="n"/>
      <c r="AO440" s="89" t="n">
        <v>20.50793</v>
      </c>
      <c r="AP440" s="89" t="n"/>
      <c r="AQ440" s="89" t="n"/>
      <c r="AR440" s="89" t="n"/>
      <c r="AS440" s="89" t="n"/>
      <c r="AT440" s="89" t="n"/>
      <c r="AU440" s="89" t="n"/>
      <c r="AV440" s="89" t="n"/>
      <c r="AW440" s="89" t="n"/>
      <c r="AX440" s="89" t="n"/>
      <c r="AY440" s="89" t="n"/>
    </row>
    <row r="441">
      <c r="A441" t="inlineStr">
        <is>
          <t>1955-08</t>
        </is>
      </c>
      <c r="B441" s="1" t="n">
        <v>20302</v>
      </c>
      <c r="C441" s="88" t="n">
        <v>441</v>
      </c>
      <c r="E441" s="1">
        <f>B441</f>
        <v/>
      </c>
      <c r="F441" s="2">
        <f>B441</f>
        <v/>
      </c>
      <c r="G441" s="88" t="n">
        <v>439</v>
      </c>
      <c r="H441" s="89" t="n"/>
      <c r="I441" s="89" t="n"/>
      <c r="J441" s="89" t="n">
        <v>23.64245</v>
      </c>
      <c r="K441" s="89" t="n"/>
      <c r="L441" s="89" t="n"/>
      <c r="M441" s="89" t="n"/>
      <c r="N441" s="89" t="n"/>
      <c r="O441" s="89" t="n"/>
      <c r="P441" s="89" t="n"/>
      <c r="Q441" s="89" t="n"/>
      <c r="R441" s="89" t="n"/>
      <c r="S441" s="89" t="n"/>
      <c r="T441" s="89" t="n"/>
      <c r="U441" s="89" t="n"/>
      <c r="V441" s="89" t="n"/>
      <c r="W441" s="89" t="n"/>
      <c r="X441" s="89" t="n"/>
      <c r="Y441" s="89" t="n"/>
      <c r="Z441" s="89" t="n">
        <v>22.81688</v>
      </c>
      <c r="AA441" s="89" t="n">
        <v>6.393802</v>
      </c>
      <c r="AB441" s="89" t="n"/>
      <c r="AC441" s="89" t="n">
        <v>34.71261</v>
      </c>
      <c r="AD441" s="89" t="n"/>
      <c r="AE441" s="89" t="n"/>
      <c r="AF441" s="89" t="n"/>
      <c r="AG441" s="89" t="n">
        <v>16.90792</v>
      </c>
      <c r="AH441" s="89" t="n"/>
      <c r="AI441" s="89" t="n"/>
      <c r="AJ441" s="89" t="n">
        <v>15.6772</v>
      </c>
      <c r="AK441" s="89" t="n"/>
      <c r="AL441" s="89" t="n"/>
      <c r="AM441" s="89" t="n"/>
      <c r="AN441" s="89" t="n"/>
      <c r="AO441" s="89" t="n">
        <v>20.48133</v>
      </c>
      <c r="AP441" s="89" t="n"/>
      <c r="AQ441" s="89" t="n"/>
      <c r="AR441" s="89" t="n"/>
      <c r="AS441" s="89" t="n"/>
      <c r="AT441" s="89" t="n"/>
      <c r="AU441" s="89" t="n"/>
      <c r="AV441" s="89" t="n"/>
      <c r="AW441" s="89" t="n"/>
      <c r="AX441" s="89" t="n"/>
      <c r="AY441" s="89" t="n"/>
    </row>
    <row r="442">
      <c r="A442" t="inlineStr">
        <is>
          <t>1955-09</t>
        </is>
      </c>
      <c r="B442" s="1" t="n">
        <v>20333</v>
      </c>
      <c r="C442" s="88" t="n">
        <v>442</v>
      </c>
      <c r="E442" s="1">
        <f>B442</f>
        <v/>
      </c>
      <c r="F442" s="2">
        <f>B442</f>
        <v/>
      </c>
      <c r="G442" s="88" t="n">
        <v>440</v>
      </c>
      <c r="H442" s="89" t="n"/>
      <c r="I442" s="89" t="n"/>
      <c r="J442" s="89" t="n">
        <v>23.82137</v>
      </c>
      <c r="K442" s="89" t="n"/>
      <c r="L442" s="89" t="n"/>
      <c r="M442" s="89" t="n"/>
      <c r="N442" s="89" t="n"/>
      <c r="O442" s="89" t="n"/>
      <c r="P442" s="89" t="n"/>
      <c r="Q442" s="89" t="n"/>
      <c r="R442" s="89" t="n"/>
      <c r="S442" s="89" t="n"/>
      <c r="T442" s="89" t="n"/>
      <c r="U442" s="89" t="n"/>
      <c r="V442" s="89" t="n"/>
      <c r="W442" s="89" t="n"/>
      <c r="X442" s="89" t="n"/>
      <c r="Y442" s="89" t="n"/>
      <c r="Z442" s="89" t="n">
        <v>22.91195</v>
      </c>
      <c r="AA442" s="89" t="n">
        <v>6.562059</v>
      </c>
      <c r="AB442" s="89" t="n"/>
      <c r="AC442" s="89" t="n">
        <v>34.99715</v>
      </c>
      <c r="AD442" s="89" t="n"/>
      <c r="AE442" s="89" t="n"/>
      <c r="AF442" s="89" t="n"/>
      <c r="AG442" s="89" t="n">
        <v>17.22823</v>
      </c>
      <c r="AH442" s="89" t="n"/>
      <c r="AI442" s="89" t="n"/>
      <c r="AJ442" s="89" t="n">
        <v>16.84093</v>
      </c>
      <c r="AK442" s="89" t="n"/>
      <c r="AL442" s="89" t="n"/>
      <c r="AM442" s="89" t="n"/>
      <c r="AN442" s="89" t="n"/>
      <c r="AO442" s="89" t="n">
        <v>20.61436</v>
      </c>
      <c r="AP442" s="89" t="n"/>
      <c r="AQ442" s="89" t="n"/>
      <c r="AR442" s="89" t="n"/>
      <c r="AS442" s="89" t="n"/>
      <c r="AT442" s="89" t="n"/>
      <c r="AU442" s="89" t="n"/>
      <c r="AV442" s="89" t="n"/>
      <c r="AW442" s="89" t="n"/>
      <c r="AX442" s="89" t="n"/>
      <c r="AY442" s="89" t="n"/>
    </row>
    <row r="443">
      <c r="A443" t="inlineStr">
        <is>
          <t>1955-10</t>
        </is>
      </c>
      <c r="B443" s="1" t="n">
        <v>20363</v>
      </c>
      <c r="C443" s="88" t="n">
        <v>443</v>
      </c>
      <c r="E443" s="1">
        <f>B443</f>
        <v/>
      </c>
      <c r="F443" s="2">
        <f>B443</f>
        <v/>
      </c>
      <c r="G443" s="88" t="n">
        <v>441</v>
      </c>
      <c r="H443" s="89" t="n"/>
      <c r="I443" s="89" t="n"/>
      <c r="J443" s="89" t="n">
        <v>23.79873</v>
      </c>
      <c r="K443" s="89" t="n"/>
      <c r="L443" s="89" t="n"/>
      <c r="M443" s="89" t="n"/>
      <c r="N443" s="89" t="n"/>
      <c r="O443" s="89" t="n"/>
      <c r="P443" s="89" t="n"/>
      <c r="Q443" s="89" t="n"/>
      <c r="R443" s="89" t="n"/>
      <c r="S443" s="89" t="n"/>
      <c r="T443" s="89" t="n"/>
      <c r="U443" s="89" t="n"/>
      <c r="V443" s="89" t="n"/>
      <c r="W443" s="89" t="n"/>
      <c r="X443" s="89" t="n"/>
      <c r="Y443" s="89" t="n"/>
      <c r="Z443" s="89" t="n">
        <v>22.94998</v>
      </c>
      <c r="AA443" s="89" t="n">
        <v>6.562059</v>
      </c>
      <c r="AB443" s="89" t="n"/>
      <c r="AC443" s="89" t="n">
        <v>35.04547</v>
      </c>
      <c r="AD443" s="89" t="n"/>
      <c r="AE443" s="89" t="n"/>
      <c r="AF443" s="89" t="n"/>
      <c r="AG443" s="89" t="n">
        <v>17.09095</v>
      </c>
      <c r="AH443" s="89" t="n"/>
      <c r="AI443" s="89" t="n"/>
      <c r="AJ443" s="89" t="n">
        <v>14.75135</v>
      </c>
      <c r="AK443" s="89" t="n"/>
      <c r="AL443" s="89" t="n"/>
      <c r="AM443" s="89" t="n"/>
      <c r="AN443" s="89" t="n"/>
      <c r="AO443" s="89" t="n">
        <v>20.96014</v>
      </c>
      <c r="AP443" s="89" t="n"/>
      <c r="AQ443" s="89" t="n"/>
      <c r="AR443" s="89" t="n"/>
      <c r="AS443" s="89" t="n"/>
      <c r="AT443" s="89" t="n"/>
      <c r="AU443" s="89" t="n"/>
      <c r="AV443" s="89" t="n"/>
      <c r="AW443" s="89" t="n"/>
      <c r="AX443" s="89" t="n"/>
      <c r="AY443" s="89" t="n"/>
    </row>
    <row r="444">
      <c r="A444" t="inlineStr">
        <is>
          <t>1955-11</t>
        </is>
      </c>
      <c r="B444" s="1" t="n">
        <v>20394</v>
      </c>
      <c r="C444" s="88" t="n">
        <v>444</v>
      </c>
      <c r="E444" s="1">
        <f>B444</f>
        <v/>
      </c>
      <c r="F444" s="2">
        <f>B444</f>
        <v/>
      </c>
      <c r="G444" s="88" t="n">
        <v>442</v>
      </c>
      <c r="H444" s="89" t="n"/>
      <c r="I444" s="89" t="n"/>
      <c r="J444" s="89" t="n">
        <v>23.2654</v>
      </c>
      <c r="K444" s="89" t="n"/>
      <c r="L444" s="89" t="n"/>
      <c r="M444" s="89" t="n"/>
      <c r="N444" s="89" t="n"/>
      <c r="O444" s="89" t="n"/>
      <c r="P444" s="89" t="n"/>
      <c r="Q444" s="89" t="n"/>
      <c r="R444" s="89" t="n"/>
      <c r="S444" s="89" t="n"/>
      <c r="T444" s="89" t="n"/>
      <c r="U444" s="89" t="n"/>
      <c r="V444" s="89" t="n"/>
      <c r="W444" s="89" t="n"/>
      <c r="X444" s="89" t="n"/>
      <c r="Y444" s="89" t="n"/>
      <c r="Z444" s="89" t="n">
        <v>23.17815</v>
      </c>
      <c r="AA444" s="89" t="n">
        <v>6.646189</v>
      </c>
      <c r="AB444" s="89" t="n"/>
      <c r="AC444" s="89" t="n">
        <v>35.06318</v>
      </c>
      <c r="AD444" s="89" t="n"/>
      <c r="AE444" s="89" t="n"/>
      <c r="AF444" s="89" t="n"/>
      <c r="AG444" s="89" t="n">
        <v>17.43414</v>
      </c>
      <c r="AH444" s="89" t="n"/>
      <c r="AI444" s="89" t="n"/>
      <c r="AJ444" s="89" t="n">
        <v>15.95232</v>
      </c>
      <c r="AK444" s="89" t="n"/>
      <c r="AL444" s="89" t="n"/>
      <c r="AM444" s="89" t="n"/>
      <c r="AN444" s="89" t="n"/>
      <c r="AO444" s="89" t="n">
        <v>21.01336</v>
      </c>
      <c r="AP444" s="89" t="n"/>
      <c r="AQ444" s="89" t="n"/>
      <c r="AR444" s="89" t="n"/>
      <c r="AS444" s="89" t="n"/>
      <c r="AT444" s="89" t="n"/>
      <c r="AU444" s="89" t="n"/>
      <c r="AV444" s="89" t="n"/>
      <c r="AW444" s="89" t="n"/>
      <c r="AX444" s="89" t="n"/>
      <c r="AY444" s="89" t="n"/>
    </row>
    <row r="445">
      <c r="A445" t="inlineStr">
        <is>
          <t>1955-12</t>
        </is>
      </c>
      <c r="B445" s="1" t="n">
        <v>20424</v>
      </c>
      <c r="C445" s="88" t="n">
        <v>445</v>
      </c>
      <c r="E445" s="1">
        <f>B445</f>
        <v/>
      </c>
      <c r="F445" s="2">
        <f>B445</f>
        <v/>
      </c>
      <c r="G445" s="88" t="n">
        <v>443</v>
      </c>
      <c r="H445" s="89" t="n"/>
      <c r="I445" s="89" t="n"/>
      <c r="J445" s="89" t="n">
        <v>24.59189</v>
      </c>
      <c r="K445" s="89" t="n"/>
      <c r="L445" s="89" t="n"/>
      <c r="M445" s="89" t="n"/>
      <c r="N445" s="89" t="n"/>
      <c r="O445" s="89" t="n"/>
      <c r="P445" s="89" t="n"/>
      <c r="Q445" s="89" t="n"/>
      <c r="R445" s="89" t="n"/>
      <c r="S445" s="89" t="n"/>
      <c r="T445" s="89" t="n"/>
      <c r="U445" s="89" t="n"/>
      <c r="V445" s="89" t="n"/>
      <c r="W445" s="89" t="n"/>
      <c r="X445" s="89" t="n"/>
      <c r="Y445" s="89" t="n"/>
      <c r="Z445" s="89" t="n">
        <v>23.08308</v>
      </c>
      <c r="AA445" s="89" t="n">
        <v>6.814446</v>
      </c>
      <c r="AB445" s="89" t="n"/>
      <c r="AC445" s="89" t="n">
        <v>34.76495</v>
      </c>
      <c r="AD445" s="89" t="n"/>
      <c r="AE445" s="89" t="n"/>
      <c r="AF445" s="89" t="n"/>
      <c r="AG445" s="89" t="n">
        <v>17.31974</v>
      </c>
      <c r="AH445" s="89" t="n"/>
      <c r="AI445" s="89" t="n"/>
      <c r="AJ445" s="89" t="n">
        <v>17.82115</v>
      </c>
      <c r="AK445" s="89" t="n"/>
      <c r="AL445" s="89" t="n"/>
      <c r="AM445" s="89" t="n"/>
      <c r="AN445" s="89" t="n"/>
      <c r="AO445" s="89" t="n">
        <v>21.09317</v>
      </c>
      <c r="AP445" s="89" t="n"/>
      <c r="AQ445" s="89" t="n"/>
      <c r="AR445" s="89" t="n"/>
      <c r="AS445" s="89" t="n"/>
      <c r="AT445" s="89" t="n"/>
      <c r="AU445" s="89" t="n"/>
      <c r="AV445" s="89" t="n"/>
      <c r="AW445" s="89" t="n"/>
      <c r="AX445" s="89" t="n"/>
      <c r="AY445" s="89" t="n"/>
    </row>
    <row r="446">
      <c r="A446" t="inlineStr">
        <is>
          <t>1956-01</t>
        </is>
      </c>
      <c r="B446" s="1" t="n">
        <v>20455</v>
      </c>
      <c r="C446" s="88" t="n">
        <v>446</v>
      </c>
      <c r="E446" s="1">
        <f>B446</f>
        <v/>
      </c>
      <c r="F446" s="2">
        <f>B446</f>
        <v/>
      </c>
      <c r="G446" s="88" t="n">
        <v>444</v>
      </c>
      <c r="H446" s="89" t="n"/>
      <c r="I446" s="89" t="n"/>
      <c r="J446" s="89" t="n">
        <v>24.48857</v>
      </c>
      <c r="K446" s="89" t="n"/>
      <c r="L446" s="89" t="n"/>
      <c r="M446" s="89" t="n"/>
      <c r="N446" s="89" t="n"/>
      <c r="O446" s="89" t="n"/>
      <c r="P446" s="89" t="n"/>
      <c r="Q446" s="89" t="n"/>
      <c r="R446" s="89" t="n"/>
      <c r="S446" s="89" t="n">
        <v>27.53161</v>
      </c>
      <c r="T446" s="89" t="n">
        <v>49.49934</v>
      </c>
      <c r="U446" s="89" t="n"/>
      <c r="V446" s="89" t="n"/>
      <c r="W446" s="89" t="n"/>
      <c r="X446" s="89" t="n"/>
      <c r="Y446" s="89" t="n"/>
      <c r="Z446" s="89" t="n">
        <v>23.27322</v>
      </c>
      <c r="AA446" s="89" t="n">
        <v>6.982705</v>
      </c>
      <c r="AB446" s="89" t="n"/>
      <c r="AC446" s="89" t="n">
        <v>34.55679</v>
      </c>
      <c r="AD446" s="89" t="n"/>
      <c r="AE446" s="89" t="n"/>
      <c r="AF446" s="89" t="n">
        <v>18.5692</v>
      </c>
      <c r="AG446" s="89" t="n">
        <v>17.5943</v>
      </c>
      <c r="AH446" s="89" t="n"/>
      <c r="AI446" s="89" t="n"/>
      <c r="AJ446" s="89" t="n">
        <v>16.17211</v>
      </c>
      <c r="AK446" s="89" t="n"/>
      <c r="AL446" s="89" t="n"/>
      <c r="AM446" s="89" t="n"/>
      <c r="AN446" s="89" t="n"/>
      <c r="AO446" s="89" t="n">
        <v>21.22611</v>
      </c>
      <c r="AP446" s="89" t="n"/>
      <c r="AQ446" s="89" t="n"/>
      <c r="AR446" s="89" t="n"/>
      <c r="AS446" s="89" t="n"/>
      <c r="AT446" s="89" t="n"/>
      <c r="AU446" s="89" t="n"/>
      <c r="AV446" s="89" t="n"/>
      <c r="AW446" s="89" t="n"/>
      <c r="AX446" s="89" t="n"/>
      <c r="AY446" s="89" t="n"/>
    </row>
    <row r="447">
      <c r="A447" t="inlineStr">
        <is>
          <t>1956-02</t>
        </is>
      </c>
      <c r="B447" s="1" t="n">
        <v>20486</v>
      </c>
      <c r="C447" s="88" t="n">
        <v>447</v>
      </c>
      <c r="E447" s="1">
        <f>B447</f>
        <v/>
      </c>
      <c r="F447" s="2">
        <f>B447</f>
        <v/>
      </c>
      <c r="G447" s="88" t="n">
        <v>445</v>
      </c>
      <c r="H447" s="89" t="n"/>
      <c r="I447" s="89" t="n"/>
      <c r="J447" s="89" t="n">
        <v>24.00214</v>
      </c>
      <c r="K447" s="89" t="n"/>
      <c r="L447" s="89" t="n"/>
      <c r="M447" s="89" t="n"/>
      <c r="N447" s="89" t="n"/>
      <c r="O447" s="89" t="n"/>
      <c r="P447" s="89" t="n"/>
      <c r="Q447" s="89" t="n"/>
      <c r="R447" s="89" t="n"/>
      <c r="S447" s="89" t="n">
        <v>27.00089</v>
      </c>
      <c r="T447" s="89" t="n">
        <v>49.49934</v>
      </c>
      <c r="U447" s="89" t="n"/>
      <c r="V447" s="89" t="n"/>
      <c r="W447" s="89" t="n"/>
      <c r="X447" s="89" t="n"/>
      <c r="Y447" s="89" t="n"/>
      <c r="Z447" s="89" t="n">
        <v>22.53167</v>
      </c>
      <c r="AA447" s="89" t="n">
        <v>7.150962</v>
      </c>
      <c r="AB447" s="89" t="n"/>
      <c r="AC447" s="89" t="n">
        <v>34.54936</v>
      </c>
      <c r="AD447" s="89" t="n"/>
      <c r="AE447" s="89" t="n"/>
      <c r="AF447" s="89" t="n">
        <v>17.99784</v>
      </c>
      <c r="AG447" s="89" t="n">
        <v>17.31974</v>
      </c>
      <c r="AH447" s="89" t="n"/>
      <c r="AI447" s="89" t="n"/>
      <c r="AJ447" s="89" t="n">
        <v>17.01021</v>
      </c>
      <c r="AK447" s="89" t="n"/>
      <c r="AL447" s="89" t="n"/>
      <c r="AM447" s="89" t="n"/>
      <c r="AN447" s="89" t="n"/>
      <c r="AO447" s="89" t="n">
        <v>21.03996</v>
      </c>
      <c r="AP447" s="89" t="n"/>
      <c r="AQ447" s="89" t="n"/>
      <c r="AR447" s="89" t="n"/>
      <c r="AS447" s="89" t="n"/>
      <c r="AT447" s="89" t="n"/>
      <c r="AU447" s="89" t="n"/>
      <c r="AV447" s="89" t="n"/>
      <c r="AW447" s="89" t="n"/>
      <c r="AX447" s="89" t="n"/>
      <c r="AY447" s="89" t="n"/>
    </row>
    <row r="448">
      <c r="A448" t="inlineStr">
        <is>
          <t>1956-03</t>
        </is>
      </c>
      <c r="B448" s="1" t="n">
        <v>20515</v>
      </c>
      <c r="C448" s="88" t="n">
        <v>448</v>
      </c>
      <c r="E448" s="1">
        <f>B448</f>
        <v/>
      </c>
      <c r="F448" s="2">
        <f>B448</f>
        <v/>
      </c>
      <c r="G448" s="88" t="n">
        <v>446</v>
      </c>
      <c r="H448" s="89" t="n"/>
      <c r="I448" s="89" t="n"/>
      <c r="J448" s="89" t="n">
        <v>25.02577</v>
      </c>
      <c r="K448" s="89" t="n"/>
      <c r="L448" s="89" t="n"/>
      <c r="M448" s="89" t="n"/>
      <c r="N448" s="89" t="n"/>
      <c r="O448" s="89" t="n"/>
      <c r="P448" s="89" t="n"/>
      <c r="Q448" s="89" t="n"/>
      <c r="R448" s="89" t="n"/>
      <c r="S448" s="89" t="n">
        <v>27.92966</v>
      </c>
      <c r="T448" s="89" t="n">
        <v>49.03236</v>
      </c>
      <c r="U448" s="89" t="n"/>
      <c r="V448" s="89" t="n"/>
      <c r="W448" s="89" t="n"/>
      <c r="X448" s="89" t="n"/>
      <c r="Y448" s="89" t="n"/>
      <c r="Z448" s="89" t="n">
        <v>23.53942</v>
      </c>
      <c r="AA448" s="89" t="n">
        <v>6.982705</v>
      </c>
      <c r="AB448" s="89" t="n"/>
      <c r="AC448" s="89" t="n">
        <v>35.19674</v>
      </c>
      <c r="AD448" s="89" t="n"/>
      <c r="AE448" s="89" t="n"/>
      <c r="AF448" s="89" t="n">
        <v>18.85488</v>
      </c>
      <c r="AG448" s="89" t="n">
        <v>17.02231</v>
      </c>
      <c r="AH448" s="89" t="n"/>
      <c r="AI448" s="89" t="n"/>
      <c r="AJ448" s="89" t="n">
        <v>16.90836</v>
      </c>
      <c r="AK448" s="89" t="n"/>
      <c r="AL448" s="89" t="n"/>
      <c r="AM448" s="89" t="n"/>
      <c r="AN448" s="89" t="n"/>
      <c r="AO448" s="89" t="n">
        <v>21.03996</v>
      </c>
      <c r="AP448" s="89" t="n"/>
      <c r="AQ448" s="89" t="n"/>
      <c r="AR448" s="89" t="n"/>
      <c r="AS448" s="89" t="n"/>
      <c r="AT448" s="89" t="n"/>
      <c r="AU448" s="89" t="n"/>
      <c r="AV448" s="89" t="n"/>
      <c r="AW448" s="89" t="n"/>
      <c r="AX448" s="89" t="n"/>
      <c r="AY448" s="89" t="n"/>
    </row>
    <row r="449">
      <c r="A449" t="inlineStr">
        <is>
          <t>1956-04</t>
        </is>
      </c>
      <c r="B449" s="1" t="n">
        <v>20546</v>
      </c>
      <c r="C449" s="88" t="n">
        <v>449</v>
      </c>
      <c r="E449" s="1">
        <f>B449</f>
        <v/>
      </c>
      <c r="F449" s="2">
        <f>B449</f>
        <v/>
      </c>
      <c r="G449" s="88" t="n">
        <v>447</v>
      </c>
      <c r="H449" s="89" t="n"/>
      <c r="I449" s="89" t="n"/>
      <c r="J449" s="89" t="n">
        <v>22.75912</v>
      </c>
      <c r="K449" s="89" t="n"/>
      <c r="L449" s="89" t="n"/>
      <c r="M449" s="89" t="n"/>
      <c r="N449" s="89" t="n"/>
      <c r="O449" s="89" t="n"/>
      <c r="P449" s="89" t="n"/>
      <c r="Q449" s="89" t="n"/>
      <c r="R449" s="89" t="n"/>
      <c r="S449" s="89" t="n">
        <v>28.36088</v>
      </c>
      <c r="T449" s="89" t="n">
        <v>49.49934</v>
      </c>
      <c r="U449" s="89" t="n"/>
      <c r="V449" s="89" t="n"/>
      <c r="W449" s="89" t="n"/>
      <c r="X449" s="89" t="n"/>
      <c r="Y449" s="89" t="n"/>
      <c r="Z449" s="89" t="n">
        <v>24.22392</v>
      </c>
      <c r="AA449" s="89" t="n">
        <v>7.235091</v>
      </c>
      <c r="AB449" s="89" t="n"/>
      <c r="AC449" s="89" t="n">
        <v>35.75748</v>
      </c>
      <c r="AD449" s="89" t="n"/>
      <c r="AE449" s="89" t="n"/>
      <c r="AF449" s="89" t="n">
        <v>19.14056</v>
      </c>
      <c r="AG449" s="89" t="n">
        <v>17.93749</v>
      </c>
      <c r="AH449" s="89" t="n"/>
      <c r="AI449" s="89" t="n"/>
      <c r="AJ449" s="89" t="n">
        <v>16.44013</v>
      </c>
      <c r="AK449" s="89" t="n"/>
      <c r="AL449" s="89" t="n"/>
      <c r="AM449" s="89" t="n"/>
      <c r="AN449" s="89" t="n"/>
      <c r="AO449" s="89" t="n">
        <v>21.1996</v>
      </c>
      <c r="AP449" s="89" t="n"/>
      <c r="AQ449" s="89" t="n"/>
      <c r="AR449" s="89" t="n"/>
      <c r="AS449" s="89" t="n"/>
      <c r="AT449" s="89" t="n"/>
      <c r="AU449" s="89" t="n"/>
      <c r="AV449" s="89" t="n"/>
      <c r="AW449" s="89" t="n"/>
      <c r="AX449" s="89" t="n"/>
      <c r="AY449" s="89" t="n"/>
    </row>
    <row r="450">
      <c r="A450" t="inlineStr">
        <is>
          <t>1956-05</t>
        </is>
      </c>
      <c r="B450" s="1" t="n">
        <v>20576</v>
      </c>
      <c r="C450" s="88" t="n">
        <v>450</v>
      </c>
      <c r="E450" s="1">
        <f>B450</f>
        <v/>
      </c>
      <c r="F450" s="2">
        <f>B450</f>
        <v/>
      </c>
      <c r="G450" s="88" t="n">
        <v>448</v>
      </c>
      <c r="H450" s="89" t="n"/>
      <c r="I450" s="89" t="n"/>
      <c r="J450" s="89" t="n">
        <v>24.78076</v>
      </c>
      <c r="K450" s="89" t="n"/>
      <c r="L450" s="89" t="n"/>
      <c r="M450" s="89" t="n"/>
      <c r="N450" s="89" t="n"/>
      <c r="O450" s="89" t="n"/>
      <c r="P450" s="89" t="n"/>
      <c r="Q450" s="89" t="n"/>
      <c r="R450" s="89" t="n"/>
      <c r="S450" s="89" t="n">
        <v>28.82527</v>
      </c>
      <c r="T450" s="89" t="n">
        <v>48.56538</v>
      </c>
      <c r="U450" s="89" t="n"/>
      <c r="V450" s="89" t="n"/>
      <c r="W450" s="89" t="n"/>
      <c r="X450" s="89" t="n"/>
      <c r="Y450" s="89" t="n"/>
      <c r="Z450" s="89" t="n">
        <v>24.47111</v>
      </c>
      <c r="AA450" s="89" t="n">
        <v>7.403349</v>
      </c>
      <c r="AB450" s="89" t="n"/>
      <c r="AC450" s="89" t="n">
        <v>36.28104</v>
      </c>
      <c r="AD450" s="89" t="n"/>
      <c r="AE450" s="89" t="n"/>
      <c r="AF450" s="89" t="n">
        <v>19.42624</v>
      </c>
      <c r="AG450" s="89" t="n">
        <v>17.18247</v>
      </c>
      <c r="AH450" s="89" t="n"/>
      <c r="AI450" s="89" t="n"/>
      <c r="AJ450" s="89" t="n">
        <v>16.66842</v>
      </c>
      <c r="AK450" s="89" t="n"/>
      <c r="AL450" s="89" t="n"/>
      <c r="AM450" s="89" t="n"/>
      <c r="AN450" s="89" t="n"/>
      <c r="AO450" s="89" t="n">
        <v>21.01336</v>
      </c>
      <c r="AP450" s="89" t="n"/>
      <c r="AQ450" s="89" t="n"/>
      <c r="AR450" s="89" t="n"/>
      <c r="AS450" s="89" t="n"/>
      <c r="AT450" s="89" t="n"/>
      <c r="AU450" s="89" t="n"/>
      <c r="AV450" s="89" t="n"/>
      <c r="AW450" s="89" t="n"/>
      <c r="AX450" s="89" t="n"/>
      <c r="AY450" s="89" t="n"/>
    </row>
    <row r="451">
      <c r="A451" t="inlineStr">
        <is>
          <t>1956-06</t>
        </is>
      </c>
      <c r="B451" s="1" t="n">
        <v>20607</v>
      </c>
      <c r="C451" s="88" t="n">
        <v>451</v>
      </c>
      <c r="E451" s="1">
        <f>B451</f>
        <v/>
      </c>
      <c r="F451" s="2">
        <f>B451</f>
        <v/>
      </c>
      <c r="G451" s="88" t="n">
        <v>449</v>
      </c>
      <c r="H451" s="89" t="n"/>
      <c r="I451" s="89" t="n"/>
      <c r="J451" s="89" t="n">
        <v>25.02744</v>
      </c>
      <c r="K451" s="89" t="n"/>
      <c r="L451" s="89" t="n"/>
      <c r="M451" s="89" t="n"/>
      <c r="N451" s="89" t="n"/>
      <c r="O451" s="89" t="n"/>
      <c r="P451" s="89" t="n"/>
      <c r="Q451" s="89" t="n"/>
      <c r="R451" s="89" t="n"/>
      <c r="S451" s="89" t="n">
        <v>28.95795</v>
      </c>
      <c r="T451" s="89" t="n">
        <v>49.49934</v>
      </c>
      <c r="U451" s="89" t="n"/>
      <c r="V451" s="89" t="n"/>
      <c r="W451" s="89" t="n"/>
      <c r="X451" s="89" t="n"/>
      <c r="Y451" s="89" t="n"/>
      <c r="Z451" s="89" t="n">
        <v>24.50913</v>
      </c>
      <c r="AA451" s="89" t="n">
        <v>7.571607</v>
      </c>
      <c r="AB451" s="89" t="n"/>
      <c r="AC451" s="89" t="n">
        <v>36.01044</v>
      </c>
      <c r="AD451" s="89" t="n"/>
      <c r="AE451" s="89" t="n"/>
      <c r="AF451" s="89" t="n">
        <v>19.71192</v>
      </c>
      <c r="AG451" s="89" t="n">
        <v>17.80021</v>
      </c>
      <c r="AH451" s="89" t="n"/>
      <c r="AI451" s="89" t="n"/>
      <c r="AJ451" s="89" t="n">
        <v>17.41673</v>
      </c>
      <c r="AK451" s="89" t="n"/>
      <c r="AL451" s="89" t="n"/>
      <c r="AM451" s="89" t="n"/>
      <c r="AN451" s="89" t="n"/>
      <c r="AO451" s="89" t="n">
        <v>20.82721</v>
      </c>
      <c r="AP451" s="89" t="n"/>
      <c r="AQ451" s="89" t="n"/>
      <c r="AR451" s="89" t="n"/>
      <c r="AS451" s="89" t="n"/>
      <c r="AT451" s="89" t="n"/>
      <c r="AU451" s="89" t="n"/>
      <c r="AV451" s="89" t="n"/>
      <c r="AW451" s="89" t="n"/>
      <c r="AX451" s="89" t="n"/>
      <c r="AY451" s="89" t="n"/>
    </row>
    <row r="452">
      <c r="A452" t="inlineStr">
        <is>
          <t>1956-07</t>
        </is>
      </c>
      <c r="B452" s="1" t="n">
        <v>20637</v>
      </c>
      <c r="C452" s="88" t="n">
        <v>452</v>
      </c>
      <c r="E452" s="1">
        <f>B452</f>
        <v/>
      </c>
      <c r="F452" s="2">
        <f>B452</f>
        <v/>
      </c>
      <c r="G452" s="88" t="n">
        <v>450</v>
      </c>
      <c r="H452" s="89" t="n"/>
      <c r="I452" s="89" t="n"/>
      <c r="J452" s="89" t="n">
        <v>24.40772</v>
      </c>
      <c r="K452" s="89" t="n"/>
      <c r="L452" s="89" t="n"/>
      <c r="M452" s="89" t="n"/>
      <c r="N452" s="89" t="n"/>
      <c r="O452" s="89" t="n"/>
      <c r="P452" s="89" t="n"/>
      <c r="Q452" s="89" t="n"/>
      <c r="R452" s="89" t="n"/>
      <c r="S452" s="89" t="n">
        <v>29.38917</v>
      </c>
      <c r="T452" s="89" t="n">
        <v>49.03236</v>
      </c>
      <c r="U452" s="89" t="n"/>
      <c r="V452" s="89" t="n"/>
      <c r="W452" s="89" t="n"/>
      <c r="X452" s="89" t="n"/>
      <c r="Y452" s="89" t="n"/>
      <c r="Z452" s="89" t="n">
        <v>24.8704</v>
      </c>
      <c r="AA452" s="89" t="n">
        <v>7.823994</v>
      </c>
      <c r="AB452" s="89" t="n"/>
      <c r="AC452" s="89" t="n">
        <v>36.45901</v>
      </c>
      <c r="AD452" s="89" t="n"/>
      <c r="AE452" s="89" t="n"/>
      <c r="AF452" s="89" t="n">
        <v>19.71192</v>
      </c>
      <c r="AG452" s="89" t="n">
        <v>16.86216</v>
      </c>
      <c r="AH452" s="89" t="n"/>
      <c r="AI452" s="89" t="n"/>
      <c r="AJ452" s="89" t="n">
        <v>17.00024</v>
      </c>
      <c r="AK452" s="89" t="n"/>
      <c r="AL452" s="89" t="n"/>
      <c r="AM452" s="89" t="n"/>
      <c r="AN452" s="89" t="n"/>
      <c r="AO452" s="89" t="n">
        <v>20.18876</v>
      </c>
      <c r="AP452" s="89" t="n"/>
      <c r="AQ452" s="89" t="n"/>
      <c r="AR452" s="89" t="n"/>
      <c r="AS452" s="89" t="n"/>
      <c r="AT452" s="89" t="n"/>
      <c r="AU452" s="89" t="n"/>
      <c r="AV452" s="89" t="n"/>
      <c r="AW452" s="89" t="n"/>
      <c r="AX452" s="89" t="n"/>
      <c r="AY452" s="89" t="n"/>
    </row>
    <row r="453">
      <c r="A453" t="inlineStr">
        <is>
          <t>1956-08</t>
        </is>
      </c>
      <c r="B453" s="1" t="n">
        <v>20668</v>
      </c>
      <c r="C453" s="88" t="n">
        <v>453</v>
      </c>
      <c r="E453" s="1">
        <f>B453</f>
        <v/>
      </c>
      <c r="F453" s="2">
        <f>B453</f>
        <v/>
      </c>
      <c r="G453" s="88" t="n">
        <v>451</v>
      </c>
      <c r="H453" s="89" t="n"/>
      <c r="I453" s="89" t="n"/>
      <c r="J453" s="89" t="n">
        <v>24.48835</v>
      </c>
      <c r="K453" s="89" t="n"/>
      <c r="L453" s="89" t="n"/>
      <c r="M453" s="89" t="n"/>
      <c r="N453" s="89" t="n"/>
      <c r="O453" s="89" t="n"/>
      <c r="P453" s="89" t="n"/>
      <c r="Q453" s="89" t="n"/>
      <c r="R453" s="89" t="n"/>
      <c r="S453" s="89" t="n">
        <v>29.38917</v>
      </c>
      <c r="T453" s="89" t="n">
        <v>48.56538</v>
      </c>
      <c r="U453" s="89" t="n"/>
      <c r="V453" s="89" t="n"/>
      <c r="W453" s="89" t="n"/>
      <c r="X453" s="89" t="n"/>
      <c r="Y453" s="89" t="n"/>
      <c r="Z453" s="89" t="n">
        <v>24.52815</v>
      </c>
      <c r="AA453" s="89" t="n">
        <v>7.908123</v>
      </c>
      <c r="AB453" s="89" t="n"/>
      <c r="AC453" s="89" t="n">
        <v>35.35748</v>
      </c>
      <c r="AD453" s="89" t="n"/>
      <c r="AE453" s="89" t="n"/>
      <c r="AF453" s="89" t="n">
        <v>19.71192</v>
      </c>
      <c r="AG453" s="89" t="n">
        <v>17.68582</v>
      </c>
      <c r="AH453" s="89" t="n"/>
      <c r="AI453" s="89" t="n"/>
      <c r="AJ453" s="89" t="n">
        <v>17.44883</v>
      </c>
      <c r="AK453" s="89" t="n"/>
      <c r="AL453" s="89" t="n"/>
      <c r="AM453" s="89" t="n"/>
      <c r="AN453" s="89" t="n"/>
      <c r="AO453" s="89" t="n">
        <v>21.01336</v>
      </c>
      <c r="AP453" s="89" t="n"/>
      <c r="AQ453" s="89" t="n"/>
      <c r="AR453" s="89" t="n"/>
      <c r="AS453" s="89" t="n"/>
      <c r="AT453" s="89" t="n"/>
      <c r="AU453" s="89" t="n"/>
      <c r="AV453" s="89" t="n"/>
      <c r="AW453" s="89" t="n"/>
      <c r="AX453" s="89" t="n"/>
      <c r="AY453" s="89" t="n"/>
    </row>
    <row r="454">
      <c r="A454" t="inlineStr">
        <is>
          <t>1956-09</t>
        </is>
      </c>
      <c r="B454" s="1" t="n">
        <v>20699</v>
      </c>
      <c r="C454" s="88" t="n">
        <v>454</v>
      </c>
      <c r="E454" s="1">
        <f>B454</f>
        <v/>
      </c>
      <c r="F454" s="2">
        <f>B454</f>
        <v/>
      </c>
      <c r="G454" s="88" t="n">
        <v>452</v>
      </c>
      <c r="H454" s="89" t="n"/>
      <c r="I454" s="89" t="n"/>
      <c r="J454" s="89" t="n">
        <v>21.86708</v>
      </c>
      <c r="K454" s="89" t="n"/>
      <c r="L454" s="89" t="n"/>
      <c r="M454" s="89" t="n"/>
      <c r="N454" s="89" t="n"/>
      <c r="O454" s="89" t="n"/>
      <c r="P454" s="89" t="n"/>
      <c r="Q454" s="89" t="n"/>
      <c r="R454" s="89" t="n"/>
      <c r="S454" s="89" t="n">
        <v>29.62136</v>
      </c>
      <c r="T454" s="89" t="n">
        <v>49.49934</v>
      </c>
      <c r="U454" s="89" t="n"/>
      <c r="V454" s="89" t="n"/>
      <c r="W454" s="89" t="n"/>
      <c r="X454" s="89" t="n"/>
      <c r="Y454" s="89" t="n"/>
      <c r="Z454" s="89" t="n">
        <v>25.17463</v>
      </c>
      <c r="AA454" s="89" t="n">
        <v>8.076381</v>
      </c>
      <c r="AB454" s="89" t="n"/>
      <c r="AC454" s="89" t="n">
        <v>36.38752</v>
      </c>
      <c r="AD454" s="89" t="n"/>
      <c r="AE454" s="89" t="n"/>
      <c r="AF454" s="89" t="n">
        <v>19.9976</v>
      </c>
      <c r="AG454" s="89" t="n">
        <v>17.86885</v>
      </c>
      <c r="AH454" s="89" t="n"/>
      <c r="AI454" s="89" t="n"/>
      <c r="AJ454" s="89" t="n">
        <v>17.6386</v>
      </c>
      <c r="AK454" s="89" t="n"/>
      <c r="AL454" s="89" t="n"/>
      <c r="AM454" s="89" t="n"/>
      <c r="AN454" s="89" t="n"/>
      <c r="AO454" s="89" t="n">
        <v>21.49217</v>
      </c>
      <c r="AP454" s="89" t="n"/>
      <c r="AQ454" s="89" t="n"/>
      <c r="AR454" s="89" t="n"/>
      <c r="AS454" s="89" t="n"/>
      <c r="AT454" s="89" t="n"/>
      <c r="AU454" s="89" t="n"/>
      <c r="AV454" s="89" t="n"/>
      <c r="AW454" s="89" t="n"/>
      <c r="AX454" s="89" t="n"/>
      <c r="AY454" s="89" t="n"/>
    </row>
    <row r="455">
      <c r="A455" t="inlineStr">
        <is>
          <t>1956-10</t>
        </is>
      </c>
      <c r="B455" s="1" t="n">
        <v>20729</v>
      </c>
      <c r="C455" s="88" t="n">
        <v>455</v>
      </c>
      <c r="E455" s="1">
        <f>B455</f>
        <v/>
      </c>
      <c r="F455" s="2">
        <f>B455</f>
        <v/>
      </c>
      <c r="G455" s="88" t="n">
        <v>453</v>
      </c>
      <c r="H455" s="89" t="n"/>
      <c r="I455" s="89" t="n"/>
      <c r="J455" s="89" t="n">
        <v>27.93714</v>
      </c>
      <c r="K455" s="89" t="n"/>
      <c r="L455" s="89" t="n"/>
      <c r="M455" s="89" t="n"/>
      <c r="N455" s="89" t="n"/>
      <c r="O455" s="89" t="n"/>
      <c r="P455" s="89" t="n"/>
      <c r="Q455" s="89" t="n"/>
      <c r="R455" s="89" t="n"/>
      <c r="S455" s="89" t="n">
        <v>29.98624</v>
      </c>
      <c r="T455" s="89" t="n">
        <v>49.03236</v>
      </c>
      <c r="U455" s="89" t="n"/>
      <c r="V455" s="89" t="n"/>
      <c r="W455" s="89" t="n"/>
      <c r="X455" s="89" t="n"/>
      <c r="Y455" s="89" t="n"/>
      <c r="Z455" s="89" t="n">
        <v>25.19364</v>
      </c>
      <c r="AA455" s="89" t="n">
        <v>8.412896999999999</v>
      </c>
      <c r="AB455" s="89" t="n"/>
      <c r="AC455" s="89" t="n">
        <v>37.02474</v>
      </c>
      <c r="AD455" s="89" t="n"/>
      <c r="AE455" s="89" t="n"/>
      <c r="AF455" s="89" t="n">
        <v>19.9976</v>
      </c>
      <c r="AG455" s="89" t="n">
        <v>18.00613</v>
      </c>
      <c r="AH455" s="89" t="n"/>
      <c r="AI455" s="89" t="n"/>
      <c r="AJ455" s="89" t="n">
        <v>17.52058</v>
      </c>
      <c r="AK455" s="89" t="n"/>
      <c r="AL455" s="89" t="n"/>
      <c r="AM455" s="89" t="n"/>
      <c r="AN455" s="89" t="n"/>
      <c r="AO455" s="89" t="n">
        <v>21.67832</v>
      </c>
      <c r="AP455" s="89" t="n"/>
      <c r="AQ455" s="89" t="n"/>
      <c r="AR455" s="89" t="n"/>
      <c r="AS455" s="89" t="n"/>
      <c r="AT455" s="89" t="n"/>
      <c r="AU455" s="89" t="n"/>
      <c r="AV455" s="89" t="n"/>
      <c r="AW455" s="89" t="n"/>
      <c r="AX455" s="89" t="n"/>
      <c r="AY455" s="89" t="n"/>
    </row>
    <row r="456">
      <c r="A456" t="inlineStr">
        <is>
          <t>1956-11</t>
        </is>
      </c>
      <c r="B456" s="1" t="n">
        <v>20760</v>
      </c>
      <c r="C456" s="88" t="n">
        <v>456</v>
      </c>
      <c r="E456" s="1">
        <f>B456</f>
        <v/>
      </c>
      <c r="F456" s="2">
        <f>B456</f>
        <v/>
      </c>
      <c r="G456" s="88" t="n">
        <v>454</v>
      </c>
      <c r="H456" s="89" t="n"/>
      <c r="I456" s="89" t="n"/>
      <c r="J456" s="89" t="n">
        <v>25.73115</v>
      </c>
      <c r="K456" s="89" t="n"/>
      <c r="L456" s="89" t="n"/>
      <c r="M456" s="89" t="n"/>
      <c r="N456" s="89" t="n"/>
      <c r="O456" s="89" t="n"/>
      <c r="P456" s="89" t="n"/>
      <c r="Q456" s="89" t="n"/>
      <c r="R456" s="89" t="n"/>
      <c r="S456" s="89" t="n">
        <v>30.05258</v>
      </c>
      <c r="T456" s="89" t="n">
        <v>49.49934</v>
      </c>
      <c r="U456" s="89" t="n"/>
      <c r="V456" s="89" t="n"/>
      <c r="W456" s="89" t="n"/>
      <c r="X456" s="89" t="n"/>
      <c r="Y456" s="89" t="n"/>
      <c r="Z456" s="89" t="n">
        <v>24.8704</v>
      </c>
      <c r="AA456" s="89" t="n">
        <v>8.412896999999999</v>
      </c>
      <c r="AB456" s="89" t="n"/>
      <c r="AC456" s="89" t="n">
        <v>36.5749</v>
      </c>
      <c r="AD456" s="89" t="n"/>
      <c r="AE456" s="89" t="n"/>
      <c r="AF456" s="89" t="n">
        <v>20.28328</v>
      </c>
      <c r="AG456" s="89" t="n">
        <v>18.12053</v>
      </c>
      <c r="AH456" s="89" t="n"/>
      <c r="AI456" s="89" t="n"/>
      <c r="AJ456" s="89" t="n">
        <v>17.56392</v>
      </c>
      <c r="AK456" s="89" t="n"/>
      <c r="AL456" s="89" t="n"/>
      <c r="AM456" s="89" t="n"/>
      <c r="AN456" s="89" t="n"/>
      <c r="AO456" s="89" t="n">
        <v>21.49217</v>
      </c>
      <c r="AP456" s="89" t="n"/>
      <c r="AQ456" s="89" t="n"/>
      <c r="AR456" s="89" t="n"/>
      <c r="AS456" s="89" t="n"/>
      <c r="AT456" s="89" t="n"/>
      <c r="AU456" s="89" t="n"/>
      <c r="AV456" s="89" t="n"/>
      <c r="AW456" s="89" t="n"/>
      <c r="AX456" s="89" t="n"/>
      <c r="AY456" s="89" t="n"/>
    </row>
    <row r="457">
      <c r="A457" t="inlineStr">
        <is>
          <t>1956-12</t>
        </is>
      </c>
      <c r="B457" s="1" t="n">
        <v>20790</v>
      </c>
      <c r="C457" s="88" t="n">
        <v>457</v>
      </c>
      <c r="E457" s="1">
        <f>B457</f>
        <v/>
      </c>
      <c r="F457" s="2">
        <f>B457</f>
        <v/>
      </c>
      <c r="G457" s="88" t="n">
        <v>455</v>
      </c>
      <c r="H457" s="89" t="n"/>
      <c r="I457" s="89" t="n"/>
      <c r="J457" s="89" t="n">
        <v>22.28409</v>
      </c>
      <c r="K457" s="89" t="n"/>
      <c r="L457" s="89" t="n"/>
      <c r="M457" s="89" t="n"/>
      <c r="N457" s="89" t="n"/>
      <c r="O457" s="89" t="n"/>
      <c r="P457" s="89" t="n"/>
      <c r="Q457" s="89" t="n"/>
      <c r="R457" s="89" t="n"/>
      <c r="S457" s="89" t="n">
        <v>30.11892</v>
      </c>
      <c r="T457" s="89" t="n">
        <v>49.03236</v>
      </c>
      <c r="U457" s="89" t="n"/>
      <c r="V457" s="89" t="n"/>
      <c r="W457" s="89" t="n"/>
      <c r="X457" s="89" t="n"/>
      <c r="Y457" s="89" t="n"/>
      <c r="Z457" s="89" t="n">
        <v>25.34575</v>
      </c>
      <c r="AA457" s="89" t="n">
        <v>8.412896999999999</v>
      </c>
      <c r="AB457" s="89" t="n"/>
      <c r="AC457" s="89" t="n">
        <v>37.53133</v>
      </c>
      <c r="AD457" s="89" t="n"/>
      <c r="AE457" s="89" t="n"/>
      <c r="AF457" s="89" t="n">
        <v>20.56896</v>
      </c>
      <c r="AG457" s="89" t="n">
        <v>18.02901</v>
      </c>
      <c r="AH457" s="89" t="n"/>
      <c r="AI457" s="89" t="n"/>
      <c r="AJ457" s="89" t="n">
        <v>18.4018</v>
      </c>
      <c r="AK457" s="89" t="n"/>
      <c r="AL457" s="89" t="n"/>
      <c r="AM457" s="89" t="n"/>
      <c r="AN457" s="89" t="n"/>
      <c r="AO457" s="89" t="n">
        <v>21.81135</v>
      </c>
      <c r="AP457" s="89" t="n"/>
      <c r="AQ457" s="89" t="n"/>
      <c r="AR457" s="89" t="n"/>
      <c r="AS457" s="89" t="n"/>
      <c r="AT457" s="89" t="n"/>
      <c r="AU457" s="89" t="n"/>
      <c r="AV457" s="89" t="n"/>
      <c r="AW457" s="89" t="n"/>
      <c r="AX457" s="89" t="n"/>
      <c r="AY457" s="89" t="n"/>
    </row>
    <row r="458">
      <c r="A458" t="inlineStr">
        <is>
          <t>1957-01</t>
        </is>
      </c>
      <c r="B458" s="1" t="n">
        <v>20821</v>
      </c>
      <c r="C458" s="88" t="n">
        <v>458</v>
      </c>
      <c r="E458" s="1">
        <f>B458</f>
        <v/>
      </c>
      <c r="F458" s="2">
        <f>B458</f>
        <v/>
      </c>
      <c r="G458" s="88" t="n">
        <v>456</v>
      </c>
      <c r="H458" s="89" t="n"/>
      <c r="I458" s="89" t="n"/>
      <c r="J458" s="89" t="n">
        <v>25.68772</v>
      </c>
      <c r="K458" s="89" t="n"/>
      <c r="L458" s="89" t="n"/>
      <c r="M458" s="89" t="n"/>
      <c r="N458" s="89" t="n"/>
      <c r="O458" s="89" t="n"/>
      <c r="P458" s="89" t="n"/>
      <c r="Q458" s="89" t="n"/>
      <c r="R458" s="89" t="n"/>
      <c r="S458" s="89" t="n">
        <v>30.51697</v>
      </c>
      <c r="T458" s="89" t="n">
        <v>49.49934</v>
      </c>
      <c r="U458" s="89" t="n"/>
      <c r="V458" s="89" t="n"/>
      <c r="W458" s="89" t="n"/>
      <c r="X458" s="89" t="n"/>
      <c r="Y458" s="89" t="n"/>
      <c r="Z458" s="89" t="n">
        <v>25.44082</v>
      </c>
      <c r="AA458" s="89" t="n">
        <v>8.497025000000001</v>
      </c>
      <c r="AB458" s="89" t="n"/>
      <c r="AC458" s="89" t="n">
        <v>37.22334</v>
      </c>
      <c r="AD458" s="89" t="n"/>
      <c r="AE458" s="89" t="n"/>
      <c r="AF458" s="89" t="n">
        <v>20.56896</v>
      </c>
      <c r="AG458" s="89" t="n">
        <v>18.09765</v>
      </c>
      <c r="AH458" s="89" t="n"/>
      <c r="AI458" s="89" t="n"/>
      <c r="AJ458" s="89" t="n">
        <v>17.8101</v>
      </c>
      <c r="AK458" s="89" t="n"/>
      <c r="AL458" s="89" t="n"/>
      <c r="AM458" s="89" t="n"/>
      <c r="AN458" s="89" t="n"/>
      <c r="AO458" s="89" t="n">
        <v>21.73153</v>
      </c>
      <c r="AP458" s="89" t="n"/>
      <c r="AQ458" s="89" t="n"/>
      <c r="AR458" s="89" t="n"/>
      <c r="AS458" s="89" t="n"/>
      <c r="AT458" s="89" t="n"/>
      <c r="AU458" s="89" t="n"/>
      <c r="AV458" s="89" t="n"/>
      <c r="AW458" s="89" t="n"/>
      <c r="AX458" s="89" t="n"/>
      <c r="AY458" s="89" t="n"/>
    </row>
    <row r="459">
      <c r="A459" t="inlineStr">
        <is>
          <t>1957-02</t>
        </is>
      </c>
      <c r="B459" s="1" t="n">
        <v>20852</v>
      </c>
      <c r="C459" s="88" t="n">
        <v>459</v>
      </c>
      <c r="E459" s="1">
        <f>B459</f>
        <v/>
      </c>
      <c r="F459" s="2">
        <f>B459</f>
        <v/>
      </c>
      <c r="G459" s="88" t="n">
        <v>457</v>
      </c>
      <c r="H459" s="89" t="n"/>
      <c r="I459" s="89" t="n"/>
      <c r="J459" s="89" t="n">
        <v>24.85456</v>
      </c>
      <c r="K459" s="89" t="n"/>
      <c r="L459" s="89" t="n"/>
      <c r="M459" s="89" t="n"/>
      <c r="N459" s="89" t="n"/>
      <c r="O459" s="89" t="n"/>
      <c r="P459" s="89" t="n"/>
      <c r="Q459" s="89" t="n"/>
      <c r="R459" s="89" t="n"/>
      <c r="S459" s="89" t="n">
        <v>30.68282</v>
      </c>
      <c r="T459" s="89" t="n">
        <v>50.43328</v>
      </c>
      <c r="U459" s="89" t="n"/>
      <c r="V459" s="89" t="n"/>
      <c r="W459" s="89" t="n"/>
      <c r="X459" s="89" t="n"/>
      <c r="Y459" s="89" t="n"/>
      <c r="Z459" s="89" t="n">
        <v>25.9542</v>
      </c>
      <c r="AA459" s="89" t="n">
        <v>8.665284</v>
      </c>
      <c r="AB459" s="89" t="n"/>
      <c r="AC459" s="89" t="n">
        <v>37.55572</v>
      </c>
      <c r="AD459" s="89" t="n"/>
      <c r="AE459" s="89" t="n"/>
      <c r="AF459" s="89" t="n">
        <v>20.56896</v>
      </c>
      <c r="AG459" s="89" t="n">
        <v>18.3722</v>
      </c>
      <c r="AH459" s="89" t="n"/>
      <c r="AI459" s="89" t="n"/>
      <c r="AJ459" s="89" t="n">
        <v>17.72108</v>
      </c>
      <c r="AK459" s="89" t="n"/>
      <c r="AL459" s="89" t="n"/>
      <c r="AM459" s="89" t="n"/>
      <c r="AN459" s="89" t="n"/>
      <c r="AO459" s="89" t="n">
        <v>21.94438</v>
      </c>
      <c r="AP459" s="89" t="n"/>
      <c r="AQ459" s="89" t="n"/>
      <c r="AR459" s="89" t="n"/>
      <c r="AS459" s="89" t="n"/>
      <c r="AT459" s="89" t="n"/>
      <c r="AU459" s="89" t="n"/>
      <c r="AV459" s="89" t="n"/>
      <c r="AW459" s="89" t="n"/>
      <c r="AX459" s="89" t="n"/>
      <c r="AY459" s="89" t="n"/>
    </row>
    <row r="460">
      <c r="A460" t="inlineStr">
        <is>
          <t>1957-03</t>
        </is>
      </c>
      <c r="B460" s="1" t="n">
        <v>20880</v>
      </c>
      <c r="C460" s="88" t="n">
        <v>460</v>
      </c>
      <c r="E460" s="1">
        <f>B460</f>
        <v/>
      </c>
      <c r="F460" s="2">
        <f>B460</f>
        <v/>
      </c>
      <c r="G460" s="88" t="n">
        <v>458</v>
      </c>
      <c r="H460" s="89" t="n"/>
      <c r="I460" s="89" t="n"/>
      <c r="J460" s="89" t="n">
        <v>24.74462</v>
      </c>
      <c r="K460" s="89" t="n"/>
      <c r="L460" s="89" t="n"/>
      <c r="M460" s="89" t="n"/>
      <c r="N460" s="89" t="n"/>
      <c r="O460" s="89" t="n"/>
      <c r="P460" s="89" t="n"/>
      <c r="Q460" s="89" t="n"/>
      <c r="R460" s="89" t="n"/>
      <c r="S460" s="89" t="n">
        <v>30.94819</v>
      </c>
      <c r="T460" s="89" t="n">
        <v>49.49934</v>
      </c>
      <c r="U460" s="89" t="n"/>
      <c r="V460" s="89" t="n"/>
      <c r="W460" s="89" t="n"/>
      <c r="X460" s="89" t="n"/>
      <c r="Y460" s="89" t="n"/>
      <c r="Z460" s="89" t="n">
        <v>25.9542</v>
      </c>
      <c r="AA460" s="89" t="n">
        <v>8.749413000000001</v>
      </c>
      <c r="AB460" s="89" t="n"/>
      <c r="AC460" s="89" t="n">
        <v>37.27578</v>
      </c>
      <c r="AD460" s="89" t="n"/>
      <c r="AE460" s="89" t="n"/>
      <c r="AF460" s="89" t="n">
        <v>20.28328</v>
      </c>
      <c r="AG460" s="89" t="n">
        <v>18.34932</v>
      </c>
      <c r="AH460" s="89" t="n"/>
      <c r="AI460" s="89" t="n"/>
      <c r="AJ460" s="89" t="n">
        <v>17.86251</v>
      </c>
      <c r="AK460" s="89" t="n"/>
      <c r="AL460" s="89" t="n"/>
      <c r="AM460" s="89" t="n"/>
      <c r="AN460" s="89" t="n"/>
      <c r="AO460" s="89" t="n">
        <v>21.91777</v>
      </c>
      <c r="AP460" s="89" t="n"/>
      <c r="AQ460" s="89" t="n"/>
      <c r="AR460" s="89" t="n"/>
      <c r="AS460" s="89" t="n"/>
      <c r="AT460" s="89" t="n"/>
      <c r="AU460" s="89" t="n"/>
      <c r="AV460" s="89" t="n"/>
      <c r="AW460" s="89" t="n"/>
      <c r="AX460" s="89" t="n"/>
      <c r="AY460" s="89" t="n"/>
    </row>
    <row r="461">
      <c r="A461" t="inlineStr">
        <is>
          <t>1957-04</t>
        </is>
      </c>
      <c r="B461" s="1" t="n">
        <v>20911</v>
      </c>
      <c r="C461" s="88" t="n">
        <v>461</v>
      </c>
      <c r="E461" s="1">
        <f>B461</f>
        <v/>
      </c>
      <c r="F461" s="2">
        <f>B461</f>
        <v/>
      </c>
      <c r="G461" s="88" t="n">
        <v>459</v>
      </c>
      <c r="H461" s="89" t="n"/>
      <c r="I461" s="89" t="n"/>
      <c r="J461" s="89" t="n">
        <v>25.51392</v>
      </c>
      <c r="K461" s="89" t="n"/>
      <c r="L461" s="89" t="n"/>
      <c r="M461" s="89" t="n"/>
      <c r="N461" s="89" t="n"/>
      <c r="O461" s="89" t="n"/>
      <c r="P461" s="89" t="n"/>
      <c r="Q461" s="89" t="n"/>
      <c r="R461" s="89" t="n"/>
      <c r="S461" s="89" t="n">
        <v>30.64965</v>
      </c>
      <c r="T461" s="89" t="n">
        <v>49.49934</v>
      </c>
      <c r="U461" s="89" t="n"/>
      <c r="V461" s="89" t="n"/>
      <c r="W461" s="89" t="n"/>
      <c r="X461" s="89" t="n"/>
      <c r="Y461" s="89" t="n"/>
      <c r="Z461" s="89" t="n">
        <v>26.3535</v>
      </c>
      <c r="AA461" s="89" t="n">
        <v>9.085929</v>
      </c>
      <c r="AB461" s="89" t="n"/>
      <c r="AC461" s="89" t="n">
        <v>36.90703</v>
      </c>
      <c r="AD461" s="89" t="n"/>
      <c r="AE461" s="89" t="n"/>
      <c r="AF461" s="89" t="n">
        <v>20.28328</v>
      </c>
      <c r="AG461" s="89" t="n">
        <v>17.96037</v>
      </c>
      <c r="AH461" s="89" t="n"/>
      <c r="AI461" s="89" t="n"/>
      <c r="AJ461" s="89" t="n">
        <v>18.80815</v>
      </c>
      <c r="AK461" s="89" t="n"/>
      <c r="AL461" s="89" t="n"/>
      <c r="AM461" s="89" t="n"/>
      <c r="AN461" s="89" t="n"/>
      <c r="AO461" s="89" t="n">
        <v>21.6251</v>
      </c>
      <c r="AP461" s="89" t="n"/>
      <c r="AQ461" s="89" t="n"/>
      <c r="AR461" s="89" t="n"/>
      <c r="AS461" s="89" t="n"/>
      <c r="AT461" s="89" t="n"/>
      <c r="AU461" s="89" t="n"/>
      <c r="AV461" s="89" t="n"/>
      <c r="AW461" s="89" t="n"/>
      <c r="AX461" s="89" t="n"/>
      <c r="AY461" s="89" t="n"/>
    </row>
    <row r="462">
      <c r="A462" t="inlineStr">
        <is>
          <t>1957-05</t>
        </is>
      </c>
      <c r="B462" s="1" t="n">
        <v>20941</v>
      </c>
      <c r="C462" s="88" t="n">
        <v>462</v>
      </c>
      <c r="E462" s="1">
        <f>B462</f>
        <v/>
      </c>
      <c r="F462" s="2">
        <f>B462</f>
        <v/>
      </c>
      <c r="G462" s="88" t="n">
        <v>460</v>
      </c>
      <c r="H462" s="89" t="n"/>
      <c r="I462" s="89" t="n"/>
      <c r="J462" s="89" t="n">
        <v>25.92994</v>
      </c>
      <c r="K462" s="89" t="n"/>
      <c r="L462" s="89" t="n"/>
      <c r="M462" s="89" t="n"/>
      <c r="N462" s="89" t="n"/>
      <c r="O462" s="89" t="n"/>
      <c r="P462" s="89" t="n"/>
      <c r="Q462" s="89" t="n"/>
      <c r="R462" s="89" t="n"/>
      <c r="S462" s="89" t="n">
        <v>31.21355</v>
      </c>
      <c r="T462" s="89" t="n">
        <v>50.43328</v>
      </c>
      <c r="U462" s="89" t="n"/>
      <c r="V462" s="89" t="n"/>
      <c r="W462" s="89" t="n"/>
      <c r="X462" s="89" t="n"/>
      <c r="Y462" s="89" t="n"/>
      <c r="Z462" s="89" t="n">
        <v>26.06829</v>
      </c>
      <c r="AA462" s="89" t="n">
        <v>9.590702</v>
      </c>
      <c r="AB462" s="89" t="n"/>
      <c r="AC462" s="89" t="n">
        <v>36.86877</v>
      </c>
      <c r="AD462" s="89" t="n"/>
      <c r="AE462" s="89" t="n"/>
      <c r="AF462" s="89" t="n">
        <v>20.28328</v>
      </c>
      <c r="AG462" s="89" t="n">
        <v>18.89843</v>
      </c>
      <c r="AH462" s="89" t="n"/>
      <c r="AI462" s="89" t="n"/>
      <c r="AJ462" s="89" t="n">
        <v>18.41729</v>
      </c>
      <c r="AK462" s="89" t="n"/>
      <c r="AL462" s="89" t="n"/>
      <c r="AM462" s="89" t="n"/>
      <c r="AN462" s="89" t="n"/>
      <c r="AO462" s="89" t="n">
        <v>21.54538</v>
      </c>
      <c r="AP462" s="89" t="n"/>
      <c r="AQ462" s="89" t="n"/>
      <c r="AR462" s="89" t="n"/>
      <c r="AS462" s="89" t="n"/>
      <c r="AT462" s="89" t="n"/>
      <c r="AU462" s="89" t="n"/>
      <c r="AV462" s="89" t="n"/>
      <c r="AW462" s="89" t="n"/>
      <c r="AX462" s="89" t="n"/>
      <c r="AY462" s="89" t="n"/>
    </row>
    <row r="463">
      <c r="A463" t="inlineStr">
        <is>
          <t>1957-06</t>
        </is>
      </c>
      <c r="B463" s="1" t="n">
        <v>20972</v>
      </c>
      <c r="C463" s="88" t="n">
        <v>463</v>
      </c>
      <c r="E463" s="1">
        <f>B463</f>
        <v/>
      </c>
      <c r="F463" s="2">
        <f>B463</f>
        <v/>
      </c>
      <c r="G463" s="88" t="n">
        <v>461</v>
      </c>
      <c r="H463" s="89" t="n"/>
      <c r="I463" s="89" t="n"/>
      <c r="J463" s="89" t="n">
        <v>22.09527</v>
      </c>
      <c r="K463" s="89" t="n"/>
      <c r="L463" s="89" t="n"/>
      <c r="M463" s="89" t="n"/>
      <c r="N463" s="89" t="n"/>
      <c r="O463" s="89" t="n"/>
      <c r="P463" s="89" t="n"/>
      <c r="Q463" s="89" t="n"/>
      <c r="R463" s="89" t="n"/>
      <c r="S463" s="89" t="n">
        <v>31.18038</v>
      </c>
      <c r="T463" s="89" t="n">
        <v>50.90026</v>
      </c>
      <c r="U463" s="89" t="n"/>
      <c r="V463" s="89" t="n"/>
      <c r="W463" s="89" t="n"/>
      <c r="X463" s="89" t="n"/>
      <c r="Y463" s="89" t="n"/>
      <c r="Z463" s="89" t="n">
        <v>26.31547</v>
      </c>
      <c r="AA463" s="89" t="n">
        <v>9.338316000000001</v>
      </c>
      <c r="AB463" s="89" t="n"/>
      <c r="AC463" s="89" t="n">
        <v>37.03079</v>
      </c>
      <c r="AD463" s="89" t="n"/>
      <c r="AE463" s="89" t="n"/>
      <c r="AF463" s="89" t="n">
        <v>20.56896</v>
      </c>
      <c r="AG463" s="89" t="n">
        <v>17.82309</v>
      </c>
      <c r="AH463" s="89" t="n"/>
      <c r="AI463" s="89" t="n"/>
      <c r="AJ463" s="89" t="n">
        <v>18.34064</v>
      </c>
      <c r="AK463" s="89" t="n"/>
      <c r="AL463" s="89" t="n"/>
      <c r="AM463" s="89" t="n"/>
      <c r="AN463" s="89" t="n"/>
      <c r="AO463" s="89" t="n">
        <v>21.59859</v>
      </c>
      <c r="AP463" s="89" t="n"/>
      <c r="AQ463" s="89" t="n"/>
      <c r="AR463" s="89" t="n"/>
      <c r="AS463" s="89" t="n"/>
      <c r="AT463" s="89" t="n"/>
      <c r="AU463" s="89" t="n"/>
      <c r="AV463" s="89" t="n"/>
      <c r="AW463" s="89" t="n"/>
      <c r="AX463" s="89" t="n"/>
      <c r="AY463" s="89" t="n"/>
    </row>
    <row r="464">
      <c r="A464" t="inlineStr">
        <is>
          <t>1957-07</t>
        </is>
      </c>
      <c r="B464" s="1" t="n">
        <v>21002</v>
      </c>
      <c r="C464" s="88" t="n">
        <v>464</v>
      </c>
      <c r="E464" s="1">
        <f>B464</f>
        <v/>
      </c>
      <c r="F464" s="2">
        <f>B464</f>
        <v/>
      </c>
      <c r="G464" s="88" t="n">
        <v>462</v>
      </c>
      <c r="H464" s="89" t="n"/>
      <c r="I464" s="89" t="n"/>
      <c r="J464" s="89" t="n">
        <v>22.92584</v>
      </c>
      <c r="K464" s="89" t="n"/>
      <c r="L464" s="89" t="n"/>
      <c r="M464" s="89" t="n"/>
      <c r="N464" s="89" t="n"/>
      <c r="O464" s="89" t="n"/>
      <c r="P464" s="89" t="n"/>
      <c r="Q464" s="89" t="n"/>
      <c r="R464" s="89" t="n"/>
      <c r="S464" s="89" t="n">
        <v>31.94331</v>
      </c>
      <c r="T464" s="89" t="n">
        <v>50.90026</v>
      </c>
      <c r="U464" s="89" t="n"/>
      <c r="V464" s="89" t="n"/>
      <c r="W464" s="89" t="n"/>
      <c r="X464" s="89" t="n"/>
      <c r="Y464" s="89" t="n"/>
      <c r="Z464" s="89" t="n">
        <v>26.58167</v>
      </c>
      <c r="AA464" s="89" t="n">
        <v>9.506574000000001</v>
      </c>
      <c r="AB464" s="89" t="n"/>
      <c r="AC464" s="89" t="n">
        <v>36.31758</v>
      </c>
      <c r="AD464" s="89" t="n"/>
      <c r="AE464" s="89" t="n"/>
      <c r="AF464" s="89" t="n">
        <v>20.56896</v>
      </c>
      <c r="AG464" s="89" t="n">
        <v>18.30356</v>
      </c>
      <c r="AH464" s="89" t="n"/>
      <c r="AI464" s="89" t="n"/>
      <c r="AJ464" s="89" t="n">
        <v>18.50366</v>
      </c>
      <c r="AK464" s="89" t="n"/>
      <c r="AL464" s="89" t="n"/>
      <c r="AM464" s="89" t="n"/>
      <c r="AN464" s="89" t="n"/>
      <c r="AO464" s="89" t="n">
        <v>21.73153</v>
      </c>
      <c r="AP464" s="89" t="n"/>
      <c r="AQ464" s="89" t="n"/>
      <c r="AR464" s="89" t="n"/>
      <c r="AS464" s="89" t="n"/>
      <c r="AT464" s="89" t="n"/>
      <c r="AU464" s="89" t="n"/>
      <c r="AV464" s="89" t="n"/>
      <c r="AW464" s="89" t="n"/>
      <c r="AX464" s="89" t="n"/>
      <c r="AY464" s="89" t="n"/>
    </row>
    <row r="465">
      <c r="A465" t="inlineStr">
        <is>
          <t>1957-08</t>
        </is>
      </c>
      <c r="B465" s="1" t="n">
        <v>21033</v>
      </c>
      <c r="C465" s="88" t="n">
        <v>465</v>
      </c>
      <c r="E465" s="1">
        <f>B465</f>
        <v/>
      </c>
      <c r="F465" s="2">
        <f>B465</f>
        <v/>
      </c>
      <c r="G465" s="88" t="n">
        <v>463</v>
      </c>
      <c r="H465" s="89" t="n"/>
      <c r="I465" s="89" t="n"/>
      <c r="J465" s="89" t="n">
        <v>23.68114</v>
      </c>
      <c r="K465" s="89" t="n"/>
      <c r="L465" s="89" t="n"/>
      <c r="M465" s="89" t="n"/>
      <c r="N465" s="89" t="n"/>
      <c r="O465" s="89" t="n"/>
      <c r="P465" s="89" t="n"/>
      <c r="Q465" s="89" t="n"/>
      <c r="R465" s="89" t="n"/>
      <c r="S465" s="89" t="n">
        <v>31.94331</v>
      </c>
      <c r="T465" s="89" t="n">
        <v>50.90026</v>
      </c>
      <c r="U465" s="89" t="n"/>
      <c r="V465" s="89" t="n"/>
      <c r="W465" s="89" t="n"/>
      <c r="X465" s="89" t="n"/>
      <c r="Y465" s="89" t="n"/>
      <c r="Z465" s="89" t="n">
        <v>26.67674</v>
      </c>
      <c r="AA465" s="89" t="n">
        <v>9.170057</v>
      </c>
      <c r="AB465" s="89" t="n"/>
      <c r="AC465" s="89" t="n">
        <v>36.22205</v>
      </c>
      <c r="AD465" s="89" t="n"/>
      <c r="AE465" s="89" t="n"/>
      <c r="AF465" s="89" t="n">
        <v>20.56896</v>
      </c>
      <c r="AG465" s="89" t="n">
        <v>18.55523</v>
      </c>
      <c r="AH465" s="89" t="n"/>
      <c r="AI465" s="89" t="n"/>
      <c r="AJ465" s="89" t="n">
        <v>18.2059</v>
      </c>
      <c r="AK465" s="89" t="n"/>
      <c r="AL465" s="89" t="n"/>
      <c r="AM465" s="89" t="n"/>
      <c r="AN465" s="89" t="n"/>
      <c r="AO465" s="89" t="n">
        <v>21.73153</v>
      </c>
      <c r="AP465" s="89" t="n"/>
      <c r="AQ465" s="89" t="n"/>
      <c r="AR465" s="89" t="n"/>
      <c r="AS465" s="89" t="n"/>
      <c r="AT465" s="89" t="n"/>
      <c r="AU465" s="89" t="n"/>
      <c r="AV465" s="89" t="n"/>
      <c r="AW465" s="89" t="n"/>
      <c r="AX465" s="89" t="n"/>
      <c r="AY465" s="89" t="n"/>
    </row>
    <row r="466">
      <c r="A466" t="inlineStr">
        <is>
          <t>1957-09</t>
        </is>
      </c>
      <c r="B466" s="1" t="n">
        <v>21064</v>
      </c>
      <c r="C466" s="88" t="n">
        <v>466</v>
      </c>
      <c r="E466" s="1">
        <f>B466</f>
        <v/>
      </c>
      <c r="F466" s="2">
        <f>B466</f>
        <v/>
      </c>
      <c r="G466" s="88" t="n">
        <v>464</v>
      </c>
      <c r="H466" s="89" t="n"/>
      <c r="I466" s="89" t="n"/>
      <c r="J466" s="89" t="n">
        <v>23.04484</v>
      </c>
      <c r="K466" s="89" t="n"/>
      <c r="L466" s="89" t="n"/>
      <c r="M466" s="89" t="n"/>
      <c r="N466" s="89" t="n"/>
      <c r="O466" s="89" t="n"/>
      <c r="P466" s="89" t="n"/>
      <c r="Q466" s="89" t="n"/>
      <c r="R466" s="89" t="n"/>
      <c r="S466" s="89" t="n">
        <v>32.27501</v>
      </c>
      <c r="T466" s="89" t="n">
        <v>50.90026</v>
      </c>
      <c r="U466" s="89" t="n"/>
      <c r="V466" s="89" t="n"/>
      <c r="W466" s="89" t="n"/>
      <c r="X466" s="89" t="n"/>
      <c r="Y466" s="89" t="n"/>
      <c r="Z466" s="89" t="n">
        <v>26.99998</v>
      </c>
      <c r="AA466" s="89" t="n">
        <v>9.170057</v>
      </c>
      <c r="AB466" s="89" t="n"/>
      <c r="AC466" s="89" t="n">
        <v>36.19732</v>
      </c>
      <c r="AD466" s="89" t="n"/>
      <c r="AE466" s="89" t="n"/>
      <c r="AF466" s="89" t="n">
        <v>20.28328</v>
      </c>
      <c r="AG466" s="89" t="n">
        <v>18.44084</v>
      </c>
      <c r="AH466" s="89" t="n"/>
      <c r="AI466" s="89" t="n"/>
      <c r="AJ466" s="89" t="n">
        <v>17.87212</v>
      </c>
      <c r="AK466" s="89" t="n"/>
      <c r="AL466" s="89" t="n"/>
      <c r="AM466" s="89" t="n"/>
      <c r="AN466" s="89" t="n"/>
      <c r="AO466" s="89" t="n">
        <v>21.54538</v>
      </c>
      <c r="AP466" s="89" t="n"/>
      <c r="AQ466" s="89" t="n"/>
      <c r="AR466" s="89" t="n"/>
      <c r="AS466" s="89" t="n"/>
      <c r="AT466" s="89" t="n"/>
      <c r="AU466" s="89" t="n"/>
      <c r="AV466" s="89" t="n"/>
      <c r="AW466" s="89" t="n"/>
      <c r="AX466" s="89" t="n"/>
      <c r="AY466" s="89" t="n"/>
    </row>
    <row r="467">
      <c r="A467" t="inlineStr">
        <is>
          <t>1957-10</t>
        </is>
      </c>
      <c r="B467" s="1" t="n">
        <v>21094</v>
      </c>
      <c r="C467" s="88" t="n">
        <v>467</v>
      </c>
      <c r="E467" s="1">
        <f>B467</f>
        <v/>
      </c>
      <c r="F467" s="2">
        <f>B467</f>
        <v/>
      </c>
      <c r="G467" s="88" t="n">
        <v>465</v>
      </c>
      <c r="H467" s="89" t="n"/>
      <c r="I467" s="89" t="n"/>
      <c r="J467" s="89" t="n">
        <v>27.83169</v>
      </c>
      <c r="K467" s="89" t="n"/>
      <c r="L467" s="89" t="n"/>
      <c r="M467" s="89" t="n"/>
      <c r="N467" s="89" t="n"/>
      <c r="O467" s="89" t="n"/>
      <c r="P467" s="89" t="n"/>
      <c r="Q467" s="89" t="n"/>
      <c r="R467" s="89" t="n"/>
      <c r="S467" s="89" t="n">
        <v>31.91014</v>
      </c>
      <c r="T467" s="89" t="n">
        <v>49.96631</v>
      </c>
      <c r="U467" s="89" t="n"/>
      <c r="V467" s="89" t="n"/>
      <c r="W467" s="89" t="n"/>
      <c r="X467" s="89" t="n"/>
      <c r="Y467" s="89" t="n"/>
      <c r="Z467" s="89" t="n">
        <v>25.9542</v>
      </c>
      <c r="AA467" s="89" t="n">
        <v>9.085929</v>
      </c>
      <c r="AB467" s="89" t="n"/>
      <c r="AC467" s="89" t="n">
        <v>35.92432</v>
      </c>
      <c r="AD467" s="89" t="n"/>
      <c r="AE467" s="89" t="n"/>
      <c r="AF467" s="89" t="n">
        <v>19.71192</v>
      </c>
      <c r="AG467" s="89" t="n">
        <v>18.34932</v>
      </c>
      <c r="AH467" s="89" t="n"/>
      <c r="AI467" s="89" t="n"/>
      <c r="AJ467" s="89" t="n">
        <v>18.13737</v>
      </c>
      <c r="AK467" s="89" t="n"/>
      <c r="AL467" s="89" t="n"/>
      <c r="AM467" s="89" t="n"/>
      <c r="AN467" s="89" t="n"/>
      <c r="AO467" s="89" t="n">
        <v>21.22611</v>
      </c>
      <c r="AP467" s="89" t="n"/>
      <c r="AQ467" s="89" t="n"/>
      <c r="AR467" s="89" t="n"/>
      <c r="AS467" s="89" t="n"/>
      <c r="AT467" s="89" t="n"/>
      <c r="AU467" s="89" t="n"/>
      <c r="AV467" s="89" t="n"/>
      <c r="AW467" s="89" t="n"/>
      <c r="AX467" s="89" t="n"/>
      <c r="AY467" s="89" t="n"/>
    </row>
    <row r="468">
      <c r="A468" t="inlineStr">
        <is>
          <t>1957-11</t>
        </is>
      </c>
      <c r="B468" s="1" t="n">
        <v>21125</v>
      </c>
      <c r="C468" s="88" t="n">
        <v>468</v>
      </c>
      <c r="E468" s="1">
        <f>B468</f>
        <v/>
      </c>
      <c r="F468" s="2">
        <f>B468</f>
        <v/>
      </c>
      <c r="G468" s="88" t="n">
        <v>466</v>
      </c>
      <c r="H468" s="89" t="n"/>
      <c r="I468" s="89" t="n"/>
      <c r="J468" s="89" t="n">
        <v>22.23341</v>
      </c>
      <c r="K468" s="89" t="n"/>
      <c r="L468" s="89" t="n"/>
      <c r="M468" s="89" t="n"/>
      <c r="N468" s="89" t="n"/>
      <c r="O468" s="89" t="n"/>
      <c r="P468" s="89" t="n"/>
      <c r="Q468" s="89" t="n"/>
      <c r="R468" s="89" t="n"/>
      <c r="S468" s="89" t="n">
        <v>32.57355</v>
      </c>
      <c r="T468" s="89" t="n">
        <v>50.90026</v>
      </c>
      <c r="U468" s="89" t="n"/>
      <c r="V468" s="89" t="n"/>
      <c r="W468" s="89" t="n"/>
      <c r="X468" s="89" t="n"/>
      <c r="Y468" s="89" t="n"/>
      <c r="Z468" s="89" t="n">
        <v>26.27744</v>
      </c>
      <c r="AA468" s="89" t="n">
        <v>9.085929</v>
      </c>
      <c r="AB468" s="89" t="n"/>
      <c r="AC468" s="89" t="n">
        <v>35.73736</v>
      </c>
      <c r="AD468" s="89" t="n"/>
      <c r="AE468" s="89" t="n"/>
      <c r="AF468" s="89" t="n">
        <v>19.9976</v>
      </c>
      <c r="AG468" s="89" t="n">
        <v>18.05189</v>
      </c>
      <c r="AH468" s="89" t="n"/>
      <c r="AI468" s="89" t="n"/>
      <c r="AJ468" s="89" t="n">
        <v>18.49334</v>
      </c>
      <c r="AK468" s="89" t="n"/>
      <c r="AL468" s="89" t="n"/>
      <c r="AM468" s="89" t="n"/>
      <c r="AN468" s="89" t="n"/>
      <c r="AO468" s="89" t="n">
        <v>20.72078</v>
      </c>
      <c r="AP468" s="89" t="n"/>
      <c r="AQ468" s="89" t="n"/>
      <c r="AR468" s="89" t="n"/>
      <c r="AS468" s="89" t="n"/>
      <c r="AT468" s="89" t="n"/>
      <c r="AU468" s="89" t="n"/>
      <c r="AV468" s="89" t="n"/>
      <c r="AW468" s="89" t="n"/>
      <c r="AX468" s="89" t="n"/>
      <c r="AY468" s="89" t="n"/>
    </row>
    <row r="469">
      <c r="A469" t="inlineStr">
        <is>
          <t>1957-12</t>
        </is>
      </c>
      <c r="B469" s="1" t="n">
        <v>21155</v>
      </c>
      <c r="C469" s="88" t="n">
        <v>469</v>
      </c>
      <c r="E469" s="1">
        <f>B469</f>
        <v/>
      </c>
      <c r="F469" s="2">
        <f>B469</f>
        <v/>
      </c>
      <c r="G469" s="88" t="n">
        <v>467</v>
      </c>
      <c r="H469" s="89" t="n"/>
      <c r="I469" s="89" t="n"/>
      <c r="J469" s="89" t="n">
        <v>23.16896</v>
      </c>
      <c r="K469" s="89" t="n"/>
      <c r="L469" s="89" t="n"/>
      <c r="M469" s="89" t="n"/>
      <c r="N469" s="89" t="n"/>
      <c r="O469" s="89" t="n"/>
      <c r="P469" s="89" t="n"/>
      <c r="Q469" s="89" t="n"/>
      <c r="R469" s="89" t="n"/>
      <c r="S469" s="89" t="n">
        <v>32.9716</v>
      </c>
      <c r="T469" s="89" t="n">
        <v>49.49934</v>
      </c>
      <c r="U469" s="89" t="n"/>
      <c r="V469" s="89" t="n"/>
      <c r="W469" s="89" t="n"/>
      <c r="X469" s="89" t="n"/>
      <c r="Y469" s="89" t="n"/>
      <c r="Z469" s="89" t="n">
        <v>26.56265</v>
      </c>
      <c r="AA469" s="89" t="n">
        <v>8.917669999999999</v>
      </c>
      <c r="AB469" s="89" t="n"/>
      <c r="AC469" s="89" t="n">
        <v>35.6613</v>
      </c>
      <c r="AD469" s="89" t="n"/>
      <c r="AE469" s="89" t="n"/>
      <c r="AF469" s="89" t="n">
        <v>19.9976</v>
      </c>
      <c r="AG469" s="89" t="n">
        <v>18.07477</v>
      </c>
      <c r="AH469" s="89" t="n"/>
      <c r="AI469" s="89" t="n"/>
      <c r="AJ469" s="89" t="n">
        <v>18.02988</v>
      </c>
      <c r="AK469" s="89" t="n"/>
      <c r="AL469" s="89" t="n"/>
      <c r="AM469" s="89" t="n"/>
      <c r="AN469" s="89" t="n"/>
      <c r="AO469" s="89" t="n">
        <v>20.32179</v>
      </c>
      <c r="AP469" s="89" t="n"/>
      <c r="AQ469" s="89" t="n"/>
      <c r="AR469" s="89" t="n"/>
      <c r="AS469" s="89" t="n"/>
      <c r="AT469" s="89" t="n"/>
      <c r="AU469" s="89" t="n"/>
      <c r="AV469" s="89" t="n"/>
      <c r="AW469" s="89" t="n"/>
      <c r="AX469" s="89" t="n"/>
      <c r="AY469" s="89" t="n"/>
    </row>
    <row r="470">
      <c r="A470" t="inlineStr">
        <is>
          <t>1958-01</t>
        </is>
      </c>
      <c r="B470" s="1" t="n">
        <v>21186</v>
      </c>
      <c r="C470" s="88" t="n">
        <v>470</v>
      </c>
      <c r="E470" s="1">
        <f>B470</f>
        <v/>
      </c>
      <c r="F470" s="2">
        <f>B470</f>
        <v/>
      </c>
      <c r="G470" s="88" t="n">
        <v>468</v>
      </c>
      <c r="H470" s="89" t="n"/>
      <c r="I470" s="89" t="n"/>
      <c r="J470" s="89" t="n">
        <v>23.76754</v>
      </c>
      <c r="K470" s="89" t="n"/>
      <c r="L470" s="89" t="n"/>
      <c r="M470" s="89" t="n"/>
      <c r="N470" s="89" t="n">
        <v>23.59779</v>
      </c>
      <c r="O470" s="89" t="n"/>
      <c r="P470" s="89" t="n"/>
      <c r="Q470" s="89" t="n"/>
      <c r="R470" s="89" t="n">
        <v>12.97948</v>
      </c>
      <c r="S470" s="89" t="n">
        <v>33.3033</v>
      </c>
      <c r="T470" s="89" t="n">
        <v>49.96631</v>
      </c>
      <c r="U470" s="89" t="n"/>
      <c r="V470" s="89" t="n"/>
      <c r="W470" s="89" t="n"/>
      <c r="X470" s="89" t="n"/>
      <c r="Y470" s="89" t="n"/>
      <c r="Z470" s="89" t="n">
        <v>26.96195</v>
      </c>
      <c r="AA470" s="89" t="n">
        <v>8.833542</v>
      </c>
      <c r="AB470" s="89" t="n"/>
      <c r="AC470" s="89" t="n">
        <v>36.04277</v>
      </c>
      <c r="AD470" s="89" t="n"/>
      <c r="AE470" s="89" t="n"/>
      <c r="AF470" s="89" t="n">
        <v>19.9976</v>
      </c>
      <c r="AG470" s="89" t="n">
        <v>18.30356</v>
      </c>
      <c r="AH470" s="89" t="n"/>
      <c r="AI470" s="89" t="n"/>
      <c r="AJ470" s="89" t="n">
        <v>18.81609</v>
      </c>
      <c r="AK470" s="89" t="n"/>
      <c r="AL470" s="89" t="n"/>
      <c r="AM470" s="89" t="n"/>
      <c r="AN470" s="89" t="n"/>
      <c r="AO470" s="89" t="n">
        <v>19.9494</v>
      </c>
      <c r="AP470" s="89" t="n"/>
      <c r="AQ470" s="89" t="n"/>
      <c r="AR470" s="89" t="n"/>
      <c r="AS470" s="89" t="n"/>
      <c r="AT470" s="89" t="n"/>
      <c r="AU470" s="89" t="n"/>
      <c r="AV470" s="89" t="n"/>
      <c r="AW470" s="89" t="n"/>
      <c r="AX470" s="89" t="n"/>
      <c r="AY470" s="89" t="n"/>
    </row>
    <row r="471">
      <c r="A471" t="inlineStr">
        <is>
          <t>1958-02</t>
        </is>
      </c>
      <c r="B471" s="1" t="n">
        <v>21217</v>
      </c>
      <c r="C471" s="88" t="n">
        <v>471</v>
      </c>
      <c r="E471" s="1">
        <f>B471</f>
        <v/>
      </c>
      <c r="F471" s="2">
        <f>B471</f>
        <v/>
      </c>
      <c r="G471" s="88" t="n">
        <v>469</v>
      </c>
      <c r="H471" s="89" t="n"/>
      <c r="I471" s="89" t="n"/>
      <c r="J471" s="89" t="n">
        <v>25.80832</v>
      </c>
      <c r="K471" s="89" t="n"/>
      <c r="L471" s="89" t="n"/>
      <c r="M471" s="89" t="n"/>
      <c r="N471" s="89" t="n">
        <v>23.69698</v>
      </c>
      <c r="O471" s="89" t="n"/>
      <c r="P471" s="89" t="n"/>
      <c r="Q471" s="89" t="n"/>
      <c r="R471" s="89" t="n">
        <v>12.85488</v>
      </c>
      <c r="S471" s="89" t="n">
        <v>33.43599</v>
      </c>
      <c r="T471" s="89" t="n">
        <v>50.96564</v>
      </c>
      <c r="U471" s="89" t="n"/>
      <c r="V471" s="89" t="n"/>
      <c r="W471" s="89" t="n"/>
      <c r="X471" s="89" t="n"/>
      <c r="Y471" s="89" t="n"/>
      <c r="Z471" s="89" t="n">
        <v>26.41054</v>
      </c>
      <c r="AA471" s="89" t="n">
        <v>8.917669999999999</v>
      </c>
      <c r="AB471" s="89" t="n"/>
      <c r="AC471" s="89" t="n">
        <v>36.76693</v>
      </c>
      <c r="AD471" s="89" t="n"/>
      <c r="AE471" s="89" t="n"/>
      <c r="AF471" s="89" t="n">
        <v>19.9976</v>
      </c>
      <c r="AG471" s="89" t="n">
        <v>18.2578</v>
      </c>
      <c r="AH471" s="89" t="n"/>
      <c r="AI471" s="89" t="n"/>
      <c r="AJ471" s="89" t="n">
        <v>18.79097</v>
      </c>
      <c r="AK471" s="89" t="n"/>
      <c r="AL471" s="89" t="n"/>
      <c r="AM471" s="89" t="n"/>
      <c r="AN471" s="89" t="n"/>
      <c r="AO471" s="89" t="n">
        <v>19.5238</v>
      </c>
      <c r="AP471" s="89" t="n"/>
      <c r="AQ471" s="89" t="n"/>
      <c r="AR471" s="89" t="n"/>
      <c r="AS471" s="89" t="n"/>
      <c r="AT471" s="89" t="n"/>
      <c r="AU471" s="89" t="n"/>
      <c r="AV471" s="89" t="n"/>
      <c r="AW471" s="89" t="n"/>
      <c r="AX471" s="89" t="n"/>
      <c r="AY471" s="89" t="n"/>
    </row>
    <row r="472">
      <c r="A472" t="inlineStr">
        <is>
          <t>1958-03</t>
        </is>
      </c>
      <c r="B472" s="1" t="n">
        <v>21245</v>
      </c>
      <c r="C472" s="88" t="n">
        <v>472</v>
      </c>
      <c r="E472" s="1">
        <f>B472</f>
        <v/>
      </c>
      <c r="F472" s="2">
        <f>B472</f>
        <v/>
      </c>
      <c r="G472" s="88" t="n">
        <v>470</v>
      </c>
      <c r="H472" s="89" t="n"/>
      <c r="I472" s="89" t="n"/>
      <c r="J472" s="89" t="n">
        <v>22.88271</v>
      </c>
      <c r="K472" s="89" t="n"/>
      <c r="L472" s="89" t="n"/>
      <c r="M472" s="89" t="n"/>
      <c r="N472" s="89" t="n">
        <v>24.08197</v>
      </c>
      <c r="O472" s="89" t="n"/>
      <c r="P472" s="89" t="n"/>
      <c r="Q472" s="89" t="n"/>
      <c r="R472" s="89" t="n">
        <v>12.5849</v>
      </c>
      <c r="S472" s="89" t="n">
        <v>33.33647</v>
      </c>
      <c r="T472" s="89" t="n">
        <v>51.4653</v>
      </c>
      <c r="U472" s="89" t="n"/>
      <c r="V472" s="89" t="n"/>
      <c r="W472" s="89" t="n"/>
      <c r="X472" s="89" t="n"/>
      <c r="Y472" s="89" t="n"/>
      <c r="Z472" s="89" t="n">
        <v>26.37251</v>
      </c>
      <c r="AA472" s="89" t="n">
        <v>8.833542</v>
      </c>
      <c r="AB472" s="89" t="n"/>
      <c r="AC472" s="89" t="n">
        <v>35.22977</v>
      </c>
      <c r="AD472" s="89" t="n"/>
      <c r="AE472" s="89" t="n"/>
      <c r="AF472" s="89" t="n">
        <v>20.28328</v>
      </c>
      <c r="AG472" s="89" t="n">
        <v>18.57811</v>
      </c>
      <c r="AH472" s="89" t="n"/>
      <c r="AI472" s="89" t="n"/>
      <c r="AJ472" s="89" t="n">
        <v>19.13179</v>
      </c>
      <c r="AK472" s="89" t="n"/>
      <c r="AL472" s="89" t="n"/>
      <c r="AM472" s="89" t="n"/>
      <c r="AN472" s="89" t="n"/>
      <c r="AO472" s="89" t="n">
        <v>19.28444</v>
      </c>
      <c r="AP472" s="89" t="n"/>
      <c r="AQ472" s="89" t="n"/>
      <c r="AR472" s="89" t="n"/>
      <c r="AS472" s="89" t="n"/>
      <c r="AT472" s="89" t="n"/>
      <c r="AU472" s="89" t="n"/>
      <c r="AV472" s="89" t="n"/>
      <c r="AW472" s="89" t="n"/>
      <c r="AX472" s="89" t="n"/>
      <c r="AY472" s="89" t="n"/>
    </row>
    <row r="473">
      <c r="A473" t="inlineStr">
        <is>
          <t>1958-04</t>
        </is>
      </c>
      <c r="B473" s="1" t="n">
        <v>21276</v>
      </c>
      <c r="C473" s="88" t="n">
        <v>473</v>
      </c>
      <c r="E473" s="1">
        <f>B473</f>
        <v/>
      </c>
      <c r="F473" s="2">
        <f>B473</f>
        <v/>
      </c>
      <c r="G473" s="88" t="n">
        <v>471</v>
      </c>
      <c r="H473" s="89" t="n"/>
      <c r="I473" s="89" t="n"/>
      <c r="J473" s="89" t="n">
        <v>22.99221</v>
      </c>
      <c r="K473" s="89" t="n"/>
      <c r="L473" s="89" t="n"/>
      <c r="M473" s="89" t="n"/>
      <c r="N473" s="89" t="n">
        <v>23.32515</v>
      </c>
      <c r="O473" s="89" t="n"/>
      <c r="P473" s="89" t="n"/>
      <c r="Q473" s="89" t="n"/>
      <c r="R473" s="89" t="n">
        <v>12.77181</v>
      </c>
      <c r="S473" s="89" t="n">
        <v>33.03794</v>
      </c>
      <c r="T473" s="89" t="n">
        <v>49.46665</v>
      </c>
      <c r="U473" s="89" t="n"/>
      <c r="V473" s="89" t="n"/>
      <c r="W473" s="89" t="n"/>
      <c r="X473" s="89" t="n"/>
      <c r="Y473" s="89" t="n"/>
      <c r="Z473" s="89" t="n">
        <v>26.27744</v>
      </c>
      <c r="AA473" s="89" t="n">
        <v>8.833542</v>
      </c>
      <c r="AB473" s="89" t="n"/>
      <c r="AC473" s="89" t="n">
        <v>35.42977</v>
      </c>
      <c r="AD473" s="89" t="n"/>
      <c r="AE473" s="89" t="n"/>
      <c r="AF473" s="89" t="n">
        <v>19.9976</v>
      </c>
      <c r="AG473" s="89" t="n">
        <v>18.00613</v>
      </c>
      <c r="AH473" s="89" t="n"/>
      <c r="AI473" s="89" t="n"/>
      <c r="AJ473" s="89" t="n">
        <v>18.967</v>
      </c>
      <c r="AK473" s="89" t="n"/>
      <c r="AL473" s="89" t="n"/>
      <c r="AM473" s="89" t="n"/>
      <c r="AN473" s="89" t="n"/>
      <c r="AO473" s="89" t="n">
        <v>18.96526</v>
      </c>
      <c r="AP473" s="89" t="n"/>
      <c r="AQ473" s="89" t="n"/>
      <c r="AR473" s="89" t="n"/>
      <c r="AS473" s="89" t="n"/>
      <c r="AT473" s="89" t="n"/>
      <c r="AU473" s="89" t="n"/>
      <c r="AV473" s="89" t="n"/>
      <c r="AW473" s="89" t="n"/>
      <c r="AX473" s="89" t="n"/>
      <c r="AY473" s="89" t="n"/>
    </row>
    <row r="474">
      <c r="A474" t="inlineStr">
        <is>
          <t>1958-05</t>
        </is>
      </c>
      <c r="B474" s="1" t="n">
        <v>21306</v>
      </c>
      <c r="C474" s="88" t="n">
        <v>474</v>
      </c>
      <c r="E474" s="1">
        <f>B474</f>
        <v/>
      </c>
      <c r="F474" s="2">
        <f>B474</f>
        <v/>
      </c>
      <c r="G474" s="88" t="n">
        <v>472</v>
      </c>
      <c r="H474" s="89" t="n"/>
      <c r="I474" s="89" t="n"/>
      <c r="J474" s="89" t="n">
        <v>23.02984</v>
      </c>
      <c r="K474" s="89" t="n"/>
      <c r="L474" s="89" t="n"/>
      <c r="M474" s="89" t="n"/>
      <c r="N474" s="89" t="n">
        <v>23.6102</v>
      </c>
      <c r="O474" s="89" t="n"/>
      <c r="P474" s="89" t="n"/>
      <c r="Q474" s="89" t="n"/>
      <c r="R474" s="89" t="n">
        <v>12.73028</v>
      </c>
      <c r="S474" s="89" t="n">
        <v>32.80574</v>
      </c>
      <c r="T474" s="89" t="n">
        <v>49.96631</v>
      </c>
      <c r="U474" s="89" t="n"/>
      <c r="V474" s="89" t="n"/>
      <c r="W474" s="89" t="n"/>
      <c r="X474" s="89" t="n"/>
      <c r="Y474" s="89" t="n"/>
      <c r="Z474" s="89" t="n">
        <v>26.33449</v>
      </c>
      <c r="AA474" s="89" t="n">
        <v>8.581155000000001</v>
      </c>
      <c r="AB474" s="89" t="n"/>
      <c r="AC474" s="89" t="n">
        <v>35.03017</v>
      </c>
      <c r="AD474" s="89" t="n"/>
      <c r="AE474" s="89" t="n"/>
      <c r="AF474" s="89" t="n">
        <v>20.28328</v>
      </c>
      <c r="AG474" s="89" t="n">
        <v>17.93749</v>
      </c>
      <c r="AH474" s="89" t="n"/>
      <c r="AI474" s="89" t="n"/>
      <c r="AJ474" s="89" t="n">
        <v>19.72248</v>
      </c>
      <c r="AK474" s="89" t="n"/>
      <c r="AL474" s="89" t="n"/>
      <c r="AM474" s="89" t="n"/>
      <c r="AN474" s="89" t="n"/>
      <c r="AO474" s="89" t="n">
        <v>19.15141</v>
      </c>
      <c r="AP474" s="89" t="n"/>
      <c r="AQ474" s="89" t="n"/>
      <c r="AR474" s="89" t="n"/>
      <c r="AS474" s="89" t="n"/>
      <c r="AT474" s="89" t="n"/>
      <c r="AU474" s="89" t="n"/>
      <c r="AV474" s="89" t="n"/>
      <c r="AW474" s="89" t="n"/>
      <c r="AX474" s="89" t="n"/>
      <c r="AY474" s="89" t="n"/>
    </row>
    <row r="475">
      <c r="A475" t="inlineStr">
        <is>
          <t>1958-06</t>
        </is>
      </c>
      <c r="B475" s="1" t="n">
        <v>21337</v>
      </c>
      <c r="C475" s="88" t="n">
        <v>475</v>
      </c>
      <c r="E475" s="1">
        <f>B475</f>
        <v/>
      </c>
      <c r="F475" s="2">
        <f>B475</f>
        <v/>
      </c>
      <c r="G475" s="88" t="n">
        <v>473</v>
      </c>
      <c r="H475" s="89" t="n"/>
      <c r="I475" s="89" t="n"/>
      <c r="J475" s="89" t="n">
        <v>22.88933</v>
      </c>
      <c r="K475" s="89" t="n"/>
      <c r="L475" s="89" t="n"/>
      <c r="M475" s="89" t="n"/>
      <c r="N475" s="89" t="n">
        <v>23.8987</v>
      </c>
      <c r="O475" s="89" t="n"/>
      <c r="P475" s="89" t="n"/>
      <c r="Q475" s="89" t="n"/>
      <c r="R475" s="89" t="n">
        <v>12.64721</v>
      </c>
      <c r="S475" s="89" t="n">
        <v>33.03794</v>
      </c>
      <c r="T475" s="89" t="n">
        <v>49.96631</v>
      </c>
      <c r="U475" s="89" t="n"/>
      <c r="V475" s="89" t="n"/>
      <c r="W475" s="89" t="n"/>
      <c r="X475" s="89" t="n"/>
      <c r="Y475" s="89" t="n"/>
      <c r="Z475" s="89" t="n">
        <v>26.98096</v>
      </c>
      <c r="AA475" s="89" t="n">
        <v>8.497025000000001</v>
      </c>
      <c r="AB475" s="89" t="n"/>
      <c r="AC475" s="89" t="n">
        <v>34.62072</v>
      </c>
      <c r="AD475" s="89" t="n"/>
      <c r="AE475" s="89" t="n"/>
      <c r="AF475" s="89" t="n">
        <v>20.28328</v>
      </c>
      <c r="AG475" s="89" t="n">
        <v>18.80691</v>
      </c>
      <c r="AH475" s="89" t="n"/>
      <c r="AI475" s="89" t="n"/>
      <c r="AJ475" s="89" t="n">
        <v>18.54823</v>
      </c>
      <c r="AK475" s="89" t="n"/>
      <c r="AL475" s="89" t="n"/>
      <c r="AM475" s="89" t="n"/>
      <c r="AN475" s="89" t="n"/>
      <c r="AO475" s="89" t="n">
        <v>19.65683</v>
      </c>
      <c r="AP475" s="89" t="n"/>
      <c r="AQ475" s="89" t="n"/>
      <c r="AR475" s="89" t="n"/>
      <c r="AS475" s="89" t="n"/>
      <c r="AT475" s="89" t="n"/>
      <c r="AU475" s="89" t="n"/>
      <c r="AV475" s="89" t="n"/>
      <c r="AW475" s="89" t="n"/>
      <c r="AX475" s="89" t="n"/>
      <c r="AY475" s="89" t="n"/>
    </row>
    <row r="476">
      <c r="A476" t="inlineStr">
        <is>
          <t>1958-07</t>
        </is>
      </c>
      <c r="B476" s="1" t="n">
        <v>21367</v>
      </c>
      <c r="C476" s="88" t="n">
        <v>476</v>
      </c>
      <c r="E476" s="1">
        <f>B476</f>
        <v/>
      </c>
      <c r="F476" s="2">
        <f>B476</f>
        <v/>
      </c>
      <c r="G476" s="88" t="n">
        <v>474</v>
      </c>
      <c r="H476" s="89" t="n"/>
      <c r="I476" s="89" t="n"/>
      <c r="J476" s="89" t="n">
        <v>23.31387</v>
      </c>
      <c r="K476" s="89" t="n"/>
      <c r="L476" s="89" t="n"/>
      <c r="M476" s="89" t="n"/>
      <c r="N476" s="89" t="n">
        <v>23.49029</v>
      </c>
      <c r="O476" s="89" t="n"/>
      <c r="P476" s="89" t="n"/>
      <c r="Q476" s="89" t="n"/>
      <c r="R476" s="89" t="n">
        <v>12.60567</v>
      </c>
      <c r="S476" s="89" t="n">
        <v>32.77257</v>
      </c>
      <c r="T476" s="89" t="n">
        <v>49.46665</v>
      </c>
      <c r="U476" s="89" t="n"/>
      <c r="V476" s="89" t="n"/>
      <c r="W476" s="89" t="n"/>
      <c r="X476" s="89" t="n"/>
      <c r="Y476" s="89" t="n"/>
      <c r="Z476" s="89" t="n">
        <v>27.22815</v>
      </c>
      <c r="AA476" s="89" t="n">
        <v>8.833542</v>
      </c>
      <c r="AB476" s="89" t="n"/>
      <c r="AC476" s="89" t="n">
        <v>34.31942</v>
      </c>
      <c r="AD476" s="89" t="n"/>
      <c r="AE476" s="89" t="n"/>
      <c r="AF476" s="89" t="n">
        <v>20.28328</v>
      </c>
      <c r="AG476" s="89" t="n">
        <v>18.46372</v>
      </c>
      <c r="AH476" s="89" t="n"/>
      <c r="AI476" s="89" t="n"/>
      <c r="AJ476" s="89" t="n">
        <v>19.1988</v>
      </c>
      <c r="AK476" s="89" t="n"/>
      <c r="AL476" s="89" t="n"/>
      <c r="AM476" s="89" t="n"/>
      <c r="AN476" s="89" t="n"/>
      <c r="AO476" s="89" t="n">
        <v>19.9494</v>
      </c>
      <c r="AP476" s="89" t="n"/>
      <c r="AQ476" s="89" t="n"/>
      <c r="AR476" s="89" t="n"/>
      <c r="AS476" s="89" t="n"/>
      <c r="AT476" s="89" t="n"/>
      <c r="AU476" s="89" t="n"/>
      <c r="AV476" s="89" t="n"/>
      <c r="AW476" s="89" t="n"/>
      <c r="AX476" s="89" t="n"/>
      <c r="AY476" s="89" t="n"/>
    </row>
    <row r="477">
      <c r="A477" t="inlineStr">
        <is>
          <t>1958-08</t>
        </is>
      </c>
      <c r="B477" s="1" t="n">
        <v>21398</v>
      </c>
      <c r="C477" s="88" t="n">
        <v>477</v>
      </c>
      <c r="E477" s="1">
        <f>B477</f>
        <v/>
      </c>
      <c r="F477" s="2">
        <f>B477</f>
        <v/>
      </c>
      <c r="G477" s="88" t="n">
        <v>475</v>
      </c>
      <c r="H477" s="89" t="n"/>
      <c r="I477" s="89" t="n"/>
      <c r="J477" s="89" t="n">
        <v>22.81607</v>
      </c>
      <c r="K477" s="89" t="n"/>
      <c r="L477" s="89" t="n"/>
      <c r="M477" s="89" t="n"/>
      <c r="N477" s="89" t="n">
        <v>24.38654</v>
      </c>
      <c r="O477" s="89" t="n"/>
      <c r="P477" s="89" t="n"/>
      <c r="Q477" s="89" t="n"/>
      <c r="R477" s="89" t="n">
        <v>12.81334</v>
      </c>
      <c r="S477" s="89" t="n">
        <v>32.77257</v>
      </c>
      <c r="T477" s="89" t="n">
        <v>49.46665</v>
      </c>
      <c r="U477" s="89" t="n"/>
      <c r="V477" s="89" t="n"/>
      <c r="W477" s="89" t="n"/>
      <c r="X477" s="89" t="n"/>
      <c r="Y477" s="89" t="n"/>
      <c r="Z477" s="89" t="n">
        <v>27.1711</v>
      </c>
      <c r="AA477" s="89" t="n">
        <v>8.917669999999999</v>
      </c>
      <c r="AB477" s="89" t="n"/>
      <c r="AC477" s="89" t="n">
        <v>34.62078</v>
      </c>
      <c r="AD477" s="89" t="n"/>
      <c r="AE477" s="89" t="n"/>
      <c r="AF477" s="89" t="n">
        <v>20.56896</v>
      </c>
      <c r="AG477" s="89" t="n">
        <v>18.3722</v>
      </c>
      <c r="AH477" s="89" t="n"/>
      <c r="AI477" s="89" t="n"/>
      <c r="AJ477" s="89" t="n">
        <v>20.10209</v>
      </c>
      <c r="AK477" s="89" t="n"/>
      <c r="AL477" s="89" t="n"/>
      <c r="AM477" s="89" t="n"/>
      <c r="AN477" s="89" t="n"/>
      <c r="AO477" s="89" t="n">
        <v>20.34839</v>
      </c>
      <c r="AP477" s="89" t="n"/>
      <c r="AQ477" s="89" t="n"/>
      <c r="AR477" s="89" t="n"/>
      <c r="AS477" s="89" t="n"/>
      <c r="AT477" s="89" t="n"/>
      <c r="AU477" s="89" t="n"/>
      <c r="AV477" s="89" t="n"/>
      <c r="AW477" s="89" t="n"/>
      <c r="AX477" s="89" t="n"/>
      <c r="AY477" s="89" t="n"/>
    </row>
    <row r="478">
      <c r="A478" t="inlineStr">
        <is>
          <t>1958-09</t>
        </is>
      </c>
      <c r="B478" s="1" t="n">
        <v>21429</v>
      </c>
      <c r="C478" s="88" t="n">
        <v>478</v>
      </c>
      <c r="E478" s="1">
        <f>B478</f>
        <v/>
      </c>
      <c r="F478" s="2">
        <f>B478</f>
        <v/>
      </c>
      <c r="G478" s="88" t="n">
        <v>476</v>
      </c>
      <c r="H478" s="89" t="n"/>
      <c r="I478" s="89" t="n"/>
      <c r="J478" s="89" t="n">
        <v>22.85364</v>
      </c>
      <c r="K478" s="89" t="n"/>
      <c r="L478" s="89" t="n"/>
      <c r="M478" s="89" t="n"/>
      <c r="N478" s="89" t="n">
        <v>23.69487</v>
      </c>
      <c r="O478" s="89" t="n"/>
      <c r="P478" s="89" t="n"/>
      <c r="Q478" s="89" t="n"/>
      <c r="R478" s="89" t="n">
        <v>12.89641</v>
      </c>
      <c r="S478" s="89" t="n">
        <v>32.57355</v>
      </c>
      <c r="T478" s="89" t="n">
        <v>49.46665</v>
      </c>
      <c r="U478" s="89" t="n"/>
      <c r="V478" s="89" t="n"/>
      <c r="W478" s="89" t="n"/>
      <c r="X478" s="89" t="n"/>
      <c r="Y478" s="89" t="n"/>
      <c r="Z478" s="89" t="n">
        <v>27.62744</v>
      </c>
      <c r="AA478" s="89" t="n">
        <v>8.917669999999999</v>
      </c>
      <c r="AB478" s="89" t="n"/>
      <c r="AC478" s="89" t="n">
        <v>34.38958</v>
      </c>
      <c r="AD478" s="89" t="n"/>
      <c r="AE478" s="89" t="n"/>
      <c r="AF478" s="89" t="n">
        <v>20.85464</v>
      </c>
      <c r="AG478" s="89" t="n">
        <v>18.09765</v>
      </c>
      <c r="AH478" s="89" t="n"/>
      <c r="AI478" s="89" t="n"/>
      <c r="AJ478" s="89" t="n">
        <v>20.38812</v>
      </c>
      <c r="AK478" s="89" t="n"/>
      <c r="AL478" s="89" t="n"/>
      <c r="AM478" s="89" t="n"/>
      <c r="AN478" s="89" t="n"/>
      <c r="AO478" s="89" t="n">
        <v>20.53454</v>
      </c>
      <c r="AP478" s="89" t="n"/>
      <c r="AQ478" s="89" t="n"/>
      <c r="AR478" s="89" t="n"/>
      <c r="AS478" s="89" t="n"/>
      <c r="AT478" s="89" t="n"/>
      <c r="AU478" s="89" t="n"/>
      <c r="AV478" s="89" t="n"/>
      <c r="AW478" s="89" t="n"/>
      <c r="AX478" s="89" t="n"/>
      <c r="AY478" s="89" t="n"/>
    </row>
    <row r="479">
      <c r="A479" t="inlineStr">
        <is>
          <t>1958-10</t>
        </is>
      </c>
      <c r="B479" s="1" t="n">
        <v>21459</v>
      </c>
      <c r="C479" s="88" t="n">
        <v>479</v>
      </c>
      <c r="E479" s="1">
        <f>B479</f>
        <v/>
      </c>
      <c r="F479" s="2">
        <f>B479</f>
        <v/>
      </c>
      <c r="G479" s="88" t="n">
        <v>477</v>
      </c>
      <c r="H479" s="89" t="n"/>
      <c r="I479" s="89" t="n"/>
      <c r="J479" s="89" t="n">
        <v>23.02021</v>
      </c>
      <c r="K479" s="89" t="n"/>
      <c r="L479" s="89" t="n"/>
      <c r="M479" s="89" t="n"/>
      <c r="N479" s="89" t="n">
        <v>23.68651</v>
      </c>
      <c r="O479" s="89" t="n"/>
      <c r="P479" s="89" t="n"/>
      <c r="Q479" s="89" t="n"/>
      <c r="R479" s="89" t="n">
        <v>13.06255</v>
      </c>
      <c r="S479" s="89" t="n">
        <v>32.63989</v>
      </c>
      <c r="T479" s="89" t="n">
        <v>49.46665</v>
      </c>
      <c r="U479" s="89" t="n"/>
      <c r="V479" s="89" t="n"/>
      <c r="W479" s="89" t="n"/>
      <c r="X479" s="89" t="n"/>
      <c r="Y479" s="89" t="n"/>
      <c r="Z479" s="89" t="n">
        <v>27.77955</v>
      </c>
      <c r="AA479" s="89" t="n">
        <v>9.170057</v>
      </c>
      <c r="AB479" s="89" t="n"/>
      <c r="AC479" s="89" t="n">
        <v>34.41819</v>
      </c>
      <c r="AD479" s="89" t="n"/>
      <c r="AE479" s="89" t="n"/>
      <c r="AF479" s="89" t="n">
        <v>21.14032</v>
      </c>
      <c r="AG479" s="89" t="n">
        <v>18.62387</v>
      </c>
      <c r="AH479" s="89" t="n"/>
      <c r="AI479" s="89" t="n"/>
      <c r="AJ479" s="89" t="n">
        <v>20.53856</v>
      </c>
      <c r="AK479" s="89" t="n"/>
      <c r="AL479" s="89" t="n"/>
      <c r="AM479" s="89" t="n"/>
      <c r="AN479" s="89" t="n"/>
      <c r="AO479" s="89" t="n">
        <v>20.774</v>
      </c>
      <c r="AP479" s="89" t="n"/>
      <c r="AQ479" s="89" t="n"/>
      <c r="AR479" s="89" t="n"/>
      <c r="AS479" s="89" t="n"/>
      <c r="AT479" s="89" t="n"/>
      <c r="AU479" s="89" t="n"/>
      <c r="AV479" s="89" t="n"/>
      <c r="AW479" s="89" t="n"/>
      <c r="AX479" s="89" t="n"/>
      <c r="AY479" s="89" t="n"/>
    </row>
    <row r="480">
      <c r="A480" t="inlineStr">
        <is>
          <t>1958-11</t>
        </is>
      </c>
      <c r="B480" s="1" t="n">
        <v>21490</v>
      </c>
      <c r="C480" s="88" t="n">
        <v>480</v>
      </c>
      <c r="E480" s="1">
        <f>B480</f>
        <v/>
      </c>
      <c r="F480" s="2">
        <f>B480</f>
        <v/>
      </c>
      <c r="G480" s="88" t="n">
        <v>478</v>
      </c>
      <c r="H480" s="89" t="n"/>
      <c r="I480" s="89" t="n"/>
      <c r="J480" s="89" t="n">
        <v>23.26657</v>
      </c>
      <c r="K480" s="89" t="n"/>
      <c r="L480" s="89" t="n"/>
      <c r="M480" s="89" t="n"/>
      <c r="N480" s="89" t="n">
        <v>24.23789</v>
      </c>
      <c r="O480" s="89" t="n"/>
      <c r="P480" s="89" t="n"/>
      <c r="Q480" s="89" t="n"/>
      <c r="R480" s="89" t="n">
        <v>13.39482</v>
      </c>
      <c r="S480" s="89" t="n">
        <v>32.20867</v>
      </c>
      <c r="T480" s="89" t="n">
        <v>49.96631</v>
      </c>
      <c r="U480" s="89" t="n"/>
      <c r="V480" s="89" t="n"/>
      <c r="W480" s="89" t="n"/>
      <c r="X480" s="89" t="n"/>
      <c r="Y480" s="89" t="n"/>
      <c r="Z480" s="89" t="n">
        <v>27.95068</v>
      </c>
      <c r="AA480" s="89" t="n">
        <v>9.085929</v>
      </c>
      <c r="AB480" s="89" t="n"/>
      <c r="AC480" s="89" t="n">
        <v>34.87611</v>
      </c>
      <c r="AD480" s="89" t="n"/>
      <c r="AE480" s="89" t="n"/>
      <c r="AF480" s="89" t="n">
        <v>20.85464</v>
      </c>
      <c r="AG480" s="89" t="n">
        <v>18.69251</v>
      </c>
      <c r="AH480" s="89" t="n"/>
      <c r="AI480" s="89" t="n"/>
      <c r="AJ480" s="89" t="n">
        <v>20.93222</v>
      </c>
      <c r="AK480" s="89" t="n"/>
      <c r="AL480" s="89" t="n"/>
      <c r="AM480" s="89" t="n"/>
      <c r="AN480" s="89" t="n"/>
      <c r="AO480" s="89" t="n">
        <v>21.38574</v>
      </c>
      <c r="AP480" s="89" t="n"/>
      <c r="AQ480" s="89" t="n"/>
      <c r="AR480" s="89" t="n"/>
      <c r="AS480" s="89" t="n"/>
      <c r="AT480" s="89" t="n"/>
      <c r="AU480" s="89" t="n"/>
      <c r="AV480" s="89" t="n"/>
      <c r="AW480" s="89" t="n"/>
      <c r="AX480" s="89" t="n"/>
      <c r="AY480" s="89" t="n"/>
    </row>
    <row r="481">
      <c r="A481" t="inlineStr">
        <is>
          <t>1958-12</t>
        </is>
      </c>
      <c r="B481" s="1" t="n">
        <v>21520</v>
      </c>
      <c r="C481" s="88" t="n">
        <v>481</v>
      </c>
      <c r="E481" s="1">
        <f>B481</f>
        <v/>
      </c>
      <c r="F481" s="2">
        <f>B481</f>
        <v/>
      </c>
      <c r="G481" s="88" t="n">
        <v>479</v>
      </c>
      <c r="H481" s="89" t="n"/>
      <c r="I481" s="89" t="n"/>
      <c r="J481" s="89" t="n">
        <v>22.6794</v>
      </c>
      <c r="K481" s="89" t="n"/>
      <c r="L481" s="89" t="n"/>
      <c r="M481" s="89" t="n"/>
      <c r="N481" s="89" t="n">
        <v>24.33625</v>
      </c>
      <c r="O481" s="89" t="n"/>
      <c r="P481" s="89" t="n"/>
      <c r="Q481" s="89" t="n"/>
      <c r="R481" s="89" t="n">
        <v>12.97948</v>
      </c>
      <c r="S481" s="89" t="n">
        <v>31.94331</v>
      </c>
      <c r="T481" s="89" t="n">
        <v>50.46597</v>
      </c>
      <c r="U481" s="89" t="n"/>
      <c r="V481" s="89" t="n"/>
      <c r="W481" s="89" t="n"/>
      <c r="X481" s="89" t="n"/>
      <c r="Y481" s="89" t="n"/>
      <c r="Z481" s="89" t="n">
        <v>27.95068</v>
      </c>
      <c r="AA481" s="89" t="n">
        <v>9.338316000000001</v>
      </c>
      <c r="AB481" s="89" t="n"/>
      <c r="AC481" s="89" t="n">
        <v>35.05792</v>
      </c>
      <c r="AD481" s="89" t="n"/>
      <c r="AE481" s="89" t="n"/>
      <c r="AF481" s="89" t="n">
        <v>21.14032</v>
      </c>
      <c r="AG481" s="89" t="n">
        <v>18.71539</v>
      </c>
      <c r="AH481" s="89" t="n"/>
      <c r="AI481" s="89" t="n"/>
      <c r="AJ481" s="89" t="n">
        <v>20.34437</v>
      </c>
      <c r="AK481" s="89" t="n"/>
      <c r="AL481" s="89" t="n"/>
      <c r="AM481" s="89" t="n"/>
      <c r="AN481" s="89" t="n"/>
      <c r="AO481" s="89" t="n">
        <v>21.41235</v>
      </c>
      <c r="AP481" s="89" t="n"/>
      <c r="AQ481" s="89" t="n"/>
      <c r="AR481" s="89" t="n"/>
      <c r="AS481" s="89" t="n"/>
      <c r="AT481" s="89" t="n"/>
      <c r="AU481" s="89" t="n"/>
      <c r="AV481" s="89" t="n"/>
      <c r="AW481" s="89" t="n"/>
      <c r="AX481" s="89" t="n"/>
      <c r="AY481" s="89" t="n"/>
    </row>
    <row r="482">
      <c r="A482" t="inlineStr">
        <is>
          <t>1959-01</t>
        </is>
      </c>
      <c r="B482" s="1" t="n">
        <v>21551</v>
      </c>
      <c r="C482" s="88" t="n">
        <v>482</v>
      </c>
      <c r="E482" s="1">
        <f>B482</f>
        <v/>
      </c>
      <c r="F482" s="2">
        <f>B482</f>
        <v/>
      </c>
      <c r="G482" s="88" t="n">
        <v>480</v>
      </c>
      <c r="H482" s="89" t="n"/>
      <c r="I482" s="89" t="n"/>
      <c r="J482" s="89" t="n">
        <v>22.89126</v>
      </c>
      <c r="K482" s="89" t="n"/>
      <c r="L482" s="89" t="n"/>
      <c r="M482" s="89" t="n"/>
      <c r="N482" s="89" t="n">
        <v>24.12175</v>
      </c>
      <c r="O482" s="89" t="n"/>
      <c r="P482" s="89" t="n"/>
      <c r="Q482" s="89" t="n"/>
      <c r="R482" s="89" t="n">
        <v>13.02102</v>
      </c>
      <c r="S482" s="89" t="n">
        <v>31.77745</v>
      </c>
      <c r="T482" s="89" t="n">
        <v>50.46597</v>
      </c>
      <c r="U482" s="89" t="n"/>
      <c r="V482" s="89" t="n"/>
      <c r="W482" s="89" t="n"/>
      <c r="X482" s="89" t="n"/>
      <c r="Y482" s="89" t="n"/>
      <c r="Z482" s="89" t="n">
        <v>28.06477</v>
      </c>
      <c r="AA482" s="89" t="n">
        <v>9.422444</v>
      </c>
      <c r="AB482" s="89" t="n"/>
      <c r="AC482" s="89" t="n">
        <v>34.96159</v>
      </c>
      <c r="AD482" s="89" t="n"/>
      <c r="AE482" s="89" t="n"/>
      <c r="AF482" s="89" t="n">
        <v>21.426</v>
      </c>
      <c r="AG482" s="89" t="n">
        <v>18.50948</v>
      </c>
      <c r="AH482" s="89" t="n"/>
      <c r="AI482" s="89" t="n"/>
      <c r="AJ482" s="89" t="n">
        <v>21.25203</v>
      </c>
      <c r="AK482" s="89" t="n"/>
      <c r="AL482" s="89" t="n"/>
      <c r="AM482" s="89" t="n">
        <v>24.55883</v>
      </c>
      <c r="AN482" s="89" t="n"/>
      <c r="AO482" s="89" t="n">
        <v>21.73153</v>
      </c>
      <c r="AP482" s="89" t="n"/>
      <c r="AQ482" s="89" t="n"/>
      <c r="AR482" s="89" t="n"/>
      <c r="AS482" s="89" t="n"/>
      <c r="AT482" s="89" t="n"/>
      <c r="AU482" s="89" t="n"/>
      <c r="AV482" s="89" t="n"/>
      <c r="AW482" s="89" t="n"/>
      <c r="AX482" s="89" t="n"/>
      <c r="AY482" s="89" t="n"/>
    </row>
    <row r="483">
      <c r="A483" t="inlineStr">
        <is>
          <t>1959-02</t>
        </is>
      </c>
      <c r="B483" s="1" t="n">
        <v>21582</v>
      </c>
      <c r="C483" s="88" t="n">
        <v>483</v>
      </c>
      <c r="E483" s="1">
        <f>B483</f>
        <v/>
      </c>
      <c r="F483" s="2">
        <f>B483</f>
        <v/>
      </c>
      <c r="G483" s="88" t="n">
        <v>481</v>
      </c>
      <c r="H483" s="89" t="n"/>
      <c r="I483" s="89" t="n"/>
      <c r="J483" s="89" t="n">
        <v>23.56721</v>
      </c>
      <c r="K483" s="89" t="n"/>
      <c r="L483" s="89" t="n"/>
      <c r="M483" s="89" t="n"/>
      <c r="N483" s="89" t="n">
        <v>24.18709</v>
      </c>
      <c r="O483" s="89" t="n"/>
      <c r="P483" s="89" t="n"/>
      <c r="Q483" s="89" t="n"/>
      <c r="R483" s="89" t="n">
        <v>13.24945</v>
      </c>
      <c r="S483" s="89" t="n">
        <v>32.00965</v>
      </c>
      <c r="T483" s="89" t="n">
        <v>50.46597</v>
      </c>
      <c r="U483" s="89" t="n"/>
      <c r="V483" s="89" t="n"/>
      <c r="W483" s="89" t="n"/>
      <c r="X483" s="89" t="n"/>
      <c r="Y483" s="89" t="n"/>
      <c r="Z483" s="89" t="n">
        <v>28.99646</v>
      </c>
      <c r="AA483" s="89" t="n">
        <v>9.758960999999999</v>
      </c>
      <c r="AB483" s="89" t="n"/>
      <c r="AC483" s="89" t="n">
        <v>34.74866</v>
      </c>
      <c r="AD483" s="89" t="n"/>
      <c r="AE483" s="89" t="n"/>
      <c r="AF483" s="89" t="n">
        <v>21.426</v>
      </c>
      <c r="AG483" s="89" t="n">
        <v>18.94419</v>
      </c>
      <c r="AH483" s="89" t="n"/>
      <c r="AI483" s="89" t="n"/>
      <c r="AJ483" s="89" t="n">
        <v>21.0522</v>
      </c>
      <c r="AK483" s="89" t="n"/>
      <c r="AL483" s="89" t="n"/>
      <c r="AM483" s="89" t="n">
        <v>25.01362</v>
      </c>
      <c r="AN483" s="89" t="n"/>
      <c r="AO483" s="89" t="n">
        <v>22.15713</v>
      </c>
      <c r="AP483" s="89" t="n"/>
      <c r="AQ483" s="89" t="n"/>
      <c r="AR483" s="89" t="n"/>
      <c r="AS483" s="89" t="n"/>
      <c r="AT483" s="89" t="n"/>
      <c r="AU483" s="89" t="n"/>
      <c r="AV483" s="89" t="n"/>
      <c r="AW483" s="89" t="n"/>
      <c r="AX483" s="89" t="n"/>
      <c r="AY483" s="89" t="n"/>
    </row>
    <row r="484">
      <c r="A484" t="inlineStr">
        <is>
          <t>1959-03</t>
        </is>
      </c>
      <c r="B484" s="1" t="n">
        <v>21610</v>
      </c>
      <c r="C484" s="88" t="n">
        <v>484</v>
      </c>
      <c r="E484" s="1">
        <f>B484</f>
        <v/>
      </c>
      <c r="F484" s="2">
        <f>B484</f>
        <v/>
      </c>
      <c r="G484" s="88" t="n">
        <v>482</v>
      </c>
      <c r="H484" s="89" t="n"/>
      <c r="I484" s="89" t="n"/>
      <c r="J484" s="89" t="n">
        <v>23.60827</v>
      </c>
      <c r="K484" s="89" t="n"/>
      <c r="L484" s="89" t="n"/>
      <c r="M484" s="89" t="n"/>
      <c r="N484" s="89" t="n">
        <v>24.44448</v>
      </c>
      <c r="O484" s="89" t="n"/>
      <c r="P484" s="89" t="n"/>
      <c r="Q484" s="89" t="n"/>
      <c r="R484" s="89" t="n">
        <v>13.64403</v>
      </c>
      <c r="S484" s="89" t="n">
        <v>32.14233</v>
      </c>
      <c r="T484" s="89" t="n">
        <v>49.96631</v>
      </c>
      <c r="U484" s="89" t="n"/>
      <c r="V484" s="89" t="n"/>
      <c r="W484" s="89" t="n"/>
      <c r="X484" s="89" t="n"/>
      <c r="Y484" s="89" t="n"/>
      <c r="Z484" s="89" t="n">
        <v>29.11054</v>
      </c>
      <c r="AA484" s="89" t="n">
        <v>9.843089000000001</v>
      </c>
      <c r="AB484" s="89" t="n"/>
      <c r="AC484" s="89" t="n">
        <v>35.5594</v>
      </c>
      <c r="AD484" s="89" t="n"/>
      <c r="AE484" s="89" t="n"/>
      <c r="AF484" s="89" t="n">
        <v>21.71168</v>
      </c>
      <c r="AG484" s="89" t="n">
        <v>19.01282</v>
      </c>
      <c r="AH484" s="89" t="n"/>
      <c r="AI484" s="89" t="n"/>
      <c r="AJ484" s="89" t="n">
        <v>20.5423</v>
      </c>
      <c r="AK484" s="89" t="n"/>
      <c r="AL484" s="89" t="n"/>
      <c r="AM484" s="89" t="n">
        <v>25.92321</v>
      </c>
      <c r="AN484" s="89" t="n"/>
      <c r="AO484" s="89" t="n">
        <v>22.47631</v>
      </c>
      <c r="AP484" s="89" t="n"/>
      <c r="AQ484" s="89" t="n"/>
      <c r="AR484" s="89" t="n"/>
      <c r="AS484" s="89" t="n"/>
      <c r="AT484" s="89" t="n"/>
      <c r="AU484" s="89" t="n"/>
      <c r="AV484" s="89" t="n"/>
      <c r="AW484" s="89" t="n"/>
      <c r="AX484" s="89" t="n"/>
      <c r="AY484" s="89" t="n"/>
    </row>
    <row r="485">
      <c r="A485" t="inlineStr">
        <is>
          <t>1959-04</t>
        </is>
      </c>
      <c r="B485" s="1" t="n">
        <v>21641</v>
      </c>
      <c r="C485" s="88" t="n">
        <v>485</v>
      </c>
      <c r="E485" s="1">
        <f>B485</f>
        <v/>
      </c>
      <c r="F485" s="2">
        <f>B485</f>
        <v/>
      </c>
      <c r="G485" s="88" t="n">
        <v>483</v>
      </c>
      <c r="H485" s="89" t="n"/>
      <c r="I485" s="89" t="n"/>
      <c r="J485" s="89" t="n">
        <v>24.25231</v>
      </c>
      <c r="K485" s="89" t="n"/>
      <c r="L485" s="89" t="n"/>
      <c r="M485" s="89" t="n"/>
      <c r="N485" s="89" t="n">
        <v>24.38694</v>
      </c>
      <c r="O485" s="89" t="n"/>
      <c r="P485" s="89" t="n"/>
      <c r="Q485" s="89" t="n"/>
      <c r="R485" s="89" t="n">
        <v>13.51943</v>
      </c>
      <c r="S485" s="89" t="n">
        <v>33.00477</v>
      </c>
      <c r="T485" s="89" t="n">
        <v>51.96496</v>
      </c>
      <c r="U485" s="89" t="n"/>
      <c r="V485" s="89" t="n"/>
      <c r="W485" s="89" t="n"/>
      <c r="X485" s="89" t="n"/>
      <c r="Y485" s="89" t="n"/>
      <c r="Z485" s="89" t="n">
        <v>29.14857</v>
      </c>
      <c r="AA485" s="89" t="n">
        <v>10.01135</v>
      </c>
      <c r="AB485" s="89" t="n"/>
      <c r="AC485" s="89" t="n">
        <v>35.63749</v>
      </c>
      <c r="AD485" s="89" t="n"/>
      <c r="AE485" s="89" t="n"/>
      <c r="AF485" s="89" t="n">
        <v>21.71168</v>
      </c>
      <c r="AG485" s="89" t="n">
        <v>18.94419</v>
      </c>
      <c r="AH485" s="89" t="n"/>
      <c r="AI485" s="89" t="n"/>
      <c r="AJ485" s="89" t="n">
        <v>20.40832</v>
      </c>
      <c r="AK485" s="89" t="n"/>
      <c r="AL485" s="89" t="n"/>
      <c r="AM485" s="89" t="n">
        <v>25.46842</v>
      </c>
      <c r="AN485" s="89" t="n"/>
      <c r="AO485" s="89" t="n">
        <v>22.95512</v>
      </c>
      <c r="AP485" s="89" t="n"/>
      <c r="AQ485" s="89" t="n"/>
      <c r="AR485" s="89" t="n"/>
      <c r="AS485" s="89" t="n"/>
      <c r="AT485" s="89" t="n"/>
      <c r="AU485" s="89" t="n"/>
      <c r="AV485" s="89" t="n"/>
      <c r="AW485" s="89" t="n"/>
      <c r="AX485" s="89" t="n"/>
      <c r="AY485" s="89" t="n"/>
    </row>
    <row r="486">
      <c r="A486" t="inlineStr">
        <is>
          <t>1959-05</t>
        </is>
      </c>
      <c r="B486" s="1" t="n">
        <v>21671</v>
      </c>
      <c r="C486" s="88" t="n">
        <v>486</v>
      </c>
      <c r="E486" s="1">
        <f>B486</f>
        <v/>
      </c>
      <c r="F486" s="2">
        <f>B486</f>
        <v/>
      </c>
      <c r="G486" s="88" t="n">
        <v>484</v>
      </c>
      <c r="H486" s="89" t="n"/>
      <c r="I486" s="89" t="n"/>
      <c r="J486" s="89" t="n">
        <v>23.97152</v>
      </c>
      <c r="K486" s="89" t="n"/>
      <c r="L486" s="89" t="n"/>
      <c r="M486" s="89" t="n"/>
      <c r="N486" s="89" t="n">
        <v>25.39415</v>
      </c>
      <c r="O486" s="89" t="n"/>
      <c r="P486" s="89" t="n"/>
      <c r="Q486" s="89" t="n"/>
      <c r="R486" s="89" t="n">
        <v>14.22551</v>
      </c>
      <c r="S486" s="89" t="n">
        <v>32.77257</v>
      </c>
      <c r="T486" s="89" t="n">
        <v>51.96496</v>
      </c>
      <c r="U486" s="89" t="n"/>
      <c r="V486" s="89" t="n"/>
      <c r="W486" s="89" t="n"/>
      <c r="X486" s="89" t="n"/>
      <c r="Y486" s="89" t="n"/>
      <c r="Z486" s="89" t="n">
        <v>29.1866</v>
      </c>
      <c r="AA486" s="89" t="n">
        <v>10.34786</v>
      </c>
      <c r="AB486" s="89" t="n"/>
      <c r="AC486" s="89" t="n">
        <v>36.9642</v>
      </c>
      <c r="AD486" s="89" t="n"/>
      <c r="AE486" s="89" t="n"/>
      <c r="AF486" s="89" t="n">
        <v>22.28304</v>
      </c>
      <c r="AG486" s="89" t="n">
        <v>19.05858</v>
      </c>
      <c r="AH486" s="89" t="n"/>
      <c r="AI486" s="89" t="n"/>
      <c r="AJ486" s="89" t="n">
        <v>20.41673</v>
      </c>
      <c r="AK486" s="89" t="n"/>
      <c r="AL486" s="89" t="n"/>
      <c r="AM486" s="89" t="n">
        <v>25.46842</v>
      </c>
      <c r="AN486" s="89" t="n"/>
      <c r="AO486" s="89" t="n">
        <v>23.30091</v>
      </c>
      <c r="AP486" s="89" t="n"/>
      <c r="AQ486" s="89" t="n"/>
      <c r="AR486" s="89" t="n"/>
      <c r="AS486" s="89" t="n"/>
      <c r="AT486" s="89" t="n"/>
      <c r="AU486" s="89" t="n"/>
      <c r="AV486" s="89" t="n"/>
      <c r="AW486" s="89" t="n"/>
      <c r="AX486" s="89" t="n"/>
      <c r="AY486" s="89" t="n"/>
    </row>
    <row r="487">
      <c r="A487" t="inlineStr">
        <is>
          <t>1959-06</t>
        </is>
      </c>
      <c r="B487" s="1" t="n">
        <v>21702</v>
      </c>
      <c r="C487" s="88" t="n">
        <v>487</v>
      </c>
      <c r="E487" s="1">
        <f>B487</f>
        <v/>
      </c>
      <c r="F487" s="2">
        <f>B487</f>
        <v/>
      </c>
      <c r="G487" s="88" t="n">
        <v>485</v>
      </c>
      <c r="H487" s="89" t="n"/>
      <c r="I487" s="89" t="n"/>
      <c r="J487" s="89" t="n">
        <v>24.33302</v>
      </c>
      <c r="K487" s="89" t="n"/>
      <c r="L487" s="89" t="n"/>
      <c r="M487" s="89" t="n"/>
      <c r="N487" s="89" t="n">
        <v>25.2644</v>
      </c>
      <c r="O487" s="89" t="n"/>
      <c r="P487" s="89" t="n"/>
      <c r="Q487" s="89" t="n"/>
      <c r="R487" s="89" t="n">
        <v>13.8517</v>
      </c>
      <c r="S487" s="89" t="n">
        <v>33.10428</v>
      </c>
      <c r="T487" s="89" t="n">
        <v>51.96496</v>
      </c>
      <c r="U487" s="89" t="n"/>
      <c r="V487" s="89" t="n"/>
      <c r="W487" s="89" t="n"/>
      <c r="X487" s="89" t="n"/>
      <c r="Y487" s="89" t="n"/>
      <c r="Z487" s="89" t="n">
        <v>29.01547</v>
      </c>
      <c r="AA487" s="89" t="n">
        <v>10.68438</v>
      </c>
      <c r="AB487" s="89" t="n"/>
      <c r="AC487" s="89" t="n">
        <v>36.40124</v>
      </c>
      <c r="AD487" s="89" t="n"/>
      <c r="AE487" s="89" t="n"/>
      <c r="AF487" s="89" t="n">
        <v>21.99736</v>
      </c>
      <c r="AG487" s="89" t="n">
        <v>19.76785</v>
      </c>
      <c r="AH487" s="89" t="n"/>
      <c r="AI487" s="89" t="n"/>
      <c r="AJ487" s="89" t="n">
        <v>21.69473</v>
      </c>
      <c r="AK487" s="89" t="n"/>
      <c r="AL487" s="89" t="n"/>
      <c r="AM487" s="89" t="n">
        <v>25.92321</v>
      </c>
      <c r="AN487" s="89" t="n"/>
      <c r="AO487" s="89" t="n">
        <v>23.32751</v>
      </c>
      <c r="AP487" s="89" t="n"/>
      <c r="AQ487" s="89" t="n"/>
      <c r="AR487" s="89" t="n"/>
      <c r="AS487" s="89" t="n"/>
      <c r="AT487" s="89" t="n"/>
      <c r="AU487" s="89" t="n"/>
      <c r="AV487" s="89" t="n"/>
      <c r="AW487" s="89" t="n"/>
      <c r="AX487" s="89" t="n"/>
      <c r="AY487" s="89" t="n"/>
    </row>
    <row r="488">
      <c r="A488" t="inlineStr">
        <is>
          <t>1959-07</t>
        </is>
      </c>
      <c r="B488" s="1" t="n">
        <v>21732</v>
      </c>
      <c r="C488" s="88" t="n">
        <v>488</v>
      </c>
      <c r="E488" s="1">
        <f>B488</f>
        <v/>
      </c>
      <c r="F488" s="2">
        <f>B488</f>
        <v/>
      </c>
      <c r="G488" s="88" t="n">
        <v>486</v>
      </c>
      <c r="H488" s="89" t="n"/>
      <c r="I488" s="89" t="n"/>
      <c r="J488" s="89" t="n">
        <v>24.21875</v>
      </c>
      <c r="K488" s="89" t="n"/>
      <c r="L488" s="89" t="n"/>
      <c r="M488" s="89" t="n"/>
      <c r="N488" s="89" t="n">
        <v>24.901</v>
      </c>
      <c r="O488" s="89" t="n"/>
      <c r="P488" s="89" t="n"/>
      <c r="Q488" s="89" t="n"/>
      <c r="R488" s="89" t="n">
        <v>14.03861</v>
      </c>
      <c r="S488" s="89" t="n">
        <v>33.07111</v>
      </c>
      <c r="T488" s="89" t="n">
        <v>52.46463</v>
      </c>
      <c r="U488" s="89" t="n"/>
      <c r="V488" s="89" t="n"/>
      <c r="W488" s="89" t="n"/>
      <c r="X488" s="89" t="n"/>
      <c r="Y488" s="89" t="n"/>
      <c r="Z488" s="89" t="n">
        <v>29.22462</v>
      </c>
      <c r="AA488" s="89" t="n">
        <v>10.76851</v>
      </c>
      <c r="AB488" s="89" t="n"/>
      <c r="AC488" s="89" t="n">
        <v>36.85418</v>
      </c>
      <c r="AD488" s="89" t="n"/>
      <c r="AE488" s="89" t="n"/>
      <c r="AF488" s="89" t="n">
        <v>22.8544</v>
      </c>
      <c r="AG488" s="89" t="n">
        <v>20.1568</v>
      </c>
      <c r="AH488" s="89" t="n"/>
      <c r="AI488" s="89" t="n"/>
      <c r="AJ488" s="89" t="n">
        <v>22.15693</v>
      </c>
      <c r="AK488" s="89" t="n"/>
      <c r="AL488" s="89" t="n"/>
      <c r="AM488" s="89" t="n">
        <v>29.56155</v>
      </c>
      <c r="AN488" s="89" t="n"/>
      <c r="AO488" s="89" t="n">
        <v>22.76888</v>
      </c>
      <c r="AP488" s="89" t="n"/>
      <c r="AQ488" s="89" t="n"/>
      <c r="AR488" s="89" t="n"/>
      <c r="AS488" s="89" t="n"/>
      <c r="AT488" s="89" t="n"/>
      <c r="AU488" s="89" t="n"/>
      <c r="AV488" s="89" t="n"/>
      <c r="AW488" s="89" t="n"/>
      <c r="AX488" s="89" t="n"/>
      <c r="AY488" s="89" t="n"/>
    </row>
    <row r="489">
      <c r="A489" t="inlineStr">
        <is>
          <t>1959-08</t>
        </is>
      </c>
      <c r="B489" s="1" t="n">
        <v>21763</v>
      </c>
      <c r="C489" s="88" t="n">
        <v>489</v>
      </c>
      <c r="E489" s="1">
        <f>B489</f>
        <v/>
      </c>
      <c r="F489" s="2">
        <f>B489</f>
        <v/>
      </c>
      <c r="G489" s="88" t="n">
        <v>487</v>
      </c>
      <c r="H489" s="89" t="n"/>
      <c r="I489" s="89" t="n"/>
      <c r="J489" s="89" t="n">
        <v>24.03924</v>
      </c>
      <c r="K489" s="89" t="n"/>
      <c r="L489" s="89" t="n"/>
      <c r="M489" s="89" t="n"/>
      <c r="N489" s="89" t="n">
        <v>26.37444</v>
      </c>
      <c r="O489" s="89" t="n"/>
      <c r="P489" s="89" t="n"/>
      <c r="Q489" s="89" t="n"/>
      <c r="R489" s="89" t="n">
        <v>14.26705</v>
      </c>
      <c r="S489" s="89" t="n">
        <v>33.07111</v>
      </c>
      <c r="T489" s="89" t="n">
        <v>52.46463</v>
      </c>
      <c r="U489" s="89" t="n"/>
      <c r="V489" s="89" t="n"/>
      <c r="W489" s="89" t="n"/>
      <c r="X489" s="89" t="n"/>
      <c r="Y489" s="89" t="n"/>
      <c r="Z489" s="89" t="n">
        <v>30.28941</v>
      </c>
      <c r="AA489" s="89" t="n">
        <v>10.93677</v>
      </c>
      <c r="AB489" s="89" t="n"/>
      <c r="AC489" s="89" t="n">
        <v>36.8373</v>
      </c>
      <c r="AD489" s="89" t="n"/>
      <c r="AE489" s="89" t="n"/>
      <c r="AF489" s="89" t="n">
        <v>22.8544</v>
      </c>
      <c r="AG489" s="89" t="n">
        <v>19.53905</v>
      </c>
      <c r="AH489" s="89" t="n"/>
      <c r="AI489" s="89" t="n"/>
      <c r="AJ489" s="89" t="n">
        <v>22.25181</v>
      </c>
      <c r="AK489" s="89" t="n"/>
      <c r="AL489" s="89" t="n"/>
      <c r="AM489" s="89" t="n">
        <v>27.28759</v>
      </c>
      <c r="AN489" s="89" t="n"/>
      <c r="AO489" s="89" t="n">
        <v>21.99749</v>
      </c>
      <c r="AP489" s="89" t="n"/>
      <c r="AQ489" s="89" t="n"/>
      <c r="AR489" s="89" t="n"/>
      <c r="AS489" s="89" t="n"/>
      <c r="AT489" s="89" t="n"/>
      <c r="AU489" s="89" t="n"/>
      <c r="AV489" s="89" t="n"/>
      <c r="AW489" s="89" t="n"/>
      <c r="AX489" s="89" t="n"/>
      <c r="AY489" s="89" t="n"/>
    </row>
    <row r="490">
      <c r="A490" t="inlineStr">
        <is>
          <t>1959-09</t>
        </is>
      </c>
      <c r="B490" s="1" t="n">
        <v>21794</v>
      </c>
      <c r="C490" s="88" t="n">
        <v>490</v>
      </c>
      <c r="E490" s="1">
        <f>B490</f>
        <v/>
      </c>
      <c r="F490" s="2">
        <f>B490</f>
        <v/>
      </c>
      <c r="G490" s="88" t="n">
        <v>488</v>
      </c>
      <c r="H490" s="89" t="n"/>
      <c r="I490" s="89" t="n"/>
      <c r="J490" s="89" t="n">
        <v>24.65948</v>
      </c>
      <c r="K490" s="89" t="n"/>
      <c r="L490" s="89" t="n"/>
      <c r="M490" s="89" t="n"/>
      <c r="N490" s="89" t="n">
        <v>26.00444</v>
      </c>
      <c r="O490" s="89" t="n"/>
      <c r="P490" s="89" t="n"/>
      <c r="Q490" s="89" t="n"/>
      <c r="R490" s="89" t="n">
        <v>14.39165</v>
      </c>
      <c r="S490" s="89" t="n">
        <v>33.70135</v>
      </c>
      <c r="T490" s="89" t="n">
        <v>53.46395</v>
      </c>
      <c r="U490" s="89" t="n"/>
      <c r="V490" s="89" t="n"/>
      <c r="W490" s="89" t="n"/>
      <c r="X490" s="89" t="n"/>
      <c r="Y490" s="89" t="n"/>
      <c r="Z490" s="89" t="n">
        <v>30.9549</v>
      </c>
      <c r="AA490" s="89" t="n">
        <v>11.18915</v>
      </c>
      <c r="AB490" s="89" t="n"/>
      <c r="AC490" s="89" t="n">
        <v>36.65637</v>
      </c>
      <c r="AD490" s="89" t="n"/>
      <c r="AE490" s="89" t="n"/>
      <c r="AF490" s="89" t="n">
        <v>23.14008</v>
      </c>
      <c r="AG490" s="89" t="n">
        <v>19.74497</v>
      </c>
      <c r="AH490" s="89" t="n"/>
      <c r="AI490" s="89" t="n"/>
      <c r="AJ490" s="89" t="n">
        <v>22.35808</v>
      </c>
      <c r="AK490" s="89" t="n"/>
      <c r="AL490" s="89" t="n"/>
      <c r="AM490" s="89" t="n">
        <v>26.8328</v>
      </c>
      <c r="AN490" s="89" t="n"/>
      <c r="AO490" s="89" t="n">
        <v>21.97098</v>
      </c>
      <c r="AP490" s="89" t="n"/>
      <c r="AQ490" s="89" t="n"/>
      <c r="AR490" s="89" t="n"/>
      <c r="AS490" s="89" t="n"/>
      <c r="AT490" s="89" t="n"/>
      <c r="AU490" s="89" t="n"/>
      <c r="AV490" s="89" t="n"/>
      <c r="AW490" s="89" t="n"/>
      <c r="AX490" s="89" t="n"/>
      <c r="AY490" s="89" t="n"/>
    </row>
    <row r="491">
      <c r="A491" t="inlineStr">
        <is>
          <t>1959-10</t>
        </is>
      </c>
      <c r="B491" s="1" t="n">
        <v>21824</v>
      </c>
      <c r="C491" s="88" t="n">
        <v>491</v>
      </c>
      <c r="E491" s="1">
        <f>B491</f>
        <v/>
      </c>
      <c r="F491" s="2">
        <f>B491</f>
        <v/>
      </c>
      <c r="G491" s="88" t="n">
        <v>489</v>
      </c>
      <c r="H491" s="89" t="n"/>
      <c r="I491" s="89" t="n"/>
      <c r="J491" s="89" t="n">
        <v>24.90663</v>
      </c>
      <c r="K491" s="89" t="n"/>
      <c r="L491" s="89" t="n"/>
      <c r="M491" s="89" t="n"/>
      <c r="N491" s="89" t="n">
        <v>26.98293</v>
      </c>
      <c r="O491" s="89" t="n"/>
      <c r="P491" s="89" t="n"/>
      <c r="Q491" s="89" t="n"/>
      <c r="R491" s="89" t="n">
        <v>14.59932</v>
      </c>
      <c r="S491" s="89" t="n">
        <v>34.23208</v>
      </c>
      <c r="T491" s="89" t="n">
        <v>54.46328</v>
      </c>
      <c r="U491" s="89" t="n"/>
      <c r="V491" s="89" t="n"/>
      <c r="W491" s="89" t="n"/>
      <c r="X491" s="89" t="n"/>
      <c r="Y491" s="89" t="n"/>
      <c r="Z491" s="89" t="n">
        <v>31.50631</v>
      </c>
      <c r="AA491" s="89" t="n">
        <v>11.44154</v>
      </c>
      <c r="AB491" s="89" t="n"/>
      <c r="AC491" s="89" t="n">
        <v>37.15224</v>
      </c>
      <c r="AD491" s="89" t="n"/>
      <c r="AE491" s="89" t="n"/>
      <c r="AF491" s="89" t="n">
        <v>23.42576</v>
      </c>
      <c r="AG491" s="89" t="n">
        <v>19.90512</v>
      </c>
      <c r="AH491" s="89" t="n"/>
      <c r="AI491" s="89" t="n"/>
      <c r="AJ491" s="89" t="n">
        <v>23.02894</v>
      </c>
      <c r="AK491" s="89" t="n"/>
      <c r="AL491" s="89" t="n"/>
      <c r="AM491" s="89" t="n">
        <v>27.28759</v>
      </c>
      <c r="AN491" s="89" t="n"/>
      <c r="AO491" s="89" t="n">
        <v>21.81135</v>
      </c>
      <c r="AP491" s="89" t="n"/>
      <c r="AQ491" s="89" t="n"/>
      <c r="AR491" s="89" t="n"/>
      <c r="AS491" s="89" t="n"/>
      <c r="AT491" s="89" t="n"/>
      <c r="AU491" s="89" t="n"/>
      <c r="AV491" s="89" t="n"/>
      <c r="AW491" s="89" t="n"/>
      <c r="AX491" s="89" t="n"/>
      <c r="AY491" s="89" t="n"/>
    </row>
    <row r="492">
      <c r="A492" t="inlineStr">
        <is>
          <t>1959-11</t>
        </is>
      </c>
      <c r="B492" s="1" t="n">
        <v>21855</v>
      </c>
      <c r="C492" s="88" t="n">
        <v>492</v>
      </c>
      <c r="E492" s="1">
        <f>B492</f>
        <v/>
      </c>
      <c r="F492" s="2">
        <f>B492</f>
        <v/>
      </c>
      <c r="G492" s="88" t="n">
        <v>490</v>
      </c>
      <c r="H492" s="89" t="n"/>
      <c r="I492" s="89" t="n"/>
      <c r="J492" s="89" t="n">
        <v>25.8055</v>
      </c>
      <c r="K492" s="89" t="n"/>
      <c r="L492" s="89" t="n"/>
      <c r="M492" s="89" t="n"/>
      <c r="N492" s="89" t="n">
        <v>26.72246</v>
      </c>
      <c r="O492" s="89" t="n"/>
      <c r="P492" s="89" t="n"/>
      <c r="Q492" s="89" t="n"/>
      <c r="R492" s="89" t="n">
        <v>14.72392</v>
      </c>
      <c r="S492" s="89" t="n">
        <v>34.46428</v>
      </c>
      <c r="T492" s="89" t="n">
        <v>54.96294</v>
      </c>
      <c r="U492" s="89" t="n"/>
      <c r="V492" s="89" t="n"/>
      <c r="W492" s="89" t="n"/>
      <c r="X492" s="89" t="n"/>
      <c r="Y492" s="89" t="n"/>
      <c r="Z492" s="89" t="n">
        <v>32.26688</v>
      </c>
      <c r="AA492" s="89" t="n">
        <v>11.6098</v>
      </c>
      <c r="AB492" s="89" t="n"/>
      <c r="AC492" s="89" t="n">
        <v>39.03835</v>
      </c>
      <c r="AD492" s="89" t="n"/>
      <c r="AE492" s="89" t="n"/>
      <c r="AF492" s="89" t="n">
        <v>23.42576</v>
      </c>
      <c r="AG492" s="89" t="n">
        <v>19.69921</v>
      </c>
      <c r="AH492" s="89" t="n"/>
      <c r="AI492" s="89" t="n"/>
      <c r="AJ492" s="89" t="n">
        <v>22.55449</v>
      </c>
      <c r="AK492" s="89" t="n"/>
      <c r="AL492" s="89" t="n"/>
      <c r="AM492" s="89" t="n">
        <v>27.28759</v>
      </c>
      <c r="AN492" s="89" t="n"/>
      <c r="AO492" s="89" t="n">
        <v>21.94438</v>
      </c>
      <c r="AP492" s="89" t="n"/>
      <c r="AQ492" s="89" t="n"/>
      <c r="AR492" s="89" t="n"/>
      <c r="AS492" s="89" t="n"/>
      <c r="AT492" s="89" t="n"/>
      <c r="AU492" s="89" t="n"/>
      <c r="AV492" s="89" t="n"/>
      <c r="AW492" s="89" t="n"/>
      <c r="AX492" s="89" t="n"/>
      <c r="AY492" s="89" t="n"/>
    </row>
    <row r="493">
      <c r="A493" t="inlineStr">
        <is>
          <t>1959-12</t>
        </is>
      </c>
      <c r="B493" s="1" t="n">
        <v>21885</v>
      </c>
      <c r="C493" s="88" t="n">
        <v>493</v>
      </c>
      <c r="E493" s="1">
        <f>B493</f>
        <v/>
      </c>
      <c r="F493" s="2">
        <f>B493</f>
        <v/>
      </c>
      <c r="G493" s="88" t="n">
        <v>491</v>
      </c>
      <c r="H493" s="89" t="n"/>
      <c r="I493" s="89" t="n"/>
      <c r="J493" s="89" t="n">
        <v>25.2612</v>
      </c>
      <c r="K493" s="89" t="n"/>
      <c r="L493" s="89" t="n"/>
      <c r="M493" s="89" t="n"/>
      <c r="N493" s="89" t="n">
        <v>26.83316</v>
      </c>
      <c r="O493" s="89" t="n"/>
      <c r="P493" s="89" t="n"/>
      <c r="Q493" s="89" t="n"/>
      <c r="R493" s="89" t="n">
        <v>14.93159</v>
      </c>
      <c r="S493" s="89" t="n">
        <v>34.72964</v>
      </c>
      <c r="T493" s="89" t="n">
        <v>55.4626</v>
      </c>
      <c r="U493" s="89" t="n"/>
      <c r="V493" s="89" t="n"/>
      <c r="W493" s="89" t="n"/>
      <c r="X493" s="89" t="n"/>
      <c r="Y493" s="89" t="n"/>
      <c r="Z493" s="89" t="n">
        <v>32.66617</v>
      </c>
      <c r="AA493" s="89" t="n">
        <v>12.11457</v>
      </c>
      <c r="AB493" s="89" t="n"/>
      <c r="AC493" s="89" t="n">
        <v>40.18851</v>
      </c>
      <c r="AD493" s="89" t="n"/>
      <c r="AE493" s="89" t="n"/>
      <c r="AF493" s="89" t="n">
        <v>23.42576</v>
      </c>
      <c r="AG493" s="89" t="n">
        <v>20.22544</v>
      </c>
      <c r="AH493" s="89" t="n"/>
      <c r="AI493" s="89" t="n"/>
      <c r="AJ493" s="89" t="n">
        <v>22.96994</v>
      </c>
      <c r="AK493" s="89" t="n"/>
      <c r="AL493" s="89" t="n"/>
      <c r="AM493" s="89" t="n">
        <v>27.74238</v>
      </c>
      <c r="AN493" s="89" t="n"/>
      <c r="AO493" s="89" t="n">
        <v>23.30091</v>
      </c>
      <c r="AP493" s="89" t="n"/>
      <c r="AQ493" s="89" t="n"/>
      <c r="AR493" s="89" t="n"/>
      <c r="AS493" s="89" t="n"/>
      <c r="AT493" s="89" t="n"/>
      <c r="AU493" s="89" t="n"/>
      <c r="AV493" s="89" t="n"/>
      <c r="AW493" s="89" t="n"/>
      <c r="AX493" s="89" t="n"/>
      <c r="AY493" s="89" t="n"/>
    </row>
    <row r="494">
      <c r="A494" t="inlineStr">
        <is>
          <t>1960-01</t>
        </is>
      </c>
      <c r="B494" s="1" t="n">
        <v>21916</v>
      </c>
      <c r="C494" s="88" t="n">
        <v>494</v>
      </c>
      <c r="E494" s="1">
        <f>B494</f>
        <v/>
      </c>
      <c r="F494" s="2">
        <f>B494</f>
        <v/>
      </c>
      <c r="G494" s="88" t="n">
        <v>492</v>
      </c>
      <c r="H494" s="89" t="n"/>
      <c r="I494" s="89" t="n"/>
      <c r="J494" s="89" t="n">
        <v>25.19021</v>
      </c>
      <c r="K494" s="89" t="n"/>
      <c r="L494" s="89" t="n"/>
      <c r="M494" s="89" t="n"/>
      <c r="N494" s="89" t="n">
        <v>27.27277</v>
      </c>
      <c r="O494" s="89" t="n"/>
      <c r="P494" s="89" t="n"/>
      <c r="Q494" s="89" t="n"/>
      <c r="R494" s="89" t="n">
        <v>15.01466</v>
      </c>
      <c r="S494" s="89" t="n">
        <v>34.92866</v>
      </c>
      <c r="T494" s="89" t="n">
        <v>55.96227</v>
      </c>
      <c r="U494" s="89" t="n"/>
      <c r="V494" s="89" t="n"/>
      <c r="W494" s="89" t="n"/>
      <c r="X494" s="89" t="n"/>
      <c r="Y494" s="89" t="n"/>
      <c r="Z494" s="89" t="n">
        <v>32.55209</v>
      </c>
      <c r="AA494" s="89" t="n">
        <v>12.11457</v>
      </c>
      <c r="AB494" s="89" t="n"/>
      <c r="AC494" s="89" t="n">
        <v>40.25622</v>
      </c>
      <c r="AD494" s="89" t="n"/>
      <c r="AE494" s="89" t="n"/>
      <c r="AF494" s="89" t="n">
        <v>23.71144</v>
      </c>
      <c r="AG494" s="89" t="n">
        <v>20.63726</v>
      </c>
      <c r="AH494" s="89" t="n"/>
      <c r="AI494" s="89" t="n"/>
      <c r="AJ494" s="89" t="n">
        <v>20.94593</v>
      </c>
      <c r="AK494" s="89" t="n"/>
      <c r="AL494" s="89" t="n"/>
      <c r="AM494" s="89" t="n">
        <v>27.74238</v>
      </c>
      <c r="AN494" s="89" t="n"/>
      <c r="AO494" s="89" t="n">
        <v>23.91265</v>
      </c>
      <c r="AP494" s="89" t="n"/>
      <c r="AQ494" s="89" t="n"/>
      <c r="AR494" s="89" t="n"/>
      <c r="AS494" s="89" t="n"/>
      <c r="AT494" s="89" t="n"/>
      <c r="AU494" s="89" t="n"/>
      <c r="AV494" s="89" t="n"/>
      <c r="AW494" s="89" t="n"/>
      <c r="AX494" s="89" t="n"/>
      <c r="AY494" s="89" t="n"/>
    </row>
    <row r="495">
      <c r="A495" t="inlineStr">
        <is>
          <t>1960-02</t>
        </is>
      </c>
      <c r="B495" s="1" t="n">
        <v>21947</v>
      </c>
      <c r="C495" s="88" t="n">
        <v>495</v>
      </c>
      <c r="E495" s="1">
        <f>B495</f>
        <v/>
      </c>
      <c r="F495" s="2">
        <f>B495</f>
        <v/>
      </c>
      <c r="G495" s="88" t="n">
        <v>493</v>
      </c>
      <c r="H495" s="89" t="n"/>
      <c r="I495" s="89" t="n"/>
      <c r="J495" s="89" t="n">
        <v>26.12119</v>
      </c>
      <c r="K495" s="89" t="n"/>
      <c r="L495" s="89" t="n"/>
      <c r="M495" s="89" t="n"/>
      <c r="N495" s="89" t="n">
        <v>27.11442</v>
      </c>
      <c r="O495" s="89" t="n"/>
      <c r="P495" s="89" t="n"/>
      <c r="Q495" s="89" t="n"/>
      <c r="R495" s="89" t="n">
        <v>15.07697</v>
      </c>
      <c r="S495" s="89" t="n">
        <v>35.19403</v>
      </c>
      <c r="T495" s="89" t="n">
        <v>55.96227</v>
      </c>
      <c r="U495" s="89" t="n"/>
      <c r="V495" s="89" t="n"/>
      <c r="W495" s="89" t="n"/>
      <c r="X495" s="89" t="n"/>
      <c r="Y495" s="89" t="n"/>
      <c r="Z495" s="89" t="n">
        <v>33.44575</v>
      </c>
      <c r="AA495" s="89" t="n">
        <v>12.70347</v>
      </c>
      <c r="AB495" s="89" t="n"/>
      <c r="AC495" s="89" t="n">
        <v>39.9143</v>
      </c>
      <c r="AD495" s="89" t="n"/>
      <c r="AE495" s="89" t="n"/>
      <c r="AF495" s="89" t="n">
        <v>23.71144</v>
      </c>
      <c r="AG495" s="89" t="n">
        <v>20.45423</v>
      </c>
      <c r="AH495" s="89" t="n"/>
      <c r="AI495" s="89" t="n"/>
      <c r="AJ495" s="89" t="n">
        <v>22.73429</v>
      </c>
      <c r="AK495" s="89" t="n"/>
      <c r="AL495" s="89" t="n"/>
      <c r="AM495" s="89" t="n">
        <v>27.74238</v>
      </c>
      <c r="AN495" s="89" t="n"/>
      <c r="AO495" s="89" t="n">
        <v>23.6999</v>
      </c>
      <c r="AP495" s="89" t="n"/>
      <c r="AQ495" s="89" t="n"/>
      <c r="AR495" s="89" t="n"/>
      <c r="AS495" s="89" t="n"/>
      <c r="AT495" s="89" t="n"/>
      <c r="AU495" s="89" t="n"/>
      <c r="AV495" s="89" t="n"/>
      <c r="AW495" s="89" t="n"/>
      <c r="AX495" s="89" t="n"/>
      <c r="AY495" s="89" t="n"/>
    </row>
    <row r="496">
      <c r="A496" t="inlineStr">
        <is>
          <t>1960-03</t>
        </is>
      </c>
      <c r="B496" s="1" t="n">
        <v>21976</v>
      </c>
      <c r="C496" s="88" t="n">
        <v>496</v>
      </c>
      <c r="E496" s="1">
        <f>B496</f>
        <v/>
      </c>
      <c r="F496" s="2">
        <f>B496</f>
        <v/>
      </c>
      <c r="G496" s="88" t="n">
        <v>494</v>
      </c>
      <c r="H496" s="89" t="n"/>
      <c r="I496" s="89" t="n"/>
      <c r="J496" s="89" t="n">
        <v>25.59089</v>
      </c>
      <c r="K496" s="89" t="n"/>
      <c r="L496" s="89" t="n"/>
      <c r="M496" s="89" t="n"/>
      <c r="N496" s="89" t="n">
        <v>27.49915</v>
      </c>
      <c r="O496" s="89" t="n"/>
      <c r="P496" s="89" t="n"/>
      <c r="Q496" s="89" t="n"/>
      <c r="R496" s="89" t="n">
        <v>15.38847</v>
      </c>
      <c r="S496" s="89" t="n">
        <v>35.19403</v>
      </c>
      <c r="T496" s="89" t="n">
        <v>56.46193</v>
      </c>
      <c r="U496" s="89" t="n"/>
      <c r="V496" s="89" t="n"/>
      <c r="W496" s="89" t="n"/>
      <c r="X496" s="89" t="n"/>
      <c r="Y496" s="89" t="n"/>
      <c r="Z496" s="89" t="n">
        <v>33.95913</v>
      </c>
      <c r="AA496" s="89" t="n">
        <v>12.70347</v>
      </c>
      <c r="AB496" s="89" t="n"/>
      <c r="AC496" s="89" t="n">
        <v>40.02938</v>
      </c>
      <c r="AD496" s="89" t="n"/>
      <c r="AE496" s="89" t="n"/>
      <c r="AF496" s="89" t="n">
        <v>23.99712</v>
      </c>
      <c r="AG496" s="89" t="n">
        <v>20.72878</v>
      </c>
      <c r="AH496" s="89" t="n"/>
      <c r="AI496" s="89" t="n"/>
      <c r="AJ496" s="89" t="n">
        <v>22.61633</v>
      </c>
      <c r="AK496" s="89" t="n"/>
      <c r="AL496" s="89" t="n"/>
      <c r="AM496" s="89" t="n">
        <v>27.74238</v>
      </c>
      <c r="AN496" s="89" t="n"/>
      <c r="AO496" s="89" t="n">
        <v>23.48715</v>
      </c>
      <c r="AP496" s="89" t="n"/>
      <c r="AQ496" s="89" t="n"/>
      <c r="AR496" s="89" t="n"/>
      <c r="AS496" s="89" t="n"/>
      <c r="AT496" s="89" t="n"/>
      <c r="AU496" s="89" t="n"/>
      <c r="AV496" s="89" t="n"/>
      <c r="AW496" s="89" t="n"/>
      <c r="AX496" s="89" t="n"/>
      <c r="AY496" s="89" t="n"/>
    </row>
    <row r="497">
      <c r="A497" t="inlineStr">
        <is>
          <t>1960-04</t>
        </is>
      </c>
      <c r="B497" s="1" t="n">
        <v>22007</v>
      </c>
      <c r="C497" s="88" t="n">
        <v>497</v>
      </c>
      <c r="E497" s="1">
        <f>B497</f>
        <v/>
      </c>
      <c r="F497" s="2">
        <f>B497</f>
        <v/>
      </c>
      <c r="G497" s="88" t="n">
        <v>495</v>
      </c>
      <c r="H497" s="89" t="n"/>
      <c r="I497" s="89" t="n"/>
      <c r="J497" s="89" t="n">
        <v>25.79383</v>
      </c>
      <c r="K497" s="89" t="n"/>
      <c r="L497" s="89" t="n"/>
      <c r="M497" s="89" t="n"/>
      <c r="N497" s="89" t="n">
        <v>28.11819</v>
      </c>
      <c r="O497" s="89" t="n"/>
      <c r="P497" s="89" t="n"/>
      <c r="Q497" s="89" t="n"/>
      <c r="R497" s="89" t="n">
        <v>15.61691</v>
      </c>
      <c r="S497" s="89" t="n">
        <v>35.59208</v>
      </c>
      <c r="T497" s="89" t="n">
        <v>55.96227</v>
      </c>
      <c r="U497" s="89" t="n"/>
      <c r="V497" s="89" t="n"/>
      <c r="W497" s="89" t="n"/>
      <c r="X497" s="89" t="n"/>
      <c r="Y497" s="89" t="n"/>
      <c r="Z497" s="89" t="n">
        <v>34.01617</v>
      </c>
      <c r="AA497" s="89" t="n">
        <v>12.95586</v>
      </c>
      <c r="AB497" s="89" t="n"/>
      <c r="AC497" s="89" t="n">
        <v>39.66871</v>
      </c>
      <c r="AD497" s="89" t="n"/>
      <c r="AE497" s="89" t="n"/>
      <c r="AF497" s="89" t="n">
        <v>24.56848</v>
      </c>
      <c r="AG497" s="89" t="n">
        <v>20.77454</v>
      </c>
      <c r="AH497" s="89" t="n"/>
      <c r="AI497" s="89" t="n"/>
      <c r="AJ497" s="89" t="n">
        <v>22.91101</v>
      </c>
      <c r="AK497" s="89" t="n"/>
      <c r="AL497" s="89" t="n"/>
      <c r="AM497" s="89" t="n">
        <v>27.74238</v>
      </c>
      <c r="AN497" s="89" t="n"/>
      <c r="AO497" s="89" t="n">
        <v>23.30091</v>
      </c>
      <c r="AP497" s="89" t="n"/>
      <c r="AQ497" s="89" t="n"/>
      <c r="AR497" s="89" t="n"/>
      <c r="AS497" s="89" t="n"/>
      <c r="AT497" s="89" t="n"/>
      <c r="AU497" s="89" t="n"/>
      <c r="AV497" s="89" t="n"/>
      <c r="AW497" s="89" t="n"/>
      <c r="AX497" s="89" t="n"/>
      <c r="AY497" s="89" t="n"/>
    </row>
    <row r="498">
      <c r="A498" t="inlineStr">
        <is>
          <t>1960-05</t>
        </is>
      </c>
      <c r="B498" s="1" t="n">
        <v>22037</v>
      </c>
      <c r="C498" s="88" t="n">
        <v>498</v>
      </c>
      <c r="E498" s="1">
        <f>B498</f>
        <v/>
      </c>
      <c r="F498" s="2">
        <f>B498</f>
        <v/>
      </c>
      <c r="G498" s="88" t="n">
        <v>496</v>
      </c>
      <c r="H498" s="89" t="n"/>
      <c r="I498" s="89" t="n"/>
      <c r="J498" s="89" t="n">
        <v>25.84073</v>
      </c>
      <c r="K498" s="89" t="n"/>
      <c r="L498" s="89" t="n"/>
      <c r="M498" s="89" t="n"/>
      <c r="N498" s="89" t="n">
        <v>27.76736</v>
      </c>
      <c r="O498" s="89" t="n"/>
      <c r="P498" s="89" t="n"/>
      <c r="Q498" s="89" t="n"/>
      <c r="R498" s="89" t="n">
        <v>15.65845</v>
      </c>
      <c r="S498" s="89" t="n">
        <v>35.49256</v>
      </c>
      <c r="T498" s="89" t="n">
        <v>56.46193</v>
      </c>
      <c r="U498" s="89" t="n"/>
      <c r="V498" s="89" t="n"/>
      <c r="W498" s="89" t="n"/>
      <c r="X498" s="89" t="n"/>
      <c r="Y498" s="89" t="n"/>
      <c r="Z498" s="89" t="n">
        <v>34.47251</v>
      </c>
      <c r="AA498" s="89" t="n">
        <v>13.03999</v>
      </c>
      <c r="AB498" s="89" t="n"/>
      <c r="AC498" s="89" t="n">
        <v>39.43251</v>
      </c>
      <c r="AD498" s="89" t="n"/>
      <c r="AE498" s="89" t="n"/>
      <c r="AF498" s="89" t="n">
        <v>24.56848</v>
      </c>
      <c r="AG498" s="89" t="n">
        <v>22.03291</v>
      </c>
      <c r="AH498" s="89" t="n"/>
      <c r="AI498" s="89" t="n"/>
      <c r="AJ498" s="89" t="n">
        <v>22.10576</v>
      </c>
      <c r="AK498" s="89" t="n"/>
      <c r="AL498" s="89" t="n"/>
      <c r="AM498" s="89" t="n">
        <v>27.28759</v>
      </c>
      <c r="AN498" s="89" t="n"/>
      <c r="AO498" s="89" t="n">
        <v>23.2743</v>
      </c>
      <c r="AP498" s="89" t="n"/>
      <c r="AQ498" s="89" t="n"/>
      <c r="AR498" s="89" t="n"/>
      <c r="AS498" s="89" t="n"/>
      <c r="AT498" s="89" t="n"/>
      <c r="AU498" s="89" t="n"/>
      <c r="AV498" s="89" t="n"/>
      <c r="AW498" s="89" t="n"/>
      <c r="AX498" s="89" t="n"/>
      <c r="AY498" s="89" t="n"/>
    </row>
    <row r="499">
      <c r="A499" t="inlineStr">
        <is>
          <t>1960-06</t>
        </is>
      </c>
      <c r="B499" s="1" t="n">
        <v>22068</v>
      </c>
      <c r="C499" s="88" t="n">
        <v>499</v>
      </c>
      <c r="E499" s="1">
        <f>B499</f>
        <v/>
      </c>
      <c r="F499" s="2">
        <f>B499</f>
        <v/>
      </c>
      <c r="G499" s="88" t="n">
        <v>497</v>
      </c>
      <c r="H499" s="89" t="n"/>
      <c r="I499" s="89" t="n"/>
      <c r="J499" s="89" t="n">
        <v>25.70366</v>
      </c>
      <c r="K499" s="89" t="n"/>
      <c r="L499" s="89" t="n"/>
      <c r="M499" s="89" t="n"/>
      <c r="N499" s="89" t="n">
        <v>27.91236</v>
      </c>
      <c r="O499" s="89" t="n"/>
      <c r="P499" s="89" t="n"/>
      <c r="Q499" s="89" t="n"/>
      <c r="R499" s="89" t="n">
        <v>16.01149</v>
      </c>
      <c r="S499" s="89" t="n">
        <v>36.02329</v>
      </c>
      <c r="T499" s="89" t="n">
        <v>55.96227</v>
      </c>
      <c r="U499" s="89" t="n"/>
      <c r="V499" s="89" t="n"/>
      <c r="W499" s="89" t="n"/>
      <c r="X499" s="89" t="n"/>
      <c r="Y499" s="89" t="n"/>
      <c r="Z499" s="89" t="n">
        <v>35.25208</v>
      </c>
      <c r="AA499" s="89" t="n">
        <v>13.03999</v>
      </c>
      <c r="AB499" s="89" t="n"/>
      <c r="AC499" s="89" t="n">
        <v>39.81158</v>
      </c>
      <c r="AD499" s="89" t="n"/>
      <c r="AE499" s="89" t="n"/>
      <c r="AF499" s="89" t="n">
        <v>24.85416</v>
      </c>
      <c r="AG499" s="89" t="n">
        <v>21.23213</v>
      </c>
      <c r="AH499" s="89" t="n"/>
      <c r="AI499" s="89" t="n"/>
      <c r="AJ499" s="89" t="n">
        <v>23.05699</v>
      </c>
      <c r="AK499" s="89" t="n"/>
      <c r="AL499" s="89" t="n"/>
      <c r="AM499" s="89" t="n">
        <v>28.19717</v>
      </c>
      <c r="AN499" s="89" t="n"/>
      <c r="AO499" s="89" t="n">
        <v>22.98173</v>
      </c>
      <c r="AP499" s="89" t="n"/>
      <c r="AQ499" s="89" t="n"/>
      <c r="AR499" s="89" t="n"/>
      <c r="AS499" s="89" t="n"/>
      <c r="AT499" s="89" t="n"/>
      <c r="AU499" s="89" t="n"/>
      <c r="AV499" s="89" t="n"/>
      <c r="AW499" s="89" t="n"/>
      <c r="AX499" s="89" t="n"/>
      <c r="AY499" s="89" t="n"/>
    </row>
    <row r="500">
      <c r="A500" t="inlineStr">
        <is>
          <t>1960-07</t>
        </is>
      </c>
      <c r="B500" s="1" t="n">
        <v>22098</v>
      </c>
      <c r="C500" s="88" t="n">
        <v>500</v>
      </c>
      <c r="E500" s="1">
        <f>B500</f>
        <v/>
      </c>
      <c r="F500" s="2">
        <f>B500</f>
        <v/>
      </c>
      <c r="G500" s="88" t="n">
        <v>498</v>
      </c>
      <c r="H500" s="89" t="n"/>
      <c r="I500" s="89" t="n"/>
      <c r="J500" s="89" t="n">
        <v>26.5057</v>
      </c>
      <c r="K500" s="89" t="n"/>
      <c r="L500" s="89" t="n"/>
      <c r="M500" s="89" t="n"/>
      <c r="N500" s="89" t="n">
        <v>28.94061</v>
      </c>
      <c r="O500" s="89" t="n"/>
      <c r="P500" s="89" t="n"/>
      <c r="Q500" s="89" t="n"/>
      <c r="R500" s="89" t="n">
        <v>16.09456</v>
      </c>
      <c r="S500" s="89" t="n">
        <v>36.32183</v>
      </c>
      <c r="T500" s="89" t="n">
        <v>55.96227</v>
      </c>
      <c r="U500" s="89" t="n"/>
      <c r="V500" s="89" t="n"/>
      <c r="W500" s="89" t="n"/>
      <c r="X500" s="89" t="n"/>
      <c r="Y500" s="89" t="n"/>
      <c r="Z500" s="89" t="n">
        <v>35.15701</v>
      </c>
      <c r="AA500" s="89" t="n">
        <v>13.37651</v>
      </c>
      <c r="AB500" s="89" t="n"/>
      <c r="AC500" s="89" t="n">
        <v>40.31416</v>
      </c>
      <c r="AD500" s="89" t="n"/>
      <c r="AE500" s="89" t="n"/>
      <c r="AF500" s="89" t="n">
        <v>24.56848</v>
      </c>
      <c r="AG500" s="89" t="n">
        <v>21.62108</v>
      </c>
      <c r="AH500" s="89" t="n"/>
      <c r="AI500" s="89" t="n"/>
      <c r="AJ500" s="89" t="n">
        <v>23.34696</v>
      </c>
      <c r="AK500" s="89" t="n"/>
      <c r="AL500" s="89" t="n"/>
      <c r="AM500" s="89" t="n">
        <v>30.92593</v>
      </c>
      <c r="AN500" s="89" t="n"/>
      <c r="AO500" s="89" t="n">
        <v>22.90191</v>
      </c>
      <c r="AP500" s="89" t="n"/>
      <c r="AQ500" s="89" t="n"/>
      <c r="AR500" s="89" t="n"/>
      <c r="AS500" s="89" t="n"/>
      <c r="AT500" s="89" t="n"/>
      <c r="AU500" s="89" t="n"/>
      <c r="AV500" s="89" t="n"/>
      <c r="AW500" s="89" t="n"/>
      <c r="AX500" s="89" t="n"/>
      <c r="AY500" s="89" t="n"/>
    </row>
    <row r="501">
      <c r="A501" t="inlineStr">
        <is>
          <t>1960-08</t>
        </is>
      </c>
      <c r="B501" s="1" t="n">
        <v>22129</v>
      </c>
      <c r="C501" s="88" t="n">
        <v>501</v>
      </c>
      <c r="E501" s="1">
        <f>B501</f>
        <v/>
      </c>
      <c r="F501" s="2">
        <f>B501</f>
        <v/>
      </c>
      <c r="G501" s="88" t="n">
        <v>499</v>
      </c>
      <c r="H501" s="89" t="n"/>
      <c r="I501" s="89" t="n"/>
      <c r="J501" s="89" t="n">
        <v>26.47005</v>
      </c>
      <c r="K501" s="89" t="n"/>
      <c r="L501" s="89" t="n"/>
      <c r="M501" s="89" t="n"/>
      <c r="N501" s="89" t="n">
        <v>28.38375</v>
      </c>
      <c r="O501" s="89" t="n"/>
      <c r="P501" s="89" t="n"/>
      <c r="Q501" s="89" t="n"/>
      <c r="R501" s="89" t="n">
        <v>15.40924</v>
      </c>
      <c r="S501" s="89" t="n">
        <v>36.32183</v>
      </c>
      <c r="T501" s="89" t="n">
        <v>56.46193</v>
      </c>
      <c r="U501" s="89" t="n"/>
      <c r="V501" s="89" t="n"/>
      <c r="W501" s="89" t="n"/>
      <c r="X501" s="89" t="n"/>
      <c r="Y501" s="89" t="n"/>
      <c r="Z501" s="89" t="n">
        <v>35.30913</v>
      </c>
      <c r="AA501" s="89" t="n">
        <v>13.54476</v>
      </c>
      <c r="AB501" s="89" t="n"/>
      <c r="AC501" s="89" t="n">
        <v>40.24287</v>
      </c>
      <c r="AD501" s="89" t="n"/>
      <c r="AE501" s="89" t="n"/>
      <c r="AF501" s="89" t="n">
        <v>24.85416</v>
      </c>
      <c r="AG501" s="89" t="n">
        <v>21.62108</v>
      </c>
      <c r="AH501" s="89" t="n"/>
      <c r="AI501" s="89" t="n"/>
      <c r="AJ501" s="89" t="n">
        <v>23.81856</v>
      </c>
      <c r="AK501" s="89" t="n"/>
      <c r="AL501" s="89" t="n"/>
      <c r="AM501" s="89" t="n">
        <v>29.10676</v>
      </c>
      <c r="AN501" s="89" t="n"/>
      <c r="AO501" s="89" t="n">
        <v>22.8753</v>
      </c>
      <c r="AP501" s="89" t="n"/>
      <c r="AQ501" s="89" t="n"/>
      <c r="AR501" s="89" t="n"/>
      <c r="AS501" s="89" t="n"/>
      <c r="AT501" s="89" t="n"/>
      <c r="AU501" s="89" t="n"/>
      <c r="AV501" s="89" t="n"/>
      <c r="AW501" s="89" t="n"/>
      <c r="AX501" s="89" t="n"/>
      <c r="AY501" s="89" t="n"/>
    </row>
    <row r="502">
      <c r="A502" t="inlineStr">
        <is>
          <t>1960-09</t>
        </is>
      </c>
      <c r="B502" s="1" t="n">
        <v>22160</v>
      </c>
      <c r="C502" s="88" t="n">
        <v>502</v>
      </c>
      <c r="E502" s="1">
        <f>B502</f>
        <v/>
      </c>
      <c r="F502" s="2">
        <f>B502</f>
        <v/>
      </c>
      <c r="G502" s="88" t="n">
        <v>500</v>
      </c>
      <c r="H502" s="89" t="n"/>
      <c r="I502" s="89" t="n"/>
      <c r="J502" s="89" t="n">
        <v>26.47972</v>
      </c>
      <c r="K502" s="89" t="n"/>
      <c r="L502" s="89" t="n"/>
      <c r="M502" s="89" t="n"/>
      <c r="N502" s="89" t="n">
        <v>28.87144</v>
      </c>
      <c r="O502" s="89" t="n"/>
      <c r="P502" s="89" t="n"/>
      <c r="Q502" s="89" t="n"/>
      <c r="R502" s="89" t="n">
        <v>16.05302</v>
      </c>
      <c r="S502" s="89" t="n">
        <v>37.21743</v>
      </c>
      <c r="T502" s="89" t="n">
        <v>56.46193</v>
      </c>
      <c r="U502" s="89" t="n"/>
      <c r="V502" s="89" t="n"/>
      <c r="W502" s="89" t="n"/>
      <c r="X502" s="89" t="n"/>
      <c r="Y502" s="89" t="n"/>
      <c r="Z502" s="89" t="n">
        <v>35.76546</v>
      </c>
      <c r="AA502" s="89" t="n">
        <v>13.79715</v>
      </c>
      <c r="AB502" s="89" t="n"/>
      <c r="AC502" s="89" t="n">
        <v>40.22362</v>
      </c>
      <c r="AD502" s="89" t="n"/>
      <c r="AE502" s="89" t="n"/>
      <c r="AF502" s="89" t="n">
        <v>25.13984</v>
      </c>
      <c r="AG502" s="89" t="n">
        <v>21.5982</v>
      </c>
      <c r="AH502" s="89" t="n"/>
      <c r="AI502" s="89" t="n"/>
      <c r="AJ502" s="89" t="n">
        <v>23.85654</v>
      </c>
      <c r="AK502" s="89" t="n"/>
      <c r="AL502" s="89" t="n"/>
      <c r="AM502" s="89" t="n">
        <v>28.19717</v>
      </c>
      <c r="AN502" s="89" t="n"/>
      <c r="AO502" s="89" t="n">
        <v>22.63594</v>
      </c>
      <c r="AP502" s="89" t="n"/>
      <c r="AQ502" s="89" t="n"/>
      <c r="AR502" s="89" t="n"/>
      <c r="AS502" s="89" t="n"/>
      <c r="AT502" s="89" t="n"/>
      <c r="AU502" s="89" t="n"/>
      <c r="AV502" s="89" t="n"/>
      <c r="AW502" s="89" t="n"/>
      <c r="AX502" s="89" t="n"/>
      <c r="AY502" s="89" t="n"/>
    </row>
    <row r="503">
      <c r="A503" t="inlineStr">
        <is>
          <t>1960-10</t>
        </is>
      </c>
      <c r="B503" s="1" t="n">
        <v>22190</v>
      </c>
      <c r="C503" s="88" t="n">
        <v>503</v>
      </c>
      <c r="E503" s="1">
        <f>B503</f>
        <v/>
      </c>
      <c r="F503" s="2">
        <f>B503</f>
        <v/>
      </c>
      <c r="G503" s="88" t="n">
        <v>501</v>
      </c>
      <c r="H503" s="89" t="n"/>
      <c r="I503" s="89" t="n"/>
      <c r="J503" s="89" t="n">
        <v>27.12926</v>
      </c>
      <c r="K503" s="89" t="n"/>
      <c r="L503" s="89" t="n"/>
      <c r="M503" s="89" t="n"/>
      <c r="N503" s="89" t="n">
        <v>29.48956</v>
      </c>
      <c r="O503" s="89" t="n"/>
      <c r="P503" s="89" t="n"/>
      <c r="Q503" s="89" t="n"/>
      <c r="R503" s="89" t="n">
        <v>16.17763</v>
      </c>
      <c r="S503" s="89" t="n">
        <v>36.95207</v>
      </c>
      <c r="T503" s="89" t="n">
        <v>56.96159</v>
      </c>
      <c r="U503" s="89" t="n"/>
      <c r="V503" s="89" t="n"/>
      <c r="W503" s="89" t="n"/>
      <c r="X503" s="89" t="n"/>
      <c r="Y503" s="89" t="n"/>
      <c r="Z503" s="89" t="n">
        <v>35.32814</v>
      </c>
      <c r="AA503" s="89" t="n">
        <v>13.96541</v>
      </c>
      <c r="AB503" s="89" t="n"/>
      <c r="AC503" s="89" t="n">
        <v>40.07911</v>
      </c>
      <c r="AD503" s="89" t="n"/>
      <c r="AE503" s="89" t="n"/>
      <c r="AF503" s="89" t="n">
        <v>25.42552</v>
      </c>
      <c r="AG503" s="89" t="n">
        <v>22.03291</v>
      </c>
      <c r="AH503" s="89" t="n"/>
      <c r="AI503" s="89" t="n"/>
      <c r="AJ503" s="89" t="n">
        <v>23.67059</v>
      </c>
      <c r="AK503" s="89" t="n"/>
      <c r="AL503" s="89" t="n"/>
      <c r="AM503" s="89" t="n">
        <v>29.56155</v>
      </c>
      <c r="AN503" s="89" t="n"/>
      <c r="AO503" s="89" t="n">
        <v>22.60934</v>
      </c>
      <c r="AP503" s="89" t="n"/>
      <c r="AQ503" s="89" t="n"/>
      <c r="AR503" s="89" t="n"/>
      <c r="AS503" s="89" t="n"/>
      <c r="AT503" s="89" t="n"/>
      <c r="AU503" s="89" t="n"/>
      <c r="AV503" s="89" t="n"/>
      <c r="AW503" s="89" t="n"/>
      <c r="AX503" s="89" t="n"/>
      <c r="AY503" s="89" t="n"/>
    </row>
    <row r="504">
      <c r="A504" t="inlineStr">
        <is>
          <t>1960-11</t>
        </is>
      </c>
      <c r="B504" s="1" t="n">
        <v>22221</v>
      </c>
      <c r="C504" s="88" t="n">
        <v>504</v>
      </c>
      <c r="E504" s="1">
        <f>B504</f>
        <v/>
      </c>
      <c r="F504" s="2">
        <f>B504</f>
        <v/>
      </c>
      <c r="G504" s="88" t="n">
        <v>502</v>
      </c>
      <c r="H504" s="89" t="n"/>
      <c r="I504" s="89" t="n"/>
      <c r="J504" s="89" t="n">
        <v>27.38779</v>
      </c>
      <c r="K504" s="89" t="n"/>
      <c r="L504" s="89" t="n"/>
      <c r="M504" s="89" t="n"/>
      <c r="N504" s="89" t="n">
        <v>29.25906</v>
      </c>
      <c r="O504" s="89" t="n"/>
      <c r="P504" s="89" t="n"/>
      <c r="Q504" s="89" t="n"/>
      <c r="R504" s="89" t="n">
        <v>16.36453</v>
      </c>
      <c r="S504" s="89" t="n">
        <v>37.35012</v>
      </c>
      <c r="T504" s="89" t="n">
        <v>56.46193</v>
      </c>
      <c r="U504" s="89" t="n"/>
      <c r="V504" s="89" t="n"/>
      <c r="W504" s="89" t="n"/>
      <c r="X504" s="89" t="n"/>
      <c r="Y504" s="89" t="n"/>
      <c r="Z504" s="89" t="n">
        <v>35.44223</v>
      </c>
      <c r="AA504" s="89" t="n">
        <v>14.30192</v>
      </c>
      <c r="AB504" s="89" t="n"/>
      <c r="AC504" s="89" t="n">
        <v>40.16914</v>
      </c>
      <c r="AD504" s="89" t="n"/>
      <c r="AE504" s="89" t="n"/>
      <c r="AF504" s="89" t="n">
        <v>25.42552</v>
      </c>
      <c r="AG504" s="89" t="n">
        <v>22.12443</v>
      </c>
      <c r="AH504" s="89" t="n"/>
      <c r="AI504" s="89" t="n"/>
      <c r="AJ504" s="89" t="n">
        <v>22.47641</v>
      </c>
      <c r="AK504" s="89" t="n"/>
      <c r="AL504" s="89" t="n"/>
      <c r="AM504" s="89" t="n">
        <v>29.56155</v>
      </c>
      <c r="AN504" s="89" t="n"/>
      <c r="AO504" s="89" t="n">
        <v>22.29016</v>
      </c>
      <c r="AP504" s="89" t="n"/>
      <c r="AQ504" s="89" t="n"/>
      <c r="AR504" s="89" t="n"/>
      <c r="AS504" s="89" t="n"/>
      <c r="AT504" s="89" t="n"/>
      <c r="AU504" s="89" t="n"/>
      <c r="AV504" s="89" t="n"/>
      <c r="AW504" s="89" t="n"/>
      <c r="AX504" s="89" t="n"/>
      <c r="AY504" s="89" t="n"/>
    </row>
    <row r="505">
      <c r="A505" t="inlineStr">
        <is>
          <t>1960-12</t>
        </is>
      </c>
      <c r="B505" s="1" t="n">
        <v>22251</v>
      </c>
      <c r="C505" s="88" t="n">
        <v>505</v>
      </c>
      <c r="E505" s="1">
        <f>B505</f>
        <v/>
      </c>
      <c r="F505" s="2">
        <f>B505</f>
        <v/>
      </c>
      <c r="G505" s="88" t="n">
        <v>503</v>
      </c>
      <c r="H505" s="89" t="n"/>
      <c r="I505" s="89" t="n"/>
      <c r="J505" s="89" t="n">
        <v>23.44347</v>
      </c>
      <c r="K505" s="89" t="n"/>
      <c r="L505" s="89" t="n"/>
      <c r="M505" s="89" t="n"/>
      <c r="N505" s="89" t="n">
        <v>29.66966</v>
      </c>
      <c r="O505" s="89" t="n"/>
      <c r="P505" s="89" t="n"/>
      <c r="Q505" s="89" t="n"/>
      <c r="R505" s="89" t="n">
        <v>16.65527</v>
      </c>
      <c r="S505" s="89" t="n">
        <v>37.31695</v>
      </c>
      <c r="T505" s="89" t="n">
        <v>56.46193</v>
      </c>
      <c r="U505" s="89" t="n"/>
      <c r="V505" s="89" t="n"/>
      <c r="W505" s="89" t="n"/>
      <c r="X505" s="89" t="n"/>
      <c r="Y505" s="89" t="n"/>
      <c r="Z505" s="89" t="n">
        <v>35.51828</v>
      </c>
      <c r="AA505" s="89" t="n">
        <v>14.38605</v>
      </c>
      <c r="AB505" s="89" t="n"/>
      <c r="AC505" s="89" t="n">
        <v>39.9535</v>
      </c>
      <c r="AD505" s="89" t="n"/>
      <c r="AE505" s="89" t="n"/>
      <c r="AF505" s="89" t="n">
        <v>25.99688</v>
      </c>
      <c r="AG505" s="89" t="n">
        <v>22.55914</v>
      </c>
      <c r="AH505" s="89" t="n"/>
      <c r="AI505" s="89" t="n"/>
      <c r="AJ505" s="89" t="n">
        <v>24.38059</v>
      </c>
      <c r="AK505" s="89" t="n"/>
      <c r="AL505" s="89" t="n"/>
      <c r="AM505" s="89" t="n">
        <v>29.56155</v>
      </c>
      <c r="AN505" s="89" t="n"/>
      <c r="AO505" s="89" t="n">
        <v>21.86456</v>
      </c>
      <c r="AP505" s="89" t="n"/>
      <c r="AQ505" s="89" t="n"/>
      <c r="AR505" s="89" t="n"/>
      <c r="AS505" s="89" t="n"/>
      <c r="AT505" s="89" t="n"/>
      <c r="AU505" s="89" t="n"/>
      <c r="AV505" s="89" t="n"/>
      <c r="AW505" s="89" t="n"/>
      <c r="AX505" s="89" t="n"/>
      <c r="AY505" s="89" t="n"/>
    </row>
    <row r="506">
      <c r="A506" t="inlineStr">
        <is>
          <t>1961-01</t>
        </is>
      </c>
      <c r="B506" s="1" t="n">
        <v>22282</v>
      </c>
      <c r="C506" s="88" t="n">
        <v>506</v>
      </c>
      <c r="E506" s="1">
        <f>B506</f>
        <v/>
      </c>
      <c r="F506" s="2">
        <f>B506</f>
        <v/>
      </c>
      <c r="G506" s="88" t="n">
        <v>504</v>
      </c>
      <c r="H506" s="89" t="n"/>
      <c r="I506" s="89" t="n"/>
      <c r="J506" s="89" t="n">
        <v>20.98592</v>
      </c>
      <c r="K506" s="89" t="n">
        <v>21.93254</v>
      </c>
      <c r="L506" s="89" t="n"/>
      <c r="M506" s="89" t="n"/>
      <c r="N506" s="89" t="n">
        <v>30.068</v>
      </c>
      <c r="O506" s="89" t="n"/>
      <c r="P506" s="89" t="n"/>
      <c r="Q506" s="89" t="n"/>
      <c r="R506" s="89" t="n">
        <v>16.82141</v>
      </c>
      <c r="S506" s="89" t="n">
        <v>37.4828</v>
      </c>
      <c r="T506" s="89" t="n">
        <v>56.46193</v>
      </c>
      <c r="U506" s="89" t="n"/>
      <c r="V506" s="89" t="n"/>
      <c r="W506" s="89" t="n"/>
      <c r="X506" s="89" t="n"/>
      <c r="Y506" s="89" t="n"/>
      <c r="Z506" s="89" t="n">
        <v>36.0887</v>
      </c>
      <c r="AA506" s="89" t="n">
        <v>14.8067</v>
      </c>
      <c r="AB506" s="89" t="n"/>
      <c r="AC506" s="89" t="n">
        <v>40.83119</v>
      </c>
      <c r="AD506" s="89" t="n"/>
      <c r="AE506" s="89" t="n"/>
      <c r="AF506" s="89" t="n">
        <v>25.42552</v>
      </c>
      <c r="AG506" s="89" t="n">
        <v>22.55914</v>
      </c>
      <c r="AH506" s="89" t="n"/>
      <c r="AI506" s="89" t="n"/>
      <c r="AJ506" s="89" t="n">
        <v>24.02475</v>
      </c>
      <c r="AK506" s="89" t="n"/>
      <c r="AL506" s="89" t="n"/>
      <c r="AM506" s="89" t="n">
        <v>30.01635</v>
      </c>
      <c r="AN506" s="89" t="n"/>
      <c r="AO506" s="89" t="n">
        <v>21.89116</v>
      </c>
      <c r="AP506" s="89" t="n"/>
      <c r="AQ506" s="89" t="n"/>
      <c r="AR506" s="89" t="n"/>
      <c r="AS506" s="89" t="n"/>
      <c r="AT506" s="89" t="n"/>
      <c r="AU506" s="89" t="n"/>
      <c r="AV506" s="89" t="n"/>
      <c r="AW506" s="89" t="n"/>
      <c r="AX506" s="89" t="n"/>
      <c r="AY506" s="89" t="n"/>
    </row>
    <row r="507">
      <c r="A507" t="inlineStr">
        <is>
          <t>1961-02</t>
        </is>
      </c>
      <c r="B507" s="1" t="n">
        <v>22313</v>
      </c>
      <c r="C507" s="88" t="n">
        <v>507</v>
      </c>
      <c r="E507" s="1">
        <f>B507</f>
        <v/>
      </c>
      <c r="F507" s="2">
        <f>B507</f>
        <v/>
      </c>
      <c r="G507" s="88" t="n">
        <v>505</v>
      </c>
      <c r="H507" s="89" t="n"/>
      <c r="I507" s="89" t="n"/>
      <c r="J507" s="89" t="n">
        <v>28.17089</v>
      </c>
      <c r="K507" s="89" t="n">
        <v>21.95463</v>
      </c>
      <c r="L507" s="89" t="n"/>
      <c r="M507" s="89" t="n"/>
      <c r="N507" s="89" t="n">
        <v>30.24594</v>
      </c>
      <c r="O507" s="89" t="n"/>
      <c r="P507" s="89" t="n"/>
      <c r="Q507" s="89" t="n"/>
      <c r="R507" s="89" t="n">
        <v>17.04985</v>
      </c>
      <c r="S507" s="89" t="n">
        <v>37.78133</v>
      </c>
      <c r="T507" s="89" t="n">
        <v>56.46193</v>
      </c>
      <c r="U507" s="89" t="n"/>
      <c r="V507" s="89" t="n"/>
      <c r="W507" s="89" t="n"/>
      <c r="X507" s="89" t="n"/>
      <c r="Y507" s="89" t="n"/>
      <c r="Z507" s="89" t="n">
        <v>36.90631</v>
      </c>
      <c r="AA507" s="89" t="n">
        <v>14.89083</v>
      </c>
      <c r="AB507" s="89" t="n"/>
      <c r="AC507" s="89" t="n">
        <v>41.13757</v>
      </c>
      <c r="AD507" s="89" t="n"/>
      <c r="AE507" s="89" t="n"/>
      <c r="AF507" s="89" t="n">
        <v>25.42552</v>
      </c>
      <c r="AG507" s="89" t="n">
        <v>22.53626</v>
      </c>
      <c r="AH507" s="89" t="n"/>
      <c r="AI507" s="89" t="n"/>
      <c r="AJ507" s="89" t="n">
        <v>24.22592</v>
      </c>
      <c r="AK507" s="89" t="n"/>
      <c r="AL507" s="89" t="n"/>
      <c r="AM507" s="89" t="n">
        <v>30.47114</v>
      </c>
      <c r="AN507" s="89" t="n"/>
      <c r="AO507" s="89" t="n">
        <v>21.86456</v>
      </c>
      <c r="AP507" s="89" t="n"/>
      <c r="AQ507" s="89" t="n"/>
      <c r="AR507" s="89" t="n"/>
      <c r="AS507" s="89" t="n"/>
      <c r="AT507" s="89" t="n"/>
      <c r="AU507" s="89" t="n"/>
      <c r="AV507" s="89" t="n"/>
      <c r="AW507" s="89" t="n"/>
      <c r="AX507" s="89" t="n"/>
      <c r="AY507" s="89" t="n"/>
    </row>
    <row r="508">
      <c r="A508" t="inlineStr">
        <is>
          <t>1961-03</t>
        </is>
      </c>
      <c r="B508" s="1" t="n">
        <v>22341</v>
      </c>
      <c r="C508" s="88" t="n">
        <v>508</v>
      </c>
      <c r="E508" s="1">
        <f>B508</f>
        <v/>
      </c>
      <c r="F508" s="2">
        <f>B508</f>
        <v/>
      </c>
      <c r="G508" s="88" t="n">
        <v>506</v>
      </c>
      <c r="H508" s="89" t="n"/>
      <c r="I508" s="89" t="n"/>
      <c r="J508" s="89" t="n">
        <v>27.94259</v>
      </c>
      <c r="K508" s="89" t="n">
        <v>21.86957</v>
      </c>
      <c r="L508" s="89" t="n"/>
      <c r="M508" s="89" t="n"/>
      <c r="N508" s="89" t="n">
        <v>30.53597</v>
      </c>
      <c r="O508" s="89" t="n"/>
      <c r="P508" s="89" t="n"/>
      <c r="Q508" s="89" t="n"/>
      <c r="R508" s="89" t="n">
        <v>17.34059</v>
      </c>
      <c r="S508" s="89" t="n">
        <v>38.11304</v>
      </c>
      <c r="T508" s="89" t="n">
        <v>56.46193</v>
      </c>
      <c r="U508" s="89" t="n"/>
      <c r="V508" s="89" t="n"/>
      <c r="W508" s="89" t="n"/>
      <c r="X508" s="89" t="n"/>
      <c r="Y508" s="89" t="n"/>
      <c r="Z508" s="89" t="n">
        <v>36.86828</v>
      </c>
      <c r="AA508" s="89" t="n">
        <v>15.31147</v>
      </c>
      <c r="AB508" s="89" t="n"/>
      <c r="AC508" s="89" t="n">
        <v>41.59993</v>
      </c>
      <c r="AD508" s="89" t="n"/>
      <c r="AE508" s="89" t="n"/>
      <c r="AF508" s="89" t="n">
        <v>25.42552</v>
      </c>
      <c r="AG508" s="89" t="n">
        <v>22.51338</v>
      </c>
      <c r="AH508" s="89" t="n"/>
      <c r="AI508" s="89" t="n"/>
      <c r="AJ508" s="89" t="n">
        <v>26.35935</v>
      </c>
      <c r="AK508" s="89" t="n"/>
      <c r="AL508" s="89" t="n"/>
      <c r="AM508" s="89" t="n">
        <v>30.92593</v>
      </c>
      <c r="AN508" s="89" t="n"/>
      <c r="AO508" s="89" t="n">
        <v>21.99759</v>
      </c>
      <c r="AP508" s="89" t="n"/>
      <c r="AQ508" s="89" t="n"/>
      <c r="AR508" s="89" t="n"/>
      <c r="AS508" s="89" t="n"/>
      <c r="AT508" s="89" t="n"/>
      <c r="AU508" s="89" t="n"/>
      <c r="AV508" s="89" t="n"/>
      <c r="AW508" s="89" t="n"/>
      <c r="AX508" s="89" t="n"/>
      <c r="AY508" s="89" t="n"/>
    </row>
    <row r="509">
      <c r="A509" t="inlineStr">
        <is>
          <t>1961-04</t>
        </is>
      </c>
      <c r="B509" s="1" t="n">
        <v>22372</v>
      </c>
      <c r="C509" s="88" t="n">
        <v>509</v>
      </c>
      <c r="E509" s="1">
        <f>B509</f>
        <v/>
      </c>
      <c r="F509" s="2">
        <f>B509</f>
        <v/>
      </c>
      <c r="G509" s="88" t="n">
        <v>507</v>
      </c>
      <c r="H509" s="89" t="n"/>
      <c r="I509" s="89" t="n"/>
      <c r="J509" s="89" t="n">
        <v>28.02988</v>
      </c>
      <c r="K509" s="89" t="n">
        <v>22.32821</v>
      </c>
      <c r="L509" s="89" t="n"/>
      <c r="M509" s="89" t="n"/>
      <c r="N509" s="89" t="n">
        <v>30.52579</v>
      </c>
      <c r="O509" s="89" t="n"/>
      <c r="P509" s="89" t="n"/>
      <c r="Q509" s="89" t="n"/>
      <c r="R509" s="89" t="n">
        <v>17.07061</v>
      </c>
      <c r="S509" s="89" t="n">
        <v>37.84768</v>
      </c>
      <c r="T509" s="89" t="n">
        <v>56.96159</v>
      </c>
      <c r="U509" s="89" t="n"/>
      <c r="V509" s="89" t="n"/>
      <c r="W509" s="89" t="n"/>
      <c r="X509" s="89" t="n"/>
      <c r="Y509" s="89" t="n"/>
      <c r="Z509" s="89" t="n">
        <v>37.22955</v>
      </c>
      <c r="AA509" s="89" t="n">
        <v>15.31147</v>
      </c>
      <c r="AB509" s="89" t="n"/>
      <c r="AC509" s="89" t="n">
        <v>41.55384</v>
      </c>
      <c r="AD509" s="89" t="n"/>
      <c r="AE509" s="89" t="n"/>
      <c r="AF509" s="89" t="n">
        <v>25.99688</v>
      </c>
      <c r="AG509" s="89" t="n">
        <v>22.4905</v>
      </c>
      <c r="AH509" s="89" t="n"/>
      <c r="AI509" s="89" t="n"/>
      <c r="AJ509" s="89" t="n">
        <v>25.35746</v>
      </c>
      <c r="AK509" s="89" t="n"/>
      <c r="AL509" s="89" t="n"/>
      <c r="AM509" s="89" t="n">
        <v>30.92593</v>
      </c>
      <c r="AN509" s="89" t="n"/>
      <c r="AO509" s="89" t="n">
        <v>22.4497</v>
      </c>
      <c r="AP509" s="89" t="n"/>
      <c r="AQ509" s="89" t="n"/>
      <c r="AR509" s="89" t="n"/>
      <c r="AS509" s="89" t="n"/>
      <c r="AT509" s="89" t="n"/>
      <c r="AU509" s="89" t="n"/>
      <c r="AV509" s="89" t="n"/>
      <c r="AW509" s="89" t="n"/>
      <c r="AX509" s="89" t="n"/>
      <c r="AY509" s="89" t="n"/>
    </row>
    <row r="510">
      <c r="A510" t="inlineStr">
        <is>
          <t>1961-05</t>
        </is>
      </c>
      <c r="B510" s="1" t="n">
        <v>22402</v>
      </c>
      <c r="C510" s="88" t="n">
        <v>510</v>
      </c>
      <c r="E510" s="1">
        <f>B510</f>
        <v/>
      </c>
      <c r="F510" s="2">
        <f>B510</f>
        <v/>
      </c>
      <c r="G510" s="88" t="n">
        <v>508</v>
      </c>
      <c r="H510" s="89" t="n"/>
      <c r="I510" s="89" t="n"/>
      <c r="J510" s="89" t="n">
        <v>27.9185</v>
      </c>
      <c r="K510" s="89" t="n">
        <v>22.44098</v>
      </c>
      <c r="L510" s="89" t="n"/>
      <c r="M510" s="89" t="n"/>
      <c r="N510" s="89" t="n">
        <v>29.87958</v>
      </c>
      <c r="O510" s="89" t="n"/>
      <c r="P510" s="89" t="n"/>
      <c r="Q510" s="89" t="n"/>
      <c r="R510" s="89" t="n">
        <v>17.38212</v>
      </c>
      <c r="S510" s="89" t="n">
        <v>37.94719</v>
      </c>
      <c r="T510" s="89" t="n">
        <v>55.96227</v>
      </c>
      <c r="U510" s="89" t="n"/>
      <c r="V510" s="89" t="n"/>
      <c r="W510" s="89" t="n"/>
      <c r="X510" s="89" t="n"/>
      <c r="Y510" s="89" t="n"/>
      <c r="Z510" s="89" t="n">
        <v>37.64786</v>
      </c>
      <c r="AA510" s="89" t="n">
        <v>15.64799</v>
      </c>
      <c r="AB510" s="89" t="n"/>
      <c r="AC510" s="89" t="n">
        <v>42.02602</v>
      </c>
      <c r="AD510" s="89" t="n"/>
      <c r="AE510" s="89" t="n"/>
      <c r="AF510" s="89" t="n">
        <v>25.13984</v>
      </c>
      <c r="AG510" s="89" t="n">
        <v>21.89564</v>
      </c>
      <c r="AH510" s="89" t="n"/>
      <c r="AI510" s="89" t="n"/>
      <c r="AJ510" s="89" t="n">
        <v>25.57165</v>
      </c>
      <c r="AK510" s="89" t="n"/>
      <c r="AL510" s="89" t="n"/>
      <c r="AM510" s="89" t="n">
        <v>30.47114</v>
      </c>
      <c r="AN510" s="89" t="n"/>
      <c r="AO510" s="89" t="n">
        <v>22.79548</v>
      </c>
      <c r="AP510" s="89" t="n"/>
      <c r="AQ510" s="89" t="n"/>
      <c r="AR510" s="89" t="n"/>
      <c r="AS510" s="89" t="n"/>
      <c r="AT510" s="89" t="n"/>
      <c r="AU510" s="89" t="n"/>
      <c r="AV510" s="89" t="n"/>
      <c r="AW510" s="89" t="n"/>
      <c r="AX510" s="89" t="n"/>
      <c r="AY510" s="89" t="n"/>
    </row>
    <row r="511">
      <c r="A511" t="inlineStr">
        <is>
          <t>1961-06</t>
        </is>
      </c>
      <c r="B511" s="1" t="n">
        <v>22433</v>
      </c>
      <c r="C511" s="88" t="n">
        <v>511</v>
      </c>
      <c r="E511" s="1">
        <f>B511</f>
        <v/>
      </c>
      <c r="F511" s="2">
        <f>B511</f>
        <v/>
      </c>
      <c r="G511" s="88" t="n">
        <v>509</v>
      </c>
      <c r="H511" s="89" t="n"/>
      <c r="I511" s="89" t="n"/>
      <c r="J511" s="89" t="n">
        <v>28.04</v>
      </c>
      <c r="K511" s="89" t="n">
        <v>22.81127</v>
      </c>
      <c r="L511" s="89" t="n"/>
      <c r="M511" s="89" t="n"/>
      <c r="N511" s="89" t="n">
        <v>29.8812</v>
      </c>
      <c r="O511" s="89" t="n"/>
      <c r="P511" s="89" t="n"/>
      <c r="Q511" s="89" t="n"/>
      <c r="R511" s="89" t="n">
        <v>17.58979</v>
      </c>
      <c r="S511" s="89" t="n">
        <v>38.17938</v>
      </c>
      <c r="T511" s="89" t="n">
        <v>56.96159</v>
      </c>
      <c r="U511" s="89" t="n"/>
      <c r="V511" s="89" t="n"/>
      <c r="W511" s="89" t="n"/>
      <c r="X511" s="89" t="n"/>
      <c r="Y511" s="89" t="n"/>
      <c r="Z511" s="89" t="n">
        <v>38.21828</v>
      </c>
      <c r="AA511" s="89" t="n">
        <v>15.81625</v>
      </c>
      <c r="AB511" s="89" t="n"/>
      <c r="AC511" s="89" t="n">
        <v>41.22808</v>
      </c>
      <c r="AD511" s="89" t="n"/>
      <c r="AE511" s="89" t="n"/>
      <c r="AF511" s="89" t="n">
        <v>25.42552</v>
      </c>
      <c r="AG511" s="89" t="n">
        <v>23.24552</v>
      </c>
      <c r="AH511" s="89" t="n"/>
      <c r="AI511" s="89" t="n"/>
      <c r="AJ511" s="89" t="n">
        <v>24.93919</v>
      </c>
      <c r="AK511" s="89" t="n"/>
      <c r="AL511" s="89" t="n"/>
      <c r="AM511" s="89" t="n">
        <v>30.47114</v>
      </c>
      <c r="AN511" s="89" t="n"/>
      <c r="AO511" s="89" t="n">
        <v>23.11466</v>
      </c>
      <c r="AP511" s="89" t="n"/>
      <c r="AQ511" s="89" t="n"/>
      <c r="AR511" s="89" t="n"/>
      <c r="AS511" s="89" t="n"/>
      <c r="AT511" s="89" t="n"/>
      <c r="AU511" s="89" t="n"/>
      <c r="AV511" s="89" t="n"/>
      <c r="AW511" s="89" t="n"/>
      <c r="AX511" s="89" t="n"/>
      <c r="AY511" s="89" t="n"/>
    </row>
    <row r="512">
      <c r="A512" t="inlineStr">
        <is>
          <t>1961-07</t>
        </is>
      </c>
      <c r="B512" s="1" t="n">
        <v>22463</v>
      </c>
      <c r="C512" s="88" t="n">
        <v>512</v>
      </c>
      <c r="E512" s="1">
        <f>B512</f>
        <v/>
      </c>
      <c r="F512" s="2">
        <f>B512</f>
        <v/>
      </c>
      <c r="G512" s="88" t="n">
        <v>510</v>
      </c>
      <c r="H512" s="89" t="n"/>
      <c r="I512" s="89" t="n"/>
      <c r="J512" s="89" t="n">
        <v>28.60753</v>
      </c>
      <c r="K512" s="89" t="n">
        <v>23.03542</v>
      </c>
      <c r="L512" s="89" t="n"/>
      <c r="M512" s="89" t="n"/>
      <c r="N512" s="89" t="n">
        <v>30.43866</v>
      </c>
      <c r="O512" s="89" t="n"/>
      <c r="P512" s="89" t="n"/>
      <c r="Q512" s="89" t="n"/>
      <c r="R512" s="89" t="n">
        <v>18.0259</v>
      </c>
      <c r="S512" s="89" t="n">
        <v>38.6106</v>
      </c>
      <c r="T512" s="89" t="n">
        <v>57.46126</v>
      </c>
      <c r="U512" s="89" t="n"/>
      <c r="V512" s="89" t="n"/>
      <c r="W512" s="89" t="n"/>
      <c r="X512" s="89" t="n"/>
      <c r="Y512" s="89" t="n"/>
      <c r="Z512" s="89" t="n">
        <v>38.84574</v>
      </c>
      <c r="AA512" s="89" t="n">
        <v>16.15276</v>
      </c>
      <c r="AB512" s="89" t="n"/>
      <c r="AC512" s="89" t="n">
        <v>41.85826</v>
      </c>
      <c r="AD512" s="89" t="n"/>
      <c r="AE512" s="89" t="n"/>
      <c r="AF512" s="89" t="n">
        <v>25.7112</v>
      </c>
      <c r="AG512" s="89" t="n">
        <v>22.7193</v>
      </c>
      <c r="AH512" s="89" t="n"/>
      <c r="AI512" s="89" t="n"/>
      <c r="AJ512" s="89" t="n">
        <v>24.6382</v>
      </c>
      <c r="AK512" s="89" t="n"/>
      <c r="AL512" s="89" t="n"/>
      <c r="AM512" s="89" t="n">
        <v>31.83552</v>
      </c>
      <c r="AN512" s="89" t="n"/>
      <c r="AO512" s="89" t="n">
        <v>23.38072</v>
      </c>
      <c r="AP512" s="89" t="n"/>
      <c r="AQ512" s="89" t="n"/>
      <c r="AR512" s="89" t="n"/>
      <c r="AS512" s="89" t="n"/>
      <c r="AT512" s="89" t="n"/>
      <c r="AU512" s="89" t="n"/>
      <c r="AV512" s="89" t="n"/>
      <c r="AW512" s="89" t="n"/>
      <c r="AX512" s="89" t="n"/>
      <c r="AY512" s="89" t="n"/>
    </row>
    <row r="513">
      <c r="A513" t="inlineStr">
        <is>
          <t>1961-08</t>
        </is>
      </c>
      <c r="B513" s="1" t="n">
        <v>22494</v>
      </c>
      <c r="C513" s="88" t="n">
        <v>513</v>
      </c>
      <c r="E513" s="1">
        <f>B513</f>
        <v/>
      </c>
      <c r="F513" s="2">
        <f>B513</f>
        <v/>
      </c>
      <c r="G513" s="88" t="n">
        <v>511</v>
      </c>
      <c r="H513" s="89" t="n"/>
      <c r="I513" s="89" t="n"/>
      <c r="J513" s="89" t="n">
        <v>28.28081</v>
      </c>
      <c r="K513" s="89" t="n">
        <v>22.91089</v>
      </c>
      <c r="L513" s="89" t="n"/>
      <c r="M513" s="89" t="n"/>
      <c r="N513" s="89" t="n">
        <v>30.20854</v>
      </c>
      <c r="O513" s="89" t="n"/>
      <c r="P513" s="89" t="n"/>
      <c r="Q513" s="89" t="n"/>
      <c r="R513" s="89" t="n">
        <v>17.79746</v>
      </c>
      <c r="S513" s="89" t="n">
        <v>38.6106</v>
      </c>
      <c r="T513" s="89" t="n">
        <v>56.46193</v>
      </c>
      <c r="U513" s="89" t="n"/>
      <c r="V513" s="89" t="n"/>
      <c r="W513" s="89" t="n"/>
      <c r="X513" s="89" t="n"/>
      <c r="Y513" s="89" t="n"/>
      <c r="Z513" s="89" t="n">
        <v>38.9218</v>
      </c>
      <c r="AA513" s="89" t="n">
        <v>16.40515</v>
      </c>
      <c r="AB513" s="89" t="n"/>
      <c r="AC513" s="89" t="n">
        <v>42.23763</v>
      </c>
      <c r="AD513" s="89" t="n"/>
      <c r="AE513" s="89" t="n"/>
      <c r="AF513" s="89" t="n">
        <v>25.99688</v>
      </c>
      <c r="AG513" s="89" t="n">
        <v>23.31416</v>
      </c>
      <c r="AH513" s="89" t="n"/>
      <c r="AI513" s="89" t="n"/>
      <c r="AJ513" s="89" t="n">
        <v>24.05606</v>
      </c>
      <c r="AK513" s="89" t="n"/>
      <c r="AL513" s="89" t="n"/>
      <c r="AM513" s="89" t="n">
        <v>31.38073</v>
      </c>
      <c r="AN513" s="89" t="n"/>
      <c r="AO513" s="89" t="n">
        <v>23.59348</v>
      </c>
      <c r="AP513" s="89" t="n"/>
      <c r="AQ513" s="89" t="n"/>
      <c r="AR513" s="89" t="n"/>
      <c r="AS513" s="89" t="n"/>
      <c r="AT513" s="89" t="n"/>
      <c r="AU513" s="89" t="n"/>
      <c r="AV513" s="89" t="n"/>
      <c r="AW513" s="89" t="n"/>
      <c r="AX513" s="89" t="n"/>
      <c r="AY513" s="89" t="n"/>
    </row>
    <row r="514">
      <c r="A514" t="inlineStr">
        <is>
          <t>1961-09</t>
        </is>
      </c>
      <c r="B514" s="1" t="n">
        <v>22525</v>
      </c>
      <c r="C514" s="88" t="n">
        <v>514</v>
      </c>
      <c r="E514" s="1">
        <f>B514</f>
        <v/>
      </c>
      <c r="F514" s="2">
        <f>B514</f>
        <v/>
      </c>
      <c r="G514" s="88" t="n">
        <v>512</v>
      </c>
      <c r="H514" s="89" t="n"/>
      <c r="I514" s="89" t="n"/>
      <c r="J514" s="89" t="n">
        <v>28.11038</v>
      </c>
      <c r="K514" s="89" t="n">
        <v>23.45505</v>
      </c>
      <c r="L514" s="89" t="n"/>
      <c r="M514" s="89" t="n"/>
      <c r="N514" s="89" t="n">
        <v>30.45791</v>
      </c>
      <c r="O514" s="89" t="n"/>
      <c r="P514" s="89" t="n"/>
      <c r="Q514" s="89" t="n"/>
      <c r="R514" s="89" t="n">
        <v>17.58979</v>
      </c>
      <c r="S514" s="89" t="n">
        <v>38.74328</v>
      </c>
      <c r="T514" s="89" t="n">
        <v>55.96227</v>
      </c>
      <c r="U514" s="89" t="n"/>
      <c r="V514" s="89" t="n"/>
      <c r="W514" s="89" t="n"/>
      <c r="X514" s="89" t="n"/>
      <c r="Y514" s="89" t="n"/>
      <c r="Z514" s="89" t="n">
        <v>39.30208</v>
      </c>
      <c r="AA514" s="89" t="n">
        <v>16.32102</v>
      </c>
      <c r="AB514" s="89" t="n"/>
      <c r="AC514" s="89" t="n">
        <v>40.87567</v>
      </c>
      <c r="AD514" s="89" t="n"/>
      <c r="AE514" s="89" t="n"/>
      <c r="AF514" s="89" t="n">
        <v>25.99688</v>
      </c>
      <c r="AG514" s="89" t="n">
        <v>23.08537</v>
      </c>
      <c r="AH514" s="89" t="n"/>
      <c r="AI514" s="89" t="n"/>
      <c r="AJ514" s="89" t="n">
        <v>25.03679</v>
      </c>
      <c r="AK514" s="89" t="n"/>
      <c r="AL514" s="89" t="n"/>
      <c r="AM514" s="89" t="n">
        <v>30.92593</v>
      </c>
      <c r="AN514" s="89" t="n"/>
      <c r="AO514" s="89" t="n">
        <v>23.56687</v>
      </c>
      <c r="AP514" s="89" t="n"/>
      <c r="AQ514" s="89" t="n"/>
      <c r="AR514" s="89" t="n"/>
      <c r="AS514" s="89" t="n"/>
      <c r="AT514" s="89" t="n"/>
      <c r="AU514" s="89" t="n"/>
      <c r="AV514" s="89" t="n"/>
      <c r="AW514" s="89" t="n"/>
      <c r="AX514" s="89" t="n"/>
      <c r="AY514" s="89" t="n"/>
    </row>
    <row r="515">
      <c r="A515" t="inlineStr">
        <is>
          <t>1961-10</t>
        </is>
      </c>
      <c r="B515" s="1" t="n">
        <v>22555</v>
      </c>
      <c r="C515" s="88" t="n">
        <v>515</v>
      </c>
      <c r="E515" s="1">
        <f>B515</f>
        <v/>
      </c>
      <c r="F515" s="2">
        <f>B515</f>
        <v/>
      </c>
      <c r="G515" s="88" t="n">
        <v>513</v>
      </c>
      <c r="H515" s="89" t="n"/>
      <c r="I515" s="89" t="n"/>
      <c r="J515" s="89" t="n">
        <v>28.26441</v>
      </c>
      <c r="K515" s="89" t="n">
        <v>23.66275</v>
      </c>
      <c r="L515" s="89" t="n"/>
      <c r="M515" s="89" t="n"/>
      <c r="N515" s="89" t="n">
        <v>30.22322</v>
      </c>
      <c r="O515" s="89" t="n"/>
      <c r="P515" s="89" t="n"/>
      <c r="Q515" s="89" t="n"/>
      <c r="R515" s="89" t="n">
        <v>17.7144</v>
      </c>
      <c r="S515" s="89" t="n">
        <v>38.6106</v>
      </c>
      <c r="T515" s="89" t="n">
        <v>56.46193</v>
      </c>
      <c r="U515" s="89" t="n"/>
      <c r="V515" s="89" t="n"/>
      <c r="W515" s="89" t="n"/>
      <c r="X515" s="89" t="n"/>
      <c r="Y515" s="89" t="n"/>
      <c r="Z515" s="89" t="n">
        <v>40.0056</v>
      </c>
      <c r="AA515" s="89" t="n">
        <v>16.65754</v>
      </c>
      <c r="AB515" s="89" t="n"/>
      <c r="AC515" s="89" t="n">
        <v>40.826</v>
      </c>
      <c r="AD515" s="89" t="n"/>
      <c r="AE515" s="89" t="n"/>
      <c r="AF515" s="89" t="n">
        <v>25.99688</v>
      </c>
      <c r="AG515" s="89" t="n">
        <v>23.22264</v>
      </c>
      <c r="AH515" s="89" t="n"/>
      <c r="AI515" s="89" t="n"/>
      <c r="AJ515" s="89" t="n">
        <v>24.92331</v>
      </c>
      <c r="AK515" s="89" t="n"/>
      <c r="AL515" s="89" t="n"/>
      <c r="AM515" s="89" t="n">
        <v>31.83552</v>
      </c>
      <c r="AN515" s="89" t="n"/>
      <c r="AO515" s="89" t="n">
        <v>24.01908</v>
      </c>
      <c r="AP515" s="89" t="n"/>
      <c r="AQ515" s="89" t="n"/>
      <c r="AR515" s="89" t="n"/>
      <c r="AS515" s="89" t="n"/>
      <c r="AT515" s="89" t="n"/>
      <c r="AU515" s="89" t="n"/>
      <c r="AV515" s="89" t="n"/>
      <c r="AW515" s="89" t="n"/>
      <c r="AX515" s="89" t="n"/>
      <c r="AY515" s="89" t="n"/>
    </row>
    <row r="516">
      <c r="A516" t="inlineStr">
        <is>
          <t>1961-11</t>
        </is>
      </c>
      <c r="B516" s="1" t="n">
        <v>22586</v>
      </c>
      <c r="C516" s="88" t="n">
        <v>516</v>
      </c>
      <c r="E516" s="1">
        <f>B516</f>
        <v/>
      </c>
      <c r="F516" s="2">
        <f>B516</f>
        <v/>
      </c>
      <c r="G516" s="88" t="n">
        <v>514</v>
      </c>
      <c r="H516" s="89" t="n"/>
      <c r="I516" s="89" t="n"/>
      <c r="J516" s="89" t="n">
        <v>28.33935</v>
      </c>
      <c r="K516" s="89" t="n">
        <v>23.76002</v>
      </c>
      <c r="L516" s="89" t="n"/>
      <c r="M516" s="89" t="n"/>
      <c r="N516" s="89" t="n">
        <v>30.31125</v>
      </c>
      <c r="O516" s="89" t="n"/>
      <c r="P516" s="89" t="n"/>
      <c r="Q516" s="89" t="n"/>
      <c r="R516" s="89" t="n">
        <v>18.15051</v>
      </c>
      <c r="S516" s="89" t="n">
        <v>38.80962</v>
      </c>
      <c r="T516" s="89" t="n">
        <v>55.96227</v>
      </c>
      <c r="U516" s="89" t="n"/>
      <c r="V516" s="89" t="n"/>
      <c r="W516" s="89" t="n"/>
      <c r="X516" s="89" t="n"/>
      <c r="Y516" s="89" t="n"/>
      <c r="Z516" s="89" t="n">
        <v>40.55701</v>
      </c>
      <c r="AA516" s="89" t="n">
        <v>16.82579</v>
      </c>
      <c r="AB516" s="89" t="n"/>
      <c r="AC516" s="89" t="n">
        <v>40.46818</v>
      </c>
      <c r="AD516" s="89" t="n"/>
      <c r="AE516" s="89" t="n"/>
      <c r="AF516" s="89" t="n">
        <v>26.28256</v>
      </c>
      <c r="AG516" s="89" t="n">
        <v>23.93191</v>
      </c>
      <c r="AH516" s="89" t="n"/>
      <c r="AI516" s="89" t="n"/>
      <c r="AJ516" s="89" t="n">
        <v>24.551</v>
      </c>
      <c r="AK516" s="89" t="n"/>
      <c r="AL516" s="89" t="n"/>
      <c r="AM516" s="89" t="n">
        <v>31.83552</v>
      </c>
      <c r="AN516" s="89" t="n"/>
      <c r="AO516" s="89" t="n">
        <v>24.39147</v>
      </c>
      <c r="AP516" s="89" t="n"/>
      <c r="AQ516" s="89" t="n"/>
      <c r="AR516" s="89" t="n"/>
      <c r="AS516" s="89" t="n"/>
      <c r="AT516" s="89" t="n"/>
      <c r="AU516" s="89" t="n"/>
      <c r="AV516" s="89" t="n"/>
      <c r="AW516" s="89" t="n"/>
      <c r="AX516" s="89" t="n"/>
      <c r="AY516" s="89" t="n"/>
    </row>
    <row r="517">
      <c r="A517" t="inlineStr">
        <is>
          <t>1961-12</t>
        </is>
      </c>
      <c r="B517" s="1" t="n">
        <v>22616</v>
      </c>
      <c r="C517" s="88" t="n">
        <v>517</v>
      </c>
      <c r="E517" s="1">
        <f>B517</f>
        <v/>
      </c>
      <c r="F517" s="2">
        <f>B517</f>
        <v/>
      </c>
      <c r="G517" s="88" t="n">
        <v>515</v>
      </c>
      <c r="H517" s="89" t="n"/>
      <c r="I517" s="89" t="n"/>
      <c r="J517" s="89" t="n">
        <v>28.37006</v>
      </c>
      <c r="K517" s="89" t="n">
        <v>23.90663</v>
      </c>
      <c r="L517" s="89" t="n"/>
      <c r="M517" s="89" t="n"/>
      <c r="N517" s="89" t="n">
        <v>30.98845</v>
      </c>
      <c r="O517" s="89" t="n"/>
      <c r="P517" s="89" t="n"/>
      <c r="Q517" s="89" t="n"/>
      <c r="R517" s="89" t="n">
        <v>18.12974</v>
      </c>
      <c r="S517" s="89" t="n">
        <v>39.93743</v>
      </c>
      <c r="T517" s="89" t="n">
        <v>56.46193</v>
      </c>
      <c r="U517" s="89" t="n"/>
      <c r="V517" s="89" t="n"/>
      <c r="W517" s="89" t="n"/>
      <c r="X517" s="89" t="n"/>
      <c r="Y517" s="89" t="n"/>
      <c r="Z517" s="89" t="n">
        <v>40.88025</v>
      </c>
      <c r="AA517" s="89" t="n">
        <v>17.07818</v>
      </c>
      <c r="AB517" s="89" t="n"/>
      <c r="AC517" s="89" t="n">
        <v>39.42538</v>
      </c>
      <c r="AD517" s="89" t="n"/>
      <c r="AE517" s="89" t="n"/>
      <c r="AF517" s="89" t="n">
        <v>26.85392</v>
      </c>
      <c r="AG517" s="89" t="n">
        <v>23.4972</v>
      </c>
      <c r="AH517" s="89" t="n"/>
      <c r="AI517" s="89" t="n"/>
      <c r="AJ517" s="89" t="n">
        <v>24.55097</v>
      </c>
      <c r="AK517" s="89" t="n"/>
      <c r="AL517" s="89" t="n"/>
      <c r="AM517" s="89" t="n">
        <v>31.38073</v>
      </c>
      <c r="AN517" s="89" t="n"/>
      <c r="AO517" s="89" t="n">
        <v>24.60422</v>
      </c>
      <c r="AP517" s="89" t="n"/>
      <c r="AQ517" s="89" t="n"/>
      <c r="AR517" s="89" t="n"/>
      <c r="AS517" s="89" t="n"/>
      <c r="AT517" s="89" t="n"/>
      <c r="AU517" s="89" t="n"/>
      <c r="AV517" s="89" t="n"/>
      <c r="AW517" s="89" t="n"/>
      <c r="AX517" s="89" t="n"/>
      <c r="AY517" s="89" t="n"/>
    </row>
    <row r="518">
      <c r="A518" t="inlineStr">
        <is>
          <t>1962-01</t>
        </is>
      </c>
      <c r="B518" s="1" t="n">
        <v>22647</v>
      </c>
      <c r="C518" s="88" t="n">
        <v>518</v>
      </c>
      <c r="E518" s="1">
        <f>B518</f>
        <v/>
      </c>
      <c r="F518" s="2">
        <f>B518</f>
        <v/>
      </c>
      <c r="G518" s="88" t="n">
        <v>516</v>
      </c>
      <c r="H518" s="89" t="n"/>
      <c r="I518" s="89" t="n"/>
      <c r="J518" s="89" t="n">
        <v>28.70617</v>
      </c>
      <c r="K518" s="89" t="n">
        <v>24.00531</v>
      </c>
      <c r="L518" s="89" t="n"/>
      <c r="M518" s="89" t="n"/>
      <c r="N518" s="89" t="n">
        <v>32.33999</v>
      </c>
      <c r="O518" s="89" t="n"/>
      <c r="P518" s="89" t="n"/>
      <c r="Q518" s="89" t="n"/>
      <c r="R518" s="89" t="n">
        <v>18.48278</v>
      </c>
      <c r="S518" s="89" t="n">
        <v>39.60572</v>
      </c>
      <c r="T518" s="89" t="n">
        <v>55.96227</v>
      </c>
      <c r="U518" s="89" t="n">
        <v>27.182</v>
      </c>
      <c r="V518" s="89" t="n"/>
      <c r="W518" s="89" t="n"/>
      <c r="X518" s="89" t="n"/>
      <c r="Y518" s="89" t="n"/>
      <c r="Z518" s="89" t="n">
        <v>41.50771</v>
      </c>
      <c r="AA518" s="89" t="n">
        <v>17.33057</v>
      </c>
      <c r="AB518" s="89" t="n"/>
      <c r="AC518" s="89" t="n">
        <v>38.99731</v>
      </c>
      <c r="AD518" s="89" t="n"/>
      <c r="AE518" s="89" t="n"/>
      <c r="AF518" s="89" t="n">
        <v>26.56824</v>
      </c>
      <c r="AG518" s="89" t="n">
        <v>23.08537</v>
      </c>
      <c r="AH518" s="89" t="n"/>
      <c r="AI518" s="89" t="n"/>
      <c r="AJ518" s="89" t="n">
        <v>25.75877</v>
      </c>
      <c r="AK518" s="89" t="n"/>
      <c r="AL518" s="89" t="n"/>
      <c r="AM518" s="89" t="n">
        <v>31.38073</v>
      </c>
      <c r="AN518" s="89" t="n"/>
      <c r="AO518" s="89" t="n">
        <v>24.39147</v>
      </c>
      <c r="AP518" s="89" t="n"/>
      <c r="AQ518" s="89" t="n"/>
      <c r="AR518" s="89" t="n"/>
      <c r="AS518" s="89" t="n"/>
      <c r="AT518" s="89" t="n"/>
      <c r="AU518" s="89" t="n"/>
      <c r="AV518" s="89" t="n"/>
      <c r="AW518" s="89" t="n"/>
      <c r="AX518" s="89" t="n"/>
      <c r="AY518" s="89" t="n"/>
    </row>
    <row r="519">
      <c r="A519" t="inlineStr">
        <is>
          <t>1962-02</t>
        </is>
      </c>
      <c r="B519" s="1" t="n">
        <v>22678</v>
      </c>
      <c r="C519" s="88" t="n">
        <v>519</v>
      </c>
      <c r="E519" s="1">
        <f>B519</f>
        <v/>
      </c>
      <c r="F519" s="2">
        <f>B519</f>
        <v/>
      </c>
      <c r="G519" s="88" t="n">
        <v>517</v>
      </c>
      <c r="H519" s="89" t="n"/>
      <c r="I519" s="89" t="n"/>
      <c r="J519" s="89" t="n">
        <v>28.86582</v>
      </c>
      <c r="K519" s="89" t="n">
        <v>24.23698</v>
      </c>
      <c r="L519" s="89" t="n"/>
      <c r="M519" s="89" t="n"/>
      <c r="N519" s="89" t="n">
        <v>32.27827</v>
      </c>
      <c r="O519" s="89" t="n"/>
      <c r="P519" s="89" t="n"/>
      <c r="Q519" s="89" t="n"/>
      <c r="R519" s="89" t="n">
        <v>18.42048</v>
      </c>
      <c r="S519" s="89" t="n">
        <v>39.93743</v>
      </c>
      <c r="T519" s="89" t="n">
        <v>56.46193</v>
      </c>
      <c r="U519" s="89" t="n">
        <v>26.98185</v>
      </c>
      <c r="V519" s="89" t="n"/>
      <c r="W519" s="89" t="n"/>
      <c r="X519" s="89" t="n"/>
      <c r="Y519" s="89" t="n"/>
      <c r="Z519" s="89" t="n">
        <v>41.6218</v>
      </c>
      <c r="AA519" s="89" t="n">
        <v>17.33057</v>
      </c>
      <c r="AB519" s="89" t="n"/>
      <c r="AC519" s="89" t="n">
        <v>39.98238</v>
      </c>
      <c r="AD519" s="89" t="n"/>
      <c r="AE519" s="89" t="n"/>
      <c r="AF519" s="89" t="n">
        <v>26.85392</v>
      </c>
      <c r="AG519" s="89" t="n">
        <v>23.52007</v>
      </c>
      <c r="AH519" s="89" t="n"/>
      <c r="AI519" s="89" t="n"/>
      <c r="AJ519" s="89" t="n">
        <v>25.42728</v>
      </c>
      <c r="AK519" s="89" t="n"/>
      <c r="AL519" s="89" t="n"/>
      <c r="AM519" s="89" t="n">
        <v>32.29031</v>
      </c>
      <c r="AN519" s="89" t="n"/>
      <c r="AO519" s="89" t="n">
        <v>24.79046</v>
      </c>
      <c r="AP519" s="89" t="n"/>
      <c r="AQ519" s="89" t="n"/>
      <c r="AR519" s="89" t="n"/>
      <c r="AS519" s="89" t="n"/>
      <c r="AT519" s="89" t="n"/>
      <c r="AU519" s="89" t="n"/>
      <c r="AV519" s="89" t="n"/>
      <c r="AW519" s="89" t="n"/>
      <c r="AX519" s="89" t="n"/>
      <c r="AY519" s="89" t="n"/>
    </row>
    <row r="520">
      <c r="A520" t="inlineStr">
        <is>
          <t>1962-03</t>
        </is>
      </c>
      <c r="B520" s="1" t="n">
        <v>22706</v>
      </c>
      <c r="C520" s="88" t="n">
        <v>520</v>
      </c>
      <c r="E520" s="1">
        <f>B520</f>
        <v/>
      </c>
      <c r="F520" s="2">
        <f>B520</f>
        <v/>
      </c>
      <c r="G520" s="88" t="n">
        <v>518</v>
      </c>
      <c r="H520" s="89" t="n"/>
      <c r="I520" s="89" t="n"/>
      <c r="J520" s="89" t="n">
        <v>28.28421</v>
      </c>
      <c r="K520" s="89" t="n">
        <v>24.57484</v>
      </c>
      <c r="L520" s="89" t="n"/>
      <c r="M520" s="89" t="n"/>
      <c r="N520" s="89" t="n">
        <v>32.27827</v>
      </c>
      <c r="O520" s="89" t="n"/>
      <c r="P520" s="89" t="n"/>
      <c r="Q520" s="89" t="n"/>
      <c r="R520" s="89" t="n">
        <v>18.21281</v>
      </c>
      <c r="S520" s="89" t="n">
        <v>40.23596</v>
      </c>
      <c r="T520" s="89" t="n">
        <v>56.96159</v>
      </c>
      <c r="U520" s="89" t="n">
        <v>26.82468</v>
      </c>
      <c r="V520" s="89" t="n"/>
      <c r="W520" s="89" t="n"/>
      <c r="X520" s="89" t="n"/>
      <c r="Y520" s="89" t="n"/>
      <c r="Z520" s="89" t="n">
        <v>41.27954</v>
      </c>
      <c r="AA520" s="89" t="n">
        <v>17.58295</v>
      </c>
      <c r="AB520" s="89" t="n"/>
      <c r="AC520" s="89" t="n">
        <v>39.10129</v>
      </c>
      <c r="AD520" s="89" t="n"/>
      <c r="AE520" s="89" t="n"/>
      <c r="AF520" s="89" t="n">
        <v>26.56824</v>
      </c>
      <c r="AG520" s="89" t="n">
        <v>23.22264</v>
      </c>
      <c r="AH520" s="89" t="n"/>
      <c r="AI520" s="89" t="n"/>
      <c r="AJ520" s="89" t="n">
        <v>24.69208</v>
      </c>
      <c r="AK520" s="89" t="n"/>
      <c r="AL520" s="89" t="n"/>
      <c r="AM520" s="89" t="n">
        <v>32.29031</v>
      </c>
      <c r="AN520" s="89" t="n"/>
      <c r="AO520" s="89" t="n">
        <v>24.92349</v>
      </c>
      <c r="AP520" s="89" t="n"/>
      <c r="AQ520" s="89" t="n"/>
      <c r="AR520" s="89" t="n"/>
      <c r="AS520" s="89" t="n"/>
      <c r="AT520" s="89" t="n"/>
      <c r="AU520" s="89" t="n"/>
      <c r="AV520" s="89" t="n"/>
      <c r="AW520" s="89" t="n"/>
      <c r="AX520" s="89" t="n"/>
      <c r="AY520" s="89" t="n"/>
    </row>
    <row r="521">
      <c r="A521" t="inlineStr">
        <is>
          <t>1962-04</t>
        </is>
      </c>
      <c r="B521" s="1" t="n">
        <v>22737</v>
      </c>
      <c r="C521" s="88" t="n">
        <v>521</v>
      </c>
      <c r="E521" s="1">
        <f>B521</f>
        <v/>
      </c>
      <c r="F521" s="2">
        <f>B521</f>
        <v/>
      </c>
      <c r="G521" s="88" t="n">
        <v>519</v>
      </c>
      <c r="H521" s="89" t="n"/>
      <c r="I521" s="89" t="n"/>
      <c r="J521" s="89" t="n">
        <v>28.46362</v>
      </c>
      <c r="K521" s="89" t="n">
        <v>24.66319</v>
      </c>
      <c r="L521" s="89" t="n"/>
      <c r="M521" s="89" t="n"/>
      <c r="N521" s="89" t="n">
        <v>31.78453</v>
      </c>
      <c r="O521" s="89" t="n"/>
      <c r="P521" s="89" t="n"/>
      <c r="Q521" s="89" t="n"/>
      <c r="R521" s="89" t="n">
        <v>19.02273</v>
      </c>
      <c r="S521" s="89" t="n">
        <v>40.07011</v>
      </c>
      <c r="T521" s="89" t="n">
        <v>56.96159</v>
      </c>
      <c r="U521" s="89" t="n">
        <v>27.25394</v>
      </c>
      <c r="V521" s="89" t="n"/>
      <c r="W521" s="89" t="n"/>
      <c r="X521" s="89" t="n"/>
      <c r="Y521" s="89" t="n"/>
      <c r="Z521" s="89" t="n">
        <v>41.58377</v>
      </c>
      <c r="AA521" s="89" t="n">
        <v>17.33057</v>
      </c>
      <c r="AB521" s="89" t="n"/>
      <c r="AC521" s="89" t="n">
        <v>39.23385</v>
      </c>
      <c r="AD521" s="89" t="n"/>
      <c r="AE521" s="89" t="n"/>
      <c r="AF521" s="89" t="n">
        <v>26.56824</v>
      </c>
      <c r="AG521" s="89" t="n">
        <v>23.86327</v>
      </c>
      <c r="AH521" s="89" t="n"/>
      <c r="AI521" s="89" t="n"/>
      <c r="AJ521" s="89" t="n">
        <v>23.71066</v>
      </c>
      <c r="AK521" s="89" t="n"/>
      <c r="AL521" s="89" t="n"/>
      <c r="AM521" s="89" t="n">
        <v>32.29031</v>
      </c>
      <c r="AN521" s="89" t="n"/>
      <c r="AO521" s="89" t="n">
        <v>24.97661</v>
      </c>
      <c r="AP521" s="89" t="n"/>
      <c r="AQ521" s="89" t="n"/>
      <c r="AR521" s="89" t="n"/>
      <c r="AS521" s="89" t="n"/>
      <c r="AT521" s="89" t="n"/>
      <c r="AU521" s="89" t="n"/>
      <c r="AV521" s="89" t="n"/>
      <c r="AW521" s="89" t="n"/>
      <c r="AX521" s="89" t="n"/>
      <c r="AY521" s="89" t="n"/>
    </row>
    <row r="522">
      <c r="A522" t="inlineStr">
        <is>
          <t>1962-05</t>
        </is>
      </c>
      <c r="B522" s="1" t="n">
        <v>22767</v>
      </c>
      <c r="C522" s="88" t="n">
        <v>522</v>
      </c>
      <c r="E522" s="1">
        <f>B522</f>
        <v/>
      </c>
      <c r="F522" s="2">
        <f>B522</f>
        <v/>
      </c>
      <c r="G522" s="88" t="n">
        <v>520</v>
      </c>
      <c r="H522" s="89" t="n"/>
      <c r="I522" s="89" t="n"/>
      <c r="J522" s="89" t="n">
        <v>29.17792</v>
      </c>
      <c r="K522" s="89" t="n">
        <v>25.07342</v>
      </c>
      <c r="L522" s="89" t="n"/>
      <c r="M522" s="89" t="n"/>
      <c r="N522" s="89" t="n">
        <v>32.77201</v>
      </c>
      <c r="O522" s="89" t="n"/>
      <c r="P522" s="89" t="n"/>
      <c r="Q522" s="89" t="n"/>
      <c r="R522" s="89" t="n">
        <v>18.71122</v>
      </c>
      <c r="S522" s="89" t="n">
        <v>40.36864</v>
      </c>
      <c r="T522" s="89" t="n">
        <v>57.46126</v>
      </c>
      <c r="U522" s="89" t="n">
        <v>27.15898</v>
      </c>
      <c r="V522" s="89" t="n"/>
      <c r="W522" s="89" t="n"/>
      <c r="X522" s="89" t="n"/>
      <c r="Y522" s="89" t="n"/>
      <c r="Z522" s="89" t="n">
        <v>42.13518</v>
      </c>
      <c r="AA522" s="89" t="n">
        <v>17.58295</v>
      </c>
      <c r="AB522" s="89" t="n"/>
      <c r="AC522" s="89" t="n">
        <v>37.75923</v>
      </c>
      <c r="AD522" s="89" t="n"/>
      <c r="AE522" s="89" t="n"/>
      <c r="AF522" s="89" t="n">
        <v>26.85392</v>
      </c>
      <c r="AG522" s="89" t="n">
        <v>23.77175</v>
      </c>
      <c r="AH522" s="89" t="n"/>
      <c r="AI522" s="89" t="n"/>
      <c r="AJ522" s="89" t="n">
        <v>24.94221</v>
      </c>
      <c r="AK522" s="89" t="n"/>
      <c r="AL522" s="89" t="n"/>
      <c r="AM522" s="89" t="n">
        <v>32.29031</v>
      </c>
      <c r="AN522" s="89" t="n"/>
      <c r="AO522" s="89" t="n">
        <v>24.95</v>
      </c>
      <c r="AP522" s="89" t="n"/>
      <c r="AQ522" s="89" t="n"/>
      <c r="AR522" s="89" t="n"/>
      <c r="AS522" s="89" t="n"/>
      <c r="AT522" s="89" t="n"/>
      <c r="AU522" s="89" t="n"/>
      <c r="AV522" s="89" t="n"/>
      <c r="AW522" s="89" t="n"/>
      <c r="AX522" s="89" t="n"/>
      <c r="AY522" s="89" t="n"/>
    </row>
    <row r="523">
      <c r="A523" t="inlineStr">
        <is>
          <t>1962-06</t>
        </is>
      </c>
      <c r="B523" s="1" t="n">
        <v>22798</v>
      </c>
      <c r="C523" s="88" t="n">
        <v>523</v>
      </c>
      <c r="E523" s="1">
        <f>B523</f>
        <v/>
      </c>
      <c r="F523" s="2">
        <f>B523</f>
        <v/>
      </c>
      <c r="G523" s="88" t="n">
        <v>521</v>
      </c>
      <c r="H523" s="89" t="n"/>
      <c r="I523" s="89" t="n"/>
      <c r="J523" s="89" t="n">
        <v>29.33312</v>
      </c>
      <c r="K523" s="89" t="n">
        <v>25.36523</v>
      </c>
      <c r="L523" s="89" t="n"/>
      <c r="M523" s="89" t="n"/>
      <c r="N523" s="89" t="n">
        <v>32.77201</v>
      </c>
      <c r="O523" s="89" t="n"/>
      <c r="P523" s="89" t="n"/>
      <c r="Q523" s="89" t="n"/>
      <c r="R523" s="89" t="n">
        <v>18.58662</v>
      </c>
      <c r="S523" s="89" t="n">
        <v>40.10328</v>
      </c>
      <c r="T523" s="89" t="n">
        <v>57.46126</v>
      </c>
      <c r="U523" s="89" t="n">
        <v>27.9032</v>
      </c>
      <c r="V523" s="89" t="n"/>
      <c r="W523" s="89" t="n"/>
      <c r="X523" s="89" t="n"/>
      <c r="Y523" s="89" t="n"/>
      <c r="Z523" s="89" t="n">
        <v>40.95631</v>
      </c>
      <c r="AA523" s="89" t="n">
        <v>17.33057</v>
      </c>
      <c r="AB523" s="89" t="n"/>
      <c r="AC523" s="89" t="n">
        <v>38.96405</v>
      </c>
      <c r="AD523" s="89" t="n"/>
      <c r="AE523" s="89" t="n"/>
      <c r="AF523" s="89" t="n">
        <v>27.1396</v>
      </c>
      <c r="AG523" s="89" t="n">
        <v>23.4972</v>
      </c>
      <c r="AH523" s="89" t="n"/>
      <c r="AI523" s="89" t="n"/>
      <c r="AJ523" s="89" t="n">
        <v>26.05305</v>
      </c>
      <c r="AK523" s="89" t="n"/>
      <c r="AL523" s="89" t="n"/>
      <c r="AM523" s="89" t="n">
        <v>32.74511</v>
      </c>
      <c r="AN523" s="89" t="n"/>
      <c r="AO523" s="89" t="n">
        <v>24.89689</v>
      </c>
      <c r="AP523" s="89" t="n"/>
      <c r="AQ523" s="89" t="n"/>
      <c r="AR523" s="89" t="n"/>
      <c r="AS523" s="89" t="n"/>
      <c r="AT523" s="89" t="n"/>
      <c r="AU523" s="89" t="n"/>
      <c r="AV523" s="89" t="n"/>
      <c r="AW523" s="89" t="n"/>
      <c r="AX523" s="89" t="n"/>
      <c r="AY523" s="89" t="n"/>
    </row>
    <row r="524">
      <c r="A524" t="inlineStr">
        <is>
          <t>1962-07</t>
        </is>
      </c>
      <c r="B524" s="1" t="n">
        <v>22828</v>
      </c>
      <c r="C524" s="88" t="n">
        <v>524</v>
      </c>
      <c r="E524" s="1">
        <f>B524</f>
        <v/>
      </c>
      <c r="F524" s="2">
        <f>B524</f>
        <v/>
      </c>
      <c r="G524" s="88" t="n">
        <v>522</v>
      </c>
      <c r="H524" s="89" t="n"/>
      <c r="I524" s="89" t="n"/>
      <c r="J524" s="89" t="n">
        <v>29.33736</v>
      </c>
      <c r="K524" s="89" t="n">
        <v>25.66738</v>
      </c>
      <c r="L524" s="89" t="n"/>
      <c r="M524" s="89" t="n"/>
      <c r="N524" s="89" t="n">
        <v>32.83373</v>
      </c>
      <c r="O524" s="89" t="n"/>
      <c r="P524" s="89" t="n"/>
      <c r="Q524" s="89" t="n"/>
      <c r="R524" s="89" t="n">
        <v>18.39971</v>
      </c>
      <c r="S524" s="89" t="n">
        <v>40.73352</v>
      </c>
      <c r="T524" s="89" t="n">
        <v>57.46126</v>
      </c>
      <c r="U524" s="89" t="n">
        <v>27.21054</v>
      </c>
      <c r="V524" s="89" t="n"/>
      <c r="W524" s="89" t="n"/>
      <c r="X524" s="89" t="n"/>
      <c r="Y524" s="89" t="n"/>
      <c r="Z524" s="89" t="n">
        <v>42.45842</v>
      </c>
      <c r="AA524" s="89" t="n">
        <v>16.99405</v>
      </c>
      <c r="AB524" s="89" t="n"/>
      <c r="AC524" s="89" t="n">
        <v>38.64236</v>
      </c>
      <c r="AD524" s="89" t="n"/>
      <c r="AE524" s="89" t="n"/>
      <c r="AF524" s="89" t="n">
        <v>27.42528</v>
      </c>
      <c r="AG524" s="89" t="n">
        <v>23.86327</v>
      </c>
      <c r="AH524" s="89" t="n"/>
      <c r="AI524" s="89" t="n"/>
      <c r="AJ524" s="89" t="n">
        <v>25.08605</v>
      </c>
      <c r="AK524" s="89" t="n"/>
      <c r="AL524" s="89" t="n"/>
      <c r="AM524" s="89" t="n">
        <v>33.65469</v>
      </c>
      <c r="AN524" s="89" t="n"/>
      <c r="AO524" s="89" t="n">
        <v>25.13625</v>
      </c>
      <c r="AP524" s="89" t="n"/>
      <c r="AQ524" s="89" t="n"/>
      <c r="AR524" s="89" t="n"/>
      <c r="AS524" s="89" t="n"/>
      <c r="AT524" s="89" t="n"/>
      <c r="AU524" s="89" t="n"/>
      <c r="AV524" s="89" t="n"/>
      <c r="AW524" s="89" t="n"/>
      <c r="AX524" s="89" t="n"/>
      <c r="AY524" s="89" t="n"/>
    </row>
    <row r="525">
      <c r="A525" t="inlineStr">
        <is>
          <t>1962-08</t>
        </is>
      </c>
      <c r="B525" s="1" t="n">
        <v>22859</v>
      </c>
      <c r="C525" s="88" t="n">
        <v>525</v>
      </c>
      <c r="E525" s="1">
        <f>B525</f>
        <v/>
      </c>
      <c r="F525" s="2">
        <f>B525</f>
        <v/>
      </c>
      <c r="G525" s="88" t="n">
        <v>523</v>
      </c>
      <c r="H525" s="89" t="n"/>
      <c r="I525" s="89" t="n"/>
      <c r="J525" s="89" t="n">
        <v>29.70955</v>
      </c>
      <c r="K525" s="89" t="n">
        <v>25.15236</v>
      </c>
      <c r="L525" s="89" t="n"/>
      <c r="M525" s="89" t="n"/>
      <c r="N525" s="89" t="n">
        <v>34.25323</v>
      </c>
      <c r="O525" s="89" t="n"/>
      <c r="P525" s="89" t="n"/>
      <c r="Q525" s="89" t="n"/>
      <c r="R525" s="89" t="n">
        <v>18.58662</v>
      </c>
      <c r="S525" s="89" t="n">
        <v>40.73352</v>
      </c>
      <c r="T525" s="89" t="n">
        <v>57.46126</v>
      </c>
      <c r="U525" s="89" t="n">
        <v>27.04476</v>
      </c>
      <c r="V525" s="89" t="n"/>
      <c r="W525" s="89" t="n"/>
      <c r="X525" s="89" t="n"/>
      <c r="Y525" s="89" t="n"/>
      <c r="Z525" s="89" t="n">
        <v>42.53447</v>
      </c>
      <c r="AA525" s="89" t="n">
        <v>17.33057</v>
      </c>
      <c r="AB525" s="89" t="n"/>
      <c r="AC525" s="89" t="n">
        <v>38.65822</v>
      </c>
      <c r="AD525" s="89" t="n"/>
      <c r="AE525" s="89" t="n"/>
      <c r="AF525" s="89" t="n">
        <v>27.42528</v>
      </c>
      <c r="AG525" s="89" t="n">
        <v>24.00054</v>
      </c>
      <c r="AH525" s="89" t="n"/>
      <c r="AI525" s="89" t="n"/>
      <c r="AJ525" s="89" t="n">
        <v>25.9226</v>
      </c>
      <c r="AK525" s="89" t="n"/>
      <c r="AL525" s="89" t="n"/>
      <c r="AM525" s="89" t="n">
        <v>33.65469</v>
      </c>
      <c r="AN525" s="89" t="n"/>
      <c r="AO525" s="89" t="n">
        <v>25.16285</v>
      </c>
      <c r="AP525" s="89" t="n"/>
      <c r="AQ525" s="89" t="n"/>
      <c r="AR525" s="89" t="n"/>
      <c r="AS525" s="89" t="n"/>
      <c r="AT525" s="89" t="n"/>
      <c r="AU525" s="89" t="n"/>
      <c r="AV525" s="89" t="n"/>
      <c r="AW525" s="89" t="n"/>
      <c r="AX525" s="89" t="n"/>
      <c r="AY525" s="89" t="n"/>
    </row>
    <row r="526">
      <c r="A526" t="inlineStr">
        <is>
          <t>1962-09</t>
        </is>
      </c>
      <c r="B526" s="1" t="n">
        <v>22890</v>
      </c>
      <c r="C526" s="88" t="n">
        <v>526</v>
      </c>
      <c r="E526" s="1">
        <f>B526</f>
        <v/>
      </c>
      <c r="F526" s="2">
        <f>B526</f>
        <v/>
      </c>
      <c r="G526" s="88" t="n">
        <v>524</v>
      </c>
      <c r="H526" s="89" t="n"/>
      <c r="I526" s="89" t="n"/>
      <c r="J526" s="89" t="n">
        <v>29.68764</v>
      </c>
      <c r="K526" s="89" t="n">
        <v>25.74538</v>
      </c>
      <c r="L526" s="89" t="n"/>
      <c r="M526" s="89" t="n"/>
      <c r="N526" s="89" t="n">
        <v>33.45091</v>
      </c>
      <c r="O526" s="89" t="n"/>
      <c r="P526" s="89" t="n"/>
      <c r="Q526" s="89" t="n"/>
      <c r="R526" s="89" t="n">
        <v>19.06426</v>
      </c>
      <c r="S526" s="89" t="n">
        <v>41.03205</v>
      </c>
      <c r="T526" s="89" t="n">
        <v>57.96092</v>
      </c>
      <c r="U526" s="89" t="n">
        <v>27.63672</v>
      </c>
      <c r="V526" s="89" t="n"/>
      <c r="W526" s="89" t="n"/>
      <c r="X526" s="89" t="n"/>
      <c r="Y526" s="89" t="n"/>
      <c r="Z526" s="89" t="n">
        <v>41.83095</v>
      </c>
      <c r="AA526" s="89" t="n">
        <v>17.07818</v>
      </c>
      <c r="AB526" s="89" t="n"/>
      <c r="AC526" s="89" t="n">
        <v>40.4188</v>
      </c>
      <c r="AD526" s="89" t="n"/>
      <c r="AE526" s="89" t="n"/>
      <c r="AF526" s="89" t="n">
        <v>27.42528</v>
      </c>
      <c r="AG526" s="89" t="n">
        <v>24.18358</v>
      </c>
      <c r="AH526" s="89" t="n"/>
      <c r="AI526" s="89" t="n"/>
      <c r="AJ526" s="89" t="n">
        <v>24.94842</v>
      </c>
      <c r="AK526" s="89" t="n"/>
      <c r="AL526" s="89" t="n"/>
      <c r="AM526" s="89" t="n">
        <v>33.65469</v>
      </c>
      <c r="AN526" s="89" t="n"/>
      <c r="AO526" s="89" t="n">
        <v>25.32239</v>
      </c>
      <c r="AP526" s="89" t="n"/>
      <c r="AQ526" s="89" t="n"/>
      <c r="AR526" s="89" t="n"/>
      <c r="AS526" s="89" t="n"/>
      <c r="AT526" s="89" t="n"/>
      <c r="AU526" s="89" t="n"/>
      <c r="AV526" s="89" t="n"/>
      <c r="AW526" s="89" t="n"/>
      <c r="AX526" s="89" t="n"/>
      <c r="AY526" s="89" t="n"/>
    </row>
    <row r="527">
      <c r="A527" t="inlineStr">
        <is>
          <t>1962-10</t>
        </is>
      </c>
      <c r="B527" s="1" t="n">
        <v>22920</v>
      </c>
      <c r="C527" s="88" t="n">
        <v>527</v>
      </c>
      <c r="E527" s="1">
        <f>B527</f>
        <v/>
      </c>
      <c r="F527" s="2">
        <f>B527</f>
        <v/>
      </c>
      <c r="G527" s="88" t="n">
        <v>525</v>
      </c>
      <c r="H527" s="89" t="n"/>
      <c r="I527" s="89" t="n"/>
      <c r="J527" s="89" t="n">
        <v>29.44437</v>
      </c>
      <c r="K527" s="89" t="n">
        <v>25.57669</v>
      </c>
      <c r="L527" s="89" t="n"/>
      <c r="M527" s="89" t="n"/>
      <c r="N527" s="89" t="n">
        <v>32.89545</v>
      </c>
      <c r="O527" s="89" t="n"/>
      <c r="P527" s="89" t="n"/>
      <c r="Q527" s="89" t="n"/>
      <c r="R527" s="89" t="n">
        <v>18.75275</v>
      </c>
      <c r="S527" s="89" t="n">
        <v>41.16474</v>
      </c>
      <c r="T527" s="89" t="n">
        <v>56.96159</v>
      </c>
      <c r="U527" s="89" t="n">
        <v>27.90868</v>
      </c>
      <c r="V527" s="89" t="n"/>
      <c r="W527" s="89" t="n"/>
      <c r="X527" s="89" t="n"/>
      <c r="Y527" s="89" t="n"/>
      <c r="Z527" s="89" t="n">
        <v>42.40137</v>
      </c>
      <c r="AA527" s="89" t="n">
        <v>16.99405</v>
      </c>
      <c r="AB527" s="89" t="n"/>
      <c r="AC527" s="89" t="n">
        <v>39.46128</v>
      </c>
      <c r="AD527" s="89" t="n"/>
      <c r="AE527" s="89" t="n"/>
      <c r="AF527" s="89" t="n">
        <v>27.42528</v>
      </c>
      <c r="AG527" s="89" t="n">
        <v>24.70981</v>
      </c>
      <c r="AH527" s="89" t="n"/>
      <c r="AI527" s="89" t="n"/>
      <c r="AJ527" s="89" t="n">
        <v>24.64943</v>
      </c>
      <c r="AK527" s="89" t="n"/>
      <c r="AL527" s="89" t="n"/>
      <c r="AM527" s="89" t="n">
        <v>33.65469</v>
      </c>
      <c r="AN527" s="89" t="n"/>
      <c r="AO527" s="89" t="n">
        <v>25.349</v>
      </c>
      <c r="AP527" s="89" t="n"/>
      <c r="AQ527" s="89" t="n"/>
      <c r="AR527" s="89" t="n"/>
      <c r="AS527" s="89" t="n"/>
      <c r="AT527" s="89" t="n"/>
      <c r="AU527" s="89" t="n"/>
      <c r="AV527" s="89" t="n"/>
      <c r="AW527" s="89" t="n"/>
      <c r="AX527" s="89" t="n"/>
      <c r="AY527" s="89" t="n"/>
    </row>
    <row r="528">
      <c r="A528" t="inlineStr">
        <is>
          <t>1962-11</t>
        </is>
      </c>
      <c r="B528" s="1" t="n">
        <v>22951</v>
      </c>
      <c r="C528" s="88" t="n">
        <v>528</v>
      </c>
      <c r="E528" s="1">
        <f>B528</f>
        <v/>
      </c>
      <c r="F528" s="2">
        <f>B528</f>
        <v/>
      </c>
      <c r="G528" s="88" t="n">
        <v>526</v>
      </c>
      <c r="H528" s="89" t="n"/>
      <c r="I528" s="89" t="n"/>
      <c r="J528" s="89" t="n">
        <v>29.50554</v>
      </c>
      <c r="K528" s="89" t="n">
        <v>25.59877</v>
      </c>
      <c r="L528" s="89" t="n"/>
      <c r="M528" s="89" t="n"/>
      <c r="N528" s="89" t="n">
        <v>33.57434</v>
      </c>
      <c r="O528" s="89" t="n"/>
      <c r="P528" s="89" t="n"/>
      <c r="Q528" s="89" t="n"/>
      <c r="R528" s="89" t="n">
        <v>19.00196</v>
      </c>
      <c r="S528" s="89" t="n">
        <v>41.36376</v>
      </c>
      <c r="T528" s="89" t="n">
        <v>56.96159</v>
      </c>
      <c r="U528" s="89" t="n">
        <v>27.94533</v>
      </c>
      <c r="V528" s="89" t="n"/>
      <c r="W528" s="89" t="n"/>
      <c r="X528" s="89" t="n"/>
      <c r="Y528" s="89" t="n"/>
      <c r="Z528" s="89" t="n">
        <v>43.31405</v>
      </c>
      <c r="AA528" s="89" t="n">
        <v>17.07818</v>
      </c>
      <c r="AB528" s="89" t="n"/>
      <c r="AC528" s="89" t="n">
        <v>41.37086</v>
      </c>
      <c r="AD528" s="89" t="n"/>
      <c r="AE528" s="89" t="n"/>
      <c r="AF528" s="89" t="n">
        <v>27.71096</v>
      </c>
      <c r="AG528" s="89" t="n">
        <v>24.68693</v>
      </c>
      <c r="AH528" s="89" t="n"/>
      <c r="AI528" s="89" t="n"/>
      <c r="AJ528" s="89" t="n">
        <v>25.5647</v>
      </c>
      <c r="AK528" s="89" t="n"/>
      <c r="AL528" s="89" t="n"/>
      <c r="AM528" s="89" t="n">
        <v>34.10949</v>
      </c>
      <c r="AN528" s="89" t="n"/>
      <c r="AO528" s="89" t="n">
        <v>25.45542</v>
      </c>
      <c r="AP528" s="89" t="n"/>
      <c r="AQ528" s="89" t="n"/>
      <c r="AR528" s="89" t="n"/>
      <c r="AS528" s="89" t="n"/>
      <c r="AT528" s="89" t="n"/>
      <c r="AU528" s="89" t="n"/>
      <c r="AV528" s="89" t="n"/>
      <c r="AW528" s="89" t="n"/>
      <c r="AX528" s="89" t="n"/>
      <c r="AY528" s="89" t="n"/>
    </row>
    <row r="529">
      <c r="A529" t="inlineStr">
        <is>
          <t>1962-12</t>
        </is>
      </c>
      <c r="B529" s="1" t="n">
        <v>22981</v>
      </c>
      <c r="C529" s="88" t="n">
        <v>529</v>
      </c>
      <c r="E529" s="1">
        <f>B529</f>
        <v/>
      </c>
      <c r="F529" s="2">
        <f>B529</f>
        <v/>
      </c>
      <c r="G529" s="88" t="n">
        <v>527</v>
      </c>
      <c r="H529" s="89" t="n"/>
      <c r="I529" s="89" t="n"/>
      <c r="J529" s="89" t="n">
        <v>29.68004</v>
      </c>
      <c r="K529" s="89" t="n">
        <v>25.57669</v>
      </c>
      <c r="L529" s="89" t="n"/>
      <c r="M529" s="89" t="n"/>
      <c r="N529" s="89" t="n">
        <v>32.7103</v>
      </c>
      <c r="O529" s="89" t="n"/>
      <c r="P529" s="89" t="n"/>
      <c r="Q529" s="89" t="n"/>
      <c r="R529" s="89" t="n">
        <v>19.2927</v>
      </c>
      <c r="S529" s="89" t="n">
        <v>40.99889</v>
      </c>
      <c r="T529" s="89" t="n">
        <v>56.96159</v>
      </c>
      <c r="U529" s="89" t="n">
        <v>27.74281</v>
      </c>
      <c r="V529" s="89" t="n"/>
      <c r="W529" s="89" t="n"/>
      <c r="X529" s="89" t="n"/>
      <c r="Y529" s="89" t="n"/>
      <c r="Z529" s="89" t="n">
        <v>44.24574</v>
      </c>
      <c r="AA529" s="89" t="n">
        <v>16.99405</v>
      </c>
      <c r="AB529" s="89" t="n"/>
      <c r="AC529" s="89" t="n">
        <v>39.22179</v>
      </c>
      <c r="AD529" s="89" t="n"/>
      <c r="AE529" s="89" t="n"/>
      <c r="AF529" s="89" t="n">
        <v>26.85392</v>
      </c>
      <c r="AG529" s="89" t="n">
        <v>24.0463</v>
      </c>
      <c r="AH529" s="89" t="n"/>
      <c r="AI529" s="89" t="n"/>
      <c r="AJ529" s="89" t="n">
        <v>24.36543</v>
      </c>
      <c r="AK529" s="89" t="n"/>
      <c r="AL529" s="89" t="n"/>
      <c r="AM529" s="89" t="n">
        <v>34.56428</v>
      </c>
      <c r="AN529" s="89" t="n"/>
      <c r="AO529" s="89" t="n">
        <v>25.45542</v>
      </c>
      <c r="AP529" s="89" t="n"/>
      <c r="AQ529" s="89" t="n"/>
      <c r="AR529" s="89" t="n"/>
      <c r="AS529" s="89" t="n"/>
      <c r="AT529" s="89" t="n"/>
      <c r="AU529" s="89" t="n"/>
      <c r="AV529" s="89" t="n"/>
      <c r="AW529" s="89" t="n"/>
      <c r="AX529" s="89" t="n"/>
      <c r="AY529" s="89" t="n"/>
    </row>
    <row r="530">
      <c r="A530" t="inlineStr">
        <is>
          <t>1963-01</t>
        </is>
      </c>
      <c r="B530" s="1" t="n">
        <v>23012</v>
      </c>
      <c r="C530" s="88" t="n">
        <v>530</v>
      </c>
      <c r="E530" s="1">
        <f>B530</f>
        <v/>
      </c>
      <c r="F530" s="2">
        <f>B530</f>
        <v/>
      </c>
      <c r="G530" s="88" t="n">
        <v>528</v>
      </c>
      <c r="H530" s="89" t="n"/>
      <c r="I530" s="89" t="n"/>
      <c r="J530" s="89" t="n">
        <v>29.2761</v>
      </c>
      <c r="K530" s="89" t="n">
        <v>25.60018</v>
      </c>
      <c r="L530" s="89" t="n"/>
      <c r="M530" s="89" t="n"/>
      <c r="N530" s="89" t="n">
        <v>32.83373</v>
      </c>
      <c r="O530" s="89" t="n"/>
      <c r="P530" s="89" t="n"/>
      <c r="Q530" s="89" t="n"/>
      <c r="R530" s="89" t="n">
        <v>19.1058</v>
      </c>
      <c r="S530" s="89" t="n">
        <v>41.09978</v>
      </c>
      <c r="T530" s="89" t="n">
        <v>55.96227</v>
      </c>
      <c r="U530" s="89" t="n">
        <v>28.05904</v>
      </c>
      <c r="V530" s="89" t="n"/>
      <c r="W530" s="89" t="n"/>
      <c r="X530" s="89" t="n"/>
      <c r="Y530" s="89" t="n"/>
      <c r="Z530" s="89" t="n">
        <v>44.22672</v>
      </c>
      <c r="AA530" s="89" t="n">
        <v>17.33057</v>
      </c>
      <c r="AB530" s="89" t="n"/>
      <c r="AC530" s="89" t="n">
        <v>38.83787</v>
      </c>
      <c r="AD530" s="89" t="n"/>
      <c r="AE530" s="89" t="n"/>
      <c r="AF530" s="89" t="n">
        <v>26.85392</v>
      </c>
      <c r="AG530" s="89" t="n">
        <v>24.20646</v>
      </c>
      <c r="AH530" s="89" t="n"/>
      <c r="AI530" s="89" t="n"/>
      <c r="AJ530" s="89" t="n">
        <v>25.03936</v>
      </c>
      <c r="AK530" s="89" t="n"/>
      <c r="AL530" s="89" t="n"/>
      <c r="AM530" s="89" t="n">
        <v>33.1999</v>
      </c>
      <c r="AN530" s="89" t="n"/>
      <c r="AO530" s="89" t="n">
        <v>25.64157</v>
      </c>
      <c r="AP530" s="89" t="n"/>
      <c r="AQ530" s="89" t="n"/>
      <c r="AR530" s="89" t="n"/>
      <c r="AS530" s="89" t="n"/>
      <c r="AT530" s="89" t="n"/>
      <c r="AU530" s="89" t="n"/>
      <c r="AV530" s="89" t="n"/>
      <c r="AW530" s="89" t="n"/>
      <c r="AX530" s="89" t="n"/>
      <c r="AY530" s="89" t="n"/>
    </row>
    <row r="531">
      <c r="A531" t="inlineStr">
        <is>
          <t>1963-02</t>
        </is>
      </c>
      <c r="B531" s="1" t="n">
        <v>23043</v>
      </c>
      <c r="C531" s="88" t="n">
        <v>531</v>
      </c>
      <c r="E531" s="1">
        <f>B531</f>
        <v/>
      </c>
      <c r="F531" s="2">
        <f>B531</f>
        <v/>
      </c>
      <c r="G531" s="88" t="n">
        <v>529</v>
      </c>
      <c r="H531" s="89" t="n"/>
      <c r="I531" s="89" t="n"/>
      <c r="J531" s="89" t="n">
        <v>29.64637</v>
      </c>
      <c r="K531" s="89" t="n">
        <v>25.81352</v>
      </c>
      <c r="L531" s="89" t="n"/>
      <c r="M531" s="89" t="n"/>
      <c r="N531" s="89" t="n">
        <v>32.46343</v>
      </c>
      <c r="O531" s="89" t="n"/>
      <c r="P531" s="89" t="n"/>
      <c r="Q531" s="89" t="n"/>
      <c r="R531" s="89" t="n">
        <v>19.00196</v>
      </c>
      <c r="S531" s="89" t="n">
        <v>40.48908</v>
      </c>
      <c r="T531" s="89" t="n">
        <v>56.96159</v>
      </c>
      <c r="U531" s="89" t="n">
        <v>29.19199</v>
      </c>
      <c r="V531" s="89" t="n"/>
      <c r="W531" s="89" t="n"/>
      <c r="X531" s="89" t="n"/>
      <c r="Y531" s="89" t="n"/>
      <c r="Z531" s="89" t="n">
        <v>43.18095</v>
      </c>
      <c r="AA531" s="89" t="n">
        <v>17.83534</v>
      </c>
      <c r="AB531" s="89" t="n"/>
      <c r="AC531" s="89" t="n">
        <v>38.35259</v>
      </c>
      <c r="AD531" s="89" t="n"/>
      <c r="AE531" s="89" t="n"/>
      <c r="AF531" s="89" t="n">
        <v>26.85392</v>
      </c>
      <c r="AG531" s="89" t="n">
        <v>24.57253</v>
      </c>
      <c r="AH531" s="89" t="n"/>
      <c r="AI531" s="89" t="n"/>
      <c r="AJ531" s="89" t="n">
        <v>25.24794</v>
      </c>
      <c r="AK531" s="89" t="n"/>
      <c r="AL531" s="89" t="n"/>
      <c r="AM531" s="89" t="n">
        <v>33.65469</v>
      </c>
      <c r="AN531" s="89" t="n"/>
      <c r="AO531" s="89" t="n">
        <v>25.93424</v>
      </c>
      <c r="AP531" s="89" t="n"/>
      <c r="AQ531" s="89" t="n"/>
      <c r="AR531" s="89" t="n"/>
      <c r="AS531" s="89" t="n"/>
      <c r="AT531" s="89" t="n"/>
      <c r="AU531" s="89" t="n"/>
      <c r="AV531" s="89" t="n"/>
      <c r="AW531" s="89" t="n"/>
      <c r="AX531" s="89" t="n"/>
      <c r="AY531" s="89" t="n"/>
    </row>
    <row r="532">
      <c r="A532" t="inlineStr">
        <is>
          <t>1963-03</t>
        </is>
      </c>
      <c r="B532" s="1" t="n">
        <v>23071</v>
      </c>
      <c r="C532" s="88" t="n">
        <v>532</v>
      </c>
      <c r="E532" s="1">
        <f>B532</f>
        <v/>
      </c>
      <c r="F532" s="2">
        <f>B532</f>
        <v/>
      </c>
      <c r="G532" s="88" t="n">
        <v>530</v>
      </c>
      <c r="H532" s="89" t="n"/>
      <c r="I532" s="89" t="n"/>
      <c r="J532" s="89" t="n">
        <v>30.50237</v>
      </c>
      <c r="K532" s="89" t="n">
        <v>26.09876</v>
      </c>
      <c r="L532" s="89" t="n"/>
      <c r="M532" s="89" t="n"/>
      <c r="N532" s="89" t="n">
        <v>33.26575</v>
      </c>
      <c r="O532" s="89" t="n"/>
      <c r="P532" s="89" t="n"/>
      <c r="Q532" s="89" t="n"/>
      <c r="R532" s="89" t="n">
        <v>18.10897</v>
      </c>
      <c r="S532" s="89" t="n">
        <v>36.39743</v>
      </c>
      <c r="T532" s="89" t="n">
        <v>57.96092</v>
      </c>
      <c r="U532" s="89" t="n">
        <v>29.21167</v>
      </c>
      <c r="V532" s="89" t="n"/>
      <c r="W532" s="89" t="n"/>
      <c r="X532" s="89" t="n"/>
      <c r="Y532" s="89" t="n"/>
      <c r="Z532" s="89" t="n">
        <v>44.39785</v>
      </c>
      <c r="AA532" s="89" t="n">
        <v>17.91947</v>
      </c>
      <c r="AB532" s="89" t="n"/>
      <c r="AC532" s="89" t="n">
        <v>38.37523</v>
      </c>
      <c r="AD532" s="89" t="n"/>
      <c r="AE532" s="89" t="n"/>
      <c r="AF532" s="89" t="n">
        <v>27.71096</v>
      </c>
      <c r="AG532" s="89" t="n">
        <v>24.25222</v>
      </c>
      <c r="AH532" s="89" t="n"/>
      <c r="AI532" s="89" t="n"/>
      <c r="AJ532" s="89" t="n">
        <v>25.33383</v>
      </c>
      <c r="AK532" s="89" t="n"/>
      <c r="AL532" s="89" t="n"/>
      <c r="AM532" s="89" t="n">
        <v>33.1999</v>
      </c>
      <c r="AN532" s="89" t="n"/>
      <c r="AO532" s="89" t="n">
        <v>26.09378</v>
      </c>
      <c r="AP532" s="89" t="n"/>
      <c r="AQ532" s="89" t="n"/>
      <c r="AR532" s="89" t="n"/>
      <c r="AS532" s="89" t="n"/>
      <c r="AT532" s="89" t="n"/>
      <c r="AU532" s="89" t="n"/>
      <c r="AV532" s="89" t="n"/>
      <c r="AW532" s="89" t="n"/>
      <c r="AX532" s="89" t="n"/>
      <c r="AY532" s="89" t="n"/>
    </row>
    <row r="533">
      <c r="A533" t="inlineStr">
        <is>
          <t>1963-04</t>
        </is>
      </c>
      <c r="B533" s="1" t="n">
        <v>23102</v>
      </c>
      <c r="C533" s="88" t="n">
        <v>533</v>
      </c>
      <c r="E533" s="1">
        <f>B533</f>
        <v/>
      </c>
      <c r="F533" s="2">
        <f>B533</f>
        <v/>
      </c>
      <c r="G533" s="88" t="n">
        <v>531</v>
      </c>
      <c r="H533" s="89" t="n"/>
      <c r="I533" s="89" t="n"/>
      <c r="J533" s="89" t="n">
        <v>31.35038</v>
      </c>
      <c r="K533" s="89" t="n">
        <v>26.13964</v>
      </c>
      <c r="L533" s="89" t="n"/>
      <c r="M533" s="89" t="n"/>
      <c r="N533" s="89" t="n">
        <v>33.57434</v>
      </c>
      <c r="O533" s="89" t="n"/>
      <c r="P533" s="89" t="n"/>
      <c r="Q533" s="89" t="n"/>
      <c r="R533" s="89" t="n">
        <v>19.2304</v>
      </c>
      <c r="S533" s="89" t="n">
        <v>41.4662</v>
      </c>
      <c r="T533" s="89" t="n">
        <v>57.46126</v>
      </c>
      <c r="U533" s="89" t="n">
        <v>28.82527</v>
      </c>
      <c r="V533" s="89" t="n"/>
      <c r="W533" s="89" t="n"/>
      <c r="X533" s="89" t="n"/>
      <c r="Y533" s="89" t="n"/>
      <c r="Z533" s="89" t="n">
        <v>45.51968</v>
      </c>
      <c r="AA533" s="89" t="n">
        <v>18.5925</v>
      </c>
      <c r="AB533" s="89" t="n"/>
      <c r="AC533" s="89" t="n">
        <v>38.99416</v>
      </c>
      <c r="AD533" s="89" t="n"/>
      <c r="AE533" s="89" t="n"/>
      <c r="AF533" s="89" t="n">
        <v>28.28232</v>
      </c>
      <c r="AG533" s="89" t="n">
        <v>24.61829</v>
      </c>
      <c r="AH533" s="89" t="n"/>
      <c r="AI533" s="89" t="n"/>
      <c r="AJ533" s="89" t="n">
        <v>25.58804</v>
      </c>
      <c r="AK533" s="89" t="n"/>
      <c r="AL533" s="89" t="n"/>
      <c r="AM533" s="89" t="n">
        <v>34.10949</v>
      </c>
      <c r="AN533" s="89" t="n"/>
      <c r="AO533" s="89" t="n">
        <v>26.33323</v>
      </c>
      <c r="AP533" s="89" t="n"/>
      <c r="AQ533" s="89" t="n"/>
      <c r="AR533" s="89" t="n"/>
      <c r="AS533" s="89" t="n"/>
      <c r="AT533" s="89" t="n"/>
      <c r="AU533" s="89" t="n"/>
      <c r="AV533" s="89" t="n"/>
      <c r="AW533" s="89" t="n"/>
      <c r="AX533" s="89" t="n"/>
      <c r="AY533" s="89" t="n"/>
    </row>
    <row r="534">
      <c r="A534" t="inlineStr">
        <is>
          <t>1963-05</t>
        </is>
      </c>
      <c r="B534" s="1" t="n">
        <v>23132</v>
      </c>
      <c r="C534" s="88" t="n">
        <v>534</v>
      </c>
      <c r="E534" s="1">
        <f>B534</f>
        <v/>
      </c>
      <c r="F534" s="2">
        <f>B534</f>
        <v/>
      </c>
      <c r="G534" s="88" t="n">
        <v>532</v>
      </c>
      <c r="H534" s="89" t="n"/>
      <c r="I534" s="89" t="n"/>
      <c r="J534" s="89" t="n">
        <v>31.63778</v>
      </c>
      <c r="K534" s="89" t="n">
        <v>26.49724</v>
      </c>
      <c r="L534" s="89" t="n"/>
      <c r="M534" s="89" t="n"/>
      <c r="N534" s="89" t="n">
        <v>33.82121</v>
      </c>
      <c r="O534" s="89" t="n"/>
      <c r="P534" s="89" t="n"/>
      <c r="Q534" s="89" t="n"/>
      <c r="R534" s="89" t="n">
        <v>19.4796</v>
      </c>
      <c r="S534" s="89" t="n">
        <v>43.17614</v>
      </c>
      <c r="T534" s="89" t="n">
        <v>58.46058</v>
      </c>
      <c r="U534" s="89" t="n">
        <v>29.17453</v>
      </c>
      <c r="V534" s="89" t="n"/>
      <c r="W534" s="89" t="n"/>
      <c r="X534" s="89" t="n"/>
      <c r="Y534" s="89" t="n"/>
      <c r="Z534" s="89" t="n">
        <v>45.46264</v>
      </c>
      <c r="AA534" s="89" t="n">
        <v>18.84489</v>
      </c>
      <c r="AB534" s="89" t="n"/>
      <c r="AC534" s="89" t="n">
        <v>39.48996</v>
      </c>
      <c r="AD534" s="89" t="n"/>
      <c r="AE534" s="89" t="n"/>
      <c r="AF534" s="89" t="n">
        <v>28.28232</v>
      </c>
      <c r="AG534" s="89" t="n">
        <v>25.23603</v>
      </c>
      <c r="AH534" s="89" t="n"/>
      <c r="AI534" s="89" t="n"/>
      <c r="AJ534" s="89" t="n">
        <v>26.29048</v>
      </c>
      <c r="AK534" s="89" t="n"/>
      <c r="AL534" s="89" t="n"/>
      <c r="AM534" s="89" t="n">
        <v>34.56428</v>
      </c>
      <c r="AN534" s="89" t="n"/>
      <c r="AO534" s="89" t="n">
        <v>26.65241</v>
      </c>
      <c r="AP534" s="89" t="n"/>
      <c r="AQ534" s="89" t="n"/>
      <c r="AR534" s="89" t="n"/>
      <c r="AS534" s="89" t="n"/>
      <c r="AT534" s="89" t="n"/>
      <c r="AU534" s="89" t="n"/>
      <c r="AV534" s="89" t="n"/>
      <c r="AW534" s="89" t="n"/>
      <c r="AX534" s="89" t="n"/>
      <c r="AY534" s="89" t="n"/>
    </row>
    <row r="535">
      <c r="A535" t="inlineStr">
        <is>
          <t>1963-06</t>
        </is>
      </c>
      <c r="B535" s="1" t="n">
        <v>23163</v>
      </c>
      <c r="C535" s="88" t="n">
        <v>535</v>
      </c>
      <c r="E535" s="1">
        <f>B535</f>
        <v/>
      </c>
      <c r="F535" s="2">
        <f>B535</f>
        <v/>
      </c>
      <c r="G535" s="88" t="n">
        <v>533</v>
      </c>
      <c r="H535" s="89" t="n"/>
      <c r="I535" s="89" t="n"/>
      <c r="J535" s="89" t="n">
        <v>31.54674</v>
      </c>
      <c r="K535" s="89" t="n">
        <v>26.86283</v>
      </c>
      <c r="L535" s="89" t="n"/>
      <c r="M535" s="89" t="n"/>
      <c r="N535" s="89" t="n">
        <v>33.51263</v>
      </c>
      <c r="O535" s="89" t="n"/>
      <c r="P535" s="89" t="n"/>
      <c r="Q535" s="89" t="n"/>
      <c r="R535" s="89" t="n">
        <v>20.31029</v>
      </c>
      <c r="S535" s="89" t="n">
        <v>43.17614</v>
      </c>
      <c r="T535" s="89" t="n">
        <v>59.45991</v>
      </c>
      <c r="U535" s="89" t="n">
        <v>29.14403</v>
      </c>
      <c r="V535" s="89" t="n"/>
      <c r="W535" s="89" t="n"/>
      <c r="X535" s="89" t="n"/>
      <c r="Y535" s="89" t="n"/>
      <c r="Z535" s="89" t="n">
        <v>46.26123</v>
      </c>
      <c r="AA535" s="89" t="n">
        <v>18.67663</v>
      </c>
      <c r="AB535" s="89" t="n"/>
      <c r="AC535" s="89" t="n">
        <v>40.09475</v>
      </c>
      <c r="AD535" s="89" t="n"/>
      <c r="AE535" s="89" t="n"/>
      <c r="AF535" s="89" t="n">
        <v>28.85368</v>
      </c>
      <c r="AG535" s="89" t="n">
        <v>24.59541</v>
      </c>
      <c r="AH535" s="89" t="n"/>
      <c r="AI535" s="89" t="n"/>
      <c r="AJ535" s="89" t="n">
        <v>24.94151</v>
      </c>
      <c r="AK535" s="89" t="n"/>
      <c r="AL535" s="89" t="n"/>
      <c r="AM535" s="89" t="n">
        <v>35.47387</v>
      </c>
      <c r="AN535" s="89" t="n"/>
      <c r="AO535" s="89" t="n">
        <v>26.73223</v>
      </c>
      <c r="AP535" s="89" t="n"/>
      <c r="AQ535" s="89" t="n"/>
      <c r="AR535" s="89" t="n"/>
      <c r="AS535" s="89" t="n"/>
      <c r="AT535" s="89" t="n"/>
      <c r="AU535" s="89" t="n"/>
      <c r="AV535" s="89" t="n"/>
      <c r="AW535" s="89" t="n"/>
      <c r="AX535" s="89" t="n"/>
      <c r="AY535" s="89" t="n"/>
    </row>
    <row r="536">
      <c r="A536" t="inlineStr">
        <is>
          <t>1963-07</t>
        </is>
      </c>
      <c r="B536" s="1" t="n">
        <v>23193</v>
      </c>
      <c r="C536" s="88" t="n">
        <v>536</v>
      </c>
      <c r="E536" s="1">
        <f>B536</f>
        <v/>
      </c>
      <c r="F536" s="2">
        <f>B536</f>
        <v/>
      </c>
      <c r="G536" s="88" t="n">
        <v>534</v>
      </c>
      <c r="H536" s="89" t="n"/>
      <c r="I536" s="89" t="n"/>
      <c r="J536" s="89" t="n">
        <v>31.24831</v>
      </c>
      <c r="K536" s="89" t="n">
        <v>26.34076</v>
      </c>
      <c r="L536" s="89" t="n"/>
      <c r="M536" s="89" t="n"/>
      <c r="N536" s="89" t="n">
        <v>34.06808</v>
      </c>
      <c r="O536" s="89" t="n"/>
      <c r="P536" s="89" t="n"/>
      <c r="Q536" s="89" t="n"/>
      <c r="R536" s="89" t="n">
        <v>19.37577</v>
      </c>
      <c r="S536" s="89" t="n">
        <v>44.33646</v>
      </c>
      <c r="T536" s="89" t="n">
        <v>59.95957</v>
      </c>
      <c r="U536" s="89" t="n">
        <v>29.28992</v>
      </c>
      <c r="V536" s="89" t="n"/>
      <c r="W536" s="89" t="n"/>
      <c r="X536" s="89" t="n"/>
      <c r="Y536" s="89" t="n"/>
      <c r="Z536" s="89" t="n">
        <v>45.86193</v>
      </c>
      <c r="AA536" s="89" t="n">
        <v>19.34966</v>
      </c>
      <c r="AB536" s="89" t="n"/>
      <c r="AC536" s="89" t="n">
        <v>40.62732</v>
      </c>
      <c r="AD536" s="89" t="n"/>
      <c r="AE536" s="89" t="n"/>
      <c r="AF536" s="89" t="n">
        <v>29.13936</v>
      </c>
      <c r="AG536" s="89" t="n">
        <v>25.9453</v>
      </c>
      <c r="AH536" s="89" t="n"/>
      <c r="AI536" s="89" t="n"/>
      <c r="AJ536" s="89" t="n">
        <v>25.60228</v>
      </c>
      <c r="AK536" s="89" t="n"/>
      <c r="AL536" s="89" t="n"/>
      <c r="AM536" s="89" t="n">
        <v>35.01907</v>
      </c>
      <c r="AN536" s="89" t="n"/>
      <c r="AO536" s="89" t="n">
        <v>26.6258</v>
      </c>
      <c r="AP536" s="89" t="n"/>
      <c r="AQ536" s="89" t="n"/>
      <c r="AR536" s="89" t="n"/>
      <c r="AS536" s="89" t="n"/>
      <c r="AT536" s="89" t="n"/>
      <c r="AU536" s="89" t="n"/>
      <c r="AV536" s="89" t="n"/>
      <c r="AW536" s="89" t="n"/>
      <c r="AX536" s="89" t="n"/>
      <c r="AY536" s="89" t="n"/>
    </row>
    <row r="537">
      <c r="A537" t="inlineStr">
        <is>
          <t>1963-08</t>
        </is>
      </c>
      <c r="B537" s="1" t="n">
        <v>23224</v>
      </c>
      <c r="C537" s="88" t="n">
        <v>537</v>
      </c>
      <c r="E537" s="1">
        <f>B537</f>
        <v/>
      </c>
      <c r="F537" s="2">
        <f>B537</f>
        <v/>
      </c>
      <c r="G537" s="88" t="n">
        <v>535</v>
      </c>
      <c r="H537" s="89" t="n"/>
      <c r="I537" s="89" t="n"/>
      <c r="J537" s="89" t="n">
        <v>32.27091</v>
      </c>
      <c r="K537" s="89" t="n">
        <v>26.3511</v>
      </c>
      <c r="L537" s="89" t="n"/>
      <c r="M537" s="89" t="n"/>
      <c r="N537" s="89" t="n">
        <v>35.30243</v>
      </c>
      <c r="O537" s="89" t="n"/>
      <c r="P537" s="89" t="n"/>
      <c r="Q537" s="89" t="n"/>
      <c r="R537" s="89" t="n">
        <v>19.79111</v>
      </c>
      <c r="S537" s="89" t="n">
        <v>44.33646</v>
      </c>
      <c r="T537" s="89" t="n">
        <v>60.45924</v>
      </c>
      <c r="U537" s="89" t="n">
        <v>31.41847</v>
      </c>
      <c r="V537" s="89" t="n"/>
      <c r="W537" s="89" t="n"/>
      <c r="X537" s="89" t="n"/>
      <c r="Y537" s="89" t="n"/>
      <c r="Z537" s="89" t="n">
        <v>46.54644</v>
      </c>
      <c r="AA537" s="89" t="n">
        <v>19.85444</v>
      </c>
      <c r="AB537" s="89" t="n"/>
      <c r="AC537" s="89" t="n">
        <v>40.45453</v>
      </c>
      <c r="AD537" s="89" t="n"/>
      <c r="AE537" s="89" t="n"/>
      <c r="AF537" s="89" t="n">
        <v>29.13936</v>
      </c>
      <c r="AG537" s="89" t="n">
        <v>25.37331</v>
      </c>
      <c r="AH537" s="89" t="n"/>
      <c r="AI537" s="89" t="n"/>
      <c r="AJ537" s="89" t="n">
        <v>26.04644</v>
      </c>
      <c r="AK537" s="89" t="n"/>
      <c r="AL537" s="89" t="n"/>
      <c r="AM537" s="89" t="n">
        <v>35.92866</v>
      </c>
      <c r="AN537" s="89" t="n"/>
      <c r="AO537" s="89" t="n">
        <v>26.67902</v>
      </c>
      <c r="AP537" s="89" t="n"/>
      <c r="AQ537" s="89" t="n"/>
      <c r="AR537" s="89" t="n"/>
      <c r="AS537" s="89" t="n"/>
      <c r="AT537" s="89" t="n"/>
      <c r="AU537" s="89" t="n"/>
      <c r="AV537" s="89" t="n"/>
      <c r="AW537" s="89" t="n"/>
      <c r="AX537" s="89" t="n"/>
      <c r="AY537" s="89" t="n"/>
    </row>
    <row r="538">
      <c r="A538" t="inlineStr">
        <is>
          <t>1963-09</t>
        </is>
      </c>
      <c r="B538" s="1" t="n">
        <v>23255</v>
      </c>
      <c r="C538" s="88" t="n">
        <v>538</v>
      </c>
      <c r="E538" s="1">
        <f>B538</f>
        <v/>
      </c>
      <c r="F538" s="2">
        <f>B538</f>
        <v/>
      </c>
      <c r="G538" s="88" t="n">
        <v>536</v>
      </c>
      <c r="H538" s="89" t="n"/>
      <c r="I538" s="89" t="n"/>
      <c r="J538" s="89" t="n">
        <v>32.33328</v>
      </c>
      <c r="K538" s="89" t="n">
        <v>27.44035</v>
      </c>
      <c r="L538" s="89" t="n"/>
      <c r="M538" s="89" t="n"/>
      <c r="N538" s="89" t="n">
        <v>34.31495</v>
      </c>
      <c r="O538" s="89" t="n"/>
      <c r="P538" s="89" t="n"/>
      <c r="Q538" s="89" t="n"/>
      <c r="R538" s="89" t="n">
        <v>19.97802</v>
      </c>
      <c r="S538" s="89" t="n">
        <v>43.84791</v>
      </c>
      <c r="T538" s="89" t="n">
        <v>60.45924</v>
      </c>
      <c r="U538" s="89" t="n">
        <v>32.3376</v>
      </c>
      <c r="V538" s="89" t="n"/>
      <c r="W538" s="89" t="n"/>
      <c r="X538" s="89" t="n"/>
      <c r="Y538" s="89" t="n"/>
      <c r="Z538" s="89" t="n">
        <v>47.45912</v>
      </c>
      <c r="AA538" s="89" t="n">
        <v>19.85444</v>
      </c>
      <c r="AB538" s="89" t="n"/>
      <c r="AC538" s="89" t="n">
        <v>40.5955</v>
      </c>
      <c r="AD538" s="89" t="n"/>
      <c r="AE538" s="89" t="n"/>
      <c r="AF538" s="89" t="n">
        <v>29.13936</v>
      </c>
      <c r="AG538" s="89" t="n">
        <v>25.92242</v>
      </c>
      <c r="AH538" s="89" t="n"/>
      <c r="AI538" s="89" t="n"/>
      <c r="AJ538" s="89" t="n">
        <v>26.55354</v>
      </c>
      <c r="AK538" s="89" t="n"/>
      <c r="AL538" s="89" t="n"/>
      <c r="AM538" s="89" t="n">
        <v>35.92866</v>
      </c>
      <c r="AN538" s="89" t="n"/>
      <c r="AO538" s="89" t="n">
        <v>26.94498</v>
      </c>
      <c r="AP538" s="89" t="n"/>
      <c r="AQ538" s="89" t="n"/>
      <c r="AR538" s="89" t="n"/>
      <c r="AS538" s="89" t="n"/>
      <c r="AT538" s="89" t="n"/>
      <c r="AU538" s="89" t="n"/>
      <c r="AV538" s="89" t="n"/>
      <c r="AW538" s="89" t="n"/>
      <c r="AX538" s="89" t="n"/>
      <c r="AY538" s="89" t="n"/>
    </row>
    <row r="539">
      <c r="A539" t="inlineStr">
        <is>
          <t>1963-10</t>
        </is>
      </c>
      <c r="B539" s="1" t="n">
        <v>23285</v>
      </c>
      <c r="C539" s="88" t="n">
        <v>539</v>
      </c>
      <c r="E539" s="1">
        <f>B539</f>
        <v/>
      </c>
      <c r="F539" s="2">
        <f>B539</f>
        <v/>
      </c>
      <c r="G539" s="88" t="n">
        <v>537</v>
      </c>
      <c r="H539" s="89" t="n"/>
      <c r="I539" s="89" t="n"/>
      <c r="J539" s="89" t="n">
        <v>32.30461</v>
      </c>
      <c r="K539" s="89" t="n">
        <v>27.42155</v>
      </c>
      <c r="L539" s="89" t="n"/>
      <c r="M539" s="89" t="n"/>
      <c r="N539" s="89" t="n">
        <v>34.87041</v>
      </c>
      <c r="O539" s="89" t="n"/>
      <c r="P539" s="89" t="n"/>
      <c r="Q539" s="89" t="n"/>
      <c r="R539" s="89" t="n">
        <v>20.41413</v>
      </c>
      <c r="S539" s="89" t="n">
        <v>44.09219</v>
      </c>
      <c r="T539" s="89" t="n">
        <v>60.9589</v>
      </c>
      <c r="U539" s="89" t="n">
        <v>31.57038</v>
      </c>
      <c r="V539" s="89" t="n"/>
      <c r="W539" s="89" t="n"/>
      <c r="X539" s="89" t="n"/>
      <c r="Y539" s="89" t="n"/>
      <c r="Z539" s="89" t="n">
        <v>47.49714</v>
      </c>
      <c r="AA539" s="89" t="n">
        <v>20.44334</v>
      </c>
      <c r="AB539" s="89" t="n"/>
      <c r="AC539" s="89" t="n">
        <v>39.24673</v>
      </c>
      <c r="AD539" s="89" t="n"/>
      <c r="AE539" s="89" t="n"/>
      <c r="AF539" s="89" t="n">
        <v>29.13936</v>
      </c>
      <c r="AG539" s="89" t="n">
        <v>25.87666</v>
      </c>
      <c r="AH539" s="89" t="n"/>
      <c r="AI539" s="89" t="n"/>
      <c r="AJ539" s="89" t="n">
        <v>26.89009</v>
      </c>
      <c r="AK539" s="89" t="n"/>
      <c r="AL539" s="89" t="n"/>
      <c r="AM539" s="89" t="n">
        <v>35.92866</v>
      </c>
      <c r="AN539" s="89" t="n"/>
      <c r="AO539" s="89" t="n">
        <v>27.13113</v>
      </c>
      <c r="AP539" s="89" t="n"/>
      <c r="AQ539" s="89" t="n"/>
      <c r="AR539" s="89" t="n"/>
      <c r="AS539" s="89" t="n"/>
      <c r="AT539" s="89" t="n"/>
      <c r="AU539" s="89" t="n"/>
      <c r="AV539" s="89" t="n"/>
      <c r="AW539" s="89" t="n"/>
      <c r="AX539" s="89" t="n"/>
      <c r="AY539" s="89" t="n"/>
    </row>
    <row r="540">
      <c r="A540" t="inlineStr">
        <is>
          <t>1963-11</t>
        </is>
      </c>
      <c r="B540" s="1" t="n">
        <v>23316</v>
      </c>
      <c r="C540" s="88" t="n">
        <v>540</v>
      </c>
      <c r="E540" s="1">
        <f>B540</f>
        <v/>
      </c>
      <c r="F540" s="2">
        <f>B540</f>
        <v/>
      </c>
      <c r="G540" s="88" t="n">
        <v>538</v>
      </c>
      <c r="H540" s="89" t="n"/>
      <c r="I540" s="89" t="n"/>
      <c r="J540" s="89" t="n">
        <v>32.86445</v>
      </c>
      <c r="K540" s="89" t="n">
        <v>27.89005</v>
      </c>
      <c r="L540" s="89" t="n"/>
      <c r="M540" s="89" t="n"/>
      <c r="N540" s="89" t="n">
        <v>35.11728</v>
      </c>
      <c r="O540" s="89" t="n"/>
      <c r="P540" s="89" t="n"/>
      <c r="Q540" s="89" t="n"/>
      <c r="R540" s="89" t="n">
        <v>20.10262</v>
      </c>
      <c r="S540" s="89" t="n">
        <v>44.09219</v>
      </c>
      <c r="T540" s="89" t="n">
        <v>61.95823</v>
      </c>
      <c r="U540" s="89" t="n">
        <v>31.64688</v>
      </c>
      <c r="V540" s="89" t="n"/>
      <c r="W540" s="89" t="n"/>
      <c r="X540" s="89" t="n"/>
      <c r="Y540" s="89" t="n"/>
      <c r="Z540" s="89" t="n">
        <v>47.24996</v>
      </c>
      <c r="AA540" s="89" t="n">
        <v>20.77986</v>
      </c>
      <c r="AB540" s="89" t="n"/>
      <c r="AC540" s="89" t="n">
        <v>40.33051</v>
      </c>
      <c r="AD540" s="89" t="n"/>
      <c r="AE540" s="89" t="n"/>
      <c r="AF540" s="89" t="n">
        <v>29.71072</v>
      </c>
      <c r="AG540" s="89" t="n">
        <v>25.8309</v>
      </c>
      <c r="AH540" s="89" t="n"/>
      <c r="AI540" s="89" t="n"/>
      <c r="AJ540" s="89" t="n">
        <v>26.76618</v>
      </c>
      <c r="AK540" s="89" t="n"/>
      <c r="AL540" s="89" t="n"/>
      <c r="AM540" s="89" t="n">
        <v>36.38345</v>
      </c>
      <c r="AN540" s="89" t="n"/>
      <c r="AO540" s="89" t="n">
        <v>27.26416</v>
      </c>
      <c r="AP540" s="89" t="n"/>
      <c r="AQ540" s="89" t="n"/>
      <c r="AR540" s="89" t="n"/>
      <c r="AS540" s="89" t="n"/>
      <c r="AT540" s="89" t="n"/>
      <c r="AU540" s="89" t="n"/>
      <c r="AV540" s="89" t="n"/>
      <c r="AW540" s="89" t="n"/>
      <c r="AX540" s="89" t="n"/>
      <c r="AY540" s="89" t="n"/>
    </row>
    <row r="541">
      <c r="A541" t="inlineStr">
        <is>
          <t>1963-12</t>
        </is>
      </c>
      <c r="B541" s="1" t="n">
        <v>23346</v>
      </c>
      <c r="C541" s="88" t="n">
        <v>541</v>
      </c>
      <c r="E541" s="1">
        <f>B541</f>
        <v/>
      </c>
      <c r="F541" s="2">
        <f>B541</f>
        <v/>
      </c>
      <c r="G541" s="88" t="n">
        <v>539</v>
      </c>
      <c r="H541" s="89" t="n"/>
      <c r="I541" s="89" t="n"/>
      <c r="J541" s="89" t="n">
        <v>32.68628</v>
      </c>
      <c r="K541" s="89" t="n">
        <v>28.18374</v>
      </c>
      <c r="L541" s="89" t="n"/>
      <c r="M541" s="89" t="n"/>
      <c r="N541" s="89" t="n">
        <v>34.06808</v>
      </c>
      <c r="O541" s="89" t="n"/>
      <c r="P541" s="89" t="n"/>
      <c r="Q541" s="89" t="n"/>
      <c r="R541" s="89" t="n">
        <v>20.37259</v>
      </c>
      <c r="S541" s="89" t="n">
        <v>44.70288</v>
      </c>
      <c r="T541" s="89" t="n">
        <v>61.95823</v>
      </c>
      <c r="U541" s="89" t="n">
        <v>32.13017</v>
      </c>
      <c r="V541" s="89" t="n"/>
      <c r="W541" s="89" t="n"/>
      <c r="X541" s="89" t="n"/>
      <c r="Y541" s="89" t="n"/>
      <c r="Z541" s="89" t="n">
        <v>46.88869</v>
      </c>
      <c r="AA541" s="89" t="n">
        <v>20.86399</v>
      </c>
      <c r="AB541" s="89" t="n"/>
      <c r="AC541" s="89" t="n">
        <v>41.75418</v>
      </c>
      <c r="AD541" s="89" t="n"/>
      <c r="AE541" s="89" t="n"/>
      <c r="AF541" s="89" t="n">
        <v>29.42504</v>
      </c>
      <c r="AG541" s="89" t="n">
        <v>26.19697</v>
      </c>
      <c r="AH541" s="89" t="n"/>
      <c r="AI541" s="89" t="n"/>
      <c r="AJ541" s="89" t="n">
        <v>27.90258</v>
      </c>
      <c r="AK541" s="89" t="n"/>
      <c r="AL541" s="89" t="n"/>
      <c r="AM541" s="89" t="n">
        <v>36.38345</v>
      </c>
      <c r="AN541" s="89" t="n"/>
      <c r="AO541" s="89" t="n">
        <v>27.21095</v>
      </c>
      <c r="AP541" s="89" t="n"/>
      <c r="AQ541" s="89" t="n"/>
      <c r="AR541" s="89" t="n"/>
      <c r="AS541" s="89" t="n"/>
      <c r="AT541" s="89" t="n"/>
      <c r="AU541" s="89" t="n"/>
      <c r="AV541" s="89" t="n"/>
      <c r="AW541" s="89" t="n"/>
      <c r="AX541" s="89" t="n"/>
      <c r="AY541" s="89" t="n"/>
    </row>
    <row r="542">
      <c r="A542" t="inlineStr">
        <is>
          <t>1964-01</t>
        </is>
      </c>
      <c r="B542" s="1" t="n">
        <v>23377</v>
      </c>
      <c r="C542" s="88" t="n">
        <v>542</v>
      </c>
      <c r="E542" s="1">
        <f>B542</f>
        <v/>
      </c>
      <c r="F542" s="2">
        <f>B542</f>
        <v/>
      </c>
      <c r="G542" s="88" t="n">
        <v>540</v>
      </c>
      <c r="H542" s="89" t="n"/>
      <c r="I542" s="89" t="n"/>
      <c r="J542" s="89" t="n">
        <v>33.19432</v>
      </c>
      <c r="K542" s="89" t="n">
        <v>28.40366</v>
      </c>
      <c r="L542" s="89" t="n"/>
      <c r="M542" s="89" t="n"/>
      <c r="N542" s="89" t="n">
        <v>35.67274</v>
      </c>
      <c r="O542" s="89" t="n"/>
      <c r="P542" s="89" t="n"/>
      <c r="Q542" s="89" t="n"/>
      <c r="R542" s="89" t="n">
        <v>19.94695</v>
      </c>
      <c r="S542" s="89" t="n">
        <v>45.61892</v>
      </c>
      <c r="T542" s="89" t="n">
        <v>62.45789</v>
      </c>
      <c r="U542" s="89" t="n">
        <v>31.95435</v>
      </c>
      <c r="V542" s="89" t="n"/>
      <c r="W542" s="89" t="n"/>
      <c r="X542" s="89" t="n"/>
      <c r="Y542" s="89" t="n"/>
      <c r="Z542" s="89" t="n">
        <v>48.14362</v>
      </c>
      <c r="AA542" s="89" t="n">
        <v>21.11637</v>
      </c>
      <c r="AB542" s="89" t="n"/>
      <c r="AC542" s="89" t="n">
        <v>41.10101</v>
      </c>
      <c r="AD542" s="89" t="n"/>
      <c r="AE542" s="89" t="n"/>
      <c r="AF542" s="89" t="n">
        <v>30.56775</v>
      </c>
      <c r="AG542" s="89" t="n">
        <v>26.03682</v>
      </c>
      <c r="AH542" s="89" t="n"/>
      <c r="AI542" s="89" t="n"/>
      <c r="AJ542" s="89" t="n">
        <v>27.69554</v>
      </c>
      <c r="AK542" s="89" t="n"/>
      <c r="AL542" s="89" t="n"/>
      <c r="AM542" s="89" t="n">
        <v>37.29304</v>
      </c>
      <c r="AN542" s="89" t="n"/>
      <c r="AO542" s="89" t="n">
        <v>27.4504</v>
      </c>
      <c r="AP542" s="89" t="n"/>
      <c r="AQ542" s="89" t="n"/>
      <c r="AR542" s="89" t="n"/>
      <c r="AS542" s="89" t="n"/>
      <c r="AT542" s="89" t="n"/>
      <c r="AU542" s="89" t="n"/>
      <c r="AV542" s="89" t="n"/>
      <c r="AW542" s="89" t="n"/>
      <c r="AX542" s="89" t="n"/>
      <c r="AY542" s="89" t="n"/>
    </row>
    <row r="543">
      <c r="A543" t="inlineStr">
        <is>
          <t>1964-02</t>
        </is>
      </c>
      <c r="B543" s="1" t="n">
        <v>23408</v>
      </c>
      <c r="C543" s="88" t="n">
        <v>543</v>
      </c>
      <c r="E543" s="1">
        <f>B543</f>
        <v/>
      </c>
      <c r="F543" s="2">
        <f>B543</f>
        <v/>
      </c>
      <c r="G543" s="88" t="n">
        <v>541</v>
      </c>
      <c r="H543" s="89" t="n"/>
      <c r="I543" s="89" t="n"/>
      <c r="J543" s="89" t="n">
        <v>33.1845</v>
      </c>
      <c r="K543" s="89" t="n">
        <v>28.88391</v>
      </c>
      <c r="L543" s="89" t="n"/>
      <c r="M543" s="89" t="n"/>
      <c r="N543" s="89" t="n">
        <v>36.53679</v>
      </c>
      <c r="O543" s="89" t="n"/>
      <c r="P543" s="89" t="n"/>
      <c r="Q543" s="89" t="n"/>
      <c r="R543" s="89" t="n">
        <v>19.9991</v>
      </c>
      <c r="S543" s="89" t="n">
        <v>45.37465</v>
      </c>
      <c r="T543" s="89" t="n">
        <v>62.95755</v>
      </c>
      <c r="U543" s="89" t="n">
        <v>31.35724</v>
      </c>
      <c r="V543" s="89" t="n"/>
      <c r="W543" s="89" t="n"/>
      <c r="X543" s="89" t="n"/>
      <c r="Y543" s="89" t="n"/>
      <c r="Z543" s="89" t="n">
        <v>46.60349</v>
      </c>
      <c r="AA543" s="89" t="n">
        <v>21.62115</v>
      </c>
      <c r="AB543" s="89" t="n"/>
      <c r="AC543" s="89" t="n">
        <v>41.89222</v>
      </c>
      <c r="AD543" s="89" t="n"/>
      <c r="AE543" s="89" t="n"/>
      <c r="AF543" s="89" t="n">
        <v>30.85344</v>
      </c>
      <c r="AG543" s="89" t="n">
        <v>25.85378</v>
      </c>
      <c r="AH543" s="89" t="n"/>
      <c r="AI543" s="89" t="n"/>
      <c r="AJ543" s="89" t="n">
        <v>27.01629</v>
      </c>
      <c r="AK543" s="89" t="n"/>
      <c r="AL543" s="89" t="n"/>
      <c r="AM543" s="89" t="n">
        <v>37.29304</v>
      </c>
      <c r="AN543" s="89" t="n"/>
      <c r="AO543" s="89" t="n">
        <v>27.63655</v>
      </c>
      <c r="AP543" s="89" t="n"/>
      <c r="AQ543" s="89" t="n"/>
      <c r="AR543" s="89" t="n"/>
      <c r="AS543" s="89" t="n"/>
      <c r="AT543" s="89" t="n"/>
      <c r="AU543" s="89" t="n"/>
      <c r="AV543" s="89" t="n"/>
      <c r="AW543" s="89" t="n"/>
      <c r="AX543" s="89" t="n"/>
      <c r="AY543" s="89" t="n"/>
    </row>
    <row r="544">
      <c r="A544" t="inlineStr">
        <is>
          <t>1964-03</t>
        </is>
      </c>
      <c r="B544" s="1" t="n">
        <v>23437</v>
      </c>
      <c r="C544" s="88" t="n">
        <v>544</v>
      </c>
      <c r="E544" s="1">
        <f>B544</f>
        <v/>
      </c>
      <c r="F544" s="2">
        <f>B544</f>
        <v/>
      </c>
      <c r="G544" s="88" t="n">
        <v>542</v>
      </c>
      <c r="H544" s="89" t="n"/>
      <c r="I544" s="89" t="n"/>
      <c r="J544" s="89" t="n">
        <v>33.61338</v>
      </c>
      <c r="K544" s="89" t="n">
        <v>28.70581</v>
      </c>
      <c r="L544" s="89" t="n"/>
      <c r="M544" s="89" t="n"/>
      <c r="N544" s="89" t="n">
        <v>35.91961</v>
      </c>
      <c r="O544" s="89" t="n"/>
      <c r="P544" s="89" t="n"/>
      <c r="Q544" s="89" t="n"/>
      <c r="R544" s="89" t="n">
        <v>20.53363</v>
      </c>
      <c r="S544" s="89" t="n">
        <v>45.43571</v>
      </c>
      <c r="T544" s="89" t="n">
        <v>62.95755</v>
      </c>
      <c r="U544" s="89" t="n">
        <v>31.90368</v>
      </c>
      <c r="V544" s="89" t="n"/>
      <c r="W544" s="89" t="n"/>
      <c r="X544" s="89" t="n"/>
      <c r="Y544" s="89" t="n"/>
      <c r="Z544" s="89" t="n">
        <v>47.61123</v>
      </c>
      <c r="AA544" s="89" t="n">
        <v>21.36876</v>
      </c>
      <c r="AB544" s="89" t="n"/>
      <c r="AC544" s="89" t="n">
        <v>43.69881</v>
      </c>
      <c r="AD544" s="89" t="n"/>
      <c r="AE544" s="89" t="n"/>
      <c r="AF544" s="89" t="n">
        <v>31.4248</v>
      </c>
      <c r="AG544" s="89" t="n">
        <v>26.6088</v>
      </c>
      <c r="AH544" s="89" t="n"/>
      <c r="AI544" s="89" t="n"/>
      <c r="AJ544" s="89" t="n">
        <v>26.28548</v>
      </c>
      <c r="AK544" s="89" t="n"/>
      <c r="AL544" s="89" t="n"/>
      <c r="AM544" s="89" t="n">
        <v>37.29304</v>
      </c>
      <c r="AN544" s="89" t="n"/>
      <c r="AO544" s="89" t="n">
        <v>27.63655</v>
      </c>
      <c r="AP544" s="89" t="n"/>
      <c r="AQ544" s="89" t="n"/>
      <c r="AR544" s="89" t="n"/>
      <c r="AS544" s="89" t="n"/>
      <c r="AT544" s="89" t="n"/>
      <c r="AU544" s="89" t="n"/>
      <c r="AV544" s="89" t="n"/>
      <c r="AW544" s="89" t="n"/>
      <c r="AX544" s="89" t="n"/>
      <c r="AY544" s="89" t="n"/>
    </row>
    <row r="545">
      <c r="A545" t="inlineStr">
        <is>
          <t>1964-04</t>
        </is>
      </c>
      <c r="B545" s="1" t="n">
        <v>23468</v>
      </c>
      <c r="C545" s="88" t="n">
        <v>545</v>
      </c>
      <c r="E545" s="1">
        <f>B545</f>
        <v/>
      </c>
      <c r="F545" s="2">
        <f>B545</f>
        <v/>
      </c>
      <c r="G545" s="88" t="n">
        <v>543</v>
      </c>
      <c r="H545" s="89" t="n"/>
      <c r="I545" s="89" t="n"/>
      <c r="J545" s="89" t="n">
        <v>33.08824</v>
      </c>
      <c r="K545" s="89" t="n">
        <v>28.91257</v>
      </c>
      <c r="L545" s="89" t="n"/>
      <c r="M545" s="89" t="n"/>
      <c r="N545" s="89" t="n">
        <v>35.98133</v>
      </c>
      <c r="O545" s="89" t="n"/>
      <c r="P545" s="89" t="n"/>
      <c r="Q545" s="89" t="n"/>
      <c r="R545" s="89" t="n">
        <v>20.26962</v>
      </c>
      <c r="S545" s="89" t="n">
        <v>45.8632</v>
      </c>
      <c r="T545" s="89" t="n">
        <v>62.95755</v>
      </c>
      <c r="U545" s="89" t="n">
        <v>33.34805</v>
      </c>
      <c r="V545" s="89" t="n"/>
      <c r="W545" s="89" t="n"/>
      <c r="X545" s="89" t="n"/>
      <c r="Y545" s="89" t="n"/>
      <c r="Z545" s="89" t="n">
        <v>47.00278</v>
      </c>
      <c r="AA545" s="89" t="n">
        <v>21.70527</v>
      </c>
      <c r="AB545" s="89" t="n"/>
      <c r="AC545" s="89" t="n">
        <v>43.51652</v>
      </c>
      <c r="AD545" s="89" t="n"/>
      <c r="AE545" s="89" t="n"/>
      <c r="AF545" s="89" t="n">
        <v>30.85344</v>
      </c>
      <c r="AG545" s="89" t="n">
        <v>27.34094</v>
      </c>
      <c r="AH545" s="89" t="n"/>
      <c r="AI545" s="89" t="n"/>
      <c r="AJ545" s="89" t="n">
        <v>27.35048</v>
      </c>
      <c r="AK545" s="89" t="n"/>
      <c r="AL545" s="89" t="n"/>
      <c r="AM545" s="89" t="n">
        <v>36.83825</v>
      </c>
      <c r="AN545" s="89" t="n"/>
      <c r="AO545" s="89" t="n">
        <v>28.08876</v>
      </c>
      <c r="AP545" s="89" t="n"/>
      <c r="AQ545" s="89" t="n"/>
      <c r="AR545" s="89" t="n"/>
      <c r="AS545" s="89" t="n"/>
      <c r="AT545" s="89" t="n"/>
      <c r="AU545" s="89" t="n"/>
      <c r="AV545" s="89" t="n"/>
      <c r="AW545" s="89" t="n"/>
      <c r="AX545" s="89" t="n"/>
      <c r="AY545" s="89" t="n"/>
    </row>
    <row r="546">
      <c r="A546" t="inlineStr">
        <is>
          <t>1964-05</t>
        </is>
      </c>
      <c r="B546" s="1" t="n">
        <v>23498</v>
      </c>
      <c r="C546" s="88" t="n">
        <v>546</v>
      </c>
      <c r="E546" s="1">
        <f>B546</f>
        <v/>
      </c>
      <c r="F546" s="2">
        <f>B546</f>
        <v/>
      </c>
      <c r="G546" s="88" t="n">
        <v>544</v>
      </c>
      <c r="H546" s="89" t="n"/>
      <c r="I546" s="89" t="n"/>
      <c r="J546" s="89" t="n">
        <v>32.7124</v>
      </c>
      <c r="K546" s="89" t="n">
        <v>29.2448</v>
      </c>
      <c r="L546" s="89" t="n"/>
      <c r="M546" s="89" t="n"/>
      <c r="N546" s="89" t="n">
        <v>35.91961</v>
      </c>
      <c r="O546" s="89" t="n"/>
      <c r="P546" s="89" t="n"/>
      <c r="Q546" s="89" t="n"/>
      <c r="R546" s="89" t="n">
        <v>20.62163</v>
      </c>
      <c r="S546" s="89" t="n">
        <v>45.74106</v>
      </c>
      <c r="T546" s="89" t="n">
        <v>62.95755</v>
      </c>
      <c r="U546" s="89" t="n">
        <v>31.49891</v>
      </c>
      <c r="V546" s="89" t="n"/>
      <c r="W546" s="89" t="n"/>
      <c r="X546" s="89" t="n"/>
      <c r="Y546" s="89" t="n"/>
      <c r="Z546" s="89" t="n">
        <v>46.47039</v>
      </c>
      <c r="AA546" s="89" t="n">
        <v>21.95766</v>
      </c>
      <c r="AB546" s="89" t="n"/>
      <c r="AC546" s="89" t="n">
        <v>43.7846</v>
      </c>
      <c r="AD546" s="89" t="n"/>
      <c r="AE546" s="89" t="n"/>
      <c r="AF546" s="89" t="n">
        <v>31.71048</v>
      </c>
      <c r="AG546" s="89" t="n">
        <v>26.92911</v>
      </c>
      <c r="AH546" s="89" t="n"/>
      <c r="AI546" s="89" t="n"/>
      <c r="AJ546" s="89" t="n">
        <v>27.43751</v>
      </c>
      <c r="AK546" s="89" t="n"/>
      <c r="AL546" s="89" t="n"/>
      <c r="AM546" s="89" t="n">
        <v>37.74783</v>
      </c>
      <c r="AN546" s="89" t="n"/>
      <c r="AO546" s="89" t="n">
        <v>28.24839</v>
      </c>
      <c r="AP546" s="89" t="n"/>
      <c r="AQ546" s="89" t="n"/>
      <c r="AR546" s="89" t="n"/>
      <c r="AS546" s="89" t="n"/>
      <c r="AT546" s="89" t="n"/>
      <c r="AU546" s="89" t="n"/>
      <c r="AV546" s="89" t="n"/>
      <c r="AW546" s="89" t="n"/>
      <c r="AX546" s="89" t="n"/>
      <c r="AY546" s="89" t="n"/>
    </row>
    <row r="547">
      <c r="A547" t="inlineStr">
        <is>
          <t>1964-06</t>
        </is>
      </c>
      <c r="B547" s="1" t="n">
        <v>23529</v>
      </c>
      <c r="C547" s="88" t="n">
        <v>547</v>
      </c>
      <c r="E547" s="1">
        <f>B547</f>
        <v/>
      </c>
      <c r="F547" s="2">
        <f>B547</f>
        <v/>
      </c>
      <c r="G547" s="88" t="n">
        <v>545</v>
      </c>
      <c r="H547" s="89" t="n"/>
      <c r="I547" s="89" t="n"/>
      <c r="J547" s="89" t="n">
        <v>33.35785</v>
      </c>
      <c r="K547" s="89" t="n">
        <v>29.27158</v>
      </c>
      <c r="L547" s="89" t="n"/>
      <c r="M547" s="89" t="n"/>
      <c r="N547" s="89" t="n">
        <v>36.53679</v>
      </c>
      <c r="O547" s="89" t="n"/>
      <c r="P547" s="89" t="n"/>
      <c r="Q547" s="89" t="n"/>
      <c r="R547" s="89" t="n">
        <v>20.61185</v>
      </c>
      <c r="S547" s="89" t="n">
        <v>45.31358</v>
      </c>
      <c r="T547" s="89" t="n">
        <v>63.45721</v>
      </c>
      <c r="U547" s="89" t="n">
        <v>32.14186</v>
      </c>
      <c r="V547" s="89" t="n"/>
      <c r="W547" s="89" t="n"/>
      <c r="X547" s="89" t="n"/>
      <c r="Y547" s="89" t="n"/>
      <c r="Z547" s="89" t="n">
        <v>45.65278</v>
      </c>
      <c r="AA547" s="89" t="n">
        <v>22.37831</v>
      </c>
      <c r="AB547" s="89" t="n"/>
      <c r="AC547" s="89" t="n">
        <v>43.71238</v>
      </c>
      <c r="AD547" s="89" t="n"/>
      <c r="AE547" s="89" t="n"/>
      <c r="AF547" s="89" t="n">
        <v>30.85344</v>
      </c>
      <c r="AG547" s="89" t="n">
        <v>27.5011</v>
      </c>
      <c r="AH547" s="89" t="n"/>
      <c r="AI547" s="89" t="n"/>
      <c r="AJ547" s="89" t="n">
        <v>29.27408</v>
      </c>
      <c r="AK547" s="89" t="n"/>
      <c r="AL547" s="89" t="n"/>
      <c r="AM547" s="89" t="n">
        <v>37.74783</v>
      </c>
      <c r="AN547" s="89" t="n"/>
      <c r="AO547" s="89" t="n">
        <v>28.32812</v>
      </c>
      <c r="AP547" s="89" t="n"/>
      <c r="AQ547" s="89" t="n"/>
      <c r="AR547" s="89" t="n"/>
      <c r="AS547" s="89" t="n"/>
      <c r="AT547" s="89" t="n"/>
      <c r="AU547" s="89" t="n"/>
      <c r="AV547" s="89" t="n"/>
      <c r="AW547" s="89" t="n"/>
      <c r="AX547" s="89" t="n"/>
      <c r="AY547" s="89" t="n"/>
    </row>
    <row r="548">
      <c r="A548" t="inlineStr">
        <is>
          <t>1964-07</t>
        </is>
      </c>
      <c r="B548" s="1" t="n">
        <v>23559</v>
      </c>
      <c r="C548" s="88" t="n">
        <v>548</v>
      </c>
      <c r="E548" s="1">
        <f>B548</f>
        <v/>
      </c>
      <c r="F548" s="2">
        <f>B548</f>
        <v/>
      </c>
      <c r="G548" s="88" t="n">
        <v>546</v>
      </c>
      <c r="H548" s="89" t="n"/>
      <c r="I548" s="89" t="n"/>
      <c r="J548" s="89" t="n">
        <v>34.06382</v>
      </c>
      <c r="K548" s="89" t="n">
        <v>29.06247</v>
      </c>
      <c r="L548" s="89" t="n"/>
      <c r="M548" s="89" t="n"/>
      <c r="N548" s="89" t="n">
        <v>37.2774</v>
      </c>
      <c r="O548" s="89" t="n"/>
      <c r="P548" s="89" t="n"/>
      <c r="Q548" s="89" t="n"/>
      <c r="R548" s="89" t="n">
        <v>21.08445</v>
      </c>
      <c r="S548" s="89" t="n">
        <v>44.51967</v>
      </c>
      <c r="T548" s="89" t="n">
        <v>62.95755</v>
      </c>
      <c r="U548" s="89" t="n">
        <v>33.83772</v>
      </c>
      <c r="V548" s="89" t="n"/>
      <c r="W548" s="89" t="n"/>
      <c r="X548" s="89" t="n"/>
      <c r="Y548" s="89" t="n"/>
      <c r="Z548" s="89" t="n">
        <v>46.52743</v>
      </c>
      <c r="AA548" s="89" t="n">
        <v>22.37831</v>
      </c>
      <c r="AB548" s="89" t="n"/>
      <c r="AC548" s="89" t="n">
        <v>43.57838</v>
      </c>
      <c r="AD548" s="89" t="n"/>
      <c r="AE548" s="89" t="n"/>
      <c r="AF548" s="89" t="n">
        <v>31.13912</v>
      </c>
      <c r="AG548" s="89" t="n">
        <v>28.00445</v>
      </c>
      <c r="AH548" s="89" t="n"/>
      <c r="AI548" s="89" t="n"/>
      <c r="AJ548" s="89" t="n">
        <v>29.21227</v>
      </c>
      <c r="AK548" s="89" t="n"/>
      <c r="AL548" s="89" t="n"/>
      <c r="AM548" s="89" t="n">
        <v>37.29304</v>
      </c>
      <c r="AN548" s="89" t="n"/>
      <c r="AO548" s="89" t="n">
        <v>28.51436</v>
      </c>
      <c r="AP548" s="89" t="n"/>
      <c r="AQ548" s="89" t="n"/>
      <c r="AR548" s="89" t="n"/>
      <c r="AS548" s="89" t="n"/>
      <c r="AT548" s="89" t="n"/>
      <c r="AU548" s="89" t="n"/>
      <c r="AV548" s="89" t="n"/>
      <c r="AW548" s="89" t="n"/>
      <c r="AX548" s="89" t="n"/>
      <c r="AY548" s="89" t="n"/>
    </row>
    <row r="549">
      <c r="A549" t="inlineStr">
        <is>
          <t>1964-08</t>
        </is>
      </c>
      <c r="B549" s="1" t="n">
        <v>23590</v>
      </c>
      <c r="C549" s="88" t="n">
        <v>549</v>
      </c>
      <c r="E549" s="1">
        <f>B549</f>
        <v/>
      </c>
      <c r="F549" s="2">
        <f>B549</f>
        <v/>
      </c>
      <c r="G549" s="88" t="n">
        <v>547</v>
      </c>
      <c r="H549" s="89" t="n"/>
      <c r="I549" s="89" t="n"/>
      <c r="J549" s="89" t="n">
        <v>33.07314</v>
      </c>
      <c r="K549" s="89" t="n">
        <v>29.31247</v>
      </c>
      <c r="L549" s="89" t="n"/>
      <c r="M549" s="89" t="n"/>
      <c r="N549" s="89" t="n">
        <v>36.96881</v>
      </c>
      <c r="O549" s="89" t="n"/>
      <c r="P549" s="89" t="n"/>
      <c r="Q549" s="89" t="n"/>
      <c r="R549" s="89" t="n">
        <v>21.15941</v>
      </c>
      <c r="S549" s="89" t="n">
        <v>44.51967</v>
      </c>
      <c r="T549" s="89" t="n">
        <v>63.95687</v>
      </c>
      <c r="U549" s="89" t="n">
        <v>35.39554</v>
      </c>
      <c r="V549" s="89" t="n"/>
      <c r="W549" s="89" t="n"/>
      <c r="X549" s="89" t="n"/>
      <c r="Y549" s="89" t="n"/>
      <c r="Z549" s="89" t="n">
        <v>43.67532</v>
      </c>
      <c r="AA549" s="89" t="n">
        <v>22.37831</v>
      </c>
      <c r="AB549" s="89" t="n"/>
      <c r="AC549" s="89" t="n">
        <v>44.83802</v>
      </c>
      <c r="AD549" s="89" t="n"/>
      <c r="AE549" s="89" t="n"/>
      <c r="AF549" s="89" t="n">
        <v>31.13912</v>
      </c>
      <c r="AG549" s="89" t="n">
        <v>27.36382</v>
      </c>
      <c r="AH549" s="89" t="n"/>
      <c r="AI549" s="89" t="n"/>
      <c r="AJ549" s="89" t="n">
        <v>28.00334</v>
      </c>
      <c r="AK549" s="89" t="n"/>
      <c r="AL549" s="89" t="n"/>
      <c r="AM549" s="89" t="n">
        <v>39.11221</v>
      </c>
      <c r="AN549" s="89" t="n"/>
      <c r="AO549" s="89" t="n">
        <v>28.7005</v>
      </c>
      <c r="AP549" s="89" t="n"/>
      <c r="AQ549" s="89" t="n"/>
      <c r="AR549" s="89" t="n"/>
      <c r="AS549" s="89" t="n"/>
      <c r="AT549" s="89" t="n"/>
      <c r="AU549" s="89" t="n"/>
      <c r="AV549" s="89" t="n"/>
      <c r="AW549" s="89" t="n"/>
      <c r="AX549" s="89" t="n"/>
      <c r="AY549" s="89" t="n"/>
    </row>
    <row r="550">
      <c r="A550" t="inlineStr">
        <is>
          <t>1964-09</t>
        </is>
      </c>
      <c r="B550" s="1" t="n">
        <v>23621</v>
      </c>
      <c r="C550" s="88" t="n">
        <v>550</v>
      </c>
      <c r="E550" s="1">
        <f>B550</f>
        <v/>
      </c>
      <c r="F550" s="2">
        <f>B550</f>
        <v/>
      </c>
      <c r="G550" s="88" t="n">
        <v>548</v>
      </c>
      <c r="H550" s="89" t="n"/>
      <c r="I550" s="89" t="n"/>
      <c r="J550" s="89" t="n">
        <v>33.29557</v>
      </c>
      <c r="K550" s="89" t="n">
        <v>29.96047</v>
      </c>
      <c r="L550" s="89" t="n"/>
      <c r="M550" s="89" t="n"/>
      <c r="N550" s="89" t="n">
        <v>37.03053</v>
      </c>
      <c r="O550" s="89" t="n"/>
      <c r="P550" s="89" t="n"/>
      <c r="Q550" s="89" t="n"/>
      <c r="R550" s="89" t="n">
        <v>21.19852</v>
      </c>
      <c r="S550" s="89" t="n">
        <v>45.43571</v>
      </c>
      <c r="T550" s="89" t="n">
        <v>63.45721</v>
      </c>
      <c r="U550" s="89" t="n">
        <v>34.0744</v>
      </c>
      <c r="V550" s="89" t="n"/>
      <c r="W550" s="89" t="n"/>
      <c r="X550" s="89" t="n"/>
      <c r="Y550" s="89" t="n"/>
      <c r="Z550" s="89" t="n">
        <v>46.0901</v>
      </c>
      <c r="AA550" s="89" t="n">
        <v>23.05134</v>
      </c>
      <c r="AB550" s="89" t="n"/>
      <c r="AC550" s="89" t="n">
        <v>43.72643</v>
      </c>
      <c r="AD550" s="89" t="n"/>
      <c r="AE550" s="89" t="n"/>
      <c r="AF550" s="89" t="n">
        <v>31.4248</v>
      </c>
      <c r="AG550" s="89" t="n">
        <v>27.6155</v>
      </c>
      <c r="AH550" s="89" t="n"/>
      <c r="AI550" s="89" t="n"/>
      <c r="AJ550" s="89" t="n">
        <v>28.55529</v>
      </c>
      <c r="AK550" s="89" t="n"/>
      <c r="AL550" s="89" t="n"/>
      <c r="AM550" s="89" t="n">
        <v>38.65742</v>
      </c>
      <c r="AN550" s="89" t="n"/>
      <c r="AO550" s="89" t="n">
        <v>28.80693</v>
      </c>
      <c r="AP550" s="89" t="n"/>
      <c r="AQ550" s="89" t="n"/>
      <c r="AR550" s="89" t="n"/>
      <c r="AS550" s="89" t="n"/>
      <c r="AT550" s="89" t="n"/>
      <c r="AU550" s="89" t="n"/>
      <c r="AV550" s="89" t="n"/>
      <c r="AW550" s="89" t="n"/>
      <c r="AX550" s="89" t="n"/>
      <c r="AY550" s="89" t="n"/>
    </row>
    <row r="551">
      <c r="A551" t="inlineStr">
        <is>
          <t>1964-10</t>
        </is>
      </c>
      <c r="B551" s="1" t="n">
        <v>23651</v>
      </c>
      <c r="C551" s="88" t="n">
        <v>551</v>
      </c>
      <c r="E551" s="1">
        <f>B551</f>
        <v/>
      </c>
      <c r="F551" s="2">
        <f>B551</f>
        <v/>
      </c>
      <c r="G551" s="88" t="n">
        <v>549</v>
      </c>
      <c r="H551" s="89" t="n"/>
      <c r="I551" s="89" t="n"/>
      <c r="J551" s="89" t="n">
        <v>34.07156</v>
      </c>
      <c r="K551" s="89" t="n">
        <v>29.90784</v>
      </c>
      <c r="L551" s="89" t="n"/>
      <c r="M551" s="89" t="n"/>
      <c r="N551" s="89" t="n">
        <v>37.52427</v>
      </c>
      <c r="O551" s="89" t="n"/>
      <c r="P551" s="89" t="n"/>
      <c r="Q551" s="89" t="n"/>
      <c r="R551" s="89" t="n">
        <v>21.47882</v>
      </c>
      <c r="S551" s="89" t="n">
        <v>45.49678</v>
      </c>
      <c r="T551" s="89" t="n">
        <v>63.95687</v>
      </c>
      <c r="U551" s="89" t="n">
        <v>34.36831</v>
      </c>
      <c r="V551" s="89" t="n"/>
      <c r="W551" s="89" t="n"/>
      <c r="X551" s="89" t="n"/>
      <c r="Y551" s="89" t="n"/>
      <c r="Z551" s="89" t="n">
        <v>45.957</v>
      </c>
      <c r="AA551" s="89" t="n">
        <v>22.96721</v>
      </c>
      <c r="AB551" s="89" t="n"/>
      <c r="AC551" s="89" t="n">
        <v>44.52157</v>
      </c>
      <c r="AD551" s="89" t="n"/>
      <c r="AE551" s="89" t="n"/>
      <c r="AF551" s="89" t="n">
        <v>31.99615</v>
      </c>
      <c r="AG551" s="89" t="n">
        <v>27.29519</v>
      </c>
      <c r="AH551" s="89" t="n"/>
      <c r="AI551" s="89" t="n"/>
      <c r="AJ551" s="89" t="n">
        <v>29.30945</v>
      </c>
      <c r="AK551" s="89" t="n"/>
      <c r="AL551" s="89" t="n"/>
      <c r="AM551" s="89" t="n">
        <v>39.11221</v>
      </c>
      <c r="AN551" s="89" t="n"/>
      <c r="AO551" s="89" t="n">
        <v>28.40793</v>
      </c>
      <c r="AP551" s="89" t="n"/>
      <c r="AQ551" s="89" t="n"/>
      <c r="AR551" s="89" t="n"/>
      <c r="AS551" s="89" t="n"/>
      <c r="AT551" s="89" t="n"/>
      <c r="AU551" s="89" t="n"/>
      <c r="AV551" s="89" t="n"/>
      <c r="AW551" s="89" t="n"/>
      <c r="AX551" s="89" t="n"/>
      <c r="AY551" s="89" t="n"/>
    </row>
    <row r="552">
      <c r="A552" t="inlineStr">
        <is>
          <t>1964-11</t>
        </is>
      </c>
      <c r="B552" s="1" t="n">
        <v>23682</v>
      </c>
      <c r="C552" s="88" t="n">
        <v>552</v>
      </c>
      <c r="E552" s="1">
        <f>B552</f>
        <v/>
      </c>
      <c r="F552" s="2">
        <f>B552</f>
        <v/>
      </c>
      <c r="G552" s="88" t="n">
        <v>550</v>
      </c>
      <c r="H552" s="89" t="n"/>
      <c r="I552" s="89" t="n"/>
      <c r="J552" s="89" t="n">
        <v>33.51586</v>
      </c>
      <c r="K552" s="89" t="n">
        <v>30.43602</v>
      </c>
      <c r="L552" s="89" t="n"/>
      <c r="M552" s="89" t="n"/>
      <c r="N552" s="89" t="n">
        <v>37.46255</v>
      </c>
      <c r="O552" s="89" t="n"/>
      <c r="P552" s="89" t="n"/>
      <c r="Q552" s="89" t="n"/>
      <c r="R552" s="89" t="n">
        <v>21.45275</v>
      </c>
      <c r="S552" s="89" t="n">
        <v>45.43571</v>
      </c>
      <c r="T552" s="89" t="n">
        <v>64.45654</v>
      </c>
      <c r="U552" s="89" t="n">
        <v>34.83109</v>
      </c>
      <c r="V552" s="89" t="n"/>
      <c r="W552" s="89" t="n"/>
      <c r="X552" s="89" t="n"/>
      <c r="Y552" s="89" t="n"/>
      <c r="Z552" s="89" t="n">
        <v>46.29926</v>
      </c>
      <c r="AA552" s="89" t="n">
        <v>22.71482</v>
      </c>
      <c r="AB552" s="89" t="n"/>
      <c r="AC552" s="89" t="n">
        <v>43.54799</v>
      </c>
      <c r="AD552" s="89" t="n"/>
      <c r="AE552" s="89" t="n"/>
      <c r="AF552" s="89" t="n">
        <v>32.28183</v>
      </c>
      <c r="AG552" s="89" t="n">
        <v>28.05021</v>
      </c>
      <c r="AH552" s="89" t="n"/>
      <c r="AI552" s="89" t="n"/>
      <c r="AJ552" s="89" t="n">
        <v>29.49174</v>
      </c>
      <c r="AK552" s="89" t="n"/>
      <c r="AL552" s="89" t="n"/>
      <c r="AM552" s="89" t="n">
        <v>39.567</v>
      </c>
      <c r="AN552" s="89" t="n"/>
      <c r="AO552" s="89" t="n">
        <v>29.28574</v>
      </c>
      <c r="AP552" s="89" t="n"/>
      <c r="AQ552" s="89" t="n"/>
      <c r="AR552" s="89" t="n"/>
      <c r="AS552" s="89" t="n"/>
      <c r="AT552" s="89" t="n"/>
      <c r="AU552" s="89" t="n"/>
      <c r="AV552" s="89" t="n"/>
      <c r="AW552" s="89" t="n"/>
      <c r="AX552" s="89" t="n"/>
      <c r="AY552" s="89" t="n"/>
    </row>
    <row r="553">
      <c r="A553" t="inlineStr">
        <is>
          <t>1964-12</t>
        </is>
      </c>
      <c r="B553" s="1" t="n">
        <v>23712</v>
      </c>
      <c r="C553" s="88" t="n">
        <v>553</v>
      </c>
      <c r="E553" s="1">
        <f>B553</f>
        <v/>
      </c>
      <c r="F553" s="2">
        <f>B553</f>
        <v/>
      </c>
      <c r="G553" s="88" t="n">
        <v>551</v>
      </c>
      <c r="H553" s="89" t="n"/>
      <c r="I553" s="89" t="n"/>
      <c r="J553" s="89" t="n">
        <v>33.49558</v>
      </c>
      <c r="K553" s="89" t="n">
        <v>30.44307</v>
      </c>
      <c r="L553" s="89" t="n"/>
      <c r="M553" s="89" t="n"/>
      <c r="N553" s="89" t="n">
        <v>37.89457</v>
      </c>
      <c r="O553" s="89" t="n"/>
      <c r="P553" s="89" t="n"/>
      <c r="Q553" s="89" t="n"/>
      <c r="R553" s="89" t="n">
        <v>21.47231</v>
      </c>
      <c r="S553" s="89" t="n">
        <v>44.58074</v>
      </c>
      <c r="T553" s="89" t="n">
        <v>65.45586</v>
      </c>
      <c r="U553" s="89" t="n">
        <v>35.41269</v>
      </c>
      <c r="V553" s="89" t="n"/>
      <c r="W553" s="89" t="n"/>
      <c r="X553" s="89" t="n"/>
      <c r="Y553" s="89" t="n"/>
      <c r="Z553" s="89" t="n">
        <v>46.43236</v>
      </c>
      <c r="AA553" s="89" t="n">
        <v>23.30372</v>
      </c>
      <c r="AB553" s="89" t="n"/>
      <c r="AC553" s="89" t="n">
        <v>44.27697</v>
      </c>
      <c r="AD553" s="89" t="n"/>
      <c r="AE553" s="89" t="n"/>
      <c r="AF553" s="89" t="n">
        <v>32.28183</v>
      </c>
      <c r="AG553" s="89" t="n">
        <v>28.32476</v>
      </c>
      <c r="AH553" s="89" t="n"/>
      <c r="AI553" s="89" t="n"/>
      <c r="AJ553" s="89" t="n">
        <v>29.31458</v>
      </c>
      <c r="AK553" s="89" t="n"/>
      <c r="AL553" s="89" t="n"/>
      <c r="AM553" s="89" t="n">
        <v>40.0218</v>
      </c>
      <c r="AN553" s="89" t="n"/>
      <c r="AO553" s="89" t="n">
        <v>29.63153</v>
      </c>
      <c r="AP553" s="89" t="n"/>
      <c r="AQ553" s="89" t="n"/>
      <c r="AR553" s="89" t="n"/>
      <c r="AS553" s="89" t="n"/>
      <c r="AT553" s="89" t="n"/>
      <c r="AU553" s="89" t="n"/>
      <c r="AV553" s="89" t="n"/>
      <c r="AW553" s="89" t="n"/>
      <c r="AX553" s="89" t="n"/>
      <c r="AY553" s="89" t="n"/>
    </row>
    <row r="554">
      <c r="A554" t="inlineStr">
        <is>
          <t>1965-01</t>
        </is>
      </c>
      <c r="B554" s="1" t="n">
        <v>23743</v>
      </c>
      <c r="C554" s="88" t="n">
        <v>554</v>
      </c>
      <c r="E554" s="1">
        <f>B554</f>
        <v/>
      </c>
      <c r="F554" s="2">
        <f>B554</f>
        <v/>
      </c>
      <c r="G554" s="88" t="n">
        <v>552</v>
      </c>
      <c r="H554" s="89" t="n"/>
      <c r="I554" s="89" t="n"/>
      <c r="J554" s="89" t="n">
        <v>34.17621</v>
      </c>
      <c r="K554" s="89" t="n">
        <v>30.88431</v>
      </c>
      <c r="L554" s="89" t="n"/>
      <c r="M554" s="89" t="n"/>
      <c r="N554" s="89" t="n">
        <v>38.75862</v>
      </c>
      <c r="O554" s="89" t="n"/>
      <c r="P554" s="89" t="n">
        <v>29.63829</v>
      </c>
      <c r="Q554" s="89" t="n"/>
      <c r="R554" s="89" t="n">
        <v>21.73631</v>
      </c>
      <c r="S554" s="89" t="n">
        <v>44.64181</v>
      </c>
      <c r="T554" s="89" t="n">
        <v>66.45519</v>
      </c>
      <c r="U554" s="89" t="n">
        <v>35.67213</v>
      </c>
      <c r="V554" s="89" t="n"/>
      <c r="W554" s="89" t="n"/>
      <c r="X554" s="89" t="n"/>
      <c r="Y554" s="89" t="n"/>
      <c r="Z554" s="89" t="n">
        <v>46.3563</v>
      </c>
      <c r="AA554" s="89" t="n">
        <v>23.05134</v>
      </c>
      <c r="AB554" s="89" t="n"/>
      <c r="AC554" s="89" t="n">
        <v>44.92404</v>
      </c>
      <c r="AD554" s="89" t="n"/>
      <c r="AE554" s="89" t="n"/>
      <c r="AF554" s="89" t="n">
        <v>32.8532</v>
      </c>
      <c r="AG554" s="89" t="n">
        <v>27.98157</v>
      </c>
      <c r="AH554" s="89" t="n"/>
      <c r="AI554" s="89" t="n"/>
      <c r="AJ554" s="89" t="n">
        <v>28.78821</v>
      </c>
      <c r="AK554" s="89" t="n"/>
      <c r="AL554" s="89" t="n"/>
      <c r="AM554" s="89" t="n">
        <v>41.38618</v>
      </c>
      <c r="AN554" s="89" t="n"/>
      <c r="AO554" s="89" t="n">
        <v>29.9507</v>
      </c>
      <c r="AP554" s="89" t="n"/>
      <c r="AQ554" s="89" t="n"/>
      <c r="AR554" s="89" t="n"/>
      <c r="AS554" s="89" t="n"/>
      <c r="AT554" s="89" t="n"/>
      <c r="AU554" s="89" t="n"/>
      <c r="AV554" s="89" t="n"/>
      <c r="AW554" s="89" t="n"/>
      <c r="AX554" s="89" t="n"/>
      <c r="AY554" s="89" t="n"/>
    </row>
    <row r="555">
      <c r="A555" t="inlineStr">
        <is>
          <t>1965-02</t>
        </is>
      </c>
      <c r="B555" s="1" t="n">
        <v>23774</v>
      </c>
      <c r="C555" s="88" t="n">
        <v>555</v>
      </c>
      <c r="E555" s="1">
        <f>B555</f>
        <v/>
      </c>
      <c r="F555" s="2">
        <f>B555</f>
        <v/>
      </c>
      <c r="G555" s="88" t="n">
        <v>553</v>
      </c>
      <c r="H555" s="89" t="n"/>
      <c r="I555" s="89" t="n"/>
      <c r="J555" s="89" t="n">
        <v>34.05408</v>
      </c>
      <c r="K555" s="89" t="n">
        <v>30.71233</v>
      </c>
      <c r="L555" s="89" t="n"/>
      <c r="M555" s="89" t="n"/>
      <c r="N555" s="89" t="n">
        <v>38.45003</v>
      </c>
      <c r="O555" s="89" t="n"/>
      <c r="P555" s="89" t="n">
        <v>30.60046</v>
      </c>
      <c r="Q555" s="89" t="n"/>
      <c r="R555" s="89" t="n">
        <v>21.93513</v>
      </c>
      <c r="S555" s="89" t="n">
        <v>45.0693</v>
      </c>
      <c r="T555" s="89" t="n">
        <v>65.45586</v>
      </c>
      <c r="U555" s="89" t="n">
        <v>35.47431</v>
      </c>
      <c r="V555" s="89" t="n"/>
      <c r="W555" s="89" t="n"/>
      <c r="X555" s="89" t="n"/>
      <c r="Y555" s="89" t="n"/>
      <c r="Z555" s="89" t="n">
        <v>46.86968</v>
      </c>
      <c r="AA555" s="89" t="n">
        <v>22.88308</v>
      </c>
      <c r="AB555" s="89" t="n"/>
      <c r="AC555" s="89" t="n">
        <v>45.79136</v>
      </c>
      <c r="AD555" s="89" t="n"/>
      <c r="AE555" s="89" t="n"/>
      <c r="AF555" s="89" t="n">
        <v>32.56752</v>
      </c>
      <c r="AG555" s="89" t="n">
        <v>28.57644</v>
      </c>
      <c r="AH555" s="89" t="n"/>
      <c r="AI555" s="89" t="n"/>
      <c r="AJ555" s="89" t="n">
        <v>29.77995</v>
      </c>
      <c r="AK555" s="89" t="n"/>
      <c r="AL555" s="89" t="n"/>
      <c r="AM555" s="89" t="n">
        <v>40.93138</v>
      </c>
      <c r="AN555" s="89" t="n"/>
      <c r="AO555" s="89" t="n">
        <v>30.13695</v>
      </c>
      <c r="AP555" s="89" t="n"/>
      <c r="AQ555" s="89" t="n"/>
      <c r="AR555" s="89" t="n"/>
      <c r="AS555" s="89" t="n"/>
      <c r="AT555" s="89" t="n"/>
      <c r="AU555" s="89" t="n"/>
      <c r="AV555" s="89" t="n"/>
      <c r="AW555" s="89" t="n"/>
      <c r="AX555" s="89" t="n"/>
      <c r="AY555" s="89" t="n"/>
    </row>
    <row r="556">
      <c r="A556" t="inlineStr">
        <is>
          <t>1965-03</t>
        </is>
      </c>
      <c r="B556" s="1" t="n">
        <v>23802</v>
      </c>
      <c r="C556" s="88" t="n">
        <v>556</v>
      </c>
      <c r="E556" s="1">
        <f>B556</f>
        <v/>
      </c>
      <c r="F556" s="2">
        <f>B556</f>
        <v/>
      </c>
      <c r="G556" s="88" t="n">
        <v>554</v>
      </c>
      <c r="H556" s="89" t="n"/>
      <c r="I556" s="89" t="n"/>
      <c r="J556" s="89" t="n">
        <v>33.54097</v>
      </c>
      <c r="K556" s="89" t="n">
        <v>31.35469</v>
      </c>
      <c r="L556" s="89" t="n"/>
      <c r="M556" s="89" t="n"/>
      <c r="N556" s="89" t="n">
        <v>38.38831</v>
      </c>
      <c r="O556" s="89" t="n"/>
      <c r="P556" s="89" t="n">
        <v>31.16453</v>
      </c>
      <c r="Q556" s="89" t="n"/>
      <c r="R556" s="89" t="n">
        <v>21.65809</v>
      </c>
      <c r="S556" s="89" t="n">
        <v>45.0693</v>
      </c>
      <c r="T556" s="89" t="n">
        <v>64.45654</v>
      </c>
      <c r="U556" s="89" t="n">
        <v>35.72782</v>
      </c>
      <c r="V556" s="89" t="n"/>
      <c r="W556" s="89" t="n"/>
      <c r="X556" s="89" t="n"/>
      <c r="Y556" s="89" t="n"/>
      <c r="Z556" s="89" t="n">
        <v>46.2232</v>
      </c>
      <c r="AA556" s="89" t="n">
        <v>23.05134</v>
      </c>
      <c r="AB556" s="89" t="n"/>
      <c r="AC556" s="89" t="n">
        <v>42.27729</v>
      </c>
      <c r="AD556" s="89" t="n"/>
      <c r="AE556" s="89" t="n"/>
      <c r="AF556" s="89" t="n">
        <v>32.28183</v>
      </c>
      <c r="AG556" s="89" t="n">
        <v>28.5078</v>
      </c>
      <c r="AH556" s="89" t="n"/>
      <c r="AI556" s="89" t="n"/>
      <c r="AJ556" s="89" t="n">
        <v>29.13757</v>
      </c>
      <c r="AK556" s="89" t="n"/>
      <c r="AL556" s="89" t="n"/>
      <c r="AM556" s="89" t="n">
        <v>40.0218</v>
      </c>
      <c r="AN556" s="89" t="n"/>
      <c r="AO556" s="89" t="n">
        <v>30.53585</v>
      </c>
      <c r="AP556" s="89" t="n"/>
      <c r="AQ556" s="89" t="n"/>
      <c r="AR556" s="89" t="n"/>
      <c r="AS556" s="89" t="n"/>
      <c r="AT556" s="89" t="n"/>
      <c r="AU556" s="89" t="n"/>
      <c r="AV556" s="89" t="n"/>
      <c r="AW556" s="89" t="n"/>
      <c r="AX556" s="89" t="n"/>
      <c r="AY556" s="89" t="n"/>
    </row>
    <row r="557">
      <c r="A557" t="inlineStr">
        <is>
          <t>1965-04</t>
        </is>
      </c>
      <c r="B557" s="1" t="n">
        <v>23833</v>
      </c>
      <c r="C557" s="88" t="n">
        <v>557</v>
      </c>
      <c r="E557" s="1">
        <f>B557</f>
        <v/>
      </c>
      <c r="F557" s="2">
        <f>B557</f>
        <v/>
      </c>
      <c r="G557" s="88" t="n">
        <v>555</v>
      </c>
      <c r="H557" s="89" t="n"/>
      <c r="I557" s="89" t="n"/>
      <c r="J557" s="89" t="n">
        <v>34.10825</v>
      </c>
      <c r="K557" s="89" t="n">
        <v>31.32086</v>
      </c>
      <c r="L557" s="89" t="n"/>
      <c r="M557" s="89" t="n"/>
      <c r="N557" s="89" t="n">
        <v>38.57346</v>
      </c>
      <c r="O557" s="89" t="n"/>
      <c r="P557" s="89" t="n">
        <v>31.01135</v>
      </c>
      <c r="Q557" s="89" t="n"/>
      <c r="R557" s="89" t="n">
        <v>22.14372</v>
      </c>
      <c r="S557" s="89" t="n">
        <v>45.31358</v>
      </c>
      <c r="T557" s="89" t="n">
        <v>64.9562</v>
      </c>
      <c r="U557" s="89" t="n">
        <v>35.41485</v>
      </c>
      <c r="V557" s="89" t="n"/>
      <c r="W557" s="89" t="n"/>
      <c r="X557" s="89" t="n"/>
      <c r="Y557" s="89" t="n"/>
      <c r="Z557" s="89" t="n">
        <v>46.88869</v>
      </c>
      <c r="AA557" s="89" t="n">
        <v>22.88308</v>
      </c>
      <c r="AB557" s="89" t="n"/>
      <c r="AC557" s="89" t="n">
        <v>44.03191</v>
      </c>
      <c r="AD557" s="89" t="n"/>
      <c r="AE557" s="89" t="n"/>
      <c r="AF557" s="89" t="n">
        <v>32.28183</v>
      </c>
      <c r="AG557" s="89" t="n">
        <v>29.40009</v>
      </c>
      <c r="AH557" s="89" t="n"/>
      <c r="AI557" s="89" t="n"/>
      <c r="AJ557" s="89" t="n">
        <v>29.58606</v>
      </c>
      <c r="AK557" s="89" t="n"/>
      <c r="AL557" s="89" t="n"/>
      <c r="AM557" s="89" t="n">
        <v>40.0218</v>
      </c>
      <c r="AN557" s="89" t="n"/>
      <c r="AO557" s="89" t="n">
        <v>30.66888</v>
      </c>
      <c r="AP557" s="89" t="n"/>
      <c r="AQ557" s="89" t="n"/>
      <c r="AR557" s="89" t="n"/>
      <c r="AS557" s="89" t="n"/>
      <c r="AT557" s="89" t="n"/>
      <c r="AU557" s="89" t="n"/>
      <c r="AV557" s="89" t="n"/>
      <c r="AW557" s="89" t="n"/>
      <c r="AX557" s="89" t="n"/>
      <c r="AY557" s="89" t="n"/>
    </row>
    <row r="558">
      <c r="A558" t="inlineStr">
        <is>
          <t>1965-05</t>
        </is>
      </c>
      <c r="B558" s="1" t="n">
        <v>23863</v>
      </c>
      <c r="C558" s="88" t="n">
        <v>558</v>
      </c>
      <c r="E558" s="1">
        <f>B558</f>
        <v/>
      </c>
      <c r="F558" s="2">
        <f>B558</f>
        <v/>
      </c>
      <c r="G558" s="88" t="n">
        <v>556</v>
      </c>
      <c r="H558" s="89" t="n"/>
      <c r="I558" s="89" t="n"/>
      <c r="J558" s="89" t="n">
        <v>34.20399</v>
      </c>
      <c r="K558" s="89" t="n">
        <v>31.52198</v>
      </c>
      <c r="L558" s="89" t="n"/>
      <c r="M558" s="89" t="n"/>
      <c r="N558" s="89" t="n">
        <v>38.57346</v>
      </c>
      <c r="O558" s="89" t="n"/>
      <c r="P558" s="89" t="n">
        <v>31.67221</v>
      </c>
      <c r="Q558" s="89" t="n"/>
      <c r="R558" s="89" t="n">
        <v>22.22195</v>
      </c>
      <c r="S558" s="89" t="n">
        <v>45.55785</v>
      </c>
      <c r="T558" s="89" t="n">
        <v>65.45586</v>
      </c>
      <c r="U558" s="89" t="n">
        <v>35.9217</v>
      </c>
      <c r="V558" s="89" t="n"/>
      <c r="W558" s="89" t="n"/>
      <c r="X558" s="89" t="n"/>
      <c r="Y558" s="89" t="n"/>
      <c r="Z558" s="89" t="n">
        <v>48.50489</v>
      </c>
      <c r="AA558" s="89" t="n">
        <v>22.54656</v>
      </c>
      <c r="AB558" s="89" t="n"/>
      <c r="AC558" s="89" t="n">
        <v>43.60468</v>
      </c>
      <c r="AD558" s="89" t="n"/>
      <c r="AE558" s="89" t="n"/>
      <c r="AF558" s="89" t="n">
        <v>33.13887</v>
      </c>
      <c r="AG558" s="89" t="n">
        <v>29.49161</v>
      </c>
      <c r="AH558" s="89" t="n"/>
      <c r="AI558" s="89" t="n"/>
      <c r="AJ558" s="89" t="n">
        <v>29.41329</v>
      </c>
      <c r="AK558" s="89" t="n"/>
      <c r="AL558" s="89" t="n"/>
      <c r="AM558" s="89" t="n">
        <v>40.47659</v>
      </c>
      <c r="AN558" s="89" t="n"/>
      <c r="AO558" s="89" t="n">
        <v>30.90824</v>
      </c>
      <c r="AP558" s="89" t="n"/>
      <c r="AQ558" s="89" t="n"/>
      <c r="AR558" s="89" t="n"/>
      <c r="AS558" s="89" t="n"/>
      <c r="AT558" s="89" t="n"/>
      <c r="AU558" s="89" t="n"/>
      <c r="AV558" s="89" t="n"/>
      <c r="AW558" s="89" t="n"/>
      <c r="AX558" s="89" t="n"/>
      <c r="AY558" s="89" t="n"/>
    </row>
    <row r="559">
      <c r="A559" t="inlineStr">
        <is>
          <t>1965-06</t>
        </is>
      </c>
      <c r="B559" s="1" t="n">
        <v>23894</v>
      </c>
      <c r="C559" s="88" t="n">
        <v>559</v>
      </c>
      <c r="E559" s="1">
        <f>B559</f>
        <v/>
      </c>
      <c r="F559" s="2">
        <f>B559</f>
        <v/>
      </c>
      <c r="G559" s="88" t="n">
        <v>557</v>
      </c>
      <c r="H559" s="89" t="n"/>
      <c r="I559" s="89" t="n"/>
      <c r="J559" s="89" t="n">
        <v>33.92512</v>
      </c>
      <c r="K559" s="89" t="n">
        <v>31.57367</v>
      </c>
      <c r="L559" s="89" t="n"/>
      <c r="M559" s="89" t="n"/>
      <c r="N559" s="89" t="n">
        <v>38.26488</v>
      </c>
      <c r="O559" s="89" t="n"/>
      <c r="P559" s="89" t="n">
        <v>30.98421</v>
      </c>
      <c r="Q559" s="89" t="n"/>
      <c r="R559" s="89" t="n">
        <v>22.94225</v>
      </c>
      <c r="S559" s="89" t="n">
        <v>46.10748</v>
      </c>
      <c r="T559" s="89" t="n">
        <v>64.9562</v>
      </c>
      <c r="U559" s="89" t="n">
        <v>36.92907</v>
      </c>
      <c r="V559" s="89" t="n"/>
      <c r="W559" s="89" t="n"/>
      <c r="X559" s="89" t="n"/>
      <c r="Y559" s="89" t="n"/>
      <c r="Z559" s="89" t="n">
        <v>48.98024</v>
      </c>
      <c r="AA559" s="89" t="n">
        <v>22.96721</v>
      </c>
      <c r="AB559" s="89" t="n"/>
      <c r="AC559" s="89" t="n">
        <v>43.58502</v>
      </c>
      <c r="AD559" s="89" t="n"/>
      <c r="AE559" s="89" t="n"/>
      <c r="AF559" s="89" t="n">
        <v>32.8532</v>
      </c>
      <c r="AG559" s="89" t="n">
        <v>28.1646</v>
      </c>
      <c r="AH559" s="89" t="n"/>
      <c r="AI559" s="89" t="n"/>
      <c r="AJ559" s="89" t="n">
        <v>28.87982</v>
      </c>
      <c r="AK559" s="89" t="n"/>
      <c r="AL559" s="89" t="n"/>
      <c r="AM559" s="89" t="n">
        <v>40.93138</v>
      </c>
      <c r="AN559" s="89" t="n"/>
      <c r="AO559" s="89" t="n">
        <v>31.14769</v>
      </c>
      <c r="AP559" s="89" t="n"/>
      <c r="AQ559" s="89" t="n"/>
      <c r="AR559" s="89" t="n"/>
      <c r="AS559" s="89" t="n"/>
      <c r="AT559" s="89" t="n"/>
      <c r="AU559" s="89" t="n"/>
      <c r="AV559" s="89" t="n"/>
      <c r="AW559" s="89" t="n"/>
      <c r="AX559" s="89" t="n"/>
      <c r="AY559" s="89" t="n"/>
    </row>
    <row r="560">
      <c r="A560" t="inlineStr">
        <is>
          <t>1965-07</t>
        </is>
      </c>
      <c r="B560" s="1" t="n">
        <v>23924</v>
      </c>
      <c r="C560" s="88" t="n">
        <v>560</v>
      </c>
      <c r="E560" s="1">
        <f>B560</f>
        <v/>
      </c>
      <c r="F560" s="2">
        <f>B560</f>
        <v/>
      </c>
      <c r="G560" s="88" t="n">
        <v>558</v>
      </c>
      <c r="H560" s="89" t="n"/>
      <c r="I560" s="89" t="n"/>
      <c r="J560" s="89" t="n">
        <v>33.89993</v>
      </c>
      <c r="K560" s="89" t="n">
        <v>32.39648</v>
      </c>
      <c r="L560" s="89" t="n"/>
      <c r="M560" s="89" t="n"/>
      <c r="N560" s="89" t="n">
        <v>38.45003</v>
      </c>
      <c r="O560" s="89" t="n"/>
      <c r="P560" s="89" t="n">
        <v>33.50448</v>
      </c>
      <c r="Q560" s="89" t="n"/>
      <c r="R560" s="89" t="n">
        <v>22.73366</v>
      </c>
      <c r="S560" s="89" t="n">
        <v>46.04641</v>
      </c>
      <c r="T560" s="89" t="n">
        <v>65.45586</v>
      </c>
      <c r="U560" s="89" t="n">
        <v>36.70959</v>
      </c>
      <c r="V560" s="89" t="n"/>
      <c r="W560" s="89" t="n"/>
      <c r="X560" s="89" t="n"/>
      <c r="Y560" s="89" t="n"/>
      <c r="Z560" s="89" t="n">
        <v>49.34151</v>
      </c>
      <c r="AA560" s="89" t="n">
        <v>22.96721</v>
      </c>
      <c r="AB560" s="89" t="n"/>
      <c r="AC560" s="89" t="n">
        <v>43.27277</v>
      </c>
      <c r="AD560" s="89" t="n"/>
      <c r="AE560" s="89" t="n"/>
      <c r="AF560" s="89" t="n">
        <v>33.13887</v>
      </c>
      <c r="AG560" s="89" t="n">
        <v>28.62219</v>
      </c>
      <c r="AH560" s="89" t="n"/>
      <c r="AI560" s="89" t="n"/>
      <c r="AJ560" s="89" t="n">
        <v>30.25811</v>
      </c>
      <c r="AK560" s="89" t="n"/>
      <c r="AL560" s="89" t="n"/>
      <c r="AM560" s="89" t="n">
        <v>38.20263</v>
      </c>
      <c r="AN560" s="89" t="n"/>
      <c r="AO560" s="89" t="n">
        <v>31.44026</v>
      </c>
      <c r="AP560" s="89" t="n"/>
      <c r="AQ560" s="89" t="n"/>
      <c r="AR560" s="89" t="n"/>
      <c r="AS560" s="89" t="n"/>
      <c r="AT560" s="89" t="n"/>
      <c r="AU560" s="89" t="n"/>
      <c r="AV560" s="89" t="n"/>
      <c r="AW560" s="89" t="n"/>
      <c r="AX560" s="89" t="n"/>
      <c r="AY560" s="89" t="n"/>
    </row>
    <row r="561">
      <c r="A561" t="inlineStr">
        <is>
          <t>1965-08</t>
        </is>
      </c>
      <c r="B561" s="1" t="n">
        <v>23955</v>
      </c>
      <c r="C561" s="88" t="n">
        <v>561</v>
      </c>
      <c r="E561" s="1">
        <f>B561</f>
        <v/>
      </c>
      <c r="F561" s="2">
        <f>B561</f>
        <v/>
      </c>
      <c r="G561" s="88" t="n">
        <v>559</v>
      </c>
      <c r="H561" s="89" t="n"/>
      <c r="I561" s="89" t="n"/>
      <c r="J561" s="89" t="n">
        <v>33.86045</v>
      </c>
      <c r="K561" s="89" t="n">
        <v>31.67235</v>
      </c>
      <c r="L561" s="89" t="n"/>
      <c r="M561" s="89" t="n"/>
      <c r="N561" s="89" t="n">
        <v>38.82034</v>
      </c>
      <c r="O561" s="89" t="n"/>
      <c r="P561" s="89" t="n">
        <v>32.88184</v>
      </c>
      <c r="Q561" s="89" t="n"/>
      <c r="R561" s="89" t="n">
        <v>22.70107</v>
      </c>
      <c r="S561" s="89" t="n">
        <v>46.04641</v>
      </c>
      <c r="T561" s="89" t="n">
        <v>64.9562</v>
      </c>
      <c r="U561" s="89" t="n">
        <v>36.08186</v>
      </c>
      <c r="V561" s="89" t="n"/>
      <c r="W561" s="89" t="n"/>
      <c r="X561" s="89" t="n"/>
      <c r="Y561" s="89" t="n"/>
      <c r="Z561" s="89" t="n">
        <v>48.71405</v>
      </c>
      <c r="AA561" s="89" t="n">
        <v>23.05134</v>
      </c>
      <c r="AB561" s="89" t="n"/>
      <c r="AC561" s="89" t="n">
        <v>43.13638</v>
      </c>
      <c r="AD561" s="89" t="n"/>
      <c r="AE561" s="89" t="n"/>
      <c r="AF561" s="89" t="n">
        <v>32.56752</v>
      </c>
      <c r="AG561" s="89" t="n">
        <v>29.51449</v>
      </c>
      <c r="AH561" s="89" t="n"/>
      <c r="AI561" s="89" t="n"/>
      <c r="AJ561" s="89" t="n">
        <v>29.47515</v>
      </c>
      <c r="AK561" s="89" t="n"/>
      <c r="AL561" s="89" t="n"/>
      <c r="AM561" s="89" t="n">
        <v>41.38618</v>
      </c>
      <c r="AN561" s="89" t="n"/>
      <c r="AO561" s="89" t="n">
        <v>31.5732</v>
      </c>
      <c r="AP561" s="89" t="n"/>
      <c r="AQ561" s="89" t="n"/>
      <c r="AR561" s="89" t="n"/>
      <c r="AS561" s="89" t="n"/>
      <c r="AT561" s="89" t="n"/>
      <c r="AU561" s="89" t="n"/>
      <c r="AV561" s="89" t="n"/>
      <c r="AW561" s="89" t="n"/>
      <c r="AX561" s="89" t="n"/>
      <c r="AY561" s="89" t="n"/>
    </row>
    <row r="562">
      <c r="A562" t="inlineStr">
        <is>
          <t>1965-09</t>
        </is>
      </c>
      <c r="B562" s="1" t="n">
        <v>23986</v>
      </c>
      <c r="C562" s="88" t="n">
        <v>562</v>
      </c>
      <c r="E562" s="1">
        <f>B562</f>
        <v/>
      </c>
      <c r="F562" s="2">
        <f>B562</f>
        <v/>
      </c>
      <c r="G562" s="88" t="n">
        <v>560</v>
      </c>
      <c r="H562" s="89" t="n"/>
      <c r="I562" s="89" t="n"/>
      <c r="J562" s="89" t="n">
        <v>33.83659</v>
      </c>
      <c r="K562" s="89" t="n">
        <v>32.36265</v>
      </c>
      <c r="L562" s="89" t="n"/>
      <c r="M562" s="89" t="n"/>
      <c r="N562" s="89" t="n">
        <v>39.12892</v>
      </c>
      <c r="O562" s="89" t="n"/>
      <c r="P562" s="89" t="n">
        <v>32.9376</v>
      </c>
      <c r="Q562" s="89" t="n"/>
      <c r="R562" s="89" t="n">
        <v>22.78255</v>
      </c>
      <c r="S562" s="89" t="n">
        <v>46.53497</v>
      </c>
      <c r="T562" s="89" t="n">
        <v>64.9562</v>
      </c>
      <c r="U562" s="89" t="n">
        <v>37.09899</v>
      </c>
      <c r="V562" s="89" t="n"/>
      <c r="W562" s="89" t="n"/>
      <c r="X562" s="89" t="n"/>
      <c r="Y562" s="89" t="n"/>
      <c r="Z562" s="89" t="n">
        <v>49.34151</v>
      </c>
      <c r="AA562" s="89" t="n">
        <v>23.13547</v>
      </c>
      <c r="AB562" s="89" t="n"/>
      <c r="AC562" s="89" t="n">
        <v>43.54374</v>
      </c>
      <c r="AD562" s="89" t="n"/>
      <c r="AE562" s="89" t="n"/>
      <c r="AF562" s="89" t="n">
        <v>33.71024</v>
      </c>
      <c r="AG562" s="89" t="n">
        <v>29.67465</v>
      </c>
      <c r="AH562" s="89" t="n"/>
      <c r="AI562" s="89" t="n"/>
      <c r="AJ562" s="89" t="n">
        <v>29.76298</v>
      </c>
      <c r="AK562" s="89" t="n"/>
      <c r="AL562" s="89" t="n"/>
      <c r="AM562" s="89" t="n">
        <v>42.29576</v>
      </c>
      <c r="AN562" s="89" t="n"/>
      <c r="AO562" s="89" t="n">
        <v>31.65302</v>
      </c>
      <c r="AP562" s="89" t="n"/>
      <c r="AQ562" s="89" t="n"/>
      <c r="AR562" s="89" t="n"/>
      <c r="AS562" s="89" t="n"/>
      <c r="AT562" s="89" t="n"/>
      <c r="AU562" s="89" t="n"/>
      <c r="AV562" s="89" t="n"/>
      <c r="AW562" s="89" t="n"/>
      <c r="AX562" s="89" t="n"/>
      <c r="AY562" s="89" t="n"/>
    </row>
    <row r="563">
      <c r="A563" t="inlineStr">
        <is>
          <t>1965-10</t>
        </is>
      </c>
      <c r="B563" s="1" t="n">
        <v>24016</v>
      </c>
      <c r="C563" s="88" t="n">
        <v>563</v>
      </c>
      <c r="E563" s="1">
        <f>B563</f>
        <v/>
      </c>
      <c r="F563" s="2">
        <f>B563</f>
        <v/>
      </c>
      <c r="G563" s="88" t="n">
        <v>561</v>
      </c>
      <c r="H563" s="89" t="n"/>
      <c r="I563" s="89" t="n"/>
      <c r="J563" s="89" t="n">
        <v>34.48289</v>
      </c>
      <c r="K563" s="89" t="n">
        <v>33.08725</v>
      </c>
      <c r="L563" s="89" t="n"/>
      <c r="M563" s="89" t="n"/>
      <c r="N563" s="89" t="n">
        <v>38.94377</v>
      </c>
      <c r="O563" s="89" t="n"/>
      <c r="P563" s="89" t="n">
        <v>33.18572</v>
      </c>
      <c r="Q563" s="89" t="n"/>
      <c r="R563" s="89" t="n">
        <v>22.18935</v>
      </c>
      <c r="S563" s="89" t="n">
        <v>47.45101</v>
      </c>
      <c r="T563" s="89" t="n">
        <v>65.95553</v>
      </c>
      <c r="U563" s="89" t="n">
        <v>36.87552</v>
      </c>
      <c r="V563" s="89" t="n"/>
      <c r="W563" s="89" t="n"/>
      <c r="X563" s="89" t="n"/>
      <c r="Y563" s="89" t="n"/>
      <c r="Z563" s="89" t="n">
        <v>49.55066</v>
      </c>
      <c r="AA563" s="89" t="n">
        <v>23.13547</v>
      </c>
      <c r="AB563" s="89" t="n"/>
      <c r="AC563" s="89" t="n">
        <v>43.57447</v>
      </c>
      <c r="AD563" s="89" t="n"/>
      <c r="AE563" s="89" t="n"/>
      <c r="AF563" s="89" t="n">
        <v>33.99591</v>
      </c>
      <c r="AG563" s="89" t="n">
        <v>29.14842</v>
      </c>
      <c r="AH563" s="89" t="n"/>
      <c r="AI563" s="89" t="n"/>
      <c r="AJ563" s="89" t="n">
        <v>29.52378</v>
      </c>
      <c r="AK563" s="89" t="n"/>
      <c r="AL563" s="89" t="n"/>
      <c r="AM563" s="89" t="n">
        <v>41.84097</v>
      </c>
      <c r="AN563" s="89" t="n"/>
      <c r="AO563" s="89" t="n">
        <v>31.97229</v>
      </c>
      <c r="AP563" s="89" t="n"/>
      <c r="AQ563" s="89" t="n"/>
      <c r="AR563" s="89" t="n"/>
      <c r="AS563" s="89" t="n"/>
      <c r="AT563" s="89" t="n"/>
      <c r="AU563" s="89" t="n"/>
      <c r="AV563" s="89" t="n"/>
      <c r="AW563" s="89" t="n"/>
      <c r="AX563" s="89" t="n"/>
      <c r="AY563" s="89" t="n"/>
    </row>
    <row r="564">
      <c r="A564" t="inlineStr">
        <is>
          <t>1965-11</t>
        </is>
      </c>
      <c r="B564" s="1" t="n">
        <v>24047</v>
      </c>
      <c r="C564" s="88" t="n">
        <v>564</v>
      </c>
      <c r="E564" s="1">
        <f>B564</f>
        <v/>
      </c>
      <c r="F564" s="2">
        <f>B564</f>
        <v/>
      </c>
      <c r="G564" s="88" t="n">
        <v>562</v>
      </c>
      <c r="H564" s="89" t="n"/>
      <c r="I564" s="89" t="n"/>
      <c r="J564" s="89" t="n">
        <v>34.79621</v>
      </c>
      <c r="K564" s="89" t="n">
        <v>33.23997</v>
      </c>
      <c r="L564" s="89" t="n"/>
      <c r="M564" s="89" t="n"/>
      <c r="N564" s="89" t="n">
        <v>38.6969</v>
      </c>
      <c r="O564" s="89" t="n"/>
      <c r="P564" s="89" t="n">
        <v>33.82881</v>
      </c>
      <c r="Q564" s="89" t="n"/>
      <c r="R564" s="89" t="n">
        <v>22.39469</v>
      </c>
      <c r="S564" s="89" t="n">
        <v>47.45101</v>
      </c>
      <c r="T564" s="89" t="n">
        <v>65.95553</v>
      </c>
      <c r="U564" s="89" t="n">
        <v>37.63124</v>
      </c>
      <c r="V564" s="89" t="n"/>
      <c r="W564" s="89" t="n"/>
      <c r="X564" s="89" t="n"/>
      <c r="Y564" s="89" t="n"/>
      <c r="Z564" s="89" t="n">
        <v>50.82461</v>
      </c>
      <c r="AA564" s="89" t="n">
        <v>23.55611</v>
      </c>
      <c r="AB564" s="89" t="n"/>
      <c r="AC564" s="89" t="n">
        <v>44.64177</v>
      </c>
      <c r="AD564" s="89" t="n"/>
      <c r="AE564" s="89" t="n"/>
      <c r="AF564" s="89" t="n">
        <v>33.99591</v>
      </c>
      <c r="AG564" s="89" t="n">
        <v>29.58313</v>
      </c>
      <c r="AH564" s="89" t="n"/>
      <c r="AI564" s="89" t="n"/>
      <c r="AJ564" s="89" t="n">
        <v>29.88545</v>
      </c>
      <c r="AK564" s="89" t="n"/>
      <c r="AL564" s="89" t="n"/>
      <c r="AM564" s="89" t="n">
        <v>41.84097</v>
      </c>
      <c r="AN564" s="89" t="n"/>
      <c r="AO564" s="89" t="n">
        <v>32.10522</v>
      </c>
      <c r="AP564" s="89" t="n"/>
      <c r="AQ564" s="89" t="n"/>
      <c r="AR564" s="89" t="n"/>
      <c r="AS564" s="89" t="n"/>
      <c r="AT564" s="89" t="n"/>
      <c r="AU564" s="89" t="n"/>
      <c r="AV564" s="89" t="n"/>
      <c r="AW564" s="89" t="n"/>
      <c r="AX564" s="89" t="n"/>
      <c r="AY564" s="89" t="n"/>
    </row>
    <row r="565">
      <c r="A565" t="inlineStr">
        <is>
          <t>1965-12</t>
        </is>
      </c>
      <c r="B565" s="1" t="n">
        <v>24077</v>
      </c>
      <c r="C565" s="88" t="n">
        <v>565</v>
      </c>
      <c r="E565" s="1">
        <f>B565</f>
        <v/>
      </c>
      <c r="F565" s="2">
        <f>B565</f>
        <v/>
      </c>
      <c r="G565" s="88" t="n">
        <v>563</v>
      </c>
      <c r="H565" s="89" t="n"/>
      <c r="I565" s="89" t="n"/>
      <c r="J565" s="89" t="n">
        <v>35.32801</v>
      </c>
      <c r="K565" s="89" t="n">
        <v>33.73666</v>
      </c>
      <c r="L565" s="89" t="n"/>
      <c r="M565" s="89" t="n"/>
      <c r="N565" s="89" t="n">
        <v>39.62266</v>
      </c>
      <c r="O565" s="89" t="n"/>
      <c r="P565" s="89" t="n">
        <v>34.18798</v>
      </c>
      <c r="Q565" s="89" t="n"/>
      <c r="R565" s="89" t="n">
        <v>22.42402</v>
      </c>
      <c r="S565" s="89" t="n">
        <v>47.63422</v>
      </c>
      <c r="T565" s="89" t="n">
        <v>66.45519</v>
      </c>
      <c r="U565" s="89" t="n">
        <v>37.53761</v>
      </c>
      <c r="V565" s="89" t="n"/>
      <c r="W565" s="89" t="n"/>
      <c r="X565" s="89" t="n"/>
      <c r="Y565" s="89" t="n"/>
      <c r="Z565" s="89" t="n">
        <v>50.63446</v>
      </c>
      <c r="AA565" s="89" t="n">
        <v>23.55611</v>
      </c>
      <c r="AB565" s="89" t="n"/>
      <c r="AC565" s="89" t="n">
        <v>43.52945</v>
      </c>
      <c r="AD565" s="89" t="n"/>
      <c r="AE565" s="89" t="n"/>
      <c r="AF565" s="89" t="n">
        <v>33.99591</v>
      </c>
      <c r="AG565" s="89" t="n">
        <v>29.51449</v>
      </c>
      <c r="AH565" s="89" t="n"/>
      <c r="AI565" s="89" t="n"/>
      <c r="AJ565" s="89" t="n">
        <v>31.93317</v>
      </c>
      <c r="AK565" s="89" t="n"/>
      <c r="AL565" s="89" t="n"/>
      <c r="AM565" s="89" t="n">
        <v>41.38618</v>
      </c>
      <c r="AN565" s="89" t="n"/>
      <c r="AO565" s="89" t="n">
        <v>32.50422</v>
      </c>
      <c r="AP565" s="89" t="n"/>
      <c r="AQ565" s="89" t="n"/>
      <c r="AR565" s="89" t="n"/>
      <c r="AS565" s="89" t="n"/>
      <c r="AT565" s="89" t="n"/>
      <c r="AU565" s="89" t="n"/>
      <c r="AV565" s="89" t="n"/>
      <c r="AW565" s="89" t="n"/>
      <c r="AX565" s="89" t="n"/>
      <c r="AY565" s="89" t="n"/>
    </row>
    <row r="566">
      <c r="A566" t="inlineStr">
        <is>
          <t>1966-01</t>
        </is>
      </c>
      <c r="B566" s="1" t="n">
        <v>24108</v>
      </c>
      <c r="C566" s="88" t="n">
        <v>566</v>
      </c>
      <c r="E566" s="1">
        <f>B566</f>
        <v/>
      </c>
      <c r="F566" s="2">
        <f>B566</f>
        <v/>
      </c>
      <c r="G566" s="88" t="n">
        <v>564</v>
      </c>
      <c r="H566" s="89" t="n"/>
      <c r="I566" s="89" t="n"/>
      <c r="J566" s="89" t="n">
        <v>34.34013</v>
      </c>
      <c r="K566" s="89" t="n">
        <v>33.71598</v>
      </c>
      <c r="L566" s="89" t="n"/>
      <c r="M566" s="89" t="n"/>
      <c r="N566" s="89" t="n">
        <v>39.31408</v>
      </c>
      <c r="O566" s="89" t="n"/>
      <c r="P566" s="89" t="n">
        <v>34.68687</v>
      </c>
      <c r="Q566" s="89" t="n"/>
      <c r="R566" s="89" t="n">
        <v>22.17958</v>
      </c>
      <c r="S566" s="89" t="n">
        <v>46.90138</v>
      </c>
      <c r="T566" s="89" t="n">
        <v>66.95486</v>
      </c>
      <c r="U566" s="89" t="n">
        <v>38.79543</v>
      </c>
      <c r="V566" s="89" t="n"/>
      <c r="W566" s="89" t="n"/>
      <c r="X566" s="89" t="n"/>
      <c r="Y566" s="89" t="n"/>
      <c r="Z566" s="89" t="n">
        <v>51.80136</v>
      </c>
      <c r="AA566" s="89" t="n">
        <v>23.89263</v>
      </c>
      <c r="AB566" s="89" t="n"/>
      <c r="AC566" s="89" t="n">
        <v>43.29436</v>
      </c>
      <c r="AD566" s="89" t="n"/>
      <c r="AE566" s="89" t="n"/>
      <c r="AF566" s="89" t="n">
        <v>33.99591</v>
      </c>
      <c r="AG566" s="89" t="n">
        <v>29.46873</v>
      </c>
      <c r="AH566" s="89" t="n"/>
      <c r="AI566" s="89" t="n"/>
      <c r="AJ566" s="89" t="n">
        <v>31.08956</v>
      </c>
      <c r="AK566" s="89" t="n"/>
      <c r="AL566" s="89" t="n"/>
      <c r="AM566" s="89" t="n">
        <v>42.29576</v>
      </c>
      <c r="AN566" s="89" t="n"/>
      <c r="AO566" s="89" t="n">
        <v>32.82339</v>
      </c>
      <c r="AP566" s="89" t="n"/>
      <c r="AQ566" s="89" t="n"/>
      <c r="AR566" s="89" t="n"/>
      <c r="AS566" s="89" t="n"/>
      <c r="AT566" s="89" t="n"/>
      <c r="AU566" s="89" t="n"/>
      <c r="AV566" s="89" t="n"/>
      <c r="AW566" s="89" t="n"/>
      <c r="AX566" s="89" t="n"/>
      <c r="AY566" s="89" t="n"/>
    </row>
    <row r="567">
      <c r="A567" t="inlineStr">
        <is>
          <t>1966-02</t>
        </is>
      </c>
      <c r="B567" s="1" t="n">
        <v>24139</v>
      </c>
      <c r="C567" s="88" t="n">
        <v>567</v>
      </c>
      <c r="E567" s="1">
        <f>B567</f>
        <v/>
      </c>
      <c r="F567" s="2">
        <f>B567</f>
        <v/>
      </c>
      <c r="G567" s="88" t="n">
        <v>565</v>
      </c>
      <c r="H567" s="89" t="n"/>
      <c r="I567" s="89" t="n"/>
      <c r="J567" s="89" t="n">
        <v>34.78653</v>
      </c>
      <c r="K567" s="89" t="n">
        <v>33.89596</v>
      </c>
      <c r="L567" s="89" t="n"/>
      <c r="M567" s="89" t="n"/>
      <c r="N567" s="89" t="n">
        <v>39.37579</v>
      </c>
      <c r="O567" s="89" t="n"/>
      <c r="P567" s="89" t="n">
        <v>34.79665</v>
      </c>
      <c r="Q567" s="89" t="n"/>
      <c r="R567" s="89" t="n">
        <v>22.60654</v>
      </c>
      <c r="S567" s="89" t="n">
        <v>48.00063</v>
      </c>
      <c r="T567" s="89" t="n">
        <v>66.45519</v>
      </c>
      <c r="U567" s="89" t="n">
        <v>39.7964</v>
      </c>
      <c r="V567" s="89" t="n"/>
      <c r="W567" s="89" t="n"/>
      <c r="X567" s="89" t="n"/>
      <c r="Y567" s="89" t="n"/>
      <c r="Z567" s="89" t="n">
        <v>51.59661</v>
      </c>
      <c r="AA567" s="89" t="n">
        <v>23.97676</v>
      </c>
      <c r="AB567" s="89" t="n"/>
      <c r="AC567" s="89" t="n">
        <v>42.90427</v>
      </c>
      <c r="AD567" s="89" t="n"/>
      <c r="AE567" s="89" t="n"/>
      <c r="AF567" s="89" t="n">
        <v>33.99591</v>
      </c>
      <c r="AG567" s="89" t="n">
        <v>28.98826</v>
      </c>
      <c r="AH567" s="89" t="n"/>
      <c r="AI567" s="89" t="n"/>
      <c r="AJ567" s="89" t="n">
        <v>31.03011</v>
      </c>
      <c r="AK567" s="89" t="n"/>
      <c r="AL567" s="89" t="n"/>
      <c r="AM567" s="89" t="n">
        <v>41.38618</v>
      </c>
      <c r="AN567" s="89" t="n"/>
      <c r="AO567" s="89" t="n">
        <v>33.03624</v>
      </c>
      <c r="AP567" s="89" t="n"/>
      <c r="AQ567" s="89" t="n"/>
      <c r="AR567" s="89" t="n"/>
      <c r="AS567" s="89" t="n"/>
      <c r="AT567" s="89" t="n"/>
      <c r="AU567" s="89" t="n"/>
      <c r="AV567" s="89" t="n"/>
      <c r="AW567" s="89" t="n"/>
      <c r="AX567" s="89" t="n"/>
      <c r="AY567" s="89" t="n"/>
    </row>
    <row r="568">
      <c r="A568" t="inlineStr">
        <is>
          <t>1966-03</t>
        </is>
      </c>
      <c r="B568" s="1" t="n">
        <v>24167</v>
      </c>
      <c r="C568" s="88" t="n">
        <v>568</v>
      </c>
      <c r="E568" s="1">
        <f>B568</f>
        <v/>
      </c>
      <c r="F568" s="2">
        <f>B568</f>
        <v/>
      </c>
      <c r="G568" s="88" t="n">
        <v>566</v>
      </c>
      <c r="H568" s="89" t="n"/>
      <c r="I568" s="89" t="n"/>
      <c r="J568" s="89" t="n">
        <v>34.77917</v>
      </c>
      <c r="K568" s="89" t="n">
        <v>33.79117</v>
      </c>
      <c r="L568" s="89" t="n"/>
      <c r="M568" s="89" t="n"/>
      <c r="N568" s="89" t="n">
        <v>40.17812</v>
      </c>
      <c r="O568" s="89" t="n"/>
      <c r="P568" s="89" t="n">
        <v>36.61267</v>
      </c>
      <c r="Q568" s="89" t="n"/>
      <c r="R568" s="89" t="n">
        <v>22.82818</v>
      </c>
      <c r="S568" s="89" t="n">
        <v>48.24491</v>
      </c>
      <c r="T568" s="89" t="n">
        <v>67.95417999999999</v>
      </c>
      <c r="U568" s="89" t="n">
        <v>40.22405</v>
      </c>
      <c r="V568" s="89" t="n"/>
      <c r="W568" s="89" t="n"/>
      <c r="X568" s="89" t="n"/>
      <c r="Y568" s="89" t="n"/>
      <c r="Z568" s="89" t="n">
        <v>52.96161</v>
      </c>
      <c r="AA568" s="89" t="n">
        <v>24.64979</v>
      </c>
      <c r="AB568" s="89" t="n"/>
      <c r="AC568" s="89" t="n">
        <v>41.38361</v>
      </c>
      <c r="AD568" s="89" t="n"/>
      <c r="AE568" s="89" t="n"/>
      <c r="AF568" s="89" t="n">
        <v>34.85295</v>
      </c>
      <c r="AG568" s="89" t="n">
        <v>29.88056</v>
      </c>
      <c r="AH568" s="89" t="n"/>
      <c r="AI568" s="89" t="n"/>
      <c r="AJ568" s="89" t="n">
        <v>32.79284</v>
      </c>
      <c r="AK568" s="89" t="n"/>
      <c r="AL568" s="89" t="n"/>
      <c r="AM568" s="89" t="n">
        <v>42.75056</v>
      </c>
      <c r="AN568" s="89" t="n"/>
      <c r="AO568" s="89" t="n">
        <v>33.48836</v>
      </c>
      <c r="AP568" s="89" t="n"/>
      <c r="AQ568" s="89" t="n"/>
      <c r="AR568" s="89" t="n"/>
      <c r="AS568" s="89" t="n"/>
      <c r="AT568" s="89" t="n"/>
      <c r="AU568" s="89" t="n"/>
      <c r="AV568" s="89" t="n"/>
      <c r="AW568" s="89" t="n"/>
      <c r="AX568" s="89" t="n"/>
      <c r="AY568" s="89" t="n"/>
    </row>
    <row r="569">
      <c r="A569" t="inlineStr">
        <is>
          <t>1966-04</t>
        </is>
      </c>
      <c r="B569" s="1" t="n">
        <v>24198</v>
      </c>
      <c r="C569" s="88" t="n">
        <v>569</v>
      </c>
      <c r="E569" s="1">
        <f>B569</f>
        <v/>
      </c>
      <c r="F569" s="2">
        <f>B569</f>
        <v/>
      </c>
      <c r="G569" s="88" t="n">
        <v>567</v>
      </c>
      <c r="H569" s="89" t="n"/>
      <c r="I569" s="89" t="n"/>
      <c r="J569" s="89" t="n">
        <v>34.94509</v>
      </c>
      <c r="K569" s="89" t="n">
        <v>34.0078</v>
      </c>
      <c r="L569" s="89" t="n"/>
      <c r="M569" s="89" t="n"/>
      <c r="N569" s="89" t="n">
        <v>39.49923</v>
      </c>
      <c r="O569" s="89" t="n"/>
      <c r="P569" s="89" t="n">
        <v>35.75891</v>
      </c>
      <c r="Q569" s="89" t="n"/>
      <c r="R569" s="89" t="n">
        <v>22.97811</v>
      </c>
      <c r="S569" s="89" t="n">
        <v>47.81742</v>
      </c>
      <c r="T569" s="89" t="n">
        <v>66.95486</v>
      </c>
      <c r="U569" s="89" t="n">
        <v>41.31382</v>
      </c>
      <c r="V569" s="89" t="n"/>
      <c r="W569" s="89" t="n"/>
      <c r="X569" s="89" t="n"/>
      <c r="Y569" s="89" t="n"/>
      <c r="Z569" s="89" t="n">
        <v>51.80136</v>
      </c>
      <c r="AA569" s="89" t="n">
        <v>25.15456</v>
      </c>
      <c r="AB569" s="89" t="n"/>
      <c r="AC569" s="89" t="n">
        <v>41.47427</v>
      </c>
      <c r="AD569" s="89" t="n"/>
      <c r="AE569" s="89" t="n"/>
      <c r="AF569" s="89" t="n">
        <v>35.13863</v>
      </c>
      <c r="AG569" s="89" t="n">
        <v>29.21706</v>
      </c>
      <c r="AH569" s="89" t="n"/>
      <c r="AI569" s="89" t="n"/>
      <c r="AJ569" s="89" t="n">
        <v>32.84259</v>
      </c>
      <c r="AK569" s="89" t="n"/>
      <c r="AL569" s="89" t="n"/>
      <c r="AM569" s="89" t="n">
        <v>41.38618</v>
      </c>
      <c r="AN569" s="89" t="n"/>
      <c r="AO569" s="89" t="n">
        <v>33.54157</v>
      </c>
      <c r="AP569" s="89" t="n"/>
      <c r="AQ569" s="89" t="n"/>
      <c r="AR569" s="89" t="n"/>
      <c r="AS569" s="89" t="n"/>
      <c r="AT569" s="89" t="n"/>
      <c r="AU569" s="89" t="n"/>
      <c r="AV569" s="89" t="n"/>
      <c r="AW569" s="89" t="n"/>
      <c r="AX569" s="89" t="n"/>
      <c r="AY569" s="89" t="n"/>
    </row>
    <row r="570">
      <c r="A570" t="inlineStr">
        <is>
          <t>1966-05</t>
        </is>
      </c>
      <c r="B570" s="1" t="n">
        <v>24228</v>
      </c>
      <c r="C570" s="88" t="n">
        <v>570</v>
      </c>
      <c r="E570" s="1">
        <f>B570</f>
        <v/>
      </c>
      <c r="F570" s="2">
        <f>B570</f>
        <v/>
      </c>
      <c r="G570" s="88" t="n">
        <v>568</v>
      </c>
      <c r="H570" s="89" t="n"/>
      <c r="I570" s="89" t="n"/>
      <c r="J570" s="89" t="n">
        <v>34.584</v>
      </c>
      <c r="K570" s="89" t="n">
        <v>34.02095</v>
      </c>
      <c r="L570" s="89" t="n"/>
      <c r="M570" s="89" t="n"/>
      <c r="N570" s="89" t="n">
        <v>39.31408</v>
      </c>
      <c r="O570" s="89" t="n"/>
      <c r="P570" s="89" t="n">
        <v>36.11224</v>
      </c>
      <c r="Q570" s="89" t="n"/>
      <c r="R570" s="89" t="n">
        <v>23.19974</v>
      </c>
      <c r="S570" s="89" t="n">
        <v>48.55026</v>
      </c>
      <c r="T570" s="89" t="n">
        <v>65.95553</v>
      </c>
      <c r="U570" s="89" t="n">
        <v>44.59418</v>
      </c>
      <c r="V570" s="89" t="n"/>
      <c r="W570" s="89" t="n"/>
      <c r="X570" s="89" t="n"/>
      <c r="Y570" s="89" t="n"/>
      <c r="Z570" s="89" t="n">
        <v>53.7806</v>
      </c>
      <c r="AA570" s="89" t="n">
        <v>25.40695</v>
      </c>
      <c r="AB570" s="89" t="n"/>
      <c r="AC570" s="89" t="n">
        <v>41.96744</v>
      </c>
      <c r="AD570" s="89" t="n"/>
      <c r="AE570" s="89" t="n"/>
      <c r="AF570" s="89" t="n">
        <v>34.85295</v>
      </c>
      <c r="AG570" s="89" t="n">
        <v>29.76617</v>
      </c>
      <c r="AH570" s="89" t="n"/>
      <c r="AI570" s="89" t="n"/>
      <c r="AJ570" s="89" t="n">
        <v>32.31449</v>
      </c>
      <c r="AK570" s="89" t="n"/>
      <c r="AL570" s="89" t="n"/>
      <c r="AM570" s="89" t="n">
        <v>41.84097</v>
      </c>
      <c r="AN570" s="89" t="n"/>
      <c r="AO570" s="89" t="n">
        <v>33.86075</v>
      </c>
      <c r="AP570" s="89" t="n"/>
      <c r="AQ570" s="89" t="n"/>
      <c r="AR570" s="89" t="n"/>
      <c r="AS570" s="89" t="n"/>
      <c r="AT570" s="89" t="n"/>
      <c r="AU570" s="89" t="n"/>
      <c r="AV570" s="89" t="n"/>
      <c r="AW570" s="89" t="n"/>
      <c r="AX570" s="89" t="n"/>
      <c r="AY570" s="89" t="n"/>
    </row>
    <row r="571">
      <c r="A571" t="inlineStr">
        <is>
          <t>1966-06</t>
        </is>
      </c>
      <c r="B571" s="1" t="n">
        <v>24259</v>
      </c>
      <c r="C571" s="88" t="n">
        <v>571</v>
      </c>
      <c r="E571" s="1">
        <f>B571</f>
        <v/>
      </c>
      <c r="F571" s="2">
        <f>B571</f>
        <v/>
      </c>
      <c r="G571" s="88" t="n">
        <v>569</v>
      </c>
      <c r="H571" s="89" t="n"/>
      <c r="I571" s="89" t="n"/>
      <c r="J571" s="89" t="n">
        <v>34.96196</v>
      </c>
      <c r="K571" s="89" t="n">
        <v>34.0468</v>
      </c>
      <c r="L571" s="89" t="n"/>
      <c r="M571" s="89" t="n"/>
      <c r="N571" s="89" t="n">
        <v>39.80782</v>
      </c>
      <c r="O571" s="89" t="n"/>
      <c r="P571" s="89" t="n">
        <v>36.31505</v>
      </c>
      <c r="Q571" s="89" t="n"/>
      <c r="R571" s="89" t="n">
        <v>23.43441</v>
      </c>
      <c r="S571" s="89" t="n">
        <v>49.22202</v>
      </c>
      <c r="T571" s="89" t="n">
        <v>65.95553</v>
      </c>
      <c r="U571" s="89" t="n">
        <v>42.90572</v>
      </c>
      <c r="V571" s="89" t="n"/>
      <c r="W571" s="89" t="n"/>
      <c r="X571" s="89" t="n"/>
      <c r="Y571" s="89" t="n"/>
      <c r="Z571" s="89" t="n">
        <v>53.98535</v>
      </c>
      <c r="AA571" s="89" t="n">
        <v>25.82759</v>
      </c>
      <c r="AB571" s="89" t="n"/>
      <c r="AC571" s="89" t="n">
        <v>42.18515</v>
      </c>
      <c r="AD571" s="89" t="n"/>
      <c r="AE571" s="89" t="n"/>
      <c r="AF571" s="89" t="n">
        <v>34.85295</v>
      </c>
      <c r="AG571" s="89" t="n">
        <v>31.04741</v>
      </c>
      <c r="AH571" s="89" t="n"/>
      <c r="AI571" s="89" t="n"/>
      <c r="AJ571" s="89" t="n">
        <v>30.86731</v>
      </c>
      <c r="AK571" s="89" t="n"/>
      <c r="AL571" s="89" t="n"/>
      <c r="AM571" s="89" t="n">
        <v>42.75056</v>
      </c>
      <c r="AN571" s="89" t="n"/>
      <c r="AO571" s="89" t="n">
        <v>34.02038</v>
      </c>
      <c r="AP571" s="89" t="n"/>
      <c r="AQ571" s="89" t="n"/>
      <c r="AR571" s="89" t="n"/>
      <c r="AS571" s="89" t="n"/>
      <c r="AT571" s="89" t="n"/>
      <c r="AU571" s="89" t="n"/>
      <c r="AV571" s="89" t="n"/>
      <c r="AW571" s="89" t="n"/>
      <c r="AX571" s="89" t="n"/>
      <c r="AY571" s="89" t="n"/>
    </row>
    <row r="572">
      <c r="A572" t="inlineStr">
        <is>
          <t>1966-07</t>
        </is>
      </c>
      <c r="B572" s="1" t="n">
        <v>24289</v>
      </c>
      <c r="C572" s="88" t="n">
        <v>572</v>
      </c>
      <c r="E572" s="1">
        <f>B572</f>
        <v/>
      </c>
      <c r="F572" s="2">
        <f>B572</f>
        <v/>
      </c>
      <c r="G572" s="88" t="n">
        <v>570</v>
      </c>
      <c r="H572" s="89" t="n"/>
      <c r="I572" s="89" t="n"/>
      <c r="J572" s="89" t="n">
        <v>34.89973</v>
      </c>
      <c r="K572" s="89" t="n">
        <v>33.90207</v>
      </c>
      <c r="L572" s="89" t="n"/>
      <c r="M572" s="89" t="n"/>
      <c r="N572" s="89" t="n">
        <v>39.37579</v>
      </c>
      <c r="O572" s="89" t="n"/>
      <c r="P572" s="89" t="n">
        <v>36.04428</v>
      </c>
      <c r="Q572" s="89" t="n"/>
      <c r="R572" s="89" t="n">
        <v>23.10522</v>
      </c>
      <c r="S572" s="89" t="n">
        <v>49.52737</v>
      </c>
      <c r="T572" s="89" t="n">
        <v>66.95486</v>
      </c>
      <c r="U572" s="89" t="n">
        <v>42.8271</v>
      </c>
      <c r="V572" s="89" t="n"/>
      <c r="W572" s="89" t="n"/>
      <c r="X572" s="89" t="n"/>
      <c r="Y572" s="89" t="n"/>
      <c r="Z572" s="89" t="n">
        <v>54.4631</v>
      </c>
      <c r="AA572" s="89" t="n">
        <v>26.24824</v>
      </c>
      <c r="AB572" s="89" t="n"/>
      <c r="AC572" s="89" t="n">
        <v>41.93501</v>
      </c>
      <c r="AD572" s="89" t="n"/>
      <c r="AE572" s="89" t="n"/>
      <c r="AF572" s="89" t="n">
        <v>34.56728</v>
      </c>
      <c r="AG572" s="89" t="n">
        <v>29.88056</v>
      </c>
      <c r="AH572" s="89" t="n"/>
      <c r="AI572" s="89" t="n"/>
      <c r="AJ572" s="89" t="n">
        <v>30.94705</v>
      </c>
      <c r="AK572" s="89" t="n"/>
      <c r="AL572" s="89" t="n"/>
      <c r="AM572" s="89" t="n">
        <v>39.11221</v>
      </c>
      <c r="AN572" s="89" t="n"/>
      <c r="AO572" s="89" t="n">
        <v>34.20653</v>
      </c>
      <c r="AP572" s="89" t="n"/>
      <c r="AQ572" s="89" t="n"/>
      <c r="AR572" s="89" t="n"/>
      <c r="AS572" s="89" t="n"/>
      <c r="AT572" s="89" t="n"/>
      <c r="AU572" s="89" t="n"/>
      <c r="AV572" s="89" t="n"/>
      <c r="AW572" s="89" t="n"/>
      <c r="AX572" s="89" t="n"/>
      <c r="AY572" s="89" t="n"/>
    </row>
    <row r="573">
      <c r="A573" t="inlineStr">
        <is>
          <t>1966-08</t>
        </is>
      </c>
      <c r="B573" s="1" t="n">
        <v>24320</v>
      </c>
      <c r="C573" s="88" t="n">
        <v>573</v>
      </c>
      <c r="E573" s="1">
        <f>B573</f>
        <v/>
      </c>
      <c r="F573" s="2">
        <f>B573</f>
        <v/>
      </c>
      <c r="G573" s="88" t="n">
        <v>571</v>
      </c>
      <c r="H573" s="89" t="n"/>
      <c r="I573" s="89" t="n"/>
      <c r="J573" s="89" t="n">
        <v>35.07883</v>
      </c>
      <c r="K573" s="89" t="n">
        <v>33.35838</v>
      </c>
      <c r="L573" s="89" t="n"/>
      <c r="M573" s="89" t="n"/>
      <c r="N573" s="89" t="n">
        <v>38.88205</v>
      </c>
      <c r="O573" s="89" t="n"/>
      <c r="P573" s="89" t="n">
        <v>37.55966</v>
      </c>
      <c r="Q573" s="89" t="n"/>
      <c r="R573" s="89" t="n">
        <v>23.22255</v>
      </c>
      <c r="S573" s="89" t="n">
        <v>49.52737</v>
      </c>
      <c r="T573" s="89" t="n">
        <v>66.45519</v>
      </c>
      <c r="U573" s="89" t="n">
        <v>42.40572</v>
      </c>
      <c r="V573" s="89" t="n"/>
      <c r="W573" s="89" t="n"/>
      <c r="X573" s="89" t="n"/>
      <c r="Y573" s="89" t="n"/>
      <c r="Z573" s="89" t="n">
        <v>55.89634</v>
      </c>
      <c r="AA573" s="89" t="n">
        <v>26.66888</v>
      </c>
      <c r="AB573" s="89" t="n"/>
      <c r="AC573" s="89" t="n">
        <v>42.04388</v>
      </c>
      <c r="AD573" s="89" t="n"/>
      <c r="AE573" s="89" t="n"/>
      <c r="AF573" s="89" t="n">
        <v>35.42432</v>
      </c>
      <c r="AG573" s="89" t="n">
        <v>30.08648</v>
      </c>
      <c r="AH573" s="89" t="n"/>
      <c r="AI573" s="89" t="n"/>
      <c r="AJ573" s="89" t="n">
        <v>31.73639</v>
      </c>
      <c r="AK573" s="89" t="n"/>
      <c r="AL573" s="89" t="n"/>
      <c r="AM573" s="89" t="n">
        <v>41.84097</v>
      </c>
      <c r="AN573" s="89" t="n"/>
      <c r="AO573" s="89" t="n">
        <v>34.23314</v>
      </c>
      <c r="AP573" s="89" t="n"/>
      <c r="AQ573" s="89" t="n"/>
      <c r="AR573" s="89" t="n"/>
      <c r="AS573" s="89" t="n"/>
      <c r="AT573" s="89" t="n"/>
      <c r="AU573" s="89" t="n"/>
      <c r="AV573" s="89" t="n"/>
      <c r="AW573" s="89" t="n"/>
      <c r="AX573" s="89" t="n"/>
      <c r="AY573" s="89" t="n"/>
    </row>
    <row r="574">
      <c r="A574" t="inlineStr">
        <is>
          <t>1966-09</t>
        </is>
      </c>
      <c r="B574" s="1" t="n">
        <v>24351</v>
      </c>
      <c r="C574" s="88" t="n">
        <v>574</v>
      </c>
      <c r="E574" s="1">
        <f>B574</f>
        <v/>
      </c>
      <c r="F574" s="2">
        <f>B574</f>
        <v/>
      </c>
      <c r="G574" s="88" t="n">
        <v>572</v>
      </c>
      <c r="H574" s="89" t="n"/>
      <c r="I574" s="89" t="n"/>
      <c r="J574" s="89" t="n">
        <v>35.2861</v>
      </c>
      <c r="K574" s="89" t="n">
        <v>34.21221</v>
      </c>
      <c r="L574" s="89" t="n"/>
      <c r="M574" s="89" t="n"/>
      <c r="N574" s="89" t="n">
        <v>39.12892</v>
      </c>
      <c r="O574" s="89" t="n"/>
      <c r="P574" s="89" t="n">
        <v>38.20365</v>
      </c>
      <c r="Q574" s="89" t="n"/>
      <c r="R574" s="89" t="n">
        <v>23.83856</v>
      </c>
      <c r="S574" s="89" t="n">
        <v>49.64951</v>
      </c>
      <c r="T574" s="89" t="n">
        <v>65.95553</v>
      </c>
      <c r="U574" s="89" t="n">
        <v>42.7189</v>
      </c>
      <c r="V574" s="89" t="n"/>
      <c r="W574" s="89" t="n"/>
      <c r="X574" s="89" t="n"/>
      <c r="Y574" s="89" t="n"/>
      <c r="Z574" s="89" t="n">
        <v>56.03283</v>
      </c>
      <c r="AA574" s="89" t="n">
        <v>27.08953</v>
      </c>
      <c r="AB574" s="89" t="n"/>
      <c r="AC574" s="89" t="n">
        <v>42.18386</v>
      </c>
      <c r="AD574" s="89" t="n"/>
      <c r="AE574" s="89" t="n"/>
      <c r="AF574" s="89" t="n">
        <v>35.42432</v>
      </c>
      <c r="AG574" s="89" t="n">
        <v>31.23045</v>
      </c>
      <c r="AH574" s="89" t="n"/>
      <c r="AI574" s="89" t="n"/>
      <c r="AJ574" s="89" t="n">
        <v>29.99744</v>
      </c>
      <c r="AK574" s="89" t="n"/>
      <c r="AL574" s="89" t="n"/>
      <c r="AM574" s="89" t="n">
        <v>43.66014</v>
      </c>
      <c r="AN574" s="89" t="n"/>
      <c r="AO574" s="89" t="n">
        <v>34.55231</v>
      </c>
      <c r="AP574" s="89" t="n"/>
      <c r="AQ574" s="89" t="n"/>
      <c r="AR574" s="89" t="n"/>
      <c r="AS574" s="89" t="n"/>
      <c r="AT574" s="89" t="n"/>
      <c r="AU574" s="89" t="n"/>
      <c r="AV574" s="89" t="n"/>
      <c r="AW574" s="89" t="n"/>
      <c r="AX574" s="89" t="n"/>
      <c r="AY574" s="89" t="n"/>
    </row>
    <row r="575">
      <c r="A575" t="inlineStr">
        <is>
          <t>1966-10</t>
        </is>
      </c>
      <c r="B575" s="1" t="n">
        <v>24381</v>
      </c>
      <c r="C575" s="88" t="n">
        <v>575</v>
      </c>
      <c r="E575" s="1">
        <f>B575</f>
        <v/>
      </c>
      <c r="F575" s="2">
        <f>B575</f>
        <v/>
      </c>
      <c r="G575" s="88" t="n">
        <v>573</v>
      </c>
      <c r="H575" s="89" t="n"/>
      <c r="I575" s="89" t="n"/>
      <c r="J575" s="89" t="n">
        <v>34.81705</v>
      </c>
      <c r="K575" s="89" t="n">
        <v>34.59753</v>
      </c>
      <c r="L575" s="89" t="n"/>
      <c r="M575" s="89" t="n"/>
      <c r="N575" s="89" t="n">
        <v>38.63518</v>
      </c>
      <c r="O575" s="89" t="n"/>
      <c r="P575" s="89" t="n">
        <v>38.36147</v>
      </c>
      <c r="Q575" s="89" t="n"/>
      <c r="R575" s="89" t="n">
        <v>24.3242</v>
      </c>
      <c r="S575" s="89" t="n">
        <v>49.03881</v>
      </c>
      <c r="T575" s="89" t="n">
        <v>64.9562</v>
      </c>
      <c r="U575" s="89" t="n">
        <v>43.02908</v>
      </c>
      <c r="V575" s="89" t="n"/>
      <c r="W575" s="89" t="n"/>
      <c r="X575" s="89" t="n"/>
      <c r="Y575" s="89" t="n"/>
      <c r="Z575" s="89" t="n">
        <v>55.41859</v>
      </c>
      <c r="AA575" s="89" t="n">
        <v>27.5943</v>
      </c>
      <c r="AB575" s="89" t="n"/>
      <c r="AC575" s="89" t="n">
        <v>42.49406</v>
      </c>
      <c r="AD575" s="89" t="n"/>
      <c r="AE575" s="89" t="n"/>
      <c r="AF575" s="89" t="n">
        <v>35.71</v>
      </c>
      <c r="AG575" s="89" t="n">
        <v>30.47543</v>
      </c>
      <c r="AH575" s="89" t="n"/>
      <c r="AI575" s="89" t="n"/>
      <c r="AJ575" s="89" t="n">
        <v>29.97993</v>
      </c>
      <c r="AK575" s="89" t="n"/>
      <c r="AL575" s="89" t="n"/>
      <c r="AM575" s="89" t="n">
        <v>43.20535</v>
      </c>
      <c r="AN575" s="89" t="n"/>
      <c r="AO575" s="89" t="n">
        <v>34.79167</v>
      </c>
      <c r="AP575" s="89" t="n"/>
      <c r="AQ575" s="89" t="n"/>
      <c r="AR575" s="89" t="n"/>
      <c r="AS575" s="89" t="n"/>
      <c r="AT575" s="89" t="n"/>
      <c r="AU575" s="89" t="n"/>
      <c r="AV575" s="89" t="n"/>
      <c r="AW575" s="89" t="n"/>
      <c r="AX575" s="89" t="n"/>
      <c r="AY575" s="89" t="n"/>
    </row>
    <row r="576">
      <c r="A576" t="inlineStr">
        <is>
          <t>1966-11</t>
        </is>
      </c>
      <c r="B576" s="1" t="n">
        <v>24412</v>
      </c>
      <c r="C576" s="88" t="n">
        <v>576</v>
      </c>
      <c r="E576" s="1">
        <f>B576</f>
        <v/>
      </c>
      <c r="F576" s="2">
        <f>B576</f>
        <v/>
      </c>
      <c r="G576" s="88" t="n">
        <v>574</v>
      </c>
      <c r="H576" s="89" t="n"/>
      <c r="I576" s="89" t="n"/>
      <c r="J576" s="89" t="n">
        <v>35.0347</v>
      </c>
      <c r="K576" s="89" t="n">
        <v>34.45421</v>
      </c>
      <c r="L576" s="89" t="n"/>
      <c r="M576" s="89" t="n"/>
      <c r="N576" s="89" t="n">
        <v>38.14144</v>
      </c>
      <c r="O576" s="89" t="n"/>
      <c r="P576" s="89" t="n">
        <v>37.97061</v>
      </c>
      <c r="Q576" s="89" t="n"/>
      <c r="R576" s="89" t="n">
        <v>24.28835</v>
      </c>
      <c r="S576" s="89" t="n">
        <v>49.58844</v>
      </c>
      <c r="T576" s="89" t="n">
        <v>64.45654</v>
      </c>
      <c r="U576" s="89" t="n">
        <v>42.80572</v>
      </c>
      <c r="V576" s="89" t="n"/>
      <c r="W576" s="89" t="n"/>
      <c r="X576" s="89" t="n"/>
      <c r="Y576" s="89" t="n"/>
      <c r="Z576" s="89" t="n">
        <v>55.69159</v>
      </c>
      <c r="AA576" s="89" t="n">
        <v>28.1832</v>
      </c>
      <c r="AB576" s="89" t="n"/>
      <c r="AC576" s="89" t="n">
        <v>42.1051</v>
      </c>
      <c r="AD576" s="89" t="n"/>
      <c r="AE576" s="89" t="n"/>
      <c r="AF576" s="89" t="n">
        <v>35.99567</v>
      </c>
      <c r="AG576" s="89" t="n">
        <v>31.09317</v>
      </c>
      <c r="AH576" s="89" t="n"/>
      <c r="AI576" s="89" t="n"/>
      <c r="AJ576" s="89" t="n">
        <v>30.36658</v>
      </c>
      <c r="AK576" s="89" t="n"/>
      <c r="AL576" s="89" t="n"/>
      <c r="AM576" s="89" t="n">
        <v>42.75056</v>
      </c>
      <c r="AN576" s="89" t="n"/>
      <c r="AO576" s="89" t="n">
        <v>34.55231</v>
      </c>
      <c r="AP576" s="89" t="n"/>
      <c r="AQ576" s="89" t="n"/>
      <c r="AR576" s="89" t="n"/>
      <c r="AS576" s="89" t="n"/>
      <c r="AT576" s="89" t="n"/>
      <c r="AU576" s="89" t="n"/>
      <c r="AV576" s="89" t="n"/>
      <c r="AW576" s="89" t="n"/>
      <c r="AX576" s="89" t="n"/>
      <c r="AY576" s="89" t="n"/>
    </row>
    <row r="577">
      <c r="A577" t="inlineStr">
        <is>
          <t>1966-12</t>
        </is>
      </c>
      <c r="B577" s="1" t="n">
        <v>24442</v>
      </c>
      <c r="C577" s="88" t="n">
        <v>577</v>
      </c>
      <c r="E577" s="1">
        <f>B577</f>
        <v/>
      </c>
      <c r="F577" s="2">
        <f>B577</f>
        <v/>
      </c>
      <c r="G577" s="88" t="n">
        <v>575</v>
      </c>
      <c r="H577" s="89" t="n"/>
      <c r="I577" s="89" t="n"/>
      <c r="J577" s="89" t="n">
        <v>34.62719</v>
      </c>
      <c r="K577" s="89" t="n">
        <v>34.49651</v>
      </c>
      <c r="L577" s="89" t="n"/>
      <c r="M577" s="89" t="n"/>
      <c r="N577" s="89" t="n">
        <v>38.20316</v>
      </c>
      <c r="O577" s="89" t="n"/>
      <c r="P577" s="89" t="n">
        <v>39.37449</v>
      </c>
      <c r="Q577" s="89" t="n"/>
      <c r="R577" s="89" t="n">
        <v>24.15471</v>
      </c>
      <c r="S577" s="89" t="n">
        <v>49.58844</v>
      </c>
      <c r="T577" s="89" t="n">
        <v>65.45586</v>
      </c>
      <c r="U577" s="89" t="n">
        <v>43.86929</v>
      </c>
      <c r="V577" s="89" t="n"/>
      <c r="W577" s="89" t="n"/>
      <c r="X577" s="89" t="n"/>
      <c r="Y577" s="89" t="n"/>
      <c r="Z577" s="89" t="n">
        <v>56.85183</v>
      </c>
      <c r="AA577" s="89" t="n">
        <v>28.77211</v>
      </c>
      <c r="AB577" s="89" t="n"/>
      <c r="AC577" s="89" t="n">
        <v>42.467</v>
      </c>
      <c r="AD577" s="89" t="n"/>
      <c r="AE577" s="89" t="n"/>
      <c r="AF577" s="89" t="n">
        <v>35.71</v>
      </c>
      <c r="AG577" s="89" t="n">
        <v>31.45925</v>
      </c>
      <c r="AH577" s="89" t="n"/>
      <c r="AI577" s="89" t="n"/>
      <c r="AJ577" s="89" t="n">
        <v>30.10716</v>
      </c>
      <c r="AK577" s="89" t="n"/>
      <c r="AL577" s="89" t="n"/>
      <c r="AM577" s="89" t="n">
        <v>41.84097</v>
      </c>
      <c r="AN577" s="89" t="n"/>
      <c r="AO577" s="89" t="n">
        <v>34.63213</v>
      </c>
      <c r="AP577" s="89" t="n"/>
      <c r="AQ577" s="89" t="n"/>
      <c r="AR577" s="89" t="n"/>
      <c r="AS577" s="89" t="n"/>
      <c r="AT577" s="89" t="n"/>
      <c r="AU577" s="89" t="n"/>
      <c r="AV577" s="89" t="n"/>
      <c r="AW577" s="89" t="n"/>
      <c r="AX577" s="89" t="n"/>
      <c r="AY577" s="89" t="n"/>
    </row>
    <row r="578">
      <c r="A578" t="inlineStr">
        <is>
          <t>1967-01</t>
        </is>
      </c>
      <c r="B578" s="1" t="n">
        <v>24473</v>
      </c>
      <c r="C578" s="88" t="n">
        <v>578</v>
      </c>
      <c r="E578" s="1">
        <f>B578</f>
        <v/>
      </c>
      <c r="F578" s="2">
        <f>B578</f>
        <v/>
      </c>
      <c r="G578" s="88" t="n">
        <v>576</v>
      </c>
      <c r="H578" s="89" t="n"/>
      <c r="I578" s="89" t="n"/>
      <c r="J578" s="89" t="n">
        <v>34.96725</v>
      </c>
      <c r="K578" s="89" t="n">
        <v>34.75119</v>
      </c>
      <c r="L578" s="89" t="n"/>
      <c r="M578" s="89" t="n"/>
      <c r="N578" s="89" t="n">
        <v>37.52427</v>
      </c>
      <c r="O578" s="89" t="n"/>
      <c r="P578" s="89" t="n">
        <v>37.66953</v>
      </c>
      <c r="Q578" s="89" t="n"/>
      <c r="R578" s="89" t="n">
        <v>24.19383</v>
      </c>
      <c r="S578" s="89" t="n">
        <v>49.34416</v>
      </c>
      <c r="T578" s="89" t="n">
        <v>65.45586</v>
      </c>
      <c r="U578" s="89" t="n">
        <v>43.96383</v>
      </c>
      <c r="V578" s="89" t="n"/>
      <c r="W578" s="89" t="n"/>
      <c r="X578" s="89" t="n"/>
      <c r="Y578" s="89" t="n"/>
      <c r="Z578" s="89" t="n">
        <v>57.05658</v>
      </c>
      <c r="AA578" s="89" t="n">
        <v>28.94036</v>
      </c>
      <c r="AB578" s="89" t="n"/>
      <c r="AC578" s="89" t="n">
        <v>43.29915</v>
      </c>
      <c r="AD578" s="89" t="n"/>
      <c r="AE578" s="89" t="n"/>
      <c r="AF578" s="89" t="n">
        <v>35.42432</v>
      </c>
      <c r="AG578" s="89" t="n">
        <v>32.05411</v>
      </c>
      <c r="AH578" s="89" t="n"/>
      <c r="AI578" s="89" t="n"/>
      <c r="AJ578" s="89" t="n">
        <v>30.27074</v>
      </c>
      <c r="AK578" s="89" t="n"/>
      <c r="AL578" s="89" t="n"/>
      <c r="AM578" s="89" t="n">
        <v>42.75056</v>
      </c>
      <c r="AN578" s="89" t="n"/>
      <c r="AO578" s="89" t="n">
        <v>34.79551</v>
      </c>
      <c r="AP578" s="89" t="n"/>
      <c r="AQ578" s="89" t="n"/>
      <c r="AR578" s="89" t="n"/>
      <c r="AS578" s="89" t="n"/>
      <c r="AT578" s="89" t="n"/>
      <c r="AU578" s="89" t="n"/>
      <c r="AV578" s="89" t="n"/>
      <c r="AW578" s="89" t="n"/>
      <c r="AX578" s="89" t="n"/>
      <c r="AY578" s="89" t="n"/>
    </row>
    <row r="579">
      <c r="A579" t="inlineStr">
        <is>
          <t>1967-02</t>
        </is>
      </c>
      <c r="B579" s="1" t="n">
        <v>24504</v>
      </c>
      <c r="C579" s="88" t="n">
        <v>579</v>
      </c>
      <c r="E579" s="1">
        <f>B579</f>
        <v/>
      </c>
      <c r="F579" s="2">
        <f>B579</f>
        <v/>
      </c>
      <c r="G579" s="88" t="n">
        <v>577</v>
      </c>
      <c r="H579" s="89" t="n"/>
      <c r="I579" s="89" t="n"/>
      <c r="J579" s="89" t="n">
        <v>35.56758</v>
      </c>
      <c r="K579" s="89" t="n">
        <v>34.43824</v>
      </c>
      <c r="L579" s="89" t="n"/>
      <c r="M579" s="89" t="n"/>
      <c r="N579" s="89" t="n">
        <v>37.09224</v>
      </c>
      <c r="O579" s="89" t="n"/>
      <c r="P579" s="89" t="n">
        <v>35.8778</v>
      </c>
      <c r="Q579" s="89" t="n"/>
      <c r="R579" s="89" t="n">
        <v>24.22968</v>
      </c>
      <c r="S579" s="89" t="n">
        <v>49.03881</v>
      </c>
      <c r="T579" s="89" t="n">
        <v>65.45586</v>
      </c>
      <c r="U579" s="89" t="n">
        <v>44.02833</v>
      </c>
      <c r="V579" s="89" t="n"/>
      <c r="W579" s="89" t="n"/>
      <c r="X579" s="89" t="n"/>
      <c r="Y579" s="89" t="n"/>
      <c r="Z579" s="89" t="n">
        <v>57.94382</v>
      </c>
      <c r="AA579" s="89" t="n">
        <v>28.68798</v>
      </c>
      <c r="AB579" s="89" t="n"/>
      <c r="AC579" s="89" t="n">
        <v>42.66752</v>
      </c>
      <c r="AD579" s="89" t="n"/>
      <c r="AE579" s="89" t="n"/>
      <c r="AF579" s="89" t="n">
        <v>35.71</v>
      </c>
      <c r="AG579" s="89" t="n">
        <v>31.25333</v>
      </c>
      <c r="AH579" s="89" t="n"/>
      <c r="AI579" s="89" t="n"/>
      <c r="AJ579" s="89" t="n">
        <v>29.10342</v>
      </c>
      <c r="AK579" s="89" t="n"/>
      <c r="AL579" s="89" t="n"/>
      <c r="AM579" s="89" t="n">
        <v>43.20535</v>
      </c>
      <c r="AN579" s="89" t="n"/>
      <c r="AO579" s="89" t="n">
        <v>34.40084</v>
      </c>
      <c r="AP579" s="89" t="n"/>
      <c r="AQ579" s="89" t="n"/>
      <c r="AR579" s="89" t="n"/>
      <c r="AS579" s="89" t="n"/>
      <c r="AT579" s="89" t="n"/>
      <c r="AU579" s="89" t="n"/>
      <c r="AV579" s="89" t="n"/>
      <c r="AW579" s="89" t="n"/>
      <c r="AX579" s="89" t="n"/>
      <c r="AY579" s="89" t="n"/>
    </row>
    <row r="580">
      <c r="A580" t="inlineStr">
        <is>
          <t>1967-03</t>
        </is>
      </c>
      <c r="B580" s="1" t="n">
        <v>24532</v>
      </c>
      <c r="C580" s="88" t="n">
        <v>580</v>
      </c>
      <c r="E580" s="1">
        <f>B580</f>
        <v/>
      </c>
      <c r="F580" s="2">
        <f>B580</f>
        <v/>
      </c>
      <c r="G580" s="88" t="n">
        <v>578</v>
      </c>
      <c r="H580" s="89" t="n"/>
      <c r="I580" s="89" t="n"/>
      <c r="J580" s="89" t="n">
        <v>35.37104</v>
      </c>
      <c r="K580" s="89" t="n">
        <v>34.48851</v>
      </c>
      <c r="L580" s="89" t="n"/>
      <c r="M580" s="89" t="n"/>
      <c r="N580" s="89" t="n">
        <v>36.84538</v>
      </c>
      <c r="O580" s="89" t="n"/>
      <c r="P580" s="89" t="n">
        <v>36.95705</v>
      </c>
      <c r="Q580" s="89" t="n"/>
      <c r="R580" s="89" t="n">
        <v>24.24272</v>
      </c>
      <c r="S580" s="89" t="n">
        <v>49.34416</v>
      </c>
      <c r="T580" s="89" t="n">
        <v>65.45586</v>
      </c>
      <c r="U580" s="89" t="n">
        <v>44.15696</v>
      </c>
      <c r="V580" s="89" t="n"/>
      <c r="W580" s="89" t="n"/>
      <c r="X580" s="89" t="n"/>
      <c r="Y580" s="89" t="n"/>
      <c r="Z580" s="89" t="n">
        <v>57.12482</v>
      </c>
      <c r="AA580" s="89" t="n">
        <v>29.44514</v>
      </c>
      <c r="AB580" s="89" t="n"/>
      <c r="AC580" s="89" t="n">
        <v>42.38155</v>
      </c>
      <c r="AD580" s="89" t="n"/>
      <c r="AE580" s="89" t="n"/>
      <c r="AF580" s="89" t="n">
        <v>35.71</v>
      </c>
      <c r="AG580" s="89" t="n">
        <v>30.9559</v>
      </c>
      <c r="AH580" s="89" t="n"/>
      <c r="AI580" s="89" t="n"/>
      <c r="AJ580" s="89" t="n">
        <v>30.21493</v>
      </c>
      <c r="AK580" s="89" t="n"/>
      <c r="AL580" s="89" t="n"/>
      <c r="AM580" s="89" t="n">
        <v>43.20535</v>
      </c>
      <c r="AN580" s="89" t="n"/>
      <c r="AO580" s="89" t="n">
        <v>34.20691</v>
      </c>
      <c r="AP580" s="89" t="n"/>
      <c r="AQ580" s="89" t="n"/>
      <c r="AR580" s="89" t="n"/>
      <c r="AS580" s="89" t="n"/>
      <c r="AT580" s="89" t="n"/>
      <c r="AU580" s="89" t="n"/>
      <c r="AV580" s="89" t="n"/>
      <c r="AW580" s="89" t="n"/>
      <c r="AX580" s="89" t="n"/>
      <c r="AY580" s="89" t="n"/>
    </row>
    <row r="581">
      <c r="A581" t="inlineStr">
        <is>
          <t>1967-04</t>
        </is>
      </c>
      <c r="B581" s="1" t="n">
        <v>24563</v>
      </c>
      <c r="C581" s="88" t="n">
        <v>581</v>
      </c>
      <c r="E581" s="1">
        <f>B581</f>
        <v/>
      </c>
      <c r="F581" s="2">
        <f>B581</f>
        <v/>
      </c>
      <c r="G581" s="88" t="n">
        <v>579</v>
      </c>
      <c r="H581" s="89" t="n"/>
      <c r="I581" s="89" t="n"/>
      <c r="J581" s="89" t="n">
        <v>34.6492</v>
      </c>
      <c r="K581" s="89" t="n">
        <v>34.83155</v>
      </c>
      <c r="L581" s="89" t="n"/>
      <c r="M581" s="89" t="n"/>
      <c r="N581" s="89" t="n">
        <v>37.09224</v>
      </c>
      <c r="O581" s="89" t="n"/>
      <c r="P581" s="89" t="n">
        <v>38.58736</v>
      </c>
      <c r="Q581" s="89" t="n"/>
      <c r="R581" s="89" t="n">
        <v>24.00479</v>
      </c>
      <c r="S581" s="89" t="n">
        <v>48.79454</v>
      </c>
      <c r="T581" s="89" t="n">
        <v>65.95553</v>
      </c>
      <c r="U581" s="89" t="n">
        <v>44.19703</v>
      </c>
      <c r="V581" s="89" t="n"/>
      <c r="W581" s="89" t="n"/>
      <c r="X581" s="89" t="n"/>
      <c r="Y581" s="89" t="n"/>
      <c r="Z581" s="89" t="n">
        <v>58.21682</v>
      </c>
      <c r="AA581" s="89" t="n">
        <v>29.69753</v>
      </c>
      <c r="AB581" s="89" t="n"/>
      <c r="AC581" s="89" t="n">
        <v>42.4292</v>
      </c>
      <c r="AD581" s="89" t="n"/>
      <c r="AE581" s="89" t="n"/>
      <c r="AF581" s="89" t="n">
        <v>36.28135</v>
      </c>
      <c r="AG581" s="89" t="n">
        <v>31.20757</v>
      </c>
      <c r="AH581" s="89" t="n"/>
      <c r="AI581" s="89" t="n"/>
      <c r="AJ581" s="89" t="n">
        <v>29.61351</v>
      </c>
      <c r="AK581" s="89" t="n"/>
      <c r="AL581" s="89" t="n"/>
      <c r="AM581" s="89" t="n">
        <v>43.20535</v>
      </c>
      <c r="AN581" s="89" t="n"/>
      <c r="AO581" s="89" t="n">
        <v>34.52955</v>
      </c>
      <c r="AP581" s="89" t="n"/>
      <c r="AQ581" s="89" t="n"/>
      <c r="AR581" s="89" t="n"/>
      <c r="AS581" s="89" t="n"/>
      <c r="AT581" s="89" t="n"/>
      <c r="AU581" s="89" t="n"/>
      <c r="AV581" s="89" t="n"/>
      <c r="AW581" s="89" t="n"/>
      <c r="AX581" s="89" t="n"/>
      <c r="AY581" s="89" t="n"/>
    </row>
    <row r="582">
      <c r="A582" t="inlineStr">
        <is>
          <t>1967-05</t>
        </is>
      </c>
      <c r="B582" s="1" t="n">
        <v>24593</v>
      </c>
      <c r="C582" s="88" t="n">
        <v>582</v>
      </c>
      <c r="E582" s="1">
        <f>B582</f>
        <v/>
      </c>
      <c r="F582" s="2">
        <f>B582</f>
        <v/>
      </c>
      <c r="G582" s="88" t="n">
        <v>580</v>
      </c>
      <c r="H582" s="89" t="n"/>
      <c r="I582" s="89" t="n"/>
      <c r="J582" s="89" t="n">
        <v>35.40211</v>
      </c>
      <c r="K582" s="89" t="n">
        <v>34.71219</v>
      </c>
      <c r="L582" s="89" t="n"/>
      <c r="M582" s="89" t="n"/>
      <c r="N582" s="89" t="n">
        <v>36.53679</v>
      </c>
      <c r="O582" s="89" t="n"/>
      <c r="P582" s="89" t="n">
        <v>37.54403</v>
      </c>
      <c r="Q582" s="89" t="n"/>
      <c r="R582" s="89" t="n">
        <v>23.81249</v>
      </c>
      <c r="S582" s="89" t="n">
        <v>49.03881</v>
      </c>
      <c r="T582" s="89" t="n">
        <v>64.9562</v>
      </c>
      <c r="U582" s="89" t="n">
        <v>44.49467</v>
      </c>
      <c r="V582" s="89" t="n"/>
      <c r="W582" s="89" t="n"/>
      <c r="X582" s="89" t="n"/>
      <c r="Y582" s="89" t="n"/>
      <c r="Z582" s="89" t="n">
        <v>58.62631</v>
      </c>
      <c r="AA582" s="89" t="n">
        <v>30.37056</v>
      </c>
      <c r="AB582" s="89" t="n"/>
      <c r="AC582" s="89" t="n">
        <v>42.24837</v>
      </c>
      <c r="AD582" s="89" t="n"/>
      <c r="AE582" s="89" t="n"/>
      <c r="AF582" s="89" t="n">
        <v>35.13863</v>
      </c>
      <c r="AG582" s="89" t="n">
        <v>30.33815</v>
      </c>
      <c r="AH582" s="89" t="n"/>
      <c r="AI582" s="89" t="n"/>
      <c r="AJ582" s="89" t="n">
        <v>30.06272</v>
      </c>
      <c r="AK582" s="89" t="n"/>
      <c r="AL582" s="89" t="n"/>
      <c r="AM582" s="89" t="n">
        <v>44.11493</v>
      </c>
      <c r="AN582" s="89" t="n"/>
      <c r="AO582" s="89" t="n">
        <v>34.22833</v>
      </c>
      <c r="AP582" s="89" t="n"/>
      <c r="AQ582" s="89" t="n"/>
      <c r="AR582" s="89" t="n"/>
      <c r="AS582" s="89" t="n"/>
      <c r="AT582" s="89" t="n"/>
      <c r="AU582" s="89" t="n"/>
      <c r="AV582" s="89" t="n"/>
      <c r="AW582" s="89" t="n"/>
      <c r="AX582" s="89" t="n"/>
      <c r="AY582" s="89" t="n"/>
    </row>
    <row r="583">
      <c r="A583" t="inlineStr">
        <is>
          <t>1967-06</t>
        </is>
      </c>
      <c r="B583" s="1" t="n">
        <v>24624</v>
      </c>
      <c r="C583" s="88" t="n">
        <v>583</v>
      </c>
      <c r="E583" s="1">
        <f>B583</f>
        <v/>
      </c>
      <c r="F583" s="2">
        <f>B583</f>
        <v/>
      </c>
      <c r="G583" s="88" t="n">
        <v>581</v>
      </c>
      <c r="H583" s="89" t="n"/>
      <c r="I583" s="89" t="n"/>
      <c r="J583" s="89" t="n">
        <v>35.07689</v>
      </c>
      <c r="K583" s="89" t="n">
        <v>34.87807</v>
      </c>
      <c r="L583" s="89" t="n"/>
      <c r="M583" s="89" t="n"/>
      <c r="N583" s="89" t="n">
        <v>37.33912</v>
      </c>
      <c r="O583" s="89" t="n"/>
      <c r="P583" s="89" t="n">
        <v>38.79262</v>
      </c>
      <c r="Q583" s="89" t="n"/>
      <c r="R583" s="89" t="n">
        <v>23.43115</v>
      </c>
      <c r="S583" s="89" t="n">
        <v>50.32127</v>
      </c>
      <c r="T583" s="89" t="n">
        <v>65.45586</v>
      </c>
      <c r="U583" s="89" t="n">
        <v>43.33864</v>
      </c>
      <c r="V583" s="89" t="n"/>
      <c r="W583" s="89" t="n"/>
      <c r="X583" s="89" t="n"/>
      <c r="Y583" s="89" t="n"/>
      <c r="Z583" s="89" t="n">
        <v>58.35332</v>
      </c>
      <c r="AA583" s="89" t="n">
        <v>30.87533</v>
      </c>
      <c r="AB583" s="89" t="n"/>
      <c r="AC583" s="89" t="n">
        <v>41.42107</v>
      </c>
      <c r="AD583" s="89" t="n"/>
      <c r="AE583" s="89" t="n"/>
      <c r="AF583" s="89" t="n">
        <v>36.56704</v>
      </c>
      <c r="AG583" s="89" t="n">
        <v>32.05411</v>
      </c>
      <c r="AH583" s="89" t="n"/>
      <c r="AI583" s="89" t="n"/>
      <c r="AJ583" s="89" t="n">
        <v>32.13962</v>
      </c>
      <c r="AK583" s="89" t="n"/>
      <c r="AL583" s="89" t="n"/>
      <c r="AM583" s="89" t="n">
        <v>43.66014</v>
      </c>
      <c r="AN583" s="89" t="n"/>
      <c r="AO583" s="89" t="n">
        <v>34.22401</v>
      </c>
      <c r="AP583" s="89" t="n"/>
      <c r="AQ583" s="89" t="n"/>
      <c r="AR583" s="89" t="n"/>
      <c r="AS583" s="89" t="n"/>
      <c r="AT583" s="89" t="n"/>
      <c r="AU583" s="89" t="n"/>
      <c r="AV583" s="89" t="n"/>
      <c r="AW583" s="89" t="n"/>
      <c r="AX583" s="89" t="n"/>
      <c r="AY583" s="89" t="n"/>
    </row>
    <row r="584">
      <c r="A584" t="inlineStr">
        <is>
          <t>1967-07</t>
        </is>
      </c>
      <c r="B584" s="1" t="n">
        <v>24654</v>
      </c>
      <c r="C584" s="88" t="n">
        <v>584</v>
      </c>
      <c r="E584" s="1">
        <f>B584</f>
        <v/>
      </c>
      <c r="F584" s="2">
        <f>B584</f>
        <v/>
      </c>
      <c r="G584" s="88" t="n">
        <v>582</v>
      </c>
      <c r="H584" s="89" t="n"/>
      <c r="I584" s="89" t="n"/>
      <c r="J584" s="89" t="n">
        <v>35.30502</v>
      </c>
      <c r="K584" s="89" t="n">
        <v>35.00917</v>
      </c>
      <c r="L584" s="89" t="n"/>
      <c r="M584" s="89" t="n"/>
      <c r="N584" s="89" t="n">
        <v>38.3266</v>
      </c>
      <c r="O584" s="89" t="n"/>
      <c r="P584" s="89" t="n">
        <v>38.21747</v>
      </c>
      <c r="Q584" s="89" t="n"/>
      <c r="R584" s="89" t="n">
        <v>24.00153</v>
      </c>
      <c r="S584" s="89" t="n">
        <v>49.89379</v>
      </c>
      <c r="T584" s="89" t="n">
        <v>65.45586</v>
      </c>
      <c r="U584" s="89" t="n">
        <v>43.20227</v>
      </c>
      <c r="V584" s="89" t="n"/>
      <c r="W584" s="89" t="n"/>
      <c r="X584" s="89" t="n"/>
      <c r="Y584" s="89" t="n"/>
      <c r="Z584" s="89" t="n">
        <v>58.42157</v>
      </c>
      <c r="AA584" s="89" t="n">
        <v>31.21185</v>
      </c>
      <c r="AB584" s="89" t="n"/>
      <c r="AC584" s="89" t="n">
        <v>42.34493</v>
      </c>
      <c r="AD584" s="89" t="n"/>
      <c r="AE584" s="89" t="n"/>
      <c r="AF584" s="89" t="n">
        <v>36.85271</v>
      </c>
      <c r="AG584" s="89" t="n">
        <v>29.92632</v>
      </c>
      <c r="AH584" s="89" t="n"/>
      <c r="AI584" s="89" t="n"/>
      <c r="AJ584" s="89" t="n">
        <v>31.14134</v>
      </c>
      <c r="AK584" s="89" t="n"/>
      <c r="AL584" s="89" t="n"/>
      <c r="AM584" s="89" t="n">
        <v>42.29576</v>
      </c>
      <c r="AN584" s="89" t="n"/>
      <c r="AO584" s="89" t="n">
        <v>34.14611</v>
      </c>
      <c r="AP584" s="89" t="n"/>
      <c r="AQ584" s="89" t="n"/>
      <c r="AR584" s="89" t="n"/>
      <c r="AS584" s="89" t="n"/>
      <c r="AT584" s="89" t="n"/>
      <c r="AU584" s="89" t="n"/>
      <c r="AV584" s="89" t="n"/>
      <c r="AW584" s="89" t="n"/>
      <c r="AX584" s="89" t="n"/>
      <c r="AY584" s="89" t="n"/>
    </row>
    <row r="585">
      <c r="A585" t="inlineStr">
        <is>
          <t>1967-08</t>
        </is>
      </c>
      <c r="B585" s="1" t="n">
        <v>24685</v>
      </c>
      <c r="C585" s="88" t="n">
        <v>585</v>
      </c>
      <c r="E585" s="1">
        <f>B585</f>
        <v/>
      </c>
      <c r="F585" s="2">
        <f>B585</f>
        <v/>
      </c>
      <c r="G585" s="88" t="n">
        <v>583</v>
      </c>
      <c r="H585" s="89" t="n"/>
      <c r="I585" s="89" t="n"/>
      <c r="J585" s="89" t="n">
        <v>35.34522</v>
      </c>
      <c r="K585" s="89" t="n">
        <v>35.60173</v>
      </c>
      <c r="L585" s="89" t="n"/>
      <c r="M585" s="89" t="n"/>
      <c r="N585" s="89" t="n">
        <v>37.52427</v>
      </c>
      <c r="O585" s="89" t="n"/>
      <c r="P585" s="89" t="n">
        <v>38.64308</v>
      </c>
      <c r="Q585" s="89" t="n"/>
      <c r="R585" s="89" t="n">
        <v>24.53279</v>
      </c>
      <c r="S585" s="89" t="n">
        <v>49.89379</v>
      </c>
      <c r="T585" s="89" t="n">
        <v>65.45586</v>
      </c>
      <c r="U585" s="89" t="n">
        <v>43.69878</v>
      </c>
      <c r="V585" s="89" t="n"/>
      <c r="W585" s="89" t="n"/>
      <c r="X585" s="89" t="n"/>
      <c r="Y585" s="89" t="n"/>
      <c r="Z585" s="89" t="n">
        <v>58.62631</v>
      </c>
      <c r="AA585" s="89" t="n">
        <v>31.71662</v>
      </c>
      <c r="AB585" s="89" t="n"/>
      <c r="AC585" s="89" t="n">
        <v>40.96235</v>
      </c>
      <c r="AD585" s="89" t="n"/>
      <c r="AE585" s="89" t="n"/>
      <c r="AF585" s="89" t="n">
        <v>36.85271</v>
      </c>
      <c r="AG585" s="89" t="n">
        <v>32.07699</v>
      </c>
      <c r="AH585" s="89" t="n"/>
      <c r="AI585" s="89" t="n"/>
      <c r="AJ585" s="89" t="n">
        <v>30.89858</v>
      </c>
      <c r="AK585" s="89" t="n"/>
      <c r="AL585" s="89" t="n"/>
      <c r="AM585" s="89" t="n">
        <v>43.66014</v>
      </c>
      <c r="AN585" s="89" t="n"/>
      <c r="AO585" s="89" t="n">
        <v>34.80032</v>
      </c>
      <c r="AP585" s="89" t="n"/>
      <c r="AQ585" s="89" t="n"/>
      <c r="AR585" s="89" t="n"/>
      <c r="AS585" s="89" t="n"/>
      <c r="AT585" s="89" t="n"/>
      <c r="AU585" s="89" t="n"/>
      <c r="AV585" s="89" t="n"/>
      <c r="AW585" s="89" t="n"/>
      <c r="AX585" s="89" t="n"/>
      <c r="AY585" s="89" t="n"/>
    </row>
    <row r="586">
      <c r="A586" t="inlineStr">
        <is>
          <t>1967-09</t>
        </is>
      </c>
      <c r="B586" s="1" t="n">
        <v>24716</v>
      </c>
      <c r="C586" s="88" t="n">
        <v>586</v>
      </c>
      <c r="E586" s="1">
        <f>B586</f>
        <v/>
      </c>
      <c r="F586" s="2">
        <f>B586</f>
        <v/>
      </c>
      <c r="G586" s="88" t="n">
        <v>584</v>
      </c>
      <c r="H586" s="89" t="n"/>
      <c r="I586" s="89" t="n"/>
      <c r="J586" s="89" t="n">
        <v>35.40732</v>
      </c>
      <c r="K586" s="89" t="n">
        <v>35.48801</v>
      </c>
      <c r="L586" s="89" t="n"/>
      <c r="M586" s="89" t="n"/>
      <c r="N586" s="89" t="n">
        <v>38.51175</v>
      </c>
      <c r="O586" s="89" t="n"/>
      <c r="P586" s="89" t="n">
        <v>38.09077</v>
      </c>
      <c r="Q586" s="89" t="n"/>
      <c r="R586" s="89" t="n">
        <v>24.26553</v>
      </c>
      <c r="S586" s="89" t="n">
        <v>50.80983</v>
      </c>
      <c r="T586" s="89" t="n">
        <v>65.45586</v>
      </c>
      <c r="U586" s="89" t="n">
        <v>43.62561</v>
      </c>
      <c r="V586" s="89" t="n"/>
      <c r="W586" s="89" t="n"/>
      <c r="X586" s="89" t="n"/>
      <c r="Y586" s="89" t="n"/>
      <c r="Z586" s="89" t="n">
        <v>58.35332</v>
      </c>
      <c r="AA586" s="89" t="n">
        <v>32.64204</v>
      </c>
      <c r="AB586" s="89" t="n"/>
      <c r="AC586" s="89" t="n">
        <v>41.7882</v>
      </c>
      <c r="AD586" s="89" t="n"/>
      <c r="AE586" s="89" t="n"/>
      <c r="AF586" s="89" t="n">
        <v>37.70975</v>
      </c>
      <c r="AG586" s="89" t="n">
        <v>31.43637</v>
      </c>
      <c r="AH586" s="89" t="n"/>
      <c r="AI586" s="89" t="n"/>
      <c r="AJ586" s="89" t="n">
        <v>30.73566</v>
      </c>
      <c r="AK586" s="89" t="n"/>
      <c r="AL586" s="89" t="n"/>
      <c r="AM586" s="89" t="n">
        <v>44.56973</v>
      </c>
      <c r="AN586" s="89" t="n"/>
      <c r="AO586" s="89" t="n">
        <v>34.74384</v>
      </c>
      <c r="AP586" s="89" t="n"/>
      <c r="AQ586" s="89" t="n"/>
      <c r="AR586" s="89" t="n"/>
      <c r="AS586" s="89" t="n"/>
      <c r="AT586" s="89" t="n"/>
      <c r="AU586" s="89" t="n"/>
      <c r="AV586" s="89" t="n"/>
      <c r="AW586" s="89" t="n"/>
      <c r="AX586" s="89" t="n"/>
      <c r="AY586" s="89" t="n"/>
    </row>
    <row r="587">
      <c r="A587" t="inlineStr">
        <is>
          <t>1967-10</t>
        </is>
      </c>
      <c r="B587" s="1" t="n">
        <v>24746</v>
      </c>
      <c r="C587" s="88" t="n">
        <v>587</v>
      </c>
      <c r="E587" s="1">
        <f>B587</f>
        <v/>
      </c>
      <c r="F587" s="2">
        <f>B587</f>
        <v/>
      </c>
      <c r="G587" s="88" t="n">
        <v>585</v>
      </c>
      <c r="H587" s="89" t="n"/>
      <c r="I587" s="89" t="n"/>
      <c r="J587" s="89" t="n">
        <v>35.99532</v>
      </c>
      <c r="K587" s="89" t="n">
        <v>35.24742</v>
      </c>
      <c r="L587" s="89" t="n"/>
      <c r="M587" s="89" t="n"/>
      <c r="N587" s="89" t="n">
        <v>38.94377</v>
      </c>
      <c r="O587" s="89" t="n"/>
      <c r="P587" s="89" t="n">
        <v>37.67358</v>
      </c>
      <c r="Q587" s="89" t="n"/>
      <c r="R587" s="89" t="n">
        <v>24.94347</v>
      </c>
      <c r="S587" s="89" t="n">
        <v>50.13807</v>
      </c>
      <c r="T587" s="89" t="n">
        <v>65.95553</v>
      </c>
      <c r="U587" s="89" t="n">
        <v>44.62352</v>
      </c>
      <c r="V587" s="89" t="n"/>
      <c r="W587" s="89" t="n"/>
      <c r="X587" s="89" t="n"/>
      <c r="Y587" s="89" t="n"/>
      <c r="Z587" s="89" t="n">
        <v>59.03581</v>
      </c>
      <c r="AA587" s="89" t="n">
        <v>32.97856</v>
      </c>
      <c r="AB587" s="89" t="n"/>
      <c r="AC587" s="89" t="n">
        <v>42.18126</v>
      </c>
      <c r="AD587" s="89" t="n"/>
      <c r="AE587" s="89" t="n"/>
      <c r="AF587" s="89" t="n">
        <v>37.42408</v>
      </c>
      <c r="AG587" s="89" t="n">
        <v>31.93971</v>
      </c>
      <c r="AH587" s="89" t="n"/>
      <c r="AI587" s="89" t="n"/>
      <c r="AJ587" s="89" t="n">
        <v>32.02047</v>
      </c>
      <c r="AK587" s="89" t="n"/>
      <c r="AL587" s="89" t="n"/>
      <c r="AM587" s="89" t="n">
        <v>43.66014</v>
      </c>
      <c r="AN587" s="89" t="n"/>
      <c r="AO587" s="89" t="n">
        <v>35.02681</v>
      </c>
      <c r="AP587" s="89" t="n"/>
      <c r="AQ587" s="89" t="n"/>
      <c r="AR587" s="89" t="n"/>
      <c r="AS587" s="89" t="n"/>
      <c r="AT587" s="89" t="n"/>
      <c r="AU587" s="89" t="n"/>
      <c r="AV587" s="89" t="n"/>
      <c r="AW587" s="89" t="n"/>
      <c r="AX587" s="89" t="n"/>
      <c r="AY587" s="89" t="n"/>
    </row>
    <row r="588">
      <c r="A588" t="inlineStr">
        <is>
          <t>1967-11</t>
        </is>
      </c>
      <c r="B588" s="1" t="n">
        <v>24777</v>
      </c>
      <c r="C588" s="88" t="n">
        <v>588</v>
      </c>
      <c r="E588" s="1">
        <f>B588</f>
        <v/>
      </c>
      <c r="F588" s="2">
        <f>B588</f>
        <v/>
      </c>
      <c r="G588" s="88" t="n">
        <v>586</v>
      </c>
      <c r="H588" s="89" t="n"/>
      <c r="I588" s="89" t="n"/>
      <c r="J588" s="89" t="n">
        <v>35.70469</v>
      </c>
      <c r="K588" s="89" t="n">
        <v>35.78265</v>
      </c>
      <c r="L588" s="89" t="n"/>
      <c r="M588" s="89" t="n"/>
      <c r="N588" s="89" t="n">
        <v>39.31408</v>
      </c>
      <c r="O588" s="89" t="n"/>
      <c r="P588" s="89" t="n">
        <v>38.59538</v>
      </c>
      <c r="Q588" s="89" t="n"/>
      <c r="R588" s="89" t="n">
        <v>24.77398</v>
      </c>
      <c r="S588" s="89" t="n">
        <v>50.74876</v>
      </c>
      <c r="T588" s="89" t="n">
        <v>66.45519</v>
      </c>
      <c r="U588" s="89" t="n">
        <v>44.93127</v>
      </c>
      <c r="V588" s="89" t="n"/>
      <c r="W588" s="89" t="n"/>
      <c r="X588" s="89" t="n"/>
      <c r="Y588" s="89" t="n"/>
      <c r="Z588" s="89" t="n">
        <v>59.37706</v>
      </c>
      <c r="AA588" s="89" t="n">
        <v>33.65159</v>
      </c>
      <c r="AB588" s="89" t="n"/>
      <c r="AC588" s="89" t="n">
        <v>43.59835</v>
      </c>
      <c r="AD588" s="89" t="n"/>
      <c r="AE588" s="89" t="n"/>
      <c r="AF588" s="89" t="n">
        <v>37.99543</v>
      </c>
      <c r="AG588" s="89" t="n">
        <v>32.67186</v>
      </c>
      <c r="AH588" s="89" t="n"/>
      <c r="AI588" s="89" t="n"/>
      <c r="AJ588" s="89" t="n">
        <v>31.92839</v>
      </c>
      <c r="AK588" s="89" t="n"/>
      <c r="AL588" s="89" t="n"/>
      <c r="AM588" s="89" t="n">
        <v>44.11493</v>
      </c>
      <c r="AN588" s="89" t="n"/>
      <c r="AO588" s="89" t="n">
        <v>35.52771</v>
      </c>
      <c r="AP588" s="89" t="n"/>
      <c r="AQ588" s="89" t="n"/>
      <c r="AR588" s="89" t="n"/>
      <c r="AS588" s="89" t="n"/>
      <c r="AT588" s="89" t="n"/>
      <c r="AU588" s="89" t="n"/>
      <c r="AV588" s="89" t="n"/>
      <c r="AW588" s="89" t="n"/>
      <c r="AX588" s="89" t="n"/>
      <c r="AY588" s="89" t="n"/>
    </row>
    <row r="589">
      <c r="A589" t="inlineStr">
        <is>
          <t>1967-12</t>
        </is>
      </c>
      <c r="B589" s="1" t="n">
        <v>24807</v>
      </c>
      <c r="C589" s="88" t="n">
        <v>589</v>
      </c>
      <c r="E589" s="1">
        <f>B589</f>
        <v/>
      </c>
      <c r="F589" s="2">
        <f>B589</f>
        <v/>
      </c>
      <c r="G589" s="88" t="n">
        <v>587</v>
      </c>
      <c r="H589" s="89" t="n"/>
      <c r="I589" s="89" t="n"/>
      <c r="J589" s="89" t="n">
        <v>36.33237</v>
      </c>
      <c r="K589" s="89" t="n">
        <v>36.18395</v>
      </c>
      <c r="L589" s="89" t="n"/>
      <c r="M589" s="89" t="n"/>
      <c r="N589" s="89" t="n">
        <v>41.59763</v>
      </c>
      <c r="O589" s="89" t="n"/>
      <c r="P589" s="89" t="n">
        <v>38.71343</v>
      </c>
      <c r="Q589" s="89" t="n"/>
      <c r="R589" s="89" t="n">
        <v>24.70228</v>
      </c>
      <c r="S589" s="89" t="n">
        <v>51.54266</v>
      </c>
      <c r="T589" s="89" t="n">
        <v>67.95417999999999</v>
      </c>
      <c r="U589" s="89" t="n">
        <v>45.05616</v>
      </c>
      <c r="V589" s="89" t="n"/>
      <c r="W589" s="89" t="n"/>
      <c r="X589" s="89" t="n"/>
      <c r="Y589" s="89" t="n"/>
      <c r="Z589" s="89" t="n">
        <v>59.30881</v>
      </c>
      <c r="AA589" s="89" t="n">
        <v>33.9881</v>
      </c>
      <c r="AB589" s="89" t="n"/>
      <c r="AC589" s="89" t="n">
        <v>42.18227</v>
      </c>
      <c r="AD589" s="89" t="n"/>
      <c r="AE589" s="89" t="n"/>
      <c r="AF589" s="89" t="n">
        <v>38.5668</v>
      </c>
      <c r="AG589" s="89" t="n">
        <v>32.64898</v>
      </c>
      <c r="AH589" s="89" t="n"/>
      <c r="AI589" s="89" t="n"/>
      <c r="AJ589" s="89" t="n">
        <v>29.57975</v>
      </c>
      <c r="AK589" s="89" t="n"/>
      <c r="AL589" s="89" t="n"/>
      <c r="AM589" s="89" t="n">
        <v>44.11493</v>
      </c>
      <c r="AN589" s="89" t="n"/>
      <c r="AO589" s="89" t="n">
        <v>35.91038</v>
      </c>
      <c r="AP589" s="89" t="n"/>
      <c r="AQ589" s="89" t="n"/>
      <c r="AR589" s="89" t="n"/>
      <c r="AS589" s="89" t="n"/>
      <c r="AT589" s="89" t="n"/>
      <c r="AU589" s="89" t="n"/>
      <c r="AV589" s="89" t="n"/>
      <c r="AW589" s="89" t="n"/>
      <c r="AX589" s="89" t="n"/>
      <c r="AY589" s="89" t="n"/>
    </row>
    <row r="590">
      <c r="A590" t="inlineStr">
        <is>
          <t>1968-01</t>
        </is>
      </c>
      <c r="B590" s="1" t="n">
        <v>24838</v>
      </c>
      <c r="C590" s="88" t="n">
        <v>590</v>
      </c>
      <c r="E590" s="1">
        <f>B590</f>
        <v/>
      </c>
      <c r="F590" s="2">
        <f>B590</f>
        <v/>
      </c>
      <c r="G590" s="88" t="n">
        <v>588</v>
      </c>
      <c r="H590" s="89" t="n"/>
      <c r="I590" s="89" t="n"/>
      <c r="J590" s="89" t="n">
        <v>36.27931</v>
      </c>
      <c r="K590" s="89" t="n">
        <v>35.99551</v>
      </c>
      <c r="L590" s="89" t="n"/>
      <c r="M590" s="89" t="n"/>
      <c r="N590" s="89" t="n">
        <v>38.3266</v>
      </c>
      <c r="O590" s="89" t="n"/>
      <c r="P590" s="89" t="n">
        <v>39.29084</v>
      </c>
      <c r="Q590" s="89" t="n"/>
      <c r="R590" s="89" t="n">
        <v>24.70554</v>
      </c>
      <c r="S590" s="89" t="n">
        <v>51.48159</v>
      </c>
      <c r="T590" s="89" t="n">
        <v>67.28614</v>
      </c>
      <c r="U590" s="89" t="n">
        <v>43.77962</v>
      </c>
      <c r="V590" s="89" t="n"/>
      <c r="W590" s="89" t="n"/>
      <c r="X590" s="89" t="n"/>
      <c r="Y590" s="89" t="n"/>
      <c r="Z590" s="89" t="n">
        <v>59.78656</v>
      </c>
      <c r="AA590" s="89" t="n">
        <v>33.90397</v>
      </c>
      <c r="AB590" s="89" t="n"/>
      <c r="AC590" s="89" t="n">
        <v>42.09423</v>
      </c>
      <c r="AD590" s="89" t="n"/>
      <c r="AE590" s="89" t="n"/>
      <c r="AF590" s="89" t="n">
        <v>38.5668</v>
      </c>
      <c r="AG590" s="89" t="n">
        <v>32.58034</v>
      </c>
      <c r="AH590" s="89" t="n"/>
      <c r="AI590" s="89" t="n"/>
      <c r="AJ590" s="89" t="n">
        <v>30.93023</v>
      </c>
      <c r="AK590" s="89" t="n"/>
      <c r="AL590" s="89" t="n"/>
      <c r="AM590" s="89" t="n">
        <v>43.20535</v>
      </c>
      <c r="AN590" s="89" t="n"/>
      <c r="AO590" s="89" t="n">
        <v>35.87167</v>
      </c>
      <c r="AP590" s="89" t="n"/>
      <c r="AQ590" s="89" t="n"/>
      <c r="AR590" s="89" t="n"/>
      <c r="AS590" s="89" t="n"/>
      <c r="AT590" s="89" t="n"/>
      <c r="AU590" s="89" t="n"/>
      <c r="AV590" s="89" t="n"/>
      <c r="AW590" s="89" t="n"/>
      <c r="AX590" s="89" t="n"/>
      <c r="AY590" s="89" t="n"/>
    </row>
    <row r="591">
      <c r="A591" t="inlineStr">
        <is>
          <t>1968-02</t>
        </is>
      </c>
      <c r="B591" s="1" t="n">
        <v>24869</v>
      </c>
      <c r="C591" s="88" t="n">
        <v>591</v>
      </c>
      <c r="E591" s="1">
        <f>B591</f>
        <v/>
      </c>
      <c r="F591" s="2">
        <f>B591</f>
        <v/>
      </c>
      <c r="G591" s="88" t="n">
        <v>589</v>
      </c>
      <c r="H591" s="89" t="n"/>
      <c r="I591" s="89" t="n"/>
      <c r="J591" s="89" t="n">
        <v>36.20125</v>
      </c>
      <c r="K591" s="89" t="n">
        <v>35.85454</v>
      </c>
      <c r="L591" s="89" t="n"/>
      <c r="M591" s="89" t="n"/>
      <c r="N591" s="89" t="n">
        <v>39.19064</v>
      </c>
      <c r="O591" s="89" t="n"/>
      <c r="P591" s="89" t="n">
        <v>39.56655</v>
      </c>
      <c r="Q591" s="89" t="n"/>
      <c r="R591" s="89" t="n">
        <v>24.84243</v>
      </c>
      <c r="S591" s="89" t="n">
        <v>51.78694</v>
      </c>
      <c r="T591" s="89" t="n">
        <v>68.06740000000001</v>
      </c>
      <c r="U591" s="89" t="n">
        <v>44.20872</v>
      </c>
      <c r="V591" s="89" t="n"/>
      <c r="W591" s="89" t="n"/>
      <c r="X591" s="89" t="n"/>
      <c r="Y591" s="89" t="n"/>
      <c r="Z591" s="89" t="n">
        <v>59.8548</v>
      </c>
      <c r="AA591" s="89" t="n">
        <v>34.40875</v>
      </c>
      <c r="AB591" s="89" t="n"/>
      <c r="AC591" s="89" t="n">
        <v>41.85529</v>
      </c>
      <c r="AD591" s="89" t="n"/>
      <c r="AE591" s="89" t="n"/>
      <c r="AF591" s="89" t="n">
        <v>38.85247</v>
      </c>
      <c r="AG591" s="89" t="n">
        <v>32.64898</v>
      </c>
      <c r="AH591" s="89" t="n"/>
      <c r="AI591" s="89" t="n"/>
      <c r="AJ591" s="89" t="n">
        <v>31.81124</v>
      </c>
      <c r="AK591" s="89" t="n"/>
      <c r="AL591" s="89" t="n"/>
      <c r="AM591" s="89" t="n">
        <v>42.75056</v>
      </c>
      <c r="AN591" s="89" t="n"/>
      <c r="AO591" s="89" t="n">
        <v>36.00028</v>
      </c>
      <c r="AP591" s="89" t="n"/>
      <c r="AQ591" s="89" t="n"/>
      <c r="AR591" s="89" t="n"/>
      <c r="AS591" s="89" t="n"/>
      <c r="AT591" s="89" t="n"/>
      <c r="AU591" s="89" t="n"/>
      <c r="AV591" s="89" t="n"/>
      <c r="AW591" s="89" t="n"/>
      <c r="AX591" s="89" t="n"/>
      <c r="AY591" s="89" t="n"/>
    </row>
    <row r="592">
      <c r="A592" t="inlineStr">
        <is>
          <t>1968-03</t>
        </is>
      </c>
      <c r="B592" s="1" t="n">
        <v>24898</v>
      </c>
      <c r="C592" s="88" t="n">
        <v>592</v>
      </c>
      <c r="E592" s="1">
        <f>B592</f>
        <v/>
      </c>
      <c r="F592" s="2">
        <f>B592</f>
        <v/>
      </c>
      <c r="G592" s="88" t="n">
        <v>590</v>
      </c>
      <c r="H592" s="89" t="n"/>
      <c r="I592" s="89" t="n"/>
      <c r="J592" s="89" t="n">
        <v>36.37314</v>
      </c>
      <c r="K592" s="89" t="n">
        <v>36.05707</v>
      </c>
      <c r="L592" s="89" t="n"/>
      <c r="M592" s="89" t="n"/>
      <c r="N592" s="89" t="n">
        <v>39.68438</v>
      </c>
      <c r="O592" s="89" t="n"/>
      <c r="P592" s="89" t="n">
        <v>38.95462</v>
      </c>
      <c r="Q592" s="89" t="n"/>
      <c r="R592" s="89" t="n">
        <v>24.95325</v>
      </c>
      <c r="S592" s="89" t="n">
        <v>52.76406</v>
      </c>
      <c r="T592" s="89" t="n">
        <v>68.65334</v>
      </c>
      <c r="U592" s="89" t="n">
        <v>46.14193</v>
      </c>
      <c r="V592" s="89" t="n"/>
      <c r="W592" s="89" t="n"/>
      <c r="X592" s="89" t="n"/>
      <c r="Y592" s="89" t="n"/>
      <c r="Z592" s="89" t="n">
        <v>59.8548</v>
      </c>
      <c r="AA592" s="89" t="n">
        <v>34.57701</v>
      </c>
      <c r="AB592" s="89" t="n"/>
      <c r="AC592" s="89" t="n">
        <v>43.75436</v>
      </c>
      <c r="AD592" s="89" t="n"/>
      <c r="AE592" s="89" t="n"/>
      <c r="AF592" s="89" t="n">
        <v>39.42384</v>
      </c>
      <c r="AG592" s="89" t="n">
        <v>32.5117</v>
      </c>
      <c r="AH592" s="89" t="n"/>
      <c r="AI592" s="89" t="n"/>
      <c r="AJ592" s="89" t="n">
        <v>31.46971</v>
      </c>
      <c r="AK592" s="89" t="n"/>
      <c r="AL592" s="89" t="n"/>
      <c r="AM592" s="89" t="n">
        <v>43.66014</v>
      </c>
      <c r="AN592" s="89" t="n"/>
      <c r="AO592" s="89" t="n">
        <v>36.11266</v>
      </c>
      <c r="AP592" s="89" t="n"/>
      <c r="AQ592" s="89" t="n"/>
      <c r="AR592" s="89" t="n"/>
      <c r="AS592" s="89" t="n"/>
      <c r="AT592" s="89" t="n"/>
      <c r="AU592" s="89" t="n"/>
      <c r="AV592" s="89" t="n"/>
      <c r="AW592" s="89" t="n"/>
      <c r="AX592" s="89" t="n"/>
      <c r="AY592" s="89" t="n"/>
    </row>
    <row r="593">
      <c r="A593" t="inlineStr">
        <is>
          <t>1968-04</t>
        </is>
      </c>
      <c r="B593" s="1" t="n">
        <v>24929</v>
      </c>
      <c r="C593" s="88" t="n">
        <v>593</v>
      </c>
      <c r="E593" s="1">
        <f>B593</f>
        <v/>
      </c>
      <c r="F593" s="2">
        <f>B593</f>
        <v/>
      </c>
      <c r="G593" s="88" t="n">
        <v>591</v>
      </c>
      <c r="H593" s="89" t="n"/>
      <c r="I593" s="89" t="n"/>
      <c r="J593" s="89" t="n">
        <v>37.00496</v>
      </c>
      <c r="K593" s="89" t="n">
        <v>36.99125</v>
      </c>
      <c r="L593" s="89" t="n"/>
      <c r="M593" s="89" t="n"/>
      <c r="N593" s="89" t="n">
        <v>39.80782</v>
      </c>
      <c r="O593" s="89" t="n"/>
      <c r="P593" s="89" t="n">
        <v>39.1629</v>
      </c>
      <c r="Q593" s="89" t="n"/>
      <c r="R593" s="89" t="n">
        <v>25.58229</v>
      </c>
      <c r="S593" s="89" t="n">
        <v>52.64192</v>
      </c>
      <c r="T593" s="89" t="n">
        <v>68.36037</v>
      </c>
      <c r="U593" s="89" t="n">
        <v>45.87251</v>
      </c>
      <c r="V593" s="89" t="n"/>
      <c r="W593" s="89" t="n"/>
      <c r="X593" s="89" t="n"/>
      <c r="Y593" s="89" t="n"/>
      <c r="Z593" s="89" t="n">
        <v>60.87855</v>
      </c>
      <c r="AA593" s="89" t="n">
        <v>34.82939</v>
      </c>
      <c r="AB593" s="89" t="n"/>
      <c r="AC593" s="89" t="n">
        <v>43.84581</v>
      </c>
      <c r="AD593" s="89" t="n"/>
      <c r="AE593" s="89" t="n"/>
      <c r="AF593" s="89" t="n">
        <v>39.70951</v>
      </c>
      <c r="AG593" s="89" t="n">
        <v>32.3973</v>
      </c>
      <c r="AH593" s="89" t="n"/>
      <c r="AI593" s="89" t="n"/>
      <c r="AJ593" s="89" t="n">
        <v>30.91248</v>
      </c>
      <c r="AK593" s="89" t="n"/>
      <c r="AL593" s="89" t="n"/>
      <c r="AM593" s="89" t="n">
        <v>45.02452</v>
      </c>
      <c r="AN593" s="89" t="n"/>
      <c r="AO593" s="89" t="n">
        <v>36.16491</v>
      </c>
      <c r="AP593" s="89" t="n"/>
      <c r="AQ593" s="89" t="n"/>
      <c r="AR593" s="89" t="n"/>
      <c r="AS593" s="89" t="n"/>
      <c r="AT593" s="89" t="n"/>
      <c r="AU593" s="89" t="n"/>
      <c r="AV593" s="89" t="n"/>
      <c r="AW593" s="89" t="n"/>
      <c r="AX593" s="89" t="n"/>
      <c r="AY593" s="89" t="n"/>
    </row>
    <row r="594">
      <c r="A594" t="inlineStr">
        <is>
          <t>1968-05</t>
        </is>
      </c>
      <c r="B594" s="1" t="n">
        <v>24959</v>
      </c>
      <c r="C594" s="88" t="n">
        <v>594</v>
      </c>
      <c r="E594" s="1">
        <f>B594</f>
        <v/>
      </c>
      <c r="F594" s="2">
        <f>B594</f>
        <v/>
      </c>
      <c r="G594" s="88" t="n">
        <v>592</v>
      </c>
      <c r="H594" s="89" t="n"/>
      <c r="I594" s="89" t="n"/>
      <c r="J594" s="89" t="n">
        <v>36.48634</v>
      </c>
      <c r="K594" s="89" t="n">
        <v>37.45975</v>
      </c>
      <c r="L594" s="89" t="n"/>
      <c r="M594" s="89" t="n"/>
      <c r="N594" s="89" t="n">
        <v>40.85701</v>
      </c>
      <c r="O594" s="89" t="n"/>
      <c r="P594" s="89" t="n">
        <v>40.73219</v>
      </c>
      <c r="Q594" s="89" t="n"/>
      <c r="R594" s="89" t="n">
        <v>25.2694</v>
      </c>
      <c r="S594" s="89" t="n">
        <v>36.03101</v>
      </c>
      <c r="T594" s="89" t="n">
        <v>69.04398</v>
      </c>
      <c r="U594" s="89" t="n">
        <v>46.46923</v>
      </c>
      <c r="V594" s="89" t="n"/>
      <c r="W594" s="89" t="n"/>
      <c r="X594" s="89" t="n"/>
      <c r="Y594" s="89" t="n"/>
      <c r="Z594" s="89" t="n">
        <v>61.69754</v>
      </c>
      <c r="AA594" s="89" t="n">
        <v>35.92307</v>
      </c>
      <c r="AB594" s="89" t="n"/>
      <c r="AC594" s="89" t="n">
        <v>44.40675</v>
      </c>
      <c r="AD594" s="89" t="n"/>
      <c r="AE594" s="89" t="n"/>
      <c r="AF594" s="89" t="n">
        <v>39.99519</v>
      </c>
      <c r="AG594" s="89" t="n">
        <v>33.99886</v>
      </c>
      <c r="AH594" s="89" t="n"/>
      <c r="AI594" s="89" t="n"/>
      <c r="AJ594" s="89" t="n">
        <v>32.20344</v>
      </c>
      <c r="AK594" s="89" t="n"/>
      <c r="AL594" s="89" t="n"/>
      <c r="AM594" s="89" t="n">
        <v>44.56973</v>
      </c>
      <c r="AN594" s="89" t="n"/>
      <c r="AO594" s="89" t="n">
        <v>36.57054</v>
      </c>
      <c r="AP594" s="89" t="n"/>
      <c r="AQ594" s="89" t="n"/>
      <c r="AR594" s="89" t="n"/>
      <c r="AS594" s="89" t="n"/>
      <c r="AT594" s="89" t="n"/>
      <c r="AU594" s="89" t="n"/>
      <c r="AV594" s="89" t="n"/>
      <c r="AW594" s="89" t="n"/>
      <c r="AX594" s="89" t="n"/>
      <c r="AY594" s="89" t="n"/>
    </row>
    <row r="595">
      <c r="A595" t="inlineStr">
        <is>
          <t>1968-06</t>
        </is>
      </c>
      <c r="B595" s="1" t="n">
        <v>24990</v>
      </c>
      <c r="C595" s="88" t="n">
        <v>595</v>
      </c>
      <c r="E595" s="1">
        <f>B595</f>
        <v/>
      </c>
      <c r="F595" s="2">
        <f>B595</f>
        <v/>
      </c>
      <c r="G595" s="88" t="n">
        <v>593</v>
      </c>
      <c r="H595" s="89" t="n"/>
      <c r="I595" s="89" t="n"/>
      <c r="J595" s="89" t="n">
        <v>37.55473</v>
      </c>
      <c r="K595" s="89" t="n">
        <v>37.75438</v>
      </c>
      <c r="L595" s="89" t="n"/>
      <c r="M595" s="89" t="n"/>
      <c r="N595" s="89" t="n">
        <v>41.53591</v>
      </c>
      <c r="O595" s="89" t="n"/>
      <c r="P595" s="89" t="n">
        <v>39.95891</v>
      </c>
      <c r="Q595" s="89" t="n"/>
      <c r="R595" s="89" t="n">
        <v>25.20095</v>
      </c>
      <c r="S595" s="89" t="n">
        <v>45.31358</v>
      </c>
      <c r="T595" s="89" t="n">
        <v>69.14163000000001</v>
      </c>
      <c r="U595" s="89" t="n">
        <v>48.14995</v>
      </c>
      <c r="V595" s="89" t="n"/>
      <c r="W595" s="89" t="n"/>
      <c r="X595" s="89" t="n"/>
      <c r="Y595" s="89" t="n"/>
      <c r="Z595" s="89" t="n">
        <v>61.56104</v>
      </c>
      <c r="AA595" s="89" t="n">
        <v>35.33417</v>
      </c>
      <c r="AB595" s="89" t="n"/>
      <c r="AC595" s="89" t="n">
        <v>44.81948</v>
      </c>
      <c r="AD595" s="89" t="n"/>
      <c r="AE595" s="89" t="n"/>
      <c r="AF595" s="89" t="n">
        <v>41.13791</v>
      </c>
      <c r="AG595" s="89" t="n">
        <v>31.87107</v>
      </c>
      <c r="AH595" s="89" t="n"/>
      <c r="AI595" s="89" t="n"/>
      <c r="AJ595" s="89" t="n">
        <v>31.19691</v>
      </c>
      <c r="AK595" s="89" t="n"/>
      <c r="AL595" s="89" t="n"/>
      <c r="AM595" s="89" t="n">
        <v>45.93411</v>
      </c>
      <c r="AN595" s="89" t="n"/>
      <c r="AO595" s="89" t="n">
        <v>36.70491</v>
      </c>
      <c r="AP595" s="89" t="n"/>
      <c r="AQ595" s="89" t="n"/>
      <c r="AR595" s="89" t="n"/>
      <c r="AS595" s="89" t="n"/>
      <c r="AT595" s="89" t="n"/>
      <c r="AU595" s="89" t="n"/>
      <c r="AV595" s="89" t="n"/>
      <c r="AW595" s="89" t="n"/>
      <c r="AX595" s="89" t="n"/>
      <c r="AY595" s="89" t="n"/>
    </row>
    <row r="596">
      <c r="A596" t="inlineStr">
        <is>
          <t>1968-07</t>
        </is>
      </c>
      <c r="B596" s="1" t="n">
        <v>25020</v>
      </c>
      <c r="C596" s="88" t="n">
        <v>596</v>
      </c>
      <c r="E596" s="1">
        <f>B596</f>
        <v/>
      </c>
      <c r="F596" s="2">
        <f>B596</f>
        <v/>
      </c>
      <c r="G596" s="88" t="n">
        <v>594</v>
      </c>
      <c r="H596" s="89" t="n"/>
      <c r="I596" s="89" t="n"/>
      <c r="J596" s="89" t="n">
        <v>36.13599</v>
      </c>
      <c r="K596" s="89" t="n">
        <v>37.60448</v>
      </c>
      <c r="L596" s="89" t="n"/>
      <c r="M596" s="89" t="n"/>
      <c r="N596" s="89" t="n">
        <v>40.98045</v>
      </c>
      <c r="O596" s="89" t="n"/>
      <c r="P596" s="89" t="n">
        <v>40.96402</v>
      </c>
      <c r="Q596" s="89" t="n"/>
      <c r="R596" s="89" t="n">
        <v>25.00539</v>
      </c>
      <c r="S596" s="89" t="n">
        <v>54.90149</v>
      </c>
      <c r="T596" s="89" t="n">
        <v>69.14163000000001</v>
      </c>
      <c r="U596" s="89" t="n">
        <v>47.76666</v>
      </c>
      <c r="V596" s="89" t="n"/>
      <c r="W596" s="89" t="n"/>
      <c r="X596" s="89" t="n"/>
      <c r="Y596" s="89" t="n"/>
      <c r="Z596" s="89" t="n">
        <v>62.03879</v>
      </c>
      <c r="AA596" s="89" t="n">
        <v>35.75481</v>
      </c>
      <c r="AB596" s="89" t="n"/>
      <c r="AC596" s="89" t="n">
        <v>44.75403</v>
      </c>
      <c r="AD596" s="89" t="n"/>
      <c r="AE596" s="89" t="n"/>
      <c r="AF596" s="89" t="n">
        <v>40.85223</v>
      </c>
      <c r="AG596" s="89" t="n">
        <v>33.35824</v>
      </c>
      <c r="AH596" s="89" t="n"/>
      <c r="AI596" s="89" t="n"/>
      <c r="AJ596" s="89" t="n">
        <v>31.43009</v>
      </c>
      <c r="AK596" s="89" t="n"/>
      <c r="AL596" s="89" t="n"/>
      <c r="AM596" s="89" t="n">
        <v>50.02724</v>
      </c>
      <c r="AN596" s="89" t="n"/>
      <c r="AO596" s="89" t="n">
        <v>36.64862</v>
      </c>
      <c r="AP596" s="89" t="n"/>
      <c r="AQ596" s="89" t="n"/>
      <c r="AR596" s="89" t="n"/>
      <c r="AS596" s="89" t="n"/>
      <c r="AT596" s="89" t="n"/>
      <c r="AU596" s="89" t="n"/>
      <c r="AV596" s="89" t="n"/>
      <c r="AW596" s="89" t="n"/>
      <c r="AX596" s="89" t="n"/>
      <c r="AY596" s="89" t="n"/>
    </row>
    <row r="597">
      <c r="A597" t="inlineStr">
        <is>
          <t>1968-08</t>
        </is>
      </c>
      <c r="B597" s="1" t="n">
        <v>25051</v>
      </c>
      <c r="C597" s="88" t="n">
        <v>597</v>
      </c>
      <c r="E597" s="1">
        <f>B597</f>
        <v/>
      </c>
      <c r="F597" s="2">
        <f>B597</f>
        <v/>
      </c>
      <c r="G597" s="88" t="n">
        <v>595</v>
      </c>
      <c r="H597" s="89" t="n"/>
      <c r="I597" s="89" t="n"/>
      <c r="J597" s="89" t="n">
        <v>37.8479</v>
      </c>
      <c r="K597" s="89" t="n">
        <v>38.10963</v>
      </c>
      <c r="L597" s="89" t="n"/>
      <c r="M597" s="89" t="n"/>
      <c r="N597" s="89" t="n">
        <v>43.75774</v>
      </c>
      <c r="O597" s="89" t="n"/>
      <c r="P597" s="89" t="n">
        <v>41.10419</v>
      </c>
      <c r="Q597" s="89" t="n"/>
      <c r="R597" s="89" t="n">
        <v>25.25636</v>
      </c>
      <c r="S597" s="89" t="n">
        <v>54.90149</v>
      </c>
      <c r="T597" s="89" t="n">
        <v>69.72758</v>
      </c>
      <c r="U597" s="89" t="n">
        <v>48.86128</v>
      </c>
      <c r="V597" s="89" t="n"/>
      <c r="W597" s="89" t="n"/>
      <c r="X597" s="89" t="n"/>
      <c r="Y597" s="89" t="n"/>
      <c r="Z597" s="89" t="n">
        <v>61.83404</v>
      </c>
      <c r="AA597" s="89" t="n">
        <v>36.68023</v>
      </c>
      <c r="AB597" s="89" t="n"/>
      <c r="AC597" s="89" t="n">
        <v>45.0881</v>
      </c>
      <c r="AD597" s="89" t="n"/>
      <c r="AE597" s="89" t="n"/>
      <c r="AF597" s="89" t="n">
        <v>41.13791</v>
      </c>
      <c r="AG597" s="89" t="n">
        <v>32.60322</v>
      </c>
      <c r="AH597" s="89" t="n"/>
      <c r="AI597" s="89" t="n"/>
      <c r="AJ597" s="89" t="n">
        <v>33.28438</v>
      </c>
      <c r="AK597" s="89" t="n"/>
      <c r="AL597" s="89" t="n"/>
      <c r="AM597" s="89" t="n">
        <v>46.84369</v>
      </c>
      <c r="AN597" s="89" t="n"/>
      <c r="AO597" s="89" t="n">
        <v>36.75092</v>
      </c>
      <c r="AP597" s="89" t="n"/>
      <c r="AQ597" s="89" t="n"/>
      <c r="AR597" s="89" t="n"/>
      <c r="AS597" s="89" t="n"/>
      <c r="AT597" s="89" t="n"/>
      <c r="AU597" s="89" t="n"/>
      <c r="AV597" s="89" t="n"/>
      <c r="AW597" s="89" t="n"/>
      <c r="AX597" s="89" t="n"/>
      <c r="AY597" s="89" t="n"/>
    </row>
    <row r="598">
      <c r="A598" t="inlineStr">
        <is>
          <t>1968-09</t>
        </is>
      </c>
      <c r="B598" s="1" t="n">
        <v>25082</v>
      </c>
      <c r="C598" s="88" t="n">
        <v>598</v>
      </c>
      <c r="E598" s="1">
        <f>B598</f>
        <v/>
      </c>
      <c r="F598" s="2">
        <f>B598</f>
        <v/>
      </c>
      <c r="G598" s="88" t="n">
        <v>596</v>
      </c>
      <c r="H598" s="89" t="n"/>
      <c r="I598" s="89" t="n"/>
      <c r="J598" s="89" t="n">
        <v>38.94696</v>
      </c>
      <c r="K598" s="89" t="n">
        <v>38.52362</v>
      </c>
      <c r="L598" s="89" t="n"/>
      <c r="M598" s="89" t="n"/>
      <c r="N598" s="89" t="n">
        <v>43.07885</v>
      </c>
      <c r="O598" s="89" t="n"/>
      <c r="P598" s="89" t="n">
        <v>41.44661</v>
      </c>
      <c r="Q598" s="89" t="n"/>
      <c r="R598" s="89" t="n">
        <v>25.94081</v>
      </c>
      <c r="S598" s="89" t="n">
        <v>53.31368</v>
      </c>
      <c r="T598" s="89" t="n">
        <v>69.53225999999999</v>
      </c>
      <c r="U598" s="89" t="n">
        <v>48.72055</v>
      </c>
      <c r="V598" s="89" t="n"/>
      <c r="W598" s="89" t="n"/>
      <c r="X598" s="89" t="n"/>
      <c r="Y598" s="89" t="n"/>
      <c r="Z598" s="89" t="n">
        <v>63.67678</v>
      </c>
      <c r="AA598" s="89" t="n">
        <v>36.51197</v>
      </c>
      <c r="AB598" s="89" t="n"/>
      <c r="AC598" s="89" t="n">
        <v>46.50404</v>
      </c>
      <c r="AD598" s="89" t="n"/>
      <c r="AE598" s="89" t="n"/>
      <c r="AF598" s="89" t="n">
        <v>41.99495</v>
      </c>
      <c r="AG598" s="89" t="n">
        <v>32.71762</v>
      </c>
      <c r="AH598" s="89" t="n"/>
      <c r="AI598" s="89" t="n"/>
      <c r="AJ598" s="89" t="n">
        <v>35.43232</v>
      </c>
      <c r="AK598" s="89" t="n"/>
      <c r="AL598" s="89" t="n"/>
      <c r="AM598" s="89" t="n">
        <v>46.84369</v>
      </c>
      <c r="AN598" s="89" t="n"/>
      <c r="AO598" s="89" t="n">
        <v>36.8901</v>
      </c>
      <c r="AP598" s="89" t="n"/>
      <c r="AQ598" s="89" t="n"/>
      <c r="AR598" s="89" t="n"/>
      <c r="AS598" s="89" t="n"/>
      <c r="AT598" s="89" t="n"/>
      <c r="AU598" s="89" t="n"/>
      <c r="AV598" s="89" t="n"/>
      <c r="AW598" s="89" t="n"/>
      <c r="AX598" s="89" t="n"/>
      <c r="AY598" s="89" t="n"/>
    </row>
    <row r="599">
      <c r="A599" t="inlineStr">
        <is>
          <t>1968-10</t>
        </is>
      </c>
      <c r="B599" s="1" t="n">
        <v>25112</v>
      </c>
      <c r="C599" s="88" t="n">
        <v>599</v>
      </c>
      <c r="E599" s="1">
        <f>B599</f>
        <v/>
      </c>
      <c r="F599" s="2">
        <f>B599</f>
        <v/>
      </c>
      <c r="G599" s="88" t="n">
        <v>597</v>
      </c>
      <c r="H599" s="89" t="n"/>
      <c r="I599" s="89" t="n"/>
      <c r="J599" s="89" t="n">
        <v>38.01255</v>
      </c>
      <c r="K599" s="89" t="n">
        <v>38.76939</v>
      </c>
      <c r="L599" s="89" t="n"/>
      <c r="M599" s="89" t="n"/>
      <c r="N599" s="89" t="n">
        <v>43.20228</v>
      </c>
      <c r="O599" s="89" t="n"/>
      <c r="P599" s="89" t="n">
        <v>43.13088</v>
      </c>
      <c r="Q599" s="89" t="n"/>
      <c r="R599" s="89" t="n">
        <v>26.21134</v>
      </c>
      <c r="S599" s="89" t="n">
        <v>55.69539</v>
      </c>
      <c r="T599" s="89" t="n">
        <v>69.04398</v>
      </c>
      <c r="U599" s="89" t="n">
        <v>48.95913</v>
      </c>
      <c r="V599" s="89" t="n"/>
      <c r="W599" s="89" t="n"/>
      <c r="X599" s="89" t="n"/>
      <c r="Y599" s="89" t="n"/>
      <c r="Z599" s="89" t="n">
        <v>64.15452999999999</v>
      </c>
      <c r="AA599" s="89" t="n">
        <v>37.43739</v>
      </c>
      <c r="AB599" s="89" t="n"/>
      <c r="AC599" s="89" t="n">
        <v>46.39102</v>
      </c>
      <c r="AD599" s="89" t="n"/>
      <c r="AE599" s="89" t="n"/>
      <c r="AF599" s="89" t="n">
        <v>42.28063</v>
      </c>
      <c r="AG599" s="89" t="n">
        <v>33.54128</v>
      </c>
      <c r="AH599" s="89" t="n"/>
      <c r="AI599" s="89" t="n"/>
      <c r="AJ599" s="89" t="n">
        <v>33.87638</v>
      </c>
      <c r="AK599" s="89" t="n"/>
      <c r="AL599" s="89" t="n"/>
      <c r="AM599" s="89" t="n">
        <v>46.3889</v>
      </c>
      <c r="AN599" s="89" t="n"/>
      <c r="AO599" s="89" t="n">
        <v>36.96329</v>
      </c>
      <c r="AP599" s="89" t="n"/>
      <c r="AQ599" s="89" t="n"/>
      <c r="AR599" s="89" t="n"/>
      <c r="AS599" s="89" t="n"/>
      <c r="AT599" s="89" t="n"/>
      <c r="AU599" s="89" t="n"/>
      <c r="AV599" s="89" t="n"/>
      <c r="AW599" s="89" t="n"/>
      <c r="AX599" s="89" t="n"/>
      <c r="AY599" s="89" t="n"/>
    </row>
    <row r="600">
      <c r="A600" t="inlineStr">
        <is>
          <t>1968-11</t>
        </is>
      </c>
      <c r="B600" s="1" t="n">
        <v>25143</v>
      </c>
      <c r="C600" s="88" t="n">
        <v>600</v>
      </c>
      <c r="E600" s="1">
        <f>B600</f>
        <v/>
      </c>
      <c r="F600" s="2">
        <f>B600</f>
        <v/>
      </c>
      <c r="G600" s="88" t="n">
        <v>598</v>
      </c>
      <c r="H600" s="89" t="n"/>
      <c r="I600" s="89" t="n"/>
      <c r="J600" s="89" t="n">
        <v>38.81614</v>
      </c>
      <c r="K600" s="89" t="n">
        <v>39.24446</v>
      </c>
      <c r="L600" s="89" t="n"/>
      <c r="M600" s="89" t="n"/>
      <c r="N600" s="89" t="n">
        <v>44.6835</v>
      </c>
      <c r="O600" s="89" t="n"/>
      <c r="P600" s="89" t="n">
        <v>43.28834</v>
      </c>
      <c r="Q600" s="89" t="n"/>
      <c r="R600" s="89" t="n">
        <v>26.76868</v>
      </c>
      <c r="S600" s="89" t="n">
        <v>56.85571</v>
      </c>
      <c r="T600" s="89" t="n">
        <v>69.62992</v>
      </c>
      <c r="U600" s="89" t="n">
        <v>49.51518</v>
      </c>
      <c r="V600" s="89" t="n"/>
      <c r="W600" s="89" t="n"/>
      <c r="X600" s="89" t="n"/>
      <c r="Y600" s="89" t="n"/>
      <c r="Z600" s="89" t="n">
        <v>61.83404</v>
      </c>
      <c r="AA600" s="89" t="n">
        <v>38.44694</v>
      </c>
      <c r="AB600" s="89" t="n"/>
      <c r="AC600" s="89" t="n">
        <v>47.10363</v>
      </c>
      <c r="AD600" s="89" t="n"/>
      <c r="AE600" s="89" t="n"/>
      <c r="AF600" s="89" t="n">
        <v>42.85199</v>
      </c>
      <c r="AG600" s="89" t="n">
        <v>33.24384</v>
      </c>
      <c r="AH600" s="89" t="n"/>
      <c r="AI600" s="89" t="n"/>
      <c r="AJ600" s="89" t="n">
        <v>33.67061</v>
      </c>
      <c r="AK600" s="89" t="n"/>
      <c r="AL600" s="89" t="n"/>
      <c r="AM600" s="89" t="n">
        <v>46.84369</v>
      </c>
      <c r="AN600" s="89" t="n"/>
      <c r="AO600" s="89" t="n">
        <v>37.44143</v>
      </c>
      <c r="AP600" s="89" t="n"/>
      <c r="AQ600" s="89" t="n"/>
      <c r="AR600" s="89" t="n"/>
      <c r="AS600" s="89" t="n"/>
      <c r="AT600" s="89" t="n"/>
      <c r="AU600" s="89" t="n"/>
      <c r="AV600" s="89" t="n"/>
      <c r="AW600" s="89" t="n"/>
      <c r="AX600" s="89" t="n"/>
      <c r="AY600" s="89" t="n"/>
    </row>
    <row r="601">
      <c r="A601" t="inlineStr">
        <is>
          <t>1968-12</t>
        </is>
      </c>
      <c r="B601" s="1" t="n">
        <v>25173</v>
      </c>
      <c r="C601" s="88" t="n">
        <v>601</v>
      </c>
      <c r="E601" s="1">
        <f>B601</f>
        <v/>
      </c>
      <c r="F601" s="2">
        <f>B601</f>
        <v/>
      </c>
      <c r="G601" s="88" t="n">
        <v>599</v>
      </c>
      <c r="H601" s="89" t="n"/>
      <c r="I601" s="89" t="n"/>
      <c r="J601" s="89" t="n">
        <v>39.25785</v>
      </c>
      <c r="K601" s="89" t="n">
        <v>39.18855</v>
      </c>
      <c r="L601" s="89" t="n"/>
      <c r="M601" s="89" t="n"/>
      <c r="N601" s="89" t="n">
        <v>44.43663</v>
      </c>
      <c r="O601" s="89" t="n"/>
      <c r="P601" s="89" t="n">
        <v>44.84215</v>
      </c>
      <c r="Q601" s="89" t="n"/>
      <c r="R601" s="89" t="n">
        <v>27.27061</v>
      </c>
      <c r="S601" s="89" t="n">
        <v>56.79464</v>
      </c>
      <c r="T601" s="89" t="n">
        <v>70.31352</v>
      </c>
      <c r="U601" s="89" t="n">
        <v>49.72262</v>
      </c>
      <c r="V601" s="89" t="n"/>
      <c r="W601" s="89" t="n"/>
      <c r="X601" s="89" t="n"/>
      <c r="Y601" s="89" t="n"/>
      <c r="Z601" s="89" t="n">
        <v>64.56402</v>
      </c>
      <c r="AA601" s="89" t="n">
        <v>38.27868</v>
      </c>
      <c r="AB601" s="89" t="n"/>
      <c r="AC601" s="89" t="n">
        <v>47.85975</v>
      </c>
      <c r="AD601" s="89" t="n"/>
      <c r="AE601" s="89" t="n"/>
      <c r="AF601" s="89" t="n">
        <v>43.42336</v>
      </c>
      <c r="AG601" s="89" t="n">
        <v>33.26672</v>
      </c>
      <c r="AH601" s="89" t="n"/>
      <c r="AI601" s="89" t="n"/>
      <c r="AJ601" s="89" t="n">
        <v>33.59616</v>
      </c>
      <c r="AK601" s="89" t="n"/>
      <c r="AL601" s="89" t="n"/>
      <c r="AM601" s="89" t="n">
        <v>48.20807</v>
      </c>
      <c r="AN601" s="89" t="n"/>
      <c r="AO601" s="89" t="n">
        <v>37.55967</v>
      </c>
      <c r="AP601" s="89" t="n"/>
      <c r="AQ601" s="89" t="n"/>
      <c r="AR601" s="89" t="n"/>
      <c r="AS601" s="89" t="n"/>
      <c r="AT601" s="89" t="n"/>
      <c r="AU601" s="89" t="n"/>
      <c r="AV601" s="89" t="n"/>
      <c r="AW601" s="89" t="n"/>
      <c r="AX601" s="89" t="n"/>
      <c r="AY601" s="89" t="n"/>
    </row>
    <row r="602">
      <c r="A602" t="inlineStr">
        <is>
          <t>1969-01</t>
        </is>
      </c>
      <c r="B602" s="1" t="n">
        <v>25204</v>
      </c>
      <c r="C602" s="88" t="n">
        <v>602</v>
      </c>
      <c r="E602" s="1">
        <f>B602</f>
        <v/>
      </c>
      <c r="F602" s="2">
        <f>B602</f>
        <v/>
      </c>
      <c r="G602" s="88" t="n">
        <v>600</v>
      </c>
      <c r="H602" s="89" t="n"/>
      <c r="I602" s="89" t="n"/>
      <c r="J602" s="89" t="n">
        <v>40.08382</v>
      </c>
      <c r="K602" s="89" t="n">
        <v>39.33187</v>
      </c>
      <c r="L602" s="89" t="n"/>
      <c r="M602" s="89" t="n"/>
      <c r="N602" s="89" t="n">
        <v>44.93037</v>
      </c>
      <c r="O602" s="89" t="n"/>
      <c r="P602" s="89" t="n">
        <v>45.4551</v>
      </c>
      <c r="Q602" s="89" t="n"/>
      <c r="R602" s="89" t="n">
        <v>27.45313</v>
      </c>
      <c r="S602" s="89" t="n">
        <v>56.42823</v>
      </c>
      <c r="T602" s="89" t="n">
        <v>70.50884000000001</v>
      </c>
      <c r="U602" s="89" t="n">
        <v>49.23725</v>
      </c>
      <c r="V602" s="89" t="n"/>
      <c r="W602" s="89" t="n"/>
      <c r="X602" s="89" t="n"/>
      <c r="Y602" s="89" t="n"/>
      <c r="Z602" s="89" t="n">
        <v>65.86076</v>
      </c>
      <c r="AA602" s="89" t="n">
        <v>38.78345</v>
      </c>
      <c r="AB602" s="89" t="n"/>
      <c r="AC602" s="89" t="n">
        <v>50.44495</v>
      </c>
      <c r="AD602" s="89" t="n"/>
      <c r="AE602" s="89" t="n"/>
      <c r="AF602" s="89" t="n">
        <v>43.13767</v>
      </c>
      <c r="AG602" s="89" t="n">
        <v>34.93394</v>
      </c>
      <c r="AH602" s="89" t="n"/>
      <c r="AI602" s="89" t="n"/>
      <c r="AJ602" s="89" t="n">
        <v>34.75463</v>
      </c>
      <c r="AK602" s="89" t="n"/>
      <c r="AL602" s="89" t="n"/>
      <c r="AM602" s="89" t="n">
        <v>47.75328</v>
      </c>
      <c r="AN602" s="89" t="n"/>
      <c r="AO602" s="89" t="n">
        <v>37.78693</v>
      </c>
      <c r="AP602" s="89" t="n"/>
      <c r="AQ602" s="89" t="n"/>
      <c r="AR602" s="89" t="n"/>
      <c r="AS602" s="89" t="n"/>
      <c r="AT602" s="89" t="n"/>
      <c r="AU602" s="89" t="n"/>
      <c r="AV602" s="89" t="n"/>
      <c r="AW602" s="89" t="n"/>
      <c r="AX602" s="89" t="n"/>
      <c r="AY602" s="89" t="n"/>
    </row>
    <row r="603">
      <c r="A603" t="inlineStr">
        <is>
          <t>1969-02</t>
        </is>
      </c>
      <c r="B603" s="1" t="n">
        <v>25235</v>
      </c>
      <c r="C603" s="88" t="n">
        <v>603</v>
      </c>
      <c r="E603" s="1">
        <f>B603</f>
        <v/>
      </c>
      <c r="F603" s="2">
        <f>B603</f>
        <v/>
      </c>
      <c r="G603" s="88" t="n">
        <v>601</v>
      </c>
      <c r="H603" s="89" t="n"/>
      <c r="I603" s="89" t="n"/>
      <c r="J603" s="89" t="n">
        <v>39.31353</v>
      </c>
      <c r="K603" s="89" t="n">
        <v>39.87415</v>
      </c>
      <c r="L603" s="89" t="n"/>
      <c r="M603" s="89" t="n"/>
      <c r="N603" s="89" t="n">
        <v>45.17724</v>
      </c>
      <c r="O603" s="89" t="n"/>
      <c r="P603" s="89" t="n">
        <v>43.95344</v>
      </c>
      <c r="Q603" s="89" t="n"/>
      <c r="R603" s="89" t="n">
        <v>27.77906</v>
      </c>
      <c r="S603" s="89" t="n">
        <v>55.81753</v>
      </c>
      <c r="T603" s="89" t="n">
        <v>70.80181</v>
      </c>
      <c r="U603" s="89" t="n">
        <v>50.74512</v>
      </c>
      <c r="V603" s="89" t="n"/>
      <c r="W603" s="89" t="n"/>
      <c r="X603" s="89" t="n"/>
      <c r="Y603" s="89" t="n"/>
      <c r="Z603" s="89" t="n">
        <v>63.88152</v>
      </c>
      <c r="AA603" s="89" t="n">
        <v>39.37236</v>
      </c>
      <c r="AB603" s="89" t="n"/>
      <c r="AC603" s="89" t="n">
        <v>49.03276</v>
      </c>
      <c r="AD603" s="89" t="n"/>
      <c r="AE603" s="89" t="n"/>
      <c r="AF603" s="89" t="n">
        <v>43.13767</v>
      </c>
      <c r="AG603" s="89" t="n">
        <v>33.94566</v>
      </c>
      <c r="AH603" s="89" t="n"/>
      <c r="AI603" s="89" t="n"/>
      <c r="AJ603" s="89" t="n">
        <v>35.55485</v>
      </c>
      <c r="AK603" s="89" t="n"/>
      <c r="AL603" s="89" t="n"/>
      <c r="AM603" s="89" t="n">
        <v>46.84369</v>
      </c>
      <c r="AN603" s="89" t="n"/>
      <c r="AO603" s="89" t="n">
        <v>38.02869</v>
      </c>
      <c r="AP603" s="89" t="n"/>
      <c r="AQ603" s="89" t="n"/>
      <c r="AR603" s="89" t="n"/>
      <c r="AS603" s="89" t="n"/>
      <c r="AT603" s="89" t="n"/>
      <c r="AU603" s="89" t="n"/>
      <c r="AV603" s="89" t="n"/>
      <c r="AW603" s="89" t="n"/>
      <c r="AX603" s="89" t="n"/>
      <c r="AY603" s="89" t="n"/>
    </row>
    <row r="604">
      <c r="A604" t="inlineStr">
        <is>
          <t>1969-03</t>
        </is>
      </c>
      <c r="B604" s="1" t="n">
        <v>25263</v>
      </c>
      <c r="C604" s="88" t="n">
        <v>604</v>
      </c>
      <c r="E604" s="1">
        <f>B604</f>
        <v/>
      </c>
      <c r="F604" s="2">
        <f>B604</f>
        <v/>
      </c>
      <c r="G604" s="88" t="n">
        <v>602</v>
      </c>
      <c r="H604" s="89" t="n"/>
      <c r="I604" s="89" t="n"/>
      <c r="J604" s="89" t="n">
        <v>39.92998</v>
      </c>
      <c r="K604" s="89" t="n">
        <v>40.55927</v>
      </c>
      <c r="L604" s="89" t="n"/>
      <c r="M604" s="89" t="n"/>
      <c r="N604" s="89" t="n">
        <v>45.67098</v>
      </c>
      <c r="O604" s="89" t="n"/>
      <c r="P604" s="89" t="n">
        <v>46.89903</v>
      </c>
      <c r="Q604" s="89" t="n"/>
      <c r="R604" s="89" t="n">
        <v>28.25818</v>
      </c>
      <c r="S604" s="89" t="n">
        <v>55.81753</v>
      </c>
      <c r="T604" s="89" t="n">
        <v>70.80181</v>
      </c>
      <c r="U604" s="89" t="n">
        <v>50.91846</v>
      </c>
      <c r="V604" s="89" t="n"/>
      <c r="W604" s="89" t="n"/>
      <c r="X604" s="89" t="n"/>
      <c r="Y604" s="89" t="n"/>
      <c r="Z604" s="89" t="n">
        <v>65.86076</v>
      </c>
      <c r="AA604" s="89" t="n">
        <v>39.45649</v>
      </c>
      <c r="AB604" s="89" t="n"/>
      <c r="AC604" s="89" t="n">
        <v>49.2669</v>
      </c>
      <c r="AD604" s="89" t="n"/>
      <c r="AE604" s="89" t="n"/>
      <c r="AF604" s="89" t="n">
        <v>43.99471</v>
      </c>
      <c r="AG604" s="89" t="n">
        <v>34.59019</v>
      </c>
      <c r="AH604" s="89" t="n"/>
      <c r="AI604" s="89" t="n"/>
      <c r="AJ604" s="89" t="n">
        <v>34.02959</v>
      </c>
      <c r="AK604" s="89" t="n"/>
      <c r="AL604" s="89" t="n"/>
      <c r="AM604" s="89" t="n">
        <v>47.75328</v>
      </c>
      <c r="AN604" s="89" t="n"/>
      <c r="AO604" s="89" t="n">
        <v>38.32692</v>
      </c>
      <c r="AP604" s="89" t="n"/>
      <c r="AQ604" s="89" t="n"/>
      <c r="AR604" s="89" t="n"/>
      <c r="AS604" s="89" t="n"/>
      <c r="AT604" s="89" t="n"/>
      <c r="AU604" s="89" t="n"/>
      <c r="AV604" s="89" t="n"/>
      <c r="AW604" s="89" t="n"/>
      <c r="AX604" s="89" t="n"/>
      <c r="AY604" s="89" t="n"/>
    </row>
    <row r="605">
      <c r="A605" t="inlineStr">
        <is>
          <t>1969-04</t>
        </is>
      </c>
      <c r="B605" s="1" t="n">
        <v>25294</v>
      </c>
      <c r="C605" s="88" t="n">
        <v>605</v>
      </c>
      <c r="E605" s="1">
        <f>B605</f>
        <v/>
      </c>
      <c r="F605" s="2">
        <f>B605</f>
        <v/>
      </c>
      <c r="G605" s="88" t="n">
        <v>603</v>
      </c>
      <c r="H605" s="89" t="n"/>
      <c r="I605" s="89" t="n"/>
      <c r="J605" s="89" t="n">
        <v>40.79116</v>
      </c>
      <c r="K605" s="89" t="n">
        <v>40.1763</v>
      </c>
      <c r="L605" s="89" t="n"/>
      <c r="M605" s="89" t="n"/>
      <c r="N605" s="89" t="n">
        <v>45.97957</v>
      </c>
      <c r="O605" s="89" t="n"/>
      <c r="P605" s="89" t="n">
        <v>47</v>
      </c>
      <c r="Q605" s="89" t="n"/>
      <c r="R605" s="89" t="n">
        <v>28.40811</v>
      </c>
      <c r="S605" s="89" t="n">
        <v>57.64962</v>
      </c>
      <c r="T605" s="89" t="n">
        <v>71.87605000000001</v>
      </c>
      <c r="U605" s="89" t="n">
        <v>51.36948</v>
      </c>
      <c r="V605" s="89" t="n"/>
      <c r="W605" s="89" t="n"/>
      <c r="X605" s="89" t="n"/>
      <c r="Y605" s="89" t="n"/>
      <c r="Z605" s="89" t="n">
        <v>66.20201</v>
      </c>
      <c r="AA605" s="89" t="n">
        <v>40.55016</v>
      </c>
      <c r="AB605" s="89" t="n"/>
      <c r="AC605" s="89" t="n">
        <v>49.32602</v>
      </c>
      <c r="AD605" s="89" t="n"/>
      <c r="AE605" s="89" t="n"/>
      <c r="AF605" s="89" t="n">
        <v>44.56607</v>
      </c>
      <c r="AG605" s="89" t="n">
        <v>33.6019</v>
      </c>
      <c r="AH605" s="89" t="n"/>
      <c r="AI605" s="89" t="n"/>
      <c r="AJ605" s="89" t="n">
        <v>34.07749</v>
      </c>
      <c r="AK605" s="89" t="n"/>
      <c r="AL605" s="89" t="n"/>
      <c r="AM605" s="89" t="n">
        <v>48.66286</v>
      </c>
      <c r="AN605" s="89" t="n"/>
      <c r="AO605" s="89" t="n">
        <v>38.18592</v>
      </c>
      <c r="AP605" s="89" t="n"/>
      <c r="AQ605" s="89" t="n"/>
      <c r="AR605" s="89" t="n"/>
      <c r="AS605" s="89" t="n"/>
      <c r="AT605" s="89" t="n"/>
      <c r="AU605" s="89" t="n"/>
      <c r="AV605" s="89" t="n"/>
      <c r="AW605" s="89" t="n"/>
      <c r="AX605" s="89" t="n"/>
      <c r="AY605" s="89" t="n"/>
    </row>
    <row r="606">
      <c r="A606" t="inlineStr">
        <is>
          <t>1969-05</t>
        </is>
      </c>
      <c r="B606" s="1" t="n">
        <v>25324</v>
      </c>
      <c r="C606" s="88" t="n">
        <v>606</v>
      </c>
      <c r="E606" s="1">
        <f>B606</f>
        <v/>
      </c>
      <c r="F606" s="2">
        <f>B606</f>
        <v/>
      </c>
      <c r="G606" s="88" t="n">
        <v>604</v>
      </c>
      <c r="H606" s="89" t="n"/>
      <c r="I606" s="89" t="n"/>
      <c r="J606" s="89" t="n">
        <v>41.16734</v>
      </c>
      <c r="K606" s="89" t="n">
        <v>40.14199</v>
      </c>
      <c r="L606" s="89" t="n"/>
      <c r="M606" s="89" t="n"/>
      <c r="N606" s="89" t="n">
        <v>46.53503</v>
      </c>
      <c r="O606" s="89" t="n"/>
      <c r="P606" s="89" t="n">
        <v>47.61248</v>
      </c>
      <c r="Q606" s="89" t="n"/>
      <c r="R606" s="89" t="n">
        <v>28.91982</v>
      </c>
      <c r="S606" s="89" t="n">
        <v>58.99314</v>
      </c>
      <c r="T606" s="89" t="n">
        <v>71.87605000000001</v>
      </c>
      <c r="U606" s="89" t="n">
        <v>52.74648</v>
      </c>
      <c r="V606" s="89" t="n"/>
      <c r="W606" s="89" t="n"/>
      <c r="X606" s="89" t="n"/>
      <c r="Y606" s="89" t="n"/>
      <c r="Z606" s="89" t="n">
        <v>65.04176</v>
      </c>
      <c r="AA606" s="89" t="n">
        <v>41.47558</v>
      </c>
      <c r="AB606" s="89" t="n"/>
      <c r="AC606" s="89" t="n">
        <v>48.40438</v>
      </c>
      <c r="AD606" s="89" t="n"/>
      <c r="AE606" s="89" t="n"/>
      <c r="AF606" s="89" t="n">
        <v>45.13743</v>
      </c>
      <c r="AG606" s="89" t="n">
        <v>34.1605</v>
      </c>
      <c r="AH606" s="89" t="n"/>
      <c r="AI606" s="89" t="n"/>
      <c r="AJ606" s="89" t="n">
        <v>33.28369</v>
      </c>
      <c r="AK606" s="89" t="n"/>
      <c r="AL606" s="89" t="n"/>
      <c r="AM606" s="89" t="n">
        <v>48.20807</v>
      </c>
      <c r="AN606" s="89" t="n"/>
      <c r="AO606" s="89" t="n">
        <v>38.04156</v>
      </c>
      <c r="AP606" s="89" t="n"/>
      <c r="AQ606" s="89" t="n"/>
      <c r="AR606" s="89" t="n"/>
      <c r="AS606" s="89" t="n"/>
      <c r="AT606" s="89" t="n"/>
      <c r="AU606" s="89" t="n"/>
      <c r="AV606" s="89" t="n"/>
      <c r="AW606" s="89" t="n"/>
      <c r="AX606" s="89" t="n"/>
      <c r="AY606" s="89" t="n"/>
    </row>
    <row r="607">
      <c r="A607" t="inlineStr">
        <is>
          <t>1969-06</t>
        </is>
      </c>
      <c r="B607" s="1" t="n">
        <v>25355</v>
      </c>
      <c r="C607" s="88" t="n">
        <v>607</v>
      </c>
      <c r="E607" s="1">
        <f>B607</f>
        <v/>
      </c>
      <c r="F607" s="2">
        <f>B607</f>
        <v/>
      </c>
      <c r="G607" s="88" t="n">
        <v>605</v>
      </c>
      <c r="H607" s="89" t="n"/>
      <c r="I607" s="89" t="n"/>
      <c r="J607" s="89" t="n">
        <v>41.31296</v>
      </c>
      <c r="K607" s="89" t="n">
        <v>40.20308</v>
      </c>
      <c r="L607" s="89" t="n"/>
      <c r="M607" s="89" t="n"/>
      <c r="N607" s="89" t="n">
        <v>47.02877</v>
      </c>
      <c r="O607" s="89" t="n"/>
      <c r="P607" s="89" t="n">
        <v>47.00481</v>
      </c>
      <c r="Q607" s="89" t="n"/>
      <c r="R607" s="89" t="n">
        <v>28.81878</v>
      </c>
      <c r="S607" s="89" t="n">
        <v>58.26031</v>
      </c>
      <c r="T607" s="89" t="n">
        <v>72.36433</v>
      </c>
      <c r="U607" s="89" t="n">
        <v>53.53896</v>
      </c>
      <c r="V607" s="89" t="n"/>
      <c r="W607" s="89" t="n"/>
      <c r="X607" s="89" t="n"/>
      <c r="Y607" s="89" t="n"/>
      <c r="Z607" s="89" t="n">
        <v>66.81625</v>
      </c>
      <c r="AA607" s="89" t="n">
        <v>41.13906</v>
      </c>
      <c r="AB607" s="89" t="n"/>
      <c r="AC607" s="89" t="n">
        <v>50.51594</v>
      </c>
      <c r="AD607" s="89" t="n"/>
      <c r="AE607" s="89" t="n"/>
      <c r="AF607" s="89" t="n">
        <v>45.70879</v>
      </c>
      <c r="AG607" s="89" t="n">
        <v>34.50425</v>
      </c>
      <c r="AH607" s="89" t="n"/>
      <c r="AI607" s="89" t="n"/>
      <c r="AJ607" s="89" t="n">
        <v>35.42645</v>
      </c>
      <c r="AK607" s="89" t="n"/>
      <c r="AL607" s="89" t="n"/>
      <c r="AM607" s="89" t="n">
        <v>49.57245</v>
      </c>
      <c r="AN607" s="89" t="n"/>
      <c r="AO607" s="89" t="n">
        <v>38.41318</v>
      </c>
      <c r="AP607" s="89" t="n"/>
      <c r="AQ607" s="89" t="n"/>
      <c r="AR607" s="89" t="n"/>
      <c r="AS607" s="89" t="n"/>
      <c r="AT607" s="89" t="n"/>
      <c r="AU607" s="89" t="n"/>
      <c r="AV607" s="89" t="n"/>
      <c r="AW607" s="89" t="n"/>
      <c r="AX607" s="89" t="n"/>
      <c r="AY607" s="89" t="n"/>
    </row>
    <row r="608">
      <c r="A608" t="inlineStr">
        <is>
          <t>1969-07</t>
        </is>
      </c>
      <c r="B608" s="1" t="n">
        <v>25385</v>
      </c>
      <c r="C608" s="88" t="n">
        <v>608</v>
      </c>
      <c r="E608" s="1">
        <f>B608</f>
        <v/>
      </c>
      <c r="F608" s="2">
        <f>B608</f>
        <v/>
      </c>
      <c r="G608" s="88" t="n">
        <v>606</v>
      </c>
      <c r="H608" s="89" t="n"/>
      <c r="I608" s="89" t="n"/>
      <c r="J608" s="89" t="n">
        <v>42.16451</v>
      </c>
      <c r="K608" s="89" t="n">
        <v>40.54752</v>
      </c>
      <c r="L608" s="89" t="n"/>
      <c r="M608" s="89" t="n"/>
      <c r="N608" s="89" t="n">
        <v>46.90533</v>
      </c>
      <c r="O608" s="89" t="n"/>
      <c r="P608" s="89" t="n">
        <v>47.28983</v>
      </c>
      <c r="Q608" s="89" t="n"/>
      <c r="R608" s="89" t="n">
        <v>29.52279</v>
      </c>
      <c r="S608" s="89" t="n">
        <v>58.50459</v>
      </c>
      <c r="T608" s="89" t="n">
        <v>72.07137</v>
      </c>
      <c r="U608" s="89" t="n">
        <v>54.11185</v>
      </c>
      <c r="V608" s="89" t="n"/>
      <c r="W608" s="89" t="n"/>
      <c r="X608" s="89" t="n"/>
      <c r="Y608" s="89" t="n"/>
      <c r="Z608" s="89" t="n">
        <v>67.08925000000001</v>
      </c>
      <c r="AA608" s="89" t="n">
        <v>41.72797</v>
      </c>
      <c r="AB608" s="89" t="n"/>
      <c r="AC608" s="89" t="n">
        <v>50.87518</v>
      </c>
      <c r="AD608" s="89" t="n"/>
      <c r="AE608" s="89" t="n"/>
      <c r="AF608" s="89" t="n">
        <v>46.28016</v>
      </c>
      <c r="AG608" s="89" t="n">
        <v>34.84801</v>
      </c>
      <c r="AH608" s="89" t="n"/>
      <c r="AI608" s="89" t="n"/>
      <c r="AJ608" s="89" t="n">
        <v>31.46726</v>
      </c>
      <c r="AK608" s="89" t="n"/>
      <c r="AL608" s="89" t="n"/>
      <c r="AM608" s="89" t="n">
        <v>53.2108</v>
      </c>
      <c r="AN608" s="89" t="n"/>
      <c r="AO608" s="89" t="n">
        <v>38.61604</v>
      </c>
      <c r="AP608" s="89" t="n"/>
      <c r="AQ608" s="89" t="n"/>
      <c r="AR608" s="89" t="n"/>
      <c r="AS608" s="89" t="n"/>
      <c r="AT608" s="89" t="n"/>
      <c r="AU608" s="89" t="n"/>
      <c r="AV608" s="89" t="n"/>
      <c r="AW608" s="89" t="n"/>
      <c r="AX608" s="89" t="n"/>
      <c r="AY608" s="89" t="n"/>
    </row>
    <row r="609">
      <c r="A609" t="inlineStr">
        <is>
          <t>1969-08</t>
        </is>
      </c>
      <c r="B609" s="1" t="n">
        <v>25416</v>
      </c>
      <c r="C609" s="88" t="n">
        <v>609</v>
      </c>
      <c r="E609" s="1">
        <f>B609</f>
        <v/>
      </c>
      <c r="F609" s="2">
        <f>B609</f>
        <v/>
      </c>
      <c r="G609" s="88" t="n">
        <v>607</v>
      </c>
      <c r="H609" s="89" t="n"/>
      <c r="I609" s="89" t="n"/>
      <c r="J609" s="89" t="n">
        <v>41.69702</v>
      </c>
      <c r="K609" s="89" t="n">
        <v>39.80601</v>
      </c>
      <c r="L609" s="89" t="n"/>
      <c r="M609" s="89" t="n"/>
      <c r="N609" s="89" t="n">
        <v>48.2014</v>
      </c>
      <c r="O609" s="89" t="n"/>
      <c r="P609" s="89" t="n">
        <v>48.43943</v>
      </c>
      <c r="Q609" s="89" t="n"/>
      <c r="R609" s="89" t="n">
        <v>29.79331</v>
      </c>
      <c r="S609" s="89" t="n">
        <v>58.50459</v>
      </c>
      <c r="T609" s="89" t="n">
        <v>71.09479</v>
      </c>
      <c r="U609" s="89" t="n">
        <v>54.49424</v>
      </c>
      <c r="V609" s="89" t="n"/>
      <c r="W609" s="89" t="n"/>
      <c r="X609" s="89" t="n"/>
      <c r="Y609" s="89" t="n"/>
      <c r="Z609" s="89" t="n">
        <v>66.06551</v>
      </c>
      <c r="AA609" s="89" t="n">
        <v>42.06448</v>
      </c>
      <c r="AB609" s="89" t="n"/>
      <c r="AC609" s="89" t="n">
        <v>50.3707</v>
      </c>
      <c r="AD609" s="89" t="n"/>
      <c r="AE609" s="89" t="n"/>
      <c r="AF609" s="89" t="n">
        <v>46.85151</v>
      </c>
      <c r="AG609" s="89" t="n">
        <v>35.32067</v>
      </c>
      <c r="AH609" s="89" t="n"/>
      <c r="AI609" s="89" t="n"/>
      <c r="AJ609" s="89" t="n">
        <v>38.09852</v>
      </c>
      <c r="AK609" s="89" t="n"/>
      <c r="AL609" s="89" t="n"/>
      <c r="AM609" s="89" t="n">
        <v>49.11766</v>
      </c>
      <c r="AN609" s="89" t="n"/>
      <c r="AO609" s="89" t="n">
        <v>38.70479</v>
      </c>
      <c r="AP609" s="89" t="n"/>
      <c r="AQ609" s="89" t="n"/>
      <c r="AR609" s="89" t="n"/>
      <c r="AS609" s="89" t="n"/>
      <c r="AT609" s="89" t="n"/>
      <c r="AU609" s="89" t="n"/>
      <c r="AV609" s="89" t="n"/>
      <c r="AW609" s="89" t="n"/>
      <c r="AX609" s="89" t="n"/>
      <c r="AY609" s="89" t="n"/>
    </row>
    <row r="610">
      <c r="A610" t="inlineStr">
        <is>
          <t>1969-09</t>
        </is>
      </c>
      <c r="B610" s="1" t="n">
        <v>25447</v>
      </c>
      <c r="C610" s="88" t="n">
        <v>610</v>
      </c>
      <c r="E610" s="1">
        <f>B610</f>
        <v/>
      </c>
      <c r="F610" s="2">
        <f>B610</f>
        <v/>
      </c>
      <c r="G610" s="88" t="n">
        <v>608</v>
      </c>
      <c r="H610" s="89" t="n"/>
      <c r="I610" s="89" t="n"/>
      <c r="J610" s="89" t="n">
        <v>41.29986</v>
      </c>
      <c r="K610" s="89" t="n">
        <v>39.93007</v>
      </c>
      <c r="L610" s="89" t="n"/>
      <c r="M610" s="89" t="n"/>
      <c r="N610" s="89" t="n">
        <v>47.76938</v>
      </c>
      <c r="O610" s="89" t="n"/>
      <c r="P610" s="89" t="n">
        <v>49.13721</v>
      </c>
      <c r="Q610" s="89" t="n"/>
      <c r="R610" s="89" t="n">
        <v>29.6825</v>
      </c>
      <c r="S610" s="89" t="n">
        <v>57.77176</v>
      </c>
      <c r="T610" s="89" t="n">
        <v>71.19244</v>
      </c>
      <c r="U610" s="89" t="n">
        <v>54.80167</v>
      </c>
      <c r="V610" s="89" t="n"/>
      <c r="W610" s="89" t="n"/>
      <c r="X610" s="89" t="n"/>
      <c r="Y610" s="89" t="n"/>
      <c r="Z610" s="89" t="n">
        <v>62.44828</v>
      </c>
      <c r="AA610" s="89" t="n">
        <v>42.9899</v>
      </c>
      <c r="AB610" s="89" t="n"/>
      <c r="AC610" s="89" t="n">
        <v>51.55464</v>
      </c>
      <c r="AD610" s="89" t="n"/>
      <c r="AE610" s="89" t="n"/>
      <c r="AF610" s="89" t="n">
        <v>46.56583</v>
      </c>
      <c r="AG610" s="89" t="n">
        <v>35.23473</v>
      </c>
      <c r="AH610" s="89" t="n"/>
      <c r="AI610" s="89" t="n"/>
      <c r="AJ610" s="89" t="n">
        <v>36.22587</v>
      </c>
      <c r="AK610" s="89" t="n"/>
      <c r="AL610" s="89" t="n"/>
      <c r="AM610" s="89" t="n">
        <v>50.02724</v>
      </c>
      <c r="AN610" s="89" t="n"/>
      <c r="AO610" s="89" t="n">
        <v>38.69605</v>
      </c>
      <c r="AP610" s="89" t="n"/>
      <c r="AQ610" s="89" t="n"/>
      <c r="AR610" s="89" t="n"/>
      <c r="AS610" s="89" t="n"/>
      <c r="AT610" s="89" t="n"/>
      <c r="AU610" s="89" t="n"/>
      <c r="AV610" s="89" t="n"/>
      <c r="AW610" s="89" t="n"/>
      <c r="AX610" s="89" t="n"/>
      <c r="AY610" s="89" t="n"/>
    </row>
    <row r="611">
      <c r="A611" t="inlineStr">
        <is>
          <t>1969-10</t>
        </is>
      </c>
      <c r="B611" s="1" t="n">
        <v>25477</v>
      </c>
      <c r="C611" s="88" t="n">
        <v>611</v>
      </c>
      <c r="E611" s="1">
        <f>B611</f>
        <v/>
      </c>
      <c r="F611" s="2">
        <f>B611</f>
        <v/>
      </c>
      <c r="G611" s="88" t="n">
        <v>609</v>
      </c>
      <c r="H611" s="89" t="n"/>
      <c r="I611" s="89" t="n"/>
      <c r="J611" s="89" t="n">
        <v>41.74018</v>
      </c>
      <c r="K611" s="89" t="n">
        <v>39.6171</v>
      </c>
      <c r="L611" s="89" t="n"/>
      <c r="M611" s="89" t="n"/>
      <c r="N611" s="89" t="n">
        <v>48.38655</v>
      </c>
      <c r="O611" s="89" t="n"/>
      <c r="P611" s="89" t="n">
        <v>50.3732</v>
      </c>
      <c r="Q611" s="89" t="n"/>
      <c r="R611" s="89" t="n">
        <v>29.96606</v>
      </c>
      <c r="S611" s="89" t="n">
        <v>59.72598</v>
      </c>
      <c r="T611" s="89" t="n">
        <v>70.02055</v>
      </c>
      <c r="U611" s="89" t="n">
        <v>55.15073</v>
      </c>
      <c r="V611" s="89" t="n"/>
      <c r="W611" s="89" t="n"/>
      <c r="X611" s="89" t="n"/>
      <c r="Y611" s="89" t="n"/>
      <c r="Z611" s="89" t="n">
        <v>59.58181</v>
      </c>
      <c r="AA611" s="89" t="n">
        <v>44.16771</v>
      </c>
      <c r="AB611" s="89" t="n"/>
      <c r="AC611" s="89" t="n">
        <v>51.81139</v>
      </c>
      <c r="AD611" s="89" t="n"/>
      <c r="AE611" s="89" t="n"/>
      <c r="AF611" s="89" t="n">
        <v>47.13719</v>
      </c>
      <c r="AG611" s="89" t="n">
        <v>35.2777</v>
      </c>
      <c r="AH611" s="89" t="n"/>
      <c r="AI611" s="89" t="n"/>
      <c r="AJ611" s="89" t="n">
        <v>34.69655</v>
      </c>
      <c r="AK611" s="89" t="n"/>
      <c r="AL611" s="89" t="n"/>
      <c r="AM611" s="89" t="n">
        <v>51.39162</v>
      </c>
      <c r="AN611" s="89" t="n"/>
      <c r="AO611" s="89" t="n">
        <v>38.70738</v>
      </c>
      <c r="AP611" s="89" t="n"/>
      <c r="AQ611" s="89" t="n"/>
      <c r="AR611" s="89" t="n"/>
      <c r="AS611" s="89" t="n"/>
      <c r="AT611" s="89" t="n"/>
      <c r="AU611" s="89" t="n"/>
      <c r="AV611" s="89" t="n"/>
      <c r="AW611" s="89" t="n"/>
      <c r="AX611" s="89" t="n"/>
      <c r="AY611" s="89" t="n"/>
    </row>
    <row r="612">
      <c r="A612" t="inlineStr">
        <is>
          <t>1969-11</t>
        </is>
      </c>
      <c r="B612" s="1" t="n">
        <v>25508</v>
      </c>
      <c r="C612" s="88" t="n">
        <v>612</v>
      </c>
      <c r="E612" s="1">
        <f>B612</f>
        <v/>
      </c>
      <c r="F612" s="2">
        <f>B612</f>
        <v/>
      </c>
      <c r="G612" s="88" t="n">
        <v>610</v>
      </c>
      <c r="H612" s="89" t="n"/>
      <c r="I612" s="89" t="n"/>
      <c r="J612" s="89" t="n">
        <v>42.02425</v>
      </c>
      <c r="K612" s="89" t="n">
        <v>40.09735</v>
      </c>
      <c r="L612" s="89" t="n"/>
      <c r="M612" s="89" t="n"/>
      <c r="N612" s="89" t="n">
        <v>49.12716</v>
      </c>
      <c r="O612" s="89" t="n"/>
      <c r="P612" s="89" t="n">
        <v>48.02967</v>
      </c>
      <c r="Q612" s="89" t="n"/>
      <c r="R612" s="89" t="n">
        <v>30.66029</v>
      </c>
      <c r="S612" s="89" t="n">
        <v>58.32138</v>
      </c>
      <c r="T612" s="89" t="n">
        <v>71.48542</v>
      </c>
      <c r="U612" s="89" t="n">
        <v>55.65533</v>
      </c>
      <c r="V612" s="89" t="n"/>
      <c r="W612" s="89" t="n"/>
      <c r="X612" s="89" t="n"/>
      <c r="Y612" s="89" t="n"/>
      <c r="Z612" s="89" t="n">
        <v>58.28506</v>
      </c>
      <c r="AA612" s="89" t="n">
        <v>44.16771</v>
      </c>
      <c r="AB612" s="89" t="n"/>
      <c r="AC612" s="89" t="n">
        <v>52.83282</v>
      </c>
      <c r="AD612" s="89" t="n"/>
      <c r="AE612" s="89" t="n"/>
      <c r="AF612" s="89" t="n">
        <v>48.27991</v>
      </c>
      <c r="AG612" s="89" t="n">
        <v>35.87927</v>
      </c>
      <c r="AH612" s="89" t="n"/>
      <c r="AI612" s="89" t="n"/>
      <c r="AJ612" s="89" t="n">
        <v>35.90848</v>
      </c>
      <c r="AK612" s="89" t="n"/>
      <c r="AL612" s="89" t="n"/>
      <c r="AM612" s="89" t="n">
        <v>52.30121</v>
      </c>
      <c r="AN612" s="89" t="n"/>
      <c r="AO612" s="89" t="n">
        <v>38.34248</v>
      </c>
      <c r="AP612" s="89" t="n"/>
      <c r="AQ612" s="89" t="n"/>
      <c r="AR612" s="89" t="n"/>
      <c r="AS612" s="89" t="n"/>
      <c r="AT612" s="89" t="n"/>
      <c r="AU612" s="89" t="n"/>
      <c r="AV612" s="89" t="n"/>
      <c r="AW612" s="89" t="n"/>
      <c r="AX612" s="89" t="n"/>
      <c r="AY612" s="89" t="n"/>
    </row>
    <row r="613">
      <c r="A613" t="inlineStr">
        <is>
          <t>1969-12</t>
        </is>
      </c>
      <c r="B613" s="1" t="n">
        <v>25538</v>
      </c>
      <c r="C613" s="88" t="n">
        <v>613</v>
      </c>
      <c r="E613" s="1">
        <f>B613</f>
        <v/>
      </c>
      <c r="F613" s="2">
        <f>B613</f>
        <v/>
      </c>
      <c r="G613" s="88" t="n">
        <v>611</v>
      </c>
      <c r="H613" s="89" t="n"/>
      <c r="I613" s="89" t="n"/>
      <c r="J613" s="89" t="n">
        <v>41.40594</v>
      </c>
      <c r="K613" s="89" t="n">
        <v>40.46059</v>
      </c>
      <c r="L613" s="89" t="n"/>
      <c r="M613" s="89" t="n"/>
      <c r="N613" s="89" t="n">
        <v>48.75686</v>
      </c>
      <c r="O613" s="89" t="n"/>
      <c r="P613" s="89" t="n">
        <v>49.19986</v>
      </c>
      <c r="Q613" s="89" t="n"/>
      <c r="R613" s="89" t="n">
        <v>31.08726</v>
      </c>
      <c r="S613" s="89" t="n">
        <v>58.44352</v>
      </c>
      <c r="T613" s="89" t="n">
        <v>72.07137</v>
      </c>
      <c r="U613" s="89" t="n">
        <v>53.72216</v>
      </c>
      <c r="V613" s="89" t="n"/>
      <c r="W613" s="89" t="n"/>
      <c r="X613" s="89" t="n"/>
      <c r="Y613" s="89" t="n"/>
      <c r="Z613" s="89" t="n">
        <v>60.8103</v>
      </c>
      <c r="AA613" s="89" t="n">
        <v>45.009</v>
      </c>
      <c r="AB613" s="89" t="n"/>
      <c r="AC613" s="89" t="n">
        <v>52.54358</v>
      </c>
      <c r="AD613" s="89" t="n"/>
      <c r="AE613" s="89" t="n"/>
      <c r="AF613" s="89" t="n">
        <v>47.70855</v>
      </c>
      <c r="AG613" s="89" t="n">
        <v>36.00817</v>
      </c>
      <c r="AH613" s="89" t="n"/>
      <c r="AI613" s="89" t="n"/>
      <c r="AJ613" s="89" t="n">
        <v>37.73957</v>
      </c>
      <c r="AK613" s="89" t="n"/>
      <c r="AL613" s="89" t="n"/>
      <c r="AM613" s="89" t="n">
        <v>51.39162</v>
      </c>
      <c r="AN613" s="89" t="n"/>
      <c r="AO613" s="89" t="n">
        <v>38.23961</v>
      </c>
      <c r="AP613" s="89" t="n"/>
      <c r="AQ613" s="89" t="n"/>
      <c r="AR613" s="89" t="n"/>
      <c r="AS613" s="89" t="n"/>
      <c r="AT613" s="89" t="n"/>
      <c r="AU613" s="89" t="n"/>
      <c r="AV613" s="89" t="n"/>
      <c r="AW613" s="89" t="n"/>
      <c r="AX613" s="89" t="n"/>
      <c r="AY613" s="89" t="n"/>
    </row>
    <row r="614">
      <c r="A614" t="inlineStr">
        <is>
          <t>1970-01</t>
        </is>
      </c>
      <c r="B614" s="1" t="n">
        <v>25569</v>
      </c>
      <c r="C614" s="88" t="n">
        <v>614</v>
      </c>
      <c r="E614" s="1">
        <f>B614</f>
        <v/>
      </c>
      <c r="F614" s="2">
        <f>B614</f>
        <v/>
      </c>
      <c r="G614" s="88" t="n">
        <v>612</v>
      </c>
      <c r="H614" s="89" t="n"/>
      <c r="I614" s="89" t="n"/>
      <c r="J614" s="89" t="n">
        <v>40.5689</v>
      </c>
      <c r="K614" s="89" t="n">
        <v>40.20449</v>
      </c>
      <c r="L614" s="89" t="n"/>
      <c r="M614" s="89" t="n"/>
      <c r="N614" s="89" t="n">
        <v>48.88029</v>
      </c>
      <c r="O614" s="89" t="n"/>
      <c r="P614" s="89" t="n">
        <v>49.92223</v>
      </c>
      <c r="Q614" s="89" t="n"/>
      <c r="R614" s="89" t="n">
        <v>31.82386</v>
      </c>
      <c r="S614" s="89" t="n">
        <v>60.0924</v>
      </c>
      <c r="T614" s="89" t="n">
        <v>70.31352</v>
      </c>
      <c r="U614" s="89" t="n">
        <v>56.70107</v>
      </c>
      <c r="V614" s="89" t="n"/>
      <c r="W614" s="89" t="n"/>
      <c r="X614" s="89" t="n"/>
      <c r="Y614" s="89" t="n"/>
      <c r="Z614" s="89" t="n">
        <v>68.18124</v>
      </c>
      <c r="AA614" s="89" t="n">
        <v>45.5979</v>
      </c>
      <c r="AB614" s="89" t="n"/>
      <c r="AC614" s="89" t="n">
        <v>52.97735</v>
      </c>
      <c r="AD614" s="89" t="n"/>
      <c r="AE614" s="89" t="n"/>
      <c r="AF614" s="89" t="n">
        <v>48.59224</v>
      </c>
      <c r="AG614" s="89" t="n">
        <v>34.89098</v>
      </c>
      <c r="AH614" s="89" t="n"/>
      <c r="AI614" s="89" t="n"/>
      <c r="AJ614" s="89" t="n">
        <v>36.76816</v>
      </c>
      <c r="AK614" s="89" t="n"/>
      <c r="AL614" s="89" t="n"/>
      <c r="AM614" s="89" t="n">
        <v>50.48204</v>
      </c>
      <c r="AN614" s="89" t="n"/>
      <c r="AO614" s="89" t="n">
        <v>37.53152</v>
      </c>
      <c r="AP614" s="89" t="n"/>
      <c r="AQ614" s="89" t="n"/>
      <c r="AR614" s="89" t="n"/>
      <c r="AS614" s="89" t="n"/>
      <c r="AT614" s="89" t="n"/>
      <c r="AU614" s="89" t="n"/>
      <c r="AV614" s="89" t="n"/>
      <c r="AW614" s="89" t="n"/>
      <c r="AX614" s="89" t="n"/>
      <c r="AY614" s="89" t="n"/>
    </row>
    <row r="615">
      <c r="A615" t="inlineStr">
        <is>
          <t>1970-02</t>
        </is>
      </c>
      <c r="B615" s="1" t="n">
        <v>25600</v>
      </c>
      <c r="C615" s="88" t="n">
        <v>615</v>
      </c>
      <c r="E615" s="1">
        <f>B615</f>
        <v/>
      </c>
      <c r="F615" s="2">
        <f>B615</f>
        <v/>
      </c>
      <c r="G615" s="88" t="n">
        <v>613</v>
      </c>
      <c r="H615" s="89" t="n"/>
      <c r="I615" s="89" t="n"/>
      <c r="J615" s="89" t="n">
        <v>41.71854</v>
      </c>
      <c r="K615" s="89" t="n">
        <v>40.57478</v>
      </c>
      <c r="L615" s="89" t="n"/>
      <c r="M615" s="89" t="n"/>
      <c r="N615" s="89" t="n">
        <v>49.55919</v>
      </c>
      <c r="O615" s="89" t="n"/>
      <c r="P615" s="89" t="n">
        <v>50.01731</v>
      </c>
      <c r="Q615" s="89" t="n"/>
      <c r="R615" s="89" t="n">
        <v>31.70979</v>
      </c>
      <c r="S615" s="89" t="n">
        <v>60.76416</v>
      </c>
      <c r="T615" s="89" t="n">
        <v>71.58308</v>
      </c>
      <c r="U615" s="89" t="n">
        <v>56.43026</v>
      </c>
      <c r="V615" s="89" t="n"/>
      <c r="W615" s="89" t="n"/>
      <c r="X615" s="89" t="n"/>
      <c r="Y615" s="89" t="n"/>
      <c r="Z615" s="89" t="n">
        <v>69.00024000000001</v>
      </c>
      <c r="AA615" s="89" t="n">
        <v>46.10268</v>
      </c>
      <c r="AB615" s="89" t="n"/>
      <c r="AC615" s="89" t="n">
        <v>52.32976</v>
      </c>
      <c r="AD615" s="89" t="n"/>
      <c r="AE615" s="89" t="n"/>
      <c r="AF615" s="89" t="n">
        <v>49.09319</v>
      </c>
      <c r="AG615" s="89" t="n">
        <v>35.36364</v>
      </c>
      <c r="AH615" s="89" t="n"/>
      <c r="AI615" s="89" t="n"/>
      <c r="AJ615" s="89" t="n">
        <v>36.59856</v>
      </c>
      <c r="AK615" s="89" t="n"/>
      <c r="AL615" s="89" t="n"/>
      <c r="AM615" s="89" t="n">
        <v>51.84642</v>
      </c>
      <c r="AN615" s="89" t="n"/>
      <c r="AO615" s="89" t="n">
        <v>37.50674</v>
      </c>
      <c r="AP615" s="89" t="n"/>
      <c r="AQ615" s="89" t="n"/>
      <c r="AR615" s="89" t="n"/>
      <c r="AS615" s="89" t="n"/>
      <c r="AT615" s="89" t="n"/>
      <c r="AU615" s="89" t="n"/>
      <c r="AV615" s="89" t="n"/>
      <c r="AW615" s="89" t="n"/>
      <c r="AX615" s="89" t="n"/>
      <c r="AY615" s="89" t="n"/>
    </row>
    <row r="616">
      <c r="A616" t="inlineStr">
        <is>
          <t>1970-03</t>
        </is>
      </c>
      <c r="B616" s="1" t="n">
        <v>25628</v>
      </c>
      <c r="C616" s="88" t="n">
        <v>616</v>
      </c>
      <c r="E616" s="1">
        <f>B616</f>
        <v/>
      </c>
      <c r="F616" s="2">
        <f>B616</f>
        <v/>
      </c>
      <c r="G616" s="88" t="n">
        <v>614</v>
      </c>
      <c r="H616" s="89" t="n"/>
      <c r="I616" s="89" t="n"/>
      <c r="J616" s="89" t="n">
        <v>42.75096</v>
      </c>
      <c r="K616" s="89" t="n">
        <v>39.89999</v>
      </c>
      <c r="L616" s="89" t="n"/>
      <c r="M616" s="89" t="n"/>
      <c r="N616" s="89" t="n">
        <v>49.74434</v>
      </c>
      <c r="O616" s="89" t="n"/>
      <c r="P616" s="89" t="n">
        <v>47.45348</v>
      </c>
      <c r="Q616" s="89" t="n"/>
      <c r="R616" s="89" t="n">
        <v>31.56312</v>
      </c>
      <c r="S616" s="89" t="n">
        <v>60.64202</v>
      </c>
      <c r="T616" s="89" t="n">
        <v>72.36433</v>
      </c>
      <c r="U616" s="89" t="n">
        <v>56.71939</v>
      </c>
      <c r="V616" s="89" t="n"/>
      <c r="W616" s="89" t="n"/>
      <c r="X616" s="89" t="n"/>
      <c r="Y616" s="89" t="n"/>
      <c r="Z616" s="89" t="n">
        <v>68.72723999999999</v>
      </c>
      <c r="AA616" s="89" t="n">
        <v>46.43919</v>
      </c>
      <c r="AB616" s="89" t="n"/>
      <c r="AC616" s="89" t="n">
        <v>53.15823</v>
      </c>
      <c r="AD616" s="89" t="n"/>
      <c r="AE616" s="89" t="n"/>
      <c r="AF616" s="89" t="n">
        <v>50.09509</v>
      </c>
      <c r="AG616" s="89" t="n">
        <v>37.34022</v>
      </c>
      <c r="AH616" s="89" t="n"/>
      <c r="AI616" s="89" t="n"/>
      <c r="AJ616" s="89" t="n">
        <v>36.8738</v>
      </c>
      <c r="AK616" s="89" t="n"/>
      <c r="AL616" s="89" t="n"/>
      <c r="AM616" s="89" t="n">
        <v>52.30121</v>
      </c>
      <c r="AN616" s="89" t="n"/>
      <c r="AO616" s="89" t="n">
        <v>37.45805</v>
      </c>
      <c r="AP616" s="89" t="n"/>
      <c r="AQ616" s="89" t="n"/>
      <c r="AR616" s="89" t="n"/>
      <c r="AS616" s="89" t="n"/>
      <c r="AT616" s="89" t="n"/>
      <c r="AU616" s="89" t="n"/>
      <c r="AV616" s="89" t="n"/>
      <c r="AW616" s="89" t="n"/>
      <c r="AX616" s="89" t="n"/>
      <c r="AY616" s="89" t="n"/>
    </row>
    <row r="617">
      <c r="A617" t="inlineStr">
        <is>
          <t>1970-04</t>
        </is>
      </c>
      <c r="B617" s="1" t="n">
        <v>25659</v>
      </c>
      <c r="C617" s="88" t="n">
        <v>617</v>
      </c>
      <c r="E617" s="1">
        <f>B617</f>
        <v/>
      </c>
      <c r="F617" s="2">
        <f>B617</f>
        <v/>
      </c>
      <c r="G617" s="88" t="n">
        <v>615</v>
      </c>
      <c r="H617" s="89" t="n"/>
      <c r="I617" s="89" t="n"/>
      <c r="J617" s="89" t="n">
        <v>41.50214</v>
      </c>
      <c r="K617" s="89" t="n">
        <v>39.32435</v>
      </c>
      <c r="L617" s="89" t="n"/>
      <c r="M617" s="89" t="n"/>
      <c r="N617" s="89" t="n">
        <v>50.23808</v>
      </c>
      <c r="O617" s="89" t="n"/>
      <c r="P617" s="89" t="n">
        <v>52.9486</v>
      </c>
      <c r="Q617" s="89" t="n"/>
      <c r="R617" s="89" t="n">
        <v>32.64847</v>
      </c>
      <c r="S617" s="89" t="n">
        <v>61.49699</v>
      </c>
      <c r="T617" s="89" t="n">
        <v>72.07137</v>
      </c>
      <c r="U617" s="89" t="n">
        <v>57.38112</v>
      </c>
      <c r="V617" s="89" t="n"/>
      <c r="W617" s="89" t="n"/>
      <c r="X617" s="89" t="n"/>
      <c r="Y617" s="89" t="n"/>
      <c r="Z617" s="89" t="n">
        <v>68.11299</v>
      </c>
      <c r="AA617" s="89" t="n">
        <v>46.85984</v>
      </c>
      <c r="AB617" s="89" t="n"/>
      <c r="AC617" s="89" t="n">
        <v>51.77344</v>
      </c>
      <c r="AD617" s="89" t="n"/>
      <c r="AE617" s="89" t="n"/>
      <c r="AF617" s="89" t="n">
        <v>49.59414</v>
      </c>
      <c r="AG617" s="89" t="n">
        <v>35.10582</v>
      </c>
      <c r="AH617" s="89" t="n"/>
      <c r="AI617" s="89" t="n"/>
      <c r="AJ617" s="89" t="n">
        <v>38.0257</v>
      </c>
      <c r="AK617" s="89" t="n"/>
      <c r="AL617" s="89" t="n"/>
      <c r="AM617" s="89" t="n">
        <v>51.84642</v>
      </c>
      <c r="AN617" s="89" t="n"/>
      <c r="AO617" s="89" t="n">
        <v>37.3618</v>
      </c>
      <c r="AP617" s="89" t="n"/>
      <c r="AQ617" s="89" t="n"/>
      <c r="AR617" s="89" t="n"/>
      <c r="AS617" s="89" t="n"/>
      <c r="AT617" s="89" t="n"/>
      <c r="AU617" s="89" t="n"/>
      <c r="AV617" s="89" t="n"/>
      <c r="AW617" s="89" t="n"/>
      <c r="AX617" s="89" t="n"/>
      <c r="AY617" s="89" t="n"/>
    </row>
    <row r="618">
      <c r="A618" t="inlineStr">
        <is>
          <t>1970-05</t>
        </is>
      </c>
      <c r="B618" s="1" t="n">
        <v>25689</v>
      </c>
      <c r="C618" s="88" t="n">
        <v>618</v>
      </c>
      <c r="E618" s="1">
        <f>B618</f>
        <v/>
      </c>
      <c r="F618" s="2">
        <f>B618</f>
        <v/>
      </c>
      <c r="G618" s="88" t="n">
        <v>616</v>
      </c>
      <c r="H618" s="89" t="n"/>
      <c r="I618" s="89" t="n"/>
      <c r="J618" s="89" t="n">
        <v>42.51502</v>
      </c>
      <c r="K618" s="89" t="n">
        <v>39.40894</v>
      </c>
      <c r="L618" s="89" t="n"/>
      <c r="M618" s="89" t="n"/>
      <c r="N618" s="89" t="n">
        <v>50.60839</v>
      </c>
      <c r="O618" s="89" t="n"/>
      <c r="P618" s="89" t="n">
        <v>49.7267</v>
      </c>
      <c r="Q618" s="89" t="n"/>
      <c r="R618" s="89" t="n">
        <v>33.01677</v>
      </c>
      <c r="S618" s="89" t="n">
        <v>60.76416</v>
      </c>
      <c r="T618" s="89" t="n">
        <v>71.2901</v>
      </c>
      <c r="U618" s="89" t="n">
        <v>57.24642</v>
      </c>
      <c r="V618" s="89" t="n"/>
      <c r="W618" s="89" t="n"/>
      <c r="X618" s="89" t="n"/>
      <c r="Y618" s="89" t="n"/>
      <c r="Z618" s="89" t="n">
        <v>67.08925000000001</v>
      </c>
      <c r="AA618" s="89" t="n">
        <v>47.44874</v>
      </c>
      <c r="AB618" s="89" t="n"/>
      <c r="AC618" s="89" t="n">
        <v>51.55612</v>
      </c>
      <c r="AD618" s="89" t="n"/>
      <c r="AE618" s="89" t="n"/>
      <c r="AF618" s="89" t="n">
        <v>49.59414</v>
      </c>
      <c r="AG618" s="89" t="n">
        <v>35.14879</v>
      </c>
      <c r="AH618" s="89" t="n"/>
      <c r="AI618" s="89" t="n"/>
      <c r="AJ618" s="89" t="n">
        <v>37.20556</v>
      </c>
      <c r="AK618" s="89" t="n"/>
      <c r="AL618" s="89" t="n"/>
      <c r="AM618" s="89" t="n">
        <v>53.66559</v>
      </c>
      <c r="AN618" s="89" t="n"/>
      <c r="AO618" s="89" t="n">
        <v>37.3182</v>
      </c>
      <c r="AP618" s="89" t="n"/>
      <c r="AQ618" s="89" t="n"/>
      <c r="AR618" s="89" t="n"/>
      <c r="AS618" s="89" t="n"/>
      <c r="AT618" s="89" t="n"/>
      <c r="AU618" s="89" t="n"/>
      <c r="AV618" s="89" t="n"/>
      <c r="AW618" s="89" t="n"/>
      <c r="AX618" s="89" t="n"/>
      <c r="AY618" s="89" t="n"/>
    </row>
    <row r="619">
      <c r="A619" t="inlineStr">
        <is>
          <t>1970-06</t>
        </is>
      </c>
      <c r="B619" s="1" t="n">
        <v>25720</v>
      </c>
      <c r="C619" s="88" t="n">
        <v>619</v>
      </c>
      <c r="E619" s="1">
        <f>B619</f>
        <v/>
      </c>
      <c r="F619" s="2">
        <f>B619</f>
        <v/>
      </c>
      <c r="G619" s="88" t="n">
        <v>617</v>
      </c>
      <c r="H619" s="89" t="n"/>
      <c r="I619" s="89" t="n"/>
      <c r="J619" s="89" t="n">
        <v>42.03852</v>
      </c>
      <c r="K619" s="89" t="n">
        <v>39.29099</v>
      </c>
      <c r="L619" s="89" t="n"/>
      <c r="M619" s="89" t="n"/>
      <c r="N619" s="89" t="n">
        <v>50.11464</v>
      </c>
      <c r="O619" s="89" t="n"/>
      <c r="P619" s="89" t="n">
        <v>50.65752</v>
      </c>
      <c r="Q619" s="89" t="n"/>
      <c r="R619" s="89" t="n">
        <v>32.56698</v>
      </c>
      <c r="S619" s="89" t="n">
        <v>60.8863</v>
      </c>
      <c r="T619" s="89" t="n">
        <v>71.48542</v>
      </c>
      <c r="U619" s="89" t="n">
        <v>57.55584</v>
      </c>
      <c r="V619" s="89" t="n"/>
      <c r="W619" s="89" t="n"/>
      <c r="X619" s="89" t="n"/>
      <c r="Y619" s="89" t="n"/>
      <c r="Z619" s="89" t="n">
        <v>67.1575</v>
      </c>
      <c r="AA619" s="89" t="n">
        <v>48.12177</v>
      </c>
      <c r="AB619" s="89" t="n"/>
      <c r="AC619" s="89" t="n">
        <v>51.36507</v>
      </c>
      <c r="AD619" s="89" t="n"/>
      <c r="AE619" s="89" t="n"/>
      <c r="AF619" s="89" t="n">
        <v>49.59414</v>
      </c>
      <c r="AG619" s="89" t="n">
        <v>35.75036</v>
      </c>
      <c r="AH619" s="89" t="n"/>
      <c r="AI619" s="89" t="n"/>
      <c r="AJ619" s="89" t="n">
        <v>38.76358</v>
      </c>
      <c r="AK619" s="89" t="n"/>
      <c r="AL619" s="89" t="n"/>
      <c r="AM619" s="89" t="n">
        <v>51.39162</v>
      </c>
      <c r="AN619" s="89" t="n"/>
      <c r="AO619" s="89" t="n">
        <v>37.19756</v>
      </c>
      <c r="AP619" s="89" t="n"/>
      <c r="AQ619" s="89" t="n"/>
      <c r="AR619" s="89" t="n"/>
      <c r="AS619" s="89" t="n"/>
      <c r="AT619" s="89" t="n"/>
      <c r="AU619" s="89" t="n"/>
      <c r="AV619" s="89" t="n"/>
      <c r="AW619" s="89" t="n"/>
      <c r="AX619" s="89" t="n"/>
      <c r="AY619" s="89" t="n"/>
    </row>
    <row r="620">
      <c r="A620" t="inlineStr">
        <is>
          <t>1970-07</t>
        </is>
      </c>
      <c r="B620" s="1" t="n">
        <v>25750</v>
      </c>
      <c r="C620" s="88" t="n">
        <v>620</v>
      </c>
      <c r="E620" s="1">
        <f>B620</f>
        <v/>
      </c>
      <c r="F620" s="2">
        <f>B620</f>
        <v/>
      </c>
      <c r="G620" s="88" t="n">
        <v>618</v>
      </c>
      <c r="H620" s="89" t="n"/>
      <c r="I620" s="89" t="n"/>
      <c r="J620" s="89" t="n">
        <v>43.3243</v>
      </c>
      <c r="K620" s="89" t="n">
        <v>39.30508</v>
      </c>
      <c r="L620" s="89" t="n"/>
      <c r="M620" s="89" t="n"/>
      <c r="N620" s="89" t="n">
        <v>50.73182</v>
      </c>
      <c r="O620" s="89" t="n"/>
      <c r="P620" s="89" t="n">
        <v>52.1697</v>
      </c>
      <c r="Q620" s="89" t="n"/>
      <c r="R620" s="89" t="n">
        <v>33.90656</v>
      </c>
      <c r="S620" s="89" t="n">
        <v>60.58095</v>
      </c>
      <c r="T620" s="89" t="n">
        <v>71.77839</v>
      </c>
      <c r="U620" s="89" t="n">
        <v>58.45857</v>
      </c>
      <c r="V620" s="89" t="n"/>
      <c r="W620" s="89" t="n"/>
      <c r="X620" s="89" t="n"/>
      <c r="Y620" s="89" t="n"/>
      <c r="Z620" s="89" t="n">
        <v>69.00024000000001</v>
      </c>
      <c r="AA620" s="89" t="n">
        <v>48.12177</v>
      </c>
      <c r="AB620" s="89" t="n"/>
      <c r="AC620" s="89" t="n">
        <v>52.21976</v>
      </c>
      <c r="AD620" s="89" t="n"/>
      <c r="AE620" s="89" t="n"/>
      <c r="AF620" s="89" t="n">
        <v>51.09699</v>
      </c>
      <c r="AG620" s="89" t="n">
        <v>36.91053</v>
      </c>
      <c r="AH620" s="89" t="n"/>
      <c r="AI620" s="89" t="n"/>
      <c r="AJ620" s="89" t="n">
        <v>36.71747</v>
      </c>
      <c r="AK620" s="89" t="n"/>
      <c r="AL620" s="89" t="n"/>
      <c r="AM620" s="89" t="n">
        <v>54.57518</v>
      </c>
      <c r="AN620" s="89" t="n"/>
      <c r="AO620" s="89" t="n">
        <v>37.2888</v>
      </c>
      <c r="AP620" s="89" t="n"/>
      <c r="AQ620" s="89" t="n"/>
      <c r="AR620" s="89" t="n"/>
      <c r="AS620" s="89" t="n"/>
      <c r="AT620" s="89" t="n"/>
      <c r="AU620" s="89" t="n"/>
      <c r="AV620" s="89" t="n"/>
      <c r="AW620" s="89" t="n"/>
      <c r="AX620" s="89" t="n"/>
      <c r="AY620" s="89" t="n"/>
    </row>
    <row r="621">
      <c r="A621" t="inlineStr">
        <is>
          <t>1970-08</t>
        </is>
      </c>
      <c r="B621" s="1" t="n">
        <v>25781</v>
      </c>
      <c r="C621" s="88" t="n">
        <v>621</v>
      </c>
      <c r="E621" s="1">
        <f>B621</f>
        <v/>
      </c>
      <c r="F621" s="2">
        <f>B621</f>
        <v/>
      </c>
      <c r="G621" s="88" t="n">
        <v>619</v>
      </c>
      <c r="H621" s="89" t="n"/>
      <c r="I621" s="89" t="n"/>
      <c r="J621" s="89" t="n">
        <v>42.67679</v>
      </c>
      <c r="K621" s="89" t="n">
        <v>39.61335</v>
      </c>
      <c r="L621" s="89" t="n"/>
      <c r="M621" s="89" t="n"/>
      <c r="N621" s="89" t="n">
        <v>49.92949</v>
      </c>
      <c r="O621" s="89" t="n"/>
      <c r="P621" s="89" t="n">
        <v>50.95745</v>
      </c>
      <c r="Q621" s="89" t="n"/>
      <c r="R621" s="89" t="n">
        <v>33.54478</v>
      </c>
      <c r="S621" s="89" t="n">
        <v>60.58095</v>
      </c>
      <c r="T621" s="89" t="n">
        <v>71.87605000000001</v>
      </c>
      <c r="U621" s="89" t="n">
        <v>58.99481</v>
      </c>
      <c r="V621" s="89" t="n"/>
      <c r="W621" s="89" t="n"/>
      <c r="X621" s="89" t="n"/>
      <c r="Y621" s="89" t="n"/>
      <c r="Z621" s="89" t="n">
        <v>67.22575000000001</v>
      </c>
      <c r="AA621" s="89" t="n">
        <v>47.95351</v>
      </c>
      <c r="AB621" s="89" t="n"/>
      <c r="AC621" s="89" t="n">
        <v>50.66332</v>
      </c>
      <c r="AD621" s="89" t="n"/>
      <c r="AE621" s="89" t="n"/>
      <c r="AF621" s="89" t="n">
        <v>50.09509</v>
      </c>
      <c r="AG621" s="89" t="n">
        <v>36.43787</v>
      </c>
      <c r="AH621" s="89" t="n"/>
      <c r="AI621" s="89" t="n"/>
      <c r="AJ621" s="89" t="n">
        <v>36.45928</v>
      </c>
      <c r="AK621" s="89" t="n"/>
      <c r="AL621" s="89" t="n"/>
      <c r="AM621" s="89" t="n">
        <v>52.30121</v>
      </c>
      <c r="AN621" s="89" t="n"/>
      <c r="AO621" s="89" t="n">
        <v>37.22234</v>
      </c>
      <c r="AP621" s="89" t="n"/>
      <c r="AQ621" s="89" t="n"/>
      <c r="AR621" s="89" t="n"/>
      <c r="AS621" s="89" t="n"/>
      <c r="AT621" s="89" t="n"/>
      <c r="AU621" s="89" t="n"/>
      <c r="AV621" s="89" t="n"/>
      <c r="AW621" s="89" t="n"/>
      <c r="AX621" s="89" t="n"/>
      <c r="AY621" s="89" t="n"/>
    </row>
    <row r="622">
      <c r="A622" t="inlineStr">
        <is>
          <t>1970-09</t>
        </is>
      </c>
      <c r="B622" s="1" t="n">
        <v>25812</v>
      </c>
      <c r="C622" s="88" t="n">
        <v>622</v>
      </c>
      <c r="E622" s="1">
        <f>B622</f>
        <v/>
      </c>
      <c r="F622" s="2">
        <f>B622</f>
        <v/>
      </c>
      <c r="G622" s="88" t="n">
        <v>620</v>
      </c>
      <c r="H622" s="89" t="n"/>
      <c r="I622" s="89" t="n"/>
      <c r="J622" s="89" t="n">
        <v>42.38012</v>
      </c>
      <c r="K622" s="89" t="n">
        <v>39.0847</v>
      </c>
      <c r="L622" s="89" t="n"/>
      <c r="M622" s="89" t="n"/>
      <c r="N622" s="89" t="n">
        <v>49.68262</v>
      </c>
      <c r="O622" s="89" t="n"/>
      <c r="P622" s="89" t="n">
        <v>51.30597</v>
      </c>
      <c r="Q622" s="89" t="n"/>
      <c r="R622" s="89" t="n">
        <v>32.93855</v>
      </c>
      <c r="S622" s="89" t="n">
        <v>61.25272</v>
      </c>
      <c r="T622" s="89" t="n">
        <v>71.58308</v>
      </c>
      <c r="U622" s="89" t="n">
        <v>59.97395</v>
      </c>
      <c r="V622" s="89" t="n"/>
      <c r="W622" s="89" t="n"/>
      <c r="X622" s="89" t="n"/>
      <c r="Y622" s="89" t="n"/>
      <c r="Z622" s="89" t="n">
        <v>69.27323</v>
      </c>
      <c r="AA622" s="89" t="n">
        <v>48.12177</v>
      </c>
      <c r="AB622" s="89" t="n"/>
      <c r="AC622" s="89" t="n">
        <v>48.99596</v>
      </c>
      <c r="AD622" s="89" t="n"/>
      <c r="AE622" s="89" t="n"/>
      <c r="AF622" s="89" t="n">
        <v>50.09509</v>
      </c>
      <c r="AG622" s="89" t="n">
        <v>36.48084</v>
      </c>
      <c r="AH622" s="89" t="n"/>
      <c r="AI622" s="89" t="n"/>
      <c r="AJ622" s="89" t="n">
        <v>37.57616</v>
      </c>
      <c r="AK622" s="89" t="n"/>
      <c r="AL622" s="89" t="n"/>
      <c r="AM622" s="89" t="n">
        <v>51.84642</v>
      </c>
      <c r="AN622" s="89" t="n"/>
      <c r="AO622" s="89" t="n">
        <v>36.96579</v>
      </c>
      <c r="AP622" s="89" t="n"/>
      <c r="AQ622" s="89" t="n"/>
      <c r="AR622" s="89" t="n"/>
      <c r="AS622" s="89" t="n"/>
      <c r="AT622" s="89" t="n"/>
      <c r="AU622" s="89" t="n"/>
      <c r="AV622" s="89" t="n"/>
      <c r="AW622" s="89" t="n"/>
      <c r="AX622" s="89" t="n"/>
      <c r="AY622" s="89" t="n"/>
    </row>
    <row r="623">
      <c r="A623" t="inlineStr">
        <is>
          <t>1970-10</t>
        </is>
      </c>
      <c r="B623" s="1" t="n">
        <v>25842</v>
      </c>
      <c r="C623" s="88" t="n">
        <v>623</v>
      </c>
      <c r="E623" s="1">
        <f>B623</f>
        <v/>
      </c>
      <c r="F623" s="2">
        <f>B623</f>
        <v/>
      </c>
      <c r="G623" s="88" t="n">
        <v>621</v>
      </c>
      <c r="H623" s="89" t="n"/>
      <c r="I623" s="89" t="n"/>
      <c r="J623" s="89" t="n">
        <v>42.7015</v>
      </c>
      <c r="K623" s="89" t="n">
        <v>39.07107</v>
      </c>
      <c r="L623" s="89" t="n"/>
      <c r="M623" s="89" t="n"/>
      <c r="N623" s="89" t="n">
        <v>50.05293</v>
      </c>
      <c r="O623" s="89" t="n"/>
      <c r="P623" s="89" t="n">
        <v>51.92221</v>
      </c>
      <c r="Q623" s="89" t="n"/>
      <c r="R623" s="89" t="n">
        <v>32.23127</v>
      </c>
      <c r="S623" s="89" t="n">
        <v>61.80234</v>
      </c>
      <c r="T623" s="89" t="n">
        <v>72.55965</v>
      </c>
      <c r="U623" s="89" t="n">
        <v>60.78837</v>
      </c>
      <c r="V623" s="89" t="n"/>
      <c r="W623" s="89" t="n"/>
      <c r="X623" s="89" t="n"/>
      <c r="Y623" s="89" t="n"/>
      <c r="Z623" s="89" t="n">
        <v>67.70350000000001</v>
      </c>
      <c r="AA623" s="89" t="n">
        <v>48.29003</v>
      </c>
      <c r="AB623" s="89" t="n"/>
      <c r="AC623" s="89" t="n">
        <v>46.72091</v>
      </c>
      <c r="AD623" s="89" t="n"/>
      <c r="AE623" s="89" t="n"/>
      <c r="AF623" s="89" t="n">
        <v>51.09699</v>
      </c>
      <c r="AG623" s="89" t="n">
        <v>36.82459</v>
      </c>
      <c r="AH623" s="89" t="n"/>
      <c r="AI623" s="89" t="n"/>
      <c r="AJ623" s="89" t="n">
        <v>37.47126</v>
      </c>
      <c r="AK623" s="89" t="n"/>
      <c r="AL623" s="89" t="n"/>
      <c r="AM623" s="89" t="n">
        <v>52.756</v>
      </c>
      <c r="AN623" s="89" t="n"/>
      <c r="AO623" s="89" t="n">
        <v>36.22629</v>
      </c>
      <c r="AP623" s="89" t="n"/>
      <c r="AQ623" s="89" t="n"/>
      <c r="AR623" s="89" t="n"/>
      <c r="AS623" s="89" t="n"/>
      <c r="AT623" s="89" t="n"/>
      <c r="AU623" s="89" t="n"/>
      <c r="AV623" s="89" t="n"/>
      <c r="AW623" s="89" t="n"/>
      <c r="AX623" s="89" t="n"/>
      <c r="AY623" s="89" t="n"/>
    </row>
    <row r="624">
      <c r="A624" t="inlineStr">
        <is>
          <t>1970-11</t>
        </is>
      </c>
      <c r="B624" s="1" t="n">
        <v>25873</v>
      </c>
      <c r="C624" s="88" t="n">
        <v>624</v>
      </c>
      <c r="E624" s="1">
        <f>B624</f>
        <v/>
      </c>
      <c r="F624" s="2">
        <f>B624</f>
        <v/>
      </c>
      <c r="G624" s="88" t="n">
        <v>622</v>
      </c>
      <c r="H624" s="89" t="n"/>
      <c r="I624" s="89" t="n"/>
      <c r="J624" s="89" t="n">
        <v>42.44997</v>
      </c>
      <c r="K624" s="89" t="n">
        <v>39.52688</v>
      </c>
      <c r="L624" s="89" t="n"/>
      <c r="M624" s="89" t="n"/>
      <c r="N624" s="89" t="n">
        <v>49.6209</v>
      </c>
      <c r="O624" s="89" t="n"/>
      <c r="P624" s="89" t="n">
        <v>52.83031</v>
      </c>
      <c r="Q624" s="89" t="n"/>
      <c r="R624" s="89" t="n">
        <v>32.87336</v>
      </c>
      <c r="S624" s="89" t="n">
        <v>61.43592</v>
      </c>
      <c r="T624" s="89" t="n">
        <v>71.48542</v>
      </c>
      <c r="U624" s="89" t="n">
        <v>61.5463</v>
      </c>
      <c r="V624" s="89" t="n"/>
      <c r="W624" s="89" t="n"/>
      <c r="X624" s="89" t="n"/>
      <c r="Y624" s="89" t="n"/>
      <c r="Z624" s="89" t="n">
        <v>68.59074</v>
      </c>
      <c r="AA624" s="89" t="n">
        <v>47.78526</v>
      </c>
      <c r="AB624" s="89" t="n"/>
      <c r="AC624" s="89" t="n">
        <v>48.23005</v>
      </c>
      <c r="AD624" s="89" t="n"/>
      <c r="AE624" s="89" t="n"/>
      <c r="AF624" s="89" t="n">
        <v>51.09699</v>
      </c>
      <c r="AG624" s="89" t="n">
        <v>36.91053</v>
      </c>
      <c r="AH624" s="89" t="n"/>
      <c r="AI624" s="89" t="n"/>
      <c r="AJ624" s="89" t="n">
        <v>37.10775</v>
      </c>
      <c r="AK624" s="89" t="n"/>
      <c r="AL624" s="89" t="n"/>
      <c r="AM624" s="89" t="n">
        <v>53.2108</v>
      </c>
      <c r="AN624" s="89" t="n"/>
      <c r="AO624" s="89" t="n">
        <v>36.00691</v>
      </c>
      <c r="AP624" s="89" t="n"/>
      <c r="AQ624" s="89" t="n"/>
      <c r="AR624" s="89" t="n"/>
      <c r="AS624" s="89" t="n"/>
      <c r="AT624" s="89" t="n"/>
      <c r="AU624" s="89" t="n"/>
      <c r="AV624" s="89" t="n"/>
      <c r="AW624" s="89" t="n"/>
      <c r="AX624" s="89" t="n"/>
      <c r="AY624" s="89" t="n"/>
    </row>
    <row r="625">
      <c r="A625" t="inlineStr">
        <is>
          <t>1970-12</t>
        </is>
      </c>
      <c r="B625" s="1" t="n">
        <v>25903</v>
      </c>
      <c r="C625" s="88" t="n">
        <v>625</v>
      </c>
      <c r="E625" s="1">
        <f>B625</f>
        <v/>
      </c>
      <c r="F625" s="2">
        <f>B625</f>
        <v/>
      </c>
      <c r="G625" s="88" t="n">
        <v>623</v>
      </c>
      <c r="H625" s="89" t="n"/>
      <c r="I625" s="89" t="n"/>
      <c r="J625" s="89" t="n">
        <v>43.47473</v>
      </c>
      <c r="K625" s="89" t="n">
        <v>39.7905</v>
      </c>
      <c r="L625" s="89" t="n"/>
      <c r="M625" s="89" t="n"/>
      <c r="N625" s="89" t="n">
        <v>50.48495</v>
      </c>
      <c r="O625" s="89" t="n"/>
      <c r="P625" s="89" t="n">
        <v>51.7702</v>
      </c>
      <c r="Q625" s="89" t="n"/>
      <c r="R625" s="89" t="n">
        <v>33.21233</v>
      </c>
      <c r="S625" s="89" t="n">
        <v>62.04662</v>
      </c>
      <c r="T625" s="89" t="n">
        <v>72.16902</v>
      </c>
      <c r="U625" s="89" t="n">
        <v>61.43262</v>
      </c>
      <c r="V625" s="89" t="n"/>
      <c r="W625" s="89" t="n"/>
      <c r="X625" s="89" t="n"/>
      <c r="Y625" s="89" t="n"/>
      <c r="Z625" s="89" t="n">
        <v>68.79549</v>
      </c>
      <c r="AA625" s="89" t="n">
        <v>48.7948</v>
      </c>
      <c r="AB625" s="89" t="n"/>
      <c r="AC625" s="89" t="n">
        <v>49.65634</v>
      </c>
      <c r="AD625" s="89" t="n"/>
      <c r="AE625" s="89" t="n"/>
      <c r="AF625" s="89" t="n">
        <v>51.59794</v>
      </c>
      <c r="AG625" s="89" t="n">
        <v>37.76991</v>
      </c>
      <c r="AH625" s="89" t="n"/>
      <c r="AI625" s="89" t="n"/>
      <c r="AJ625" s="89" t="n">
        <v>38.05265</v>
      </c>
      <c r="AK625" s="89" t="n"/>
      <c r="AL625" s="89" t="n"/>
      <c r="AM625" s="89" t="n">
        <v>53.66559</v>
      </c>
      <c r="AN625" s="89" t="n"/>
      <c r="AO625" s="89" t="n">
        <v>36.83381</v>
      </c>
      <c r="AP625" s="89" t="n"/>
      <c r="AQ625" s="89" t="n"/>
      <c r="AR625" s="89" t="n"/>
      <c r="AS625" s="89" t="n"/>
      <c r="AT625" s="89" t="n"/>
      <c r="AU625" s="89" t="n"/>
      <c r="AV625" s="89" t="n"/>
      <c r="AW625" s="89" t="n"/>
      <c r="AX625" s="89" t="n"/>
      <c r="AY625" s="89" t="n"/>
    </row>
    <row r="626">
      <c r="A626" t="inlineStr">
        <is>
          <t>1971-01</t>
        </is>
      </c>
      <c r="B626" s="1" t="n">
        <v>25934</v>
      </c>
      <c r="C626" s="88" t="n">
        <v>626</v>
      </c>
      <c r="E626" s="1">
        <f>B626</f>
        <v/>
      </c>
      <c r="F626" s="2">
        <f>B626</f>
        <v/>
      </c>
      <c r="G626" s="88" t="n">
        <v>624</v>
      </c>
      <c r="H626" s="89" t="n"/>
      <c r="I626" s="89" t="n"/>
      <c r="J626" s="89" t="n">
        <v>43.30215</v>
      </c>
      <c r="K626" s="89" t="n">
        <v>40.16502</v>
      </c>
      <c r="L626" s="89" t="n"/>
      <c r="M626" s="89" t="n"/>
      <c r="N626" s="89" t="n">
        <v>51.41071</v>
      </c>
      <c r="O626" s="89" t="n"/>
      <c r="P626" s="89" t="n">
        <v>51.22959</v>
      </c>
      <c r="Q626" s="89" t="n"/>
      <c r="R626" s="89" t="n">
        <v>34.19012</v>
      </c>
      <c r="S626" s="89" t="n">
        <v>61.86341</v>
      </c>
      <c r="T626" s="89" t="n">
        <v>72.55965</v>
      </c>
      <c r="U626" s="89" t="n">
        <v>62.27997</v>
      </c>
      <c r="V626" s="89" t="n"/>
      <c r="W626" s="89" t="n"/>
      <c r="X626" s="89" t="n"/>
      <c r="Y626" s="89" t="n"/>
      <c r="Z626" s="89" t="n">
        <v>70.01545</v>
      </c>
      <c r="AA626" s="89" t="n">
        <v>48.71067</v>
      </c>
      <c r="AB626" s="89" t="n"/>
      <c r="AC626" s="89" t="n">
        <v>48.12667</v>
      </c>
      <c r="AD626" s="89" t="n"/>
      <c r="AE626" s="89" t="n"/>
      <c r="AF626" s="89" t="n">
        <v>53.10079</v>
      </c>
      <c r="AG626" s="89" t="n">
        <v>36.52381</v>
      </c>
      <c r="AH626" s="89" t="n"/>
      <c r="AI626" s="89" t="n"/>
      <c r="AJ626" s="89" t="n">
        <v>36.55076</v>
      </c>
      <c r="AK626" s="89" t="n"/>
      <c r="AL626" s="89" t="n"/>
      <c r="AM626" s="89" t="n">
        <v>54.12038</v>
      </c>
      <c r="AN626" s="89" t="n"/>
      <c r="AO626" s="89" t="n">
        <v>37.11716</v>
      </c>
      <c r="AP626" s="89" t="n"/>
      <c r="AQ626" s="89" t="n"/>
      <c r="AR626" s="89" t="n"/>
      <c r="AS626" s="89" t="n"/>
      <c r="AT626" s="89" t="n"/>
      <c r="AU626" s="89" t="n"/>
      <c r="AV626" s="89" t="n"/>
      <c r="AW626" s="89" t="n"/>
      <c r="AX626" s="89" t="n"/>
      <c r="AY626" s="89" t="n"/>
    </row>
    <row r="627">
      <c r="A627" t="inlineStr">
        <is>
          <t>1971-02</t>
        </is>
      </c>
      <c r="B627" s="1" t="n">
        <v>25965</v>
      </c>
      <c r="C627" s="88" t="n">
        <v>627</v>
      </c>
      <c r="E627" s="1">
        <f>B627</f>
        <v/>
      </c>
      <c r="F627" s="2">
        <f>B627</f>
        <v/>
      </c>
      <c r="G627" s="88" t="n">
        <v>625</v>
      </c>
      <c r="H627" s="89" t="n"/>
      <c r="I627" s="89" t="n"/>
      <c r="J627" s="89" t="n">
        <v>43.53837</v>
      </c>
      <c r="K627" s="89" t="n">
        <v>40.42206</v>
      </c>
      <c r="L627" s="89" t="n"/>
      <c r="M627" s="89" t="n"/>
      <c r="N627" s="89" t="n">
        <v>50.85526</v>
      </c>
      <c r="O627" s="89" t="n"/>
      <c r="P627" s="89" t="n">
        <v>51.78619</v>
      </c>
      <c r="Q627" s="89" t="n"/>
      <c r="R627" s="89" t="n">
        <v>27.54113</v>
      </c>
      <c r="S627" s="89" t="n">
        <v>62.90159</v>
      </c>
      <c r="T627" s="89" t="n">
        <v>71.19244</v>
      </c>
      <c r="U627" s="89" t="n">
        <v>62.94782</v>
      </c>
      <c r="V627" s="89" t="n"/>
      <c r="W627" s="89" t="n"/>
      <c r="X627" s="89" t="n"/>
      <c r="Y627" s="89" t="n"/>
      <c r="Z627" s="89" t="n">
        <v>65.86281</v>
      </c>
      <c r="AA627" s="89" t="n">
        <v>48.45829</v>
      </c>
      <c r="AB627" s="89" t="n"/>
      <c r="AC627" s="89" t="n">
        <v>49.13995</v>
      </c>
      <c r="AD627" s="89" t="n"/>
      <c r="AE627" s="89" t="n"/>
      <c r="AF627" s="89" t="n">
        <v>52.59984</v>
      </c>
      <c r="AG627" s="89" t="n">
        <v>36.73865</v>
      </c>
      <c r="AH627" s="89" t="n"/>
      <c r="AI627" s="89" t="n"/>
      <c r="AJ627" s="89" t="n">
        <v>36.40424</v>
      </c>
      <c r="AK627" s="89" t="n"/>
      <c r="AL627" s="89" t="n"/>
      <c r="AM627" s="89" t="n">
        <v>53.2108</v>
      </c>
      <c r="AN627" s="89" t="n"/>
      <c r="AO627" s="89" t="n">
        <v>37.04637</v>
      </c>
      <c r="AP627" s="89" t="n"/>
      <c r="AQ627" s="89" t="n"/>
      <c r="AR627" s="89" t="n"/>
      <c r="AS627" s="89" t="n"/>
      <c r="AT627" s="89" t="n"/>
      <c r="AU627" s="89" t="n"/>
      <c r="AV627" s="89" t="n"/>
      <c r="AW627" s="89" t="n"/>
      <c r="AX627" s="89" t="n"/>
      <c r="AY627" s="89" t="n"/>
    </row>
    <row r="628">
      <c r="A628" t="inlineStr">
        <is>
          <t>1971-03</t>
        </is>
      </c>
      <c r="B628" s="1" t="n">
        <v>25993</v>
      </c>
      <c r="C628" s="88" t="n">
        <v>628</v>
      </c>
      <c r="E628" s="1">
        <f>B628</f>
        <v/>
      </c>
      <c r="F628" s="2">
        <f>B628</f>
        <v/>
      </c>
      <c r="G628" s="88" t="n">
        <v>626</v>
      </c>
      <c r="H628" s="89" t="n"/>
      <c r="I628" s="89" t="n"/>
      <c r="J628" s="89" t="n">
        <v>42.72135</v>
      </c>
      <c r="K628" s="89" t="n">
        <v>40.57572</v>
      </c>
      <c r="L628" s="89" t="n"/>
      <c r="M628" s="89" t="n"/>
      <c r="N628" s="89" t="n">
        <v>50.60839</v>
      </c>
      <c r="O628" s="89" t="n"/>
      <c r="P628" s="89" t="n">
        <v>52.61096</v>
      </c>
      <c r="Q628" s="89" t="n"/>
      <c r="R628" s="89" t="n">
        <v>25.53992</v>
      </c>
      <c r="S628" s="89" t="n">
        <v>63.32908</v>
      </c>
      <c r="T628" s="89" t="n">
        <v>70.41118</v>
      </c>
      <c r="U628" s="89" t="n">
        <v>62.1687</v>
      </c>
      <c r="V628" s="89" t="n"/>
      <c r="W628" s="89" t="n"/>
      <c r="X628" s="89" t="n"/>
      <c r="Y628" s="89" t="n"/>
      <c r="Z628" s="89" t="n">
        <v>65.86281</v>
      </c>
      <c r="AA628" s="89" t="n">
        <v>48.96306</v>
      </c>
      <c r="AB628" s="89" t="n"/>
      <c r="AC628" s="89" t="n">
        <v>49.08633</v>
      </c>
      <c r="AD628" s="89" t="n"/>
      <c r="AE628" s="89" t="n"/>
      <c r="AF628" s="89" t="n">
        <v>52.09889</v>
      </c>
      <c r="AG628" s="89" t="n">
        <v>36.86756</v>
      </c>
      <c r="AH628" s="89" t="n"/>
      <c r="AI628" s="89" t="n"/>
      <c r="AJ628" s="89" t="n">
        <v>36.4999</v>
      </c>
      <c r="AK628" s="89" t="n"/>
      <c r="AL628" s="89" t="n"/>
      <c r="AM628" s="89" t="n">
        <v>52.30121</v>
      </c>
      <c r="AN628" s="89" t="n"/>
      <c r="AO628" s="89" t="n">
        <v>37.00632</v>
      </c>
      <c r="AP628" s="89" t="n"/>
      <c r="AQ628" s="89" t="n"/>
      <c r="AR628" s="89" t="n"/>
      <c r="AS628" s="89" t="n"/>
      <c r="AT628" s="89" t="n"/>
      <c r="AU628" s="89" t="n"/>
      <c r="AV628" s="89" t="n"/>
      <c r="AW628" s="89" t="n"/>
      <c r="AX628" s="89" t="n"/>
      <c r="AY628" s="89" t="n"/>
    </row>
    <row r="629">
      <c r="A629" t="inlineStr">
        <is>
          <t>1971-04</t>
        </is>
      </c>
      <c r="B629" s="1" t="n">
        <v>26024</v>
      </c>
      <c r="C629" s="88" t="n">
        <v>629</v>
      </c>
      <c r="E629" s="1">
        <f>B629</f>
        <v/>
      </c>
      <c r="F629" s="2">
        <f>B629</f>
        <v/>
      </c>
      <c r="G629" s="88" t="n">
        <v>627</v>
      </c>
      <c r="H629" s="89" t="n"/>
      <c r="I629" s="89" t="n"/>
      <c r="J629" s="89" t="n">
        <v>43.1011</v>
      </c>
      <c r="K629" s="89" t="n">
        <v>40.64198</v>
      </c>
      <c r="L629" s="89" t="n"/>
      <c r="M629" s="89" t="n"/>
      <c r="N629" s="89" t="n">
        <v>50.97869</v>
      </c>
      <c r="O629" s="89" t="n"/>
      <c r="P629" s="89" t="n">
        <v>53.28905</v>
      </c>
      <c r="Q629" s="89" t="n"/>
      <c r="R629" s="89" t="n">
        <v>33.97174</v>
      </c>
      <c r="S629" s="89" t="n">
        <v>63.14587</v>
      </c>
      <c r="T629" s="89" t="n">
        <v>71.38776</v>
      </c>
      <c r="U629" s="89" t="n">
        <v>61.05289</v>
      </c>
      <c r="V629" s="89" t="n"/>
      <c r="W629" s="89" t="n"/>
      <c r="X629" s="89" t="n"/>
      <c r="Y629" s="89" t="n"/>
      <c r="Z629" s="89" t="n">
        <v>65.09023000000001</v>
      </c>
      <c r="AA629" s="89" t="n">
        <v>48.71067</v>
      </c>
      <c r="AB629" s="89" t="n"/>
      <c r="AC629" s="89" t="n">
        <v>50.60292</v>
      </c>
      <c r="AD629" s="89" t="n"/>
      <c r="AE629" s="89" t="n"/>
      <c r="AF629" s="89" t="n">
        <v>52.09889</v>
      </c>
      <c r="AG629" s="89" t="n">
        <v>37.46913</v>
      </c>
      <c r="AH629" s="89" t="n"/>
      <c r="AI629" s="89" t="n"/>
      <c r="AJ629" s="89" t="n">
        <v>41.36795</v>
      </c>
      <c r="AK629" s="89" t="n"/>
      <c r="AL629" s="89" t="n"/>
      <c r="AM629" s="89" t="n">
        <v>52.756</v>
      </c>
      <c r="AN629" s="89" t="n"/>
      <c r="AO629" s="89" t="n">
        <v>37.21408</v>
      </c>
      <c r="AP629" s="89" t="n"/>
      <c r="AQ629" s="89" t="n"/>
      <c r="AR629" s="89" t="n"/>
      <c r="AS629" s="89" t="n"/>
      <c r="AT629" s="89" t="n"/>
      <c r="AU629" s="89" t="n"/>
      <c r="AV629" s="89" t="n"/>
      <c r="AW629" s="89" t="n"/>
      <c r="AX629" s="89" t="n"/>
      <c r="AY629" s="89" t="n"/>
    </row>
    <row r="630">
      <c r="A630" t="inlineStr">
        <is>
          <t>1971-05</t>
        </is>
      </c>
      <c r="B630" s="1" t="n">
        <v>26054</v>
      </c>
      <c r="C630" s="88" t="n">
        <v>630</v>
      </c>
      <c r="E630" s="1">
        <f>B630</f>
        <v/>
      </c>
      <c r="F630" s="2">
        <f>B630</f>
        <v/>
      </c>
      <c r="G630" s="88" t="n">
        <v>628</v>
      </c>
      <c r="H630" s="89" t="n"/>
      <c r="I630" s="89" t="n"/>
      <c r="J630" s="89" t="n">
        <v>39.71555</v>
      </c>
      <c r="K630" s="89" t="n">
        <v>41.21621</v>
      </c>
      <c r="L630" s="89" t="n"/>
      <c r="M630" s="89" t="n"/>
      <c r="N630" s="89" t="n">
        <v>50.23808</v>
      </c>
      <c r="O630" s="89" t="n"/>
      <c r="P630" s="89" t="n">
        <v>53.09306</v>
      </c>
      <c r="Q630" s="89" t="n"/>
      <c r="R630" s="89" t="n">
        <v>34.34982</v>
      </c>
      <c r="S630" s="89" t="n">
        <v>62.04662</v>
      </c>
      <c r="T630" s="89" t="n">
        <v>71.68073</v>
      </c>
      <c r="U630" s="89" t="n">
        <v>63.4784</v>
      </c>
      <c r="V630" s="89" t="n"/>
      <c r="W630" s="89" t="n"/>
      <c r="X630" s="89" t="n"/>
      <c r="Y630" s="89" t="n"/>
      <c r="Z630" s="89" t="n">
        <v>67.69768999999999</v>
      </c>
      <c r="AA630" s="89" t="n">
        <v>47.44874</v>
      </c>
      <c r="AB630" s="89" t="n"/>
      <c r="AC630" s="89" t="n">
        <v>51.20812</v>
      </c>
      <c r="AD630" s="89" t="n"/>
      <c r="AE630" s="89" t="n"/>
      <c r="AF630" s="89" t="n">
        <v>52.59984</v>
      </c>
      <c r="AG630" s="89" t="n">
        <v>37.59804</v>
      </c>
      <c r="AH630" s="89" t="n"/>
      <c r="AI630" s="89" t="n"/>
      <c r="AJ630" s="89" t="n">
        <v>40.34632</v>
      </c>
      <c r="AK630" s="89" t="n"/>
      <c r="AL630" s="89" t="n"/>
      <c r="AM630" s="89" t="n">
        <v>52.756</v>
      </c>
      <c r="AN630" s="89" t="n"/>
      <c r="AO630" s="89" t="n">
        <v>37.40291</v>
      </c>
      <c r="AP630" s="89" t="n"/>
      <c r="AQ630" s="89" t="n"/>
      <c r="AR630" s="89" t="n"/>
      <c r="AS630" s="89" t="n"/>
      <c r="AT630" s="89" t="n"/>
      <c r="AU630" s="89" t="n"/>
      <c r="AV630" s="89" t="n"/>
      <c r="AW630" s="89" t="n"/>
      <c r="AX630" s="89" t="n"/>
      <c r="AY630" s="89" t="n"/>
    </row>
    <row r="631">
      <c r="A631" t="inlineStr">
        <is>
          <t>1971-06</t>
        </is>
      </c>
      <c r="B631" s="1" t="n">
        <v>26085</v>
      </c>
      <c r="C631" s="88" t="n">
        <v>631</v>
      </c>
      <c r="E631" s="1">
        <f>B631</f>
        <v/>
      </c>
      <c r="F631" s="2">
        <f>B631</f>
        <v/>
      </c>
      <c r="G631" s="88" t="n">
        <v>629</v>
      </c>
      <c r="H631" s="89" t="n"/>
      <c r="I631" s="89" t="n"/>
      <c r="J631" s="89" t="n">
        <v>42.97249</v>
      </c>
      <c r="K631" s="89" t="n">
        <v>41.48781</v>
      </c>
      <c r="L631" s="89" t="n"/>
      <c r="M631" s="89" t="n"/>
      <c r="N631" s="89" t="n">
        <v>50.79354</v>
      </c>
      <c r="O631" s="89" t="n"/>
      <c r="P631" s="89" t="n">
        <v>54.00792</v>
      </c>
      <c r="Q631" s="89" t="n"/>
      <c r="R631" s="89" t="n">
        <v>35.03754</v>
      </c>
      <c r="S631" s="89" t="n">
        <v>63.26801</v>
      </c>
      <c r="T631" s="89" t="n">
        <v>71.48542</v>
      </c>
      <c r="U631" s="89" t="n">
        <v>64.40774999999999</v>
      </c>
      <c r="V631" s="89" t="n"/>
      <c r="W631" s="89" t="n"/>
      <c r="X631" s="89" t="n"/>
      <c r="Y631" s="89" t="n"/>
      <c r="Z631" s="89" t="n">
        <v>68.27713</v>
      </c>
      <c r="AA631" s="89" t="n">
        <v>48.45829</v>
      </c>
      <c r="AB631" s="89" t="n"/>
      <c r="AC631" s="89" t="n">
        <v>50.88202</v>
      </c>
      <c r="AD631" s="89" t="n"/>
      <c r="AE631" s="89" t="n"/>
      <c r="AF631" s="89" t="n">
        <v>53.10079</v>
      </c>
      <c r="AG631" s="89" t="n">
        <v>38.0707</v>
      </c>
      <c r="AH631" s="89" t="n"/>
      <c r="AI631" s="89" t="n"/>
      <c r="AJ631" s="89" t="n">
        <v>39.62218</v>
      </c>
      <c r="AK631" s="89" t="n"/>
      <c r="AL631" s="89" t="n"/>
      <c r="AM631" s="89" t="n">
        <v>53.2108</v>
      </c>
      <c r="AN631" s="89" t="n"/>
      <c r="AO631" s="89" t="n">
        <v>37.55976</v>
      </c>
      <c r="AP631" s="89" t="n"/>
      <c r="AQ631" s="89" t="n"/>
      <c r="AR631" s="89" t="n"/>
      <c r="AS631" s="89" t="n"/>
      <c r="AT631" s="89" t="n"/>
      <c r="AU631" s="89" t="n"/>
      <c r="AV631" s="89" t="n"/>
      <c r="AW631" s="89" t="n"/>
      <c r="AX631" s="89" t="n"/>
      <c r="AY631" s="89" t="n"/>
    </row>
    <row r="632">
      <c r="A632" t="inlineStr">
        <is>
          <t>1971-07</t>
        </is>
      </c>
      <c r="B632" s="1" t="n">
        <v>26115</v>
      </c>
      <c r="C632" s="88" t="n">
        <v>632</v>
      </c>
      <c r="E632" s="1">
        <f>B632</f>
        <v/>
      </c>
      <c r="F632" s="2">
        <f>B632</f>
        <v/>
      </c>
      <c r="G632" s="88" t="n">
        <v>630</v>
      </c>
      <c r="H632" s="89" t="n"/>
      <c r="I632" s="89" t="n"/>
      <c r="J632" s="89" t="n">
        <v>43.78513</v>
      </c>
      <c r="K632" s="89" t="n">
        <v>41.61939</v>
      </c>
      <c r="L632" s="89" t="n"/>
      <c r="M632" s="89" t="n"/>
      <c r="N632" s="89" t="n">
        <v>51.59587</v>
      </c>
      <c r="O632" s="89" t="n"/>
      <c r="P632" s="89" t="n">
        <v>56.29177</v>
      </c>
      <c r="Q632" s="89" t="n"/>
      <c r="R632" s="89" t="n">
        <v>35.18421</v>
      </c>
      <c r="S632" s="89" t="n">
        <v>63.63443</v>
      </c>
      <c r="T632" s="89" t="n">
        <v>71.19244</v>
      </c>
      <c r="U632" s="89" t="n">
        <v>68.02759</v>
      </c>
      <c r="V632" s="89" t="n"/>
      <c r="W632" s="89" t="n"/>
      <c r="X632" s="89" t="n"/>
      <c r="Y632" s="89" t="n"/>
      <c r="Z632" s="89" t="n">
        <v>67.69768999999999</v>
      </c>
      <c r="AA632" s="89" t="n">
        <v>48.62654</v>
      </c>
      <c r="AB632" s="89" t="n"/>
      <c r="AC632" s="89" t="n">
        <v>50.8027</v>
      </c>
      <c r="AD632" s="89" t="n"/>
      <c r="AE632" s="89" t="n"/>
      <c r="AF632" s="89" t="n">
        <v>53.10079</v>
      </c>
      <c r="AG632" s="89" t="n">
        <v>39.1879</v>
      </c>
      <c r="AH632" s="89" t="n"/>
      <c r="AI632" s="89" t="n"/>
      <c r="AJ632" s="89" t="n">
        <v>40.98988</v>
      </c>
      <c r="AK632" s="89" t="n"/>
      <c r="AL632" s="89" t="n"/>
      <c r="AM632" s="89" t="n">
        <v>52.756</v>
      </c>
      <c r="AN632" s="89" t="n"/>
      <c r="AO632" s="89" t="n">
        <v>37.45075</v>
      </c>
      <c r="AP632" s="89" t="n"/>
      <c r="AQ632" s="89" t="n"/>
      <c r="AR632" s="89" t="n"/>
      <c r="AS632" s="89" t="n"/>
      <c r="AT632" s="89" t="n"/>
      <c r="AU632" s="89" t="n"/>
      <c r="AV632" s="89" t="n"/>
      <c r="AW632" s="89" t="n"/>
      <c r="AX632" s="89" t="n"/>
      <c r="AY632" s="89" t="n"/>
    </row>
    <row r="633">
      <c r="A633" t="inlineStr">
        <is>
          <t>1971-08</t>
        </is>
      </c>
      <c r="B633" s="1" t="n">
        <v>26146</v>
      </c>
      <c r="C633" s="88" t="n">
        <v>633</v>
      </c>
      <c r="E633" s="1">
        <f>B633</f>
        <v/>
      </c>
      <c r="F633" s="2">
        <f>B633</f>
        <v/>
      </c>
      <c r="G633" s="88" t="n">
        <v>631</v>
      </c>
      <c r="H633" s="89" t="n"/>
      <c r="I633" s="89" t="n"/>
      <c r="J633" s="89" t="n">
        <v>43.27283</v>
      </c>
      <c r="K633" s="89" t="n">
        <v>42.77113</v>
      </c>
      <c r="L633" s="89" t="n"/>
      <c r="M633" s="89" t="n"/>
      <c r="N633" s="89" t="n">
        <v>49.43575</v>
      </c>
      <c r="O633" s="89" t="n"/>
      <c r="P633" s="89" t="n">
        <v>55.97443</v>
      </c>
      <c r="Q633" s="89" t="n"/>
      <c r="R633" s="89" t="n">
        <v>34.63338</v>
      </c>
      <c r="S633" s="89" t="n">
        <v>63.63443</v>
      </c>
      <c r="T633" s="89" t="n">
        <v>71.68073</v>
      </c>
      <c r="U633" s="89" t="n">
        <v>68.25639</v>
      </c>
      <c r="V633" s="89" t="n"/>
      <c r="W633" s="89" t="n"/>
      <c r="X633" s="89" t="n"/>
      <c r="Y633" s="89" t="n"/>
      <c r="Z633" s="89" t="n">
        <v>68.66342</v>
      </c>
      <c r="AA633" s="89" t="n">
        <v>48.7948</v>
      </c>
      <c r="AB633" s="89" t="n"/>
      <c r="AC633" s="89" t="n">
        <v>51.32626</v>
      </c>
      <c r="AD633" s="89" t="n"/>
      <c r="AE633" s="89" t="n"/>
      <c r="AF633" s="89" t="n">
        <v>53.60174</v>
      </c>
      <c r="AG633" s="89" t="n">
        <v>37.81288</v>
      </c>
      <c r="AH633" s="89" t="n"/>
      <c r="AI633" s="89" t="n"/>
      <c r="AJ633" s="89" t="n">
        <v>41.28533</v>
      </c>
      <c r="AK633" s="89" t="n"/>
      <c r="AL633" s="89" t="n"/>
      <c r="AM633" s="89" t="n">
        <v>51.84642</v>
      </c>
      <c r="AN633" s="89" t="n"/>
      <c r="AO633" s="89" t="n">
        <v>37.23338</v>
      </c>
      <c r="AP633" s="89" t="n"/>
      <c r="AQ633" s="89" t="n"/>
      <c r="AR633" s="89" t="n"/>
      <c r="AS633" s="89" t="n"/>
      <c r="AT633" s="89" t="n"/>
      <c r="AU633" s="89" t="n"/>
      <c r="AV633" s="89" t="n"/>
      <c r="AW633" s="89" t="n"/>
      <c r="AX633" s="89" t="n"/>
      <c r="AY633" s="89" t="n"/>
    </row>
    <row r="634">
      <c r="A634" t="inlineStr">
        <is>
          <t>1971-09</t>
        </is>
      </c>
      <c r="B634" s="1" t="n">
        <v>26177</v>
      </c>
      <c r="C634" s="88" t="n">
        <v>634</v>
      </c>
      <c r="E634" s="1">
        <f>B634</f>
        <v/>
      </c>
      <c r="F634" s="2">
        <f>B634</f>
        <v/>
      </c>
      <c r="G634" s="88" t="n">
        <v>632</v>
      </c>
      <c r="H634" s="89" t="n"/>
      <c r="I634" s="89" t="n"/>
      <c r="J634" s="89" t="n">
        <v>43.78367</v>
      </c>
      <c r="K634" s="89" t="n">
        <v>43.03898</v>
      </c>
      <c r="L634" s="89" t="n"/>
      <c r="M634" s="89" t="n"/>
      <c r="N634" s="89" t="n">
        <v>50.60839</v>
      </c>
      <c r="O634" s="89" t="n"/>
      <c r="P634" s="89" t="n">
        <v>55.12759</v>
      </c>
      <c r="Q634" s="89" t="n"/>
      <c r="R634" s="89" t="n">
        <v>34.85501</v>
      </c>
      <c r="S634" s="89" t="n">
        <v>65.46651</v>
      </c>
      <c r="T634" s="89" t="n">
        <v>70.99713</v>
      </c>
      <c r="U634" s="89" t="n">
        <v>66.13896</v>
      </c>
      <c r="V634" s="89" t="n"/>
      <c r="W634" s="89" t="n"/>
      <c r="X634" s="89" t="n"/>
      <c r="Y634" s="89" t="n"/>
      <c r="Z634" s="89" t="n">
        <v>68.85657999999999</v>
      </c>
      <c r="AA634" s="89" t="n">
        <v>49.46783</v>
      </c>
      <c r="AB634" s="89" t="n"/>
      <c r="AC634" s="89" t="n">
        <v>51.82716</v>
      </c>
      <c r="AD634" s="89" t="n"/>
      <c r="AE634" s="89" t="n"/>
      <c r="AF634" s="89" t="n">
        <v>53.60174</v>
      </c>
      <c r="AG634" s="89" t="n">
        <v>37.85585</v>
      </c>
      <c r="AH634" s="89" t="n"/>
      <c r="AI634" s="89" t="n"/>
      <c r="AJ634" s="89" t="n">
        <v>38.4547</v>
      </c>
      <c r="AK634" s="89" t="n"/>
      <c r="AL634" s="89" t="n"/>
      <c r="AM634" s="89" t="n">
        <v>51.84642</v>
      </c>
      <c r="AN634" s="89" t="n"/>
      <c r="AO634" s="89" t="n">
        <v>37.8385</v>
      </c>
      <c r="AP634" s="89" t="n"/>
      <c r="AQ634" s="89" t="n"/>
      <c r="AR634" s="89" t="n"/>
      <c r="AS634" s="89" t="n"/>
      <c r="AT634" s="89" t="n"/>
      <c r="AU634" s="89" t="n"/>
      <c r="AV634" s="89" t="n"/>
      <c r="AW634" s="89" t="n"/>
      <c r="AX634" s="89" t="n"/>
      <c r="AY634" s="89" t="n"/>
    </row>
    <row r="635">
      <c r="A635" t="inlineStr">
        <is>
          <t>1971-10</t>
        </is>
      </c>
      <c r="B635" s="1" t="n">
        <v>26207</v>
      </c>
      <c r="C635" s="88" t="n">
        <v>635</v>
      </c>
      <c r="E635" s="1">
        <f>B635</f>
        <v/>
      </c>
      <c r="F635" s="2">
        <f>B635</f>
        <v/>
      </c>
      <c r="G635" s="88" t="n">
        <v>633</v>
      </c>
      <c r="H635" s="89" t="n"/>
      <c r="I635" s="89" t="n"/>
      <c r="J635" s="89" t="n">
        <v>43.93773</v>
      </c>
      <c r="K635" s="89" t="n">
        <v>43.22883</v>
      </c>
      <c r="L635" s="89" t="n"/>
      <c r="M635" s="89" t="n"/>
      <c r="N635" s="89" t="n">
        <v>50.73182</v>
      </c>
      <c r="O635" s="89" t="n"/>
      <c r="P635" s="89" t="n">
        <v>55.06396</v>
      </c>
      <c r="Q635" s="89" t="n"/>
      <c r="R635" s="89" t="n">
        <v>34.66924</v>
      </c>
      <c r="S635" s="89" t="n">
        <v>65.34438</v>
      </c>
      <c r="T635" s="89" t="n">
        <v>71.09479</v>
      </c>
      <c r="U635" s="89" t="n">
        <v>66.72869</v>
      </c>
      <c r="V635" s="89" t="n"/>
      <c r="W635" s="89" t="n"/>
      <c r="X635" s="89" t="n"/>
      <c r="Y635" s="89" t="n"/>
      <c r="Z635" s="89" t="n">
        <v>70.2086</v>
      </c>
      <c r="AA635" s="89" t="n">
        <v>48.7948</v>
      </c>
      <c r="AB635" s="89" t="n"/>
      <c r="AC635" s="89" t="n">
        <v>51.00295</v>
      </c>
      <c r="AD635" s="89" t="n"/>
      <c r="AE635" s="89" t="n"/>
      <c r="AF635" s="89" t="n">
        <v>54.1027</v>
      </c>
      <c r="AG635" s="89" t="n">
        <v>37.81288</v>
      </c>
      <c r="AH635" s="89" t="n"/>
      <c r="AI635" s="89" t="n"/>
      <c r="AJ635" s="89" t="n">
        <v>42.66698</v>
      </c>
      <c r="AK635" s="89" t="n"/>
      <c r="AL635" s="89" t="n"/>
      <c r="AM635" s="89" t="n">
        <v>53.2108</v>
      </c>
      <c r="AN635" s="89" t="n"/>
      <c r="AO635" s="89" t="n">
        <v>38.12176</v>
      </c>
      <c r="AP635" s="89" t="n"/>
      <c r="AQ635" s="89" t="n"/>
      <c r="AR635" s="89" t="n"/>
      <c r="AS635" s="89" t="n"/>
      <c r="AT635" s="89" t="n"/>
      <c r="AU635" s="89" t="n"/>
      <c r="AV635" s="89" t="n"/>
      <c r="AW635" s="89" t="n"/>
      <c r="AX635" s="89" t="n"/>
      <c r="AY635" s="89" t="n"/>
    </row>
    <row r="636">
      <c r="A636" t="inlineStr">
        <is>
          <t>1971-11</t>
        </is>
      </c>
      <c r="B636" s="1" t="n">
        <v>26238</v>
      </c>
      <c r="C636" s="88" t="n">
        <v>636</v>
      </c>
      <c r="E636" s="1">
        <f>B636</f>
        <v/>
      </c>
      <c r="F636" s="2">
        <f>B636</f>
        <v/>
      </c>
      <c r="G636" s="88" t="n">
        <v>634</v>
      </c>
      <c r="H636" s="89" t="n"/>
      <c r="I636" s="89" t="n"/>
      <c r="J636" s="89" t="n">
        <v>44.11821</v>
      </c>
      <c r="K636" s="89" t="n">
        <v>42.94406</v>
      </c>
      <c r="L636" s="89" t="n"/>
      <c r="M636" s="89" t="n"/>
      <c r="N636" s="89" t="n">
        <v>49.99121</v>
      </c>
      <c r="O636" s="89" t="n"/>
      <c r="P636" s="89" t="n">
        <v>56.17457</v>
      </c>
      <c r="Q636" s="89" t="n"/>
      <c r="R636" s="89" t="n">
        <v>34.0956</v>
      </c>
      <c r="S636" s="89" t="n">
        <v>66.07720999999999</v>
      </c>
      <c r="T636" s="89" t="n">
        <v>70.89946999999999</v>
      </c>
      <c r="U636" s="89" t="n">
        <v>68.2667</v>
      </c>
      <c r="V636" s="89" t="n"/>
      <c r="W636" s="89" t="n"/>
      <c r="X636" s="89" t="n"/>
      <c r="Y636" s="89" t="n"/>
      <c r="Z636" s="89" t="n">
        <v>69.53259</v>
      </c>
      <c r="AA636" s="89" t="n">
        <v>49.38371</v>
      </c>
      <c r="AB636" s="89" t="n"/>
      <c r="AC636" s="89" t="n">
        <v>49.97459</v>
      </c>
      <c r="AD636" s="89" t="n"/>
      <c r="AE636" s="89" t="n"/>
      <c r="AF636" s="89" t="n">
        <v>53.60174</v>
      </c>
      <c r="AG636" s="89" t="n">
        <v>37.59804</v>
      </c>
      <c r="AH636" s="89" t="n"/>
      <c r="AI636" s="89" t="n"/>
      <c r="AJ636" s="89" t="n">
        <v>47.61864</v>
      </c>
      <c r="AK636" s="89" t="n"/>
      <c r="AL636" s="89" t="n"/>
      <c r="AM636" s="89" t="n">
        <v>52.30121</v>
      </c>
      <c r="AN636" s="89" t="n"/>
      <c r="AO636" s="89" t="n">
        <v>38.2836</v>
      </c>
      <c r="AP636" s="89" t="n"/>
      <c r="AQ636" s="89" t="n"/>
      <c r="AR636" s="89" t="n"/>
      <c r="AS636" s="89" t="n"/>
      <c r="AT636" s="89" t="n"/>
      <c r="AU636" s="89" t="n"/>
      <c r="AV636" s="89" t="n"/>
      <c r="AW636" s="89" t="n"/>
      <c r="AX636" s="89" t="n"/>
      <c r="AY636" s="89" t="n"/>
    </row>
    <row r="637">
      <c r="A637" t="inlineStr">
        <is>
          <t>1971-12</t>
        </is>
      </c>
      <c r="B637" s="1" t="n">
        <v>26268</v>
      </c>
      <c r="C637" s="88" t="n">
        <v>637</v>
      </c>
      <c r="E637" s="1">
        <f>B637</f>
        <v/>
      </c>
      <c r="F637" s="2">
        <f>B637</f>
        <v/>
      </c>
      <c r="G637" s="88" t="n">
        <v>635</v>
      </c>
      <c r="H637" s="89" t="n"/>
      <c r="I637" s="89" t="n"/>
      <c r="J637" s="89" t="n">
        <v>42.73231</v>
      </c>
      <c r="K637" s="89" t="n">
        <v>43.54884</v>
      </c>
      <c r="L637" s="89" t="n"/>
      <c r="M637" s="89" t="n"/>
      <c r="N637" s="89" t="n">
        <v>49.12716</v>
      </c>
      <c r="O637" s="89" t="n"/>
      <c r="P637" s="89" t="n">
        <v>57.51475</v>
      </c>
      <c r="Q637" s="89" t="n"/>
      <c r="R637" s="89" t="n">
        <v>33.90982</v>
      </c>
      <c r="S637" s="89" t="n">
        <v>66.01613999999999</v>
      </c>
      <c r="T637" s="89" t="n">
        <v>71.38776</v>
      </c>
      <c r="U637" s="89" t="n">
        <v>68.72062</v>
      </c>
      <c r="V637" s="89" t="n"/>
      <c r="W637" s="89" t="n"/>
      <c r="X637" s="89" t="n"/>
      <c r="Y637" s="89" t="n"/>
      <c r="Z637" s="89" t="n">
        <v>70.2086</v>
      </c>
      <c r="AA637" s="89" t="n">
        <v>49.04719</v>
      </c>
      <c r="AB637" s="89" t="n"/>
      <c r="AC637" s="89" t="n">
        <v>49.40716</v>
      </c>
      <c r="AD637" s="89" t="n"/>
      <c r="AE637" s="89" t="n"/>
      <c r="AF637" s="89" t="n">
        <v>52.59984</v>
      </c>
      <c r="AG637" s="89" t="n">
        <v>38.58633</v>
      </c>
      <c r="AH637" s="89" t="n"/>
      <c r="AI637" s="89" t="n"/>
      <c r="AJ637" s="89" t="n">
        <v>41.16222</v>
      </c>
      <c r="AK637" s="89" t="n"/>
      <c r="AL637" s="89" t="n"/>
      <c r="AM637" s="89" t="n">
        <v>52.30121</v>
      </c>
      <c r="AN637" s="89" t="n"/>
      <c r="AO637" s="89" t="n">
        <v>38.72554</v>
      </c>
      <c r="AP637" s="89" t="n"/>
      <c r="AQ637" s="89" t="n"/>
      <c r="AR637" s="89" t="n"/>
      <c r="AS637" s="89" t="n"/>
      <c r="AT637" s="89" t="n"/>
      <c r="AU637" s="89" t="n"/>
      <c r="AV637" s="89" t="n"/>
      <c r="AW637" s="89" t="n"/>
      <c r="AX637" s="89" t="n"/>
      <c r="AY637" s="89" t="n"/>
    </row>
    <row r="638">
      <c r="A638" t="inlineStr">
        <is>
          <t>1972-01</t>
        </is>
      </c>
      <c r="B638" s="1" t="n">
        <v>26299</v>
      </c>
      <c r="C638" s="88" t="n">
        <v>638</v>
      </c>
      <c r="E638" s="1">
        <f>B638</f>
        <v/>
      </c>
      <c r="F638" s="2">
        <f>B638</f>
        <v/>
      </c>
      <c r="G638" s="88" t="n">
        <v>636</v>
      </c>
      <c r="H638" s="89" t="n"/>
      <c r="I638" s="89" t="n"/>
      <c r="J638" s="89" t="n">
        <v>44.54828</v>
      </c>
      <c r="K638" s="89" t="n">
        <v>43.81199</v>
      </c>
      <c r="L638" s="89" t="n"/>
      <c r="M638" s="89" t="n"/>
      <c r="N638" s="89" t="n">
        <v>51.04041</v>
      </c>
      <c r="O638" s="89" t="n"/>
      <c r="P638" s="89" t="n">
        <v>58.72321</v>
      </c>
      <c r="Q638" s="89" t="n"/>
      <c r="R638" s="89" t="n">
        <v>35.82303</v>
      </c>
      <c r="S638" s="89" t="n">
        <v>66.62683</v>
      </c>
      <c r="T638" s="89" t="n">
        <v>69.33694</v>
      </c>
      <c r="U638" s="89" t="n">
        <v>69.25333000000001</v>
      </c>
      <c r="V638" s="89" t="n"/>
      <c r="W638" s="89" t="n"/>
      <c r="X638" s="89" t="n"/>
      <c r="Y638" s="89" t="n"/>
      <c r="Z638" s="89" t="n">
        <v>70.01545</v>
      </c>
      <c r="AA638" s="89" t="n">
        <v>49.38371</v>
      </c>
      <c r="AB638" s="89" t="n"/>
      <c r="AC638" s="89" t="n">
        <v>50.24216</v>
      </c>
      <c r="AD638" s="89" t="n"/>
      <c r="AE638" s="89" t="n"/>
      <c r="AF638" s="89" t="n">
        <v>53.60174</v>
      </c>
      <c r="AG638" s="89" t="n">
        <v>36.82459</v>
      </c>
      <c r="AH638" s="89" t="n"/>
      <c r="AI638" s="89" t="n"/>
      <c r="AJ638" s="89" t="n">
        <v>41.70723</v>
      </c>
      <c r="AK638" s="89" t="n"/>
      <c r="AL638" s="89" t="n"/>
      <c r="AM638" s="89" t="n">
        <v>51.84642</v>
      </c>
      <c r="AN638" s="89" t="n"/>
      <c r="AO638" s="89" t="n">
        <v>39.65714</v>
      </c>
      <c r="AP638" s="89" t="n"/>
      <c r="AQ638" s="89" t="n"/>
      <c r="AR638" s="89" t="n"/>
      <c r="AS638" s="89" t="n"/>
      <c r="AT638" s="89" t="n"/>
      <c r="AU638" s="89" t="n"/>
      <c r="AV638" s="89" t="n"/>
      <c r="AW638" s="89" t="n"/>
      <c r="AX638" s="89" t="n"/>
      <c r="AY638" s="89" t="n"/>
    </row>
    <row r="639">
      <c r="A639" t="inlineStr">
        <is>
          <t>1972-02</t>
        </is>
      </c>
      <c r="B639" s="1" t="n">
        <v>26330</v>
      </c>
      <c r="C639" s="88" t="n">
        <v>639</v>
      </c>
      <c r="E639" s="1">
        <f>B639</f>
        <v/>
      </c>
      <c r="F639" s="2">
        <f>B639</f>
        <v/>
      </c>
      <c r="G639" s="88" t="n">
        <v>637</v>
      </c>
      <c r="H639" s="89" t="n"/>
      <c r="I639" s="89" t="n"/>
      <c r="J639" s="89" t="n">
        <v>44.06662</v>
      </c>
      <c r="K639" s="89" t="n">
        <v>43.27159</v>
      </c>
      <c r="L639" s="89" t="n"/>
      <c r="M639" s="89" t="n"/>
      <c r="N639" s="89" t="n">
        <v>51.41071</v>
      </c>
      <c r="O639" s="89" t="n"/>
      <c r="P639" s="89" t="n">
        <v>59.99937</v>
      </c>
      <c r="Q639" s="89" t="n"/>
      <c r="R639" s="89" t="n">
        <v>35.53621</v>
      </c>
      <c r="S639" s="89" t="n">
        <v>65.95507000000001</v>
      </c>
      <c r="T639" s="89" t="n">
        <v>63.86812</v>
      </c>
      <c r="U639" s="89" t="n">
        <v>68.94416</v>
      </c>
      <c r="V639" s="89" t="n"/>
      <c r="W639" s="89" t="n"/>
      <c r="X639" s="89" t="n"/>
      <c r="Y639" s="89" t="n"/>
      <c r="Z639" s="89" t="n">
        <v>67.11826000000001</v>
      </c>
      <c r="AA639" s="89" t="n">
        <v>49.88848</v>
      </c>
      <c r="AB639" s="89" t="n"/>
      <c r="AC639" s="89" t="n">
        <v>48.2819</v>
      </c>
      <c r="AD639" s="89" t="n"/>
      <c r="AE639" s="89" t="n"/>
      <c r="AF639" s="89" t="n">
        <v>53.60174</v>
      </c>
      <c r="AG639" s="89" t="n">
        <v>36.35193</v>
      </c>
      <c r="AH639" s="89" t="n"/>
      <c r="AI639" s="89" t="n"/>
      <c r="AJ639" s="89" t="n">
        <v>42.81644</v>
      </c>
      <c r="AK639" s="89" t="n"/>
      <c r="AL639" s="89" t="n"/>
      <c r="AM639" s="89" t="n">
        <v>52.756</v>
      </c>
      <c r="AN639" s="89" t="n"/>
      <c r="AO639" s="89" t="n">
        <v>40.04028</v>
      </c>
      <c r="AP639" s="89" t="n"/>
      <c r="AQ639" s="89" t="n"/>
      <c r="AR639" s="89" t="n"/>
      <c r="AS639" s="89" t="n"/>
      <c r="AT639" s="89" t="n"/>
      <c r="AU639" s="89" t="n"/>
      <c r="AV639" s="89" t="n"/>
      <c r="AW639" s="89" t="n"/>
      <c r="AX639" s="89" t="n"/>
      <c r="AY639" s="89" t="n"/>
    </row>
    <row r="640">
      <c r="A640" t="inlineStr">
        <is>
          <t>1972-03</t>
        </is>
      </c>
      <c r="B640" s="1" t="n">
        <v>26359</v>
      </c>
      <c r="C640" s="88" t="n">
        <v>640</v>
      </c>
      <c r="E640" s="1">
        <f>B640</f>
        <v/>
      </c>
      <c r="F640" s="2">
        <f>B640</f>
        <v/>
      </c>
      <c r="G640" s="88" t="n">
        <v>638</v>
      </c>
      <c r="H640" s="89" t="n"/>
      <c r="I640" s="89" t="n"/>
      <c r="J640" s="89" t="n">
        <v>44.91973</v>
      </c>
      <c r="K640" s="89" t="n">
        <v>43.77345</v>
      </c>
      <c r="L640" s="89" t="n"/>
      <c r="M640" s="89" t="n"/>
      <c r="N640" s="89" t="n">
        <v>51.96617</v>
      </c>
      <c r="O640" s="89" t="n"/>
      <c r="P640" s="89" t="n">
        <v>60.86877</v>
      </c>
      <c r="Q640" s="89" t="n"/>
      <c r="R640" s="89" t="n">
        <v>36.28259</v>
      </c>
      <c r="S640" s="89" t="n">
        <v>67.11539</v>
      </c>
      <c r="T640" s="89" t="n">
        <v>70.11821</v>
      </c>
      <c r="U640" s="89" t="n">
        <v>70.43386</v>
      </c>
      <c r="V640" s="89" t="n"/>
      <c r="W640" s="89" t="n"/>
      <c r="X640" s="89" t="n"/>
      <c r="Y640" s="89" t="n"/>
      <c r="Z640" s="89" t="n">
        <v>66.53882</v>
      </c>
      <c r="AA640" s="89" t="n">
        <v>50.89803</v>
      </c>
      <c r="AB640" s="89" t="n"/>
      <c r="AC640" s="89" t="n">
        <v>50.52082</v>
      </c>
      <c r="AD640" s="89" t="n"/>
      <c r="AE640" s="89" t="n"/>
      <c r="AF640" s="89" t="n">
        <v>54.60365</v>
      </c>
      <c r="AG640" s="89" t="n">
        <v>33.43003</v>
      </c>
      <c r="AH640" s="89" t="n"/>
      <c r="AI640" s="89" t="n"/>
      <c r="AJ640" s="89" t="n">
        <v>44.23828</v>
      </c>
      <c r="AK640" s="89" t="n"/>
      <c r="AL640" s="89" t="n"/>
      <c r="AM640" s="89" t="n">
        <v>53.2108</v>
      </c>
      <c r="AN640" s="89" t="n"/>
      <c r="AO640" s="89" t="n">
        <v>40.31701</v>
      </c>
      <c r="AP640" s="89" t="n"/>
      <c r="AQ640" s="89" t="n"/>
      <c r="AR640" s="89" t="n"/>
      <c r="AS640" s="89" t="n"/>
      <c r="AT640" s="89" t="n"/>
      <c r="AU640" s="89" t="n"/>
      <c r="AV640" s="89" t="n"/>
      <c r="AW640" s="89" t="n"/>
      <c r="AX640" s="89" t="n"/>
      <c r="AY640" s="89" t="n"/>
    </row>
    <row r="641">
      <c r="A641" t="inlineStr">
        <is>
          <t>1972-04</t>
        </is>
      </c>
      <c r="B641" s="1" t="n">
        <v>26390</v>
      </c>
      <c r="C641" s="88" t="n">
        <v>641</v>
      </c>
      <c r="E641" s="1">
        <f>B641</f>
        <v/>
      </c>
      <c r="F641" s="2">
        <f>B641</f>
        <v/>
      </c>
      <c r="G641" s="88" t="n">
        <v>639</v>
      </c>
      <c r="H641" s="89" t="n"/>
      <c r="I641" s="89" t="n"/>
      <c r="J641" s="89" t="n">
        <v>45.61545</v>
      </c>
      <c r="K641" s="89" t="n">
        <v>44.91063</v>
      </c>
      <c r="L641" s="89" t="n"/>
      <c r="M641" s="89" t="n"/>
      <c r="N641" s="89" t="n">
        <v>51.96617</v>
      </c>
      <c r="O641" s="89" t="n"/>
      <c r="P641" s="89" t="n">
        <v>61.15526</v>
      </c>
      <c r="Q641" s="89" t="n"/>
      <c r="R641" s="89" t="n">
        <v>36.27282</v>
      </c>
      <c r="S641" s="89" t="n">
        <v>67.54288</v>
      </c>
      <c r="T641" s="89" t="n">
        <v>71.77839</v>
      </c>
      <c r="U641" s="89" t="n">
        <v>71.38128</v>
      </c>
      <c r="V641" s="89" t="n"/>
      <c r="W641" s="89" t="n"/>
      <c r="X641" s="89" t="n"/>
      <c r="Y641" s="89" t="n"/>
      <c r="Z641" s="89" t="n">
        <v>71.75376</v>
      </c>
      <c r="AA641" s="89" t="n">
        <v>50.56151</v>
      </c>
      <c r="AB641" s="89" t="n"/>
      <c r="AC641" s="89" t="n">
        <v>51.96</v>
      </c>
      <c r="AD641" s="89" t="n"/>
      <c r="AE641" s="89" t="n"/>
      <c r="AF641" s="89" t="n">
        <v>56.1065</v>
      </c>
      <c r="AG641" s="89" t="n">
        <v>40.56291</v>
      </c>
      <c r="AH641" s="89" t="n"/>
      <c r="AI641" s="89" t="n"/>
      <c r="AJ641" s="89" t="n">
        <v>44.10107</v>
      </c>
      <c r="AK641" s="89" t="n"/>
      <c r="AL641" s="89" t="n"/>
      <c r="AM641" s="89" t="n">
        <v>53.2108</v>
      </c>
      <c r="AN641" s="89" t="n"/>
      <c r="AO641" s="89" t="n">
        <v>40.74318</v>
      </c>
      <c r="AP641" s="89" t="n"/>
      <c r="AQ641" s="89" t="n"/>
      <c r="AR641" s="89" t="n"/>
      <c r="AS641" s="89" t="n"/>
      <c r="AT641" s="89" t="n"/>
      <c r="AU641" s="89" t="n"/>
      <c r="AV641" s="89" t="n"/>
      <c r="AW641" s="89" t="n"/>
      <c r="AX641" s="89" t="n"/>
      <c r="AY641" s="89" t="n"/>
    </row>
    <row r="642">
      <c r="A642" t="inlineStr">
        <is>
          <t>1972-05</t>
        </is>
      </c>
      <c r="B642" s="1" t="n">
        <v>26420</v>
      </c>
      <c r="C642" s="88" t="n">
        <v>642</v>
      </c>
      <c r="E642" s="1">
        <f>B642</f>
        <v/>
      </c>
      <c r="F642" s="2">
        <f>B642</f>
        <v/>
      </c>
      <c r="G642" s="88" t="n">
        <v>640</v>
      </c>
      <c r="H642" s="89" t="n"/>
      <c r="I642" s="89" t="n"/>
      <c r="J642" s="89" t="n">
        <v>45.92757</v>
      </c>
      <c r="K642" s="89" t="n">
        <v>44.59109</v>
      </c>
      <c r="L642" s="89" t="n"/>
      <c r="M642" s="89" t="n"/>
      <c r="N642" s="89" t="n">
        <v>51.65759</v>
      </c>
      <c r="O642" s="89" t="n"/>
      <c r="P642" s="89" t="n">
        <v>62.00755</v>
      </c>
      <c r="Q642" s="89" t="n"/>
      <c r="R642" s="89" t="n">
        <v>37.16586</v>
      </c>
      <c r="S642" s="89" t="n">
        <v>68.21464</v>
      </c>
      <c r="T642" s="89" t="n">
        <v>73.24326000000001</v>
      </c>
      <c r="U642" s="89" t="n">
        <v>72.70287</v>
      </c>
      <c r="V642" s="89" t="n"/>
      <c r="W642" s="89" t="n"/>
      <c r="X642" s="89" t="n"/>
      <c r="Y642" s="89" t="n"/>
      <c r="Z642" s="89" t="n">
        <v>70.59489000000001</v>
      </c>
      <c r="AA642" s="89" t="n">
        <v>51.31867</v>
      </c>
      <c r="AB642" s="89" t="n"/>
      <c r="AC642" s="89" t="n">
        <v>51.63933</v>
      </c>
      <c r="AD642" s="89" t="n"/>
      <c r="AE642" s="89" t="n"/>
      <c r="AF642" s="89" t="n">
        <v>55.1046</v>
      </c>
      <c r="AG642" s="89" t="n">
        <v>36.52381</v>
      </c>
      <c r="AH642" s="89" t="n"/>
      <c r="AI642" s="89" t="n"/>
      <c r="AJ642" s="89" t="n">
        <v>44.04924</v>
      </c>
      <c r="AK642" s="89" t="n"/>
      <c r="AL642" s="89" t="n"/>
      <c r="AM642" s="89" t="n">
        <v>52.756</v>
      </c>
      <c r="AN642" s="89" t="n"/>
      <c r="AO642" s="89" t="n">
        <v>40.72205</v>
      </c>
      <c r="AP642" s="89" t="n"/>
      <c r="AQ642" s="89" t="n"/>
      <c r="AR642" s="89" t="n"/>
      <c r="AS642" s="89" t="n"/>
      <c r="AT642" s="89" t="n"/>
      <c r="AU642" s="89" t="n"/>
      <c r="AV642" s="89" t="n"/>
      <c r="AW642" s="89" t="n"/>
      <c r="AX642" s="89" t="n"/>
      <c r="AY642" s="89" t="n"/>
    </row>
    <row r="643">
      <c r="A643" t="inlineStr">
        <is>
          <t>1972-06</t>
        </is>
      </c>
      <c r="B643" s="1" t="n">
        <v>26451</v>
      </c>
      <c r="C643" s="88" t="n">
        <v>643</v>
      </c>
      <c r="E643" s="1">
        <f>B643</f>
        <v/>
      </c>
      <c r="F643" s="2">
        <f>B643</f>
        <v/>
      </c>
      <c r="G643" s="88" t="n">
        <v>641</v>
      </c>
      <c r="H643" s="89" t="n"/>
      <c r="I643" s="89" t="n"/>
      <c r="J643" s="89" t="n">
        <v>46.12131</v>
      </c>
      <c r="K643" s="89" t="n">
        <v>45.04409</v>
      </c>
      <c r="L643" s="89" t="n"/>
      <c r="M643" s="89" t="n"/>
      <c r="N643" s="89" t="n">
        <v>51.96617</v>
      </c>
      <c r="O643" s="89" t="n"/>
      <c r="P643" s="89" t="n">
        <v>63.67637</v>
      </c>
      <c r="Q643" s="89" t="n"/>
      <c r="R643" s="89" t="n">
        <v>37.13327</v>
      </c>
      <c r="S643" s="89" t="n">
        <v>67.66502</v>
      </c>
      <c r="T643" s="89" t="n">
        <v>73.63388999999999</v>
      </c>
      <c r="U643" s="89" t="n">
        <v>72.82170000000001</v>
      </c>
      <c r="V643" s="89" t="n"/>
      <c r="W643" s="89" t="n"/>
      <c r="X643" s="89" t="n"/>
      <c r="Y643" s="89" t="n"/>
      <c r="Z643" s="89" t="n">
        <v>71.56062</v>
      </c>
      <c r="AA643" s="89" t="n">
        <v>51.57106</v>
      </c>
      <c r="AB643" s="89" t="n"/>
      <c r="AC643" s="89" t="n">
        <v>52.01551</v>
      </c>
      <c r="AD643" s="89" t="n"/>
      <c r="AE643" s="89" t="n"/>
      <c r="AF643" s="89" t="n">
        <v>55.60555</v>
      </c>
      <c r="AG643" s="89" t="n">
        <v>37.59804</v>
      </c>
      <c r="AH643" s="89" t="n"/>
      <c r="AI643" s="89" t="n"/>
      <c r="AJ643" s="89" t="n">
        <v>44.07655</v>
      </c>
      <c r="AK643" s="89" t="n"/>
      <c r="AL643" s="89" t="n"/>
      <c r="AM643" s="89" t="n">
        <v>53.2108</v>
      </c>
      <c r="AN643" s="89" t="n"/>
      <c r="AO643" s="89" t="n">
        <v>40.8376</v>
      </c>
      <c r="AP643" s="89" t="n"/>
      <c r="AQ643" s="89" t="n"/>
      <c r="AR643" s="89" t="n"/>
      <c r="AS643" s="89" t="n"/>
      <c r="AT643" s="89" t="n"/>
      <c r="AU643" s="89" t="n"/>
      <c r="AV643" s="89" t="n"/>
      <c r="AW643" s="89" t="n"/>
      <c r="AX643" s="89" t="n"/>
      <c r="AY643" s="89" t="n"/>
    </row>
    <row r="644">
      <c r="A644" t="inlineStr">
        <is>
          <t>1972-07</t>
        </is>
      </c>
      <c r="B644" s="1" t="n">
        <v>26481</v>
      </c>
      <c r="C644" s="88" t="n">
        <v>644</v>
      </c>
      <c r="E644" s="1">
        <f>B644</f>
        <v/>
      </c>
      <c r="F644" s="2">
        <f>B644</f>
        <v/>
      </c>
      <c r="G644" s="88" t="n">
        <v>642</v>
      </c>
      <c r="H644" s="89" t="n"/>
      <c r="I644" s="89" t="n"/>
      <c r="J644" s="89" t="n">
        <v>45.54917</v>
      </c>
      <c r="K644" s="89" t="n">
        <v>45.24427</v>
      </c>
      <c r="L644" s="89" t="n"/>
      <c r="M644" s="89" t="n"/>
      <c r="N644" s="89" t="n">
        <v>52.21304</v>
      </c>
      <c r="O644" s="89" t="n"/>
      <c r="P644" s="89" t="n">
        <v>63.08044</v>
      </c>
      <c r="Q644" s="89" t="n"/>
      <c r="R644" s="89" t="n">
        <v>37.08438</v>
      </c>
      <c r="S644" s="89" t="n">
        <v>68.58105</v>
      </c>
      <c r="T644" s="89" t="n">
        <v>72.75497</v>
      </c>
      <c r="U644" s="89" t="n">
        <v>73.37788</v>
      </c>
      <c r="V644" s="89" t="n"/>
      <c r="W644" s="89" t="n"/>
      <c r="X644" s="89" t="n"/>
      <c r="Y644" s="89" t="n"/>
      <c r="Z644" s="89" t="n">
        <v>70.49831</v>
      </c>
      <c r="AA644" s="89" t="n">
        <v>51.48693</v>
      </c>
      <c r="AB644" s="89" t="n"/>
      <c r="AC644" s="89" t="n">
        <v>52.36325</v>
      </c>
      <c r="AD644" s="89" t="n"/>
      <c r="AE644" s="89" t="n"/>
      <c r="AF644" s="89" t="n">
        <v>55.1046</v>
      </c>
      <c r="AG644" s="89" t="n">
        <v>37.34022</v>
      </c>
      <c r="AH644" s="89" t="n"/>
      <c r="AI644" s="89" t="n"/>
      <c r="AJ644" s="89" t="n">
        <v>46.04968</v>
      </c>
      <c r="AK644" s="89" t="n"/>
      <c r="AL644" s="89" t="n"/>
      <c r="AM644" s="89" t="n">
        <v>52.30121</v>
      </c>
      <c r="AN644" s="89" t="n"/>
      <c r="AO644" s="89" t="n">
        <v>40.81973</v>
      </c>
      <c r="AP644" s="89" t="n"/>
      <c r="AQ644" s="89" t="n"/>
      <c r="AR644" s="89" t="n"/>
      <c r="AS644" s="89" t="n"/>
      <c r="AT644" s="89" t="n"/>
      <c r="AU644" s="89" t="n"/>
      <c r="AV644" s="89" t="n"/>
      <c r="AW644" s="89" t="n"/>
      <c r="AX644" s="89" t="n"/>
      <c r="AY644" s="89" t="n"/>
    </row>
    <row r="645">
      <c r="A645" t="inlineStr">
        <is>
          <t>1972-08</t>
        </is>
      </c>
      <c r="B645" s="1" t="n">
        <v>26512</v>
      </c>
      <c r="C645" s="88" t="n">
        <v>645</v>
      </c>
      <c r="E645" s="1">
        <f>B645</f>
        <v/>
      </c>
      <c r="F645" s="2">
        <f>B645</f>
        <v/>
      </c>
      <c r="G645" s="88" t="n">
        <v>643</v>
      </c>
      <c r="H645" s="89" t="n"/>
      <c r="I645" s="89" t="n"/>
      <c r="J645" s="89" t="n">
        <v>46.14286</v>
      </c>
      <c r="K645" s="89" t="n">
        <v>45.32744</v>
      </c>
      <c r="L645" s="89" t="n"/>
      <c r="M645" s="89" t="n"/>
      <c r="N645" s="89" t="n">
        <v>51.96617</v>
      </c>
      <c r="O645" s="89" t="n"/>
      <c r="P645" s="89" t="n">
        <v>64.16763</v>
      </c>
      <c r="Q645" s="89" t="n"/>
      <c r="R645" s="89" t="n">
        <v>36.28585</v>
      </c>
      <c r="S645" s="89" t="n">
        <v>68.58105</v>
      </c>
      <c r="T645" s="89" t="n">
        <v>73.43857</v>
      </c>
      <c r="U645" s="89" t="n">
        <v>71.38714</v>
      </c>
      <c r="V645" s="89" t="n"/>
      <c r="W645" s="89" t="n"/>
      <c r="X645" s="89" t="n"/>
      <c r="Y645" s="89" t="n"/>
      <c r="Z645" s="89" t="n">
        <v>71.46404</v>
      </c>
      <c r="AA645" s="89" t="n">
        <v>52.83299</v>
      </c>
      <c r="AB645" s="89" t="n"/>
      <c r="AC645" s="89" t="n">
        <v>54.24866</v>
      </c>
      <c r="AD645" s="89" t="n"/>
      <c r="AE645" s="89" t="n"/>
      <c r="AF645" s="89" t="n">
        <v>56.1065</v>
      </c>
      <c r="AG645" s="89" t="n">
        <v>36.35193</v>
      </c>
      <c r="AH645" s="89" t="n"/>
      <c r="AI645" s="89" t="n"/>
      <c r="AJ645" s="89" t="n">
        <v>50.21748</v>
      </c>
      <c r="AK645" s="89" t="n"/>
      <c r="AL645" s="89" t="n"/>
      <c r="AM645" s="89" t="n">
        <v>55.93956</v>
      </c>
      <c r="AN645" s="89" t="n"/>
      <c r="AO645" s="89" t="n">
        <v>41.36233</v>
      </c>
      <c r="AP645" s="89" t="n"/>
      <c r="AQ645" s="89" t="n"/>
      <c r="AR645" s="89" t="n"/>
      <c r="AS645" s="89" t="n"/>
      <c r="AT645" s="89" t="n"/>
      <c r="AU645" s="89" t="n"/>
      <c r="AV645" s="89" t="n"/>
      <c r="AW645" s="89" t="n"/>
      <c r="AX645" s="89" t="n"/>
      <c r="AY645" s="89" t="n"/>
    </row>
    <row r="646">
      <c r="A646" t="inlineStr">
        <is>
          <t>1972-09</t>
        </is>
      </c>
      <c r="B646" s="1" t="n">
        <v>26543</v>
      </c>
      <c r="C646" s="88" t="n">
        <v>646</v>
      </c>
      <c r="E646" s="1">
        <f>B646</f>
        <v/>
      </c>
      <c r="F646" s="2">
        <f>B646</f>
        <v/>
      </c>
      <c r="G646" s="88" t="n">
        <v>644</v>
      </c>
      <c r="H646" s="89" t="n"/>
      <c r="I646" s="89" t="n"/>
      <c r="J646" s="89" t="n">
        <v>46.78498</v>
      </c>
      <c r="K646" s="89" t="n">
        <v>46.4463</v>
      </c>
      <c r="L646" s="89" t="n"/>
      <c r="M646" s="89" t="n"/>
      <c r="N646" s="89" t="n">
        <v>52.02789</v>
      </c>
      <c r="O646" s="89" t="n"/>
      <c r="P646" s="89" t="n">
        <v>65.15940999999999</v>
      </c>
      <c r="Q646" s="89" t="n"/>
      <c r="R646" s="89" t="n">
        <v>37.29298</v>
      </c>
      <c r="S646" s="89" t="n">
        <v>69.74138000000001</v>
      </c>
      <c r="T646" s="89" t="n">
        <v>74.61046</v>
      </c>
      <c r="U646" s="89" t="n">
        <v>75.82387</v>
      </c>
      <c r="V646" s="89" t="n"/>
      <c r="W646" s="89" t="n"/>
      <c r="X646" s="89" t="n"/>
      <c r="Y646" s="89" t="n"/>
      <c r="Z646" s="89" t="n">
        <v>69.43601</v>
      </c>
      <c r="AA646" s="89" t="n">
        <v>53.42189</v>
      </c>
      <c r="AB646" s="89" t="n"/>
      <c r="AC646" s="89" t="n">
        <v>53.59589</v>
      </c>
      <c r="AD646" s="89" t="n"/>
      <c r="AE646" s="89" t="n"/>
      <c r="AF646" s="89" t="n">
        <v>56.1065</v>
      </c>
      <c r="AG646" s="89" t="n">
        <v>36.82459</v>
      </c>
      <c r="AH646" s="89" t="n"/>
      <c r="AI646" s="89" t="n"/>
      <c r="AJ646" s="89" t="n">
        <v>49.2322</v>
      </c>
      <c r="AK646" s="89" t="n"/>
      <c r="AL646" s="89" t="n"/>
      <c r="AM646" s="89" t="n">
        <v>56.39435</v>
      </c>
      <c r="AN646" s="89" t="n"/>
      <c r="AO646" s="89" t="n">
        <v>41.67824</v>
      </c>
      <c r="AP646" s="89" t="n"/>
      <c r="AQ646" s="89" t="n"/>
      <c r="AR646" s="89" t="n"/>
      <c r="AS646" s="89" t="n"/>
      <c r="AT646" s="89" t="n"/>
      <c r="AU646" s="89" t="n"/>
      <c r="AV646" s="89" t="n"/>
      <c r="AW646" s="89" t="n"/>
      <c r="AX646" s="89" t="n"/>
      <c r="AY646" s="89" t="n"/>
    </row>
    <row r="647">
      <c r="A647" t="inlineStr">
        <is>
          <t>1972-10</t>
        </is>
      </c>
      <c r="B647" s="1" t="n">
        <v>26573</v>
      </c>
      <c r="C647" s="88" t="n">
        <v>647</v>
      </c>
      <c r="E647" s="1">
        <f>B647</f>
        <v/>
      </c>
      <c r="F647" s="2">
        <f>B647</f>
        <v/>
      </c>
      <c r="G647" s="88" t="n">
        <v>645</v>
      </c>
      <c r="H647" s="89" t="n"/>
      <c r="I647" s="89" t="n"/>
      <c r="J647" s="89" t="n">
        <v>47.75011</v>
      </c>
      <c r="K647" s="89" t="n">
        <v>47.3222</v>
      </c>
      <c r="L647" s="89" t="n"/>
      <c r="M647" s="89" t="n"/>
      <c r="N647" s="89" t="n">
        <v>52.70678</v>
      </c>
      <c r="O647" s="89" t="n"/>
      <c r="P647" s="89" t="n">
        <v>64.73898</v>
      </c>
      <c r="Q647" s="89" t="n"/>
      <c r="R647" s="89" t="n">
        <v>38.44677</v>
      </c>
      <c r="S647" s="89" t="n">
        <v>70.35207</v>
      </c>
      <c r="T647" s="89" t="n">
        <v>75.48938</v>
      </c>
      <c r="U647" s="89" t="n">
        <v>76.87711</v>
      </c>
      <c r="V647" s="89" t="n"/>
      <c r="W647" s="89" t="n"/>
      <c r="X647" s="89" t="n"/>
      <c r="Y647" s="89" t="n"/>
      <c r="Z647" s="89" t="n">
        <v>73.68523</v>
      </c>
      <c r="AA647" s="89" t="n">
        <v>54.0108</v>
      </c>
      <c r="AB647" s="89" t="n"/>
      <c r="AC647" s="89" t="n">
        <v>54.84699</v>
      </c>
      <c r="AD647" s="89" t="n"/>
      <c r="AE647" s="89" t="n"/>
      <c r="AF647" s="89" t="n">
        <v>56.1065</v>
      </c>
      <c r="AG647" s="89" t="n">
        <v>36.73865</v>
      </c>
      <c r="AH647" s="89" t="n"/>
      <c r="AI647" s="89" t="n"/>
      <c r="AJ647" s="89" t="n">
        <v>46.02923</v>
      </c>
      <c r="AK647" s="89" t="n"/>
      <c r="AL647" s="89" t="n"/>
      <c r="AM647" s="89" t="n">
        <v>55.02997</v>
      </c>
      <c r="AN647" s="89" t="n"/>
      <c r="AO647" s="89" t="n">
        <v>42.23533</v>
      </c>
      <c r="AP647" s="89" t="n"/>
      <c r="AQ647" s="89" t="n"/>
      <c r="AR647" s="89" t="n"/>
      <c r="AS647" s="89" t="n"/>
      <c r="AT647" s="89" t="n"/>
      <c r="AU647" s="89" t="n"/>
      <c r="AV647" s="89" t="n"/>
      <c r="AW647" s="89" t="n"/>
      <c r="AX647" s="89" t="n"/>
      <c r="AY647" s="89" t="n"/>
    </row>
    <row r="648">
      <c r="A648" t="inlineStr">
        <is>
          <t>1972-11</t>
        </is>
      </c>
      <c r="B648" s="1" t="n">
        <v>26604</v>
      </c>
      <c r="C648" s="88" t="n">
        <v>648</v>
      </c>
      <c r="E648" s="1">
        <f>B648</f>
        <v/>
      </c>
      <c r="F648" s="2">
        <f>B648</f>
        <v/>
      </c>
      <c r="G648" s="88" t="n">
        <v>646</v>
      </c>
      <c r="H648" s="89" t="n"/>
      <c r="I648" s="89" t="n"/>
      <c r="J648" s="89" t="n">
        <v>47.45148</v>
      </c>
      <c r="K648" s="89" t="n">
        <v>47.90019</v>
      </c>
      <c r="L648" s="89" t="n"/>
      <c r="M648" s="89" t="n"/>
      <c r="N648" s="89" t="n">
        <v>53.63255</v>
      </c>
      <c r="O648" s="89" t="n"/>
      <c r="P648" s="89" t="n">
        <v>66.5223</v>
      </c>
      <c r="Q648" s="89" t="n"/>
      <c r="R648" s="89" t="n">
        <v>38.24469</v>
      </c>
      <c r="S648" s="89" t="n">
        <v>70.71849</v>
      </c>
      <c r="T648" s="89" t="n">
        <v>76.17298</v>
      </c>
      <c r="U648" s="89" t="n">
        <v>77.69202</v>
      </c>
      <c r="V648" s="89" t="n"/>
      <c r="W648" s="89" t="n"/>
      <c r="X648" s="89" t="n"/>
      <c r="Y648" s="89" t="n"/>
      <c r="Z648" s="89" t="n">
        <v>70.78803000000001</v>
      </c>
      <c r="AA648" s="89" t="n">
        <v>55.02035</v>
      </c>
      <c r="AB648" s="89" t="n"/>
      <c r="AC648" s="89" t="n">
        <v>53.08767</v>
      </c>
      <c r="AD648" s="89" t="n"/>
      <c r="AE648" s="89" t="n"/>
      <c r="AF648" s="89" t="n">
        <v>56.60745</v>
      </c>
      <c r="AG648" s="89" t="n">
        <v>37.16834</v>
      </c>
      <c r="AH648" s="89" t="n"/>
      <c r="AI648" s="89" t="n"/>
      <c r="AJ648" s="89" t="n">
        <v>46.96847</v>
      </c>
      <c r="AK648" s="89" t="n"/>
      <c r="AL648" s="89" t="n"/>
      <c r="AM648" s="89" t="n">
        <v>55.02997</v>
      </c>
      <c r="AN648" s="89" t="n"/>
      <c r="AO648" s="89" t="n">
        <v>42.73489</v>
      </c>
      <c r="AP648" s="89" t="n"/>
      <c r="AQ648" s="89" t="n"/>
      <c r="AR648" s="89" t="n"/>
      <c r="AS648" s="89" t="n"/>
      <c r="AT648" s="89" t="n"/>
      <c r="AU648" s="89" t="n"/>
      <c r="AV648" s="89" t="n"/>
      <c r="AW648" s="89" t="n"/>
      <c r="AX648" s="89" t="n"/>
      <c r="AY648" s="89" t="n"/>
    </row>
    <row r="649">
      <c r="A649" t="inlineStr">
        <is>
          <t>1972-12</t>
        </is>
      </c>
      <c r="B649" s="1" t="n">
        <v>26634</v>
      </c>
      <c r="C649" s="88" t="n">
        <v>649</v>
      </c>
      <c r="E649" s="1">
        <f>B649</f>
        <v/>
      </c>
      <c r="F649" s="2">
        <f>B649</f>
        <v/>
      </c>
      <c r="G649" s="88" t="n">
        <v>647</v>
      </c>
      <c r="H649" s="89" t="n"/>
      <c r="I649" s="89" t="n"/>
      <c r="J649" s="89" t="n">
        <v>49.32627</v>
      </c>
      <c r="K649" s="89" t="n">
        <v>48.15253</v>
      </c>
      <c r="L649" s="89" t="n"/>
      <c r="M649" s="89" t="n"/>
      <c r="N649" s="89" t="n">
        <v>54.31144</v>
      </c>
      <c r="O649" s="89" t="n"/>
      <c r="P649" s="89" t="n">
        <v>67.37099000000001</v>
      </c>
      <c r="Q649" s="89" t="n"/>
      <c r="R649" s="89" t="n">
        <v>39.40175</v>
      </c>
      <c r="S649" s="89" t="n">
        <v>72.12309</v>
      </c>
      <c r="T649" s="89" t="n">
        <v>76.75893000000001</v>
      </c>
      <c r="U649" s="89" t="n">
        <v>82.45667</v>
      </c>
      <c r="V649" s="89" t="n"/>
      <c r="W649" s="89" t="n"/>
      <c r="X649" s="89" t="n"/>
      <c r="Y649" s="89" t="n"/>
      <c r="Z649" s="89" t="n">
        <v>80.34876</v>
      </c>
      <c r="AA649" s="89" t="n">
        <v>56.36641</v>
      </c>
      <c r="AB649" s="89" t="n"/>
      <c r="AC649" s="89" t="n">
        <v>56.27646</v>
      </c>
      <c r="AD649" s="89" t="n"/>
      <c r="AE649" s="89" t="n"/>
      <c r="AF649" s="89" t="n">
        <v>58.61125</v>
      </c>
      <c r="AG649" s="89" t="n">
        <v>38.71523</v>
      </c>
      <c r="AH649" s="89" t="n"/>
      <c r="AI649" s="89" t="n"/>
      <c r="AJ649" s="89" t="n">
        <v>46.35296</v>
      </c>
      <c r="AK649" s="89" t="n"/>
      <c r="AL649" s="89" t="n"/>
      <c r="AM649" s="89" t="n">
        <v>56.39435</v>
      </c>
      <c r="AN649" s="89" t="n"/>
      <c r="AO649" s="89" t="n">
        <v>43.22437</v>
      </c>
      <c r="AP649" s="89" t="n"/>
      <c r="AQ649" s="89" t="n"/>
      <c r="AR649" s="89" t="n"/>
      <c r="AS649" s="89" t="n"/>
      <c r="AT649" s="89" t="n"/>
      <c r="AU649" s="89" t="n"/>
      <c r="AV649" s="89" t="n"/>
      <c r="AW649" s="89" t="n"/>
      <c r="AX649" s="89" t="n"/>
      <c r="AY649" s="89" t="n"/>
    </row>
    <row r="650">
      <c r="A650" t="inlineStr">
        <is>
          <t>1973-01</t>
        </is>
      </c>
      <c r="B650" s="1" t="n">
        <v>26665</v>
      </c>
      <c r="C650" s="88" t="n">
        <v>650</v>
      </c>
      <c r="E650" s="1">
        <f>B650</f>
        <v/>
      </c>
      <c r="F650" s="2">
        <f>B650</f>
        <v/>
      </c>
      <c r="G650" s="88" t="n">
        <v>648</v>
      </c>
      <c r="H650" s="89" t="n"/>
      <c r="I650" s="89" t="n"/>
      <c r="J650" s="89" t="n">
        <v>47.88983</v>
      </c>
      <c r="K650" s="89" t="n">
        <v>48.57357</v>
      </c>
      <c r="L650" s="89" t="n"/>
      <c r="M650" s="89" t="n"/>
      <c r="N650" s="89" t="n">
        <v>54.80518</v>
      </c>
      <c r="O650" s="89" t="n"/>
      <c r="P650" s="89" t="n">
        <v>68.97976</v>
      </c>
      <c r="Q650" s="89" t="n"/>
      <c r="R650" s="89" t="n">
        <v>38.23817</v>
      </c>
      <c r="S650" s="89" t="n">
        <v>71.63454</v>
      </c>
      <c r="T650" s="89" t="n">
        <v>79.00506</v>
      </c>
      <c r="U650" s="89" t="n">
        <v>79.49665</v>
      </c>
      <c r="V650" s="89" t="n"/>
      <c r="W650" s="89" t="n"/>
      <c r="X650" s="89" t="n"/>
      <c r="Y650" s="89" t="n"/>
      <c r="Z650" s="89" t="n">
        <v>68.47028</v>
      </c>
      <c r="AA650" s="89" t="n">
        <v>57.7966</v>
      </c>
      <c r="AB650" s="89" t="n"/>
      <c r="AC650" s="89" t="n">
        <v>55.38634</v>
      </c>
      <c r="AD650" s="89" t="n"/>
      <c r="AE650" s="89" t="n"/>
      <c r="AF650" s="89" t="n">
        <v>58.61125</v>
      </c>
      <c r="AG650" s="89" t="n">
        <v>37.38319</v>
      </c>
      <c r="AH650" s="89" t="n"/>
      <c r="AI650" s="89" t="n"/>
      <c r="AJ650" s="89" t="n">
        <v>48.65988</v>
      </c>
      <c r="AK650" s="89" t="n"/>
      <c r="AL650" s="89" t="n"/>
      <c r="AM650" s="89" t="n">
        <v>56.65767</v>
      </c>
      <c r="AN650" s="89" t="n"/>
      <c r="AO650" s="89" t="n">
        <v>43.50551</v>
      </c>
      <c r="AP650" s="89" t="n"/>
      <c r="AQ650" s="89" t="n"/>
      <c r="AR650" s="89" t="n"/>
      <c r="AS650" s="89" t="n"/>
      <c r="AT650" s="89" t="n"/>
      <c r="AU650" s="89" t="n"/>
      <c r="AV650" s="89" t="n"/>
      <c r="AW650" s="89" t="n"/>
      <c r="AX650" s="89" t="n"/>
      <c r="AY650" s="89" t="n"/>
    </row>
    <row r="651">
      <c r="A651" t="inlineStr">
        <is>
          <t>1973-02</t>
        </is>
      </c>
      <c r="B651" s="1" t="n">
        <v>26696</v>
      </c>
      <c r="C651" s="88" t="n">
        <v>651</v>
      </c>
      <c r="E651" s="1">
        <f>B651</f>
        <v/>
      </c>
      <c r="F651" s="2">
        <f>B651</f>
        <v/>
      </c>
      <c r="G651" s="88" t="n">
        <v>649</v>
      </c>
      <c r="H651" s="89" t="n"/>
      <c r="I651" s="89" t="n"/>
      <c r="J651" s="89" t="n">
        <v>48.40627</v>
      </c>
      <c r="K651" s="89" t="n">
        <v>50.01525</v>
      </c>
      <c r="L651" s="89" t="n"/>
      <c r="M651" s="89" t="n"/>
      <c r="N651" s="89" t="n">
        <v>55.29892</v>
      </c>
      <c r="O651" s="89" t="n"/>
      <c r="P651" s="89" t="n">
        <v>67.0761</v>
      </c>
      <c r="Q651" s="89" t="n"/>
      <c r="R651" s="89" t="n">
        <v>39.23227</v>
      </c>
      <c r="S651" s="89" t="n">
        <v>72.36736999999999</v>
      </c>
      <c r="T651" s="89" t="n">
        <v>78.32146</v>
      </c>
      <c r="U651" s="89" t="n">
        <v>81.50973999999999</v>
      </c>
      <c r="V651" s="89" t="n"/>
      <c r="W651" s="89" t="n"/>
      <c r="X651" s="89" t="n"/>
      <c r="Y651" s="89" t="n"/>
      <c r="Z651" s="89" t="n">
        <v>69.43601</v>
      </c>
      <c r="AA651" s="89" t="n">
        <v>58.30138</v>
      </c>
      <c r="AB651" s="89" t="n"/>
      <c r="AC651" s="89" t="n">
        <v>57.48935</v>
      </c>
      <c r="AD651" s="89" t="n"/>
      <c r="AE651" s="89" t="n"/>
      <c r="AF651" s="89" t="n">
        <v>59.1122</v>
      </c>
      <c r="AG651" s="89" t="n">
        <v>37.64101</v>
      </c>
      <c r="AH651" s="89" t="n"/>
      <c r="AI651" s="89" t="n"/>
      <c r="AJ651" s="89" t="n">
        <v>49.24174</v>
      </c>
      <c r="AK651" s="89" t="n"/>
      <c r="AL651" s="89" t="n"/>
      <c r="AM651" s="89" t="n">
        <v>57.00244</v>
      </c>
      <c r="AN651" s="89" t="n"/>
      <c r="AO651" s="89" t="n">
        <v>44.1504</v>
      </c>
      <c r="AP651" s="89" t="n"/>
      <c r="AQ651" s="89" t="n"/>
      <c r="AR651" s="89" t="n"/>
      <c r="AS651" s="89" t="n"/>
      <c r="AT651" s="89" t="n"/>
      <c r="AU651" s="89" t="n"/>
      <c r="AV651" s="89" t="n"/>
      <c r="AW651" s="89" t="n"/>
      <c r="AX651" s="89" t="n"/>
      <c r="AY651" s="89" t="n"/>
    </row>
    <row r="652">
      <c r="A652" t="inlineStr">
        <is>
          <t>1973-03</t>
        </is>
      </c>
      <c r="B652" s="1" t="n">
        <v>26724</v>
      </c>
      <c r="C652" s="88" t="n">
        <v>652</v>
      </c>
      <c r="E652" s="1">
        <f>B652</f>
        <v/>
      </c>
      <c r="F652" s="2">
        <f>B652</f>
        <v/>
      </c>
      <c r="G652" s="88" t="n">
        <v>650</v>
      </c>
      <c r="H652" s="89" t="n"/>
      <c r="I652" s="89" t="n"/>
      <c r="J652" s="89" t="n">
        <v>48.43381</v>
      </c>
      <c r="K652" s="89" t="n">
        <v>50.62003</v>
      </c>
      <c r="L652" s="89" t="n"/>
      <c r="M652" s="89" t="n"/>
      <c r="N652" s="89" t="n">
        <v>55.66922</v>
      </c>
      <c r="O652" s="89" t="n"/>
      <c r="P652" s="89" t="n">
        <v>68.06197</v>
      </c>
      <c r="Q652" s="89" t="n"/>
      <c r="R652" s="89" t="n">
        <v>39.10189</v>
      </c>
      <c r="S652" s="89" t="n">
        <v>72.79485</v>
      </c>
      <c r="T652" s="89" t="n">
        <v>79.20037000000001</v>
      </c>
      <c r="U652" s="89" t="n">
        <v>82.54275</v>
      </c>
      <c r="V652" s="89" t="n"/>
      <c r="W652" s="89" t="n"/>
      <c r="X652" s="89" t="n"/>
      <c r="Y652" s="89" t="n"/>
      <c r="Z652" s="89" t="n">
        <v>71.85033</v>
      </c>
      <c r="AA652" s="89" t="n">
        <v>59.2268</v>
      </c>
      <c r="AB652" s="89" t="n"/>
      <c r="AC652" s="89" t="n">
        <v>60.24569</v>
      </c>
      <c r="AD652" s="89" t="n"/>
      <c r="AE652" s="89" t="n"/>
      <c r="AF652" s="89" t="n">
        <v>57.60935</v>
      </c>
      <c r="AG652" s="89" t="n">
        <v>38.1996</v>
      </c>
      <c r="AH652" s="89" t="n"/>
      <c r="AI652" s="89" t="n"/>
      <c r="AJ652" s="89" t="n">
        <v>47.92834</v>
      </c>
      <c r="AK652" s="89" t="n"/>
      <c r="AL652" s="89" t="n"/>
      <c r="AM652" s="89" t="n">
        <v>57.17482</v>
      </c>
      <c r="AN652" s="89" t="n"/>
      <c r="AO652" s="89" t="n">
        <v>44.17114</v>
      </c>
      <c r="AP652" s="89" t="n"/>
      <c r="AQ652" s="89" t="n"/>
      <c r="AR652" s="89" t="n"/>
      <c r="AS652" s="89" t="n"/>
      <c r="AT652" s="89" t="n"/>
      <c r="AU652" s="89" t="n"/>
      <c r="AV652" s="89" t="n"/>
      <c r="AW652" s="89" t="n"/>
      <c r="AX652" s="89" t="n"/>
      <c r="AY652" s="89" t="n"/>
    </row>
    <row r="653">
      <c r="A653" t="inlineStr">
        <is>
          <t>1973-04</t>
        </is>
      </c>
      <c r="B653" s="1" t="n">
        <v>26755</v>
      </c>
      <c r="C653" s="88" t="n">
        <v>653</v>
      </c>
      <c r="E653" s="1">
        <f>B653</f>
        <v/>
      </c>
      <c r="F653" s="2">
        <f>B653</f>
        <v/>
      </c>
      <c r="G653" s="88" t="n">
        <v>651</v>
      </c>
      <c r="H653" s="89" t="n"/>
      <c r="I653" s="89" t="n"/>
      <c r="J653" s="89" t="n">
        <v>48.49768</v>
      </c>
      <c r="K653" s="89" t="n">
        <v>50.22625</v>
      </c>
      <c r="L653" s="89" t="n"/>
      <c r="M653" s="89" t="n"/>
      <c r="N653" s="89" t="n">
        <v>55.36064</v>
      </c>
      <c r="O653" s="89" t="n"/>
      <c r="P653" s="89" t="n">
        <v>67.33044</v>
      </c>
      <c r="Q653" s="89" t="n"/>
      <c r="R653" s="89" t="n">
        <v>38.49566</v>
      </c>
      <c r="S653" s="89" t="n">
        <v>71.26812</v>
      </c>
      <c r="T653" s="89" t="n">
        <v>78.51676999999999</v>
      </c>
      <c r="U653" s="89" t="n">
        <v>83.8964</v>
      </c>
      <c r="V653" s="89" t="n"/>
      <c r="W653" s="89" t="n"/>
      <c r="X653" s="89" t="n"/>
      <c r="Y653" s="89" t="n"/>
      <c r="Z653" s="89" t="n">
        <v>76.19611999999999</v>
      </c>
      <c r="AA653" s="89" t="n">
        <v>59.05854</v>
      </c>
      <c r="AB653" s="89" t="n"/>
      <c r="AC653" s="89" t="n">
        <v>57.02772</v>
      </c>
      <c r="AD653" s="89" t="n"/>
      <c r="AE653" s="89" t="n"/>
      <c r="AF653" s="89" t="n">
        <v>59.61315</v>
      </c>
      <c r="AG653" s="89" t="n">
        <v>38.24257</v>
      </c>
      <c r="AH653" s="89" t="n"/>
      <c r="AI653" s="89" t="n"/>
      <c r="AJ653" s="89" t="n">
        <v>47.75999</v>
      </c>
      <c r="AK653" s="89" t="n"/>
      <c r="AL653" s="89" t="n"/>
      <c r="AM653" s="89" t="n">
        <v>57.28975</v>
      </c>
      <c r="AN653" s="89" t="n"/>
      <c r="AO653" s="89" t="n">
        <v>44.11015</v>
      </c>
      <c r="AP653" s="89" t="n"/>
      <c r="AQ653" s="89" t="n"/>
      <c r="AR653" s="89" t="n"/>
      <c r="AS653" s="89" t="n"/>
      <c r="AT653" s="89" t="n"/>
      <c r="AU653" s="89" t="n"/>
      <c r="AV653" s="89" t="n"/>
      <c r="AW653" s="89" t="n"/>
      <c r="AX653" s="89" t="n"/>
      <c r="AY653" s="89" t="n"/>
    </row>
    <row r="654">
      <c r="A654" t="inlineStr">
        <is>
          <t>1973-05</t>
        </is>
      </c>
      <c r="B654" s="1" t="n">
        <v>26785</v>
      </c>
      <c r="C654" s="88" t="n">
        <v>654</v>
      </c>
      <c r="E654" s="1">
        <f>B654</f>
        <v/>
      </c>
      <c r="F654" s="2">
        <f>B654</f>
        <v/>
      </c>
      <c r="G654" s="88" t="n">
        <v>652</v>
      </c>
      <c r="H654" s="89" t="n"/>
      <c r="I654" s="89" t="n"/>
      <c r="J654" s="89" t="n">
        <v>48.56114</v>
      </c>
      <c r="K654" s="89" t="n">
        <v>50.34795</v>
      </c>
      <c r="L654" s="89" t="n"/>
      <c r="M654" s="89" t="n"/>
      <c r="N654" s="89" t="n">
        <v>55.73094</v>
      </c>
      <c r="O654" s="89" t="n"/>
      <c r="P654" s="89" t="n">
        <v>70.0331</v>
      </c>
      <c r="Q654" s="89" t="n"/>
      <c r="R654" s="89" t="n">
        <v>38.16321</v>
      </c>
      <c r="S654" s="89" t="n">
        <v>75.29871</v>
      </c>
      <c r="T654" s="89" t="n">
        <v>78.51676999999999</v>
      </c>
      <c r="U654" s="89" t="n">
        <v>84.03194999999999</v>
      </c>
      <c r="V654" s="89" t="n"/>
      <c r="W654" s="89" t="n"/>
      <c r="X654" s="89" t="n"/>
      <c r="Y654" s="89" t="n"/>
      <c r="Z654" s="89" t="n">
        <v>78.03100999999999</v>
      </c>
      <c r="AA654" s="89" t="n">
        <v>59.64744</v>
      </c>
      <c r="AB654" s="89" t="n"/>
      <c r="AC654" s="89" t="n">
        <v>57.88833</v>
      </c>
      <c r="AD654" s="89" t="n"/>
      <c r="AE654" s="89" t="n"/>
      <c r="AF654" s="89" t="n">
        <v>58.61125</v>
      </c>
      <c r="AG654" s="89" t="n">
        <v>39.10196</v>
      </c>
      <c r="AH654" s="89" t="n"/>
      <c r="AI654" s="89" t="n"/>
      <c r="AJ654" s="89" t="n">
        <v>49.67887</v>
      </c>
      <c r="AK654" s="89" t="n"/>
      <c r="AL654" s="89" t="n"/>
      <c r="AM654" s="89" t="n">
        <v>58.49645</v>
      </c>
      <c r="AN654" s="89" t="n"/>
      <c r="AO654" s="89" t="n">
        <v>44.39398</v>
      </c>
      <c r="AP654" s="89" t="n"/>
      <c r="AQ654" s="89" t="n"/>
      <c r="AR654" s="89" t="n"/>
      <c r="AS654" s="89" t="n"/>
      <c r="AT654" s="89" t="n"/>
      <c r="AU654" s="89" t="n"/>
      <c r="AV654" s="89" t="n"/>
      <c r="AW654" s="89" t="n"/>
      <c r="AX654" s="89" t="n"/>
      <c r="AY654" s="89" t="n"/>
    </row>
    <row r="655">
      <c r="A655" t="inlineStr">
        <is>
          <t>1973-06</t>
        </is>
      </c>
      <c r="B655" s="1" t="n">
        <v>26816</v>
      </c>
      <c r="C655" s="88" t="n">
        <v>655</v>
      </c>
      <c r="E655" s="1">
        <f>B655</f>
        <v/>
      </c>
      <c r="F655" s="2">
        <f>B655</f>
        <v/>
      </c>
      <c r="G655" s="88" t="n">
        <v>653</v>
      </c>
      <c r="H655" s="89" t="n"/>
      <c r="I655" s="89" t="n"/>
      <c r="J655" s="89" t="n">
        <v>48.24021</v>
      </c>
      <c r="K655" s="89" t="n">
        <v>50.722</v>
      </c>
      <c r="L655" s="89" t="n"/>
      <c r="M655" s="89" t="n"/>
      <c r="N655" s="89" t="n">
        <v>55.36064</v>
      </c>
      <c r="O655" s="89" t="n"/>
      <c r="P655" s="89" t="n">
        <v>70.68375</v>
      </c>
      <c r="Q655" s="89" t="n"/>
      <c r="R655" s="89" t="n">
        <v>38.9813</v>
      </c>
      <c r="S655" s="89" t="n">
        <v>73.89409999999999</v>
      </c>
      <c r="T655" s="89" t="n">
        <v>79.98164</v>
      </c>
      <c r="U655" s="89" t="n">
        <v>85.44135</v>
      </c>
      <c r="V655" s="89" t="n"/>
      <c r="W655" s="89" t="n"/>
      <c r="X655" s="89" t="n"/>
      <c r="Y655" s="89" t="n"/>
      <c r="Z655" s="89" t="n">
        <v>81.02477</v>
      </c>
      <c r="AA655" s="89" t="n">
        <v>60.23634</v>
      </c>
      <c r="AB655" s="89" t="n"/>
      <c r="AC655" s="89" t="n">
        <v>56.54856</v>
      </c>
      <c r="AD655" s="89" t="n"/>
      <c r="AE655" s="89" t="n"/>
      <c r="AF655" s="89" t="n">
        <v>59.1122</v>
      </c>
      <c r="AG655" s="89" t="n">
        <v>38.50039</v>
      </c>
      <c r="AH655" s="89" t="n"/>
      <c r="AI655" s="89" t="n"/>
      <c r="AJ655" s="89" t="n">
        <v>50.17681</v>
      </c>
      <c r="AK655" s="89" t="n"/>
      <c r="AL655" s="89" t="n"/>
      <c r="AM655" s="89" t="n">
        <v>57.80691</v>
      </c>
      <c r="AN655" s="89" t="n"/>
      <c r="AO655" s="89" t="n">
        <v>44.42443</v>
      </c>
      <c r="AP655" s="89" t="n"/>
      <c r="AQ655" s="89" t="n"/>
      <c r="AR655" s="89" t="n"/>
      <c r="AS655" s="89" t="n"/>
      <c r="AT655" s="89" t="n"/>
      <c r="AU655" s="89" t="n"/>
      <c r="AV655" s="89" t="n"/>
      <c r="AW655" s="89" t="n"/>
      <c r="AX655" s="89" t="n"/>
      <c r="AY655" s="89" t="n"/>
    </row>
    <row r="656">
      <c r="A656" t="inlineStr">
        <is>
          <t>1973-07</t>
        </is>
      </c>
      <c r="B656" s="1" t="n">
        <v>26846</v>
      </c>
      <c r="C656" s="88" t="n">
        <v>656</v>
      </c>
      <c r="E656" s="1">
        <f>B656</f>
        <v/>
      </c>
      <c r="F656" s="2">
        <f>B656</f>
        <v/>
      </c>
      <c r="G656" s="88" t="n">
        <v>654</v>
      </c>
      <c r="H656" s="89" t="n"/>
      <c r="I656" s="89" t="n"/>
      <c r="J656" s="89" t="n">
        <v>48.77358</v>
      </c>
      <c r="K656" s="89" t="n">
        <v>51.66041</v>
      </c>
      <c r="L656" s="89" t="n"/>
      <c r="M656" s="89" t="n"/>
      <c r="N656" s="89" t="n">
        <v>53.38567</v>
      </c>
      <c r="O656" s="89" t="n"/>
      <c r="P656" s="89" t="n">
        <v>69.89987000000001</v>
      </c>
      <c r="Q656" s="89" t="n"/>
      <c r="R656" s="89" t="n">
        <v>40.65332</v>
      </c>
      <c r="S656" s="89" t="n">
        <v>74.99335000000001</v>
      </c>
      <c r="T656" s="89" t="n">
        <v>79.59099999999999</v>
      </c>
      <c r="U656" s="89" t="n">
        <v>86.12224999999999</v>
      </c>
      <c r="V656" s="89" t="n"/>
      <c r="W656" s="89" t="n"/>
      <c r="X656" s="89" t="n"/>
      <c r="Y656" s="89" t="n"/>
      <c r="Z656" s="89" t="n">
        <v>80.44534</v>
      </c>
      <c r="AA656" s="89" t="n">
        <v>59.56331</v>
      </c>
      <c r="AB656" s="89" t="n"/>
      <c r="AC656" s="89" t="n">
        <v>59.03554</v>
      </c>
      <c r="AD656" s="89" t="n"/>
      <c r="AE656" s="89" t="n"/>
      <c r="AF656" s="89" t="n">
        <v>59.61315</v>
      </c>
      <c r="AG656" s="89" t="n">
        <v>39.66056</v>
      </c>
      <c r="AH656" s="89" t="n"/>
      <c r="AI656" s="89" t="n"/>
      <c r="AJ656" s="89" t="n">
        <v>49.93225</v>
      </c>
      <c r="AK656" s="89" t="n"/>
      <c r="AL656" s="89" t="n"/>
      <c r="AM656" s="89" t="n">
        <v>57.57706</v>
      </c>
      <c r="AN656" s="89" t="n"/>
      <c r="AO656" s="89" t="n">
        <v>44.60808</v>
      </c>
      <c r="AP656" s="89" t="n"/>
      <c r="AQ656" s="89" t="n"/>
      <c r="AR656" s="89" t="n"/>
      <c r="AS656" s="89" t="n"/>
      <c r="AT656" s="89" t="n"/>
      <c r="AU656" s="89" t="n"/>
      <c r="AV656" s="89" t="n"/>
      <c r="AW656" s="89" t="n"/>
      <c r="AX656" s="89" t="n"/>
      <c r="AY656" s="89" t="n"/>
    </row>
    <row r="657">
      <c r="A657" t="inlineStr">
        <is>
          <t>1973-08</t>
        </is>
      </c>
      <c r="B657" s="1" t="n">
        <v>26877</v>
      </c>
      <c r="C657" s="88" t="n">
        <v>657</v>
      </c>
      <c r="E657" s="1">
        <f>B657</f>
        <v/>
      </c>
      <c r="F657" s="2">
        <f>B657</f>
        <v/>
      </c>
      <c r="G657" s="88" t="n">
        <v>655</v>
      </c>
      <c r="H657" s="89" t="n"/>
      <c r="I657" s="89" t="n"/>
      <c r="J657" s="89" t="n">
        <v>50.30541</v>
      </c>
      <c r="K657" s="89" t="n">
        <v>50.24222</v>
      </c>
      <c r="L657" s="89" t="n"/>
      <c r="M657" s="89" t="n"/>
      <c r="N657" s="89" t="n">
        <v>56.34812</v>
      </c>
      <c r="O657" s="89" t="n"/>
      <c r="P657" s="89" t="n">
        <v>72.04304999999999</v>
      </c>
      <c r="Q657" s="89" t="n"/>
      <c r="R657" s="89" t="n">
        <v>39.77331</v>
      </c>
      <c r="S657" s="89" t="n">
        <v>74.99335000000001</v>
      </c>
      <c r="T657" s="89" t="n">
        <v>79.59099999999999</v>
      </c>
      <c r="U657" s="89" t="n">
        <v>86.46447999999999</v>
      </c>
      <c r="V657" s="89" t="n"/>
      <c r="W657" s="89" t="n"/>
      <c r="X657" s="89" t="n"/>
      <c r="Y657" s="89" t="n"/>
      <c r="Z657" s="89" t="n">
        <v>80.25219</v>
      </c>
      <c r="AA657" s="89" t="n">
        <v>61.33002</v>
      </c>
      <c r="AB657" s="89" t="n"/>
      <c r="AC657" s="89" t="n">
        <v>59.97076</v>
      </c>
      <c r="AD657" s="89" t="n"/>
      <c r="AE657" s="89" t="n"/>
      <c r="AF657" s="89" t="n">
        <v>59.61315</v>
      </c>
      <c r="AG657" s="89" t="n">
        <v>39.66056</v>
      </c>
      <c r="AH657" s="89" t="n"/>
      <c r="AI657" s="89" t="n"/>
      <c r="AJ657" s="89" t="n">
        <v>53.4028</v>
      </c>
      <c r="AK657" s="89" t="n"/>
      <c r="AL657" s="89" t="n"/>
      <c r="AM657" s="89" t="n">
        <v>58.20914</v>
      </c>
      <c r="AN657" s="89" t="n"/>
      <c r="AO657" s="89" t="n">
        <v>44.53383</v>
      </c>
      <c r="AP657" s="89" t="n"/>
      <c r="AQ657" s="89" t="n"/>
      <c r="AR657" s="89" t="n"/>
      <c r="AS657" s="89" t="n"/>
      <c r="AT657" s="89" t="n"/>
      <c r="AU657" s="89" t="n"/>
      <c r="AV657" s="89" t="n"/>
      <c r="AW657" s="89" t="n"/>
      <c r="AX657" s="89" t="n"/>
      <c r="AY657" s="89" t="n"/>
    </row>
    <row r="658">
      <c r="A658" t="inlineStr">
        <is>
          <t>1973-09</t>
        </is>
      </c>
      <c r="B658" s="1" t="n">
        <v>26908</v>
      </c>
      <c r="C658" s="88" t="n">
        <v>658</v>
      </c>
      <c r="E658" s="1">
        <f>B658</f>
        <v/>
      </c>
      <c r="F658" s="2">
        <f>B658</f>
        <v/>
      </c>
      <c r="G658" s="88" t="n">
        <v>656</v>
      </c>
      <c r="H658" s="89" t="n"/>
      <c r="I658" s="89" t="n"/>
      <c r="J658" s="89" t="n">
        <v>49.68471</v>
      </c>
      <c r="K658" s="89" t="n">
        <v>50.73986</v>
      </c>
      <c r="L658" s="89" t="n"/>
      <c r="M658" s="89" t="n"/>
      <c r="N658" s="89" t="n">
        <v>56.10125</v>
      </c>
      <c r="O658" s="89" t="n"/>
      <c r="P658" s="89" t="n">
        <v>69.85701</v>
      </c>
      <c r="Q658" s="89" t="n"/>
      <c r="R658" s="89" t="n">
        <v>40.4708</v>
      </c>
      <c r="S658" s="89" t="n">
        <v>73.83304</v>
      </c>
      <c r="T658" s="89" t="n">
        <v>79.20037000000001</v>
      </c>
      <c r="U658" s="89" t="n">
        <v>88.79411</v>
      </c>
      <c r="V658" s="89" t="n"/>
      <c r="W658" s="89" t="n"/>
      <c r="X658" s="89" t="n"/>
      <c r="Y658" s="89" t="n"/>
      <c r="Z658" s="89" t="n">
        <v>83.53568</v>
      </c>
      <c r="AA658" s="89" t="n">
        <v>60.48873</v>
      </c>
      <c r="AB658" s="89" t="n"/>
      <c r="AC658" s="89" t="n">
        <v>58.70864</v>
      </c>
      <c r="AD658" s="89" t="n"/>
      <c r="AE658" s="89" t="n"/>
      <c r="AF658" s="89" t="n">
        <v>61.116</v>
      </c>
      <c r="AG658" s="89" t="n">
        <v>40.73479</v>
      </c>
      <c r="AH658" s="89" t="n"/>
      <c r="AI658" s="89" t="n"/>
      <c r="AJ658" s="89" t="n">
        <v>52.47304</v>
      </c>
      <c r="AK658" s="89" t="n"/>
      <c r="AL658" s="89" t="n"/>
      <c r="AM658" s="89" t="n">
        <v>59.58823</v>
      </c>
      <c r="AN658" s="89" t="n"/>
      <c r="AO658" s="89" t="n">
        <v>44.93292</v>
      </c>
      <c r="AP658" s="89" t="n"/>
      <c r="AQ658" s="89" t="n"/>
      <c r="AR658" s="89" t="n"/>
      <c r="AS658" s="89" t="n"/>
      <c r="AT658" s="89" t="n"/>
      <c r="AU658" s="89" t="n"/>
      <c r="AV658" s="89" t="n"/>
      <c r="AW658" s="89" t="n"/>
      <c r="AX658" s="89" t="n"/>
      <c r="AY658" s="89" t="n"/>
    </row>
    <row r="659">
      <c r="A659" t="inlineStr">
        <is>
          <t>1973-10</t>
        </is>
      </c>
      <c r="B659" s="1" t="n">
        <v>26938</v>
      </c>
      <c r="C659" s="88" t="n">
        <v>659</v>
      </c>
      <c r="E659" s="1">
        <f>B659</f>
        <v/>
      </c>
      <c r="F659" s="2">
        <f>B659</f>
        <v/>
      </c>
      <c r="G659" s="88" t="n">
        <v>657</v>
      </c>
      <c r="H659" s="89" t="n"/>
      <c r="I659" s="89" t="n"/>
      <c r="J659" s="89" t="n">
        <v>50.16259</v>
      </c>
      <c r="K659" s="89" t="n">
        <v>51.29012</v>
      </c>
      <c r="L659" s="89" t="n"/>
      <c r="M659" s="89" t="n"/>
      <c r="N659" s="89" t="n">
        <v>55.73094</v>
      </c>
      <c r="O659" s="89" t="n"/>
      <c r="P659" s="89" t="n">
        <v>71.32704</v>
      </c>
      <c r="Q659" s="89" t="n"/>
      <c r="R659" s="89" t="n">
        <v>40.68917</v>
      </c>
      <c r="S659" s="89" t="n">
        <v>74.99335000000001</v>
      </c>
      <c r="T659" s="89" t="n">
        <v>79.98164</v>
      </c>
      <c r="U659" s="89" t="n">
        <v>88.87887000000001</v>
      </c>
      <c r="V659" s="89" t="n"/>
      <c r="W659" s="89" t="n"/>
      <c r="X659" s="89" t="n"/>
      <c r="Y659" s="89" t="n"/>
      <c r="Z659" s="89" t="n">
        <v>81.50763999999999</v>
      </c>
      <c r="AA659" s="89" t="n">
        <v>61.33002</v>
      </c>
      <c r="AB659" s="89" t="n"/>
      <c r="AC659" s="89" t="n">
        <v>59.96447</v>
      </c>
      <c r="AD659" s="89" t="n"/>
      <c r="AE659" s="89" t="n"/>
      <c r="AF659" s="89" t="n">
        <v>61.116</v>
      </c>
      <c r="AG659" s="89" t="n">
        <v>40.13322</v>
      </c>
      <c r="AH659" s="89" t="n"/>
      <c r="AI659" s="89" t="n"/>
      <c r="AJ659" s="89" t="n">
        <v>52.88579</v>
      </c>
      <c r="AK659" s="89" t="n"/>
      <c r="AL659" s="89" t="n"/>
      <c r="AM659" s="89" t="n">
        <v>59.12854</v>
      </c>
      <c r="AN659" s="89" t="n"/>
      <c r="AO659" s="89" t="n">
        <v>45.23558</v>
      </c>
      <c r="AP659" s="89" t="n"/>
      <c r="AQ659" s="89" t="n"/>
      <c r="AR659" s="89" t="n"/>
      <c r="AS659" s="89" t="n"/>
      <c r="AT659" s="89" t="n"/>
      <c r="AU659" s="89" t="n"/>
      <c r="AV659" s="89" t="n"/>
      <c r="AW659" s="89" t="n"/>
      <c r="AX659" s="89" t="n"/>
      <c r="AY659" s="89" t="n"/>
    </row>
    <row r="660">
      <c r="A660" t="inlineStr">
        <is>
          <t>1973-11</t>
        </is>
      </c>
      <c r="B660" s="1" t="n">
        <v>26969</v>
      </c>
      <c r="C660" s="88" t="n">
        <v>660</v>
      </c>
      <c r="E660" s="1">
        <f>B660</f>
        <v/>
      </c>
      <c r="F660" s="2">
        <f>B660</f>
        <v/>
      </c>
      <c r="G660" s="88" t="n">
        <v>658</v>
      </c>
      <c r="H660" s="89" t="n"/>
      <c r="I660" s="89" t="n"/>
      <c r="J660" s="89" t="n">
        <v>50.17017</v>
      </c>
      <c r="K660" s="89" t="n">
        <v>51.91416</v>
      </c>
      <c r="L660" s="89" t="n"/>
      <c r="M660" s="89" t="n"/>
      <c r="N660" s="89" t="n">
        <v>56.03953</v>
      </c>
      <c r="O660" s="89" t="n"/>
      <c r="P660" s="89" t="n">
        <v>72.77892</v>
      </c>
      <c r="Q660" s="89" t="n"/>
      <c r="R660" s="89" t="n">
        <v>40.89125</v>
      </c>
      <c r="S660" s="89" t="n">
        <v>75.35977</v>
      </c>
      <c r="T660" s="89" t="n">
        <v>79.10271</v>
      </c>
      <c r="U660" s="89" t="n">
        <v>86.85384999999999</v>
      </c>
      <c r="V660" s="89" t="n"/>
      <c r="W660" s="89" t="n"/>
      <c r="X660" s="89" t="n"/>
      <c r="Y660" s="89" t="n"/>
      <c r="Z660" s="89" t="n">
        <v>81.79736</v>
      </c>
      <c r="AA660" s="89" t="n">
        <v>61.91892</v>
      </c>
      <c r="AB660" s="89" t="n"/>
      <c r="AC660" s="89" t="n">
        <v>61.72398</v>
      </c>
      <c r="AD660" s="89" t="n"/>
      <c r="AE660" s="89" t="n"/>
      <c r="AF660" s="89" t="n">
        <v>61.116</v>
      </c>
      <c r="AG660" s="89" t="n">
        <v>39.83243</v>
      </c>
      <c r="AH660" s="89" t="n"/>
      <c r="AI660" s="89" t="n"/>
      <c r="AJ660" s="89" t="n">
        <v>53.86919</v>
      </c>
      <c r="AK660" s="89" t="n"/>
      <c r="AL660" s="89" t="n"/>
      <c r="AM660" s="89" t="n">
        <v>58.78376</v>
      </c>
      <c r="AN660" s="89" t="n"/>
      <c r="AO660" s="89" t="n">
        <v>45.47484</v>
      </c>
      <c r="AP660" s="89" t="n"/>
      <c r="AQ660" s="89" t="n"/>
      <c r="AR660" s="89" t="n"/>
      <c r="AS660" s="89" t="n"/>
      <c r="AT660" s="89" t="n"/>
      <c r="AU660" s="89" t="n"/>
      <c r="AV660" s="89" t="n"/>
      <c r="AW660" s="89" t="n"/>
      <c r="AX660" s="89" t="n"/>
      <c r="AY660" s="89" t="n"/>
    </row>
    <row r="661">
      <c r="A661" t="inlineStr">
        <is>
          <t>1973-12</t>
        </is>
      </c>
      <c r="B661" s="1" t="n">
        <v>26999</v>
      </c>
      <c r="C661" s="88" t="n">
        <v>661</v>
      </c>
      <c r="E661" s="1">
        <f>B661</f>
        <v/>
      </c>
      <c r="F661" s="2">
        <f>B661</f>
        <v/>
      </c>
      <c r="G661" s="88" t="n">
        <v>659</v>
      </c>
      <c r="H661" s="89" t="n"/>
      <c r="I661" s="89" t="n"/>
      <c r="J661" s="89" t="n">
        <v>50.30778</v>
      </c>
      <c r="K661" s="89" t="n">
        <v>51.74828</v>
      </c>
      <c r="L661" s="89" t="n"/>
      <c r="M661" s="89" t="n"/>
      <c r="N661" s="89" t="n">
        <v>55.48407</v>
      </c>
      <c r="O661" s="89" t="n"/>
      <c r="P661" s="89" t="n">
        <v>72.15599</v>
      </c>
      <c r="Q661" s="89" t="n"/>
      <c r="R661" s="89" t="n">
        <v>41.90163</v>
      </c>
      <c r="S661" s="89" t="n">
        <v>73.34448</v>
      </c>
      <c r="T661" s="89" t="n">
        <v>78.41911</v>
      </c>
      <c r="U661" s="89" t="n">
        <v>87.06252000000001</v>
      </c>
      <c r="V661" s="89" t="n"/>
      <c r="W661" s="89" t="n"/>
      <c r="X661" s="89" t="n"/>
      <c r="Y661" s="89" t="n"/>
      <c r="Z661" s="89" t="n">
        <v>84.30826</v>
      </c>
      <c r="AA661" s="89" t="n">
        <v>61.91892</v>
      </c>
      <c r="AB661" s="89" t="n"/>
      <c r="AC661" s="89" t="n">
        <v>59.93345</v>
      </c>
      <c r="AD661" s="89" t="n"/>
      <c r="AE661" s="89" t="n"/>
      <c r="AF661" s="89" t="n">
        <v>61.61696</v>
      </c>
      <c r="AG661" s="89" t="n">
        <v>39.10196</v>
      </c>
      <c r="AH661" s="89" t="n"/>
      <c r="AI661" s="89" t="n"/>
      <c r="AJ661" s="89" t="n">
        <v>54.44871</v>
      </c>
      <c r="AK661" s="89" t="n"/>
      <c r="AL661" s="89" t="n"/>
      <c r="AM661" s="89" t="n">
        <v>60.3927</v>
      </c>
      <c r="AN661" s="89" t="n"/>
      <c r="AO661" s="89" t="n">
        <v>45.36631</v>
      </c>
      <c r="AP661" s="89" t="n"/>
      <c r="AQ661" s="89" t="n"/>
      <c r="AR661" s="89" t="n"/>
      <c r="AS661" s="89" t="n"/>
      <c r="AT661" s="89" t="n"/>
      <c r="AU661" s="89" t="n"/>
      <c r="AV661" s="89" t="n"/>
      <c r="AW661" s="89" t="n"/>
      <c r="AX661" s="89" t="n"/>
      <c r="AY661" s="89" t="n"/>
    </row>
    <row r="662">
      <c r="A662" t="inlineStr">
        <is>
          <t>1974-01</t>
        </is>
      </c>
      <c r="B662" s="1" t="n">
        <v>27030</v>
      </c>
      <c r="C662" s="88" t="n">
        <v>662</v>
      </c>
      <c r="E662" s="1">
        <f>B662</f>
        <v/>
      </c>
      <c r="F662" s="2">
        <f>B662</f>
        <v/>
      </c>
      <c r="G662" s="88" t="n">
        <v>660</v>
      </c>
      <c r="H662" s="89" t="n"/>
      <c r="I662" s="89" t="n"/>
      <c r="J662" s="89" t="n">
        <v>51.34415</v>
      </c>
      <c r="K662" s="89" t="n">
        <v>52.46818</v>
      </c>
      <c r="L662" s="89" t="n"/>
      <c r="M662" s="89" t="n"/>
      <c r="N662" s="89" t="n">
        <v>55.66922</v>
      </c>
      <c r="O662" s="89" t="n">
        <v>59.40729</v>
      </c>
      <c r="P662" s="89" t="n">
        <v>79.37342</v>
      </c>
      <c r="Q662" s="89" t="n"/>
      <c r="R662" s="89" t="n">
        <v>41.33451</v>
      </c>
      <c r="S662" s="89" t="n">
        <v>76.5201</v>
      </c>
      <c r="T662" s="89" t="n">
        <v>72.65731</v>
      </c>
      <c r="U662" s="89" t="n">
        <v>86.82980000000001</v>
      </c>
      <c r="V662" s="89" t="n"/>
      <c r="W662" s="89" t="n"/>
      <c r="X662" s="89" t="n"/>
      <c r="Y662" s="89" t="n"/>
      <c r="Z662" s="89" t="n">
        <v>83.63225</v>
      </c>
      <c r="AA662" s="89" t="n">
        <v>62.25544</v>
      </c>
      <c r="AB662" s="89" t="n"/>
      <c r="AC662" s="89" t="n">
        <v>63.00637</v>
      </c>
      <c r="AD662" s="89" t="n"/>
      <c r="AE662" s="89" t="n"/>
      <c r="AF662" s="89" t="n">
        <v>62.11791</v>
      </c>
      <c r="AG662" s="89" t="n">
        <v>39.70353</v>
      </c>
      <c r="AH662" s="89" t="n"/>
      <c r="AI662" s="89" t="n"/>
      <c r="AJ662" s="89" t="n">
        <v>55.32577</v>
      </c>
      <c r="AK662" s="89" t="n"/>
      <c r="AL662" s="89" t="n"/>
      <c r="AM662" s="89" t="n">
        <v>60.22032</v>
      </c>
      <c r="AN662" s="89" t="n"/>
      <c r="AO662" s="89" t="n">
        <v>45.04732</v>
      </c>
      <c r="AP662" s="89" t="n"/>
      <c r="AQ662" s="89" t="n"/>
      <c r="AR662" s="89" t="n"/>
      <c r="AS662" s="89" t="n"/>
      <c r="AT662" s="89" t="n"/>
      <c r="AU662" s="89" t="n"/>
      <c r="AV662" s="89" t="n"/>
      <c r="AW662" s="89" t="n"/>
      <c r="AX662" s="89" t="n"/>
      <c r="AY662" s="89" t="n"/>
    </row>
    <row r="663">
      <c r="A663" t="inlineStr">
        <is>
          <t>1974-02</t>
        </is>
      </c>
      <c r="B663" s="1" t="n">
        <v>27061</v>
      </c>
      <c r="C663" s="88" t="n">
        <v>663</v>
      </c>
      <c r="E663" s="1">
        <f>B663</f>
        <v/>
      </c>
      <c r="F663" s="2">
        <f>B663</f>
        <v/>
      </c>
      <c r="G663" s="88" t="n">
        <v>661</v>
      </c>
      <c r="H663" s="89" t="n"/>
      <c r="I663" s="89" t="n"/>
      <c r="J663" s="89" t="n">
        <v>51.60149</v>
      </c>
      <c r="K663" s="89" t="n">
        <v>52.46959</v>
      </c>
      <c r="L663" s="89" t="n"/>
      <c r="M663" s="89" t="n"/>
      <c r="N663" s="89" t="n">
        <v>55.48407</v>
      </c>
      <c r="O663" s="89" t="n">
        <v>59.40729</v>
      </c>
      <c r="P663" s="89" t="n">
        <v>75.52907999999999</v>
      </c>
      <c r="Q663" s="89" t="n"/>
      <c r="R663" s="89" t="n">
        <v>41.2237</v>
      </c>
      <c r="S663" s="89" t="n">
        <v>76.82544</v>
      </c>
      <c r="T663" s="89" t="n">
        <v>72.75497</v>
      </c>
      <c r="U663" s="89" t="n">
        <v>89.87868</v>
      </c>
      <c r="V663" s="89" t="n"/>
      <c r="W663" s="89" t="n"/>
      <c r="X663" s="89" t="n"/>
      <c r="Y663" s="89" t="n"/>
      <c r="Z663" s="89" t="n">
        <v>80.05904</v>
      </c>
      <c r="AA663" s="89" t="n">
        <v>62.08718</v>
      </c>
      <c r="AB663" s="89" t="n"/>
      <c r="AC663" s="89" t="n">
        <v>63.18172</v>
      </c>
      <c r="AD663" s="89" t="n"/>
      <c r="AE663" s="89" t="n"/>
      <c r="AF663" s="89" t="n">
        <v>63.11981</v>
      </c>
      <c r="AG663" s="89" t="n">
        <v>40.00431</v>
      </c>
      <c r="AH663" s="89" t="n"/>
      <c r="AI663" s="89" t="n"/>
      <c r="AJ663" s="89" t="n">
        <v>53.44994</v>
      </c>
      <c r="AK663" s="89" t="n"/>
      <c r="AL663" s="89" t="n"/>
      <c r="AM663" s="89" t="n">
        <v>60.45016</v>
      </c>
      <c r="AN663" s="89" t="n"/>
      <c r="AO663" s="89" t="n">
        <v>44.90747</v>
      </c>
      <c r="AP663" s="89" t="n"/>
      <c r="AQ663" s="89" t="n"/>
      <c r="AR663" s="89" t="n"/>
      <c r="AS663" s="89" t="n"/>
      <c r="AT663" s="89" t="n"/>
      <c r="AU663" s="89" t="n"/>
      <c r="AV663" s="89" t="n"/>
      <c r="AW663" s="89" t="n"/>
      <c r="AX663" s="89" t="n"/>
      <c r="AY663" s="89" t="n"/>
    </row>
    <row r="664">
      <c r="A664" t="inlineStr">
        <is>
          <t>1974-03</t>
        </is>
      </c>
      <c r="B664" s="1" t="n">
        <v>27089</v>
      </c>
      <c r="C664" s="88" t="n">
        <v>664</v>
      </c>
      <c r="E664" s="1">
        <f>B664</f>
        <v/>
      </c>
      <c r="F664" s="2">
        <f>B664</f>
        <v/>
      </c>
      <c r="G664" s="88" t="n">
        <v>662</v>
      </c>
      <c r="H664" s="89" t="n"/>
      <c r="I664" s="89" t="n"/>
      <c r="J664" s="89" t="n">
        <v>51.00964</v>
      </c>
      <c r="K664" s="89" t="n">
        <v>52.70502</v>
      </c>
      <c r="L664" s="89" t="n"/>
      <c r="M664" s="89" t="n"/>
      <c r="N664" s="89" t="n">
        <v>55.17548</v>
      </c>
      <c r="O664" s="89" t="n">
        <v>60.03263</v>
      </c>
      <c r="P664" s="89" t="n">
        <v>74.28274999999999</v>
      </c>
      <c r="Q664" s="89" t="n"/>
      <c r="R664" s="89" t="n">
        <v>41.31496</v>
      </c>
      <c r="S664" s="89" t="n">
        <v>75.23763</v>
      </c>
      <c r="T664" s="89" t="n">
        <v>75.29407</v>
      </c>
      <c r="U664" s="89" t="n">
        <v>85.04209</v>
      </c>
      <c r="V664" s="89" t="n"/>
      <c r="W664" s="89" t="n"/>
      <c r="X664" s="89" t="n"/>
      <c r="Y664" s="89" t="n"/>
      <c r="Z664" s="89" t="n">
        <v>84.21169</v>
      </c>
      <c r="AA664" s="89" t="n">
        <v>60.65699</v>
      </c>
      <c r="AB664" s="89" t="n"/>
      <c r="AC664" s="89" t="n">
        <v>61.85269</v>
      </c>
      <c r="AD664" s="89" t="n"/>
      <c r="AE664" s="89" t="n"/>
      <c r="AF664" s="89" t="n">
        <v>62.61886</v>
      </c>
      <c r="AG664" s="89" t="n">
        <v>40.3051</v>
      </c>
      <c r="AH664" s="89" t="n"/>
      <c r="AI664" s="89" t="n"/>
      <c r="AJ664" s="89" t="n">
        <v>55.38209</v>
      </c>
      <c r="AK664" s="89" t="n"/>
      <c r="AL664" s="89" t="n"/>
      <c r="AM664" s="89" t="n">
        <v>59.99047</v>
      </c>
      <c r="AN664" s="89" t="n"/>
      <c r="AO664" s="89" t="n">
        <v>44.92159</v>
      </c>
      <c r="AP664" s="89" t="n"/>
      <c r="AQ664" s="89" t="n"/>
      <c r="AR664" s="89" t="n"/>
      <c r="AS664" s="89" t="n"/>
      <c r="AT664" s="89" t="n"/>
      <c r="AU664" s="89" t="n"/>
      <c r="AV664" s="89" t="n"/>
      <c r="AW664" s="89" t="n"/>
      <c r="AX664" s="89" t="n"/>
      <c r="AY664" s="89" t="n"/>
    </row>
    <row r="665">
      <c r="A665" t="inlineStr">
        <is>
          <t>1974-04</t>
        </is>
      </c>
      <c r="B665" s="1" t="n">
        <v>27120</v>
      </c>
      <c r="C665" s="88" t="n">
        <v>665</v>
      </c>
      <c r="E665" s="1">
        <f>B665</f>
        <v/>
      </c>
      <c r="F665" s="2">
        <f>B665</f>
        <v/>
      </c>
      <c r="G665" s="88" t="n">
        <v>663</v>
      </c>
      <c r="H665" s="89" t="n"/>
      <c r="I665" s="89" t="n"/>
      <c r="J665" s="89" t="n">
        <v>51.28332</v>
      </c>
      <c r="K665" s="89" t="n">
        <v>51.77272</v>
      </c>
      <c r="L665" s="89" t="n"/>
      <c r="M665" s="89" t="n"/>
      <c r="N665" s="89" t="n">
        <v>55.29892</v>
      </c>
      <c r="O665" s="89" t="n">
        <v>57.53127</v>
      </c>
      <c r="P665" s="89" t="n">
        <v>74.3847</v>
      </c>
      <c r="Q665" s="89" t="n"/>
      <c r="R665" s="89" t="n">
        <v>41.17807</v>
      </c>
      <c r="S665" s="89" t="n">
        <v>76.45902</v>
      </c>
      <c r="T665" s="89" t="n">
        <v>79.20037000000001</v>
      </c>
      <c r="U665" s="89" t="n">
        <v>83.48362</v>
      </c>
      <c r="V665" s="89" t="n"/>
      <c r="W665" s="89" t="n"/>
      <c r="X665" s="89" t="n"/>
      <c r="Y665" s="89" t="n"/>
      <c r="Z665" s="89" t="n">
        <v>84.69455000000001</v>
      </c>
      <c r="AA665" s="89" t="n">
        <v>59.39505</v>
      </c>
      <c r="AB665" s="89" t="n"/>
      <c r="AC665" s="89" t="n">
        <v>60.784</v>
      </c>
      <c r="AD665" s="89" t="n"/>
      <c r="AE665" s="89" t="n"/>
      <c r="AF665" s="89" t="n">
        <v>62.11791</v>
      </c>
      <c r="AG665" s="89" t="n">
        <v>40.51994</v>
      </c>
      <c r="AH665" s="89" t="n"/>
      <c r="AI665" s="89" t="n"/>
      <c r="AJ665" s="89" t="n">
        <v>54.1594</v>
      </c>
      <c r="AK665" s="89" t="n"/>
      <c r="AL665" s="89" t="n"/>
      <c r="AM665" s="89" t="n">
        <v>61.42702</v>
      </c>
      <c r="AN665" s="89" t="n"/>
      <c r="AO665" s="89" t="n">
        <v>44.76637</v>
      </c>
      <c r="AP665" s="89" t="n"/>
      <c r="AQ665" s="89" t="n"/>
      <c r="AR665" s="89" t="n"/>
      <c r="AS665" s="89" t="n"/>
      <c r="AT665" s="89" t="n"/>
      <c r="AU665" s="89" t="n"/>
      <c r="AV665" s="89" t="n"/>
      <c r="AW665" s="89" t="n"/>
      <c r="AX665" s="89" t="n"/>
      <c r="AY665" s="89" t="n"/>
    </row>
    <row r="666">
      <c r="A666" t="inlineStr">
        <is>
          <t>1974-05</t>
        </is>
      </c>
      <c r="B666" s="1" t="n">
        <v>27150</v>
      </c>
      <c r="C666" s="88" t="n">
        <v>666</v>
      </c>
      <c r="E666" s="1">
        <f>B666</f>
        <v/>
      </c>
      <c r="F666" s="2">
        <f>B666</f>
        <v/>
      </c>
      <c r="G666" s="88" t="n">
        <v>664</v>
      </c>
      <c r="H666" s="89" t="n"/>
      <c r="I666" s="89" t="n"/>
      <c r="J666" s="89" t="n">
        <v>50.7369</v>
      </c>
      <c r="K666" s="89" t="n">
        <v>52.39957</v>
      </c>
      <c r="L666" s="89" t="n"/>
      <c r="M666" s="89" t="n"/>
      <c r="N666" s="89" t="n">
        <v>55.9161</v>
      </c>
      <c r="O666" s="89" t="n">
        <v>56.28059</v>
      </c>
      <c r="P666" s="89" t="n">
        <v>74.95388</v>
      </c>
      <c r="Q666" s="89" t="n"/>
      <c r="R666" s="89" t="n">
        <v>41.08029</v>
      </c>
      <c r="S666" s="89" t="n">
        <v>77.49721</v>
      </c>
      <c r="T666" s="89" t="n">
        <v>80.17695000000001</v>
      </c>
      <c r="U666" s="89" t="n">
        <v>85.03419</v>
      </c>
      <c r="V666" s="89" t="n"/>
      <c r="W666" s="89" t="n"/>
      <c r="X666" s="89" t="n"/>
      <c r="Y666" s="89" t="n"/>
      <c r="Z666" s="89" t="n">
        <v>83.72882</v>
      </c>
      <c r="AA666" s="89" t="n">
        <v>59.56331</v>
      </c>
      <c r="AB666" s="89" t="n"/>
      <c r="AC666" s="89" t="n">
        <v>60.1274</v>
      </c>
      <c r="AD666" s="89" t="n"/>
      <c r="AE666" s="89" t="n"/>
      <c r="AF666" s="89" t="n">
        <v>62.61886</v>
      </c>
      <c r="AG666" s="89" t="n">
        <v>41.89495</v>
      </c>
      <c r="AH666" s="89" t="n"/>
      <c r="AI666" s="89" t="n"/>
      <c r="AJ666" s="89" t="n">
        <v>51.37078</v>
      </c>
      <c r="AK666" s="89" t="n"/>
      <c r="AL666" s="89" t="n"/>
      <c r="AM666" s="89" t="n">
        <v>61.19717</v>
      </c>
      <c r="AN666" s="89" t="n"/>
      <c r="AO666" s="89" t="n">
        <v>45.11926</v>
      </c>
      <c r="AP666" s="89" t="n"/>
      <c r="AQ666" s="89" t="n"/>
      <c r="AR666" s="89" t="n"/>
      <c r="AS666" s="89" t="n"/>
      <c r="AT666" s="89" t="n"/>
      <c r="AU666" s="89" t="n"/>
      <c r="AV666" s="89" t="n"/>
      <c r="AW666" s="89" t="n"/>
      <c r="AX666" s="89" t="n"/>
      <c r="AY666" s="89" t="n"/>
    </row>
    <row r="667">
      <c r="A667" t="inlineStr">
        <is>
          <t>1974-06</t>
        </is>
      </c>
      <c r="B667" s="1" t="n">
        <v>27181</v>
      </c>
      <c r="C667" s="88" t="n">
        <v>667</v>
      </c>
      <c r="E667" s="1">
        <f>B667</f>
        <v/>
      </c>
      <c r="F667" s="2">
        <f>B667</f>
        <v/>
      </c>
      <c r="G667" s="88" t="n">
        <v>665</v>
      </c>
      <c r="H667" s="89" t="n"/>
      <c r="I667" s="89" t="n"/>
      <c r="J667" s="89" t="n">
        <v>52.62365</v>
      </c>
      <c r="K667" s="89" t="n">
        <v>51.68202</v>
      </c>
      <c r="L667" s="89" t="n"/>
      <c r="M667" s="89" t="n"/>
      <c r="N667" s="89" t="n">
        <v>55.2372</v>
      </c>
      <c r="O667" s="89" t="n">
        <v>55.02991</v>
      </c>
      <c r="P667" s="89" t="n">
        <v>75.19131</v>
      </c>
      <c r="Q667" s="89" t="n"/>
      <c r="R667" s="89" t="n">
        <v>42.2732</v>
      </c>
      <c r="S667" s="89" t="n">
        <v>76.15367999999999</v>
      </c>
      <c r="T667" s="89" t="n">
        <v>80.46992</v>
      </c>
      <c r="U667" s="89" t="n">
        <v>82.94376</v>
      </c>
      <c r="V667" s="89" t="n"/>
      <c r="W667" s="89" t="n"/>
      <c r="X667" s="89" t="n"/>
      <c r="Y667" s="89" t="n"/>
      <c r="Z667" s="89" t="n">
        <v>86.33629000000001</v>
      </c>
      <c r="AA667" s="89" t="n">
        <v>57.96486</v>
      </c>
      <c r="AB667" s="89" t="n"/>
      <c r="AC667" s="89" t="n">
        <v>60.52717</v>
      </c>
      <c r="AD667" s="89" t="n"/>
      <c r="AE667" s="89" t="n"/>
      <c r="AF667" s="89" t="n">
        <v>63.62076</v>
      </c>
      <c r="AG667" s="89" t="n">
        <v>41.12151</v>
      </c>
      <c r="AH667" s="89" t="n"/>
      <c r="AI667" s="89" t="n"/>
      <c r="AJ667" s="89" t="n">
        <v>51.1547</v>
      </c>
      <c r="AK667" s="89" t="n"/>
      <c r="AL667" s="89" t="n"/>
      <c r="AM667" s="89" t="n">
        <v>62.92104</v>
      </c>
      <c r="AN667" s="89" t="n"/>
      <c r="AO667" s="89" t="n">
        <v>45.07028</v>
      </c>
      <c r="AP667" s="89" t="n"/>
      <c r="AQ667" s="89" t="n"/>
      <c r="AR667" s="89" t="n"/>
      <c r="AS667" s="89" t="n"/>
      <c r="AT667" s="89" t="n"/>
      <c r="AU667" s="89" t="n"/>
      <c r="AV667" s="89" t="n"/>
      <c r="AW667" s="89" t="n"/>
      <c r="AX667" s="89" t="n"/>
      <c r="AY667" s="89" t="n"/>
    </row>
    <row r="668">
      <c r="A668" t="inlineStr">
        <is>
          <t>1974-07</t>
        </is>
      </c>
      <c r="B668" s="1" t="n">
        <v>27211</v>
      </c>
      <c r="C668" s="88" t="n">
        <v>668</v>
      </c>
      <c r="E668" s="1">
        <f>B668</f>
        <v/>
      </c>
      <c r="F668" s="2">
        <f>B668</f>
        <v/>
      </c>
      <c r="G668" s="88" t="n">
        <v>666</v>
      </c>
      <c r="H668" s="89" t="n"/>
      <c r="I668" s="89" t="n"/>
      <c r="J668" s="89" t="n">
        <v>51.12309</v>
      </c>
      <c r="K668" s="89" t="n">
        <v>51.43015</v>
      </c>
      <c r="L668" s="89" t="n"/>
      <c r="M668" s="89" t="n"/>
      <c r="N668" s="89" t="n">
        <v>55.17548</v>
      </c>
      <c r="O668" s="89" t="n">
        <v>55.02991</v>
      </c>
      <c r="P668" s="89" t="n">
        <v>74.85863999999999</v>
      </c>
      <c r="Q668" s="89" t="n"/>
      <c r="R668" s="89" t="n">
        <v>43.89307</v>
      </c>
      <c r="S668" s="89" t="n">
        <v>78.29111</v>
      </c>
      <c r="T668" s="89" t="n">
        <v>80.17695000000001</v>
      </c>
      <c r="U668" s="89" t="n">
        <v>76.34891</v>
      </c>
      <c r="V668" s="89" t="n"/>
      <c r="W668" s="89" t="n"/>
      <c r="X668" s="89" t="n"/>
      <c r="Y668" s="89" t="n"/>
      <c r="Z668" s="89" t="n">
        <v>81.50763999999999</v>
      </c>
      <c r="AA668" s="89" t="n">
        <v>57.37596</v>
      </c>
      <c r="AB668" s="89" t="n"/>
      <c r="AC668" s="89" t="n">
        <v>62.66269</v>
      </c>
      <c r="AD668" s="89" t="n"/>
      <c r="AE668" s="89" t="n"/>
      <c r="AF668" s="89" t="n">
        <v>63.62076</v>
      </c>
      <c r="AG668" s="89" t="n">
        <v>41.20745</v>
      </c>
      <c r="AH668" s="89" t="n"/>
      <c r="AI668" s="89" t="n"/>
      <c r="AJ668" s="89" t="n">
        <v>51.70106</v>
      </c>
      <c r="AK668" s="89" t="n"/>
      <c r="AL668" s="89" t="n"/>
      <c r="AM668" s="89" t="n">
        <v>60.73748</v>
      </c>
      <c r="AN668" s="89" t="n"/>
      <c r="AO668" s="89" t="n">
        <v>45.09246</v>
      </c>
      <c r="AP668" s="89" t="n"/>
      <c r="AQ668" s="89" t="n"/>
      <c r="AR668" s="89" t="n"/>
      <c r="AS668" s="89" t="n"/>
      <c r="AT668" s="89" t="n"/>
      <c r="AU668" s="89" t="n"/>
      <c r="AV668" s="89" t="n"/>
      <c r="AW668" s="89" t="n"/>
      <c r="AX668" s="89" t="n"/>
      <c r="AY668" s="89" t="n"/>
    </row>
    <row r="669">
      <c r="A669" t="inlineStr">
        <is>
          <t>1974-08</t>
        </is>
      </c>
      <c r="B669" s="1" t="n">
        <v>27242</v>
      </c>
      <c r="C669" s="88" t="n">
        <v>669</v>
      </c>
      <c r="E669" s="1">
        <f>B669</f>
        <v/>
      </c>
      <c r="F669" s="2">
        <f>B669</f>
        <v/>
      </c>
      <c r="G669" s="88" t="n">
        <v>667</v>
      </c>
      <c r="H669" s="89" t="n"/>
      <c r="I669" s="89" t="n"/>
      <c r="J669" s="89" t="n">
        <v>51.69989</v>
      </c>
      <c r="K669" s="89" t="n">
        <v>51.37188</v>
      </c>
      <c r="L669" s="89" t="n"/>
      <c r="M669" s="89" t="n"/>
      <c r="N669" s="89" t="n">
        <v>53.8177</v>
      </c>
      <c r="O669" s="89" t="n">
        <v>53.77923</v>
      </c>
      <c r="P669" s="89" t="n">
        <v>84.43795</v>
      </c>
      <c r="Q669" s="89" t="n"/>
      <c r="R669" s="89" t="n">
        <v>42.37749</v>
      </c>
      <c r="S669" s="89" t="n">
        <v>78.29111</v>
      </c>
      <c r="T669" s="89" t="n">
        <v>80.37226</v>
      </c>
      <c r="U669" s="89" t="n">
        <v>83.21243</v>
      </c>
      <c r="V669" s="89" t="n"/>
      <c r="W669" s="89" t="n"/>
      <c r="X669" s="89" t="n"/>
      <c r="Y669" s="89" t="n"/>
      <c r="Z669" s="89" t="n">
        <v>81.50763999999999</v>
      </c>
      <c r="AA669" s="89" t="n">
        <v>56.53467</v>
      </c>
      <c r="AB669" s="89" t="n"/>
      <c r="AC669" s="89" t="n">
        <v>63.22198</v>
      </c>
      <c r="AD669" s="89" t="n"/>
      <c r="AE669" s="89" t="n"/>
      <c r="AF669" s="89" t="n">
        <v>64.12170999999999</v>
      </c>
      <c r="AG669" s="89" t="n">
        <v>42.1098</v>
      </c>
      <c r="AH669" s="89" t="n"/>
      <c r="AI669" s="89" t="n"/>
      <c r="AJ669" s="89" t="n">
        <v>52.46785</v>
      </c>
      <c r="AK669" s="89" t="n"/>
      <c r="AL669" s="89" t="n"/>
      <c r="AM669" s="89" t="n">
        <v>60.90986</v>
      </c>
      <c r="AN669" s="89" t="n"/>
      <c r="AO669" s="89" t="n">
        <v>44.65476</v>
      </c>
      <c r="AP669" s="89" t="n"/>
      <c r="AQ669" s="89" t="n"/>
      <c r="AR669" s="89" t="n"/>
      <c r="AS669" s="89" t="n"/>
      <c r="AT669" s="89" t="n"/>
      <c r="AU669" s="89" t="n"/>
      <c r="AV669" s="89" t="n"/>
      <c r="AW669" s="89" t="n"/>
      <c r="AX669" s="89" t="n"/>
      <c r="AY669" s="89" t="n"/>
    </row>
    <row r="670">
      <c r="A670" t="inlineStr">
        <is>
          <t>1974-09</t>
        </is>
      </c>
      <c r="B670" s="1" t="n">
        <v>27273</v>
      </c>
      <c r="C670" s="88" t="n">
        <v>670</v>
      </c>
      <c r="E670" s="1">
        <f>B670</f>
        <v/>
      </c>
      <c r="F670" s="2">
        <f>B670</f>
        <v/>
      </c>
      <c r="G670" s="88" t="n">
        <v>668</v>
      </c>
      <c r="H670" s="89" t="n"/>
      <c r="I670" s="89" t="n"/>
      <c r="J670" s="89" t="n">
        <v>51.76238</v>
      </c>
      <c r="K670" s="89" t="n">
        <v>50.71213</v>
      </c>
      <c r="L670" s="89" t="n"/>
      <c r="M670" s="89" t="n"/>
      <c r="N670" s="89" t="n">
        <v>53.94113</v>
      </c>
      <c r="O670" s="89" t="n">
        <v>53.77923</v>
      </c>
      <c r="P670" s="89" t="n">
        <v>73.80624</v>
      </c>
      <c r="Q670" s="89" t="n"/>
      <c r="R670" s="89" t="n">
        <v>40.98577</v>
      </c>
      <c r="S670" s="89" t="n">
        <v>74.62694</v>
      </c>
      <c r="T670" s="89" t="n">
        <v>78.9074</v>
      </c>
      <c r="U670" s="89" t="n">
        <v>83.06337000000001</v>
      </c>
      <c r="V670" s="89" t="n"/>
      <c r="W670" s="89" t="n"/>
      <c r="X670" s="89" t="n"/>
      <c r="Y670" s="89" t="n"/>
      <c r="Z670" s="89" t="n">
        <v>82.47337</v>
      </c>
      <c r="AA670" s="89" t="n">
        <v>55.94576</v>
      </c>
      <c r="AB670" s="89" t="n"/>
      <c r="AC670" s="89" t="n">
        <v>61.56614</v>
      </c>
      <c r="AD670" s="89" t="n"/>
      <c r="AE670" s="89" t="n"/>
      <c r="AF670" s="89" t="n">
        <v>63.62076</v>
      </c>
      <c r="AG670" s="89" t="n">
        <v>40.90666</v>
      </c>
      <c r="AH670" s="89" t="n"/>
      <c r="AI670" s="89" t="n"/>
      <c r="AJ670" s="89" t="n">
        <v>47.97517</v>
      </c>
      <c r="AK670" s="89" t="n"/>
      <c r="AL670" s="89" t="n"/>
      <c r="AM670" s="89" t="n">
        <v>60.56509</v>
      </c>
      <c r="AN670" s="89" t="n"/>
      <c r="AO670" s="89" t="n">
        <v>44.67676</v>
      </c>
      <c r="AP670" s="89" t="n"/>
      <c r="AQ670" s="89" t="n"/>
      <c r="AR670" s="89" t="n"/>
      <c r="AS670" s="89" t="n"/>
      <c r="AT670" s="89" t="n"/>
      <c r="AU670" s="89" t="n"/>
      <c r="AV670" s="89" t="n"/>
      <c r="AW670" s="89" t="n"/>
      <c r="AX670" s="89" t="n"/>
      <c r="AY670" s="89" t="n"/>
    </row>
    <row r="671">
      <c r="A671" t="inlineStr">
        <is>
          <t>1974-10</t>
        </is>
      </c>
      <c r="B671" s="1" t="n">
        <v>27303</v>
      </c>
      <c r="C671" s="88" t="n">
        <v>671</v>
      </c>
      <c r="E671" s="1">
        <f>B671</f>
        <v/>
      </c>
      <c r="F671" s="2">
        <f>B671</f>
        <v/>
      </c>
      <c r="G671" s="88" t="n">
        <v>669</v>
      </c>
      <c r="H671" s="89" t="n"/>
      <c r="I671" s="89" t="n"/>
      <c r="J671" s="89" t="n">
        <v>50.75652</v>
      </c>
      <c r="K671" s="89" t="n">
        <v>50.64024</v>
      </c>
      <c r="L671" s="89" t="n"/>
      <c r="M671" s="89" t="n"/>
      <c r="N671" s="89" t="n">
        <v>53.75598</v>
      </c>
      <c r="O671" s="89" t="n">
        <v>51.90321</v>
      </c>
      <c r="P671" s="89" t="n">
        <v>75.41970000000001</v>
      </c>
      <c r="Q671" s="89" t="n"/>
      <c r="R671" s="89" t="n">
        <v>41.49096</v>
      </c>
      <c r="S671" s="89" t="n">
        <v>74.74908000000001</v>
      </c>
      <c r="T671" s="89" t="n">
        <v>77.34488</v>
      </c>
      <c r="U671" s="89" t="n">
        <v>83.11069000000001</v>
      </c>
      <c r="V671" s="89" t="n"/>
      <c r="W671" s="89" t="n"/>
      <c r="X671" s="89" t="n"/>
      <c r="Y671" s="89" t="n"/>
      <c r="Z671" s="89" t="n">
        <v>77.93443000000001</v>
      </c>
      <c r="AA671" s="89" t="n">
        <v>54.76796</v>
      </c>
      <c r="AB671" s="89" t="n"/>
      <c r="AC671" s="89" t="n">
        <v>61.60959</v>
      </c>
      <c r="AD671" s="89" t="n"/>
      <c r="AE671" s="89" t="n"/>
      <c r="AF671" s="89" t="n">
        <v>62.61886</v>
      </c>
      <c r="AG671" s="89" t="n">
        <v>41.89495</v>
      </c>
      <c r="AH671" s="89" t="n"/>
      <c r="AI671" s="89" t="n"/>
      <c r="AJ671" s="89" t="n">
        <v>52.02446</v>
      </c>
      <c r="AK671" s="89" t="n"/>
      <c r="AL671" s="89" t="n"/>
      <c r="AM671" s="89" t="n">
        <v>61.02479</v>
      </c>
      <c r="AN671" s="89" t="n"/>
      <c r="AO671" s="89" t="n">
        <v>44.51011</v>
      </c>
      <c r="AP671" s="89" t="n"/>
      <c r="AQ671" s="89" t="n"/>
      <c r="AR671" s="89" t="n"/>
      <c r="AS671" s="89" t="n"/>
      <c r="AT671" s="89" t="n"/>
      <c r="AU671" s="89" t="n"/>
      <c r="AV671" s="89" t="n"/>
      <c r="AW671" s="89" t="n"/>
      <c r="AX671" s="89" t="n"/>
      <c r="AY671" s="89" t="n"/>
    </row>
    <row r="672">
      <c r="A672" t="inlineStr">
        <is>
          <t>1974-11</t>
        </is>
      </c>
      <c r="B672" s="1" t="n">
        <v>27334</v>
      </c>
      <c r="C672" s="88" t="n">
        <v>672</v>
      </c>
      <c r="E672" s="1">
        <f>B672</f>
        <v/>
      </c>
      <c r="F672" s="2">
        <f>B672</f>
        <v/>
      </c>
      <c r="G672" s="88" t="n">
        <v>670</v>
      </c>
      <c r="H672" s="89" t="n"/>
      <c r="I672" s="89" t="n"/>
      <c r="J672" s="89" t="n">
        <v>50.7923</v>
      </c>
      <c r="K672" s="89" t="n">
        <v>49.72861</v>
      </c>
      <c r="L672" s="89" t="n"/>
      <c r="M672" s="89" t="n"/>
      <c r="N672" s="89" t="n">
        <v>53.38567</v>
      </c>
      <c r="O672" s="89" t="n">
        <v>52.52855</v>
      </c>
      <c r="P672" s="89" t="n">
        <v>71.65655</v>
      </c>
      <c r="Q672" s="89" t="n"/>
      <c r="R672" s="89" t="n">
        <v>41.36711</v>
      </c>
      <c r="S672" s="89" t="n">
        <v>71.81774</v>
      </c>
      <c r="T672" s="89" t="n">
        <v>77.24722</v>
      </c>
      <c r="U672" s="89" t="n">
        <v>83.36216</v>
      </c>
      <c r="V672" s="89" t="n"/>
      <c r="W672" s="89" t="n"/>
      <c r="X672" s="89" t="n"/>
      <c r="Y672" s="89" t="n"/>
      <c r="Z672" s="89" t="n">
        <v>78.03100999999999</v>
      </c>
      <c r="AA672" s="89" t="n">
        <v>53.84254</v>
      </c>
      <c r="AB672" s="89" t="n"/>
      <c r="AC672" s="89" t="n">
        <v>55.80033</v>
      </c>
      <c r="AD672" s="89" t="n"/>
      <c r="AE672" s="89" t="n"/>
      <c r="AF672" s="89" t="n">
        <v>62.61886</v>
      </c>
      <c r="AG672" s="89" t="n">
        <v>42.28168</v>
      </c>
      <c r="AH672" s="89" t="n"/>
      <c r="AI672" s="89" t="n"/>
      <c r="AJ672" s="89" t="n">
        <v>49.81215</v>
      </c>
      <c r="AK672" s="89" t="n"/>
      <c r="AL672" s="89" t="n"/>
      <c r="AM672" s="89" t="n">
        <v>61.13971</v>
      </c>
      <c r="AN672" s="89" t="n"/>
      <c r="AO672" s="89" t="n">
        <v>43.0509</v>
      </c>
      <c r="AP672" s="89" t="n"/>
      <c r="AQ672" s="89" t="n"/>
      <c r="AR672" s="89" t="n"/>
      <c r="AS672" s="89" t="n"/>
      <c r="AT672" s="89" t="n"/>
      <c r="AU672" s="89" t="n"/>
      <c r="AV672" s="89" t="n"/>
      <c r="AW672" s="89" t="n"/>
      <c r="AX672" s="89" t="n"/>
      <c r="AY672" s="89" t="n"/>
    </row>
    <row r="673">
      <c r="A673" t="inlineStr">
        <is>
          <t>1974-12</t>
        </is>
      </c>
      <c r="B673" s="1" t="n">
        <v>27364</v>
      </c>
      <c r="C673" s="88" t="n">
        <v>673</v>
      </c>
      <c r="E673" s="1">
        <f>B673</f>
        <v/>
      </c>
      <c r="F673" s="2">
        <f>B673</f>
        <v/>
      </c>
      <c r="G673" s="88" t="n">
        <v>671</v>
      </c>
      <c r="H673" s="89" t="n"/>
      <c r="I673" s="89" t="n"/>
      <c r="J673" s="89" t="n">
        <v>48.20314</v>
      </c>
      <c r="K673" s="89" t="n">
        <v>49.61255</v>
      </c>
      <c r="L673" s="89" t="n"/>
      <c r="M673" s="89" t="n"/>
      <c r="N673" s="89" t="n">
        <v>50.73182</v>
      </c>
      <c r="O673" s="89" t="n">
        <v>50.02719</v>
      </c>
      <c r="P673" s="89" t="n">
        <v>70.33206</v>
      </c>
      <c r="Q673" s="89" t="n"/>
      <c r="R673" s="89" t="n">
        <v>41.18785</v>
      </c>
      <c r="S673" s="89" t="n">
        <v>70.59635</v>
      </c>
      <c r="T673" s="89" t="n">
        <v>75.97767</v>
      </c>
      <c r="U673" s="89" t="n">
        <v>84.26906</v>
      </c>
      <c r="V673" s="89" t="n"/>
      <c r="W673" s="89" t="n"/>
      <c r="X673" s="89" t="n"/>
      <c r="Y673" s="89" t="n"/>
      <c r="Z673" s="89" t="n">
        <v>74.65096</v>
      </c>
      <c r="AA673" s="89" t="n">
        <v>52.83299</v>
      </c>
      <c r="AB673" s="89" t="n"/>
      <c r="AC673" s="89" t="n">
        <v>54.17044</v>
      </c>
      <c r="AD673" s="89" t="n"/>
      <c r="AE673" s="89" t="n"/>
      <c r="AF673" s="89" t="n">
        <v>59.61315</v>
      </c>
      <c r="AG673" s="89" t="n">
        <v>40.47697</v>
      </c>
      <c r="AH673" s="89" t="n"/>
      <c r="AI673" s="89" t="n"/>
      <c r="AJ673" s="89" t="n">
        <v>52.22935</v>
      </c>
      <c r="AK673" s="89" t="n"/>
      <c r="AL673" s="89" t="n"/>
      <c r="AM673" s="89" t="n">
        <v>59.01361</v>
      </c>
      <c r="AN673" s="89" t="n"/>
      <c r="AO673" s="89" t="n">
        <v>41.52667</v>
      </c>
      <c r="AP673" s="89" t="n"/>
      <c r="AQ673" s="89" t="n"/>
      <c r="AR673" s="89" t="n"/>
      <c r="AS673" s="89" t="n"/>
      <c r="AT673" s="89" t="n"/>
      <c r="AU673" s="89" t="n"/>
      <c r="AV673" s="89" t="n"/>
      <c r="AW673" s="89" t="n"/>
      <c r="AX673" s="89" t="n"/>
      <c r="AY673" s="89" t="n"/>
    </row>
    <row r="674">
      <c r="A674" t="inlineStr">
        <is>
          <t>1975-01</t>
        </is>
      </c>
      <c r="B674" s="1" t="n">
        <v>27395</v>
      </c>
      <c r="C674" s="88" t="n">
        <v>674</v>
      </c>
      <c r="E674" s="1">
        <f>B674</f>
        <v/>
      </c>
      <c r="F674" s="2">
        <f>B674</f>
        <v/>
      </c>
      <c r="G674" s="88" t="n">
        <v>672</v>
      </c>
      <c r="H674" s="89" t="n"/>
      <c r="I674" s="89" t="n"/>
      <c r="J674" s="89" t="n">
        <v>47.65506</v>
      </c>
      <c r="K674" s="89" t="n">
        <v>47.93027</v>
      </c>
      <c r="L674" s="89" t="n"/>
      <c r="M674" s="89" t="n"/>
      <c r="N674" s="89" t="n">
        <v>51.04041</v>
      </c>
      <c r="O674" s="89" t="n">
        <v>51.90321</v>
      </c>
      <c r="P674" s="89" t="n">
        <v>71.1048</v>
      </c>
      <c r="Q674" s="89" t="n"/>
      <c r="R674" s="89" t="n">
        <v>41.41986</v>
      </c>
      <c r="S674" s="89" t="n">
        <v>69.80244</v>
      </c>
      <c r="T674" s="89" t="n">
        <v>76.66127</v>
      </c>
      <c r="U674" s="89" t="n">
        <v>84.27667</v>
      </c>
      <c r="V674" s="89" t="n"/>
      <c r="W674" s="89" t="n"/>
      <c r="X674" s="89" t="n"/>
      <c r="Y674" s="89" t="n"/>
      <c r="Z674" s="89" t="n">
        <v>74.07152000000001</v>
      </c>
      <c r="AA674" s="89" t="n">
        <v>50.8139</v>
      </c>
      <c r="AB674" s="89" t="n"/>
      <c r="AC674" s="89" t="n">
        <v>51.00855</v>
      </c>
      <c r="AD674" s="89" t="n"/>
      <c r="AE674" s="89" t="n"/>
      <c r="AF674" s="89" t="n">
        <v>59.52966</v>
      </c>
      <c r="AG674" s="89" t="n">
        <v>38.12103</v>
      </c>
      <c r="AH674" s="89" t="n">
        <v>43.45753</v>
      </c>
      <c r="AI674" s="89" t="n"/>
      <c r="AJ674" s="89" t="n">
        <v>50.85014</v>
      </c>
      <c r="AK674" s="89" t="n"/>
      <c r="AL674" s="89" t="n"/>
      <c r="AM674" s="89" t="n">
        <v>62.34642</v>
      </c>
      <c r="AN674" s="89" t="n"/>
      <c r="AO674" s="89" t="n">
        <v>40.95699</v>
      </c>
      <c r="AP674" s="89" t="n"/>
      <c r="AQ674" s="89" t="n"/>
      <c r="AR674" s="89" t="n"/>
      <c r="AS674" s="89" t="n"/>
      <c r="AT674" s="89" t="n"/>
      <c r="AU674" s="89" t="n"/>
      <c r="AV674" s="89" t="n"/>
      <c r="AW674" s="89" t="n"/>
      <c r="AX674" s="89" t="n"/>
      <c r="AY674" s="89" t="n">
        <v>47.67749</v>
      </c>
    </row>
    <row r="675">
      <c r="A675" t="inlineStr">
        <is>
          <t>1975-02</t>
        </is>
      </c>
      <c r="B675" s="1" t="n">
        <v>27426</v>
      </c>
      <c r="C675" s="88" t="n">
        <v>675</v>
      </c>
      <c r="E675" s="1">
        <f>B675</f>
        <v/>
      </c>
      <c r="F675" s="2">
        <f>B675</f>
        <v/>
      </c>
      <c r="G675" s="88" t="n">
        <v>673</v>
      </c>
      <c r="H675" s="89" t="n"/>
      <c r="I675" s="89" t="n"/>
      <c r="J675" s="89" t="n">
        <v>46.84294</v>
      </c>
      <c r="K675" s="89" t="n">
        <v>47.96269</v>
      </c>
      <c r="L675" s="89" t="n"/>
      <c r="M675" s="89" t="n"/>
      <c r="N675" s="89" t="n">
        <v>50.79354</v>
      </c>
      <c r="O675" s="89" t="n">
        <v>51.90321</v>
      </c>
      <c r="P675" s="89" t="n">
        <v>71.42765</v>
      </c>
      <c r="Q675" s="89" t="n"/>
      <c r="R675" s="89" t="n">
        <v>41.52126</v>
      </c>
      <c r="S675" s="89" t="n">
        <v>69.55817</v>
      </c>
      <c r="T675" s="89" t="n">
        <v>76.07532999999999</v>
      </c>
      <c r="U675" s="89" t="n">
        <v>85.58696</v>
      </c>
      <c r="V675" s="89" t="n"/>
      <c r="W675" s="89" t="n"/>
      <c r="X675" s="89" t="n"/>
      <c r="Y675" s="89" t="n"/>
      <c r="Z675" s="89" t="n">
        <v>74.07152000000001</v>
      </c>
      <c r="AA675" s="89" t="n">
        <v>50.30912</v>
      </c>
      <c r="AB675" s="89" t="n"/>
      <c r="AC675" s="89" t="n">
        <v>52.99129</v>
      </c>
      <c r="AD675" s="89" t="n"/>
      <c r="AE675" s="89" t="n"/>
      <c r="AF675" s="89" t="n">
        <v>59.52966</v>
      </c>
      <c r="AG675" s="89" t="n">
        <v>40.92405</v>
      </c>
      <c r="AH675" s="89" t="n">
        <v>43.00803</v>
      </c>
      <c r="AI675" s="89" t="n"/>
      <c r="AJ675" s="89" t="n">
        <v>51.52964</v>
      </c>
      <c r="AK675" s="89" t="n"/>
      <c r="AL675" s="89" t="n"/>
      <c r="AM675" s="89" t="n">
        <v>61.08225</v>
      </c>
      <c r="AN675" s="89" t="n"/>
      <c r="AO675" s="89" t="n">
        <v>40.01502</v>
      </c>
      <c r="AP675" s="89" t="n"/>
      <c r="AQ675" s="89" t="n"/>
      <c r="AR675" s="89" t="n"/>
      <c r="AS675" s="89" t="n"/>
      <c r="AT675" s="89" t="n"/>
      <c r="AU675" s="89" t="n"/>
      <c r="AV675" s="89" t="n"/>
      <c r="AW675" s="89" t="n"/>
      <c r="AX675" s="89" t="n"/>
      <c r="AY675" s="89" t="n">
        <v>47.57753</v>
      </c>
    </row>
    <row r="676">
      <c r="A676" t="inlineStr">
        <is>
          <t>1975-03</t>
        </is>
      </c>
      <c r="B676" s="1" t="n">
        <v>27454</v>
      </c>
      <c r="C676" s="88" t="n">
        <v>676</v>
      </c>
      <c r="E676" s="1">
        <f>B676</f>
        <v/>
      </c>
      <c r="F676" s="2">
        <f>B676</f>
        <v/>
      </c>
      <c r="G676" s="88" t="n">
        <v>674</v>
      </c>
      <c r="H676" s="89" t="n"/>
      <c r="I676" s="89" t="n"/>
      <c r="J676" s="89" t="n">
        <v>47.51836</v>
      </c>
      <c r="K676" s="89" t="n">
        <v>47.13941</v>
      </c>
      <c r="L676" s="89" t="n"/>
      <c r="M676" s="89" t="n"/>
      <c r="N676" s="89" t="n">
        <v>51.349</v>
      </c>
      <c r="O676" s="89" t="n">
        <v>48.15117</v>
      </c>
      <c r="P676" s="89" t="n">
        <v>78.0034</v>
      </c>
      <c r="Q676" s="89" t="n"/>
      <c r="R676" s="89" t="n">
        <v>41.01429</v>
      </c>
      <c r="S676" s="89" t="n">
        <v>68.51999000000001</v>
      </c>
      <c r="T676" s="89" t="n">
        <v>74.61046</v>
      </c>
      <c r="U676" s="89" t="n">
        <v>86.63521</v>
      </c>
      <c r="V676" s="89" t="n"/>
      <c r="W676" s="89" t="n"/>
      <c r="X676" s="89" t="n"/>
      <c r="Y676" s="89" t="n"/>
      <c r="Z676" s="89" t="n">
        <v>74.07152000000001</v>
      </c>
      <c r="AA676" s="89" t="n">
        <v>49.63609</v>
      </c>
      <c r="AB676" s="89" t="n"/>
      <c r="AC676" s="89" t="n">
        <v>52.45432</v>
      </c>
      <c r="AD676" s="89" t="n"/>
      <c r="AE676" s="89" t="n"/>
      <c r="AF676" s="89" t="n">
        <v>60.12496</v>
      </c>
      <c r="AG676" s="89" t="n">
        <v>42.04525</v>
      </c>
      <c r="AH676" s="89" t="n">
        <v>42.85985</v>
      </c>
      <c r="AI676" s="89" t="n"/>
      <c r="AJ676" s="89" t="n">
        <v>49.44728</v>
      </c>
      <c r="AK676" s="89" t="n"/>
      <c r="AL676" s="89" t="n"/>
      <c r="AM676" s="89" t="n">
        <v>62.0591</v>
      </c>
      <c r="AN676" s="89" t="n"/>
      <c r="AO676" s="89" t="n">
        <v>39.58596</v>
      </c>
      <c r="AP676" s="89" t="n"/>
      <c r="AQ676" s="89" t="n"/>
      <c r="AR676" s="89" t="n"/>
      <c r="AS676" s="89" t="n"/>
      <c r="AT676" s="89" t="n"/>
      <c r="AU676" s="89" t="n"/>
      <c r="AV676" s="89" t="n"/>
      <c r="AW676" s="89" t="n"/>
      <c r="AX676" s="89" t="n"/>
      <c r="AY676" s="89" t="n">
        <v>46.69941</v>
      </c>
    </row>
    <row r="677">
      <c r="A677" t="inlineStr">
        <is>
          <t>1975-04</t>
        </is>
      </c>
      <c r="B677" s="1" t="n">
        <v>27485</v>
      </c>
      <c r="C677" s="88" t="n">
        <v>677</v>
      </c>
      <c r="E677" s="1">
        <f>B677</f>
        <v/>
      </c>
      <c r="F677" s="2">
        <f>B677</f>
        <v/>
      </c>
      <c r="G677" s="88" t="n">
        <v>675</v>
      </c>
      <c r="H677" s="89" t="n"/>
      <c r="I677" s="89" t="n"/>
      <c r="J677" s="89" t="n">
        <v>43.36089</v>
      </c>
      <c r="K677" s="89" t="n">
        <v>47.57032</v>
      </c>
      <c r="L677" s="89" t="n"/>
      <c r="M677" s="89" t="n"/>
      <c r="N677" s="89" t="n">
        <v>50.6701</v>
      </c>
      <c r="O677" s="89" t="n">
        <v>52.52855</v>
      </c>
      <c r="P677" s="89" t="n">
        <v>68.60966000000001</v>
      </c>
      <c r="Q677" s="89" t="n"/>
      <c r="R677" s="89" t="n">
        <v>41.16638</v>
      </c>
      <c r="S677" s="89" t="n">
        <v>68.70319000000001</v>
      </c>
      <c r="T677" s="89" t="n">
        <v>73.34090999999999</v>
      </c>
      <c r="U677" s="89" t="n">
        <v>87.44181</v>
      </c>
      <c r="V677" s="89" t="n"/>
      <c r="W677" s="89" t="n"/>
      <c r="X677" s="89" t="n"/>
      <c r="Y677" s="89" t="n"/>
      <c r="Z677" s="89" t="n">
        <v>72.52634</v>
      </c>
      <c r="AA677" s="89" t="n">
        <v>50.8139</v>
      </c>
      <c r="AB677" s="89" t="n"/>
      <c r="AC677" s="89" t="n">
        <v>45.66622</v>
      </c>
      <c r="AD677" s="89" t="n"/>
      <c r="AE677" s="89" t="n"/>
      <c r="AF677" s="89" t="n">
        <v>58.93436</v>
      </c>
      <c r="AG677" s="89" t="n">
        <v>44.28767</v>
      </c>
      <c r="AH677" s="89" t="n">
        <v>42.56033</v>
      </c>
      <c r="AI677" s="89" t="n"/>
      <c r="AJ677" s="89" t="n">
        <v>47.98399</v>
      </c>
      <c r="AK677" s="89" t="n"/>
      <c r="AL677" s="89" t="n"/>
      <c r="AM677" s="89" t="n">
        <v>59.58823</v>
      </c>
      <c r="AN677" s="89" t="n"/>
      <c r="AO677" s="89" t="n">
        <v>39.61718</v>
      </c>
      <c r="AP677" s="89" t="n"/>
      <c r="AQ677" s="89" t="n"/>
      <c r="AR677" s="89" t="n"/>
      <c r="AS677" s="89" t="n"/>
      <c r="AT677" s="89" t="n"/>
      <c r="AU677" s="89" t="n"/>
      <c r="AV677" s="89" t="n"/>
      <c r="AW677" s="89" t="n"/>
      <c r="AX677" s="89" t="n"/>
      <c r="AY677" s="89" t="n">
        <v>49.66235</v>
      </c>
    </row>
    <row r="678">
      <c r="A678" t="inlineStr">
        <is>
          <t>1975-05</t>
        </is>
      </c>
      <c r="B678" s="1" t="n">
        <v>27515</v>
      </c>
      <c r="C678" s="88" t="n">
        <v>678</v>
      </c>
      <c r="E678" s="1">
        <f>B678</f>
        <v/>
      </c>
      <c r="F678" s="2">
        <f>B678</f>
        <v/>
      </c>
      <c r="G678" s="88" t="n">
        <v>676</v>
      </c>
      <c r="H678" s="89" t="n"/>
      <c r="I678" s="89" t="n"/>
      <c r="J678" s="89" t="n">
        <v>45.23846</v>
      </c>
      <c r="K678" s="89" t="n">
        <v>46.45757</v>
      </c>
      <c r="L678" s="89" t="n"/>
      <c r="M678" s="89" t="n"/>
      <c r="N678" s="89" t="n">
        <v>50.48495</v>
      </c>
      <c r="O678" s="89" t="n">
        <v>51.27787</v>
      </c>
      <c r="P678" s="89" t="n">
        <v>72.06178</v>
      </c>
      <c r="Q678" s="89" t="n"/>
      <c r="R678" s="89" t="n">
        <v>39.08778</v>
      </c>
      <c r="S678" s="89" t="n">
        <v>66.74897</v>
      </c>
      <c r="T678" s="89" t="n">
        <v>72.26667999999999</v>
      </c>
      <c r="U678" s="89" t="n">
        <v>86.24406</v>
      </c>
      <c r="V678" s="89" t="n"/>
      <c r="W678" s="89" t="n"/>
      <c r="X678" s="89" t="n"/>
      <c r="Y678" s="89" t="n"/>
      <c r="Z678" s="89" t="n">
        <v>73.58865</v>
      </c>
      <c r="AA678" s="89" t="n">
        <v>50.8139</v>
      </c>
      <c r="AB678" s="89" t="n"/>
      <c r="AC678" s="89" t="n">
        <v>45.60248</v>
      </c>
      <c r="AD678" s="89" t="n"/>
      <c r="AE678" s="89" t="n"/>
      <c r="AF678" s="89" t="n">
        <v>59.52966</v>
      </c>
      <c r="AG678" s="89" t="n">
        <v>44.28767</v>
      </c>
      <c r="AH678" s="89" t="n">
        <v>42.50346</v>
      </c>
      <c r="AI678" s="89" t="n"/>
      <c r="AJ678" s="89" t="n">
        <v>49.57219</v>
      </c>
      <c r="AK678" s="89" t="n"/>
      <c r="AL678" s="89" t="n"/>
      <c r="AM678" s="89" t="n">
        <v>59.41585</v>
      </c>
      <c r="AN678" s="89" t="n"/>
      <c r="AO678" s="89" t="n">
        <v>39.52641</v>
      </c>
      <c r="AP678" s="89" t="n"/>
      <c r="AQ678" s="89" t="n"/>
      <c r="AR678" s="89" t="n"/>
      <c r="AS678" s="89" t="n"/>
      <c r="AT678" s="89" t="n"/>
      <c r="AU678" s="89" t="n"/>
      <c r="AV678" s="89" t="n"/>
      <c r="AW678" s="89" t="n"/>
      <c r="AX678" s="89" t="n"/>
      <c r="AY678" s="89" t="n">
        <v>47.25762</v>
      </c>
    </row>
    <row r="679">
      <c r="A679" t="inlineStr">
        <is>
          <t>1975-06</t>
        </is>
      </c>
      <c r="B679" s="1" t="n">
        <v>27546</v>
      </c>
      <c r="C679" s="88" t="n">
        <v>679</v>
      </c>
      <c r="E679" s="1">
        <f>B679</f>
        <v/>
      </c>
      <c r="F679" s="2">
        <f>B679</f>
        <v/>
      </c>
      <c r="G679" s="88" t="n">
        <v>677</v>
      </c>
      <c r="H679" s="89" t="n"/>
      <c r="I679" s="89" t="n"/>
      <c r="J679" s="89" t="n">
        <v>45.18469</v>
      </c>
      <c r="K679" s="89" t="n">
        <v>47.10417</v>
      </c>
      <c r="L679" s="89" t="n"/>
      <c r="M679" s="89" t="n"/>
      <c r="N679" s="89" t="n">
        <v>50.36152</v>
      </c>
      <c r="O679" s="89" t="n">
        <v>51.27787</v>
      </c>
      <c r="P679" s="89" t="n">
        <v>71.97301</v>
      </c>
      <c r="Q679" s="89" t="n"/>
      <c r="R679" s="89" t="n">
        <v>38.53011</v>
      </c>
      <c r="S679" s="89" t="n">
        <v>68.39785000000001</v>
      </c>
      <c r="T679" s="89" t="n">
        <v>72.85262</v>
      </c>
      <c r="U679" s="89" t="n">
        <v>86.24348999999999</v>
      </c>
      <c r="V679" s="89" t="n"/>
      <c r="W679" s="89" t="n"/>
      <c r="X679" s="89" t="n"/>
      <c r="Y679" s="89" t="n"/>
      <c r="Z679" s="89" t="n">
        <v>74.26466000000001</v>
      </c>
      <c r="AA679" s="89" t="n">
        <v>51.31867</v>
      </c>
      <c r="AB679" s="89" t="n"/>
      <c r="AC679" s="89" t="n">
        <v>47.34176</v>
      </c>
      <c r="AD679" s="89" t="n"/>
      <c r="AE679" s="89" t="n"/>
      <c r="AF679" s="89" t="n">
        <v>59.52966</v>
      </c>
      <c r="AG679" s="89" t="n">
        <v>44.84827</v>
      </c>
      <c r="AH679" s="89" t="n">
        <v>42.76222</v>
      </c>
      <c r="AI679" s="89" t="n"/>
      <c r="AJ679" s="89" t="n">
        <v>50.25328</v>
      </c>
      <c r="AK679" s="89" t="n"/>
      <c r="AL679" s="89" t="n"/>
      <c r="AM679" s="89" t="n">
        <v>58.26661</v>
      </c>
      <c r="AN679" s="89" t="n"/>
      <c r="AO679" s="89" t="n">
        <v>39.78661</v>
      </c>
      <c r="AP679" s="89" t="n"/>
      <c r="AQ679" s="89" t="n"/>
      <c r="AR679" s="89" t="n"/>
      <c r="AS679" s="89" t="n"/>
      <c r="AT679" s="89" t="n"/>
      <c r="AU679" s="89" t="n"/>
      <c r="AV679" s="89" t="n"/>
      <c r="AW679" s="89" t="n"/>
      <c r="AX679" s="89" t="n"/>
      <c r="AY679" s="89" t="n">
        <v>48.92573</v>
      </c>
    </row>
    <row r="680">
      <c r="A680" t="inlineStr">
        <is>
          <t>1975-07</t>
        </is>
      </c>
      <c r="B680" s="1" t="n">
        <v>27576</v>
      </c>
      <c r="C680" s="88" t="n">
        <v>680</v>
      </c>
      <c r="E680" s="1">
        <f>B680</f>
        <v/>
      </c>
      <c r="F680" s="2">
        <f>B680</f>
        <v/>
      </c>
      <c r="G680" s="88" t="n">
        <v>678</v>
      </c>
      <c r="H680" s="89" t="n"/>
      <c r="I680" s="89" t="n"/>
      <c r="J680" s="89" t="n">
        <v>45.69296</v>
      </c>
      <c r="K680" s="89" t="n">
        <v>47.75593</v>
      </c>
      <c r="L680" s="89" t="n"/>
      <c r="M680" s="89" t="n"/>
      <c r="N680" s="89" t="n">
        <v>49.12716</v>
      </c>
      <c r="O680" s="89" t="n">
        <v>53.15389</v>
      </c>
      <c r="P680" s="89" t="n">
        <v>71.48668000000001</v>
      </c>
      <c r="Q680" s="89" t="n"/>
      <c r="R680" s="89" t="n">
        <v>41.87614</v>
      </c>
      <c r="S680" s="89" t="n">
        <v>67.60393999999999</v>
      </c>
      <c r="T680" s="89" t="n">
        <v>71.87605000000001</v>
      </c>
      <c r="U680" s="89" t="n">
        <v>86.88129000000001</v>
      </c>
      <c r="V680" s="89" t="n"/>
      <c r="W680" s="89" t="n">
        <v>5.670465</v>
      </c>
      <c r="X680" s="89" t="n"/>
      <c r="Y680" s="89" t="n"/>
      <c r="Z680" s="89" t="n">
        <v>73.29893</v>
      </c>
      <c r="AA680" s="89" t="n">
        <v>51.82344</v>
      </c>
      <c r="AB680" s="89" t="n"/>
      <c r="AC680" s="89" t="n">
        <v>45.99586</v>
      </c>
      <c r="AD680" s="89" t="n"/>
      <c r="AE680" s="89" t="n"/>
      <c r="AF680" s="89" t="n">
        <v>58.33907</v>
      </c>
      <c r="AG680" s="89" t="n">
        <v>45.96948</v>
      </c>
      <c r="AH680" s="89" t="n">
        <v>42.79454</v>
      </c>
      <c r="AI680" s="89" t="n"/>
      <c r="AJ680" s="89" t="n">
        <v>51.08908</v>
      </c>
      <c r="AK680" s="89" t="n"/>
      <c r="AL680" s="89" t="n"/>
      <c r="AM680" s="89" t="n">
        <v>59.58823</v>
      </c>
      <c r="AN680" s="89" t="n"/>
      <c r="AO680" s="89" t="n">
        <v>40.17178</v>
      </c>
      <c r="AP680" s="89" t="n">
        <v>56.69226</v>
      </c>
      <c r="AQ680" s="89" t="n"/>
      <c r="AR680" s="89" t="n"/>
      <c r="AS680" s="89" t="n"/>
      <c r="AT680" s="89" t="n"/>
      <c r="AU680" s="89" t="n"/>
      <c r="AV680" s="89" t="n"/>
      <c r="AW680" s="89" t="n"/>
      <c r="AX680" s="89" t="n"/>
      <c r="AY680" s="89" t="n">
        <v>48.40367</v>
      </c>
    </row>
    <row r="681">
      <c r="A681" t="inlineStr">
        <is>
          <t>1975-08</t>
        </is>
      </c>
      <c r="B681" s="1" t="n">
        <v>27607</v>
      </c>
      <c r="C681" s="88" t="n">
        <v>681</v>
      </c>
      <c r="E681" s="1">
        <f>B681</f>
        <v/>
      </c>
      <c r="F681" s="2">
        <f>B681</f>
        <v/>
      </c>
      <c r="G681" s="88" t="n">
        <v>679</v>
      </c>
      <c r="H681" s="89" t="n"/>
      <c r="I681" s="89" t="n"/>
      <c r="J681" s="89" t="n">
        <v>45.05661</v>
      </c>
      <c r="K681" s="89" t="n">
        <v>47.39316</v>
      </c>
      <c r="L681" s="89" t="n"/>
      <c r="M681" s="89" t="n"/>
      <c r="N681" s="89" t="n">
        <v>51.04041</v>
      </c>
      <c r="O681" s="89" t="n">
        <v>51.27787</v>
      </c>
      <c r="P681" s="89" t="n">
        <v>76.69279</v>
      </c>
      <c r="Q681" s="89" t="n"/>
      <c r="R681" s="89" t="n">
        <v>39.34127</v>
      </c>
      <c r="S681" s="89" t="n">
        <v>67.60393999999999</v>
      </c>
      <c r="T681" s="89" t="n">
        <v>70.89946999999999</v>
      </c>
      <c r="U681" s="89" t="n">
        <v>89.19972</v>
      </c>
      <c r="V681" s="89" t="n"/>
      <c r="W681" s="89" t="n">
        <v>5.762667</v>
      </c>
      <c r="X681" s="89" t="n"/>
      <c r="Y681" s="89" t="n"/>
      <c r="Z681" s="89" t="n">
        <v>73.7818</v>
      </c>
      <c r="AA681" s="89" t="n">
        <v>51.82344</v>
      </c>
      <c r="AB681" s="89" t="n"/>
      <c r="AC681" s="89" t="n">
        <v>36.72787</v>
      </c>
      <c r="AD681" s="89" t="n"/>
      <c r="AE681" s="89" t="n"/>
      <c r="AF681" s="89" t="n">
        <v>58.33907</v>
      </c>
      <c r="AG681" s="89" t="n">
        <v>43.72706</v>
      </c>
      <c r="AH681" s="89" t="n">
        <v>43.18566</v>
      </c>
      <c r="AI681" s="89" t="n"/>
      <c r="AJ681" s="89" t="n">
        <v>45.98448</v>
      </c>
      <c r="AK681" s="89" t="n"/>
      <c r="AL681" s="89" t="n"/>
      <c r="AM681" s="89" t="n">
        <v>59.35838</v>
      </c>
      <c r="AN681" s="89" t="n"/>
      <c r="AO681" s="89" t="n">
        <v>40.58854</v>
      </c>
      <c r="AP681" s="89" t="n">
        <v>57.46365</v>
      </c>
      <c r="AQ681" s="89" t="n"/>
      <c r="AR681" s="89" t="n"/>
      <c r="AS681" s="89" t="n"/>
      <c r="AT681" s="89" t="n"/>
      <c r="AU681" s="89" t="n"/>
      <c r="AV681" s="89" t="n"/>
      <c r="AW681" s="89" t="n"/>
      <c r="AX681" s="89" t="n"/>
      <c r="AY681" s="89" t="n">
        <v>48.63795</v>
      </c>
    </row>
    <row r="682">
      <c r="A682" t="inlineStr">
        <is>
          <t>1975-09</t>
        </is>
      </c>
      <c r="B682" s="1" t="n">
        <v>27638</v>
      </c>
      <c r="C682" s="88" t="n">
        <v>682</v>
      </c>
      <c r="E682" s="1">
        <f>B682</f>
        <v/>
      </c>
      <c r="F682" s="2">
        <f>B682</f>
        <v/>
      </c>
      <c r="G682" s="88" t="n">
        <v>680</v>
      </c>
      <c r="H682" s="89" t="n"/>
      <c r="I682" s="89" t="n"/>
      <c r="J682" s="89" t="n">
        <v>45.99884</v>
      </c>
      <c r="K682" s="89" t="n">
        <v>47.6253</v>
      </c>
      <c r="L682" s="89" t="n"/>
      <c r="M682" s="89" t="n"/>
      <c r="N682" s="89" t="n">
        <v>50.97869</v>
      </c>
      <c r="O682" s="89" t="n">
        <v>52.52855</v>
      </c>
      <c r="P682" s="89" t="n">
        <v>72.62237</v>
      </c>
      <c r="Q682" s="89" t="n"/>
      <c r="R682" s="89" t="n">
        <v>37.82034</v>
      </c>
      <c r="S682" s="89" t="n">
        <v>68.0925</v>
      </c>
      <c r="T682" s="89" t="n">
        <v>72.26667999999999</v>
      </c>
      <c r="U682" s="89" t="n">
        <v>88.2513</v>
      </c>
      <c r="V682" s="89" t="n"/>
      <c r="W682" s="89" t="n">
        <v>5.532161</v>
      </c>
      <c r="X682" s="89" t="n"/>
      <c r="Y682" s="89" t="n"/>
      <c r="Z682" s="89" t="n">
        <v>72.71948999999999</v>
      </c>
      <c r="AA682" s="89" t="n">
        <v>52.24409</v>
      </c>
      <c r="AB682" s="89" t="n"/>
      <c r="AC682" s="89" t="n">
        <v>47.48406</v>
      </c>
      <c r="AD682" s="89" t="n"/>
      <c r="AE682" s="89" t="n"/>
      <c r="AF682" s="89" t="n">
        <v>58.93436</v>
      </c>
      <c r="AG682" s="89" t="n">
        <v>44.28767</v>
      </c>
      <c r="AH682" s="89" t="n">
        <v>43.37731</v>
      </c>
      <c r="AI682" s="89" t="n"/>
      <c r="AJ682" s="89" t="n">
        <v>48.79793</v>
      </c>
      <c r="AK682" s="89" t="n"/>
      <c r="AL682" s="89" t="n"/>
      <c r="AM682" s="89" t="n">
        <v>58.66884</v>
      </c>
      <c r="AN682" s="89" t="n"/>
      <c r="AO682" s="89" t="n">
        <v>41.09021</v>
      </c>
      <c r="AP682" s="89" t="n">
        <v>57.36842</v>
      </c>
      <c r="AQ682" s="89" t="n"/>
      <c r="AR682" s="89" t="n"/>
      <c r="AS682" s="89" t="n"/>
      <c r="AT682" s="89" t="n"/>
      <c r="AU682" s="89" t="n"/>
      <c r="AV682" s="89" t="n"/>
      <c r="AW682" s="89" t="n"/>
      <c r="AX682" s="89" t="n"/>
      <c r="AY682" s="89" t="n">
        <v>49.96161</v>
      </c>
    </row>
    <row r="683">
      <c r="A683" t="inlineStr">
        <is>
          <t>1975-10</t>
        </is>
      </c>
      <c r="B683" s="1" t="n">
        <v>27668</v>
      </c>
      <c r="C683" s="88" t="n">
        <v>683</v>
      </c>
      <c r="E683" s="1">
        <f>B683</f>
        <v/>
      </c>
      <c r="F683" s="2">
        <f>B683</f>
        <v/>
      </c>
      <c r="G683" s="88" t="n">
        <v>681</v>
      </c>
      <c r="H683" s="89" t="n"/>
      <c r="I683" s="89" t="n"/>
      <c r="J683" s="89" t="n">
        <v>45.87024</v>
      </c>
      <c r="K683" s="89" t="n">
        <v>47.16996</v>
      </c>
      <c r="L683" s="89" t="n"/>
      <c r="M683" s="89" t="n"/>
      <c r="N683" s="89" t="n">
        <v>51.96617</v>
      </c>
      <c r="O683" s="89" t="n">
        <v>54.40457</v>
      </c>
      <c r="P683" s="89" t="n">
        <v>72.76864999999999</v>
      </c>
      <c r="Q683" s="89" t="n"/>
      <c r="R683" s="89" t="n">
        <v>38.32732</v>
      </c>
      <c r="S683" s="89" t="n">
        <v>70.16887</v>
      </c>
      <c r="T683" s="89" t="n">
        <v>73.1456</v>
      </c>
      <c r="U683" s="89" t="n">
        <v>86.77415999999999</v>
      </c>
      <c r="V683" s="89" t="n"/>
      <c r="W683" s="89" t="n">
        <v>5.470692</v>
      </c>
      <c r="X683" s="89" t="n"/>
      <c r="Y683" s="89" t="n"/>
      <c r="Z683" s="89" t="n">
        <v>74.16809000000001</v>
      </c>
      <c r="AA683" s="89" t="n">
        <v>52.41235</v>
      </c>
      <c r="AB683" s="89" t="n"/>
      <c r="AC683" s="89" t="n">
        <v>46.58126</v>
      </c>
      <c r="AD683" s="89" t="n"/>
      <c r="AE683" s="89" t="n"/>
      <c r="AF683" s="89" t="n">
        <v>59.52966</v>
      </c>
      <c r="AG683" s="89" t="n">
        <v>43.72706</v>
      </c>
      <c r="AH683" s="89" t="n">
        <v>43.75983</v>
      </c>
      <c r="AI683" s="89" t="n"/>
      <c r="AJ683" s="89" t="n">
        <v>50.95343</v>
      </c>
      <c r="AK683" s="89" t="n"/>
      <c r="AL683" s="89" t="n"/>
      <c r="AM683" s="89" t="n">
        <v>58.55391</v>
      </c>
      <c r="AN683" s="89" t="n"/>
      <c r="AO683" s="89" t="n">
        <v>41.27185</v>
      </c>
      <c r="AP683" s="89" t="n">
        <v>58.33027</v>
      </c>
      <c r="AQ683" s="89" t="n"/>
      <c r="AR683" s="89" t="n"/>
      <c r="AS683" s="89" t="n"/>
      <c r="AT683" s="89" t="n"/>
      <c r="AU683" s="89" t="n"/>
      <c r="AV683" s="89" t="n"/>
      <c r="AW683" s="89" t="n"/>
      <c r="AX683" s="89" t="n"/>
      <c r="AY683" s="89" t="n">
        <v>49.41428</v>
      </c>
    </row>
    <row r="684">
      <c r="A684" t="inlineStr">
        <is>
          <t>1975-11</t>
        </is>
      </c>
      <c r="B684" s="1" t="n">
        <v>27699</v>
      </c>
      <c r="C684" s="88" t="n">
        <v>684</v>
      </c>
      <c r="E684" s="1">
        <f>B684</f>
        <v/>
      </c>
      <c r="F684" s="2">
        <f>B684</f>
        <v/>
      </c>
      <c r="G684" s="88" t="n">
        <v>682</v>
      </c>
      <c r="H684" s="89" t="n"/>
      <c r="I684" s="89" t="n"/>
      <c r="J684" s="89" t="n">
        <v>47.22998</v>
      </c>
      <c r="K684" s="89" t="n">
        <v>48.23853</v>
      </c>
      <c r="L684" s="89" t="n"/>
      <c r="M684" s="89" t="n"/>
      <c r="N684" s="89" t="n">
        <v>52.70678</v>
      </c>
      <c r="O684" s="89" t="n">
        <v>55.02991</v>
      </c>
      <c r="P684" s="89" t="n">
        <v>72.08798</v>
      </c>
      <c r="Q684" s="89" t="n"/>
      <c r="R684" s="89" t="n">
        <v>39.59476</v>
      </c>
      <c r="S684" s="89" t="n">
        <v>68.94747</v>
      </c>
      <c r="T684" s="89" t="n">
        <v>73.24326000000001</v>
      </c>
      <c r="U684" s="89" t="n">
        <v>90.58548999999999</v>
      </c>
      <c r="V684" s="89" t="n"/>
      <c r="W684" s="89" t="n">
        <v>6.039275</v>
      </c>
      <c r="X684" s="89" t="n"/>
      <c r="Y684" s="89" t="n"/>
      <c r="Z684" s="89" t="n">
        <v>76.29268999999999</v>
      </c>
      <c r="AA684" s="89" t="n">
        <v>51.57106</v>
      </c>
      <c r="AB684" s="89" t="n"/>
      <c r="AC684" s="89" t="n">
        <v>47.38861</v>
      </c>
      <c r="AD684" s="89" t="n"/>
      <c r="AE684" s="89" t="n"/>
      <c r="AF684" s="89" t="n">
        <v>61.91085</v>
      </c>
      <c r="AG684" s="89" t="n">
        <v>44.28767</v>
      </c>
      <c r="AH684" s="89" t="n">
        <v>43.92633</v>
      </c>
      <c r="AI684" s="89" t="n"/>
      <c r="AJ684" s="89" t="n">
        <v>50.1684</v>
      </c>
      <c r="AK684" s="89" t="n"/>
      <c r="AL684" s="89" t="n"/>
      <c r="AM684" s="89" t="n">
        <v>59.35838</v>
      </c>
      <c r="AN684" s="89" t="n"/>
      <c r="AO684" s="89" t="n">
        <v>41.36089</v>
      </c>
      <c r="AP684" s="89" t="n">
        <v>58.80643</v>
      </c>
      <c r="AQ684" s="89" t="n"/>
      <c r="AR684" s="89" t="n"/>
      <c r="AS684" s="89" t="n"/>
      <c r="AT684" s="89" t="n"/>
      <c r="AU684" s="89" t="n"/>
      <c r="AV684" s="89" t="n"/>
      <c r="AW684" s="89" t="n"/>
      <c r="AX684" s="89" t="n"/>
      <c r="AY684" s="89" t="n">
        <v>51.00449</v>
      </c>
    </row>
    <row r="685">
      <c r="A685" t="inlineStr">
        <is>
          <t>1975-12</t>
        </is>
      </c>
      <c r="B685" s="1" t="n">
        <v>27729</v>
      </c>
      <c r="C685" s="88" t="n">
        <v>685</v>
      </c>
      <c r="E685" s="1">
        <f>B685</f>
        <v/>
      </c>
      <c r="F685" s="2">
        <f>B685</f>
        <v/>
      </c>
      <c r="G685" s="88" t="n">
        <v>683</v>
      </c>
      <c r="H685" s="89" t="n"/>
      <c r="I685" s="89" t="n"/>
      <c r="J685" s="89" t="n">
        <v>46.95476</v>
      </c>
      <c r="K685" s="89" t="n">
        <v>49.13371</v>
      </c>
      <c r="L685" s="89" t="n"/>
      <c r="M685" s="89" t="n"/>
      <c r="N685" s="89" t="n">
        <v>52.64507</v>
      </c>
      <c r="O685" s="89" t="n">
        <v>55.65525</v>
      </c>
      <c r="P685" s="89" t="n">
        <v>73.03351000000001</v>
      </c>
      <c r="Q685" s="89" t="n"/>
      <c r="R685" s="89" t="n">
        <v>38.58081</v>
      </c>
      <c r="S685" s="89" t="n">
        <v>72.48951</v>
      </c>
      <c r="T685" s="89" t="n">
        <v>72.85262</v>
      </c>
      <c r="U685" s="89" t="n">
        <v>90.2931</v>
      </c>
      <c r="V685" s="89" t="n"/>
      <c r="W685" s="89" t="n">
        <v>5.900971</v>
      </c>
      <c r="X685" s="89" t="n"/>
      <c r="Y685" s="89" t="n"/>
      <c r="Z685" s="89" t="n">
        <v>76.09954999999999</v>
      </c>
      <c r="AA685" s="89" t="n">
        <v>52.66473</v>
      </c>
      <c r="AB685" s="89" t="n"/>
      <c r="AC685" s="89" t="n">
        <v>48.14086</v>
      </c>
      <c r="AD685" s="89" t="n"/>
      <c r="AE685" s="89" t="n"/>
      <c r="AF685" s="89" t="n">
        <v>60.12496</v>
      </c>
      <c r="AG685" s="89" t="n">
        <v>40.36344</v>
      </c>
      <c r="AH685" s="89" t="n">
        <v>44.34184</v>
      </c>
      <c r="AI685" s="89" t="n"/>
      <c r="AJ685" s="89" t="n">
        <v>48.73384</v>
      </c>
      <c r="AK685" s="89" t="n"/>
      <c r="AL685" s="89" t="n"/>
      <c r="AM685" s="89" t="n">
        <v>58.61138</v>
      </c>
      <c r="AN685" s="89" t="n"/>
      <c r="AO685" s="89" t="n">
        <v>41.87562</v>
      </c>
      <c r="AP685" s="89" t="n">
        <v>59.18737</v>
      </c>
      <c r="AQ685" s="89" t="n"/>
      <c r="AR685" s="89" t="n"/>
      <c r="AS685" s="89" t="n"/>
      <c r="AT685" s="89" t="n"/>
      <c r="AU685" s="89" t="n"/>
      <c r="AV685" s="89" t="n"/>
      <c r="AW685" s="89" t="n"/>
      <c r="AX685" s="89" t="n"/>
      <c r="AY685" s="89" t="n">
        <v>49.94877</v>
      </c>
    </row>
    <row r="686">
      <c r="A686" t="inlineStr">
        <is>
          <t>1976-01</t>
        </is>
      </c>
      <c r="B686" s="1" t="n">
        <v>27760</v>
      </c>
      <c r="C686" s="88" t="n">
        <v>686</v>
      </c>
      <c r="E686" s="1">
        <f>B686</f>
        <v/>
      </c>
      <c r="F686" s="2">
        <f>B686</f>
        <v/>
      </c>
      <c r="G686" s="88" t="n">
        <v>684</v>
      </c>
      <c r="H686" s="89" t="n"/>
      <c r="I686" s="89" t="n"/>
      <c r="J686" s="89" t="n">
        <v>47.66048</v>
      </c>
      <c r="K686" s="89" t="n">
        <v>49.06886</v>
      </c>
      <c r="L686" s="89" t="n"/>
      <c r="M686" s="89" t="n"/>
      <c r="N686" s="89" t="n">
        <v>53.32396</v>
      </c>
      <c r="O686" s="89" t="n">
        <v>54.40457</v>
      </c>
      <c r="P686" s="89" t="n">
        <v>71.54741</v>
      </c>
      <c r="Q686" s="89" t="n"/>
      <c r="R686" s="89" t="n">
        <v>39.64545</v>
      </c>
      <c r="S686" s="89" t="n">
        <v>72.67271</v>
      </c>
      <c r="T686" s="89" t="n">
        <v>73.34090999999999</v>
      </c>
      <c r="U686" s="89" t="n">
        <v>92.84451</v>
      </c>
      <c r="V686" s="89" t="n"/>
      <c r="W686" s="89" t="n">
        <v>6.139162</v>
      </c>
      <c r="X686" s="89" t="n"/>
      <c r="Y686" s="89" t="n"/>
      <c r="Z686" s="89" t="n">
        <v>78.61045</v>
      </c>
      <c r="AA686" s="89" t="n">
        <v>53.59015</v>
      </c>
      <c r="AB686" s="89" t="n"/>
      <c r="AC686" s="89" t="n">
        <v>48.77354</v>
      </c>
      <c r="AD686" s="89" t="n"/>
      <c r="AE686" s="89" t="n"/>
      <c r="AF686" s="89" t="n">
        <v>63.10144</v>
      </c>
      <c r="AG686" s="89" t="n">
        <v>42.04525</v>
      </c>
      <c r="AH686" s="89" t="n">
        <v>44.87002</v>
      </c>
      <c r="AI686" s="89" t="n"/>
      <c r="AJ686" s="89" t="n">
        <v>49.02458</v>
      </c>
      <c r="AK686" s="89" t="n"/>
      <c r="AL686" s="89" t="n"/>
      <c r="AM686" s="89" t="n">
        <v>57.00244</v>
      </c>
      <c r="AN686" s="89" t="n"/>
      <c r="AO686" s="89" t="n">
        <v>42.48219</v>
      </c>
      <c r="AP686" s="89" t="n">
        <v>59.86352</v>
      </c>
      <c r="AQ686" s="89" t="n"/>
      <c r="AR686" s="89" t="n"/>
      <c r="AS686" s="89" t="n"/>
      <c r="AT686" s="89" t="n"/>
      <c r="AU686" s="89" t="n"/>
      <c r="AV686" s="89" t="n"/>
      <c r="AW686" s="89" t="n"/>
      <c r="AX686" s="89" t="n"/>
      <c r="AY686" s="89" t="n">
        <v>51.73227</v>
      </c>
    </row>
    <row r="687">
      <c r="A687" t="inlineStr">
        <is>
          <t>1976-02</t>
        </is>
      </c>
      <c r="B687" s="1" t="n">
        <v>27791</v>
      </c>
      <c r="C687" s="88" t="n">
        <v>687</v>
      </c>
      <c r="E687" s="1">
        <f>B687</f>
        <v/>
      </c>
      <c r="F687" s="2">
        <f>B687</f>
        <v/>
      </c>
      <c r="G687" s="88" t="n">
        <v>685</v>
      </c>
      <c r="H687" s="89" t="n"/>
      <c r="I687" s="89" t="n"/>
      <c r="J687" s="89" t="n">
        <v>48.72326</v>
      </c>
      <c r="K687" s="89" t="n">
        <v>49.38934</v>
      </c>
      <c r="L687" s="89" t="n"/>
      <c r="M687" s="89" t="n"/>
      <c r="N687" s="89" t="n">
        <v>54.37315</v>
      </c>
      <c r="O687" s="89" t="n">
        <v>56.90593</v>
      </c>
      <c r="P687" s="89" t="n">
        <v>70.95392</v>
      </c>
      <c r="Q687" s="89" t="n"/>
      <c r="R687" s="89" t="n">
        <v>39.39196</v>
      </c>
      <c r="S687" s="89" t="n">
        <v>72.79485</v>
      </c>
      <c r="T687" s="89" t="n">
        <v>74.21983</v>
      </c>
      <c r="U687" s="89" t="n">
        <v>88.49657999999999</v>
      </c>
      <c r="V687" s="89" t="n"/>
      <c r="W687" s="89" t="n">
        <v>5.847187</v>
      </c>
      <c r="X687" s="89" t="n"/>
      <c r="Y687" s="89" t="n"/>
      <c r="Z687" s="89" t="n">
        <v>78.03100999999999</v>
      </c>
      <c r="AA687" s="89" t="n">
        <v>54.93622</v>
      </c>
      <c r="AB687" s="89" t="n"/>
      <c r="AC687" s="89" t="n">
        <v>48.46727</v>
      </c>
      <c r="AD687" s="89" t="n"/>
      <c r="AE687" s="89" t="n"/>
      <c r="AF687" s="89" t="n">
        <v>63.10144</v>
      </c>
      <c r="AG687" s="89" t="n">
        <v>44.84827</v>
      </c>
      <c r="AH687" s="89" t="n">
        <v>45.34505</v>
      </c>
      <c r="AI687" s="89" t="n"/>
      <c r="AJ687" s="89" t="n">
        <v>50.14072</v>
      </c>
      <c r="AK687" s="89" t="n"/>
      <c r="AL687" s="89" t="n"/>
      <c r="AM687" s="89" t="n">
        <v>57.74945</v>
      </c>
      <c r="AN687" s="89" t="n"/>
      <c r="AO687" s="89" t="n">
        <v>42.90836</v>
      </c>
      <c r="AP687" s="89" t="n">
        <v>60.24445</v>
      </c>
      <c r="AQ687" s="89" t="n"/>
      <c r="AR687" s="89" t="n"/>
      <c r="AS687" s="89" t="n"/>
      <c r="AT687" s="89" t="n"/>
      <c r="AU687" s="89" t="n"/>
      <c r="AV687" s="89" t="n"/>
      <c r="AW687" s="89" t="n"/>
      <c r="AX687" s="89" t="n"/>
      <c r="AY687" s="89" t="n">
        <v>54.94237</v>
      </c>
    </row>
    <row r="688">
      <c r="A688" t="inlineStr">
        <is>
          <t>1976-03</t>
        </is>
      </c>
      <c r="B688" s="1" t="n">
        <v>27820</v>
      </c>
      <c r="C688" s="88" t="n">
        <v>688</v>
      </c>
      <c r="E688" s="1">
        <f>B688</f>
        <v/>
      </c>
      <c r="F688" s="2">
        <f>B688</f>
        <v/>
      </c>
      <c r="G688" s="88" t="n">
        <v>686</v>
      </c>
      <c r="H688" s="89" t="n"/>
      <c r="I688" s="89" t="n"/>
      <c r="J688" s="89" t="n">
        <v>48.25147</v>
      </c>
      <c r="K688" s="89" t="n">
        <v>50.15811</v>
      </c>
      <c r="L688" s="89" t="n"/>
      <c r="M688" s="89" t="n"/>
      <c r="N688" s="89" t="n">
        <v>54.31144</v>
      </c>
      <c r="O688" s="89" t="n">
        <v>56.28059</v>
      </c>
      <c r="P688" s="89" t="n">
        <v>73.76044</v>
      </c>
      <c r="Q688" s="89" t="n"/>
      <c r="R688" s="89" t="n">
        <v>39.54406</v>
      </c>
      <c r="S688" s="89" t="n">
        <v>73.58875999999999</v>
      </c>
      <c r="T688" s="89" t="n">
        <v>74.41515</v>
      </c>
      <c r="U688" s="89" t="n">
        <v>93.86011999999999</v>
      </c>
      <c r="V688" s="89" t="n"/>
      <c r="W688" s="89" t="n">
        <v>5.870237</v>
      </c>
      <c r="X688" s="89" t="n"/>
      <c r="Y688" s="89" t="n"/>
      <c r="Z688" s="89" t="n">
        <v>77.64471</v>
      </c>
      <c r="AA688" s="89" t="n">
        <v>55.77751</v>
      </c>
      <c r="AB688" s="89" t="n"/>
      <c r="AC688" s="89" t="n">
        <v>47.93152</v>
      </c>
      <c r="AD688" s="89" t="n"/>
      <c r="AE688" s="89" t="n"/>
      <c r="AF688" s="89" t="n">
        <v>62.50615</v>
      </c>
      <c r="AG688" s="89" t="n">
        <v>45.40887</v>
      </c>
      <c r="AH688" s="89" t="n">
        <v>45.56963</v>
      </c>
      <c r="AI688" s="89" t="n"/>
      <c r="AJ688" s="89" t="n">
        <v>50.45978</v>
      </c>
      <c r="AK688" s="89" t="n"/>
      <c r="AL688" s="89" t="n"/>
      <c r="AM688" s="89" t="n">
        <v>57.34721</v>
      </c>
      <c r="AN688" s="89" t="n"/>
      <c r="AO688" s="89" t="n">
        <v>42.94678</v>
      </c>
      <c r="AP688" s="89" t="n">
        <v>60.53968</v>
      </c>
      <c r="AQ688" s="89" t="n"/>
      <c r="AR688" s="89" t="n"/>
      <c r="AS688" s="89" t="n"/>
      <c r="AT688" s="89" t="n"/>
      <c r="AU688" s="89" t="n"/>
      <c r="AV688" s="89" t="n"/>
      <c r="AW688" s="89" t="n"/>
      <c r="AX688" s="89" t="n"/>
      <c r="AY688" s="89" t="n">
        <v>52.83868</v>
      </c>
    </row>
    <row r="689">
      <c r="A689" t="inlineStr">
        <is>
          <t>1976-04</t>
        </is>
      </c>
      <c r="B689" s="1" t="n">
        <v>27851</v>
      </c>
      <c r="C689" s="88" t="n">
        <v>689</v>
      </c>
      <c r="E689" s="1">
        <f>B689</f>
        <v/>
      </c>
      <c r="F689" s="2">
        <f>B689</f>
        <v/>
      </c>
      <c r="G689" s="88" t="n">
        <v>687</v>
      </c>
      <c r="H689" s="89" t="n"/>
      <c r="I689" s="89" t="n"/>
      <c r="J689" s="89" t="n">
        <v>49.88947</v>
      </c>
      <c r="K689" s="89" t="n">
        <v>50.77745</v>
      </c>
      <c r="L689" s="89" t="n"/>
      <c r="M689" s="89" t="n"/>
      <c r="N689" s="89" t="n">
        <v>54.62003</v>
      </c>
      <c r="O689" s="89" t="n">
        <v>57.53127</v>
      </c>
      <c r="P689" s="89" t="n">
        <v>75.25761</v>
      </c>
      <c r="Q689" s="89" t="n"/>
      <c r="R689" s="89" t="n">
        <v>39.44266</v>
      </c>
      <c r="S689" s="89" t="n">
        <v>74.5048</v>
      </c>
      <c r="T689" s="89" t="n">
        <v>75.09875</v>
      </c>
      <c r="U689" s="89" t="n">
        <v>94.97717</v>
      </c>
      <c r="V689" s="89" t="n"/>
      <c r="W689" s="89" t="n">
        <v>5.916338</v>
      </c>
      <c r="X689" s="89" t="n"/>
      <c r="Y689" s="89" t="n"/>
      <c r="Z689" s="89" t="n">
        <v>79.67274999999999</v>
      </c>
      <c r="AA689" s="89" t="n">
        <v>56.53467</v>
      </c>
      <c r="AB689" s="89" t="n"/>
      <c r="AC689" s="89" t="n">
        <v>48.6338</v>
      </c>
      <c r="AD689" s="89" t="n"/>
      <c r="AE689" s="89" t="n"/>
      <c r="AF689" s="89" t="n">
        <v>63.10144</v>
      </c>
      <c r="AG689" s="89" t="n">
        <v>44.84827</v>
      </c>
      <c r="AH689" s="89" t="n">
        <v>46.04044</v>
      </c>
      <c r="AI689" s="89" t="n"/>
      <c r="AJ689" s="89" t="n">
        <v>50.36467</v>
      </c>
      <c r="AK689" s="89" t="n"/>
      <c r="AL689" s="89" t="n"/>
      <c r="AM689" s="89" t="n">
        <v>58.66884</v>
      </c>
      <c r="AN689" s="89" t="n"/>
      <c r="AO689" s="89" t="n">
        <v>43.18864</v>
      </c>
      <c r="AP689" s="89" t="n">
        <v>61.30154</v>
      </c>
      <c r="AQ689" s="89" t="n"/>
      <c r="AR689" s="89" t="n"/>
      <c r="AS689" s="89" t="n"/>
      <c r="AT689" s="89" t="n"/>
      <c r="AU689" s="89" t="n"/>
      <c r="AV689" s="89" t="n"/>
      <c r="AW689" s="89" t="n"/>
      <c r="AX689" s="89" t="n"/>
      <c r="AY689" s="89" t="n">
        <v>53.889</v>
      </c>
    </row>
    <row r="690">
      <c r="A690" t="inlineStr">
        <is>
          <t>1976-05</t>
        </is>
      </c>
      <c r="B690" s="1" t="n">
        <v>27881</v>
      </c>
      <c r="C690" s="88" t="n">
        <v>690</v>
      </c>
      <c r="E690" s="1">
        <f>B690</f>
        <v/>
      </c>
      <c r="F690" s="2">
        <f>B690</f>
        <v/>
      </c>
      <c r="G690" s="88" t="n">
        <v>688</v>
      </c>
      <c r="H690" s="89" t="n"/>
      <c r="I690" s="89" t="n"/>
      <c r="J690" s="89" t="n">
        <v>48.96871</v>
      </c>
      <c r="K690" s="89" t="n">
        <v>51.44378</v>
      </c>
      <c r="L690" s="89" t="n"/>
      <c r="M690" s="89" t="n"/>
      <c r="N690" s="89" t="n">
        <v>54.92861</v>
      </c>
      <c r="O690" s="89" t="n">
        <v>60.03263</v>
      </c>
      <c r="P690" s="89" t="n">
        <v>76.28094</v>
      </c>
      <c r="Q690" s="89" t="n"/>
      <c r="R690" s="89" t="n">
        <v>40.60871</v>
      </c>
      <c r="S690" s="89" t="n">
        <v>74.5048</v>
      </c>
      <c r="T690" s="89" t="n">
        <v>76.27065</v>
      </c>
      <c r="U690" s="89" t="n">
        <v>95.65939</v>
      </c>
      <c r="V690" s="89" t="n"/>
      <c r="W690" s="89" t="n">
        <v>6.231364</v>
      </c>
      <c r="X690" s="89" t="n"/>
      <c r="Y690" s="89" t="n"/>
      <c r="Z690" s="89" t="n">
        <v>85.08083999999999</v>
      </c>
      <c r="AA690" s="89" t="n">
        <v>56.36641</v>
      </c>
      <c r="AB690" s="89" t="n"/>
      <c r="AC690" s="89" t="n">
        <v>52.73391</v>
      </c>
      <c r="AD690" s="89" t="n"/>
      <c r="AE690" s="89" t="n"/>
      <c r="AF690" s="89" t="n">
        <v>63.69674</v>
      </c>
      <c r="AG690" s="89" t="n">
        <v>45.40887</v>
      </c>
      <c r="AH690" s="89" t="n">
        <v>46.47152</v>
      </c>
      <c r="AI690" s="89" t="n"/>
      <c r="AJ690" s="89" t="n">
        <v>51.93979</v>
      </c>
      <c r="AK690" s="89" t="n"/>
      <c r="AL690" s="89" t="n"/>
      <c r="AM690" s="89" t="n">
        <v>58.78376</v>
      </c>
      <c r="AN690" s="89" t="n"/>
      <c r="AO690" s="89" t="n">
        <v>43.39015</v>
      </c>
      <c r="AP690" s="89" t="n">
        <v>62.45386</v>
      </c>
      <c r="AQ690" s="89" t="n"/>
      <c r="AR690" s="89" t="n"/>
      <c r="AS690" s="89" t="n"/>
      <c r="AT690" s="89" t="n"/>
      <c r="AU690" s="89" t="n"/>
      <c r="AV690" s="89" t="n"/>
      <c r="AW690" s="89" t="n"/>
      <c r="AX690" s="89" t="n"/>
      <c r="AY690" s="89" t="n">
        <v>54.9327</v>
      </c>
    </row>
    <row r="691">
      <c r="A691" t="inlineStr">
        <is>
          <t>1976-06</t>
        </is>
      </c>
      <c r="B691" s="1" t="n">
        <v>27912</v>
      </c>
      <c r="C691" s="88" t="n">
        <v>691</v>
      </c>
      <c r="E691" s="1">
        <f>B691</f>
        <v/>
      </c>
      <c r="F691" s="2">
        <f>B691</f>
        <v/>
      </c>
      <c r="G691" s="88" t="n">
        <v>689</v>
      </c>
      <c r="H691" s="89" t="n"/>
      <c r="I691" s="89" t="n"/>
      <c r="J691" s="89" t="n">
        <v>50.17759</v>
      </c>
      <c r="K691" s="89" t="n">
        <v>50.71448</v>
      </c>
      <c r="L691" s="89" t="n"/>
      <c r="M691" s="89" t="n"/>
      <c r="N691" s="89" t="n">
        <v>55.54579</v>
      </c>
      <c r="O691" s="89" t="n">
        <v>58.15661</v>
      </c>
      <c r="P691" s="89" t="n">
        <v>76.72186000000001</v>
      </c>
      <c r="Q691" s="89" t="n"/>
      <c r="R691" s="89" t="n">
        <v>40.10173</v>
      </c>
      <c r="S691" s="89" t="n">
        <v>74.68801000000001</v>
      </c>
      <c r="T691" s="89" t="n">
        <v>74.70811999999999</v>
      </c>
      <c r="U691" s="89" t="n">
        <v>97.5269</v>
      </c>
      <c r="V691" s="89" t="n"/>
      <c r="W691" s="89" t="n">
        <v>6.016224</v>
      </c>
      <c r="X691" s="89" t="n"/>
      <c r="Y691" s="89" t="n"/>
      <c r="Z691" s="89" t="n">
        <v>84.59798000000001</v>
      </c>
      <c r="AA691" s="89" t="n">
        <v>57.37596</v>
      </c>
      <c r="AB691" s="89" t="n"/>
      <c r="AC691" s="89" t="n">
        <v>49.68277</v>
      </c>
      <c r="AD691" s="89" t="n"/>
      <c r="AE691" s="89" t="n"/>
      <c r="AF691" s="89" t="n">
        <v>64.88733000000001</v>
      </c>
      <c r="AG691" s="89" t="n">
        <v>45.96948</v>
      </c>
      <c r="AH691" s="89" t="n">
        <v>46.60592</v>
      </c>
      <c r="AI691" s="89" t="n"/>
      <c r="AJ691" s="89" t="n">
        <v>50.9284</v>
      </c>
      <c r="AK691" s="89" t="n"/>
      <c r="AL691" s="89" t="n"/>
      <c r="AM691" s="89" t="n">
        <v>59.58823</v>
      </c>
      <c r="AN691" s="89" t="n"/>
      <c r="AO691" s="89" t="n">
        <v>43.3987</v>
      </c>
      <c r="AP691" s="89" t="n">
        <v>62.45386</v>
      </c>
      <c r="AQ691" s="89" t="n"/>
      <c r="AR691" s="89" t="n"/>
      <c r="AS691" s="89" t="n"/>
      <c r="AT691" s="89" t="n"/>
      <c r="AU691" s="89" t="n"/>
      <c r="AV691" s="89" t="n"/>
      <c r="AW691" s="89" t="n"/>
      <c r="AX691" s="89" t="n"/>
      <c r="AY691" s="89" t="n">
        <v>54.24702</v>
      </c>
    </row>
    <row r="692">
      <c r="A692" t="inlineStr">
        <is>
          <t>1976-07</t>
        </is>
      </c>
      <c r="B692" s="1" t="n">
        <v>27942</v>
      </c>
      <c r="C692" s="88" t="n">
        <v>692</v>
      </c>
      <c r="E692" s="1">
        <f>B692</f>
        <v/>
      </c>
      <c r="F692" s="2">
        <f>B692</f>
        <v/>
      </c>
      <c r="G692" s="88" t="n">
        <v>690</v>
      </c>
      <c r="H692" s="89" t="n"/>
      <c r="I692" s="89" t="n"/>
      <c r="J692" s="89" t="n">
        <v>49.94041</v>
      </c>
      <c r="K692" s="89" t="n">
        <v>50.74784</v>
      </c>
      <c r="L692" s="89" t="n"/>
      <c r="M692" s="89" t="n"/>
      <c r="N692" s="89" t="n">
        <v>53.50911</v>
      </c>
      <c r="O692" s="89" t="n">
        <v>58.15661</v>
      </c>
      <c r="P692" s="89" t="n">
        <v>77.31573</v>
      </c>
      <c r="Q692" s="89" t="n"/>
      <c r="R692" s="89" t="n">
        <v>38.93569</v>
      </c>
      <c r="S692" s="89" t="n">
        <v>75.78726</v>
      </c>
      <c r="T692" s="89" t="n">
        <v>75.00109</v>
      </c>
      <c r="U692" s="89" t="n">
        <v>96.9195</v>
      </c>
      <c r="V692" s="89" t="n"/>
      <c r="W692" s="89" t="n">
        <v>6.231364</v>
      </c>
      <c r="X692" s="89" t="n"/>
      <c r="Y692" s="89" t="n"/>
      <c r="Z692" s="89" t="n">
        <v>85.75685</v>
      </c>
      <c r="AA692" s="89" t="n">
        <v>57.88073</v>
      </c>
      <c r="AB692" s="89" t="n"/>
      <c r="AC692" s="89" t="n">
        <v>47.92882</v>
      </c>
      <c r="AD692" s="89" t="n"/>
      <c r="AE692" s="89" t="n"/>
      <c r="AF692" s="89" t="n">
        <v>64.29204</v>
      </c>
      <c r="AG692" s="89" t="n">
        <v>47.09068</v>
      </c>
      <c r="AH692" s="89" t="n">
        <v>46.66888</v>
      </c>
      <c r="AI692" s="89" t="n"/>
      <c r="AJ692" s="89" t="n">
        <v>50.71199</v>
      </c>
      <c r="AK692" s="89" t="n"/>
      <c r="AL692" s="89" t="n"/>
      <c r="AM692" s="89" t="n">
        <v>59.76062</v>
      </c>
      <c r="AN692" s="89" t="n"/>
      <c r="AO692" s="89" t="n">
        <v>43.65852</v>
      </c>
      <c r="AP692" s="89" t="n">
        <v>62.16816</v>
      </c>
      <c r="AQ692" s="89" t="n"/>
      <c r="AR692" s="89" t="n"/>
      <c r="AS692" s="89" t="n"/>
      <c r="AT692" s="89" t="n"/>
      <c r="AU692" s="89" t="n"/>
      <c r="AV692" s="89" t="n"/>
      <c r="AW692" s="89" t="n"/>
      <c r="AX692" s="89" t="n"/>
      <c r="AY692" s="89" t="n">
        <v>54.79598</v>
      </c>
    </row>
    <row r="693">
      <c r="A693" t="inlineStr">
        <is>
          <t>1976-08</t>
        </is>
      </c>
      <c r="B693" s="1" t="n">
        <v>27973</v>
      </c>
      <c r="C693" s="88" t="n">
        <v>693</v>
      </c>
      <c r="E693" s="1">
        <f>B693</f>
        <v/>
      </c>
      <c r="F693" s="2">
        <f>B693</f>
        <v/>
      </c>
      <c r="G693" s="88" t="n">
        <v>691</v>
      </c>
      <c r="H693" s="89" t="n"/>
      <c r="I693" s="89" t="n"/>
      <c r="J693" s="89" t="n">
        <v>49.62128</v>
      </c>
      <c r="K693" s="89" t="n">
        <v>51.26803</v>
      </c>
      <c r="L693" s="89" t="n"/>
      <c r="M693" s="89" t="n"/>
      <c r="N693" s="89" t="n">
        <v>55.2372</v>
      </c>
      <c r="O693" s="89" t="n">
        <v>58.15661</v>
      </c>
      <c r="P693" s="89" t="n">
        <v>78.13686</v>
      </c>
      <c r="Q693" s="89" t="n"/>
      <c r="R693" s="89" t="n">
        <v>40.20313</v>
      </c>
      <c r="S693" s="89" t="n">
        <v>75.78726</v>
      </c>
      <c r="T693" s="89" t="n">
        <v>74.80578</v>
      </c>
      <c r="U693" s="89" t="n">
        <v>96.84885</v>
      </c>
      <c r="V693" s="89" t="n"/>
      <c r="W693" s="89" t="n">
        <v>6.615542</v>
      </c>
      <c r="X693" s="89" t="n"/>
      <c r="Y693" s="89" t="n"/>
      <c r="Z693" s="89" t="n">
        <v>81.9905</v>
      </c>
      <c r="AA693" s="89" t="n">
        <v>58.04899</v>
      </c>
      <c r="AB693" s="89" t="n"/>
      <c r="AC693" s="89" t="n">
        <v>46.10236</v>
      </c>
      <c r="AD693" s="89" t="n"/>
      <c r="AE693" s="89" t="n"/>
      <c r="AF693" s="89" t="n">
        <v>64.29204</v>
      </c>
      <c r="AG693" s="89" t="n">
        <v>47.65129</v>
      </c>
      <c r="AH693" s="89" t="n">
        <v>46.84863</v>
      </c>
      <c r="AI693" s="89" t="n"/>
      <c r="AJ693" s="89" t="n">
        <v>46.74064</v>
      </c>
      <c r="AK693" s="89" t="n"/>
      <c r="AL693" s="89" t="n"/>
      <c r="AM693" s="89" t="n">
        <v>58.61138</v>
      </c>
      <c r="AN693" s="89" t="n"/>
      <c r="AO693" s="89" t="n">
        <v>43.96608</v>
      </c>
      <c r="AP693" s="89" t="n">
        <v>62.16816</v>
      </c>
      <c r="AQ693" s="89" t="n"/>
      <c r="AR693" s="89" t="n"/>
      <c r="AS693" s="89" t="n"/>
      <c r="AT693" s="89" t="n"/>
      <c r="AU693" s="89" t="n"/>
      <c r="AV693" s="89" t="n"/>
      <c r="AW693" s="89" t="n"/>
      <c r="AX693" s="89" t="n"/>
      <c r="AY693" s="89" t="n">
        <v>54.87015</v>
      </c>
    </row>
    <row r="694">
      <c r="A694" t="inlineStr">
        <is>
          <t>1976-09</t>
        </is>
      </c>
      <c r="B694" s="1" t="n">
        <v>28004</v>
      </c>
      <c r="C694" s="88" t="n">
        <v>694</v>
      </c>
      <c r="E694" s="1">
        <f>B694</f>
        <v/>
      </c>
      <c r="F694" s="2">
        <f>B694</f>
        <v/>
      </c>
      <c r="G694" s="88" t="n">
        <v>692</v>
      </c>
      <c r="H694" s="89" t="n"/>
      <c r="I694" s="89" t="n"/>
      <c r="J694" s="89" t="n">
        <v>50.72807</v>
      </c>
      <c r="K694" s="89" t="n">
        <v>51.39632</v>
      </c>
      <c r="L694" s="89" t="n"/>
      <c r="M694" s="89" t="n"/>
      <c r="N694" s="89" t="n">
        <v>55.79266</v>
      </c>
      <c r="O694" s="89" t="n">
        <v>58.15661</v>
      </c>
      <c r="P694" s="89" t="n">
        <v>76.98849</v>
      </c>
      <c r="Q694" s="89" t="n"/>
      <c r="R694" s="89" t="n">
        <v>41.01429</v>
      </c>
      <c r="S694" s="89" t="n">
        <v>78.47432000000001</v>
      </c>
      <c r="T694" s="89" t="n">
        <v>76.07532999999999</v>
      </c>
      <c r="U694" s="89" t="n">
        <v>97.82692</v>
      </c>
      <c r="V694" s="89" t="n"/>
      <c r="W694" s="89" t="n">
        <v>6.423453</v>
      </c>
      <c r="X694" s="89" t="n"/>
      <c r="Y694" s="89" t="n"/>
      <c r="Z694" s="89" t="n">
        <v>85.08083999999999</v>
      </c>
      <c r="AA694" s="89" t="n">
        <v>57.96486</v>
      </c>
      <c r="AB694" s="89" t="n"/>
      <c r="AC694" s="89" t="n">
        <v>52.6782</v>
      </c>
      <c r="AD694" s="89" t="n"/>
      <c r="AE694" s="89" t="n"/>
      <c r="AF694" s="89" t="n">
        <v>66.67322</v>
      </c>
      <c r="AG694" s="89" t="n">
        <v>47.09068</v>
      </c>
      <c r="AH694" s="89" t="n">
        <v>47.24697</v>
      </c>
      <c r="AI694" s="89" t="n"/>
      <c r="AJ694" s="89" t="n">
        <v>52.24604</v>
      </c>
      <c r="AK694" s="89" t="n"/>
      <c r="AL694" s="89" t="n"/>
      <c r="AM694" s="89" t="n">
        <v>57.46214</v>
      </c>
      <c r="AN694" s="89" t="n"/>
      <c r="AO694" s="89" t="n">
        <v>44.09037</v>
      </c>
      <c r="AP694" s="89" t="n">
        <v>63.41572</v>
      </c>
      <c r="AQ694" s="89" t="n"/>
      <c r="AR694" s="89" t="n"/>
      <c r="AS694" s="89" t="n"/>
      <c r="AT694" s="89" t="n"/>
      <c r="AU694" s="89" t="n"/>
      <c r="AV694" s="89" t="n"/>
      <c r="AW694" s="89" t="n"/>
      <c r="AX694" s="89" t="n"/>
      <c r="AY694" s="89" t="n">
        <v>55.07405</v>
      </c>
    </row>
    <row r="695">
      <c r="A695" t="inlineStr">
        <is>
          <t>1976-10</t>
        </is>
      </c>
      <c r="B695" s="1" t="n">
        <v>28034</v>
      </c>
      <c r="C695" s="88" t="n">
        <v>695</v>
      </c>
      <c r="E695" s="1">
        <f>B695</f>
        <v/>
      </c>
      <c r="F695" s="2">
        <f>B695</f>
        <v/>
      </c>
      <c r="G695" s="88" t="n">
        <v>693</v>
      </c>
      <c r="H695" s="89" t="n"/>
      <c r="I695" s="89" t="n"/>
      <c r="J695" s="89" t="n">
        <v>51.07889</v>
      </c>
      <c r="K695" s="89" t="n">
        <v>50.52511</v>
      </c>
      <c r="L695" s="89" t="n"/>
      <c r="M695" s="89" t="n"/>
      <c r="N695" s="89" t="n">
        <v>55.79266</v>
      </c>
      <c r="O695" s="89" t="n">
        <v>58.15661</v>
      </c>
      <c r="P695" s="89" t="n">
        <v>77.54633</v>
      </c>
      <c r="Q695" s="89" t="n"/>
      <c r="R695" s="89" t="n">
        <v>41.06498</v>
      </c>
      <c r="S695" s="89" t="n">
        <v>75.97047000000001</v>
      </c>
      <c r="T695" s="89" t="n">
        <v>77.7355</v>
      </c>
      <c r="U695" s="89" t="n">
        <v>99.53172000000001</v>
      </c>
      <c r="V695" s="89" t="n"/>
      <c r="W695" s="89" t="n">
        <v>6.423453</v>
      </c>
      <c r="X695" s="89" t="n"/>
      <c r="Y695" s="89" t="n"/>
      <c r="Z695" s="89" t="n">
        <v>87.39859</v>
      </c>
      <c r="AA695" s="89" t="n">
        <v>57.96486</v>
      </c>
      <c r="AB695" s="89" t="n"/>
      <c r="AC695" s="89" t="n">
        <v>53.09445</v>
      </c>
      <c r="AD695" s="89" t="n"/>
      <c r="AE695" s="89" t="n"/>
      <c r="AF695" s="89" t="n">
        <v>64.29204</v>
      </c>
      <c r="AG695" s="89" t="n">
        <v>46.53008</v>
      </c>
      <c r="AH695" s="89" t="n">
        <v>47.30972</v>
      </c>
      <c r="AI695" s="89" t="n"/>
      <c r="AJ695" s="89" t="n">
        <v>52.57091</v>
      </c>
      <c r="AK695" s="89" t="n"/>
      <c r="AL695" s="89" t="n"/>
      <c r="AM695" s="89" t="n">
        <v>58.61138</v>
      </c>
      <c r="AN695" s="89" t="n"/>
      <c r="AO695" s="89" t="n">
        <v>44.10727</v>
      </c>
      <c r="AP695" s="89" t="n">
        <v>63.60618</v>
      </c>
      <c r="AQ695" s="89" t="n"/>
      <c r="AR695" s="89" t="n"/>
      <c r="AS695" s="89" t="n"/>
      <c r="AT695" s="89" t="n"/>
      <c r="AU695" s="89" t="n"/>
      <c r="AV695" s="89" t="n"/>
      <c r="AW695" s="89" t="n"/>
      <c r="AX695" s="89" t="n"/>
      <c r="AY695" s="89" t="n">
        <v>55.54345</v>
      </c>
    </row>
    <row r="696">
      <c r="A696" t="inlineStr">
        <is>
          <t>1976-11</t>
        </is>
      </c>
      <c r="B696" s="1" t="n">
        <v>28065</v>
      </c>
      <c r="C696" s="88" t="n">
        <v>696</v>
      </c>
      <c r="E696" s="1">
        <f>B696</f>
        <v/>
      </c>
      <c r="F696" s="2">
        <f>B696</f>
        <v/>
      </c>
      <c r="G696" s="88" t="n">
        <v>694</v>
      </c>
      <c r="H696" s="89" t="n"/>
      <c r="I696" s="89" t="n"/>
      <c r="J696" s="89" t="n">
        <v>50.85612</v>
      </c>
      <c r="K696" s="89" t="n">
        <v>51.53635</v>
      </c>
      <c r="L696" s="89" t="n"/>
      <c r="M696" s="89" t="n"/>
      <c r="N696" s="89" t="n">
        <v>55.85438</v>
      </c>
      <c r="O696" s="89" t="n">
        <v>58.15661</v>
      </c>
      <c r="P696" s="89" t="n">
        <v>78.32061</v>
      </c>
      <c r="Q696" s="89" t="n"/>
      <c r="R696" s="89" t="n">
        <v>40.05103</v>
      </c>
      <c r="S696" s="89" t="n">
        <v>77.92469</v>
      </c>
      <c r="T696" s="89" t="n">
        <v>78.41911</v>
      </c>
      <c r="U696" s="89" t="n">
        <v>100.8233</v>
      </c>
      <c r="V696" s="89" t="n"/>
      <c r="W696" s="89" t="n">
        <v>6.415769</v>
      </c>
      <c r="X696" s="89" t="n"/>
      <c r="Y696" s="89" t="n"/>
      <c r="Z696" s="89" t="n">
        <v>87.49516</v>
      </c>
      <c r="AA696" s="89" t="n">
        <v>58.80615</v>
      </c>
      <c r="AB696" s="89" t="n"/>
      <c r="AC696" s="89" t="n">
        <v>49.33116</v>
      </c>
      <c r="AD696" s="89" t="n"/>
      <c r="AE696" s="89" t="n"/>
      <c r="AF696" s="89" t="n">
        <v>64.29204</v>
      </c>
      <c r="AG696" s="89" t="n">
        <v>44.84827</v>
      </c>
      <c r="AH696" s="89" t="n">
        <v>47.78882</v>
      </c>
      <c r="AI696" s="89" t="n"/>
      <c r="AJ696" s="89" t="n">
        <v>54.90369</v>
      </c>
      <c r="AK696" s="89" t="n"/>
      <c r="AL696" s="89" t="n"/>
      <c r="AM696" s="89" t="n">
        <v>57.97929</v>
      </c>
      <c r="AN696" s="89" t="n"/>
      <c r="AO696" s="89" t="n">
        <v>44.75763</v>
      </c>
      <c r="AP696" s="89" t="n">
        <v>63.99664</v>
      </c>
      <c r="AQ696" s="89" t="n"/>
      <c r="AR696" s="89" t="n"/>
      <c r="AS696" s="89" t="n"/>
      <c r="AT696" s="89" t="n"/>
      <c r="AU696" s="89" t="n"/>
      <c r="AV696" s="89" t="n"/>
      <c r="AW696" s="89" t="n"/>
      <c r="AX696" s="89" t="n"/>
      <c r="AY696" s="89" t="n">
        <v>54.63533</v>
      </c>
    </row>
    <row r="697">
      <c r="A697" t="inlineStr">
        <is>
          <t>1976-12</t>
        </is>
      </c>
      <c r="B697" s="1" t="n">
        <v>28095</v>
      </c>
      <c r="C697" s="88" t="n">
        <v>697</v>
      </c>
      <c r="E697" s="1">
        <f>B697</f>
        <v/>
      </c>
      <c r="F697" s="2">
        <f>B697</f>
        <v/>
      </c>
      <c r="G697" s="88" t="n">
        <v>695</v>
      </c>
      <c r="H697" s="89" t="n"/>
      <c r="I697" s="89" t="n"/>
      <c r="J697" s="89" t="n">
        <v>49.17077</v>
      </c>
      <c r="K697" s="89" t="n">
        <v>51.68907</v>
      </c>
      <c r="L697" s="89" t="n"/>
      <c r="M697" s="89" t="n"/>
      <c r="N697" s="89" t="n">
        <v>55.9161</v>
      </c>
      <c r="O697" s="89" t="n">
        <v>58.15661</v>
      </c>
      <c r="P697" s="89" t="n">
        <v>76.11002999999999</v>
      </c>
      <c r="Q697" s="89" t="n"/>
      <c r="R697" s="89" t="n">
        <v>41.57196</v>
      </c>
      <c r="S697" s="89" t="n">
        <v>77.68040999999999</v>
      </c>
      <c r="T697" s="89" t="n">
        <v>78.9074</v>
      </c>
      <c r="U697" s="89" t="n">
        <v>99.96048</v>
      </c>
      <c r="V697" s="89" t="n"/>
      <c r="W697" s="89" t="n">
        <v>6.239048</v>
      </c>
      <c r="X697" s="89" t="n"/>
      <c r="Y697" s="89" t="n"/>
      <c r="Z697" s="89" t="n">
        <v>87.88146</v>
      </c>
      <c r="AA697" s="89" t="n">
        <v>59.05854</v>
      </c>
      <c r="AB697" s="89" t="n"/>
      <c r="AC697" s="89" t="n">
        <v>43.98348</v>
      </c>
      <c r="AD697" s="89" t="n"/>
      <c r="AE697" s="89" t="n"/>
      <c r="AF697" s="89" t="n">
        <v>64.88733000000001</v>
      </c>
      <c r="AG697" s="89" t="n">
        <v>45.96948</v>
      </c>
      <c r="AH697" s="89" t="n">
        <v>47.98242</v>
      </c>
      <c r="AI697" s="89" t="n"/>
      <c r="AJ697" s="89" t="n">
        <v>55.03711</v>
      </c>
      <c r="AK697" s="89" t="n"/>
      <c r="AL697" s="89" t="n"/>
      <c r="AM697" s="89" t="n">
        <v>58.55391</v>
      </c>
      <c r="AN697" s="89" t="n"/>
      <c r="AO697" s="89" t="n">
        <v>45.22598</v>
      </c>
      <c r="AP697" s="89" t="n">
        <v>63.99664</v>
      </c>
      <c r="AQ697" s="89" t="n"/>
      <c r="AR697" s="89" t="n"/>
      <c r="AS697" s="89" t="n"/>
      <c r="AT697" s="89" t="n"/>
      <c r="AU697" s="89" t="n"/>
      <c r="AV697" s="89" t="n"/>
      <c r="AW697" s="89" t="n"/>
      <c r="AX697" s="89" t="n"/>
      <c r="AY697" s="89" t="n">
        <v>55.26041</v>
      </c>
    </row>
    <row r="698">
      <c r="A698" t="inlineStr">
        <is>
          <t>1977-01</t>
        </is>
      </c>
      <c r="B698" s="1" t="n">
        <v>28126</v>
      </c>
      <c r="C698" s="88" t="n">
        <v>698</v>
      </c>
      <c r="E698" s="1">
        <f>B698</f>
        <v/>
      </c>
      <c r="F698" s="2">
        <f>B698</f>
        <v/>
      </c>
      <c r="G698" s="88" t="n">
        <v>696</v>
      </c>
      <c r="H698" s="89" t="n"/>
      <c r="I698" s="89" t="n"/>
      <c r="J698" s="89" t="n">
        <v>50.16535</v>
      </c>
      <c r="K698" s="89" t="n">
        <v>52.65802</v>
      </c>
      <c r="L698" s="89" t="n"/>
      <c r="M698" s="89" t="n"/>
      <c r="N698" s="89" t="n">
        <v>56.22468</v>
      </c>
      <c r="O698" s="89" t="n">
        <v>60.03263</v>
      </c>
      <c r="P698" s="89" t="n">
        <v>79.16673</v>
      </c>
      <c r="Q698" s="89" t="n"/>
      <c r="R698" s="89" t="n">
        <v>41.57196</v>
      </c>
      <c r="S698" s="89" t="n">
        <v>78.47432000000001</v>
      </c>
      <c r="T698" s="89" t="n">
        <v>80.37226</v>
      </c>
      <c r="U698" s="89" t="n">
        <v>98.68953999999999</v>
      </c>
      <c r="V698" s="89" t="n"/>
      <c r="W698" s="89" t="n">
        <v>6.300516</v>
      </c>
      <c r="X698" s="89" t="n"/>
      <c r="Y698" s="89" t="n"/>
      <c r="Z698" s="89" t="n">
        <v>90.29577999999999</v>
      </c>
      <c r="AA698" s="89" t="n">
        <v>59.56331</v>
      </c>
      <c r="AB698" s="89" t="n"/>
      <c r="AC698" s="89" t="n">
        <v>50.10116</v>
      </c>
      <c r="AD698" s="89" t="n"/>
      <c r="AE698" s="89" t="n"/>
      <c r="AF698" s="89" t="n">
        <v>64.88733000000001</v>
      </c>
      <c r="AG698" s="89" t="n">
        <v>45.96948</v>
      </c>
      <c r="AH698" s="89" t="n">
        <v>48.2661</v>
      </c>
      <c r="AI698" s="89" t="n"/>
      <c r="AJ698" s="89" t="n">
        <v>55.71214</v>
      </c>
      <c r="AK698" s="89" t="n"/>
      <c r="AL698" s="89" t="n"/>
      <c r="AM698" s="89" t="n">
        <v>56.65767</v>
      </c>
      <c r="AN698" s="89" t="n"/>
      <c r="AO698" s="89" t="n">
        <v>44.97836</v>
      </c>
      <c r="AP698" s="89" t="n">
        <v>64.9585</v>
      </c>
      <c r="AQ698" s="89" t="n"/>
      <c r="AR698" s="89" t="n"/>
      <c r="AS698" s="89" t="n"/>
      <c r="AT698" s="89" t="n"/>
      <c r="AU698" s="89" t="n"/>
      <c r="AV698" s="89" t="n"/>
      <c r="AW698" s="89" t="n"/>
      <c r="AX698" s="89" t="n"/>
      <c r="AY698" s="89" t="n">
        <v>54.33595</v>
      </c>
    </row>
    <row r="699">
      <c r="A699" t="inlineStr">
        <is>
          <t>1977-02</t>
        </is>
      </c>
      <c r="B699" s="1" t="n">
        <v>28157</v>
      </c>
      <c r="C699" s="88" t="n">
        <v>699</v>
      </c>
      <c r="E699" s="1">
        <f>B699</f>
        <v/>
      </c>
      <c r="F699" s="2">
        <f>B699</f>
        <v/>
      </c>
      <c r="G699" s="88" t="n">
        <v>697</v>
      </c>
      <c r="H699" s="89" t="n"/>
      <c r="I699" s="89" t="n"/>
      <c r="J699" s="89" t="n">
        <v>50.00245</v>
      </c>
      <c r="K699" s="89" t="n">
        <v>51.97431</v>
      </c>
      <c r="L699" s="89" t="n"/>
      <c r="M699" s="89" t="n"/>
      <c r="N699" s="89" t="n">
        <v>56.03953</v>
      </c>
      <c r="O699" s="89" t="n">
        <v>59.40729</v>
      </c>
      <c r="P699" s="89" t="n">
        <v>80.59934</v>
      </c>
      <c r="Q699" s="89" t="n"/>
      <c r="R699" s="89" t="n">
        <v>42.12963</v>
      </c>
      <c r="S699" s="89" t="n">
        <v>77.61935</v>
      </c>
      <c r="T699" s="89" t="n">
        <v>80.07929</v>
      </c>
      <c r="U699" s="89" t="n">
        <v>97.25999</v>
      </c>
      <c r="V699" s="89" t="n"/>
      <c r="W699" s="89" t="n">
        <v>6.54639</v>
      </c>
      <c r="X699" s="89" t="n"/>
      <c r="Y699" s="89" t="n"/>
      <c r="Z699" s="89" t="n">
        <v>87.49516</v>
      </c>
      <c r="AA699" s="89" t="n">
        <v>58.72202</v>
      </c>
      <c r="AB699" s="89" t="n"/>
      <c r="AC699" s="89" t="n">
        <v>48.06694</v>
      </c>
      <c r="AD699" s="89" t="n"/>
      <c r="AE699" s="89" t="n"/>
      <c r="AF699" s="89" t="n">
        <v>64.29204</v>
      </c>
      <c r="AG699" s="89" t="n">
        <v>45.40887</v>
      </c>
      <c r="AH699" s="89" t="n">
        <v>48.2622</v>
      </c>
      <c r="AI699" s="89" t="n"/>
      <c r="AJ699" s="89" t="n">
        <v>55.80004</v>
      </c>
      <c r="AK699" s="89" t="n"/>
      <c r="AL699" s="89" t="n"/>
      <c r="AM699" s="89" t="n">
        <v>56.94498</v>
      </c>
      <c r="AN699" s="89" t="n"/>
      <c r="AO699" s="89" t="n">
        <v>45.66426</v>
      </c>
      <c r="AP699" s="89" t="n">
        <v>64.37757000000001</v>
      </c>
      <c r="AQ699" s="89" t="n"/>
      <c r="AR699" s="89" t="n"/>
      <c r="AS699" s="89" t="n"/>
      <c r="AT699" s="89" t="n"/>
      <c r="AU699" s="89" t="n"/>
      <c r="AV699" s="89" t="n"/>
      <c r="AW699" s="89" t="n"/>
      <c r="AX699" s="89" t="n"/>
      <c r="AY699" s="89" t="n">
        <v>54.59006</v>
      </c>
    </row>
    <row r="700">
      <c r="A700" t="inlineStr">
        <is>
          <t>1977-03</t>
        </is>
      </c>
      <c r="B700" s="1" t="n">
        <v>28185</v>
      </c>
      <c r="C700" s="88" t="n">
        <v>700</v>
      </c>
      <c r="E700" s="1">
        <f>B700</f>
        <v/>
      </c>
      <c r="F700" s="2">
        <f>B700</f>
        <v/>
      </c>
      <c r="G700" s="88" t="n">
        <v>698</v>
      </c>
      <c r="H700" s="89" t="n"/>
      <c r="I700" s="89" t="n"/>
      <c r="J700" s="89" t="n">
        <v>50.15634</v>
      </c>
      <c r="K700" s="89" t="n">
        <v>52.06124</v>
      </c>
      <c r="L700" s="89" t="n"/>
      <c r="M700" s="89" t="n"/>
      <c r="N700" s="89" t="n">
        <v>56.6567</v>
      </c>
      <c r="O700" s="89" t="n">
        <v>58.15661</v>
      </c>
      <c r="P700" s="89" t="n">
        <v>80.52421</v>
      </c>
      <c r="Q700" s="89" t="n"/>
      <c r="R700" s="89" t="n">
        <v>37.05988</v>
      </c>
      <c r="S700" s="89" t="n">
        <v>78.1079</v>
      </c>
      <c r="T700" s="89" t="n">
        <v>80.17695000000001</v>
      </c>
      <c r="U700" s="89" t="n">
        <v>94.37976</v>
      </c>
      <c r="V700" s="89" t="n"/>
      <c r="W700" s="89" t="n">
        <v>6.43882</v>
      </c>
      <c r="X700" s="89" t="n"/>
      <c r="Y700" s="89" t="n"/>
      <c r="Z700" s="89" t="n">
        <v>83.82539</v>
      </c>
      <c r="AA700" s="89" t="n">
        <v>59.56331</v>
      </c>
      <c r="AB700" s="89" t="n"/>
      <c r="AC700" s="89" t="n">
        <v>49.25571</v>
      </c>
      <c r="AD700" s="89" t="n"/>
      <c r="AE700" s="89" t="n"/>
      <c r="AF700" s="89" t="n">
        <v>63.69674</v>
      </c>
      <c r="AG700" s="89" t="n">
        <v>45.96948</v>
      </c>
      <c r="AH700" s="89" t="n">
        <v>48.47206</v>
      </c>
      <c r="AI700" s="89" t="n"/>
      <c r="AJ700" s="89" t="n">
        <v>55.56164</v>
      </c>
      <c r="AK700" s="89" t="n"/>
      <c r="AL700" s="89" t="n"/>
      <c r="AM700" s="89" t="n">
        <v>56.31289</v>
      </c>
      <c r="AN700" s="89" t="n"/>
      <c r="AO700" s="89" t="n">
        <v>46.23029</v>
      </c>
      <c r="AP700" s="89" t="n">
        <v>64.09187</v>
      </c>
      <c r="AQ700" s="89" t="n"/>
      <c r="AR700" s="89" t="n"/>
      <c r="AS700" s="89" t="n"/>
      <c r="AT700" s="89" t="n"/>
      <c r="AU700" s="89" t="n"/>
      <c r="AV700" s="89" t="n"/>
      <c r="AW700" s="89" t="n"/>
      <c r="AX700" s="89" t="n"/>
      <c r="AY700" s="89" t="n">
        <v>55.93583</v>
      </c>
    </row>
    <row r="701">
      <c r="A701" t="inlineStr">
        <is>
          <t>1977-04</t>
        </is>
      </c>
      <c r="B701" s="1" t="n">
        <v>28216</v>
      </c>
      <c r="C701" s="88" t="n">
        <v>701</v>
      </c>
      <c r="E701" s="1">
        <f>B701</f>
        <v/>
      </c>
      <c r="F701" s="2">
        <f>B701</f>
        <v/>
      </c>
      <c r="G701" s="88" t="n">
        <v>699</v>
      </c>
      <c r="H701" s="89" t="n"/>
      <c r="I701" s="89" t="n"/>
      <c r="J701" s="89" t="n">
        <v>49.54245</v>
      </c>
      <c r="K701" s="89" t="n">
        <v>51.69283</v>
      </c>
      <c r="L701" s="89" t="n"/>
      <c r="M701" s="89" t="n"/>
      <c r="N701" s="89" t="n">
        <v>56.03953</v>
      </c>
      <c r="O701" s="89" t="n">
        <v>55.02991</v>
      </c>
      <c r="P701" s="89" t="n">
        <v>80.78830000000001</v>
      </c>
      <c r="Q701" s="89" t="n"/>
      <c r="R701" s="89" t="n">
        <v>37.66825</v>
      </c>
      <c r="S701" s="89" t="n">
        <v>76.09260999999999</v>
      </c>
      <c r="T701" s="89" t="n">
        <v>79.39569</v>
      </c>
      <c r="U701" s="89" t="n">
        <v>94.51394999999999</v>
      </c>
      <c r="V701" s="89" t="n"/>
      <c r="W701" s="89" t="n">
        <v>6.492605</v>
      </c>
      <c r="X701" s="89" t="n"/>
      <c r="Y701" s="89" t="n"/>
      <c r="Z701" s="89" t="n">
        <v>87.97803</v>
      </c>
      <c r="AA701" s="89" t="n">
        <v>59.2268</v>
      </c>
      <c r="AB701" s="89" t="n"/>
      <c r="AC701" s="89" t="n">
        <v>49.33324</v>
      </c>
      <c r="AD701" s="89" t="n"/>
      <c r="AE701" s="89" t="n"/>
      <c r="AF701" s="89" t="n">
        <v>64.88733000000001</v>
      </c>
      <c r="AG701" s="89" t="n">
        <v>43.72706</v>
      </c>
      <c r="AH701" s="89" t="n">
        <v>48.59325</v>
      </c>
      <c r="AI701" s="89" t="n"/>
      <c r="AJ701" s="89" t="n">
        <v>56.74598</v>
      </c>
      <c r="AK701" s="89" t="n"/>
      <c r="AL701" s="89" t="n"/>
      <c r="AM701" s="89" t="n">
        <v>55.91066</v>
      </c>
      <c r="AN701" s="89" t="n"/>
      <c r="AO701" s="89" t="n">
        <v>46.6652</v>
      </c>
      <c r="AP701" s="89" t="n">
        <v>64.09187</v>
      </c>
      <c r="AQ701" s="89" t="n"/>
      <c r="AR701" s="89" t="n"/>
      <c r="AS701" s="89" t="n"/>
      <c r="AT701" s="89" t="n"/>
      <c r="AU701" s="89" t="n"/>
      <c r="AV701" s="89" t="n"/>
      <c r="AW701" s="89" t="n"/>
      <c r="AX701" s="89" t="n"/>
      <c r="AY701" s="89" t="n">
        <v>55.33654</v>
      </c>
    </row>
    <row r="702">
      <c r="A702" t="inlineStr">
        <is>
          <t>1977-05</t>
        </is>
      </c>
      <c r="B702" s="1" t="n">
        <v>28246</v>
      </c>
      <c r="C702" s="88" t="n">
        <v>702</v>
      </c>
      <c r="E702" s="1">
        <f>B702</f>
        <v/>
      </c>
      <c r="F702" s="2">
        <f>B702</f>
        <v/>
      </c>
      <c r="G702" s="88" t="n">
        <v>700</v>
      </c>
      <c r="H702" s="89" t="n"/>
      <c r="I702" s="89" t="n"/>
      <c r="J702" s="89" t="n">
        <v>49.55741</v>
      </c>
      <c r="K702" s="89" t="n">
        <v>52.31029</v>
      </c>
      <c r="L702" s="89" t="n"/>
      <c r="M702" s="89" t="n"/>
      <c r="N702" s="89" t="n">
        <v>55.54579</v>
      </c>
      <c r="O702" s="89" t="n">
        <v>56.28059</v>
      </c>
      <c r="P702" s="89" t="n">
        <v>79.53975</v>
      </c>
      <c r="Q702" s="89" t="n"/>
      <c r="R702" s="89" t="n">
        <v>39.79755</v>
      </c>
      <c r="S702" s="89" t="n">
        <v>75.42085</v>
      </c>
      <c r="T702" s="89" t="n">
        <v>81.54416000000001</v>
      </c>
      <c r="U702" s="89" t="n">
        <v>95.74693000000001</v>
      </c>
      <c r="V702" s="89" t="n"/>
      <c r="W702" s="89" t="n">
        <v>6.592492</v>
      </c>
      <c r="X702" s="89" t="n"/>
      <c r="Y702" s="89" t="n"/>
      <c r="Z702" s="89" t="n">
        <v>84.5014</v>
      </c>
      <c r="AA702" s="89" t="n">
        <v>58.97441</v>
      </c>
      <c r="AB702" s="89" t="n"/>
      <c r="AC702" s="89" t="n">
        <v>51.36145</v>
      </c>
      <c r="AD702" s="89" t="n"/>
      <c r="AE702" s="89" t="n"/>
      <c r="AF702" s="89" t="n">
        <v>63.69674</v>
      </c>
      <c r="AG702" s="89" t="n">
        <v>41.48465</v>
      </c>
      <c r="AH702" s="89" t="n">
        <v>48.57008</v>
      </c>
      <c r="AI702" s="89" t="n"/>
      <c r="AJ702" s="89" t="n">
        <v>57.00194</v>
      </c>
      <c r="AK702" s="89" t="n"/>
      <c r="AL702" s="89" t="n"/>
      <c r="AM702" s="89" t="n">
        <v>55.68081</v>
      </c>
      <c r="AN702" s="89" t="n"/>
      <c r="AO702" s="89" t="n">
        <v>47.0545</v>
      </c>
      <c r="AP702" s="89" t="n">
        <v>63.60618</v>
      </c>
      <c r="AQ702" s="89" t="n"/>
      <c r="AR702" s="89" t="n"/>
      <c r="AS702" s="89" t="n"/>
      <c r="AT702" s="89" t="n"/>
      <c r="AU702" s="89" t="n"/>
      <c r="AV702" s="89" t="n"/>
      <c r="AW702" s="89" t="n"/>
      <c r="AX702" s="89" t="n"/>
      <c r="AY702" s="89" t="n">
        <v>57.26403</v>
      </c>
    </row>
    <row r="703">
      <c r="A703" t="inlineStr">
        <is>
          <t>1977-06</t>
        </is>
      </c>
      <c r="B703" s="1" t="n">
        <v>28277</v>
      </c>
      <c r="C703" s="88" t="n">
        <v>703</v>
      </c>
      <c r="E703" s="1">
        <f>B703</f>
        <v/>
      </c>
      <c r="F703" s="2">
        <f>B703</f>
        <v/>
      </c>
      <c r="G703" s="88" t="n">
        <v>701</v>
      </c>
      <c r="H703" s="89" t="n"/>
      <c r="I703" s="89" t="n"/>
      <c r="J703" s="89" t="n">
        <v>49.36541</v>
      </c>
      <c r="K703" s="89" t="n">
        <v>52.84364</v>
      </c>
      <c r="L703" s="89" t="n"/>
      <c r="M703" s="89" t="n"/>
      <c r="N703" s="89" t="n">
        <v>56.53327</v>
      </c>
      <c r="O703" s="89" t="n">
        <v>58.15661</v>
      </c>
      <c r="P703" s="89" t="n">
        <v>78.50157</v>
      </c>
      <c r="Q703" s="89" t="n"/>
      <c r="R703" s="89" t="n">
        <v>41.31847</v>
      </c>
      <c r="S703" s="89" t="n">
        <v>78.23004</v>
      </c>
      <c r="T703" s="89" t="n">
        <v>78.22378999999999</v>
      </c>
      <c r="U703" s="89" t="n">
        <v>98.4435</v>
      </c>
      <c r="V703" s="89" t="n"/>
      <c r="W703" s="89" t="n">
        <v>6.738479</v>
      </c>
      <c r="X703" s="89" t="n"/>
      <c r="Y703" s="89" t="n"/>
      <c r="Z703" s="89" t="n">
        <v>80.54191</v>
      </c>
      <c r="AA703" s="89" t="n">
        <v>59.47918</v>
      </c>
      <c r="AB703" s="89" t="n"/>
      <c r="AC703" s="89" t="n">
        <v>50.10806</v>
      </c>
      <c r="AD703" s="89" t="n"/>
      <c r="AE703" s="89" t="n"/>
      <c r="AF703" s="89" t="n">
        <v>64.88733000000001</v>
      </c>
      <c r="AG703" s="89" t="n">
        <v>45.40887</v>
      </c>
      <c r="AH703" s="89" t="n">
        <v>48.72004</v>
      </c>
      <c r="AI703" s="89" t="n"/>
      <c r="AJ703" s="89" t="n">
        <v>58.23325</v>
      </c>
      <c r="AK703" s="89" t="n"/>
      <c r="AL703" s="89" t="n"/>
      <c r="AM703" s="89" t="n">
        <v>55.22111</v>
      </c>
      <c r="AN703" s="89" t="n"/>
      <c r="AO703" s="89" t="n">
        <v>47.39423</v>
      </c>
      <c r="AP703" s="89" t="n">
        <v>63.32048</v>
      </c>
      <c r="AQ703" s="89" t="n"/>
      <c r="AR703" s="89" t="n"/>
      <c r="AS703" s="89" t="n"/>
      <c r="AT703" s="89" t="n"/>
      <c r="AU703" s="89" t="n"/>
      <c r="AV703" s="89" t="n"/>
      <c r="AW703" s="89" t="n"/>
      <c r="AX703" s="89" t="n"/>
      <c r="AY703" s="89" t="n">
        <v>55.84837</v>
      </c>
    </row>
    <row r="704">
      <c r="A704" t="inlineStr">
        <is>
          <t>1977-07</t>
        </is>
      </c>
      <c r="B704" s="1" t="n">
        <v>28307</v>
      </c>
      <c r="C704" s="88" t="n">
        <v>704</v>
      </c>
      <c r="E704" s="1">
        <f>B704</f>
        <v/>
      </c>
      <c r="F704" s="2">
        <f>B704</f>
        <v/>
      </c>
      <c r="G704" s="88" t="n">
        <v>702</v>
      </c>
      <c r="H704" s="89" t="n"/>
      <c r="I704" s="89" t="n"/>
      <c r="J704" s="89" t="n">
        <v>50.15001</v>
      </c>
      <c r="K704" s="89" t="n">
        <v>52.54196</v>
      </c>
      <c r="L704" s="89" t="n"/>
      <c r="M704" s="89" t="n"/>
      <c r="N704" s="89" t="n">
        <v>54.12629</v>
      </c>
      <c r="O704" s="89" t="n">
        <v>57.53127</v>
      </c>
      <c r="P704" s="89" t="n">
        <v>79.61914</v>
      </c>
      <c r="Q704" s="89" t="n"/>
      <c r="R704" s="89" t="n">
        <v>38.6315</v>
      </c>
      <c r="S704" s="89" t="n">
        <v>76.03154000000001</v>
      </c>
      <c r="T704" s="89" t="n">
        <v>78.61443</v>
      </c>
      <c r="U704" s="89" t="n">
        <v>100.2752</v>
      </c>
      <c r="V704" s="89" t="n"/>
      <c r="W704" s="89" t="n">
        <v>6.638593</v>
      </c>
      <c r="X704" s="89" t="n"/>
      <c r="Y704" s="89" t="n"/>
      <c r="Z704" s="89" t="n">
        <v>83.4391</v>
      </c>
      <c r="AA704" s="89" t="n">
        <v>58.30138</v>
      </c>
      <c r="AB704" s="89" t="n"/>
      <c r="AC704" s="89" t="n">
        <v>49.46687</v>
      </c>
      <c r="AD704" s="89" t="n"/>
      <c r="AE704" s="89" t="n"/>
      <c r="AF704" s="89" t="n">
        <v>64.88733000000001</v>
      </c>
      <c r="AG704" s="89" t="n">
        <v>42.60586</v>
      </c>
      <c r="AH704" s="89" t="n">
        <v>48.41343</v>
      </c>
      <c r="AI704" s="89" t="n"/>
      <c r="AJ704" s="89" t="n">
        <v>57.58564</v>
      </c>
      <c r="AK704" s="89" t="n"/>
      <c r="AL704" s="89" t="n"/>
      <c r="AM704" s="89" t="n">
        <v>55.45096</v>
      </c>
      <c r="AN704" s="89" t="n"/>
      <c r="AO704" s="89" t="n">
        <v>47.4607</v>
      </c>
      <c r="AP704" s="89" t="n">
        <v>62.74908</v>
      </c>
      <c r="AQ704" s="89" t="n"/>
      <c r="AR704" s="89" t="n"/>
      <c r="AS704" s="89" t="n"/>
      <c r="AT704" s="89" t="n"/>
      <c r="AU704" s="89" t="n"/>
      <c r="AV704" s="89" t="n"/>
      <c r="AW704" s="89" t="n"/>
      <c r="AX704" s="89" t="n"/>
      <c r="AY704" s="89" t="n">
        <v>56.00558</v>
      </c>
    </row>
    <row r="705">
      <c r="A705" t="inlineStr">
        <is>
          <t>1977-08</t>
        </is>
      </c>
      <c r="B705" s="1" t="n">
        <v>28338</v>
      </c>
      <c r="C705" s="88" t="n">
        <v>705</v>
      </c>
      <c r="E705" s="1">
        <f>B705</f>
        <v/>
      </c>
      <c r="F705" s="2">
        <f>B705</f>
        <v/>
      </c>
      <c r="G705" s="88" t="n">
        <v>703</v>
      </c>
      <c r="H705" s="89" t="n"/>
      <c r="I705" s="89" t="n"/>
      <c r="J705" s="89" t="n">
        <v>50.71523</v>
      </c>
      <c r="K705" s="89" t="n">
        <v>52.6881</v>
      </c>
      <c r="L705" s="89" t="n"/>
      <c r="M705" s="89" t="n"/>
      <c r="N705" s="89" t="n">
        <v>56.47155</v>
      </c>
      <c r="O705" s="89" t="n">
        <v>61.28331</v>
      </c>
      <c r="P705" s="89" t="n">
        <v>80.31197</v>
      </c>
      <c r="Q705" s="89" t="n"/>
      <c r="R705" s="89" t="n">
        <v>40.6594</v>
      </c>
      <c r="S705" s="89" t="n">
        <v>76.03154000000001</v>
      </c>
      <c r="T705" s="89" t="n">
        <v>79.39569</v>
      </c>
      <c r="U705" s="89" t="n">
        <v>99.17814</v>
      </c>
      <c r="V705" s="89" t="n"/>
      <c r="W705" s="89" t="n">
        <v>6.746162</v>
      </c>
      <c r="X705" s="89" t="n"/>
      <c r="Y705" s="89" t="n"/>
      <c r="Z705" s="89" t="n">
        <v>82.56994</v>
      </c>
      <c r="AA705" s="89" t="n">
        <v>59.56331</v>
      </c>
      <c r="AB705" s="89" t="n"/>
      <c r="AC705" s="89" t="n">
        <v>45.61328</v>
      </c>
      <c r="AD705" s="89" t="n"/>
      <c r="AE705" s="89" t="n"/>
      <c r="AF705" s="89" t="n">
        <v>63.69674</v>
      </c>
      <c r="AG705" s="89" t="n">
        <v>44.84827</v>
      </c>
      <c r="AH705" s="89" t="n">
        <v>48.83831</v>
      </c>
      <c r="AI705" s="89" t="n"/>
      <c r="AJ705" s="89" t="n">
        <v>58.15233</v>
      </c>
      <c r="AK705" s="89" t="n"/>
      <c r="AL705" s="89" t="n"/>
      <c r="AM705" s="89" t="n">
        <v>54.53157</v>
      </c>
      <c r="AN705" s="89" t="n"/>
      <c r="AO705" s="89" t="n">
        <v>47.47405</v>
      </c>
      <c r="AP705" s="89" t="n">
        <v>63.60618</v>
      </c>
      <c r="AQ705" s="89" t="n"/>
      <c r="AR705" s="89" t="n"/>
      <c r="AS705" s="89" t="n"/>
      <c r="AT705" s="89" t="n"/>
      <c r="AU705" s="89" t="n"/>
      <c r="AV705" s="89" t="n"/>
      <c r="AW705" s="89" t="n"/>
      <c r="AX705" s="89" t="n"/>
      <c r="AY705" s="89" t="n">
        <v>55.55684</v>
      </c>
    </row>
    <row r="706">
      <c r="A706" t="inlineStr">
        <is>
          <t>1977-09</t>
        </is>
      </c>
      <c r="B706" s="1" t="n">
        <v>28369</v>
      </c>
      <c r="C706" s="88" t="n">
        <v>706</v>
      </c>
      <c r="E706" s="1">
        <f>B706</f>
        <v/>
      </c>
      <c r="F706" s="2">
        <f>B706</f>
        <v/>
      </c>
      <c r="G706" s="88" t="n">
        <v>704</v>
      </c>
      <c r="H706" s="89" t="n"/>
      <c r="I706" s="89" t="n"/>
      <c r="J706" s="89" t="n">
        <v>48.97172</v>
      </c>
      <c r="K706" s="89" t="n">
        <v>52.46019</v>
      </c>
      <c r="L706" s="89" t="n"/>
      <c r="M706" s="89" t="n"/>
      <c r="N706" s="89" t="n">
        <v>56.59499</v>
      </c>
      <c r="O706" s="89" t="n">
        <v>60.03263</v>
      </c>
      <c r="P706" s="89" t="n">
        <v>80.02682</v>
      </c>
      <c r="Q706" s="89" t="n"/>
      <c r="R706" s="89" t="n">
        <v>41.97754</v>
      </c>
      <c r="S706" s="89" t="n">
        <v>76.45902</v>
      </c>
      <c r="T706" s="89" t="n">
        <v>79.68866</v>
      </c>
      <c r="U706" s="89" t="n">
        <v>101.4324</v>
      </c>
      <c r="V706" s="89" t="n"/>
      <c r="W706" s="89" t="n">
        <v>6.784581</v>
      </c>
      <c r="X706" s="89" t="n"/>
      <c r="Y706" s="89" t="n"/>
      <c r="Z706" s="89" t="n">
        <v>82.37679</v>
      </c>
      <c r="AA706" s="89" t="n">
        <v>59.56331</v>
      </c>
      <c r="AB706" s="89" t="n"/>
      <c r="AC706" s="89" t="n">
        <v>48.91133</v>
      </c>
      <c r="AD706" s="89" t="n"/>
      <c r="AE706" s="89" t="n"/>
      <c r="AF706" s="89" t="n">
        <v>64.29204</v>
      </c>
      <c r="AG706" s="89" t="n">
        <v>45.40887</v>
      </c>
      <c r="AH706" s="89" t="n">
        <v>48.95772</v>
      </c>
      <c r="AI706" s="89" t="n"/>
      <c r="AJ706" s="89" t="n">
        <v>61.35731</v>
      </c>
      <c r="AK706" s="89" t="n"/>
      <c r="AL706" s="89" t="n"/>
      <c r="AM706" s="89" t="n">
        <v>54.87634</v>
      </c>
      <c r="AN706" s="89" t="n"/>
      <c r="AO706" s="89" t="n">
        <v>47.70265</v>
      </c>
      <c r="AP706" s="89" t="n">
        <v>63.71094</v>
      </c>
      <c r="AQ706" s="89" t="n"/>
      <c r="AR706" s="89" t="n"/>
      <c r="AS706" s="89" t="n"/>
      <c r="AT706" s="89" t="n"/>
      <c r="AU706" s="89" t="n"/>
      <c r="AV706" s="89" t="n"/>
      <c r="AW706" s="89" t="n"/>
      <c r="AX706" s="89" t="n"/>
      <c r="AY706" s="89" t="n">
        <v>55.39902</v>
      </c>
    </row>
    <row r="707">
      <c r="A707" t="inlineStr">
        <is>
          <t>1977-10</t>
        </is>
      </c>
      <c r="B707" s="1" t="n">
        <v>28399</v>
      </c>
      <c r="C707" s="88" t="n">
        <v>707</v>
      </c>
      <c r="E707" s="1">
        <f>B707</f>
        <v/>
      </c>
      <c r="F707" s="2">
        <f>B707</f>
        <v/>
      </c>
      <c r="G707" s="88" t="n">
        <v>705</v>
      </c>
      <c r="H707" s="89" t="n"/>
      <c r="I707" s="89" t="n"/>
      <c r="J707" s="89" t="n">
        <v>49.42338</v>
      </c>
      <c r="K707" s="89" t="n">
        <v>52.81826</v>
      </c>
      <c r="L707" s="89" t="n"/>
      <c r="M707" s="89" t="n"/>
      <c r="N707" s="89" t="n">
        <v>56.34812</v>
      </c>
      <c r="O707" s="89" t="n">
        <v>58.15661</v>
      </c>
      <c r="P707" s="89" t="n">
        <v>80.28156</v>
      </c>
      <c r="Q707" s="89" t="n"/>
      <c r="R707" s="89" t="n">
        <v>41.77475</v>
      </c>
      <c r="S707" s="89" t="n">
        <v>75.54298</v>
      </c>
      <c r="T707" s="89" t="n">
        <v>79.39569</v>
      </c>
      <c r="U707" s="89" t="n">
        <v>101.9518</v>
      </c>
      <c r="V707" s="89" t="n"/>
      <c r="W707" s="89" t="n">
        <v>6.961302</v>
      </c>
      <c r="X707" s="89" t="n"/>
      <c r="Y707" s="89" t="n"/>
      <c r="Z707" s="89" t="n">
        <v>83.4391</v>
      </c>
      <c r="AA707" s="89" t="n">
        <v>59.05854</v>
      </c>
      <c r="AB707" s="89" t="n"/>
      <c r="AC707" s="89" t="n">
        <v>50.34667</v>
      </c>
      <c r="AD707" s="89" t="n"/>
      <c r="AE707" s="89" t="n"/>
      <c r="AF707" s="89" t="n">
        <v>63.69674</v>
      </c>
      <c r="AG707" s="89" t="n">
        <v>47.09068</v>
      </c>
      <c r="AH707" s="89" t="n">
        <v>48.92039</v>
      </c>
      <c r="AI707" s="89" t="n"/>
      <c r="AJ707" s="89" t="n">
        <v>59.96997</v>
      </c>
      <c r="AK707" s="89" t="n"/>
      <c r="AL707" s="89" t="n"/>
      <c r="AM707" s="89" t="n">
        <v>54.01441</v>
      </c>
      <c r="AN707" s="89" t="n"/>
      <c r="AO707" s="89" t="n">
        <v>47.79419</v>
      </c>
      <c r="AP707" s="89" t="n">
        <v>63.60618</v>
      </c>
      <c r="AQ707" s="89" t="n"/>
      <c r="AR707" s="89" t="n"/>
      <c r="AS707" s="89" t="n"/>
      <c r="AT707" s="89" t="n"/>
      <c r="AU707" s="89" t="n"/>
      <c r="AV707" s="89" t="n"/>
      <c r="AW707" s="89" t="n"/>
      <c r="AX707" s="89" t="n"/>
      <c r="AY707" s="89" t="n">
        <v>55.69178</v>
      </c>
    </row>
    <row r="708">
      <c r="A708" t="inlineStr">
        <is>
          <t>1977-11</t>
        </is>
      </c>
      <c r="B708" s="1" t="n">
        <v>28430</v>
      </c>
      <c r="C708" s="88" t="n">
        <v>708</v>
      </c>
      <c r="E708" s="1">
        <f>B708</f>
        <v/>
      </c>
      <c r="F708" s="2">
        <f>B708</f>
        <v/>
      </c>
      <c r="G708" s="88" t="n">
        <v>706</v>
      </c>
      <c r="H708" s="89" t="n"/>
      <c r="I708" s="89" t="n"/>
      <c r="J708" s="89" t="n">
        <v>50.16089</v>
      </c>
      <c r="K708" s="89" t="n">
        <v>52.97662</v>
      </c>
      <c r="L708" s="89" t="n"/>
      <c r="M708" s="89" t="n"/>
      <c r="N708" s="89" t="n">
        <v>56.40984</v>
      </c>
      <c r="O708" s="89" t="n">
        <v>57.53127</v>
      </c>
      <c r="P708" s="89" t="n">
        <v>78.17977999999999</v>
      </c>
      <c r="Q708" s="89" t="n"/>
      <c r="R708" s="89" t="n">
        <v>41.36917</v>
      </c>
      <c r="S708" s="89" t="n">
        <v>76.88651</v>
      </c>
      <c r="T708" s="89" t="n">
        <v>78.80974999999999</v>
      </c>
      <c r="U708" s="89" t="n">
        <v>99.66315</v>
      </c>
      <c r="V708" s="89" t="n"/>
      <c r="W708" s="89" t="n">
        <v>6.930567</v>
      </c>
      <c r="X708" s="89" t="n"/>
      <c r="Y708" s="89" t="n"/>
      <c r="Z708" s="89" t="n">
        <v>80.63848</v>
      </c>
      <c r="AA708" s="89" t="n">
        <v>60.23634</v>
      </c>
      <c r="AB708" s="89" t="n"/>
      <c r="AC708" s="89" t="n">
        <v>49.97197</v>
      </c>
      <c r="AD708" s="89" t="n"/>
      <c r="AE708" s="89" t="n"/>
      <c r="AF708" s="89" t="n">
        <v>63.10144</v>
      </c>
      <c r="AG708" s="89" t="n">
        <v>47.65129</v>
      </c>
      <c r="AH708" s="89" t="n">
        <v>48.92567</v>
      </c>
      <c r="AI708" s="89" t="n"/>
      <c r="AJ708" s="89" t="n">
        <v>60.33053</v>
      </c>
      <c r="AK708" s="89" t="n"/>
      <c r="AL708" s="89" t="n"/>
      <c r="AM708" s="89" t="n">
        <v>53.09501</v>
      </c>
      <c r="AN708" s="89" t="n"/>
      <c r="AO708" s="89" t="n">
        <v>47.84461</v>
      </c>
      <c r="AP708" s="89" t="n">
        <v>63.13002</v>
      </c>
      <c r="AQ708" s="89" t="n"/>
      <c r="AR708" s="89" t="n"/>
      <c r="AS708" s="89" t="n"/>
      <c r="AT708" s="89" t="n"/>
      <c r="AU708" s="89" t="n"/>
      <c r="AV708" s="89" t="n"/>
      <c r="AW708" s="89" t="n"/>
      <c r="AX708" s="89" t="n"/>
      <c r="AY708" s="89" t="n">
        <v>56.35696</v>
      </c>
    </row>
    <row r="709">
      <c r="A709" t="inlineStr">
        <is>
          <t>1977-12</t>
        </is>
      </c>
      <c r="B709" s="1" t="n">
        <v>28460</v>
      </c>
      <c r="C709" s="88" t="n">
        <v>709</v>
      </c>
      <c r="E709" s="1">
        <f>B709</f>
        <v/>
      </c>
      <c r="F709" s="2">
        <f>B709</f>
        <v/>
      </c>
      <c r="G709" s="88" t="n">
        <v>707</v>
      </c>
      <c r="H709" s="89" t="n"/>
      <c r="I709" s="89" t="n"/>
      <c r="J709" s="89" t="n">
        <v>49.45784</v>
      </c>
      <c r="K709" s="89" t="n">
        <v>53.11149</v>
      </c>
      <c r="L709" s="89" t="n"/>
      <c r="M709" s="89" t="n"/>
      <c r="N709" s="89" t="n">
        <v>57.52075</v>
      </c>
      <c r="O709" s="89" t="n">
        <v>59.40729</v>
      </c>
      <c r="P709" s="89" t="n">
        <v>80.98139999999999</v>
      </c>
      <c r="Q709" s="89" t="n"/>
      <c r="R709" s="89" t="n">
        <v>40.45661</v>
      </c>
      <c r="S709" s="89" t="n">
        <v>74.81014999999999</v>
      </c>
      <c r="T709" s="89" t="n">
        <v>80.17695000000001</v>
      </c>
      <c r="U709" s="89" t="n">
        <v>102.2348</v>
      </c>
      <c r="V709" s="89" t="n"/>
      <c r="W709" s="89" t="n">
        <v>7.176442</v>
      </c>
      <c r="X709" s="89" t="n"/>
      <c r="Y709" s="89" t="n"/>
      <c r="Z709" s="89" t="n">
        <v>82.95623000000001</v>
      </c>
      <c r="AA709" s="89" t="n">
        <v>60.65699</v>
      </c>
      <c r="AB709" s="89" t="n"/>
      <c r="AC709" s="89" t="n">
        <v>49.62537</v>
      </c>
      <c r="AD709" s="89" t="n"/>
      <c r="AE709" s="89" t="n"/>
      <c r="AF709" s="89" t="n">
        <v>64.88733000000001</v>
      </c>
      <c r="AG709" s="89" t="n">
        <v>48.7725</v>
      </c>
      <c r="AH709" s="89" t="n">
        <v>49.28629</v>
      </c>
      <c r="AI709" s="89" t="n"/>
      <c r="AJ709" s="89" t="n">
        <v>60.55969</v>
      </c>
      <c r="AK709" s="89" t="n"/>
      <c r="AL709" s="89" t="n"/>
      <c r="AM709" s="89" t="n">
        <v>53.15247</v>
      </c>
      <c r="AN709" s="89" t="n"/>
      <c r="AO709" s="89" t="n">
        <v>47.92453</v>
      </c>
      <c r="AP709" s="89" t="n">
        <v>63.99664</v>
      </c>
      <c r="AQ709" s="89" t="n"/>
      <c r="AR709" s="89" t="n"/>
      <c r="AS709" s="89" t="n"/>
      <c r="AT709" s="89" t="n"/>
      <c r="AU709" s="89" t="n"/>
      <c r="AV709" s="89" t="n"/>
      <c r="AW709" s="89" t="n"/>
      <c r="AX709" s="89" t="n"/>
      <c r="AY709" s="89" t="n">
        <v>56.75259</v>
      </c>
    </row>
    <row r="710">
      <c r="A710" t="inlineStr">
        <is>
          <t>1978-01</t>
        </is>
      </c>
      <c r="B710" s="1" t="n">
        <v>28491</v>
      </c>
      <c r="C710" s="88" t="n">
        <v>710</v>
      </c>
      <c r="E710" s="1">
        <f>B710</f>
        <v/>
      </c>
      <c r="F710" s="2">
        <f>B710</f>
        <v/>
      </c>
      <c r="G710" s="88" t="n">
        <v>708</v>
      </c>
      <c r="H710" s="89" t="n"/>
      <c r="I710" s="89" t="n"/>
      <c r="J710" s="89" t="n">
        <v>49.20936</v>
      </c>
      <c r="K710" s="89" t="n">
        <v>53.21158</v>
      </c>
      <c r="L710" s="89" t="n"/>
      <c r="M710" s="89" t="n"/>
      <c r="N710" s="89" t="n">
        <v>57.7059</v>
      </c>
      <c r="O710" s="89" t="n">
        <v>61.28331</v>
      </c>
      <c r="P710" s="89" t="n">
        <v>81.80885000000001</v>
      </c>
      <c r="Q710" s="89" t="n"/>
      <c r="R710" s="89" t="n">
        <v>41.36917</v>
      </c>
      <c r="S710" s="89" t="n">
        <v>76.58116</v>
      </c>
      <c r="T710" s="89" t="n">
        <v>80.17695000000001</v>
      </c>
      <c r="U710" s="89" t="n">
        <v>97.95623000000001</v>
      </c>
      <c r="V710" s="89" t="n"/>
      <c r="W710" s="89" t="n">
        <v>7.145707</v>
      </c>
      <c r="X710" s="89" t="n"/>
      <c r="Y710" s="89" t="n"/>
      <c r="Z710" s="89" t="n">
        <v>82.18365</v>
      </c>
      <c r="AA710" s="89" t="n">
        <v>61.24589</v>
      </c>
      <c r="AB710" s="89" t="n"/>
      <c r="AC710" s="89" t="n">
        <v>52.40272</v>
      </c>
      <c r="AD710" s="89" t="n"/>
      <c r="AE710" s="89" t="n"/>
      <c r="AF710" s="89" t="n">
        <v>64.88733000000001</v>
      </c>
      <c r="AG710" s="89" t="n">
        <v>48.7725</v>
      </c>
      <c r="AH710" s="89" t="n">
        <v>49.21147</v>
      </c>
      <c r="AI710" s="89" t="n"/>
      <c r="AJ710" s="89" t="n">
        <v>61.97639</v>
      </c>
      <c r="AK710" s="89" t="n"/>
      <c r="AL710" s="89" t="n"/>
      <c r="AM710" s="89" t="n">
        <v>54.81887</v>
      </c>
      <c r="AN710" s="89" t="n"/>
      <c r="AO710" s="89" t="n">
        <v>47.26341</v>
      </c>
      <c r="AP710" s="89" t="n">
        <v>64.28234</v>
      </c>
      <c r="AQ710" s="89" t="n"/>
      <c r="AR710" s="89" t="n"/>
      <c r="AS710" s="89" t="n"/>
      <c r="AT710" s="89" t="n"/>
      <c r="AU710" s="89" t="n"/>
      <c r="AV710" s="89" t="n"/>
      <c r="AW710" s="89" t="n"/>
      <c r="AX710" s="89" t="n"/>
      <c r="AY710" s="89" t="n">
        <v>57.22014</v>
      </c>
    </row>
    <row r="711">
      <c r="A711" t="inlineStr">
        <is>
          <t>1978-02</t>
        </is>
      </c>
      <c r="B711" s="1" t="n">
        <v>28522</v>
      </c>
      <c r="C711" s="88" t="n">
        <v>711</v>
      </c>
      <c r="E711" s="1">
        <f>B711</f>
        <v/>
      </c>
      <c r="F711" s="2">
        <f>B711</f>
        <v/>
      </c>
      <c r="G711" s="88" t="n">
        <v>709</v>
      </c>
      <c r="H711" s="89" t="n"/>
      <c r="I711" s="89" t="n"/>
      <c r="J711" s="89" t="n">
        <v>49.19484</v>
      </c>
      <c r="K711" s="89" t="n">
        <v>53.60677</v>
      </c>
      <c r="L711" s="89" t="n"/>
      <c r="M711" s="89" t="n"/>
      <c r="N711" s="89" t="n">
        <v>56.03953</v>
      </c>
      <c r="O711" s="89" t="n">
        <v>57.53127</v>
      </c>
      <c r="P711" s="89" t="n">
        <v>81.5188</v>
      </c>
      <c r="Q711" s="89" t="n"/>
      <c r="R711" s="89" t="n">
        <v>42.28172</v>
      </c>
      <c r="S711" s="89" t="n">
        <v>76.39796</v>
      </c>
      <c r="T711" s="89" t="n">
        <v>80.07929</v>
      </c>
      <c r="U711" s="89" t="n">
        <v>105.396</v>
      </c>
      <c r="V711" s="89" t="n"/>
      <c r="W711" s="89" t="n">
        <v>6.938251</v>
      </c>
      <c r="X711" s="89" t="n"/>
      <c r="Y711" s="89" t="n"/>
      <c r="Z711" s="89" t="n">
        <v>82.28022</v>
      </c>
      <c r="AA711" s="89" t="n">
        <v>60.82524</v>
      </c>
      <c r="AB711" s="89" t="n"/>
      <c r="AC711" s="89" t="n">
        <v>50.21707</v>
      </c>
      <c r="AD711" s="89" t="n"/>
      <c r="AE711" s="89" t="n"/>
      <c r="AF711" s="89" t="n">
        <v>64.88733000000001</v>
      </c>
      <c r="AG711" s="89" t="n">
        <v>48.7725</v>
      </c>
      <c r="AH711" s="89" t="n">
        <v>49.07955</v>
      </c>
      <c r="AI711" s="89" t="n"/>
      <c r="AJ711" s="89" t="n">
        <v>60.54063</v>
      </c>
      <c r="AK711" s="89" t="n"/>
      <c r="AL711" s="89" t="n"/>
      <c r="AM711" s="89" t="n">
        <v>53.95694</v>
      </c>
      <c r="AN711" s="89" t="n"/>
      <c r="AO711" s="89" t="n">
        <v>47.49739</v>
      </c>
      <c r="AP711" s="89" t="n">
        <v>63.71094</v>
      </c>
      <c r="AQ711" s="89" t="n"/>
      <c r="AR711" s="89" t="n"/>
      <c r="AS711" s="89" t="n"/>
      <c r="AT711" s="89" t="n"/>
      <c r="AU711" s="89" t="n"/>
      <c r="AV711" s="89" t="n"/>
      <c r="AW711" s="89" t="n"/>
      <c r="AX711" s="89" t="n"/>
      <c r="AY711" s="89" t="n">
        <v>57.20105</v>
      </c>
    </row>
    <row r="712">
      <c r="A712" t="inlineStr">
        <is>
          <t>1978-03</t>
        </is>
      </c>
      <c r="B712" s="1" t="n">
        <v>28550</v>
      </c>
      <c r="C712" s="88" t="n">
        <v>712</v>
      </c>
      <c r="E712" s="1">
        <f>B712</f>
        <v/>
      </c>
      <c r="F712" s="2">
        <f>B712</f>
        <v/>
      </c>
      <c r="G712" s="88" t="n">
        <v>710</v>
      </c>
      <c r="H712" s="89" t="n"/>
      <c r="I712" s="89" t="n"/>
      <c r="J712" s="89" t="n">
        <v>50.37812</v>
      </c>
      <c r="K712" s="89" t="n">
        <v>53.41223</v>
      </c>
      <c r="L712" s="89" t="n"/>
      <c r="M712" s="89" t="n"/>
      <c r="N712" s="89" t="n">
        <v>54.8669</v>
      </c>
      <c r="O712" s="89" t="n">
        <v>53.15389</v>
      </c>
      <c r="P712" s="89" t="n">
        <v>82.00475</v>
      </c>
      <c r="Q712" s="89" t="n"/>
      <c r="R712" s="89" t="n">
        <v>41.87614</v>
      </c>
      <c r="S712" s="89" t="n">
        <v>77.55826999999999</v>
      </c>
      <c r="T712" s="89" t="n">
        <v>79.20037000000001</v>
      </c>
      <c r="U712" s="89" t="n">
        <v>105.9975</v>
      </c>
      <c r="V712" s="89" t="n"/>
      <c r="W712" s="89" t="n">
        <v>7.114974</v>
      </c>
      <c r="X712" s="89" t="n"/>
      <c r="Y712" s="89" t="n"/>
      <c r="Z712" s="89" t="n">
        <v>81.02477</v>
      </c>
      <c r="AA712" s="89" t="n">
        <v>62.17131</v>
      </c>
      <c r="AB712" s="89" t="n"/>
      <c r="AC712" s="89" t="n">
        <v>49.65854</v>
      </c>
      <c r="AD712" s="89" t="n"/>
      <c r="AE712" s="89" t="n"/>
      <c r="AF712" s="89" t="n">
        <v>64.29204</v>
      </c>
      <c r="AG712" s="89" t="n">
        <v>49.3331</v>
      </c>
      <c r="AH712" s="89" t="n">
        <v>49.40913</v>
      </c>
      <c r="AI712" s="89" t="n"/>
      <c r="AJ712" s="89" t="n">
        <v>60.79605</v>
      </c>
      <c r="AK712" s="89" t="n"/>
      <c r="AL712" s="89" t="n"/>
      <c r="AM712" s="89" t="n">
        <v>54.01441</v>
      </c>
      <c r="AN712" s="89" t="n"/>
      <c r="AO712" s="89" t="n">
        <v>48.40276</v>
      </c>
      <c r="AP712" s="89" t="n">
        <v>63.22525</v>
      </c>
      <c r="AQ712" s="89" t="n"/>
      <c r="AR712" s="89" t="n"/>
      <c r="AS712" s="89" t="n"/>
      <c r="AT712" s="89" t="n"/>
      <c r="AU712" s="89" t="n"/>
      <c r="AV712" s="89" t="n"/>
      <c r="AW712" s="89" t="n"/>
      <c r="AX712" s="89" t="n"/>
      <c r="AY712" s="89" t="n">
        <v>57.99633</v>
      </c>
    </row>
    <row r="713">
      <c r="A713" t="inlineStr">
        <is>
          <t>1978-04</t>
        </is>
      </c>
      <c r="B713" s="1" t="n">
        <v>28581</v>
      </c>
      <c r="C713" s="88" t="n">
        <v>713</v>
      </c>
      <c r="E713" s="1">
        <f>B713</f>
        <v/>
      </c>
      <c r="F713" s="2">
        <f>B713</f>
        <v/>
      </c>
      <c r="G713" s="88" t="n">
        <v>711</v>
      </c>
      <c r="H713" s="89" t="n"/>
      <c r="I713" s="89" t="n"/>
      <c r="J713" s="89" t="n">
        <v>49.72929</v>
      </c>
      <c r="K713" s="89" t="n">
        <v>54.41172</v>
      </c>
      <c r="L713" s="89" t="n"/>
      <c r="M713" s="89" t="n"/>
      <c r="N713" s="89" t="n">
        <v>55.97781</v>
      </c>
      <c r="O713" s="89" t="n">
        <v>63.78466</v>
      </c>
      <c r="P713" s="89" t="n">
        <v>79.54561</v>
      </c>
      <c r="Q713" s="89" t="n"/>
      <c r="R713" s="89" t="n">
        <v>41.87614</v>
      </c>
      <c r="S713" s="89" t="n">
        <v>80.18427</v>
      </c>
      <c r="T713" s="89" t="n">
        <v>84.08326</v>
      </c>
      <c r="U713" s="89" t="n">
        <v>106.4819</v>
      </c>
      <c r="V713" s="89" t="n"/>
      <c r="W713" s="89" t="n">
        <v>7.13034</v>
      </c>
      <c r="X713" s="89" t="n"/>
      <c r="Y713" s="89" t="n"/>
      <c r="Z713" s="89" t="n">
        <v>85.46713</v>
      </c>
      <c r="AA713" s="89" t="n">
        <v>62.17131</v>
      </c>
      <c r="AB713" s="89" t="n"/>
      <c r="AC713" s="89" t="n">
        <v>50.50833</v>
      </c>
      <c r="AD713" s="89" t="n"/>
      <c r="AE713" s="89" t="n"/>
      <c r="AF713" s="89" t="n">
        <v>63.69674</v>
      </c>
      <c r="AG713" s="89" t="n">
        <v>49.8937</v>
      </c>
      <c r="AH713" s="89" t="n">
        <v>50.41441</v>
      </c>
      <c r="AI713" s="89" t="n"/>
      <c r="AJ713" s="89" t="n">
        <v>61.42779</v>
      </c>
      <c r="AK713" s="89" t="n"/>
      <c r="AL713" s="89" t="n"/>
      <c r="AM713" s="89" t="n">
        <v>54.01441</v>
      </c>
      <c r="AN713" s="89" t="n"/>
      <c r="AO713" s="89" t="n">
        <v>49.40554</v>
      </c>
      <c r="AP713" s="89" t="n">
        <v>65.14896</v>
      </c>
      <c r="AQ713" s="89" t="n"/>
      <c r="AR713" s="89" t="n"/>
      <c r="AS713" s="89" t="n"/>
      <c r="AT713" s="89" t="n"/>
      <c r="AU713" s="89" t="n"/>
      <c r="AV713" s="89" t="n"/>
      <c r="AW713" s="89" t="n"/>
      <c r="AX713" s="89" t="n"/>
      <c r="AY713" s="89" t="n">
        <v>60.26082</v>
      </c>
    </row>
    <row r="714">
      <c r="A714" t="inlineStr">
        <is>
          <t>1978-05</t>
        </is>
      </c>
      <c r="B714" s="1" t="n">
        <v>28611</v>
      </c>
      <c r="C714" s="88" t="n">
        <v>714</v>
      </c>
      <c r="E714" s="1">
        <f>B714</f>
        <v/>
      </c>
      <c r="F714" s="2">
        <f>B714</f>
        <v/>
      </c>
      <c r="G714" s="88" t="n">
        <v>712</v>
      </c>
      <c r="H714" s="89" t="n"/>
      <c r="I714" s="89" t="n"/>
      <c r="J714" s="89" t="n">
        <v>50.93796</v>
      </c>
      <c r="K714" s="89" t="n">
        <v>53.75808</v>
      </c>
      <c r="L714" s="89" t="n"/>
      <c r="M714" s="89" t="n"/>
      <c r="N714" s="89" t="n">
        <v>55.9161</v>
      </c>
      <c r="O714" s="89" t="n">
        <v>60.65797</v>
      </c>
      <c r="P714" s="89" t="n">
        <v>80.61060999999999</v>
      </c>
      <c r="Q714" s="89" t="n"/>
      <c r="R714" s="89" t="n">
        <v>42.07893</v>
      </c>
      <c r="S714" s="89" t="n">
        <v>78.77966000000001</v>
      </c>
      <c r="T714" s="89" t="n">
        <v>81.25118000000001</v>
      </c>
      <c r="U714" s="89" t="n">
        <v>104.1187</v>
      </c>
      <c r="V714" s="89" t="n"/>
      <c r="W714" s="89" t="n">
        <v>6.97667</v>
      </c>
      <c r="X714" s="89" t="n"/>
      <c r="Y714" s="89" t="n"/>
      <c r="Z714" s="89" t="n">
        <v>83.24596</v>
      </c>
      <c r="AA714" s="89" t="n">
        <v>62.33957</v>
      </c>
      <c r="AB714" s="89" t="n"/>
      <c r="AC714" s="89" t="n">
        <v>49.79076</v>
      </c>
      <c r="AD714" s="89" t="n"/>
      <c r="AE714" s="89" t="n"/>
      <c r="AF714" s="89" t="n">
        <v>63.10144</v>
      </c>
      <c r="AG714" s="89" t="n">
        <v>47.09068</v>
      </c>
      <c r="AH714" s="89" t="n">
        <v>50.20579</v>
      </c>
      <c r="AI714" s="89" t="n"/>
      <c r="AJ714" s="89" t="n">
        <v>61.58453</v>
      </c>
      <c r="AK714" s="89" t="n"/>
      <c r="AL714" s="89" t="n"/>
      <c r="AM714" s="89" t="n">
        <v>53.20994</v>
      </c>
      <c r="AN714" s="89" t="n"/>
      <c r="AO714" s="89" t="n">
        <v>49.5888</v>
      </c>
      <c r="AP714" s="89" t="n">
        <v>64.1871</v>
      </c>
      <c r="AQ714" s="89" t="n"/>
      <c r="AR714" s="89" t="n"/>
      <c r="AS714" s="89" t="n"/>
      <c r="AT714" s="89" t="n"/>
      <c r="AU714" s="89" t="n"/>
      <c r="AV714" s="89" t="n"/>
      <c r="AW714" s="89" t="n"/>
      <c r="AX714" s="89" t="n"/>
      <c r="AY714" s="89" t="n">
        <v>58.06886</v>
      </c>
    </row>
    <row r="715">
      <c r="A715" t="inlineStr">
        <is>
          <t>1978-06</t>
        </is>
      </c>
      <c r="B715" s="1" t="n">
        <v>28642</v>
      </c>
      <c r="C715" s="88" t="n">
        <v>715</v>
      </c>
      <c r="E715" s="1">
        <f>B715</f>
        <v/>
      </c>
      <c r="F715" s="2">
        <f>B715</f>
        <v/>
      </c>
      <c r="G715" s="88" t="n">
        <v>713</v>
      </c>
      <c r="H715" s="89" t="n"/>
      <c r="I715" s="89" t="n"/>
      <c r="J715" s="89" t="n">
        <v>49.30867</v>
      </c>
      <c r="K715" s="89" t="n">
        <v>54.83887</v>
      </c>
      <c r="L715" s="89" t="n"/>
      <c r="M715" s="89" t="n"/>
      <c r="N715" s="89" t="n">
        <v>55.60751</v>
      </c>
      <c r="O715" s="89" t="n">
        <v>60.03263</v>
      </c>
      <c r="P715" s="89" t="n">
        <v>81.42852999999999</v>
      </c>
      <c r="Q715" s="89" t="n"/>
      <c r="R715" s="89" t="n">
        <v>41.47056</v>
      </c>
      <c r="S715" s="89" t="n">
        <v>77.31399999999999</v>
      </c>
      <c r="T715" s="89" t="n">
        <v>81.25118000000001</v>
      </c>
      <c r="U715" s="89" t="n">
        <v>104.405</v>
      </c>
      <c r="V715" s="89" t="n"/>
      <c r="W715" s="89" t="n">
        <v>7.368531</v>
      </c>
      <c r="X715" s="89" t="n"/>
      <c r="Y715" s="89" t="n"/>
      <c r="Z715" s="89" t="n">
        <v>84.30826</v>
      </c>
      <c r="AA715" s="89" t="n">
        <v>62.67608</v>
      </c>
      <c r="AB715" s="89" t="n"/>
      <c r="AC715" s="89" t="n">
        <v>49.56828</v>
      </c>
      <c r="AD715" s="89" t="n"/>
      <c r="AE715" s="89" t="n"/>
      <c r="AF715" s="89" t="n">
        <v>64.29204</v>
      </c>
      <c r="AG715" s="89" t="n">
        <v>49.3331</v>
      </c>
      <c r="AH715" s="89" t="n">
        <v>50.38945</v>
      </c>
      <c r="AI715" s="89" t="n"/>
      <c r="AJ715" s="89" t="n">
        <v>62.03344</v>
      </c>
      <c r="AK715" s="89" t="n"/>
      <c r="AL715" s="89" t="n"/>
      <c r="AM715" s="89" t="n">
        <v>52.98009</v>
      </c>
      <c r="AN715" s="89" t="n"/>
      <c r="AO715" s="89" t="n">
        <v>49.93045</v>
      </c>
      <c r="AP715" s="89" t="n">
        <v>64.09187</v>
      </c>
      <c r="AQ715" s="89" t="n"/>
      <c r="AR715" s="89" t="n"/>
      <c r="AS715" s="89" t="n"/>
      <c r="AT715" s="89" t="n"/>
      <c r="AU715" s="89" t="n"/>
      <c r="AV715" s="89" t="n"/>
      <c r="AW715" s="89" t="n"/>
      <c r="AX715" s="89" t="n"/>
      <c r="AY715" s="89" t="n">
        <v>57.87614</v>
      </c>
    </row>
    <row r="716">
      <c r="A716" t="inlineStr">
        <is>
          <t>1978-07</t>
        </is>
      </c>
      <c r="B716" s="1" t="n">
        <v>28672</v>
      </c>
      <c r="C716" s="88" t="n">
        <v>716</v>
      </c>
      <c r="E716" s="1">
        <f>B716</f>
        <v/>
      </c>
      <c r="F716" s="2">
        <f>B716</f>
        <v/>
      </c>
      <c r="G716" s="88" t="n">
        <v>714</v>
      </c>
      <c r="H716" s="89" t="n"/>
      <c r="I716" s="89" t="n"/>
      <c r="J716" s="89" t="n">
        <v>51.04786</v>
      </c>
      <c r="K716" s="89" t="n">
        <v>54.02734</v>
      </c>
      <c r="L716" s="89" t="n"/>
      <c r="M716" s="89" t="n"/>
      <c r="N716" s="89" t="n">
        <v>57.08873</v>
      </c>
      <c r="O716" s="89" t="n">
        <v>59.40729</v>
      </c>
      <c r="P716" s="89" t="n">
        <v>80.99786</v>
      </c>
      <c r="Q716" s="89" t="n"/>
      <c r="R716" s="89" t="n">
        <v>38.6822</v>
      </c>
      <c r="S716" s="89" t="n">
        <v>77.25293000000001</v>
      </c>
      <c r="T716" s="89" t="n">
        <v>82.42307</v>
      </c>
      <c r="U716" s="89" t="n">
        <v>106.0147</v>
      </c>
      <c r="V716" s="89" t="n"/>
      <c r="W716" s="89" t="n">
        <v>7.4761</v>
      </c>
      <c r="X716" s="89" t="n"/>
      <c r="Y716" s="89" t="n"/>
      <c r="Z716" s="89" t="n">
        <v>86.43286000000001</v>
      </c>
      <c r="AA716" s="89" t="n">
        <v>63.09673</v>
      </c>
      <c r="AB716" s="89" t="n"/>
      <c r="AC716" s="89" t="n">
        <v>52.53705</v>
      </c>
      <c r="AD716" s="89" t="n"/>
      <c r="AE716" s="89" t="n"/>
      <c r="AF716" s="89" t="n">
        <v>65.48263</v>
      </c>
      <c r="AG716" s="89" t="n">
        <v>49.3331</v>
      </c>
      <c r="AH716" s="89" t="n">
        <v>50.72794</v>
      </c>
      <c r="AI716" s="89" t="n"/>
      <c r="AJ716" s="89" t="n">
        <v>61.98483</v>
      </c>
      <c r="AK716" s="89" t="n"/>
      <c r="AL716" s="89" t="n"/>
      <c r="AM716" s="89" t="n">
        <v>53.32486</v>
      </c>
      <c r="AN716" s="89" t="n"/>
      <c r="AO716" s="89" t="n">
        <v>49.90731</v>
      </c>
      <c r="AP716" s="89" t="n">
        <v>64.9585</v>
      </c>
      <c r="AQ716" s="89" t="n"/>
      <c r="AR716" s="89" t="n"/>
      <c r="AS716" s="89" t="n"/>
      <c r="AT716" s="89" t="n"/>
      <c r="AU716" s="89" t="n"/>
      <c r="AV716" s="89" t="n"/>
      <c r="AW716" s="89" t="n"/>
      <c r="AX716" s="89" t="n"/>
      <c r="AY716" s="89" t="n">
        <v>59.06673</v>
      </c>
    </row>
    <row r="717">
      <c r="A717" t="inlineStr">
        <is>
          <t>1978-08</t>
        </is>
      </c>
      <c r="B717" s="1" t="n">
        <v>28703</v>
      </c>
      <c r="C717" s="88" t="n">
        <v>717</v>
      </c>
      <c r="E717" s="1">
        <f>B717</f>
        <v/>
      </c>
      <c r="F717" s="2">
        <f>B717</f>
        <v/>
      </c>
      <c r="G717" s="88" t="n">
        <v>715</v>
      </c>
      <c r="H717" s="89" t="n"/>
      <c r="I717" s="89" t="n"/>
      <c r="J717" s="89" t="n">
        <v>51.0915</v>
      </c>
      <c r="K717" s="89" t="n">
        <v>54.28673</v>
      </c>
      <c r="L717" s="89" t="n"/>
      <c r="M717" s="89" t="n"/>
      <c r="N717" s="89" t="n">
        <v>57.64418</v>
      </c>
      <c r="O717" s="89" t="n">
        <v>60.65797</v>
      </c>
      <c r="P717" s="89" t="n">
        <v>81.62635</v>
      </c>
      <c r="Q717" s="89" t="n"/>
      <c r="R717" s="89" t="n">
        <v>42.58591</v>
      </c>
      <c r="S717" s="89" t="n">
        <v>77.25293000000001</v>
      </c>
      <c r="T717" s="89" t="n">
        <v>83.20434</v>
      </c>
      <c r="U717" s="89" t="n">
        <v>105.8098</v>
      </c>
      <c r="V717" s="89" t="n"/>
      <c r="W717" s="89" t="n">
        <v>6.784581</v>
      </c>
      <c r="X717" s="89" t="n"/>
      <c r="Y717" s="89" t="n"/>
      <c r="Z717" s="89" t="n">
        <v>86.23972000000001</v>
      </c>
      <c r="AA717" s="89" t="n">
        <v>63.93801</v>
      </c>
      <c r="AB717" s="89" t="n"/>
      <c r="AC717" s="89" t="n">
        <v>51.94389</v>
      </c>
      <c r="AD717" s="89" t="n"/>
      <c r="AE717" s="89" t="n"/>
      <c r="AF717" s="89" t="n">
        <v>64.29204</v>
      </c>
      <c r="AG717" s="89" t="n">
        <v>51.01491</v>
      </c>
      <c r="AH717" s="89" t="n">
        <v>51.01481</v>
      </c>
      <c r="AI717" s="89" t="n"/>
      <c r="AJ717" s="89" t="n">
        <v>61.53156</v>
      </c>
      <c r="AK717" s="89" t="n"/>
      <c r="AL717" s="89" t="n"/>
      <c r="AM717" s="89" t="n">
        <v>54.53157</v>
      </c>
      <c r="AN717" s="89" t="n"/>
      <c r="AO717" s="89" t="n">
        <v>50.0947</v>
      </c>
      <c r="AP717" s="89" t="n">
        <v>65.33942</v>
      </c>
      <c r="AQ717" s="89" t="n"/>
      <c r="AR717" s="89" t="n"/>
      <c r="AS717" s="89" t="n"/>
      <c r="AT717" s="89" t="n"/>
      <c r="AU717" s="89" t="n"/>
      <c r="AV717" s="89" t="n"/>
      <c r="AW717" s="89" t="n"/>
      <c r="AX717" s="89" t="n"/>
      <c r="AY717" s="89" t="n">
        <v>59.76232</v>
      </c>
    </row>
    <row r="718">
      <c r="A718" t="inlineStr">
        <is>
          <t>1978-09</t>
        </is>
      </c>
      <c r="B718" s="1" t="n">
        <v>28734</v>
      </c>
      <c r="C718" s="88" t="n">
        <v>718</v>
      </c>
      <c r="E718" s="1">
        <f>B718</f>
        <v/>
      </c>
      <c r="F718" s="2">
        <f>B718</f>
        <v/>
      </c>
      <c r="G718" s="88" t="n">
        <v>716</v>
      </c>
      <c r="H718" s="89" t="n"/>
      <c r="I718" s="89" t="n"/>
      <c r="J718" s="89" t="n">
        <v>51.90584</v>
      </c>
      <c r="K718" s="89" t="n">
        <v>55.65041</v>
      </c>
      <c r="L718" s="89" t="n"/>
      <c r="M718" s="89" t="n"/>
      <c r="N718" s="89" t="n">
        <v>58.56995</v>
      </c>
      <c r="O718" s="89" t="n">
        <v>60.65797</v>
      </c>
      <c r="P718" s="89" t="n">
        <v>83.59312</v>
      </c>
      <c r="Q718" s="89" t="n"/>
      <c r="R718" s="89" t="n">
        <v>43.44777</v>
      </c>
      <c r="S718" s="89" t="n">
        <v>78.59645999999999</v>
      </c>
      <c r="T718" s="89" t="n">
        <v>83.10668</v>
      </c>
      <c r="U718" s="89" t="n">
        <v>106.5555</v>
      </c>
      <c r="V718" s="89" t="n"/>
      <c r="W718" s="89" t="n">
        <v>7.399265</v>
      </c>
      <c r="X718" s="89" t="n"/>
      <c r="Y718" s="89" t="n"/>
      <c r="Z718" s="89" t="n">
        <v>87.39859</v>
      </c>
      <c r="AA718" s="89" t="n">
        <v>64.44279</v>
      </c>
      <c r="AB718" s="89" t="n"/>
      <c r="AC718" s="89" t="n">
        <v>51.59977</v>
      </c>
      <c r="AD718" s="89" t="n"/>
      <c r="AE718" s="89" t="n"/>
      <c r="AF718" s="89" t="n">
        <v>64.29204</v>
      </c>
      <c r="AG718" s="89" t="n">
        <v>51.57551</v>
      </c>
      <c r="AH718" s="89" t="n">
        <v>51.43551</v>
      </c>
      <c r="AI718" s="89" t="n"/>
      <c r="AJ718" s="89" t="n">
        <v>61.95261</v>
      </c>
      <c r="AK718" s="89" t="n"/>
      <c r="AL718" s="89" t="n"/>
      <c r="AM718" s="89" t="n">
        <v>55.22111</v>
      </c>
      <c r="AN718" s="89" t="n"/>
      <c r="AO718" s="89" t="n">
        <v>50.2212</v>
      </c>
      <c r="AP718" s="89" t="n">
        <v>66.20605</v>
      </c>
      <c r="AQ718" s="89" t="n"/>
      <c r="AR718" s="89" t="n"/>
      <c r="AS718" s="89" t="n"/>
      <c r="AT718" s="89" t="n"/>
      <c r="AU718" s="89" t="n"/>
      <c r="AV718" s="89" t="n"/>
      <c r="AW718" s="89" t="n"/>
      <c r="AX718" s="89" t="n"/>
      <c r="AY718" s="89" t="n">
        <v>60.05502</v>
      </c>
    </row>
    <row r="719">
      <c r="A719" t="inlineStr">
        <is>
          <t>1978-10</t>
        </is>
      </c>
      <c r="B719" s="1" t="n">
        <v>28764</v>
      </c>
      <c r="C719" s="88" t="n">
        <v>719</v>
      </c>
      <c r="E719" s="1">
        <f>B719</f>
        <v/>
      </c>
      <c r="F719" s="2">
        <f>B719</f>
        <v/>
      </c>
      <c r="G719" s="88" t="n">
        <v>717</v>
      </c>
      <c r="H719" s="89" t="n"/>
      <c r="I719" s="89" t="n"/>
      <c r="J719" s="89" t="n">
        <v>53.04664</v>
      </c>
      <c r="K719" s="89" t="n">
        <v>55.83649</v>
      </c>
      <c r="L719" s="89" t="n"/>
      <c r="M719" s="89" t="n"/>
      <c r="N719" s="89" t="n">
        <v>57.58247</v>
      </c>
      <c r="O719" s="89" t="n">
        <v>60.65797</v>
      </c>
      <c r="P719" s="89" t="n">
        <v>83.33789</v>
      </c>
      <c r="Q719" s="89" t="n"/>
      <c r="R719" s="89" t="n">
        <v>43.80265</v>
      </c>
      <c r="S719" s="89" t="n">
        <v>79.75677</v>
      </c>
      <c r="T719" s="89" t="n">
        <v>81.54416000000001</v>
      </c>
      <c r="U719" s="89" t="n">
        <v>107.5505</v>
      </c>
      <c r="V719" s="89" t="n"/>
      <c r="W719" s="89" t="n">
        <v>7.34548</v>
      </c>
      <c r="X719" s="89" t="n"/>
      <c r="Y719" s="89" t="n"/>
      <c r="Z719" s="89" t="n">
        <v>88.4609</v>
      </c>
      <c r="AA719" s="89" t="n">
        <v>64.52692</v>
      </c>
      <c r="AB719" s="89" t="n"/>
      <c r="AC719" s="89" t="n">
        <v>51.60043</v>
      </c>
      <c r="AD719" s="89" t="n"/>
      <c r="AE719" s="89" t="n"/>
      <c r="AF719" s="89" t="n">
        <v>64.88733000000001</v>
      </c>
      <c r="AG719" s="89" t="n">
        <v>51.57551</v>
      </c>
      <c r="AH719" s="89" t="n">
        <v>51.55624</v>
      </c>
      <c r="AI719" s="89" t="n"/>
      <c r="AJ719" s="89" t="n">
        <v>61.27647</v>
      </c>
      <c r="AK719" s="89" t="n"/>
      <c r="AL719" s="89" t="n"/>
      <c r="AM719" s="89" t="n">
        <v>55.62334</v>
      </c>
      <c r="AN719" s="89" t="n"/>
      <c r="AO719" s="89" t="n">
        <v>50.62404</v>
      </c>
      <c r="AP719" s="89" t="n">
        <v>66.01558</v>
      </c>
      <c r="AQ719" s="89" t="n"/>
      <c r="AR719" s="89" t="n"/>
      <c r="AS719" s="89" t="n"/>
      <c r="AT719" s="89" t="n"/>
      <c r="AU719" s="89" t="n"/>
      <c r="AV719" s="89" t="n"/>
      <c r="AW719" s="89" t="n"/>
      <c r="AX719" s="89" t="n"/>
      <c r="AY719" s="89" t="n">
        <v>60.63088</v>
      </c>
    </row>
    <row r="720">
      <c r="A720" t="inlineStr">
        <is>
          <t>1978-11</t>
        </is>
      </c>
      <c r="B720" s="1" t="n">
        <v>28795</v>
      </c>
      <c r="C720" s="88" t="n">
        <v>720</v>
      </c>
      <c r="E720" s="1">
        <f>B720</f>
        <v/>
      </c>
      <c r="F720" s="2">
        <f>B720</f>
        <v/>
      </c>
      <c r="G720" s="88" t="n">
        <v>718</v>
      </c>
      <c r="H720" s="89" t="n"/>
      <c r="I720" s="89" t="n"/>
      <c r="J720" s="89" t="n">
        <v>52.34248</v>
      </c>
      <c r="K720" s="89" t="n">
        <v>56.36843</v>
      </c>
      <c r="L720" s="89" t="n"/>
      <c r="M720" s="89" t="n"/>
      <c r="N720" s="89" t="n">
        <v>58.01449</v>
      </c>
      <c r="O720" s="89" t="n">
        <v>60.65797</v>
      </c>
      <c r="P720" s="89" t="n">
        <v>83.42028000000001</v>
      </c>
      <c r="Q720" s="89" t="n"/>
      <c r="R720" s="89" t="n">
        <v>44.05614</v>
      </c>
      <c r="S720" s="89" t="n">
        <v>80.24533</v>
      </c>
      <c r="T720" s="89" t="n">
        <v>82.03245</v>
      </c>
      <c r="U720" s="89" t="n">
        <v>110.2616</v>
      </c>
      <c r="V720" s="89" t="n"/>
      <c r="W720" s="89" t="n">
        <v>7.599037</v>
      </c>
      <c r="X720" s="89" t="n"/>
      <c r="Y720" s="89" t="n"/>
      <c r="Z720" s="89" t="n">
        <v>88.36433</v>
      </c>
      <c r="AA720" s="89" t="n">
        <v>64.86342999999999</v>
      </c>
      <c r="AB720" s="89" t="n"/>
      <c r="AC720" s="89" t="n">
        <v>51.10551</v>
      </c>
      <c r="AD720" s="89" t="n"/>
      <c r="AE720" s="89" t="n"/>
      <c r="AF720" s="89" t="n">
        <v>66.07792999999999</v>
      </c>
      <c r="AG720" s="89" t="n">
        <v>52.13611</v>
      </c>
      <c r="AH720" s="89" t="n">
        <v>51.87143</v>
      </c>
      <c r="AI720" s="89" t="n"/>
      <c r="AJ720" s="89" t="n">
        <v>64.15754</v>
      </c>
      <c r="AK720" s="89" t="n"/>
      <c r="AL720" s="89" t="n"/>
      <c r="AM720" s="89" t="n">
        <v>55.91066</v>
      </c>
      <c r="AN720" s="89" t="n"/>
      <c r="AO720" s="89" t="n">
        <v>51.00757</v>
      </c>
      <c r="AP720" s="89" t="n">
        <v>66.30128000000001</v>
      </c>
      <c r="AQ720" s="89" t="n"/>
      <c r="AR720" s="89" t="n"/>
      <c r="AS720" s="89" t="n"/>
      <c r="AT720" s="89" t="n"/>
      <c r="AU720" s="89" t="n"/>
      <c r="AV720" s="89" t="n"/>
      <c r="AW720" s="89" t="n"/>
      <c r="AX720" s="89" t="n"/>
      <c r="AY720" s="89" t="n">
        <v>60.36314</v>
      </c>
    </row>
    <row r="721">
      <c r="A721" t="inlineStr">
        <is>
          <t>1978-12</t>
        </is>
      </c>
      <c r="B721" s="1" t="n">
        <v>28825</v>
      </c>
      <c r="C721" s="88" t="n">
        <v>721</v>
      </c>
      <c r="E721" s="1">
        <f>B721</f>
        <v/>
      </c>
      <c r="F721" s="2">
        <f>B721</f>
        <v/>
      </c>
      <c r="G721" s="88" t="n">
        <v>719</v>
      </c>
      <c r="H721" s="89" t="n"/>
      <c r="I721" s="89" t="n"/>
      <c r="J721" s="89" t="n">
        <v>54.47289</v>
      </c>
      <c r="K721" s="89" t="n">
        <v>57.2481</v>
      </c>
      <c r="L721" s="89" t="n"/>
      <c r="M721" s="89" t="n"/>
      <c r="N721" s="89" t="n">
        <v>59.86602</v>
      </c>
      <c r="O721" s="89" t="n">
        <v>61.90865</v>
      </c>
      <c r="P721" s="89" t="n">
        <v>83.667</v>
      </c>
      <c r="Q721" s="89" t="n"/>
      <c r="R721" s="89" t="n">
        <v>44.7659</v>
      </c>
      <c r="S721" s="89" t="n">
        <v>80.42854</v>
      </c>
      <c r="T721" s="89" t="n">
        <v>84.57155</v>
      </c>
      <c r="U721" s="89" t="n">
        <v>111.0767</v>
      </c>
      <c r="V721" s="89" t="n"/>
      <c r="W721" s="89" t="n">
        <v>7.568304</v>
      </c>
      <c r="X721" s="89" t="n"/>
      <c r="Y721" s="89" t="n"/>
      <c r="Z721" s="89" t="n">
        <v>93.86899</v>
      </c>
      <c r="AA721" s="89" t="n">
        <v>65.45234000000001</v>
      </c>
      <c r="AB721" s="89" t="n"/>
      <c r="AC721" s="89" t="n">
        <v>51.44015</v>
      </c>
      <c r="AD721" s="89" t="n"/>
      <c r="AE721" s="89" t="n"/>
      <c r="AF721" s="89" t="n">
        <v>68.45911</v>
      </c>
      <c r="AG721" s="89" t="n">
        <v>51.01491</v>
      </c>
      <c r="AH721" s="89" t="n">
        <v>52.67587</v>
      </c>
      <c r="AI721" s="89" t="n"/>
      <c r="AJ721" s="89" t="n">
        <v>65.37273</v>
      </c>
      <c r="AK721" s="89" t="n"/>
      <c r="AL721" s="89" t="n"/>
      <c r="AM721" s="89" t="n">
        <v>55.79573</v>
      </c>
      <c r="AN721" s="89" t="n"/>
      <c r="AO721" s="89" t="n">
        <v>51.28026</v>
      </c>
      <c r="AP721" s="89" t="n">
        <v>68.32022000000001</v>
      </c>
      <c r="AQ721" s="89" t="n"/>
      <c r="AR721" s="89" t="n"/>
      <c r="AS721" s="89" t="n"/>
      <c r="AT721" s="89" t="n"/>
      <c r="AU721" s="89" t="n"/>
      <c r="AV721" s="89" t="n"/>
      <c r="AW721" s="89" t="n"/>
      <c r="AX721" s="89" t="n"/>
      <c r="AY721" s="89" t="n">
        <v>61.97607</v>
      </c>
    </row>
    <row r="722">
      <c r="A722" t="inlineStr">
        <is>
          <t>1979-01</t>
        </is>
      </c>
      <c r="B722" s="1" t="n">
        <v>28856</v>
      </c>
      <c r="C722" s="88" t="n">
        <v>722</v>
      </c>
      <c r="E722" s="1">
        <f>B722</f>
        <v/>
      </c>
      <c r="F722" s="2">
        <f>B722</f>
        <v/>
      </c>
      <c r="G722" s="88" t="n">
        <v>720</v>
      </c>
      <c r="H722" s="89" t="n"/>
      <c r="I722" s="89" t="n"/>
      <c r="J722" s="89" t="n">
        <v>49.27787</v>
      </c>
      <c r="K722" s="89" t="n">
        <v>57.15976</v>
      </c>
      <c r="L722" s="89" t="n"/>
      <c r="M722" s="89" t="n"/>
      <c r="N722" s="89" t="n">
        <v>58.26136</v>
      </c>
      <c r="O722" s="89" t="n">
        <v>57.53127</v>
      </c>
      <c r="P722" s="89" t="n">
        <v>83.40101</v>
      </c>
      <c r="Q722" s="89" t="n"/>
      <c r="R722" s="89" t="n">
        <v>45.57706</v>
      </c>
      <c r="S722" s="89" t="n">
        <v>79.57357</v>
      </c>
      <c r="T722" s="89" t="n">
        <v>78.71208</v>
      </c>
      <c r="U722" s="89" t="n">
        <v>111.7376</v>
      </c>
      <c r="V722" s="89" t="n"/>
      <c r="W722" s="89" t="n">
        <v>7.460733</v>
      </c>
      <c r="X722" s="89" t="n"/>
      <c r="Y722" s="89" t="n"/>
      <c r="Z722" s="89" t="n">
        <v>87.78489</v>
      </c>
      <c r="AA722" s="89" t="n">
        <v>65.36821</v>
      </c>
      <c r="AB722" s="89" t="n"/>
      <c r="AC722" s="89" t="n">
        <v>50.21392</v>
      </c>
      <c r="AD722" s="89" t="n"/>
      <c r="AE722" s="89" t="n"/>
      <c r="AF722" s="89" t="n">
        <v>66.30116</v>
      </c>
      <c r="AG722" s="89" t="n">
        <v>50.4543</v>
      </c>
      <c r="AH722" s="89" t="n">
        <v>51.76291</v>
      </c>
      <c r="AI722" s="89" t="n"/>
      <c r="AJ722" s="89" t="n">
        <v>62.8397</v>
      </c>
      <c r="AK722" s="89" t="n"/>
      <c r="AL722" s="89" t="n"/>
      <c r="AM722" s="89" t="n">
        <v>55.33604</v>
      </c>
      <c r="AN722" s="89" t="n"/>
      <c r="AO722" s="89" t="n">
        <v>50.95052</v>
      </c>
      <c r="AP722" s="89" t="n">
        <v>65.72036</v>
      </c>
      <c r="AQ722" s="89" t="n"/>
      <c r="AR722" s="89" t="n"/>
      <c r="AS722" s="89" t="n"/>
      <c r="AT722" s="89" t="n"/>
      <c r="AU722" s="89" t="n"/>
      <c r="AV722" s="89" t="n"/>
      <c r="AW722" s="89" t="n"/>
      <c r="AX722" s="89" t="n"/>
      <c r="AY722" s="89" t="n">
        <v>62.509</v>
      </c>
    </row>
    <row r="723">
      <c r="A723" t="inlineStr">
        <is>
          <t>1979-02</t>
        </is>
      </c>
      <c r="B723" s="1" t="n">
        <v>28887</v>
      </c>
      <c r="C723" s="88" t="n">
        <v>723</v>
      </c>
      <c r="E723" s="1">
        <f>B723</f>
        <v/>
      </c>
      <c r="F723" s="2">
        <f>B723</f>
        <v/>
      </c>
      <c r="G723" s="88" t="n">
        <v>721</v>
      </c>
      <c r="H723" s="89" t="n"/>
      <c r="I723" s="89" t="n"/>
      <c r="J723" s="89" t="n">
        <v>51.62173</v>
      </c>
      <c r="K723" s="89" t="n">
        <v>57.25045</v>
      </c>
      <c r="L723" s="89" t="n"/>
      <c r="M723" s="89" t="n"/>
      <c r="N723" s="89" t="n">
        <v>58.07621</v>
      </c>
      <c r="O723" s="89" t="n">
        <v>58.78195</v>
      </c>
      <c r="P723" s="89" t="n">
        <v>78.68275</v>
      </c>
      <c r="Q723" s="89" t="n"/>
      <c r="R723" s="89" t="n">
        <v>46.23613</v>
      </c>
      <c r="S723" s="89" t="n">
        <v>79.75677</v>
      </c>
      <c r="T723" s="89" t="n">
        <v>84.57155</v>
      </c>
      <c r="U723" s="89" t="n">
        <v>110.9094</v>
      </c>
      <c r="V723" s="89" t="n"/>
      <c r="W723" s="89" t="n">
        <v>7.56062</v>
      </c>
      <c r="X723" s="89" t="n"/>
      <c r="Y723" s="89" t="n"/>
      <c r="Z723" s="89" t="n">
        <v>90.48893</v>
      </c>
      <c r="AA723" s="89" t="n">
        <v>65.28408</v>
      </c>
      <c r="AB723" s="89" t="n"/>
      <c r="AC723" s="89" t="n">
        <v>53.65768</v>
      </c>
      <c r="AD723" s="89" t="n"/>
      <c r="AE723" s="89" t="n"/>
      <c r="AF723" s="89" t="n">
        <v>65.63145</v>
      </c>
      <c r="AG723" s="89" t="n">
        <v>50.4543</v>
      </c>
      <c r="AH723" s="89" t="n">
        <v>52.12605</v>
      </c>
      <c r="AI723" s="89" t="n"/>
      <c r="AJ723" s="89" t="n">
        <v>60.59092</v>
      </c>
      <c r="AK723" s="89" t="n"/>
      <c r="AL723" s="89" t="n"/>
      <c r="AM723" s="89" t="n">
        <v>55.91066</v>
      </c>
      <c r="AN723" s="89" t="n"/>
      <c r="AO723" s="89" t="n">
        <v>51.22426</v>
      </c>
      <c r="AP723" s="89" t="n">
        <v>66.58698</v>
      </c>
      <c r="AQ723" s="89" t="n"/>
      <c r="AR723" s="89" t="n"/>
      <c r="AS723" s="89" t="n"/>
      <c r="AT723" s="89" t="n"/>
      <c r="AU723" s="89" t="n"/>
      <c r="AV723" s="89" t="n"/>
      <c r="AW723" s="89" t="n"/>
      <c r="AX723" s="89" t="n"/>
      <c r="AY723" s="89" t="n">
        <v>62.25169</v>
      </c>
    </row>
    <row r="724">
      <c r="A724" t="inlineStr">
        <is>
          <t>1979-03</t>
        </is>
      </c>
      <c r="B724" s="1" t="n">
        <v>28915</v>
      </c>
      <c r="C724" s="88" t="n">
        <v>724</v>
      </c>
      <c r="E724" s="1">
        <f>B724</f>
        <v/>
      </c>
      <c r="F724" s="2">
        <f>B724</f>
        <v/>
      </c>
      <c r="G724" s="88" t="n">
        <v>722</v>
      </c>
      <c r="H724" s="89" t="n"/>
      <c r="I724" s="89" t="n"/>
      <c r="J724" s="89" t="n">
        <v>51.56176</v>
      </c>
      <c r="K724" s="89" t="n">
        <v>57.12592</v>
      </c>
      <c r="L724" s="89" t="n"/>
      <c r="M724" s="89" t="n"/>
      <c r="N724" s="89" t="n">
        <v>58.32308</v>
      </c>
      <c r="O724" s="89" t="n">
        <v>60.65797</v>
      </c>
      <c r="P724" s="89" t="n">
        <v>81.42655999999999</v>
      </c>
      <c r="Q724" s="89" t="n"/>
      <c r="R724" s="89" t="n">
        <v>46.8952</v>
      </c>
      <c r="S724" s="89" t="n">
        <v>80.85603</v>
      </c>
      <c r="T724" s="89" t="n">
        <v>85.74344000000001</v>
      </c>
      <c r="U724" s="89" t="n">
        <v>113.4617</v>
      </c>
      <c r="V724" s="89" t="n"/>
      <c r="W724" s="89" t="n">
        <v>7.79881</v>
      </c>
      <c r="X724" s="89" t="n"/>
      <c r="Y724" s="89" t="n"/>
      <c r="Z724" s="89" t="n">
        <v>89.61977</v>
      </c>
      <c r="AA724" s="89" t="n">
        <v>65.87299</v>
      </c>
      <c r="AB724" s="89" t="n"/>
      <c r="AC724" s="89" t="n">
        <v>53.69893</v>
      </c>
      <c r="AD724" s="89" t="n"/>
      <c r="AE724" s="89" t="n"/>
      <c r="AF724" s="89" t="n">
        <v>66.30116</v>
      </c>
      <c r="AG724" s="89" t="n">
        <v>51.01491</v>
      </c>
      <c r="AH724" s="89" t="n">
        <v>52.45618</v>
      </c>
      <c r="AI724" s="89" t="n"/>
      <c r="AJ724" s="89" t="n">
        <v>67.73116</v>
      </c>
      <c r="AK724" s="89" t="n"/>
      <c r="AL724" s="89" t="n"/>
      <c r="AM724" s="89" t="n">
        <v>55.96812</v>
      </c>
      <c r="AN724" s="89" t="n"/>
      <c r="AO724" s="89" t="n">
        <v>51.38467</v>
      </c>
      <c r="AP724" s="89" t="n">
        <v>67.26313</v>
      </c>
      <c r="AQ724" s="89" t="n"/>
      <c r="AR724" s="89" t="n"/>
      <c r="AS724" s="89" t="n"/>
      <c r="AT724" s="89" t="n"/>
      <c r="AU724" s="89" t="n"/>
      <c r="AV724" s="89" t="n"/>
      <c r="AW724" s="89" t="n"/>
      <c r="AX724" s="89" t="n"/>
      <c r="AY724" s="89" t="n">
        <v>61.5597</v>
      </c>
    </row>
    <row r="725">
      <c r="A725" t="inlineStr">
        <is>
          <t>1979-04</t>
        </is>
      </c>
      <c r="B725" s="1" t="n">
        <v>28946</v>
      </c>
      <c r="C725" s="88" t="n">
        <v>725</v>
      </c>
      <c r="E725" s="1">
        <f>B725</f>
        <v/>
      </c>
      <c r="F725" s="2">
        <f>B725</f>
        <v/>
      </c>
      <c r="G725" s="88" t="n">
        <v>723</v>
      </c>
      <c r="H725" s="89" t="n"/>
      <c r="I725" s="89" t="n"/>
      <c r="J725" s="89" t="n">
        <v>53.60945</v>
      </c>
      <c r="K725" s="89" t="n">
        <v>56.75986</v>
      </c>
      <c r="L725" s="89" t="n"/>
      <c r="M725" s="89" t="n"/>
      <c r="N725" s="89" t="n">
        <v>59.68086</v>
      </c>
      <c r="O725" s="89" t="n">
        <v>60.65797</v>
      </c>
      <c r="P725" s="89" t="n">
        <v>81.39041</v>
      </c>
      <c r="Q725" s="89" t="n"/>
      <c r="R725" s="89" t="n">
        <v>47.09799</v>
      </c>
      <c r="S725" s="89" t="n">
        <v>79.45143</v>
      </c>
      <c r="T725" s="89" t="n">
        <v>85.64578</v>
      </c>
      <c r="U725" s="89" t="n">
        <v>113.9227</v>
      </c>
      <c r="V725" s="89" t="n"/>
      <c r="W725" s="89" t="n">
        <v>7.829545</v>
      </c>
      <c r="X725" s="89" t="n"/>
      <c r="Y725" s="89" t="n"/>
      <c r="Z725" s="89" t="n">
        <v>90.00606999999999</v>
      </c>
      <c r="AA725" s="89" t="n">
        <v>66.12537</v>
      </c>
      <c r="AB725" s="89" t="n"/>
      <c r="AC725" s="89" t="n">
        <v>52.89107</v>
      </c>
      <c r="AD725" s="89" t="n"/>
      <c r="AE725" s="89" t="n"/>
      <c r="AF725" s="89" t="n">
        <v>68.31028999999999</v>
      </c>
      <c r="AG725" s="89" t="n">
        <v>51.57551</v>
      </c>
      <c r="AH725" s="89" t="n">
        <v>52.43865</v>
      </c>
      <c r="AI725" s="89" t="n"/>
      <c r="AJ725" s="89" t="n">
        <v>66.25326</v>
      </c>
      <c r="AK725" s="89" t="n"/>
      <c r="AL725" s="89" t="n"/>
      <c r="AM725" s="89" t="n">
        <v>57.23228</v>
      </c>
      <c r="AN725" s="89" t="n"/>
      <c r="AO725" s="89" t="n">
        <v>50.805</v>
      </c>
      <c r="AP725" s="89" t="n">
        <v>67.64407</v>
      </c>
      <c r="AQ725" s="89" t="n"/>
      <c r="AR725" s="89" t="n"/>
      <c r="AS725" s="89" t="n"/>
      <c r="AT725" s="89" t="n"/>
      <c r="AU725" s="89" t="n"/>
      <c r="AV725" s="89" t="n"/>
      <c r="AW725" s="89" t="n"/>
      <c r="AX725" s="89" t="n"/>
      <c r="AY725" s="89" t="n">
        <v>63.55589</v>
      </c>
    </row>
    <row r="726">
      <c r="A726" t="inlineStr">
        <is>
          <t>1979-05</t>
        </is>
      </c>
      <c r="B726" s="1" t="n">
        <v>28976</v>
      </c>
      <c r="C726" s="88" t="n">
        <v>726</v>
      </c>
      <c r="E726" s="1">
        <f>B726</f>
        <v/>
      </c>
      <c r="F726" s="2">
        <f>B726</f>
        <v/>
      </c>
      <c r="G726" s="88" t="n">
        <v>724</v>
      </c>
      <c r="H726" s="89" t="n"/>
      <c r="I726" s="89" t="n"/>
      <c r="J726" s="89" t="n">
        <v>53.006</v>
      </c>
      <c r="K726" s="89" t="n">
        <v>57.72741</v>
      </c>
      <c r="L726" s="89" t="n"/>
      <c r="M726" s="89" t="n"/>
      <c r="N726" s="89" t="n">
        <v>59.55743</v>
      </c>
      <c r="O726" s="89" t="n">
        <v>62.53399</v>
      </c>
      <c r="P726" s="89" t="n">
        <v>83.15049</v>
      </c>
      <c r="Q726" s="89" t="n"/>
      <c r="R726" s="89" t="n">
        <v>46.7431</v>
      </c>
      <c r="S726" s="89" t="n">
        <v>81.77207</v>
      </c>
      <c r="T726" s="89" t="n">
        <v>86.91533</v>
      </c>
      <c r="U726" s="89" t="n">
        <v>115.1066</v>
      </c>
      <c r="V726" s="89" t="n"/>
      <c r="W726" s="89" t="n">
        <v>7.675873</v>
      </c>
      <c r="X726" s="89" t="n"/>
      <c r="Y726" s="89" t="n"/>
      <c r="Z726" s="89" t="n">
        <v>87.88146</v>
      </c>
      <c r="AA726" s="89" t="n">
        <v>67.55556</v>
      </c>
      <c r="AB726" s="89" t="n"/>
      <c r="AC726" s="89" t="n">
        <v>51.54556</v>
      </c>
      <c r="AD726" s="89" t="n"/>
      <c r="AE726" s="89" t="n"/>
      <c r="AF726" s="89" t="n">
        <v>67.64058</v>
      </c>
      <c r="AG726" s="89" t="n">
        <v>52.69672</v>
      </c>
      <c r="AH726" s="89" t="n">
        <v>52.85915</v>
      </c>
      <c r="AI726" s="89" t="n"/>
      <c r="AJ726" s="89" t="n">
        <v>66.30721</v>
      </c>
      <c r="AK726" s="89" t="n"/>
      <c r="AL726" s="89" t="n"/>
      <c r="AM726" s="89" t="n">
        <v>57.80691</v>
      </c>
      <c r="AN726" s="89" t="n"/>
      <c r="AO726" s="89" t="n">
        <v>51.21312</v>
      </c>
      <c r="AP726" s="89" t="n">
        <v>67.92976</v>
      </c>
      <c r="AQ726" s="89" t="n"/>
      <c r="AR726" s="89" t="n"/>
      <c r="AS726" s="89" t="n"/>
      <c r="AT726" s="89" t="n"/>
      <c r="AU726" s="89" t="n"/>
      <c r="AV726" s="89" t="n"/>
      <c r="AW726" s="89" t="n"/>
      <c r="AX726" s="89" t="n"/>
      <c r="AY726" s="89" t="n">
        <v>62.65954</v>
      </c>
    </row>
    <row r="727">
      <c r="A727" t="inlineStr">
        <is>
          <t>1979-06</t>
        </is>
      </c>
      <c r="B727" s="1" t="n">
        <v>29007</v>
      </c>
      <c r="C727" s="88" t="n">
        <v>727</v>
      </c>
      <c r="E727" s="1">
        <f>B727</f>
        <v/>
      </c>
      <c r="F727" s="2">
        <f>B727</f>
        <v/>
      </c>
      <c r="G727" s="88" t="n">
        <v>725</v>
      </c>
      <c r="H727" s="89" t="n"/>
      <c r="I727" s="89" t="n"/>
      <c r="J727" s="89" t="n">
        <v>54.98892</v>
      </c>
      <c r="K727" s="89" t="n">
        <v>57.34114</v>
      </c>
      <c r="L727" s="89" t="n"/>
      <c r="M727" s="89" t="n"/>
      <c r="N727" s="89" t="n">
        <v>60.73006</v>
      </c>
      <c r="O727" s="89" t="n">
        <v>61.90865</v>
      </c>
      <c r="P727" s="89" t="n">
        <v>84.17778</v>
      </c>
      <c r="Q727" s="89" t="n"/>
      <c r="R727" s="89" t="n">
        <v>46.7938</v>
      </c>
      <c r="S727" s="89" t="n">
        <v>82.38276999999999</v>
      </c>
      <c r="T727" s="89" t="n">
        <v>88.3802</v>
      </c>
      <c r="U727" s="89" t="n">
        <v>113.8987</v>
      </c>
      <c r="V727" s="89" t="n"/>
      <c r="W727" s="89" t="n">
        <v>7.637456</v>
      </c>
      <c r="X727" s="89" t="n"/>
      <c r="Y727" s="89" t="n"/>
      <c r="Z727" s="89" t="n">
        <v>87.39859</v>
      </c>
      <c r="AA727" s="89" t="n">
        <v>67.80795000000001</v>
      </c>
      <c r="AB727" s="89" t="n"/>
      <c r="AC727" s="89" t="n">
        <v>53.18587</v>
      </c>
      <c r="AD727" s="89" t="n"/>
      <c r="AE727" s="89" t="n"/>
      <c r="AF727" s="89" t="n">
        <v>66.97087000000001</v>
      </c>
      <c r="AG727" s="89" t="n">
        <v>52.13611</v>
      </c>
      <c r="AH727" s="89" t="n">
        <v>53.1191</v>
      </c>
      <c r="AI727" s="89" t="n"/>
      <c r="AJ727" s="89" t="n">
        <v>65.75937999999999</v>
      </c>
      <c r="AK727" s="89" t="n"/>
      <c r="AL727" s="89" t="n"/>
      <c r="AM727" s="89" t="n">
        <v>59.12854</v>
      </c>
      <c r="AN727" s="89" t="n"/>
      <c r="AO727" s="89" t="n">
        <v>51.21024</v>
      </c>
      <c r="AP727" s="89" t="n">
        <v>68.70116</v>
      </c>
      <c r="AQ727" s="89" t="n"/>
      <c r="AR727" s="89" t="n"/>
      <c r="AS727" s="89" t="n"/>
      <c r="AT727" s="89" t="n"/>
      <c r="AU727" s="89" t="n"/>
      <c r="AV727" s="89" t="n"/>
      <c r="AW727" s="89" t="n"/>
      <c r="AX727" s="89" t="n"/>
      <c r="AY727" s="89" t="n">
        <v>63.07228</v>
      </c>
    </row>
    <row r="728">
      <c r="A728" t="inlineStr">
        <is>
          <t>1979-07</t>
        </is>
      </c>
      <c r="B728" s="1" t="n">
        <v>29037</v>
      </c>
      <c r="C728" s="88" t="n">
        <v>728</v>
      </c>
      <c r="E728" s="1">
        <f>B728</f>
        <v/>
      </c>
      <c r="F728" s="2">
        <f>B728</f>
        <v/>
      </c>
      <c r="G728" s="88" t="n">
        <v>726</v>
      </c>
      <c r="H728" s="89" t="n"/>
      <c r="I728" s="89" t="n"/>
      <c r="J728" s="89" t="n">
        <v>54.08666</v>
      </c>
      <c r="K728" s="89" t="n">
        <v>57.97505</v>
      </c>
      <c r="L728" s="89" t="n"/>
      <c r="M728" s="89" t="n"/>
      <c r="N728" s="89" t="n">
        <v>61.03865</v>
      </c>
      <c r="O728" s="89" t="n">
        <v>64.41</v>
      </c>
      <c r="P728" s="89" t="n">
        <v>83.70538999999999</v>
      </c>
      <c r="Q728" s="89" t="n"/>
      <c r="R728" s="89" t="n">
        <v>47.75705</v>
      </c>
      <c r="S728" s="89" t="n">
        <v>84.21485</v>
      </c>
      <c r="T728" s="89" t="n">
        <v>87.30596</v>
      </c>
      <c r="U728" s="89" t="n">
        <v>111.645</v>
      </c>
      <c r="V728" s="89" t="n"/>
      <c r="W728" s="89" t="n">
        <v>7.760393</v>
      </c>
      <c r="X728" s="89" t="n"/>
      <c r="Y728" s="89" t="n"/>
      <c r="Z728" s="89" t="n">
        <v>86.72257999999999</v>
      </c>
      <c r="AA728" s="89" t="n">
        <v>68.31272</v>
      </c>
      <c r="AB728" s="89" t="n"/>
      <c r="AC728" s="89" t="n">
        <v>51.13551</v>
      </c>
      <c r="AD728" s="89" t="n"/>
      <c r="AE728" s="89" t="n"/>
      <c r="AF728" s="89" t="n">
        <v>68.31028999999999</v>
      </c>
      <c r="AG728" s="89" t="n">
        <v>53.25732</v>
      </c>
      <c r="AH728" s="89" t="n">
        <v>53.20111</v>
      </c>
      <c r="AI728" s="89" t="n"/>
      <c r="AJ728" s="89" t="n">
        <v>62.37681</v>
      </c>
      <c r="AK728" s="89" t="n"/>
      <c r="AL728" s="89" t="n"/>
      <c r="AM728" s="89" t="n">
        <v>58.03675</v>
      </c>
      <c r="AN728" s="89" t="n"/>
      <c r="AO728" s="89" t="n">
        <v>51.1407</v>
      </c>
      <c r="AP728" s="89" t="n">
        <v>68.70116</v>
      </c>
      <c r="AQ728" s="89" t="n"/>
      <c r="AR728" s="89" t="n"/>
      <c r="AS728" s="89" t="n"/>
      <c r="AT728" s="89" t="n"/>
      <c r="AU728" s="89" t="n"/>
      <c r="AV728" s="89" t="n"/>
      <c r="AW728" s="89" t="n"/>
      <c r="AX728" s="89" t="n"/>
      <c r="AY728" s="89" t="n">
        <v>62.45861</v>
      </c>
    </row>
    <row r="729">
      <c r="A729" t="inlineStr">
        <is>
          <t>1979-08</t>
        </is>
      </c>
      <c r="B729" s="1" t="n">
        <v>29068</v>
      </c>
      <c r="C729" s="88" t="n">
        <v>729</v>
      </c>
      <c r="E729" s="1">
        <f>B729</f>
        <v/>
      </c>
      <c r="F729" s="2">
        <f>B729</f>
        <v/>
      </c>
      <c r="G729" s="88" t="n">
        <v>727</v>
      </c>
      <c r="H729" s="89" t="n"/>
      <c r="I729" s="89" t="n"/>
      <c r="J729" s="89" t="n">
        <v>54.33974</v>
      </c>
      <c r="K729" s="89" t="n">
        <v>57.94779</v>
      </c>
      <c r="L729" s="89" t="n"/>
      <c r="M729" s="89" t="n"/>
      <c r="N729" s="89" t="n">
        <v>60.17461</v>
      </c>
      <c r="O729" s="89" t="n">
        <v>62.53399</v>
      </c>
      <c r="P729" s="89" t="n">
        <v>84.56075</v>
      </c>
      <c r="Q729" s="89" t="n"/>
      <c r="R729" s="89" t="n">
        <v>47.19938</v>
      </c>
      <c r="S729" s="89" t="n">
        <v>84.21485</v>
      </c>
      <c r="T729" s="89" t="n">
        <v>84.27857</v>
      </c>
      <c r="U729" s="89" t="n">
        <v>113.4592</v>
      </c>
      <c r="V729" s="89" t="n"/>
      <c r="W729" s="89" t="n">
        <v>7.806493</v>
      </c>
      <c r="X729" s="89" t="n"/>
      <c r="Y729" s="89" t="n"/>
      <c r="Z729" s="89" t="n">
        <v>93.86899</v>
      </c>
      <c r="AA729" s="89" t="n">
        <v>69.32227</v>
      </c>
      <c r="AB729" s="89" t="n"/>
      <c r="AC729" s="89" t="n">
        <v>52.03103</v>
      </c>
      <c r="AD729" s="89" t="n"/>
      <c r="AE729" s="89" t="n"/>
      <c r="AF729" s="89" t="n">
        <v>67.64058</v>
      </c>
      <c r="AG729" s="89" t="n">
        <v>55.49973</v>
      </c>
      <c r="AH729" s="89" t="n">
        <v>53.31844</v>
      </c>
      <c r="AI729" s="89" t="n"/>
      <c r="AJ729" s="89" t="n">
        <v>70.53513</v>
      </c>
      <c r="AK729" s="89" t="n"/>
      <c r="AL729" s="89" t="n"/>
      <c r="AM729" s="89" t="n">
        <v>59.53077</v>
      </c>
      <c r="AN729" s="89" t="n"/>
      <c r="AO729" s="89" t="n">
        <v>50.80125</v>
      </c>
      <c r="AP729" s="89" t="n">
        <v>69.09161</v>
      </c>
      <c r="AQ729" s="89" t="n"/>
      <c r="AR729" s="89" t="n"/>
      <c r="AS729" s="89" t="n"/>
      <c r="AT729" s="89" t="n"/>
      <c r="AU729" s="89" t="n"/>
      <c r="AV729" s="89" t="n"/>
      <c r="AW729" s="89" t="n"/>
      <c r="AX729" s="89" t="n"/>
      <c r="AY729" s="89" t="n">
        <v>63.87566</v>
      </c>
    </row>
    <row r="730">
      <c r="A730" t="inlineStr">
        <is>
          <t>1979-09</t>
        </is>
      </c>
      <c r="B730" s="1" t="n">
        <v>29099</v>
      </c>
      <c r="C730" s="88" t="n">
        <v>730</v>
      </c>
      <c r="E730" s="1">
        <f>B730</f>
        <v/>
      </c>
      <c r="F730" s="2">
        <f>B730</f>
        <v/>
      </c>
      <c r="G730" s="88" t="n">
        <v>728</v>
      </c>
      <c r="H730" s="89" t="n"/>
      <c r="I730" s="89" t="n"/>
      <c r="J730" s="89" t="n">
        <v>55.07673</v>
      </c>
      <c r="K730" s="89" t="n">
        <v>57.82843</v>
      </c>
      <c r="L730" s="89" t="n"/>
      <c r="M730" s="89" t="n"/>
      <c r="N730" s="89" t="n">
        <v>60.29804</v>
      </c>
      <c r="O730" s="89" t="n">
        <v>62.53399</v>
      </c>
      <c r="P730" s="89" t="n">
        <v>83.30963</v>
      </c>
      <c r="Q730" s="89" t="n"/>
      <c r="R730" s="89" t="n">
        <v>46.9459</v>
      </c>
      <c r="S730" s="89" t="n">
        <v>82.99346</v>
      </c>
      <c r="T730" s="89" t="n">
        <v>83.98560000000001</v>
      </c>
      <c r="U730" s="89" t="n">
        <v>111.8584</v>
      </c>
      <c r="V730" s="89" t="n"/>
      <c r="W730" s="89" t="n">
        <v>8.106152</v>
      </c>
      <c r="X730" s="89" t="n"/>
      <c r="Y730" s="89" t="n"/>
      <c r="Z730" s="89" t="n">
        <v>95.6073</v>
      </c>
      <c r="AA730" s="89" t="n">
        <v>68.06032999999999</v>
      </c>
      <c r="AB730" s="89" t="n"/>
      <c r="AC730" s="89" t="n">
        <v>54.2356</v>
      </c>
      <c r="AD730" s="89" t="n"/>
      <c r="AE730" s="89" t="n"/>
      <c r="AF730" s="89" t="n">
        <v>68.98</v>
      </c>
      <c r="AG730" s="89" t="n">
        <v>57.74215</v>
      </c>
      <c r="AH730" s="89" t="n">
        <v>53.22599</v>
      </c>
      <c r="AI730" s="89" t="n"/>
      <c r="AJ730" s="89" t="n">
        <v>68.29803</v>
      </c>
      <c r="AK730" s="89" t="n"/>
      <c r="AL730" s="89" t="n"/>
      <c r="AM730" s="89" t="n">
        <v>60.04793</v>
      </c>
      <c r="AN730" s="89" t="n"/>
      <c r="AO730" s="89" t="n">
        <v>50.85764</v>
      </c>
      <c r="AP730" s="89" t="n">
        <v>69.18684</v>
      </c>
      <c r="AQ730" s="89" t="n"/>
      <c r="AR730" s="89" t="n"/>
      <c r="AS730" s="89" t="n"/>
      <c r="AT730" s="89" t="n"/>
      <c r="AU730" s="89" t="n"/>
      <c r="AV730" s="89" t="n"/>
      <c r="AW730" s="89" t="n"/>
      <c r="AX730" s="89" t="n"/>
      <c r="AY730" s="89" t="n">
        <v>62.66731</v>
      </c>
    </row>
    <row r="731">
      <c r="A731" t="inlineStr">
        <is>
          <t>1979-10</t>
        </is>
      </c>
      <c r="B731" s="1" t="n">
        <v>29129</v>
      </c>
      <c r="C731" s="88" t="n">
        <v>731</v>
      </c>
      <c r="E731" s="1">
        <f>B731</f>
        <v/>
      </c>
      <c r="F731" s="2">
        <f>B731</f>
        <v/>
      </c>
      <c r="G731" s="88" t="n">
        <v>729</v>
      </c>
      <c r="H731" s="89" t="n"/>
      <c r="I731" s="89" t="n"/>
      <c r="J731" s="89" t="n">
        <v>53.93938</v>
      </c>
      <c r="K731" s="89" t="n">
        <v>57.7415</v>
      </c>
      <c r="L731" s="89" t="n"/>
      <c r="M731" s="89" t="n"/>
      <c r="N731" s="89" t="n">
        <v>59.61915</v>
      </c>
      <c r="O731" s="89" t="n">
        <v>65.66068</v>
      </c>
      <c r="P731" s="89" t="n">
        <v>82.49706999999999</v>
      </c>
      <c r="Q731" s="89" t="n"/>
      <c r="R731" s="89" t="n">
        <v>47.40217</v>
      </c>
      <c r="S731" s="89" t="n">
        <v>82.26063000000001</v>
      </c>
      <c r="T731" s="89" t="n">
        <v>84.27857</v>
      </c>
      <c r="U731" s="89" t="n">
        <v>114.3577</v>
      </c>
      <c r="V731" s="89" t="n"/>
      <c r="W731" s="89" t="n">
        <v>7.998582</v>
      </c>
      <c r="X731" s="89" t="n"/>
      <c r="Y731" s="89" t="n"/>
      <c r="Z731" s="89" t="n">
        <v>94.83472</v>
      </c>
      <c r="AA731" s="89" t="n">
        <v>69.49053000000001</v>
      </c>
      <c r="AB731" s="89" t="n"/>
      <c r="AC731" s="89" t="n">
        <v>50.94241</v>
      </c>
      <c r="AD731" s="89" t="n"/>
      <c r="AE731" s="89" t="n"/>
      <c r="AF731" s="89" t="n">
        <v>68.31028999999999</v>
      </c>
      <c r="AG731" s="89" t="n">
        <v>54.93913</v>
      </c>
      <c r="AH731" s="89" t="n">
        <v>53.31814</v>
      </c>
      <c r="AI731" s="89" t="n"/>
      <c r="AJ731" s="89" t="n">
        <v>69.04288</v>
      </c>
      <c r="AK731" s="89" t="n"/>
      <c r="AL731" s="89" t="n"/>
      <c r="AM731" s="89" t="n">
        <v>58.61138</v>
      </c>
      <c r="AN731" s="89" t="n"/>
      <c r="AO731" s="89" t="n">
        <v>51.13657</v>
      </c>
      <c r="AP731" s="89" t="n">
        <v>68.60592</v>
      </c>
      <c r="AQ731" s="89" t="n"/>
      <c r="AR731" s="89" t="n"/>
      <c r="AS731" s="89" t="n"/>
      <c r="AT731" s="89" t="n"/>
      <c r="AU731" s="89" t="n"/>
      <c r="AV731" s="89" t="n"/>
      <c r="AW731" s="89" t="n"/>
      <c r="AX731" s="89" t="n"/>
      <c r="AY731" s="89" t="n">
        <v>64.90552</v>
      </c>
    </row>
    <row r="732">
      <c r="A732" t="inlineStr">
        <is>
          <t>1979-11</t>
        </is>
      </c>
      <c r="B732" s="1" t="n">
        <v>29160</v>
      </c>
      <c r="C732" s="88" t="n">
        <v>732</v>
      </c>
      <c r="E732" s="1">
        <f>B732</f>
        <v/>
      </c>
      <c r="F732" s="2">
        <f>B732</f>
        <v/>
      </c>
      <c r="G732" s="88" t="n">
        <v>730</v>
      </c>
      <c r="H732" s="89" t="n"/>
      <c r="I732" s="89" t="n"/>
      <c r="J732" s="89" t="n">
        <v>53.82787</v>
      </c>
      <c r="K732" s="89" t="n">
        <v>57.25515</v>
      </c>
      <c r="L732" s="89" t="n"/>
      <c r="M732" s="89" t="n"/>
      <c r="N732" s="89" t="n">
        <v>61.16209</v>
      </c>
      <c r="O732" s="89" t="n">
        <v>65.66068</v>
      </c>
      <c r="P732" s="89" t="n">
        <v>82.21011</v>
      </c>
      <c r="Q732" s="89" t="n"/>
      <c r="R732" s="89" t="n">
        <v>48.56821</v>
      </c>
      <c r="S732" s="89" t="n">
        <v>82.62703999999999</v>
      </c>
      <c r="T732" s="89" t="n">
        <v>85.35281000000001</v>
      </c>
      <c r="U732" s="89" t="n">
        <v>108.1005</v>
      </c>
      <c r="V732" s="89" t="n"/>
      <c r="W732" s="89" t="n">
        <v>8.037000000000001</v>
      </c>
      <c r="X732" s="89" t="n"/>
      <c r="Y732" s="89" t="n"/>
      <c r="Z732" s="89" t="n">
        <v>95.41415000000001</v>
      </c>
      <c r="AA732" s="89" t="n">
        <v>70.33181999999999</v>
      </c>
      <c r="AB732" s="89" t="n"/>
      <c r="AC732" s="89" t="n">
        <v>52.91794</v>
      </c>
      <c r="AD732" s="89" t="n"/>
      <c r="AE732" s="89" t="n"/>
      <c r="AF732" s="89" t="n">
        <v>69.6497</v>
      </c>
      <c r="AG732" s="89" t="n">
        <v>57.18155</v>
      </c>
      <c r="AH732" s="89" t="n">
        <v>53.63465</v>
      </c>
      <c r="AI732" s="89" t="n"/>
      <c r="AJ732" s="89" t="n">
        <v>69.7411</v>
      </c>
      <c r="AK732" s="89" t="n"/>
      <c r="AL732" s="89" t="n"/>
      <c r="AM732" s="89" t="n">
        <v>59.07108</v>
      </c>
      <c r="AN732" s="89" t="n"/>
      <c r="AO732" s="89" t="n">
        <v>51.09123</v>
      </c>
      <c r="AP732" s="89" t="n">
        <v>69.37730999999999</v>
      </c>
      <c r="AQ732" s="89" t="n"/>
      <c r="AR732" s="89" t="n"/>
      <c r="AS732" s="89" t="n"/>
      <c r="AT732" s="89" t="n"/>
      <c r="AU732" s="89" t="n"/>
      <c r="AV732" s="89" t="n"/>
      <c r="AW732" s="89" t="n"/>
      <c r="AX732" s="89" t="n"/>
      <c r="AY732" s="89" t="n">
        <v>64.20690999999999</v>
      </c>
    </row>
    <row r="733">
      <c r="A733" t="inlineStr">
        <is>
          <t>1979-12</t>
        </is>
      </c>
      <c r="B733" s="1" t="n">
        <v>29190</v>
      </c>
      <c r="C733" s="88" t="n">
        <v>733</v>
      </c>
      <c r="E733" s="1">
        <f>B733</f>
        <v/>
      </c>
      <c r="F733" s="2">
        <f>B733</f>
        <v/>
      </c>
      <c r="G733" s="88" t="n">
        <v>731</v>
      </c>
      <c r="H733" s="89" t="n"/>
      <c r="I733" s="89" t="n"/>
      <c r="J733" s="89" t="n">
        <v>55.83507</v>
      </c>
      <c r="K733" s="89" t="n">
        <v>56.51128</v>
      </c>
      <c r="L733" s="89" t="n"/>
      <c r="M733" s="89" t="n"/>
      <c r="N733" s="89" t="n">
        <v>62.08785</v>
      </c>
      <c r="O733" s="89" t="n">
        <v>65.03534999999999</v>
      </c>
      <c r="P733" s="89" t="n">
        <v>80.66682</v>
      </c>
      <c r="Q733" s="89" t="n"/>
      <c r="R733" s="89" t="n">
        <v>48.21333</v>
      </c>
      <c r="S733" s="89" t="n">
        <v>82.50491</v>
      </c>
      <c r="T733" s="89" t="n">
        <v>85.84108999999999</v>
      </c>
      <c r="U733" s="89" t="n">
        <v>112.7032</v>
      </c>
      <c r="V733" s="89" t="n"/>
      <c r="W733" s="89" t="n">
        <v>7.729658</v>
      </c>
      <c r="X733" s="89" t="n"/>
      <c r="Y733" s="89" t="n"/>
      <c r="Z733" s="89" t="n">
        <v>98.31135</v>
      </c>
      <c r="AA733" s="89" t="n">
        <v>70.07943</v>
      </c>
      <c r="AB733" s="89" t="n"/>
      <c r="AC733" s="89" t="n">
        <v>55.31723</v>
      </c>
      <c r="AD733" s="89" t="n"/>
      <c r="AE733" s="89" t="n"/>
      <c r="AF733" s="89" t="n">
        <v>66.30116</v>
      </c>
      <c r="AG733" s="89" t="n">
        <v>56.06034</v>
      </c>
      <c r="AH733" s="89" t="n">
        <v>53.85188</v>
      </c>
      <c r="AI733" s="89" t="n"/>
      <c r="AJ733" s="89" t="n">
        <v>69.61237</v>
      </c>
      <c r="AK733" s="89" t="n"/>
      <c r="AL733" s="89" t="n"/>
      <c r="AM733" s="89" t="n">
        <v>60.73748</v>
      </c>
      <c r="AN733" s="89" t="n"/>
      <c r="AO733" s="89" t="n">
        <v>51.15702</v>
      </c>
      <c r="AP733" s="89" t="n">
        <v>70.14870000000001</v>
      </c>
      <c r="AQ733" s="89" t="n"/>
      <c r="AR733" s="89" t="n"/>
      <c r="AS733" s="89" t="n"/>
      <c r="AT733" s="89" t="n"/>
      <c r="AU733" s="89" t="n"/>
      <c r="AV733" s="89" t="n"/>
      <c r="AW733" s="89" t="n"/>
      <c r="AX733" s="89" t="n"/>
      <c r="AY733" s="89" t="n">
        <v>65.44978</v>
      </c>
    </row>
    <row r="734">
      <c r="A734" t="inlineStr">
        <is>
          <t>1980-01</t>
        </is>
      </c>
      <c r="B734" s="1" t="n">
        <v>29221</v>
      </c>
      <c r="C734" s="88" t="n">
        <v>734</v>
      </c>
      <c r="E734" s="1">
        <f>B734</f>
        <v/>
      </c>
      <c r="F734" s="2">
        <f>B734</f>
        <v/>
      </c>
      <c r="G734" s="88" t="n">
        <v>732</v>
      </c>
      <c r="H734" s="89" t="n"/>
      <c r="I734" s="89" t="n"/>
      <c r="J734" s="89" t="n">
        <v>55.37201</v>
      </c>
      <c r="K734" s="89" t="n">
        <v>57.2716</v>
      </c>
      <c r="L734" s="89" t="n"/>
      <c r="M734" s="89" t="n"/>
      <c r="N734" s="89" t="n">
        <v>61.71754</v>
      </c>
      <c r="O734" s="89" t="n">
        <v>64.41</v>
      </c>
      <c r="P734" s="89" t="n">
        <v>83.35979</v>
      </c>
      <c r="Q734" s="89" t="n"/>
      <c r="R734" s="89" t="n">
        <v>49.58216</v>
      </c>
      <c r="S734" s="89" t="n">
        <v>82.01649</v>
      </c>
      <c r="T734" s="89" t="n">
        <v>85.35281000000001</v>
      </c>
      <c r="U734" s="89" t="n">
        <v>112.9633</v>
      </c>
      <c r="V734" s="89" t="n"/>
      <c r="W734" s="89" t="n">
        <v>7.868233</v>
      </c>
      <c r="X734" s="89" t="n"/>
      <c r="Y734" s="89" t="n"/>
      <c r="Z734" s="89" t="n">
        <v>97.38666000000001</v>
      </c>
      <c r="AA734" s="89" t="n">
        <v>70.58421</v>
      </c>
      <c r="AB734" s="89" t="n"/>
      <c r="AC734" s="89" t="n">
        <v>54.50422</v>
      </c>
      <c r="AD734" s="89" t="n"/>
      <c r="AE734" s="89" t="n">
        <v>54.65603</v>
      </c>
      <c r="AF734" s="89" t="n">
        <v>68.98</v>
      </c>
      <c r="AG734" s="89" t="n">
        <v>57.74215</v>
      </c>
      <c r="AH734" s="89" t="n">
        <v>53.99166</v>
      </c>
      <c r="AI734" s="89" t="n"/>
      <c r="AJ734" s="89" t="n">
        <v>71.70283000000001</v>
      </c>
      <c r="AK734" s="89" t="n"/>
      <c r="AL734" s="89" t="n"/>
      <c r="AM734" s="89" t="n">
        <v>60.04793</v>
      </c>
      <c r="AN734" s="89" t="n"/>
      <c r="AO734" s="89" t="n">
        <v>51.39081</v>
      </c>
      <c r="AP734" s="89" t="n">
        <v>68.14715</v>
      </c>
      <c r="AQ734" s="89" t="n"/>
      <c r="AR734" s="89" t="n"/>
      <c r="AS734" s="89" t="n"/>
      <c r="AT734" s="89" t="n"/>
      <c r="AU734" s="89" t="n"/>
      <c r="AV734" s="89" t="n"/>
      <c r="AW734" s="89" t="n"/>
      <c r="AX734" s="89" t="n"/>
      <c r="AY734" s="89" t="n">
        <v>66.45305</v>
      </c>
    </row>
    <row r="735">
      <c r="A735" t="inlineStr">
        <is>
          <t>1980-02</t>
        </is>
      </c>
      <c r="B735" s="1" t="n">
        <v>29252</v>
      </c>
      <c r="C735" s="88" t="n">
        <v>735</v>
      </c>
      <c r="E735" s="1">
        <f>B735</f>
        <v/>
      </c>
      <c r="F735" s="2">
        <f>B735</f>
        <v/>
      </c>
      <c r="G735" s="88" t="n">
        <v>733</v>
      </c>
      <c r="H735" s="89" t="n"/>
      <c r="I735" s="89" t="n"/>
      <c r="J735" s="89" t="n">
        <v>54.11776</v>
      </c>
      <c r="K735" s="89" t="n">
        <v>56.25048</v>
      </c>
      <c r="L735" s="89" t="n"/>
      <c r="M735" s="89" t="n"/>
      <c r="N735" s="89" t="n">
        <v>61.65583</v>
      </c>
      <c r="O735" s="89" t="n">
        <v>63.78466</v>
      </c>
      <c r="P735" s="89" t="n">
        <v>82.78931</v>
      </c>
      <c r="Q735" s="89" t="n"/>
      <c r="R735" s="89" t="n">
        <v>49.12589</v>
      </c>
      <c r="S735" s="89" t="n">
        <v>81.77216</v>
      </c>
      <c r="T735" s="89" t="n">
        <v>83.30199</v>
      </c>
      <c r="U735" s="89" t="n">
        <v>112.8488</v>
      </c>
      <c r="V735" s="89" t="n"/>
      <c r="W735" s="89" t="n">
        <v>7.575984</v>
      </c>
      <c r="X735" s="89" t="n"/>
      <c r="Y735" s="89" t="n"/>
      <c r="Z735" s="89" t="n">
        <v>98.97094</v>
      </c>
      <c r="AA735" s="89" t="n">
        <v>73.1922</v>
      </c>
      <c r="AB735" s="89" t="n"/>
      <c r="AC735" s="89" t="n">
        <v>52.3973</v>
      </c>
      <c r="AD735" s="89" t="n"/>
      <c r="AE735" s="89" t="n">
        <v>54.22225</v>
      </c>
      <c r="AF735" s="89" t="n">
        <v>66.30116</v>
      </c>
      <c r="AG735" s="89" t="n">
        <v>58.86335</v>
      </c>
      <c r="AH735" s="89" t="n">
        <v>54.10785</v>
      </c>
      <c r="AI735" s="89" t="n"/>
      <c r="AJ735" s="89" t="n">
        <v>69.95049</v>
      </c>
      <c r="AK735" s="89" t="n"/>
      <c r="AL735" s="89" t="n"/>
      <c r="AM735" s="89" t="n">
        <v>59.58823</v>
      </c>
      <c r="AN735" s="89" t="n"/>
      <c r="AO735" s="89" t="n">
        <v>51.39235</v>
      </c>
      <c r="AP735" s="89" t="n">
        <v>67.56469</v>
      </c>
      <c r="AQ735" s="89" t="n"/>
      <c r="AR735" s="89" t="n"/>
      <c r="AS735" s="89" t="n"/>
      <c r="AT735" s="89" t="n"/>
      <c r="AU735" s="89" t="n"/>
      <c r="AV735" s="89" t="n"/>
      <c r="AW735" s="89" t="n"/>
      <c r="AX735" s="89" t="n"/>
      <c r="AY735" s="89" t="n">
        <v>67.28445000000001</v>
      </c>
    </row>
    <row r="736">
      <c r="A736" t="inlineStr">
        <is>
          <t>1980-03</t>
        </is>
      </c>
      <c r="B736" s="1" t="n">
        <v>29281</v>
      </c>
      <c r="C736" s="88" t="n">
        <v>736</v>
      </c>
      <c r="E736" s="1">
        <f>B736</f>
        <v/>
      </c>
      <c r="F736" s="2">
        <f>B736</f>
        <v/>
      </c>
      <c r="G736" s="88" t="n">
        <v>734</v>
      </c>
      <c r="H736" s="89" t="n"/>
      <c r="I736" s="89" t="n"/>
      <c r="J736" s="89" t="n">
        <v>54.9492</v>
      </c>
      <c r="K736" s="89" t="n">
        <v>56.90366</v>
      </c>
      <c r="L736" s="89" t="n"/>
      <c r="M736" s="89" t="n"/>
      <c r="N736" s="89" t="n">
        <v>61.10037</v>
      </c>
      <c r="O736" s="89" t="n">
        <v>64.41</v>
      </c>
      <c r="P736" s="89" t="n">
        <v>85.77445</v>
      </c>
      <c r="Q736" s="89" t="n"/>
      <c r="R736" s="89" t="n">
        <v>50.19054</v>
      </c>
      <c r="S736" s="89" t="n">
        <v>82.34228</v>
      </c>
      <c r="T736" s="89" t="n">
        <v>82.81371</v>
      </c>
      <c r="U736" s="89" t="n">
        <v>113.7096</v>
      </c>
      <c r="V736" s="89" t="n"/>
      <c r="W736" s="89" t="n">
        <v>7.710868</v>
      </c>
      <c r="X736" s="89" t="n"/>
      <c r="Y736" s="89" t="n"/>
      <c r="Z736" s="89" t="n">
        <v>101.394</v>
      </c>
      <c r="AA736" s="89" t="n">
        <v>71.25724</v>
      </c>
      <c r="AB736" s="89" t="n"/>
      <c r="AC736" s="89" t="n">
        <v>53.5668</v>
      </c>
      <c r="AD736" s="89" t="n"/>
      <c r="AE736" s="89" t="n">
        <v>55.2344</v>
      </c>
      <c r="AF736" s="89" t="n">
        <v>69.6497</v>
      </c>
      <c r="AG736" s="89" t="n">
        <v>56.62094</v>
      </c>
      <c r="AH736" s="89" t="n">
        <v>54.10537</v>
      </c>
      <c r="AI736" s="89" t="n"/>
      <c r="AJ736" s="89" t="n">
        <v>70.82854</v>
      </c>
      <c r="AK736" s="89" t="n"/>
      <c r="AL736" s="89" t="n"/>
      <c r="AM736" s="89" t="n">
        <v>60.3927</v>
      </c>
      <c r="AN736" s="89" t="n"/>
      <c r="AO736" s="89" t="n">
        <v>51.2234</v>
      </c>
      <c r="AP736" s="89" t="n">
        <v>67.5975</v>
      </c>
      <c r="AQ736" s="89" t="n"/>
      <c r="AR736" s="89" t="n"/>
      <c r="AS736" s="89" t="n"/>
      <c r="AT736" s="89" t="n"/>
      <c r="AU736" s="89" t="n"/>
      <c r="AV736" s="89" t="n"/>
      <c r="AW736" s="89" t="n"/>
      <c r="AX736" s="89" t="n"/>
      <c r="AY736" s="89" t="n">
        <v>69.76600000000001</v>
      </c>
    </row>
    <row r="737">
      <c r="A737" t="inlineStr">
        <is>
          <t>1980-04</t>
        </is>
      </c>
      <c r="B737" s="1" t="n">
        <v>29312</v>
      </c>
      <c r="C737" s="88" t="n">
        <v>737</v>
      </c>
      <c r="E737" s="1">
        <f>B737</f>
        <v/>
      </c>
      <c r="F737" s="2">
        <f>B737</f>
        <v/>
      </c>
      <c r="G737" s="88" t="n">
        <v>735</v>
      </c>
      <c r="H737" s="89" t="n"/>
      <c r="I737" s="89" t="n"/>
      <c r="J737" s="89" t="n">
        <v>53.21466</v>
      </c>
      <c r="K737" s="89" t="n">
        <v>55.6396</v>
      </c>
      <c r="L737" s="89" t="n"/>
      <c r="M737" s="89" t="n"/>
      <c r="N737" s="89" t="n">
        <v>60.48319</v>
      </c>
      <c r="O737" s="89" t="n">
        <v>63.78466</v>
      </c>
      <c r="P737" s="89" t="n">
        <v>82.62034</v>
      </c>
      <c r="Q737" s="89" t="n"/>
      <c r="R737" s="89" t="n">
        <v>50.44402</v>
      </c>
      <c r="S737" s="89" t="n">
        <v>82.34228</v>
      </c>
      <c r="T737" s="89" t="n">
        <v>80.46992</v>
      </c>
      <c r="U737" s="89" t="n">
        <v>115.655</v>
      </c>
      <c r="V737" s="89" t="n"/>
      <c r="W737" s="89" t="n">
        <v>7.665906</v>
      </c>
      <c r="X737" s="89" t="n"/>
      <c r="Y737" s="89" t="n"/>
      <c r="Z737" s="89" t="n">
        <v>99.71648</v>
      </c>
      <c r="AA737" s="89" t="n">
        <v>72.51917</v>
      </c>
      <c r="AB737" s="89" t="n"/>
      <c r="AC737" s="89" t="n">
        <v>54.43686</v>
      </c>
      <c r="AD737" s="89" t="n"/>
      <c r="AE737" s="89" t="n">
        <v>54.94522</v>
      </c>
      <c r="AF737" s="89" t="n">
        <v>66.97087000000001</v>
      </c>
      <c r="AG737" s="89" t="n">
        <v>57.18155</v>
      </c>
      <c r="AH737" s="89" t="n">
        <v>53.4581</v>
      </c>
      <c r="AI737" s="89" t="n"/>
      <c r="AJ737" s="89" t="n">
        <v>69.71375</v>
      </c>
      <c r="AK737" s="89" t="n"/>
      <c r="AL737" s="89" t="n"/>
      <c r="AM737" s="89" t="n">
        <v>59.53077</v>
      </c>
      <c r="AN737" s="89" t="n"/>
      <c r="AO737" s="89" t="n">
        <v>50.17087</v>
      </c>
      <c r="AP737" s="89" t="n">
        <v>67.44164000000001</v>
      </c>
      <c r="AQ737" s="89" t="n"/>
      <c r="AR737" s="89" t="n"/>
      <c r="AS737" s="89" t="n"/>
      <c r="AT737" s="89" t="n"/>
      <c r="AU737" s="89" t="n"/>
      <c r="AV737" s="89" t="n"/>
      <c r="AW737" s="89" t="n"/>
      <c r="AX737" s="89" t="n"/>
      <c r="AY737" s="89" t="n">
        <v>66.7307</v>
      </c>
    </row>
    <row r="738">
      <c r="A738" t="inlineStr">
        <is>
          <t>1980-05</t>
        </is>
      </c>
      <c r="B738" s="1" t="n">
        <v>29342</v>
      </c>
      <c r="C738" s="88" t="n">
        <v>738</v>
      </c>
      <c r="E738" s="1">
        <f>B738</f>
        <v/>
      </c>
      <c r="F738" s="2">
        <f>B738</f>
        <v/>
      </c>
      <c r="G738" s="88" t="n">
        <v>736</v>
      </c>
      <c r="H738" s="89" t="n"/>
      <c r="I738" s="89" t="n"/>
      <c r="J738" s="89" t="n">
        <v>53.29696</v>
      </c>
      <c r="K738" s="89" t="n">
        <v>54.26793</v>
      </c>
      <c r="L738" s="89" t="n"/>
      <c r="M738" s="89" t="n"/>
      <c r="N738" s="89" t="n">
        <v>60.42147</v>
      </c>
      <c r="O738" s="89" t="n">
        <v>62.53399</v>
      </c>
      <c r="P738" s="89" t="n">
        <v>82.1168</v>
      </c>
      <c r="Q738" s="89" t="n"/>
      <c r="R738" s="89" t="n">
        <v>49.17659</v>
      </c>
      <c r="S738" s="89" t="n">
        <v>80.30612000000001</v>
      </c>
      <c r="T738" s="89" t="n">
        <v>80.66524</v>
      </c>
      <c r="U738" s="89" t="n">
        <v>115.252</v>
      </c>
      <c r="V738" s="89" t="n"/>
      <c r="W738" s="89" t="n">
        <v>7.823271</v>
      </c>
      <c r="X738" s="89" t="n"/>
      <c r="Y738" s="89" t="n"/>
      <c r="Z738" s="89" t="n">
        <v>97.38666000000001</v>
      </c>
      <c r="AA738" s="89" t="n">
        <v>72.01439999999999</v>
      </c>
      <c r="AB738" s="89" t="n"/>
      <c r="AC738" s="89" t="n">
        <v>52.73711</v>
      </c>
      <c r="AD738" s="89" t="n"/>
      <c r="AE738" s="89" t="n">
        <v>55.01751</v>
      </c>
      <c r="AF738" s="89" t="n">
        <v>67.64058</v>
      </c>
      <c r="AG738" s="89" t="n">
        <v>57.18155</v>
      </c>
      <c r="AH738" s="89" t="n">
        <v>52.63578</v>
      </c>
      <c r="AI738" s="89" t="n"/>
      <c r="AJ738" s="89" t="n">
        <v>69.19548</v>
      </c>
      <c r="AK738" s="89" t="n"/>
      <c r="AL738" s="89" t="n"/>
      <c r="AM738" s="89" t="n">
        <v>45.96971</v>
      </c>
      <c r="AN738" s="89" t="n"/>
      <c r="AO738" s="89" t="n">
        <v>48.95121</v>
      </c>
      <c r="AP738" s="89" t="n">
        <v>66.6705</v>
      </c>
      <c r="AQ738" s="89" t="n"/>
      <c r="AR738" s="89" t="n"/>
      <c r="AS738" s="89" t="n"/>
      <c r="AT738" s="89" t="n"/>
      <c r="AU738" s="89" t="n"/>
      <c r="AV738" s="89" t="n"/>
      <c r="AW738" s="89" t="n"/>
      <c r="AX738" s="89" t="n"/>
      <c r="AY738" s="89" t="n">
        <v>69.00111</v>
      </c>
    </row>
    <row r="739">
      <c r="A739" t="inlineStr">
        <is>
          <t>1980-06</t>
        </is>
      </c>
      <c r="B739" s="1" t="n">
        <v>29373</v>
      </c>
      <c r="C739" s="88" t="n">
        <v>739</v>
      </c>
      <c r="E739" s="1">
        <f>B739</f>
        <v/>
      </c>
      <c r="F739" s="2">
        <f>B739</f>
        <v/>
      </c>
      <c r="G739" s="88" t="n">
        <v>737</v>
      </c>
      <c r="H739" s="89" t="n"/>
      <c r="I739" s="89" t="n"/>
      <c r="J739" s="89" t="n">
        <v>52.66265</v>
      </c>
      <c r="K739" s="89" t="n">
        <v>53.92537</v>
      </c>
      <c r="L739" s="89" t="n"/>
      <c r="M739" s="89" t="n"/>
      <c r="N739" s="89" t="n">
        <v>59.86602</v>
      </c>
      <c r="O739" s="89" t="n">
        <v>62.53399</v>
      </c>
      <c r="P739" s="89" t="n">
        <v>83.24897</v>
      </c>
      <c r="Q739" s="89" t="n"/>
      <c r="R739" s="89" t="n">
        <v>51.86355</v>
      </c>
      <c r="S739" s="89" t="n">
        <v>80.71335000000001</v>
      </c>
      <c r="T739" s="89" t="n">
        <v>80.66524</v>
      </c>
      <c r="U739" s="89" t="n">
        <v>115.2015</v>
      </c>
      <c r="V739" s="89" t="n"/>
      <c r="W739" s="89" t="n">
        <v>7.710868</v>
      </c>
      <c r="X739" s="89" t="n"/>
      <c r="Y739" s="89" t="n"/>
      <c r="Z739" s="89" t="n">
        <v>96.54792</v>
      </c>
      <c r="AA739" s="89" t="n">
        <v>71.25724</v>
      </c>
      <c r="AB739" s="89" t="n"/>
      <c r="AC739" s="89" t="n">
        <v>51.99043</v>
      </c>
      <c r="AD739" s="89" t="n"/>
      <c r="AE739" s="89" t="n">
        <v>55.59588</v>
      </c>
      <c r="AF739" s="89" t="n">
        <v>66.97087000000001</v>
      </c>
      <c r="AG739" s="89" t="n">
        <v>58.30275</v>
      </c>
      <c r="AH739" s="89" t="n">
        <v>52.43985</v>
      </c>
      <c r="AI739" s="89" t="n"/>
      <c r="AJ739" s="89" t="n">
        <v>70.69895</v>
      </c>
      <c r="AK739" s="89" t="n"/>
      <c r="AL739" s="89" t="n"/>
      <c r="AM739" s="89" t="n">
        <v>59.24346</v>
      </c>
      <c r="AN739" s="89" t="n"/>
      <c r="AO739" s="89" t="n">
        <v>48.34705</v>
      </c>
      <c r="AP739" s="89" t="n">
        <v>67.05607000000001</v>
      </c>
      <c r="AQ739" s="89" t="n"/>
      <c r="AR739" s="89" t="n"/>
      <c r="AS739" s="89" t="n"/>
      <c r="AT739" s="89" t="n"/>
      <c r="AU739" s="89" t="n"/>
      <c r="AV739" s="89" t="n"/>
      <c r="AW739" s="89" t="n"/>
      <c r="AX739" s="89" t="n"/>
      <c r="AY739" s="89" t="n">
        <v>69.73269999999999</v>
      </c>
    </row>
    <row r="740">
      <c r="A740" t="inlineStr">
        <is>
          <t>1980-07</t>
        </is>
      </c>
      <c r="B740" s="1" t="n">
        <v>29403</v>
      </c>
      <c r="C740" s="88" t="n">
        <v>740</v>
      </c>
      <c r="E740" s="1">
        <f>B740</f>
        <v/>
      </c>
      <c r="F740" s="2">
        <f>B740</f>
        <v/>
      </c>
      <c r="G740" s="88" t="n">
        <v>738</v>
      </c>
      <c r="H740" s="89" t="n"/>
      <c r="I740" s="89" t="n"/>
      <c r="J740" s="89" t="n">
        <v>52.30042</v>
      </c>
      <c r="K740" s="89" t="n">
        <v>54.40938</v>
      </c>
      <c r="L740" s="89" t="n"/>
      <c r="M740" s="89" t="n"/>
      <c r="N740" s="89" t="n">
        <v>60.17461</v>
      </c>
      <c r="O740" s="89" t="n">
        <v>64.41</v>
      </c>
      <c r="P740" s="89" t="n">
        <v>82.11312</v>
      </c>
      <c r="Q740" s="89" t="n"/>
      <c r="R740" s="89" t="n">
        <v>55.81796</v>
      </c>
      <c r="S740" s="89" t="n">
        <v>81.44637</v>
      </c>
      <c r="T740" s="89" t="n">
        <v>78.9074</v>
      </c>
      <c r="U740" s="89" t="n">
        <v>114.4</v>
      </c>
      <c r="V740" s="89" t="n"/>
      <c r="W740" s="89" t="n">
        <v>7.4411</v>
      </c>
      <c r="X740" s="89" t="n"/>
      <c r="Y740" s="89" t="n"/>
      <c r="Z740" s="89" t="n">
        <v>93.75214</v>
      </c>
      <c r="AA740" s="89" t="n">
        <v>71.17310999999999</v>
      </c>
      <c r="AB740" s="89" t="n"/>
      <c r="AC740" s="89" t="n">
        <v>52.3511</v>
      </c>
      <c r="AD740" s="89" t="n"/>
      <c r="AE740" s="89" t="n">
        <v>54.65603</v>
      </c>
      <c r="AF740" s="89" t="n">
        <v>66.30116</v>
      </c>
      <c r="AG740" s="89" t="n">
        <v>49.3331</v>
      </c>
      <c r="AH740" s="89" t="n">
        <v>52.09078</v>
      </c>
      <c r="AI740" s="89" t="n"/>
      <c r="AJ740" s="89" t="n">
        <v>70.17189999999999</v>
      </c>
      <c r="AK740" s="89" t="n"/>
      <c r="AL740" s="89" t="n"/>
      <c r="AM740" s="89" t="n">
        <v>60.10539</v>
      </c>
      <c r="AN740" s="89" t="n"/>
      <c r="AO740" s="89" t="n">
        <v>47.9738</v>
      </c>
      <c r="AP740" s="89" t="n">
        <v>66.47362</v>
      </c>
      <c r="AQ740" s="89" t="n"/>
      <c r="AR740" s="89" t="n"/>
      <c r="AS740" s="89" t="n"/>
      <c r="AT740" s="89" t="n"/>
      <c r="AU740" s="89" t="n"/>
      <c r="AV740" s="89" t="n"/>
      <c r="AW740" s="89" t="n"/>
      <c r="AX740" s="89" t="n"/>
      <c r="AY740" s="89" t="n">
        <v>68.94213999999999</v>
      </c>
    </row>
    <row r="741">
      <c r="A741" t="inlineStr">
        <is>
          <t>1980-08</t>
        </is>
      </c>
      <c r="B741" s="1" t="n">
        <v>29434</v>
      </c>
      <c r="C741" s="88" t="n">
        <v>741</v>
      </c>
      <c r="E741" s="1">
        <f>B741</f>
        <v/>
      </c>
      <c r="F741" s="2">
        <f>B741</f>
        <v/>
      </c>
      <c r="G741" s="88" t="n">
        <v>739</v>
      </c>
      <c r="H741" s="89" t="n"/>
      <c r="I741" s="89" t="n"/>
      <c r="J741" s="89" t="n">
        <v>53.02118</v>
      </c>
      <c r="K741" s="89" t="n">
        <v>54.15657</v>
      </c>
      <c r="L741" s="89" t="n"/>
      <c r="M741" s="89" t="n"/>
      <c r="N741" s="89" t="n">
        <v>60.29804</v>
      </c>
      <c r="O741" s="89" t="n">
        <v>60.65797</v>
      </c>
      <c r="P741" s="89" t="n">
        <v>81.83293999999999</v>
      </c>
      <c r="Q741" s="89" t="n"/>
      <c r="R741" s="89" t="n">
        <v>50.951</v>
      </c>
      <c r="S741" s="89" t="n">
        <v>81.44637</v>
      </c>
      <c r="T741" s="89" t="n">
        <v>77.7355</v>
      </c>
      <c r="U741" s="89" t="n">
        <v>111.5478</v>
      </c>
      <c r="V741" s="89" t="n"/>
      <c r="W741" s="89" t="n">
        <v>7.620945</v>
      </c>
      <c r="X741" s="89" t="n"/>
      <c r="Y741" s="89" t="n"/>
      <c r="Z741" s="89" t="n">
        <v>97.29346</v>
      </c>
      <c r="AA741" s="89" t="n">
        <v>69.06989</v>
      </c>
      <c r="AB741" s="89" t="n"/>
      <c r="AC741" s="89" t="n">
        <v>46.95355</v>
      </c>
      <c r="AD741" s="89" t="n"/>
      <c r="AE741" s="89" t="n">
        <v>56.31884</v>
      </c>
      <c r="AF741" s="89" t="n">
        <v>65.63145</v>
      </c>
      <c r="AG741" s="89" t="n">
        <v>56.06034</v>
      </c>
      <c r="AH741" s="89" t="n">
        <v>52.05762</v>
      </c>
      <c r="AI741" s="89" t="n"/>
      <c r="AJ741" s="89" t="n">
        <v>67.61494</v>
      </c>
      <c r="AK741" s="89" t="n"/>
      <c r="AL741" s="89" t="n"/>
      <c r="AM741" s="89" t="n">
        <v>58.32407</v>
      </c>
      <c r="AN741" s="89" t="n"/>
      <c r="AO741" s="89" t="n">
        <v>48.14612</v>
      </c>
      <c r="AP741" s="89" t="n">
        <v>67.75337</v>
      </c>
      <c r="AQ741" s="89" t="n"/>
      <c r="AR741" s="89" t="n"/>
      <c r="AS741" s="89" t="n"/>
      <c r="AT741" s="89" t="n"/>
      <c r="AU741" s="89" t="n"/>
      <c r="AV741" s="89" t="n"/>
      <c r="AW741" s="89" t="n"/>
      <c r="AX741" s="89" t="n"/>
      <c r="AY741" s="89" t="n">
        <v>68.6326</v>
      </c>
    </row>
    <row r="742">
      <c r="A742" t="inlineStr">
        <is>
          <t>1980-09</t>
        </is>
      </c>
      <c r="B742" s="1" t="n">
        <v>29465</v>
      </c>
      <c r="C742" s="88" t="n">
        <v>742</v>
      </c>
      <c r="E742" s="1">
        <f>B742</f>
        <v/>
      </c>
      <c r="F742" s="2">
        <f>B742</f>
        <v/>
      </c>
      <c r="G742" s="88" t="n">
        <v>740</v>
      </c>
      <c r="H742" s="89" t="n"/>
      <c r="I742" s="89" t="n"/>
      <c r="J742" s="89" t="n">
        <v>51.29192</v>
      </c>
      <c r="K742" s="89" t="n">
        <v>55.40323</v>
      </c>
      <c r="L742" s="89" t="n"/>
      <c r="M742" s="89" t="n"/>
      <c r="N742" s="89" t="n">
        <v>58.19964</v>
      </c>
      <c r="O742" s="89" t="n">
        <v>61.28331</v>
      </c>
      <c r="P742" s="89" t="n">
        <v>82.40428</v>
      </c>
      <c r="Q742" s="89" t="n"/>
      <c r="R742" s="89" t="n">
        <v>50.7989</v>
      </c>
      <c r="S742" s="89" t="n">
        <v>79.89888999999999</v>
      </c>
      <c r="T742" s="89" t="n">
        <v>76.3683</v>
      </c>
      <c r="U742" s="89" t="n">
        <v>112.89</v>
      </c>
      <c r="V742" s="89" t="n"/>
      <c r="W742" s="89" t="n">
        <v>7.418619</v>
      </c>
      <c r="X742" s="89" t="n"/>
      <c r="Y742" s="89" t="n"/>
      <c r="Z742" s="89" t="n">
        <v>91.42231</v>
      </c>
      <c r="AA742" s="89" t="n">
        <v>70.16356</v>
      </c>
      <c r="AB742" s="89" t="n"/>
      <c r="AC742" s="89" t="n">
        <v>47.94241</v>
      </c>
      <c r="AD742" s="89" t="n"/>
      <c r="AE742" s="89" t="n">
        <v>56.46344</v>
      </c>
      <c r="AF742" s="89" t="n">
        <v>63.62233</v>
      </c>
      <c r="AG742" s="89" t="n">
        <v>54.93913</v>
      </c>
      <c r="AH742" s="89" t="n">
        <v>51.90992</v>
      </c>
      <c r="AI742" s="89" t="n"/>
      <c r="AJ742" s="89" t="n">
        <v>67.30817</v>
      </c>
      <c r="AK742" s="89" t="n"/>
      <c r="AL742" s="89" t="n"/>
      <c r="AM742" s="89" t="n">
        <v>57.5196</v>
      </c>
      <c r="AN742" s="89" t="n"/>
      <c r="AO742" s="89" t="n">
        <v>48.92701</v>
      </c>
      <c r="AP742" s="89" t="n">
        <v>65.66965999999999</v>
      </c>
      <c r="AQ742" s="89" t="n"/>
      <c r="AR742" s="89" t="n"/>
      <c r="AS742" s="89" t="n"/>
      <c r="AT742" s="89" t="n"/>
      <c r="AU742" s="89" t="n"/>
      <c r="AV742" s="89" t="n"/>
      <c r="AW742" s="89" t="n"/>
      <c r="AX742" s="89" t="n"/>
      <c r="AY742" s="89" t="n">
        <v>71.17592999999999</v>
      </c>
    </row>
    <row r="743">
      <c r="A743" t="inlineStr">
        <is>
          <t>1980-10</t>
        </is>
      </c>
      <c r="B743" s="1" t="n">
        <v>29495</v>
      </c>
      <c r="C743" s="88" t="n">
        <v>743</v>
      </c>
      <c r="E743" s="1">
        <f>B743</f>
        <v/>
      </c>
      <c r="F743" s="2">
        <f>B743</f>
        <v/>
      </c>
      <c r="G743" s="88" t="n">
        <v>741</v>
      </c>
      <c r="H743" s="89" t="n"/>
      <c r="I743" s="89" t="n"/>
      <c r="J743" s="89" t="n">
        <v>50.95789</v>
      </c>
      <c r="K743" s="89" t="n">
        <v>56.04419</v>
      </c>
      <c r="L743" s="89" t="n"/>
      <c r="M743" s="89" t="n"/>
      <c r="N743" s="89" t="n">
        <v>58.50823</v>
      </c>
      <c r="O743" s="89" t="n">
        <v>61.28331</v>
      </c>
      <c r="P743" s="89" t="n">
        <v>82.95878</v>
      </c>
      <c r="Q743" s="89" t="n"/>
      <c r="R743" s="89" t="n">
        <v>51.00169</v>
      </c>
      <c r="S743" s="89" t="n">
        <v>79.5731</v>
      </c>
      <c r="T743" s="89" t="n">
        <v>76.07532999999999</v>
      </c>
      <c r="U743" s="89" t="n">
        <v>109.3097</v>
      </c>
      <c r="V743" s="89" t="n"/>
      <c r="W743" s="89" t="n">
        <v>7.531023</v>
      </c>
      <c r="X743" s="89" t="n"/>
      <c r="Y743" s="89" t="n"/>
      <c r="Z743" s="89" t="n">
        <v>92.35424</v>
      </c>
      <c r="AA743" s="89" t="n">
        <v>70.58421</v>
      </c>
      <c r="AB743" s="89" t="n"/>
      <c r="AC743" s="89" t="n">
        <v>46.8387</v>
      </c>
      <c r="AD743" s="89" t="n"/>
      <c r="AE743" s="89" t="n">
        <v>57.40329</v>
      </c>
      <c r="AF743" s="89" t="n">
        <v>66.30116</v>
      </c>
      <c r="AG743" s="89" t="n">
        <v>56.62094</v>
      </c>
      <c r="AH743" s="89" t="n">
        <v>52.38274</v>
      </c>
      <c r="AI743" s="89" t="n"/>
      <c r="AJ743" s="89" t="n">
        <v>71.33132999999999</v>
      </c>
      <c r="AK743" s="89" t="n"/>
      <c r="AL743" s="89" t="n"/>
      <c r="AM743" s="89" t="n">
        <v>58.15168</v>
      </c>
      <c r="AN743" s="89" t="n"/>
      <c r="AO743" s="89" t="n">
        <v>49.54433</v>
      </c>
      <c r="AP743" s="89" t="n">
        <v>65.7599</v>
      </c>
      <c r="AQ743" s="89" t="n"/>
      <c r="AR743" s="89" t="n"/>
      <c r="AS743" s="89" t="n"/>
      <c r="AT743" s="89" t="n"/>
      <c r="AU743" s="89" t="n"/>
      <c r="AV743" s="89" t="n"/>
      <c r="AW743" s="89" t="n"/>
      <c r="AX743" s="89" t="n"/>
      <c r="AY743" s="89" t="n">
        <v>69.4541</v>
      </c>
    </row>
    <row r="744">
      <c r="A744" t="inlineStr">
        <is>
          <t>1980-11</t>
        </is>
      </c>
      <c r="B744" s="1" t="n">
        <v>29526</v>
      </c>
      <c r="C744" s="88" t="n">
        <v>744</v>
      </c>
      <c r="E744" s="1">
        <f>B744</f>
        <v/>
      </c>
      <c r="F744" s="2">
        <f>B744</f>
        <v/>
      </c>
      <c r="G744" s="88" t="n">
        <v>742</v>
      </c>
      <c r="H744" s="89" t="n"/>
      <c r="I744" s="89" t="n"/>
      <c r="J744" s="89" t="n">
        <v>51.05711</v>
      </c>
      <c r="K744" s="89" t="n">
        <v>56.15321</v>
      </c>
      <c r="L744" s="89" t="n"/>
      <c r="M744" s="89" t="n"/>
      <c r="N744" s="89" t="n">
        <v>59.49571</v>
      </c>
      <c r="O744" s="89" t="n">
        <v>60.65797</v>
      </c>
      <c r="P744" s="89" t="n">
        <v>83.05871999999999</v>
      </c>
      <c r="Q744" s="89" t="n"/>
      <c r="R744" s="89" t="n">
        <v>51.20449</v>
      </c>
      <c r="S744" s="89" t="n">
        <v>79.08443</v>
      </c>
      <c r="T744" s="89" t="n">
        <v>76.07532999999999</v>
      </c>
      <c r="U744" s="89" t="n">
        <v>110.1444</v>
      </c>
      <c r="V744" s="89" t="n"/>
      <c r="W744" s="89" t="n">
        <v>7.508542</v>
      </c>
      <c r="X744" s="89" t="n"/>
      <c r="Y744" s="89" t="n"/>
      <c r="Z744" s="89" t="n">
        <v>96.92068999999999</v>
      </c>
      <c r="AA744" s="89" t="n">
        <v>69.65877999999999</v>
      </c>
      <c r="AB744" s="89" t="n"/>
      <c r="AC744" s="89" t="n">
        <v>48.70047</v>
      </c>
      <c r="AD744" s="89" t="n"/>
      <c r="AE744" s="89" t="n">
        <v>58.27085</v>
      </c>
      <c r="AF744" s="89" t="n">
        <v>68.31028999999999</v>
      </c>
      <c r="AG744" s="89" t="n">
        <v>55.49973</v>
      </c>
      <c r="AH744" s="89" t="n">
        <v>52.9306</v>
      </c>
      <c r="AI744" s="89" t="n"/>
      <c r="AJ744" s="89" t="n">
        <v>70.27746999999999</v>
      </c>
      <c r="AK744" s="89" t="n"/>
      <c r="AL744" s="89" t="n"/>
      <c r="AM744" s="89" t="n">
        <v>58.38153</v>
      </c>
      <c r="AN744" s="89" t="n"/>
      <c r="AO744" s="89" t="n">
        <v>50.39957</v>
      </c>
      <c r="AP744" s="89" t="n">
        <v>66.35056</v>
      </c>
      <c r="AQ744" s="89" t="n"/>
      <c r="AR744" s="89" t="n"/>
      <c r="AS744" s="89" t="n"/>
      <c r="AT744" s="89" t="n"/>
      <c r="AU744" s="89" t="n"/>
      <c r="AV744" s="89" t="n"/>
      <c r="AW744" s="89" t="n"/>
      <c r="AX744" s="89" t="n"/>
      <c r="AY744" s="89" t="n">
        <v>70.66719999999999</v>
      </c>
    </row>
    <row r="745">
      <c r="A745" t="inlineStr">
        <is>
          <t>1980-12</t>
        </is>
      </c>
      <c r="B745" s="1" t="n">
        <v>29556</v>
      </c>
      <c r="C745" s="88" t="n">
        <v>745</v>
      </c>
      <c r="E745" s="1">
        <f>B745</f>
        <v/>
      </c>
      <c r="F745" s="2">
        <f>B745</f>
        <v/>
      </c>
      <c r="G745" s="88" t="n">
        <v>743</v>
      </c>
      <c r="H745" s="89" t="n"/>
      <c r="I745" s="89" t="n"/>
      <c r="J745" s="89" t="n">
        <v>49.5336</v>
      </c>
      <c r="K745" s="89" t="n">
        <v>56.6015</v>
      </c>
      <c r="L745" s="89" t="n"/>
      <c r="M745" s="89" t="n"/>
      <c r="N745" s="89" t="n">
        <v>58.63166</v>
      </c>
      <c r="O745" s="89" t="n">
        <v>61.28331</v>
      </c>
      <c r="P745" s="89" t="n">
        <v>81.68217</v>
      </c>
      <c r="Q745" s="89" t="n"/>
      <c r="R745" s="89" t="n">
        <v>52.01564</v>
      </c>
      <c r="S745" s="89" t="n">
        <v>80.38757</v>
      </c>
      <c r="T745" s="89" t="n">
        <v>75.58704</v>
      </c>
      <c r="U745" s="89" t="n">
        <v>114.9808</v>
      </c>
      <c r="V745" s="89" t="n"/>
      <c r="W745" s="89" t="n">
        <v>7.216293</v>
      </c>
      <c r="X745" s="89" t="n"/>
      <c r="Y745" s="89" t="n"/>
      <c r="Z745" s="89" t="n">
        <v>95.5228</v>
      </c>
      <c r="AA745" s="89" t="n">
        <v>70.66833</v>
      </c>
      <c r="AB745" s="89" t="n"/>
      <c r="AC745" s="89" t="n">
        <v>47.38928</v>
      </c>
      <c r="AD745" s="89" t="n"/>
      <c r="AE745" s="89" t="n">
        <v>58.77692</v>
      </c>
      <c r="AF745" s="89" t="n">
        <v>66.97087000000001</v>
      </c>
      <c r="AG745" s="89" t="n">
        <v>54.93913</v>
      </c>
      <c r="AH745" s="89" t="n">
        <v>53.01883</v>
      </c>
      <c r="AI745" s="89" t="n"/>
      <c r="AJ745" s="89" t="n">
        <v>71.20175</v>
      </c>
      <c r="AK745" s="89" t="n"/>
      <c r="AL745" s="89" t="n"/>
      <c r="AM745" s="89" t="n">
        <v>57.0599</v>
      </c>
      <c r="AN745" s="89" t="n"/>
      <c r="AO745" s="89" t="n">
        <v>50.68465</v>
      </c>
      <c r="AP745" s="89" t="n">
        <v>66.35876</v>
      </c>
      <c r="AQ745" s="89" t="n"/>
      <c r="AR745" s="89" t="n"/>
      <c r="AS745" s="89" t="n"/>
      <c r="AT745" s="89" t="n"/>
      <c r="AU745" s="89" t="n"/>
      <c r="AV745" s="89" t="n"/>
      <c r="AW745" s="89" t="n"/>
      <c r="AX745" s="89" t="n"/>
      <c r="AY745" s="89" t="n">
        <v>67.88968</v>
      </c>
    </row>
    <row r="746">
      <c r="A746" t="inlineStr">
        <is>
          <t>1981-01</t>
        </is>
      </c>
      <c r="B746" s="1" t="n">
        <v>29587</v>
      </c>
      <c r="C746" s="88" t="n">
        <v>746</v>
      </c>
      <c r="E746" s="1">
        <f>B746</f>
        <v/>
      </c>
      <c r="F746" s="2">
        <f>B746</f>
        <v/>
      </c>
      <c r="G746" s="88" t="n">
        <v>744</v>
      </c>
      <c r="H746" s="89" t="n"/>
      <c r="I746" s="89" t="n"/>
      <c r="J746" s="89" t="n">
        <v>49.97418</v>
      </c>
      <c r="K746" s="89" t="n">
        <v>55.98122</v>
      </c>
      <c r="L746" s="89" t="n"/>
      <c r="M746" s="89" t="n"/>
      <c r="N746" s="89" t="n">
        <v>58.3848</v>
      </c>
      <c r="O746" s="89" t="n">
        <v>61.90865</v>
      </c>
      <c r="P746" s="89" t="n">
        <v>81.30009</v>
      </c>
      <c r="Q746" s="89" t="n"/>
      <c r="R746" s="89" t="n">
        <v>50.7989</v>
      </c>
      <c r="S746" s="89" t="n">
        <v>80.06178</v>
      </c>
      <c r="T746" s="89" t="n">
        <v>75.48938</v>
      </c>
      <c r="U746" s="89" t="n">
        <v>110.7008</v>
      </c>
      <c r="V746" s="89" t="n"/>
      <c r="W746" s="89" t="n">
        <v>7.823271</v>
      </c>
      <c r="X746" s="89" t="n"/>
      <c r="Y746" s="89" t="n"/>
      <c r="Z746" s="89" t="n">
        <v>94.78555</v>
      </c>
      <c r="AA746" s="89" t="n">
        <v>70.75246</v>
      </c>
      <c r="AB746" s="89" t="n"/>
      <c r="AC746" s="89" t="n">
        <v>46.66556</v>
      </c>
      <c r="AD746" s="89" t="n"/>
      <c r="AE746" s="89" t="n">
        <v>58.99381</v>
      </c>
      <c r="AF746" s="89" t="n">
        <v>66.30116</v>
      </c>
      <c r="AG746" s="89" t="n">
        <v>54.93913</v>
      </c>
      <c r="AH746" s="89" t="n">
        <v>52.79497</v>
      </c>
      <c r="AI746" s="89" t="n"/>
      <c r="AJ746" s="89" t="n">
        <v>69.62309</v>
      </c>
      <c r="AK746" s="89" t="n"/>
      <c r="AL746" s="89" t="n"/>
      <c r="AM746" s="89" t="n">
        <v>57.74945</v>
      </c>
      <c r="AN746" s="89" t="n"/>
      <c r="AO746" s="89" t="n">
        <v>50.39486</v>
      </c>
      <c r="AP746" s="89" t="n">
        <v>65.21026999999999</v>
      </c>
      <c r="AQ746" s="89" t="n"/>
      <c r="AR746" s="89" t="n"/>
      <c r="AS746" s="89" t="n"/>
      <c r="AT746" s="89" t="n"/>
      <c r="AU746" s="89" t="n"/>
      <c r="AV746" s="89" t="n"/>
      <c r="AW746" s="89" t="n"/>
      <c r="AX746" s="89" t="n"/>
      <c r="AY746" s="89" t="n">
        <v>68.10499</v>
      </c>
    </row>
    <row r="747">
      <c r="A747" t="inlineStr">
        <is>
          <t>1981-02</t>
        </is>
      </c>
      <c r="B747" s="1" t="n">
        <v>29618</v>
      </c>
      <c r="C747" s="88" t="n">
        <v>747</v>
      </c>
      <c r="E747" s="1">
        <f>B747</f>
        <v/>
      </c>
      <c r="F747" s="2">
        <f>B747</f>
        <v/>
      </c>
      <c r="G747" s="88" t="n">
        <v>745</v>
      </c>
      <c r="H747" s="89" t="n"/>
      <c r="I747" s="89" t="n"/>
      <c r="J747" s="89" t="n">
        <v>51.07727</v>
      </c>
      <c r="K747" s="89" t="n">
        <v>56.32003</v>
      </c>
      <c r="L747" s="89" t="n"/>
      <c r="M747" s="89" t="n"/>
      <c r="N747" s="89" t="n">
        <v>59.49571</v>
      </c>
      <c r="O747" s="89" t="n">
        <v>63.15932</v>
      </c>
      <c r="P747" s="89" t="n">
        <v>82.96818</v>
      </c>
      <c r="Q747" s="89" t="n"/>
      <c r="R747" s="89" t="n">
        <v>51.76216</v>
      </c>
      <c r="S747" s="89" t="n">
        <v>80.7948</v>
      </c>
      <c r="T747" s="89" t="n">
        <v>76.07532999999999</v>
      </c>
      <c r="U747" s="89" t="n">
        <v>111.5977</v>
      </c>
      <c r="V747" s="89" t="n"/>
      <c r="W747" s="89" t="n">
        <v>7.845752</v>
      </c>
      <c r="X747" s="89" t="n"/>
      <c r="Y747" s="89" t="n"/>
      <c r="Z747" s="89" t="n">
        <v>95.25771</v>
      </c>
      <c r="AA747" s="89" t="n">
        <v>70.50008</v>
      </c>
      <c r="AB747" s="89" t="n"/>
      <c r="AC747" s="89" t="n">
        <v>47.168</v>
      </c>
      <c r="AD747" s="89" t="n"/>
      <c r="AE747" s="89" t="n">
        <v>59.64448</v>
      </c>
      <c r="AF747" s="89" t="n">
        <v>68.31028999999999</v>
      </c>
      <c r="AG747" s="89" t="n">
        <v>55.49973</v>
      </c>
      <c r="AH747" s="89" t="n">
        <v>53.03177</v>
      </c>
      <c r="AI747" s="89" t="n"/>
      <c r="AJ747" s="89" t="n">
        <v>72.91043000000001</v>
      </c>
      <c r="AK747" s="89" t="n"/>
      <c r="AL747" s="89" t="n"/>
      <c r="AM747" s="89" t="n">
        <v>57.92183</v>
      </c>
      <c r="AN747" s="89" t="n"/>
      <c r="AO747" s="89" t="n">
        <v>50.16357</v>
      </c>
      <c r="AP747" s="89" t="n">
        <v>66.27673</v>
      </c>
      <c r="AQ747" s="89" t="n"/>
      <c r="AR747" s="89" t="n"/>
      <c r="AS747" s="89" t="n"/>
      <c r="AT747" s="89" t="n"/>
      <c r="AU747" s="89" t="n"/>
      <c r="AV747" s="89" t="n"/>
      <c r="AW747" s="89" t="n"/>
      <c r="AX747" s="89" t="n"/>
      <c r="AY747" s="89" t="n">
        <v>70.91383999999999</v>
      </c>
    </row>
    <row r="748">
      <c r="A748" t="inlineStr">
        <is>
          <t>1981-03</t>
        </is>
      </c>
      <c r="B748" s="1" t="n">
        <v>29646</v>
      </c>
      <c r="C748" s="88" t="n">
        <v>748</v>
      </c>
      <c r="E748" s="1">
        <f>B748</f>
        <v/>
      </c>
      <c r="F748" s="2">
        <f>B748</f>
        <v/>
      </c>
      <c r="G748" s="88" t="n">
        <v>746</v>
      </c>
      <c r="H748" s="89" t="n"/>
      <c r="I748" s="89" t="n"/>
      <c r="J748" s="89" t="n">
        <v>51.25364</v>
      </c>
      <c r="K748" s="89" t="n">
        <v>56.19879</v>
      </c>
      <c r="L748" s="89" t="n"/>
      <c r="M748" s="89" t="n"/>
      <c r="N748" s="89" t="n">
        <v>59.24884</v>
      </c>
      <c r="O748" s="89" t="n">
        <v>61.90865</v>
      </c>
      <c r="P748" s="89" t="n">
        <v>82.14614</v>
      </c>
      <c r="Q748" s="89" t="n"/>
      <c r="R748" s="89" t="n">
        <v>51.25518</v>
      </c>
      <c r="S748" s="89" t="n">
        <v>79.24731</v>
      </c>
      <c r="T748" s="89" t="n">
        <v>76.17298</v>
      </c>
      <c r="U748" s="89" t="n">
        <v>112.1051</v>
      </c>
      <c r="V748" s="89" t="n"/>
      <c r="W748" s="89" t="n">
        <v>7.643426</v>
      </c>
      <c r="X748" s="89" t="n"/>
      <c r="Y748" s="89" t="n"/>
      <c r="Z748" s="89" t="n">
        <v>95.13967</v>
      </c>
      <c r="AA748" s="89" t="n">
        <v>70.75246</v>
      </c>
      <c r="AB748" s="89" t="n"/>
      <c r="AC748" s="89" t="n">
        <v>47.47328</v>
      </c>
      <c r="AD748" s="89" t="n"/>
      <c r="AE748" s="89" t="n">
        <v>60.15055</v>
      </c>
      <c r="AF748" s="89" t="n">
        <v>65.63145</v>
      </c>
      <c r="AG748" s="89" t="n">
        <v>56.06034</v>
      </c>
      <c r="AH748" s="89" t="n">
        <v>53.02901</v>
      </c>
      <c r="AI748" s="89" t="n"/>
      <c r="AJ748" s="89" t="n">
        <v>71.03952</v>
      </c>
      <c r="AK748" s="89" t="n"/>
      <c r="AL748" s="89" t="n"/>
      <c r="AM748" s="89" t="n">
        <v>57.5196</v>
      </c>
      <c r="AN748" s="89" t="n"/>
      <c r="AO748" s="89" t="n">
        <v>50.42915</v>
      </c>
      <c r="AP748" s="89" t="n">
        <v>65.42355999999999</v>
      </c>
      <c r="AQ748" s="89" t="n"/>
      <c r="AR748" s="89" t="n"/>
      <c r="AS748" s="89" t="n"/>
      <c r="AT748" s="89" t="n"/>
      <c r="AU748" s="89" t="n"/>
      <c r="AV748" s="89" t="n"/>
      <c r="AW748" s="89" t="n"/>
      <c r="AX748" s="89" t="n"/>
      <c r="AY748" s="89" t="n">
        <v>64.08779</v>
      </c>
    </row>
    <row r="749">
      <c r="A749" t="inlineStr">
        <is>
          <t>1981-04</t>
        </is>
      </c>
      <c r="B749" s="1" t="n">
        <v>29677</v>
      </c>
      <c r="C749" s="88" t="n">
        <v>749</v>
      </c>
      <c r="E749" s="1">
        <f>B749</f>
        <v/>
      </c>
      <c r="F749" s="2">
        <f>B749</f>
        <v/>
      </c>
      <c r="G749" s="88" t="n">
        <v>747</v>
      </c>
      <c r="H749" s="89" t="n"/>
      <c r="I749" s="89" t="n"/>
      <c r="J749" s="89" t="n">
        <v>50.67826</v>
      </c>
      <c r="K749" s="89" t="n">
        <v>57.37215</v>
      </c>
      <c r="L749" s="89" t="n"/>
      <c r="M749" s="89" t="n"/>
      <c r="N749" s="89" t="n">
        <v>58.69338</v>
      </c>
      <c r="O749" s="89" t="n">
        <v>61.28331</v>
      </c>
      <c r="P749" s="89" t="n">
        <v>82.83465</v>
      </c>
      <c r="Q749" s="89" t="n"/>
      <c r="R749" s="89" t="n">
        <v>51.91425</v>
      </c>
      <c r="S749" s="89" t="n">
        <v>79.16587</v>
      </c>
      <c r="T749" s="89" t="n">
        <v>76.46596</v>
      </c>
      <c r="U749" s="89" t="n">
        <v>110.1181</v>
      </c>
      <c r="V749" s="89" t="n"/>
      <c r="W749" s="89" t="n">
        <v>7.980636</v>
      </c>
      <c r="X749" s="89" t="n"/>
      <c r="Y749" s="89" t="n"/>
      <c r="Z749" s="89" t="n">
        <v>95.37575</v>
      </c>
      <c r="AA749" s="89" t="n">
        <v>70.75246</v>
      </c>
      <c r="AB749" s="89" t="n"/>
      <c r="AC749" s="89" t="n">
        <v>44.71216</v>
      </c>
      <c r="AD749" s="89" t="n"/>
      <c r="AE749" s="89" t="n">
        <v>60.72892</v>
      </c>
      <c r="AF749" s="89" t="n">
        <v>66.30116</v>
      </c>
      <c r="AG749" s="89" t="n">
        <v>55.49973</v>
      </c>
      <c r="AH749" s="89" t="n">
        <v>52.95143</v>
      </c>
      <c r="AI749" s="89" t="n"/>
      <c r="AJ749" s="89" t="n">
        <v>72.31366</v>
      </c>
      <c r="AK749" s="89" t="n"/>
      <c r="AL749" s="89" t="n"/>
      <c r="AM749" s="89" t="n">
        <v>56.94498</v>
      </c>
      <c r="AN749" s="89" t="n"/>
      <c r="AO749" s="89" t="n">
        <v>50.20497</v>
      </c>
      <c r="AP749" s="89" t="n">
        <v>65.48098</v>
      </c>
      <c r="AQ749" s="89" t="n"/>
      <c r="AR749" s="89" t="n"/>
      <c r="AS749" s="89" t="n"/>
      <c r="AT749" s="89" t="n"/>
      <c r="AU749" s="89" t="n"/>
      <c r="AV749" s="89" t="n"/>
      <c r="AW749" s="89" t="n"/>
      <c r="AX749" s="89" t="n"/>
      <c r="AY749" s="89" t="n">
        <v>62.96829</v>
      </c>
    </row>
    <row r="750">
      <c r="A750" t="inlineStr">
        <is>
          <t>1981-05</t>
        </is>
      </c>
      <c r="B750" s="1" t="n">
        <v>29707</v>
      </c>
      <c r="C750" s="88" t="n">
        <v>750</v>
      </c>
      <c r="E750" s="1">
        <f>B750</f>
        <v/>
      </c>
      <c r="F750" s="2">
        <f>B750</f>
        <v/>
      </c>
      <c r="G750" s="88" t="n">
        <v>748</v>
      </c>
      <c r="H750" s="89" t="n"/>
      <c r="I750" s="89" t="n"/>
      <c r="J750" s="89" t="n">
        <v>50.86378</v>
      </c>
      <c r="K750" s="89" t="n">
        <v>56.48027</v>
      </c>
      <c r="L750" s="89" t="n"/>
      <c r="M750" s="89" t="n"/>
      <c r="N750" s="89" t="n">
        <v>59.06369</v>
      </c>
      <c r="O750" s="89" t="n">
        <v>61.90865</v>
      </c>
      <c r="P750" s="89" t="n">
        <v>82.78111</v>
      </c>
      <c r="Q750" s="89" t="n"/>
      <c r="R750" s="89" t="n">
        <v>53.33378</v>
      </c>
      <c r="S750" s="89" t="n">
        <v>80.14323</v>
      </c>
      <c r="T750" s="89" t="n">
        <v>75.39172000000001</v>
      </c>
      <c r="U750" s="89" t="n">
        <v>111.8004</v>
      </c>
      <c r="V750" s="89" t="n"/>
      <c r="W750" s="89" t="n">
        <v>7.913194</v>
      </c>
      <c r="X750" s="89" t="n"/>
      <c r="Y750" s="89" t="n"/>
      <c r="Z750" s="89" t="n">
        <v>96.43810000000001</v>
      </c>
      <c r="AA750" s="89" t="n">
        <v>69.65877999999999</v>
      </c>
      <c r="AB750" s="89" t="n"/>
      <c r="AC750" s="89" t="n">
        <v>48.98803</v>
      </c>
      <c r="AD750" s="89" t="n"/>
      <c r="AE750" s="89" t="n">
        <v>60.94581</v>
      </c>
      <c r="AF750" s="89" t="n">
        <v>65.63145</v>
      </c>
      <c r="AG750" s="89" t="n">
        <v>57.74215</v>
      </c>
      <c r="AH750" s="89" t="n">
        <v>53.00282</v>
      </c>
      <c r="AI750" s="89" t="n"/>
      <c r="AJ750" s="89" t="n">
        <v>72.27835</v>
      </c>
      <c r="AK750" s="89" t="n"/>
      <c r="AL750" s="89" t="n"/>
      <c r="AM750" s="89" t="n">
        <v>56.08304</v>
      </c>
      <c r="AN750" s="89" t="n"/>
      <c r="AO750" s="89" t="n">
        <v>50.50388</v>
      </c>
      <c r="AP750" s="89" t="n">
        <v>66.36696999999999</v>
      </c>
      <c r="AQ750" s="89" t="n"/>
      <c r="AR750" s="89" t="n"/>
      <c r="AS750" s="89" t="n"/>
      <c r="AT750" s="89" t="n"/>
      <c r="AU750" s="89" t="n"/>
      <c r="AV750" s="89" t="n"/>
      <c r="AW750" s="89" t="n"/>
      <c r="AX750" s="89" t="n"/>
      <c r="AY750" s="89" t="n">
        <v>62.14525</v>
      </c>
    </row>
    <row r="751">
      <c r="A751" t="inlineStr">
        <is>
          <t>1981-06</t>
        </is>
      </c>
      <c r="B751" s="1" t="n">
        <v>29738</v>
      </c>
      <c r="C751" s="88" t="n">
        <v>751</v>
      </c>
      <c r="E751" s="1">
        <f>B751</f>
        <v/>
      </c>
      <c r="F751" s="2">
        <f>B751</f>
        <v/>
      </c>
      <c r="G751" s="88" t="n">
        <v>749</v>
      </c>
      <c r="H751" s="89" t="n"/>
      <c r="I751" s="89" t="n"/>
      <c r="J751" s="89" t="n">
        <v>51.76117</v>
      </c>
      <c r="K751" s="89" t="n">
        <v>56.82142</v>
      </c>
      <c r="L751" s="89" t="n"/>
      <c r="M751" s="89" t="n"/>
      <c r="N751" s="89" t="n">
        <v>58.3848</v>
      </c>
      <c r="O751" s="89" t="n">
        <v>61.28331</v>
      </c>
      <c r="P751" s="89" t="n">
        <v>83.43640000000001</v>
      </c>
      <c r="Q751" s="89" t="n"/>
      <c r="R751" s="89" t="n">
        <v>50.08914</v>
      </c>
      <c r="S751" s="89" t="n">
        <v>80.55046</v>
      </c>
      <c r="T751" s="89" t="n">
        <v>77.0519</v>
      </c>
      <c r="U751" s="89" t="n">
        <v>114.1643</v>
      </c>
      <c r="V751" s="89" t="n"/>
      <c r="W751" s="89" t="n">
        <v>8.003117</v>
      </c>
      <c r="X751" s="89" t="n"/>
      <c r="Y751" s="89" t="n"/>
      <c r="Z751" s="89" t="n">
        <v>96.32006</v>
      </c>
      <c r="AA751" s="89" t="n">
        <v>71.42549</v>
      </c>
      <c r="AB751" s="89" t="n"/>
      <c r="AC751" s="89" t="n">
        <v>48.92382</v>
      </c>
      <c r="AD751" s="89" t="n"/>
      <c r="AE751" s="89" t="n">
        <v>60.94581</v>
      </c>
      <c r="AF751" s="89" t="n">
        <v>64.96174999999999</v>
      </c>
      <c r="AG751" s="89" t="n">
        <v>56.62094</v>
      </c>
      <c r="AH751" s="89" t="n">
        <v>53.28542</v>
      </c>
      <c r="AI751" s="89" t="n"/>
      <c r="AJ751" s="89" t="n">
        <v>69.64597000000001</v>
      </c>
      <c r="AK751" s="89" t="n"/>
      <c r="AL751" s="89" t="n"/>
      <c r="AM751" s="89" t="n">
        <v>56.08304</v>
      </c>
      <c r="AN751" s="89" t="n"/>
      <c r="AO751" s="89" t="n">
        <v>50.74218</v>
      </c>
      <c r="AP751" s="89" t="n">
        <v>65.68607</v>
      </c>
      <c r="AQ751" s="89" t="n"/>
      <c r="AR751" s="89" t="n"/>
      <c r="AS751" s="89" t="n"/>
      <c r="AT751" s="89" t="n"/>
      <c r="AU751" s="89" t="n"/>
      <c r="AV751" s="89" t="n"/>
      <c r="AW751" s="89" t="n"/>
      <c r="AX751" s="89" t="n"/>
      <c r="AY751" s="89" t="n">
        <v>61.49865</v>
      </c>
    </row>
    <row r="752">
      <c r="A752" t="inlineStr">
        <is>
          <t>1981-07</t>
        </is>
      </c>
      <c r="B752" s="1" t="n">
        <v>29768</v>
      </c>
      <c r="C752" s="88" t="n">
        <v>752</v>
      </c>
      <c r="E752" s="1">
        <f>B752</f>
        <v/>
      </c>
      <c r="F752" s="2">
        <f>B752</f>
        <v/>
      </c>
      <c r="G752" s="88" t="n">
        <v>750</v>
      </c>
      <c r="H752" s="89" t="n"/>
      <c r="I752" s="89" t="n"/>
      <c r="J752" s="89" t="n">
        <v>50.40075</v>
      </c>
      <c r="K752" s="89" t="n">
        <v>56.87734</v>
      </c>
      <c r="L752" s="89" t="n"/>
      <c r="M752" s="89" t="n"/>
      <c r="N752" s="89" t="n">
        <v>58.87854</v>
      </c>
      <c r="O752" s="89" t="n">
        <v>66.28603</v>
      </c>
      <c r="P752" s="89" t="n">
        <v>84.37560999999999</v>
      </c>
      <c r="Q752" s="89" t="n"/>
      <c r="R752" s="89" t="n">
        <v>53.48587</v>
      </c>
      <c r="S752" s="89" t="n">
        <v>79.5731</v>
      </c>
      <c r="T752" s="89" t="n">
        <v>77.24722</v>
      </c>
      <c r="U752" s="89" t="n">
        <v>114.7003</v>
      </c>
      <c r="V752" s="89" t="n"/>
      <c r="W752" s="89" t="n">
        <v>8.205442</v>
      </c>
      <c r="X752" s="89" t="n"/>
      <c r="Y752" s="89" t="n"/>
      <c r="Z752" s="89" t="n">
        <v>94.78555</v>
      </c>
      <c r="AA752" s="89" t="n">
        <v>72.01439999999999</v>
      </c>
      <c r="AB752" s="89" t="n"/>
      <c r="AC752" s="89" t="n">
        <v>47.97294</v>
      </c>
      <c r="AD752" s="89" t="n"/>
      <c r="AE752" s="89" t="n">
        <v>61.45189</v>
      </c>
      <c r="AF752" s="89" t="n">
        <v>66.30116</v>
      </c>
      <c r="AG752" s="89" t="n">
        <v>58.30275</v>
      </c>
      <c r="AH752" s="89" t="n">
        <v>53.59515</v>
      </c>
      <c r="AI752" s="89" t="n"/>
      <c r="AJ752" s="89" t="n">
        <v>70.61642000000001</v>
      </c>
      <c r="AK752" s="89" t="n"/>
      <c r="AL752" s="89" t="n"/>
      <c r="AM752" s="89" t="n">
        <v>56.65767</v>
      </c>
      <c r="AN752" s="89" t="n"/>
      <c r="AO752" s="89" t="n">
        <v>51.07519</v>
      </c>
      <c r="AP752" s="89" t="n">
        <v>66.16188</v>
      </c>
      <c r="AQ752" s="89" t="n"/>
      <c r="AR752" s="89" t="n"/>
      <c r="AS752" s="89" t="n"/>
      <c r="AT752" s="89" t="n"/>
      <c r="AU752" s="89" t="n"/>
      <c r="AV752" s="89" t="n"/>
      <c r="AW752" s="89" t="n"/>
      <c r="AX752" s="89" t="n"/>
      <c r="AY752" s="89" t="n">
        <v>61.88579</v>
      </c>
    </row>
    <row r="753">
      <c r="A753" t="inlineStr">
        <is>
          <t>1981-08</t>
        </is>
      </c>
      <c r="B753" s="1" t="n">
        <v>29799</v>
      </c>
      <c r="C753" s="88" t="n">
        <v>753</v>
      </c>
      <c r="E753" s="1">
        <f>B753</f>
        <v/>
      </c>
      <c r="F753" s="2">
        <f>B753</f>
        <v/>
      </c>
      <c r="G753" s="88" t="n">
        <v>751</v>
      </c>
      <c r="H753" s="89" t="n"/>
      <c r="I753" s="89" t="n"/>
      <c r="J753" s="89" t="n">
        <v>50.88323</v>
      </c>
      <c r="K753" s="89" t="n">
        <v>54.73596</v>
      </c>
      <c r="L753" s="89" t="n"/>
      <c r="M753" s="89" t="n"/>
      <c r="N753" s="89" t="n">
        <v>58.94025</v>
      </c>
      <c r="O753" s="89" t="n">
        <v>64.41</v>
      </c>
      <c r="P753" s="89" t="n">
        <v>78.68940000000001</v>
      </c>
      <c r="Q753" s="89" t="n"/>
      <c r="R753" s="89" t="n">
        <v>53.33378</v>
      </c>
      <c r="S753" s="89" t="n">
        <v>79.5731</v>
      </c>
      <c r="T753" s="89" t="n">
        <v>77.44253999999999</v>
      </c>
      <c r="U753" s="89" t="n">
        <v>119.9966</v>
      </c>
      <c r="V753" s="89" t="n"/>
      <c r="W753" s="89" t="n">
        <v>8.227923000000001</v>
      </c>
      <c r="X753" s="89" t="n"/>
      <c r="Y753" s="89" t="n"/>
      <c r="Z753" s="89" t="n">
        <v>93.84124</v>
      </c>
      <c r="AA753" s="89" t="n">
        <v>71.76201</v>
      </c>
      <c r="AB753" s="89" t="n"/>
      <c r="AC753" s="89" t="n">
        <v>48.64318</v>
      </c>
      <c r="AD753" s="89" t="n"/>
      <c r="AE753" s="89" t="n">
        <v>62.10255</v>
      </c>
      <c r="AF753" s="89" t="n">
        <v>64.29204</v>
      </c>
      <c r="AG753" s="89" t="n">
        <v>48.7725</v>
      </c>
      <c r="AH753" s="89" t="n">
        <v>53.33786</v>
      </c>
      <c r="AI753" s="89" t="n"/>
      <c r="AJ753" s="89" t="n">
        <v>67.76828</v>
      </c>
      <c r="AK753" s="89" t="n"/>
      <c r="AL753" s="89" t="n"/>
      <c r="AM753" s="89" t="n">
        <v>57.0599</v>
      </c>
      <c r="AN753" s="89" t="n"/>
      <c r="AO753" s="89" t="n">
        <v>51.06828</v>
      </c>
      <c r="AP753" s="89" t="n">
        <v>65.02979000000001</v>
      </c>
      <c r="AQ753" s="89" t="n"/>
      <c r="AR753" s="89" t="n"/>
      <c r="AS753" s="89" t="n"/>
      <c r="AT753" s="89" t="n"/>
      <c r="AU753" s="89" t="n"/>
      <c r="AV753" s="89" t="n"/>
      <c r="AW753" s="89" t="n"/>
      <c r="AX753" s="89" t="n"/>
      <c r="AY753" s="89" t="n">
        <v>60.11751</v>
      </c>
    </row>
    <row r="754">
      <c r="A754" t="inlineStr">
        <is>
          <t>1981-09</t>
        </is>
      </c>
      <c r="B754" s="1" t="n">
        <v>29830</v>
      </c>
      <c r="C754" s="88" t="n">
        <v>754</v>
      </c>
      <c r="E754" s="1">
        <f>B754</f>
        <v/>
      </c>
      <c r="F754" s="2">
        <f>B754</f>
        <v/>
      </c>
      <c r="G754" s="88" t="n">
        <v>752</v>
      </c>
      <c r="H754" s="89" t="n"/>
      <c r="I754" s="89" t="n"/>
      <c r="J754" s="89" t="n">
        <v>51.5313</v>
      </c>
      <c r="K754" s="89" t="n">
        <v>56.08742</v>
      </c>
      <c r="L754" s="89" t="n"/>
      <c r="M754" s="89" t="n"/>
      <c r="N754" s="89" t="n">
        <v>59.1254</v>
      </c>
      <c r="O754" s="89" t="n">
        <v>63.78466</v>
      </c>
      <c r="P754" s="89" t="n">
        <v>80.82067000000001</v>
      </c>
      <c r="Q754" s="89" t="n"/>
      <c r="R754" s="89" t="n">
        <v>52.8775</v>
      </c>
      <c r="S754" s="89" t="n">
        <v>80.6319</v>
      </c>
      <c r="T754" s="89" t="n">
        <v>77.63785</v>
      </c>
      <c r="U754" s="89" t="n">
        <v>117.3729</v>
      </c>
      <c r="V754" s="89" t="n"/>
      <c r="W754" s="89" t="n">
        <v>8.295365</v>
      </c>
      <c r="X754" s="89" t="n"/>
      <c r="Y754" s="89" t="n"/>
      <c r="Z754" s="89" t="n">
        <v>95.13967</v>
      </c>
      <c r="AA754" s="89" t="n">
        <v>72.93982</v>
      </c>
      <c r="AB754" s="89" t="n"/>
      <c r="AC754" s="89" t="n">
        <v>49.20462</v>
      </c>
      <c r="AD754" s="89" t="n"/>
      <c r="AE754" s="89" t="n">
        <v>62.39174</v>
      </c>
      <c r="AF754" s="89" t="n">
        <v>62.95262</v>
      </c>
      <c r="AG754" s="89" t="n">
        <v>57.18155</v>
      </c>
      <c r="AH754" s="89" t="n">
        <v>53.62101</v>
      </c>
      <c r="AI754" s="89" t="n"/>
      <c r="AJ754" s="89" t="n">
        <v>75.06823</v>
      </c>
      <c r="AK754" s="89" t="n"/>
      <c r="AL754" s="89" t="n"/>
      <c r="AM754" s="89" t="n">
        <v>56.14051</v>
      </c>
      <c r="AN754" s="89" t="n"/>
      <c r="AO754" s="89" t="n">
        <v>50.76427</v>
      </c>
      <c r="AP754" s="89" t="n">
        <v>66.07984</v>
      </c>
      <c r="AQ754" s="89" t="n"/>
      <c r="AR754" s="89" t="n"/>
      <c r="AS754" s="89" t="n"/>
      <c r="AT754" s="89" t="n"/>
      <c r="AU754" s="89" t="n"/>
      <c r="AV754" s="89" t="n"/>
      <c r="AW754" s="89" t="n"/>
      <c r="AX754" s="89" t="n"/>
      <c r="AY754" s="89" t="n">
        <v>58.83677</v>
      </c>
    </row>
    <row r="755">
      <c r="A755" t="inlineStr">
        <is>
          <t>1981-10</t>
        </is>
      </c>
      <c r="B755" s="1" t="n">
        <v>29860</v>
      </c>
      <c r="C755" s="88" t="n">
        <v>755</v>
      </c>
      <c r="E755" s="1">
        <f>B755</f>
        <v/>
      </c>
      <c r="F755" s="2">
        <f>B755</f>
        <v/>
      </c>
      <c r="G755" s="88" t="n">
        <v>753</v>
      </c>
      <c r="H755" s="89" t="n"/>
      <c r="I755" s="89" t="n"/>
      <c r="J755" s="89" t="n">
        <v>51.60985</v>
      </c>
      <c r="K755" s="89" t="n">
        <v>55.26931</v>
      </c>
      <c r="L755" s="89" t="n"/>
      <c r="M755" s="89" t="n"/>
      <c r="N755" s="89" t="n">
        <v>59.43399</v>
      </c>
      <c r="O755" s="89" t="n">
        <v>63.15932</v>
      </c>
      <c r="P755" s="89" t="n">
        <v>82.35545</v>
      </c>
      <c r="Q755" s="89" t="n"/>
      <c r="R755" s="89" t="n">
        <v>53.43518</v>
      </c>
      <c r="S755" s="89" t="n">
        <v>80.06178</v>
      </c>
      <c r="T755" s="89" t="n">
        <v>79.39569</v>
      </c>
      <c r="U755" s="89" t="n">
        <v>114.7975</v>
      </c>
      <c r="V755" s="89" t="n"/>
      <c r="W755" s="89" t="n">
        <v>7.958155</v>
      </c>
      <c r="X755" s="89" t="n"/>
      <c r="Y755" s="89" t="n"/>
      <c r="Z755" s="89" t="n">
        <v>95.13967</v>
      </c>
      <c r="AA755" s="89" t="n">
        <v>73.36046</v>
      </c>
      <c r="AB755" s="89" t="n"/>
      <c r="AC755" s="89" t="n">
        <v>50.11403</v>
      </c>
      <c r="AD755" s="89" t="n"/>
      <c r="AE755" s="89" t="n">
        <v>62.10255</v>
      </c>
      <c r="AF755" s="89" t="n">
        <v>66.30116</v>
      </c>
      <c r="AG755" s="89" t="n">
        <v>54.37853</v>
      </c>
      <c r="AH755" s="89" t="n">
        <v>53.60461</v>
      </c>
      <c r="AI755" s="89" t="n"/>
      <c r="AJ755" s="89" t="n">
        <v>74.21451</v>
      </c>
      <c r="AK755" s="89" t="n"/>
      <c r="AL755" s="89" t="n"/>
      <c r="AM755" s="89" t="n">
        <v>56.54274</v>
      </c>
      <c r="AN755" s="89" t="n"/>
      <c r="AO755" s="89" t="n">
        <v>50.42185</v>
      </c>
      <c r="AP755" s="89" t="n">
        <v>66.38338</v>
      </c>
      <c r="AQ755" s="89" t="n"/>
      <c r="AR755" s="89" t="n"/>
      <c r="AS755" s="89" t="n"/>
      <c r="AT755" s="89" t="n"/>
      <c r="AU755" s="89" t="n"/>
      <c r="AV755" s="89" t="n"/>
      <c r="AW755" s="89" t="n"/>
      <c r="AX755" s="89" t="n"/>
      <c r="AY755" s="89" t="n">
        <v>58.59376</v>
      </c>
    </row>
    <row r="756">
      <c r="A756" t="inlineStr">
        <is>
          <t>1981-11</t>
        </is>
      </c>
      <c r="B756" s="1" t="n">
        <v>29891</v>
      </c>
      <c r="C756" s="88" t="n">
        <v>756</v>
      </c>
      <c r="E756" s="1">
        <f>B756</f>
        <v/>
      </c>
      <c r="F756" s="2">
        <f>B756</f>
        <v/>
      </c>
      <c r="G756" s="88" t="n">
        <v>754</v>
      </c>
      <c r="H756" s="89" t="n"/>
      <c r="I756" s="89" t="n"/>
      <c r="J756" s="89" t="n">
        <v>51.85619</v>
      </c>
      <c r="K756" s="89" t="n">
        <v>54.2341</v>
      </c>
      <c r="L756" s="89" t="n"/>
      <c r="M756" s="89" t="n"/>
      <c r="N756" s="89" t="n">
        <v>58.94025</v>
      </c>
      <c r="O756" s="89" t="n">
        <v>62.53399</v>
      </c>
      <c r="P756" s="89" t="n">
        <v>81.93925</v>
      </c>
      <c r="Q756" s="89" t="n"/>
      <c r="R756" s="89" t="n">
        <v>51.86355</v>
      </c>
      <c r="S756" s="89" t="n">
        <v>80.06178</v>
      </c>
      <c r="T756" s="89" t="n">
        <v>78.41911</v>
      </c>
      <c r="U756" s="89" t="n">
        <v>117.507</v>
      </c>
      <c r="V756" s="89" t="n"/>
      <c r="W756" s="89" t="n">
        <v>8.160481000000001</v>
      </c>
      <c r="X756" s="89" t="n"/>
      <c r="Y756" s="89" t="n"/>
      <c r="Z756" s="89" t="n">
        <v>95.84791</v>
      </c>
      <c r="AA756" s="89" t="n">
        <v>73.36046</v>
      </c>
      <c r="AB756" s="89" t="n"/>
      <c r="AC756" s="89" t="n">
        <v>50.53955</v>
      </c>
      <c r="AD756" s="89" t="n"/>
      <c r="AE756" s="89" t="n">
        <v>62.10255</v>
      </c>
      <c r="AF756" s="89" t="n">
        <v>64.96174999999999</v>
      </c>
      <c r="AG756" s="89" t="n">
        <v>56.06034</v>
      </c>
      <c r="AH756" s="89" t="n">
        <v>53.3007</v>
      </c>
      <c r="AI756" s="89" t="n"/>
      <c r="AJ756" s="89" t="n">
        <v>73.78028</v>
      </c>
      <c r="AK756" s="89" t="n"/>
      <c r="AL756" s="89" t="n"/>
      <c r="AM756" s="89" t="n">
        <v>56.65767</v>
      </c>
      <c r="AN756" s="89" t="n"/>
      <c r="AO756" s="89" t="n">
        <v>49.84468</v>
      </c>
      <c r="AP756" s="89" t="n">
        <v>65.82553</v>
      </c>
      <c r="AQ756" s="89" t="n"/>
      <c r="AR756" s="89" t="n"/>
      <c r="AS756" s="89" t="n"/>
      <c r="AT756" s="89" t="n"/>
      <c r="AU756" s="89" t="n"/>
      <c r="AV756" s="89" t="n"/>
      <c r="AW756" s="89" t="n"/>
      <c r="AX756" s="89" t="n"/>
      <c r="AY756" s="89" t="n">
        <v>59.53197</v>
      </c>
    </row>
    <row r="757">
      <c r="A757" t="inlineStr">
        <is>
          <t>1981-12</t>
        </is>
      </c>
      <c r="B757" s="1" t="n">
        <v>29921</v>
      </c>
      <c r="C757" s="88" t="n">
        <v>757</v>
      </c>
      <c r="E757" s="1">
        <f>B757</f>
        <v/>
      </c>
      <c r="F757" s="2">
        <f>B757</f>
        <v/>
      </c>
      <c r="G757" s="88" t="n">
        <v>755</v>
      </c>
      <c r="H757" s="89" t="n"/>
      <c r="I757" s="89" t="n"/>
      <c r="J757" s="89" t="n">
        <v>52.17639</v>
      </c>
      <c r="K757" s="89" t="n">
        <v>54.55646</v>
      </c>
      <c r="L757" s="89" t="n"/>
      <c r="M757" s="89" t="n"/>
      <c r="N757" s="89" t="n">
        <v>58.44651</v>
      </c>
      <c r="O757" s="89" t="n">
        <v>60.03263</v>
      </c>
      <c r="P757" s="89" t="n">
        <v>82.01306</v>
      </c>
      <c r="Q757" s="89" t="n"/>
      <c r="R757" s="89" t="n">
        <v>52.57332</v>
      </c>
      <c r="S757" s="89" t="n">
        <v>81.60926000000001</v>
      </c>
      <c r="T757" s="89" t="n">
        <v>77.24722</v>
      </c>
      <c r="U757" s="89" t="n">
        <v>117.948</v>
      </c>
      <c r="V757" s="89" t="n"/>
      <c r="W757" s="89" t="n">
        <v>8.003117</v>
      </c>
      <c r="X757" s="89" t="n"/>
      <c r="Y757" s="89" t="n"/>
      <c r="Z757" s="89" t="n">
        <v>92.42477</v>
      </c>
      <c r="AA757" s="89" t="n">
        <v>73.10807</v>
      </c>
      <c r="AB757" s="89" t="n"/>
      <c r="AC757" s="89" t="n">
        <v>46.22157</v>
      </c>
      <c r="AD757" s="89" t="n"/>
      <c r="AE757" s="89" t="n">
        <v>61.59648</v>
      </c>
      <c r="AF757" s="89" t="n">
        <v>66.97087000000001</v>
      </c>
      <c r="AG757" s="89" t="n">
        <v>56.06034</v>
      </c>
      <c r="AH757" s="89" t="n">
        <v>52.9013</v>
      </c>
      <c r="AI757" s="89" t="n"/>
      <c r="AJ757" s="89" t="n">
        <v>69.16858999999999</v>
      </c>
      <c r="AK757" s="89" t="n"/>
      <c r="AL757" s="89" t="n"/>
      <c r="AM757" s="89" t="n">
        <v>56.54274</v>
      </c>
      <c r="AN757" s="89" t="n"/>
      <c r="AO757" s="89" t="n">
        <v>49.30046</v>
      </c>
      <c r="AP757" s="89" t="n">
        <v>65.19386</v>
      </c>
      <c r="AQ757" s="89" t="n"/>
      <c r="AR757" s="89" t="n"/>
      <c r="AS757" s="89" t="n"/>
      <c r="AT757" s="89" t="n"/>
      <c r="AU757" s="89" t="n"/>
      <c r="AV757" s="89" t="n"/>
      <c r="AW757" s="89" t="n"/>
      <c r="AX757" s="89" t="n"/>
      <c r="AY757" s="89" t="n">
        <v>57.73461</v>
      </c>
    </row>
    <row r="758">
      <c r="A758" t="inlineStr">
        <is>
          <t>1982-01</t>
        </is>
      </c>
      <c r="B758" s="1" t="n">
        <v>29952</v>
      </c>
      <c r="C758" s="88" t="n">
        <v>758</v>
      </c>
      <c r="E758" s="1">
        <f>B758</f>
        <v/>
      </c>
      <c r="F758" s="2">
        <f>B758</f>
        <v/>
      </c>
      <c r="G758" s="88" t="n">
        <v>756</v>
      </c>
      <c r="H758" s="89" t="n"/>
      <c r="I758" s="89" t="n"/>
      <c r="J758" s="89" t="n">
        <v>52.49829</v>
      </c>
      <c r="K758" s="89" t="n">
        <v>53.77688</v>
      </c>
      <c r="L758" s="89" t="n"/>
      <c r="M758" s="89" t="n"/>
      <c r="N758" s="89" t="n">
        <v>58.69338</v>
      </c>
      <c r="O758" s="89" t="n">
        <v>62.53399</v>
      </c>
      <c r="P758" s="89" t="n">
        <v>80.52795</v>
      </c>
      <c r="Q758" s="89" t="n"/>
      <c r="R758" s="89" t="n">
        <v>53.43518</v>
      </c>
      <c r="S758" s="89" t="n">
        <v>80.22467</v>
      </c>
      <c r="T758" s="89" t="n">
        <v>77.24722</v>
      </c>
      <c r="U758" s="89" t="n">
        <v>116.9188</v>
      </c>
      <c r="V758" s="89" t="n"/>
      <c r="W758" s="89" t="n">
        <v>7.710868</v>
      </c>
      <c r="X758" s="89" t="n"/>
      <c r="Y758" s="89" t="n"/>
      <c r="Z758" s="89" t="n">
        <v>96.67418000000001</v>
      </c>
      <c r="AA758" s="89" t="n">
        <v>72.68743000000001</v>
      </c>
      <c r="AB758" s="89" t="n"/>
      <c r="AC758" s="89" t="n">
        <v>48.78677</v>
      </c>
      <c r="AD758" s="89" t="n"/>
      <c r="AE758" s="89" t="n">
        <v>62.03025</v>
      </c>
      <c r="AF758" s="89" t="n">
        <v>65.63145</v>
      </c>
      <c r="AG758" s="89" t="n">
        <v>57.18155</v>
      </c>
      <c r="AH758" s="89" t="n">
        <v>52.66619</v>
      </c>
      <c r="AI758" s="89" t="n"/>
      <c r="AJ758" s="89" t="n">
        <v>76.90295</v>
      </c>
      <c r="AK758" s="89" t="n"/>
      <c r="AL758" s="89" t="n"/>
      <c r="AM758" s="89" t="n">
        <v>55.56588</v>
      </c>
      <c r="AN758" s="89" t="n"/>
      <c r="AO758" s="89" t="n">
        <v>48.31776</v>
      </c>
      <c r="AP758" s="89" t="n">
        <v>65.79272</v>
      </c>
      <c r="AQ758" s="89" t="n"/>
      <c r="AR758" s="89" t="n"/>
      <c r="AS758" s="89" t="n"/>
      <c r="AT758" s="89" t="n"/>
      <c r="AU758" s="89" t="n"/>
      <c r="AV758" s="89" t="n"/>
      <c r="AW758" s="89" t="n"/>
      <c r="AX758" s="89" t="n"/>
      <c r="AY758" s="89" t="n">
        <v>59.43324</v>
      </c>
    </row>
    <row r="759">
      <c r="A759" t="inlineStr">
        <is>
          <t>1982-02</t>
        </is>
      </c>
      <c r="B759" s="1" t="n">
        <v>29983</v>
      </c>
      <c r="C759" s="88" t="n">
        <v>759</v>
      </c>
      <c r="E759" s="1">
        <f>B759</f>
        <v/>
      </c>
      <c r="F759" s="2">
        <f>B759</f>
        <v/>
      </c>
      <c r="G759" s="88" t="n">
        <v>757</v>
      </c>
      <c r="H759" s="89" t="n"/>
      <c r="I759" s="89" t="n"/>
      <c r="J759" s="89" t="n">
        <v>51.20219</v>
      </c>
      <c r="K759" s="89" t="n">
        <v>53.84972</v>
      </c>
      <c r="L759" s="89" t="n"/>
      <c r="M759" s="89" t="n"/>
      <c r="N759" s="89" t="n">
        <v>58.26136</v>
      </c>
      <c r="O759" s="89" t="n">
        <v>63.78466</v>
      </c>
      <c r="P759" s="89" t="n">
        <v>80.70003</v>
      </c>
      <c r="Q759" s="89" t="n"/>
      <c r="R759" s="89" t="n">
        <v>52.9789</v>
      </c>
      <c r="S759" s="89" t="n">
        <v>79.5731</v>
      </c>
      <c r="T759" s="89" t="n">
        <v>77.7355</v>
      </c>
      <c r="U759" s="89" t="n">
        <v>117.7168</v>
      </c>
      <c r="V759" s="89" t="n"/>
      <c r="W759" s="89" t="n">
        <v>7.890713</v>
      </c>
      <c r="X759" s="89" t="n"/>
      <c r="Y759" s="89" t="n"/>
      <c r="Z759" s="89" t="n">
        <v>94.19535</v>
      </c>
      <c r="AA759" s="89" t="n">
        <v>72.18266</v>
      </c>
      <c r="AB759" s="89" t="n"/>
      <c r="AC759" s="89" t="n">
        <v>53.27773</v>
      </c>
      <c r="AD759" s="89" t="n"/>
      <c r="AE759" s="89" t="n">
        <v>62.17485</v>
      </c>
      <c r="AF759" s="89" t="n">
        <v>63.62233</v>
      </c>
      <c r="AG759" s="89" t="n">
        <v>56.62094</v>
      </c>
      <c r="AH759" s="89" t="n">
        <v>52.80648</v>
      </c>
      <c r="AI759" s="89" t="n"/>
      <c r="AJ759" s="89" t="n">
        <v>74.40954000000001</v>
      </c>
      <c r="AK759" s="89" t="n"/>
      <c r="AL759" s="89" t="n"/>
      <c r="AM759" s="89" t="n">
        <v>55.91066</v>
      </c>
      <c r="AN759" s="89" t="n"/>
      <c r="AO759" s="89" t="n">
        <v>49.27568</v>
      </c>
      <c r="AP759" s="89" t="n">
        <v>65.11181999999999</v>
      </c>
      <c r="AQ759" s="89" t="n"/>
      <c r="AR759" s="89" t="n"/>
      <c r="AS759" s="89" t="n"/>
      <c r="AT759" s="89" t="n"/>
      <c r="AU759" s="89" t="n"/>
      <c r="AV759" s="89" t="n"/>
      <c r="AW759" s="89" t="n"/>
      <c r="AX759" s="89" t="n"/>
      <c r="AY759" s="89" t="n">
        <v>60.01718</v>
      </c>
    </row>
    <row r="760">
      <c r="A760" t="inlineStr">
        <is>
          <t>1982-03</t>
        </is>
      </c>
      <c r="B760" s="1" t="n">
        <v>30011</v>
      </c>
      <c r="C760" s="88" t="n">
        <v>760</v>
      </c>
      <c r="E760" s="1">
        <f>B760</f>
        <v/>
      </c>
      <c r="F760" s="2">
        <f>B760</f>
        <v/>
      </c>
      <c r="G760" s="88" t="n">
        <v>758</v>
      </c>
      <c r="H760" s="89" t="n"/>
      <c r="I760" s="89" t="n"/>
      <c r="J760" s="89" t="n">
        <v>49.75841</v>
      </c>
      <c r="K760" s="89" t="n">
        <v>53.19654</v>
      </c>
      <c r="L760" s="89" t="n"/>
      <c r="M760" s="89" t="n"/>
      <c r="N760" s="89" t="n">
        <v>58.81682</v>
      </c>
      <c r="O760" s="89" t="n">
        <v>63.78466</v>
      </c>
      <c r="P760" s="89" t="n">
        <v>84.16009</v>
      </c>
      <c r="Q760" s="89" t="n"/>
      <c r="R760" s="89" t="n">
        <v>52.9789</v>
      </c>
      <c r="S760" s="89" t="n">
        <v>80.6319</v>
      </c>
      <c r="T760" s="89" t="n">
        <v>77.93082</v>
      </c>
      <c r="U760" s="89" t="n">
        <v>116.2652</v>
      </c>
      <c r="V760" s="89" t="n"/>
      <c r="W760" s="89" t="n">
        <v>7.958155</v>
      </c>
      <c r="X760" s="89" t="n"/>
      <c r="Y760" s="89" t="n"/>
      <c r="Z760" s="89" t="n">
        <v>92.5428</v>
      </c>
      <c r="AA760" s="89" t="n">
        <v>72.93982</v>
      </c>
      <c r="AB760" s="89" t="n"/>
      <c r="AC760" s="89" t="n">
        <v>50.06411</v>
      </c>
      <c r="AD760" s="89" t="n"/>
      <c r="AE760" s="89" t="n">
        <v>61.45189</v>
      </c>
      <c r="AF760" s="89" t="n">
        <v>64.29204</v>
      </c>
      <c r="AG760" s="89" t="n">
        <v>57.18155</v>
      </c>
      <c r="AH760" s="89" t="n">
        <v>52.80787</v>
      </c>
      <c r="AI760" s="89" t="n"/>
      <c r="AJ760" s="89" t="n">
        <v>79.50378000000001</v>
      </c>
      <c r="AK760" s="89" t="n"/>
      <c r="AL760" s="89" t="n"/>
      <c r="AM760" s="89" t="n">
        <v>55.8532</v>
      </c>
      <c r="AN760" s="89" t="n"/>
      <c r="AO760" s="89" t="n">
        <v>48.89993</v>
      </c>
      <c r="AP760" s="89" t="n">
        <v>65.00517000000001</v>
      </c>
      <c r="AQ760" s="89" t="n"/>
      <c r="AR760" s="89" t="n"/>
      <c r="AS760" s="89" t="n"/>
      <c r="AT760" s="89" t="n"/>
      <c r="AU760" s="89" t="n"/>
      <c r="AV760" s="89" t="n"/>
      <c r="AW760" s="89" t="n"/>
      <c r="AX760" s="89" t="n"/>
      <c r="AY760" s="89" t="n">
        <v>62.71852</v>
      </c>
    </row>
    <row r="761">
      <c r="A761" t="inlineStr">
        <is>
          <t>1982-04</t>
        </is>
      </c>
      <c r="B761" s="1" t="n">
        <v>30042</v>
      </c>
      <c r="C761" s="88" t="n">
        <v>761</v>
      </c>
      <c r="E761" s="1">
        <f>B761</f>
        <v/>
      </c>
      <c r="F761" s="2">
        <f>B761</f>
        <v/>
      </c>
      <c r="G761" s="88" t="n">
        <v>759</v>
      </c>
      <c r="H761" s="89" t="n"/>
      <c r="I761" s="89" t="n"/>
      <c r="J761" s="89" t="n">
        <v>52.05415</v>
      </c>
      <c r="K761" s="89" t="n">
        <v>51.71586</v>
      </c>
      <c r="L761" s="89" t="n"/>
      <c r="M761" s="89" t="n"/>
      <c r="N761" s="89" t="n">
        <v>58.69338</v>
      </c>
      <c r="O761" s="89" t="n">
        <v>65.66068</v>
      </c>
      <c r="P761" s="89" t="n">
        <v>81.29442</v>
      </c>
      <c r="Q761" s="89" t="n"/>
      <c r="R761" s="89" t="n">
        <v>52.21844</v>
      </c>
      <c r="S761" s="89" t="n">
        <v>80.55046</v>
      </c>
      <c r="T761" s="89" t="n">
        <v>78.9074</v>
      </c>
      <c r="U761" s="89" t="n">
        <v>115.3354</v>
      </c>
      <c r="V761" s="89" t="n"/>
      <c r="W761" s="89" t="n">
        <v>7.935675</v>
      </c>
      <c r="X761" s="89" t="n"/>
      <c r="Y761" s="89" t="n"/>
      <c r="Z761" s="89" t="n">
        <v>95.72987000000001</v>
      </c>
      <c r="AA761" s="89" t="n">
        <v>71.93026999999999</v>
      </c>
      <c r="AB761" s="89" t="n"/>
      <c r="AC761" s="89" t="n">
        <v>47.82214</v>
      </c>
      <c r="AD761" s="89" t="n"/>
      <c r="AE761" s="89" t="n">
        <v>61.0904</v>
      </c>
      <c r="AF761" s="89" t="n">
        <v>64.96174999999999</v>
      </c>
      <c r="AG761" s="89" t="n">
        <v>57.74215</v>
      </c>
      <c r="AH761" s="89" t="n">
        <v>52.6074</v>
      </c>
      <c r="AI761" s="89" t="n"/>
      <c r="AJ761" s="89" t="n">
        <v>76.68838</v>
      </c>
      <c r="AK761" s="89" t="n"/>
      <c r="AL761" s="89" t="n"/>
      <c r="AM761" s="89" t="n">
        <v>55.73827</v>
      </c>
      <c r="AN761" s="89" t="n"/>
      <c r="AO761" s="89" t="n">
        <v>48.46991</v>
      </c>
      <c r="AP761" s="89" t="n">
        <v>65.66146000000001</v>
      </c>
      <c r="AQ761" s="89" t="n"/>
      <c r="AR761" s="89" t="n"/>
      <c r="AS761" s="89" t="n"/>
      <c r="AT761" s="89" t="n"/>
      <c r="AU761" s="89" t="n"/>
      <c r="AV761" s="89" t="n"/>
      <c r="AW761" s="89" t="n"/>
      <c r="AX761" s="89" t="n"/>
      <c r="AY761" s="89" t="n">
        <v>63.26547</v>
      </c>
    </row>
    <row r="762">
      <c r="A762" t="inlineStr">
        <is>
          <t>1982-05</t>
        </is>
      </c>
      <c r="B762" s="1" t="n">
        <v>30072</v>
      </c>
      <c r="C762" s="88" t="n">
        <v>762</v>
      </c>
      <c r="E762" s="1">
        <f>B762</f>
        <v/>
      </c>
      <c r="F762" s="2">
        <f>B762</f>
        <v/>
      </c>
      <c r="G762" s="88" t="n">
        <v>760</v>
      </c>
      <c r="H762" s="89" t="n"/>
      <c r="I762" s="89" t="n"/>
      <c r="J762" s="89" t="n">
        <v>52.06203</v>
      </c>
      <c r="K762" s="89" t="n">
        <v>52.11951</v>
      </c>
      <c r="L762" s="89" t="n"/>
      <c r="M762" s="89" t="n"/>
      <c r="N762" s="89" t="n">
        <v>58.69338</v>
      </c>
      <c r="O762" s="89" t="n">
        <v>63.15932</v>
      </c>
      <c r="P762" s="89" t="n">
        <v>81.69707</v>
      </c>
      <c r="Q762" s="89" t="n"/>
      <c r="R762" s="89" t="n">
        <v>52.21844</v>
      </c>
      <c r="S762" s="89" t="n">
        <v>80.30612000000001</v>
      </c>
      <c r="T762" s="89" t="n">
        <v>79.59099999999999</v>
      </c>
      <c r="U762" s="89" t="n">
        <v>117.8326</v>
      </c>
      <c r="V762" s="89" t="n"/>
      <c r="W762" s="89" t="n">
        <v>7.958155</v>
      </c>
      <c r="X762" s="89" t="n"/>
      <c r="Y762" s="89" t="n"/>
      <c r="Z762" s="89" t="n">
        <v>91.95261000000001</v>
      </c>
      <c r="AA762" s="89" t="n">
        <v>71.25724</v>
      </c>
      <c r="AB762" s="89" t="n"/>
      <c r="AC762" s="89" t="n">
        <v>49.5677</v>
      </c>
      <c r="AD762" s="89" t="n"/>
      <c r="AE762" s="89" t="n">
        <v>60.94581</v>
      </c>
      <c r="AF762" s="89" t="n">
        <v>63.62233</v>
      </c>
      <c r="AG762" s="89" t="n">
        <v>54.37853</v>
      </c>
      <c r="AH762" s="89" t="n">
        <v>52.2865</v>
      </c>
      <c r="AI762" s="89" t="n"/>
      <c r="AJ762" s="89" t="n">
        <v>72.01231</v>
      </c>
      <c r="AK762" s="89" t="n"/>
      <c r="AL762" s="89" t="n"/>
      <c r="AM762" s="89" t="n">
        <v>55.91066</v>
      </c>
      <c r="AN762" s="89" t="n"/>
      <c r="AO762" s="89" t="n">
        <v>48.15803</v>
      </c>
      <c r="AP762" s="89" t="n">
        <v>64.92314</v>
      </c>
      <c r="AQ762" s="89" t="n"/>
      <c r="AR762" s="89" t="n"/>
      <c r="AS762" s="89" t="n"/>
      <c r="AT762" s="89" t="n"/>
      <c r="AU762" s="89" t="n"/>
      <c r="AV762" s="89" t="n"/>
      <c r="AW762" s="89" t="n"/>
      <c r="AX762" s="89" t="n"/>
      <c r="AY762" s="89" t="n">
        <v>63.81888</v>
      </c>
    </row>
    <row r="763">
      <c r="A763" t="inlineStr">
        <is>
          <t>1982-06</t>
        </is>
      </c>
      <c r="B763" s="1" t="n">
        <v>30103</v>
      </c>
      <c r="C763" s="88" t="n">
        <v>763</v>
      </c>
      <c r="E763" s="1">
        <f>B763</f>
        <v/>
      </c>
      <c r="F763" s="2">
        <f>B763</f>
        <v/>
      </c>
      <c r="G763" s="88" t="n">
        <v>761</v>
      </c>
      <c r="H763" s="89" t="n"/>
      <c r="I763" s="89" t="n"/>
      <c r="J763" s="89" t="n">
        <v>50.78466</v>
      </c>
      <c r="K763" s="89" t="n">
        <v>51.21681</v>
      </c>
      <c r="L763" s="89" t="n"/>
      <c r="M763" s="89" t="n"/>
      <c r="N763" s="89" t="n">
        <v>57.27388</v>
      </c>
      <c r="O763" s="89" t="n">
        <v>66.28603</v>
      </c>
      <c r="P763" s="89" t="n">
        <v>79.82917999999999</v>
      </c>
      <c r="Q763" s="89" t="n"/>
      <c r="R763" s="89" t="n">
        <v>53.23239</v>
      </c>
      <c r="S763" s="89" t="n">
        <v>80.46901</v>
      </c>
      <c r="T763" s="89" t="n">
        <v>78.51676999999999</v>
      </c>
      <c r="U763" s="89" t="n">
        <v>113.4993</v>
      </c>
      <c r="V763" s="89" t="n"/>
      <c r="W763" s="89" t="n">
        <v>7.868233</v>
      </c>
      <c r="X763" s="89" t="n"/>
      <c r="Y763" s="89" t="n"/>
      <c r="Z763" s="89" t="n">
        <v>89.11967</v>
      </c>
      <c r="AA763" s="89" t="n">
        <v>72.18266</v>
      </c>
      <c r="AB763" s="89" t="n"/>
      <c r="AC763" s="89" t="n">
        <v>49.97245</v>
      </c>
      <c r="AD763" s="89" t="n"/>
      <c r="AE763" s="89" t="n">
        <v>60.43974</v>
      </c>
      <c r="AF763" s="89" t="n">
        <v>62.95262</v>
      </c>
      <c r="AG763" s="89" t="n">
        <v>54.93913</v>
      </c>
      <c r="AH763" s="89" t="n">
        <v>51.96004</v>
      </c>
      <c r="AI763" s="89" t="n"/>
      <c r="AJ763" s="89" t="n">
        <v>78.55034000000001</v>
      </c>
      <c r="AK763" s="89" t="n"/>
      <c r="AL763" s="89" t="n"/>
      <c r="AM763" s="89" t="n">
        <v>56.19797</v>
      </c>
      <c r="AN763" s="89" t="n"/>
      <c r="AO763" s="89" t="n">
        <v>47.99589</v>
      </c>
      <c r="AP763" s="89" t="n">
        <v>63.72542</v>
      </c>
      <c r="AQ763" s="89" t="n"/>
      <c r="AR763" s="89" t="n"/>
      <c r="AS763" s="89" t="n"/>
      <c r="AT763" s="89" t="n"/>
      <c r="AU763" s="89" t="n"/>
      <c r="AV763" s="89" t="n"/>
      <c r="AW763" s="89" t="n"/>
      <c r="AX763" s="89" t="n"/>
      <c r="AY763" s="89" t="n">
        <v>63.43091</v>
      </c>
    </row>
    <row r="764">
      <c r="A764" t="inlineStr">
        <is>
          <t>1982-07</t>
        </is>
      </c>
      <c r="B764" s="1" t="n">
        <v>30133</v>
      </c>
      <c r="C764" s="88" t="n">
        <v>764</v>
      </c>
      <c r="E764" s="1">
        <f>B764</f>
        <v/>
      </c>
      <c r="F764" s="2">
        <f>B764</f>
        <v/>
      </c>
      <c r="G764" s="88" t="n">
        <v>762</v>
      </c>
      <c r="H764" s="89" t="n"/>
      <c r="I764" s="89" t="n"/>
      <c r="J764" s="89" t="n">
        <v>51.51428</v>
      </c>
      <c r="K764" s="89" t="n">
        <v>50.19382</v>
      </c>
      <c r="L764" s="89" t="n"/>
      <c r="M764" s="89" t="n"/>
      <c r="N764" s="89" t="n">
        <v>55.36064</v>
      </c>
      <c r="O764" s="89" t="n">
        <v>63.15932</v>
      </c>
      <c r="P764" s="89" t="n">
        <v>81.55766</v>
      </c>
      <c r="Q764" s="89" t="n"/>
      <c r="R764" s="89" t="n">
        <v>51.71146</v>
      </c>
      <c r="S764" s="89" t="n">
        <v>78.10706</v>
      </c>
      <c r="T764" s="89" t="n">
        <v>78.51676999999999</v>
      </c>
      <c r="U764" s="89" t="n">
        <v>113.7708</v>
      </c>
      <c r="V764" s="89" t="n"/>
      <c r="W764" s="89" t="n">
        <v>8.070558999999999</v>
      </c>
      <c r="X764" s="89" t="n"/>
      <c r="Y764" s="89" t="n"/>
      <c r="Z764" s="89" t="n">
        <v>92.42477</v>
      </c>
      <c r="AA764" s="89" t="n">
        <v>72.01439999999999</v>
      </c>
      <c r="AB764" s="89" t="n"/>
      <c r="AC764" s="89" t="n">
        <v>48.57793</v>
      </c>
      <c r="AD764" s="89" t="n"/>
      <c r="AE764" s="89" t="n">
        <v>59.49989</v>
      </c>
      <c r="AF764" s="89" t="n">
        <v>62.95262</v>
      </c>
      <c r="AG764" s="89" t="n">
        <v>55.49973</v>
      </c>
      <c r="AH764" s="89" t="n">
        <v>51.69467</v>
      </c>
      <c r="AI764" s="89" t="n"/>
      <c r="AJ764" s="89" t="n">
        <v>78.70587999999999</v>
      </c>
      <c r="AK764" s="89" t="n"/>
      <c r="AL764" s="89" t="n"/>
      <c r="AM764" s="89" t="n">
        <v>56.71513</v>
      </c>
      <c r="AN764" s="89" t="n"/>
      <c r="AO764" s="89" t="n">
        <v>47.84663</v>
      </c>
      <c r="AP764" s="89" t="n">
        <v>64.09457999999999</v>
      </c>
      <c r="AQ764" s="89" t="n"/>
      <c r="AR764" s="89" t="n"/>
      <c r="AS764" s="89" t="n"/>
      <c r="AT764" s="89" t="n"/>
      <c r="AU764" s="89" t="n"/>
      <c r="AV764" s="89" t="n"/>
      <c r="AW764" s="89" t="n"/>
      <c r="AX764" s="89" t="n"/>
      <c r="AY764" s="89" t="n">
        <v>63.97797</v>
      </c>
    </row>
    <row r="765">
      <c r="A765" t="inlineStr">
        <is>
          <t>1982-08</t>
        </is>
      </c>
      <c r="B765" s="1" t="n">
        <v>30164</v>
      </c>
      <c r="C765" s="88" t="n">
        <v>765</v>
      </c>
      <c r="E765" s="1">
        <f>B765</f>
        <v/>
      </c>
      <c r="F765" s="2">
        <f>B765</f>
        <v/>
      </c>
      <c r="G765" s="88" t="n">
        <v>763</v>
      </c>
      <c r="H765" s="89" t="n"/>
      <c r="I765" s="89" t="n"/>
      <c r="J765" s="89" t="n">
        <v>50.09268</v>
      </c>
      <c r="K765" s="89" t="n">
        <v>51.14116</v>
      </c>
      <c r="L765" s="89" t="n"/>
      <c r="M765" s="89" t="n"/>
      <c r="N765" s="89" t="n">
        <v>56.53327</v>
      </c>
      <c r="O765" s="89" t="n">
        <v>63.15932</v>
      </c>
      <c r="P765" s="89" t="n">
        <v>76.74245000000001</v>
      </c>
      <c r="Q765" s="89" t="n"/>
      <c r="R765" s="89" t="n">
        <v>52.67471</v>
      </c>
      <c r="S765" s="89" t="n">
        <v>78.10706</v>
      </c>
      <c r="T765" s="89" t="n">
        <v>79.20037000000001</v>
      </c>
      <c r="U765" s="89" t="n">
        <v>111.6981</v>
      </c>
      <c r="V765" s="89" t="n"/>
      <c r="W765" s="89" t="n">
        <v>7.890713</v>
      </c>
      <c r="X765" s="89" t="n"/>
      <c r="Y765" s="89" t="n"/>
      <c r="Z765" s="89" t="n">
        <v>90.65416999999999</v>
      </c>
      <c r="AA765" s="89" t="n">
        <v>72.09853</v>
      </c>
      <c r="AB765" s="89" t="n"/>
      <c r="AC765" s="89" t="n">
        <v>49.45038</v>
      </c>
      <c r="AD765" s="89" t="n"/>
      <c r="AE765" s="89" t="n">
        <v>59.1384</v>
      </c>
      <c r="AF765" s="89" t="n">
        <v>60.94349</v>
      </c>
      <c r="AG765" s="89" t="n">
        <v>54.93913</v>
      </c>
      <c r="AH765" s="89" t="n">
        <v>51.47596</v>
      </c>
      <c r="AI765" s="89" t="n"/>
      <c r="AJ765" s="89" t="n">
        <v>75.45084</v>
      </c>
      <c r="AK765" s="89" t="n"/>
      <c r="AL765" s="89" t="n"/>
      <c r="AM765" s="89" t="n">
        <v>55.45096</v>
      </c>
      <c r="AN765" s="89" t="n"/>
      <c r="AO765" s="89" t="n">
        <v>47.42737</v>
      </c>
      <c r="AP765" s="89" t="n">
        <v>63.41368</v>
      </c>
      <c r="AQ765" s="89" t="n"/>
      <c r="AR765" s="89" t="n"/>
      <c r="AS765" s="89" t="n"/>
      <c r="AT765" s="89" t="n"/>
      <c r="AU765" s="89" t="n"/>
      <c r="AV765" s="89" t="n"/>
      <c r="AW765" s="89" t="n"/>
      <c r="AX765" s="89" t="n"/>
      <c r="AY765" s="89" t="n">
        <v>63.96724</v>
      </c>
    </row>
    <row r="766">
      <c r="A766" t="inlineStr">
        <is>
          <t>1982-09</t>
        </is>
      </c>
      <c r="B766" s="1" t="n">
        <v>30195</v>
      </c>
      <c r="C766" s="88" t="n">
        <v>766</v>
      </c>
      <c r="E766" s="1">
        <f>B766</f>
        <v/>
      </c>
      <c r="F766" s="2">
        <f>B766</f>
        <v/>
      </c>
      <c r="G766" s="88" t="n">
        <v>764</v>
      </c>
      <c r="H766" s="89" t="n"/>
      <c r="I766" s="89" t="n"/>
      <c r="J766" s="89" t="n">
        <v>51.42764</v>
      </c>
      <c r="K766" s="89" t="n">
        <v>50.53638</v>
      </c>
      <c r="L766" s="89" t="n"/>
      <c r="M766" s="89" t="n"/>
      <c r="N766" s="89" t="n">
        <v>56.2864</v>
      </c>
      <c r="O766" s="89" t="n">
        <v>63.15932</v>
      </c>
      <c r="P766" s="89" t="n">
        <v>83.87902</v>
      </c>
      <c r="Q766" s="89" t="n"/>
      <c r="R766" s="89" t="n">
        <v>52.77611</v>
      </c>
      <c r="S766" s="89" t="n">
        <v>78.67719</v>
      </c>
      <c r="T766" s="89" t="n">
        <v>79.29803</v>
      </c>
      <c r="U766" s="89" t="n">
        <v>120.1778</v>
      </c>
      <c r="V766" s="89" t="n"/>
      <c r="W766" s="89" t="n">
        <v>7.958155</v>
      </c>
      <c r="X766" s="89" t="n"/>
      <c r="Y766" s="89" t="n"/>
      <c r="Z766" s="89" t="n">
        <v>91.00829</v>
      </c>
      <c r="AA766" s="89" t="n">
        <v>72.43504</v>
      </c>
      <c r="AB766" s="89" t="n"/>
      <c r="AC766" s="89" t="n">
        <v>49.88655</v>
      </c>
      <c r="AD766" s="89" t="n"/>
      <c r="AE766" s="89" t="n">
        <v>58.19855</v>
      </c>
      <c r="AF766" s="89" t="n">
        <v>62.28291</v>
      </c>
      <c r="AG766" s="89" t="n">
        <v>53.81792</v>
      </c>
      <c r="AH766" s="89" t="n">
        <v>51.63329</v>
      </c>
      <c r="AI766" s="89" t="n"/>
      <c r="AJ766" s="89" t="n">
        <v>76.98872</v>
      </c>
      <c r="AK766" s="89" t="n"/>
      <c r="AL766" s="89" t="n"/>
      <c r="AM766" s="89" t="n">
        <v>55.91066</v>
      </c>
      <c r="AN766" s="89" t="n"/>
      <c r="AO766" s="89" t="n">
        <v>47.28204</v>
      </c>
      <c r="AP766" s="89" t="n">
        <v>63.9223</v>
      </c>
      <c r="AQ766" s="89" t="n"/>
      <c r="AR766" s="89" t="n"/>
      <c r="AS766" s="89" t="n"/>
      <c r="AT766" s="89" t="n"/>
      <c r="AU766" s="89" t="n"/>
      <c r="AV766" s="89" t="n"/>
      <c r="AW766" s="89" t="n"/>
      <c r="AX766" s="89" t="n"/>
      <c r="AY766" s="89" t="n">
        <v>63.22181</v>
      </c>
    </row>
    <row r="767">
      <c r="A767" t="inlineStr">
        <is>
          <t>1982-10</t>
        </is>
      </c>
      <c r="B767" s="1" t="n">
        <v>30225</v>
      </c>
      <c r="C767" s="88" t="n">
        <v>767</v>
      </c>
      <c r="E767" s="1">
        <f>B767</f>
        <v/>
      </c>
      <c r="F767" s="2">
        <f>B767</f>
        <v/>
      </c>
      <c r="G767" s="88" t="n">
        <v>765</v>
      </c>
      <c r="H767" s="89" t="n"/>
      <c r="I767" s="89" t="n"/>
      <c r="J767" s="89" t="n">
        <v>51.79912</v>
      </c>
      <c r="K767" s="89" t="n">
        <v>49.58952</v>
      </c>
      <c r="L767" s="89" t="n"/>
      <c r="M767" s="89" t="n"/>
      <c r="N767" s="89" t="n">
        <v>55.66922</v>
      </c>
      <c r="O767" s="89" t="n">
        <v>63.78466</v>
      </c>
      <c r="P767" s="89" t="n">
        <v>80.62622</v>
      </c>
      <c r="Q767" s="89" t="n"/>
      <c r="R767" s="89" t="n">
        <v>51.96495</v>
      </c>
      <c r="S767" s="89" t="n">
        <v>79.24731</v>
      </c>
      <c r="T767" s="89" t="n">
        <v>78.80974999999999</v>
      </c>
      <c r="U767" s="89" t="n">
        <v>115.562</v>
      </c>
      <c r="V767" s="89" t="n"/>
      <c r="W767" s="89" t="n">
        <v>8.227923000000001</v>
      </c>
      <c r="X767" s="89" t="n"/>
      <c r="Y767" s="89" t="n"/>
      <c r="Z767" s="89" t="n">
        <v>90.06398</v>
      </c>
      <c r="AA767" s="89" t="n">
        <v>70.33181999999999</v>
      </c>
      <c r="AB767" s="89" t="n"/>
      <c r="AC767" s="89" t="n">
        <v>49.39364</v>
      </c>
      <c r="AD767" s="89" t="n"/>
      <c r="AE767" s="89" t="n">
        <v>56.46344</v>
      </c>
      <c r="AF767" s="89" t="n">
        <v>61.6132</v>
      </c>
      <c r="AG767" s="89" t="n">
        <v>52.13611</v>
      </c>
      <c r="AH767" s="89" t="n">
        <v>50.91795</v>
      </c>
      <c r="AI767" s="89" t="n"/>
      <c r="AJ767" s="89" t="n">
        <v>78.3541</v>
      </c>
      <c r="AK767" s="89" t="n"/>
      <c r="AL767" s="89" t="n"/>
      <c r="AM767" s="89" t="n">
        <v>55.68081</v>
      </c>
      <c r="AN767" s="89" t="n"/>
      <c r="AO767" s="89" t="n">
        <v>46.86076</v>
      </c>
      <c r="AP767" s="89" t="n">
        <v>63.30703</v>
      </c>
      <c r="AQ767" s="89" t="n"/>
      <c r="AR767" s="89" t="n"/>
      <c r="AS767" s="89" t="n"/>
      <c r="AT767" s="89" t="n"/>
      <c r="AU767" s="89" t="n"/>
      <c r="AV767" s="89" t="n"/>
      <c r="AW767" s="89" t="n"/>
      <c r="AX767" s="89" t="n"/>
      <c r="AY767" s="89" t="n">
        <v>61.21705</v>
      </c>
    </row>
    <row r="768">
      <c r="A768" t="inlineStr">
        <is>
          <t>1982-11</t>
        </is>
      </c>
      <c r="B768" s="1" t="n">
        <v>30256</v>
      </c>
      <c r="C768" s="88" t="n">
        <v>768</v>
      </c>
      <c r="E768" s="1">
        <f>B768</f>
        <v/>
      </c>
      <c r="F768" s="2">
        <f>B768</f>
        <v/>
      </c>
      <c r="G768" s="88" t="n">
        <v>766</v>
      </c>
      <c r="H768" s="89" t="n"/>
      <c r="I768" s="89" t="n"/>
      <c r="J768" s="89" t="n">
        <v>50.85032</v>
      </c>
      <c r="K768" s="89" t="n">
        <v>50.40998</v>
      </c>
      <c r="L768" s="89" t="n"/>
      <c r="M768" s="89" t="n"/>
      <c r="N768" s="89" t="n">
        <v>54.99033</v>
      </c>
      <c r="O768" s="89" t="n">
        <v>65.03534999999999</v>
      </c>
      <c r="P768" s="89" t="n">
        <v>82.17874</v>
      </c>
      <c r="Q768" s="89" t="n"/>
      <c r="R768" s="89" t="n">
        <v>52.37053</v>
      </c>
      <c r="S768" s="89" t="n">
        <v>78.75864</v>
      </c>
      <c r="T768" s="89" t="n">
        <v>77.44253999999999</v>
      </c>
      <c r="U768" s="89" t="n">
        <v>114.5007</v>
      </c>
      <c r="V768" s="89" t="n"/>
      <c r="W768" s="89" t="n">
        <v>8.070558999999999</v>
      </c>
      <c r="X768" s="89" t="n"/>
      <c r="Y768" s="89" t="n"/>
      <c r="Z768" s="89" t="n">
        <v>88.52946</v>
      </c>
      <c r="AA768" s="89" t="n">
        <v>72.09853</v>
      </c>
      <c r="AB768" s="89" t="n"/>
      <c r="AC768" s="89" t="n">
        <v>47.70149</v>
      </c>
      <c r="AD768" s="89" t="n"/>
      <c r="AE768" s="89" t="n">
        <v>56.82492</v>
      </c>
      <c r="AF768" s="89" t="n">
        <v>60.94349</v>
      </c>
      <c r="AG768" s="89" t="n">
        <v>56.06034</v>
      </c>
      <c r="AH768" s="89" t="n">
        <v>50.92028</v>
      </c>
      <c r="AI768" s="89" t="n"/>
      <c r="AJ768" s="89" t="n">
        <v>78.11005</v>
      </c>
      <c r="AK768" s="89" t="n"/>
      <c r="AL768" s="89" t="n"/>
      <c r="AM768" s="89" t="n">
        <v>55.22111</v>
      </c>
      <c r="AN768" s="89" t="n"/>
      <c r="AO768" s="89" t="n">
        <v>46.67308</v>
      </c>
      <c r="AP768" s="89" t="n">
        <v>62.70817</v>
      </c>
      <c r="AQ768" s="89" t="n"/>
      <c r="AR768" s="89" t="n"/>
      <c r="AS768" s="89" t="n"/>
      <c r="AT768" s="89" t="n"/>
      <c r="AU768" s="89" t="n"/>
      <c r="AV768" s="89" t="n"/>
      <c r="AW768" s="89" t="n"/>
      <c r="AX768" s="89" t="n"/>
      <c r="AY768" s="89" t="n">
        <v>59.78606</v>
      </c>
    </row>
    <row r="769">
      <c r="A769" t="inlineStr">
        <is>
          <t>1982-12</t>
        </is>
      </c>
      <c r="B769" s="1" t="n">
        <v>30286</v>
      </c>
      <c r="C769" s="88" t="n">
        <v>769</v>
      </c>
      <c r="E769" s="1">
        <f>B769</f>
        <v/>
      </c>
      <c r="F769" s="2">
        <f>B769</f>
        <v/>
      </c>
      <c r="G769" s="88" t="n">
        <v>767</v>
      </c>
      <c r="H769" s="89" t="n"/>
      <c r="I769" s="89" t="n"/>
      <c r="J769" s="89" t="n">
        <v>49.95319</v>
      </c>
      <c r="K769" s="89" t="n">
        <v>50.05285</v>
      </c>
      <c r="L769" s="89" t="n"/>
      <c r="M769" s="89" t="n"/>
      <c r="N769" s="89" t="n">
        <v>55.2372</v>
      </c>
      <c r="O769" s="89" t="n">
        <v>64.41</v>
      </c>
      <c r="P769" s="89" t="n">
        <v>80.27538</v>
      </c>
      <c r="Q769" s="89" t="n"/>
      <c r="R769" s="89" t="n">
        <v>52.9789</v>
      </c>
      <c r="S769" s="89" t="n">
        <v>79.08443</v>
      </c>
      <c r="T769" s="89" t="n">
        <v>78.51676999999999</v>
      </c>
      <c r="U769" s="89" t="n">
        <v>111.9263</v>
      </c>
      <c r="V769" s="89" t="n"/>
      <c r="W769" s="89" t="n">
        <v>7.755829</v>
      </c>
      <c r="X769" s="89" t="n"/>
      <c r="Y769" s="89" t="n"/>
      <c r="Z769" s="89" t="n">
        <v>89.47378999999999</v>
      </c>
      <c r="AA769" s="89" t="n">
        <v>71.34135999999999</v>
      </c>
      <c r="AB769" s="89" t="n"/>
      <c r="AC769" s="89" t="n">
        <v>45.16009</v>
      </c>
      <c r="AD769" s="89" t="n"/>
      <c r="AE769" s="89" t="n">
        <v>56.10196</v>
      </c>
      <c r="AF769" s="89" t="n">
        <v>62.95262</v>
      </c>
      <c r="AG769" s="89" t="n">
        <v>57.18155</v>
      </c>
      <c r="AH769" s="89" t="n">
        <v>50.76622</v>
      </c>
      <c r="AI769" s="89" t="n"/>
      <c r="AJ769" s="89" t="n">
        <v>80.05128000000001</v>
      </c>
      <c r="AK769" s="89" t="n"/>
      <c r="AL769" s="89" t="n"/>
      <c r="AM769" s="89" t="n">
        <v>56.31289</v>
      </c>
      <c r="AN769" s="89" t="n"/>
      <c r="AO769" s="89" t="n">
        <v>46.33728</v>
      </c>
      <c r="AP769" s="89" t="n">
        <v>62.28159</v>
      </c>
      <c r="AQ769" s="89" t="n"/>
      <c r="AR769" s="89" t="n"/>
      <c r="AS769" s="89" t="n"/>
      <c r="AT769" s="89" t="n"/>
      <c r="AU769" s="89" t="n"/>
      <c r="AV769" s="89" t="n"/>
      <c r="AW769" s="89" t="n"/>
      <c r="AX769" s="89" t="n"/>
      <c r="AY769" s="89" t="n">
        <v>59.16664</v>
      </c>
    </row>
    <row r="770">
      <c r="A770" t="inlineStr">
        <is>
          <t>1983-01</t>
        </is>
      </c>
      <c r="B770" s="1" t="n">
        <v>30317</v>
      </c>
      <c r="C770" s="88" t="n">
        <v>770</v>
      </c>
      <c r="E770" s="1">
        <f>B770</f>
        <v/>
      </c>
      <c r="F770" s="2">
        <f>B770</f>
        <v/>
      </c>
      <c r="G770" s="88" t="n">
        <v>768</v>
      </c>
      <c r="H770" s="89" t="n"/>
      <c r="I770" s="89" t="n"/>
      <c r="J770" s="89" t="n">
        <v>51.42221</v>
      </c>
      <c r="K770" s="89" t="n">
        <v>50.97716</v>
      </c>
      <c r="L770" s="89" t="n"/>
      <c r="M770" s="89" t="n"/>
      <c r="N770" s="89" t="n">
        <v>56.10125</v>
      </c>
      <c r="O770" s="89" t="n">
        <v>65.03534999999999</v>
      </c>
      <c r="P770" s="89" t="n">
        <v>83.78417</v>
      </c>
      <c r="Q770" s="89" t="n"/>
      <c r="R770" s="89" t="n">
        <v>52.42123</v>
      </c>
      <c r="S770" s="89" t="n">
        <v>79.24731</v>
      </c>
      <c r="T770" s="89" t="n">
        <v>79.59099999999999</v>
      </c>
      <c r="U770" s="89" t="n">
        <v>114.0322</v>
      </c>
      <c r="V770" s="89" t="n"/>
      <c r="W770" s="89" t="n">
        <v>8.879863</v>
      </c>
      <c r="X770" s="89" t="n"/>
      <c r="Y770" s="89" t="n"/>
      <c r="Z770" s="89" t="n">
        <v>89.70986000000001</v>
      </c>
      <c r="AA770" s="89" t="n">
        <v>71.93026999999999</v>
      </c>
      <c r="AB770" s="89" t="n"/>
      <c r="AC770" s="89" t="n">
        <v>47.49792</v>
      </c>
      <c r="AD770" s="89" t="n"/>
      <c r="AE770" s="89" t="n">
        <v>55.45129</v>
      </c>
      <c r="AF770" s="89" t="n">
        <v>62.28291</v>
      </c>
      <c r="AG770" s="89" t="n">
        <v>56.62094</v>
      </c>
      <c r="AH770" s="89" t="n">
        <v>51.37852</v>
      </c>
      <c r="AI770" s="89" t="n"/>
      <c r="AJ770" s="89" t="n">
        <v>79.31065</v>
      </c>
      <c r="AK770" s="89" t="n"/>
      <c r="AL770" s="89" t="n"/>
      <c r="AM770" s="89" t="n">
        <v>56.31289</v>
      </c>
      <c r="AN770" s="89" t="n"/>
      <c r="AO770" s="89" t="n">
        <v>47.23421</v>
      </c>
      <c r="AP770" s="89" t="n">
        <v>63.13476</v>
      </c>
      <c r="AQ770" s="89" t="n"/>
      <c r="AR770" s="89" t="n"/>
      <c r="AS770" s="89" t="n"/>
      <c r="AT770" s="89" t="n"/>
      <c r="AU770" s="89" t="n"/>
      <c r="AV770" s="89" t="n"/>
      <c r="AW770" s="89" t="n"/>
      <c r="AX770" s="89" t="n"/>
      <c r="AY770" s="89" t="n">
        <v>58.07689</v>
      </c>
    </row>
    <row r="771">
      <c r="A771" t="inlineStr">
        <is>
          <t>1983-02</t>
        </is>
      </c>
      <c r="B771" s="1" t="n">
        <v>30348</v>
      </c>
      <c r="C771" s="88" t="n">
        <v>771</v>
      </c>
      <c r="E771" s="1">
        <f>B771</f>
        <v/>
      </c>
      <c r="F771" s="2">
        <f>B771</f>
        <v/>
      </c>
      <c r="G771" s="88" t="n">
        <v>769</v>
      </c>
      <c r="H771" s="89" t="n"/>
      <c r="I771" s="89" t="n"/>
      <c r="J771" s="89" t="n">
        <v>51.54961</v>
      </c>
      <c r="K771" s="89" t="n">
        <v>51.0218</v>
      </c>
      <c r="L771" s="89" t="n"/>
      <c r="M771" s="89" t="n"/>
      <c r="N771" s="89" t="n">
        <v>55.60751</v>
      </c>
      <c r="O771" s="89" t="n">
        <v>64.41</v>
      </c>
      <c r="P771" s="89" t="n">
        <v>83.02045</v>
      </c>
      <c r="Q771" s="89" t="n"/>
      <c r="R771" s="89" t="n">
        <v>53.23239</v>
      </c>
      <c r="S771" s="89" t="n">
        <v>78.92153</v>
      </c>
      <c r="T771" s="89" t="n">
        <v>80.66524</v>
      </c>
      <c r="U771" s="89" t="n">
        <v>114.972</v>
      </c>
      <c r="V771" s="89" t="n"/>
      <c r="W771" s="89" t="n">
        <v>8.475210000000001</v>
      </c>
      <c r="X771" s="89" t="n"/>
      <c r="Y771" s="89" t="n"/>
      <c r="Z771" s="89" t="n">
        <v>89.35574</v>
      </c>
      <c r="AA771" s="89" t="n">
        <v>71.67788</v>
      </c>
      <c r="AB771" s="89" t="n"/>
      <c r="AC771" s="89" t="n">
        <v>50.07364</v>
      </c>
      <c r="AD771" s="89" t="n"/>
      <c r="AE771" s="89" t="n">
        <v>54.58373</v>
      </c>
      <c r="AF771" s="89" t="n">
        <v>63.62233</v>
      </c>
      <c r="AG771" s="89" t="n">
        <v>58.86335</v>
      </c>
      <c r="AH771" s="89" t="n">
        <v>51.22321</v>
      </c>
      <c r="AI771" s="89" t="n"/>
      <c r="AJ771" s="89" t="n">
        <v>81.0446</v>
      </c>
      <c r="AK771" s="89" t="n"/>
      <c r="AL771" s="89" t="n"/>
      <c r="AM771" s="89" t="n">
        <v>56.65767</v>
      </c>
      <c r="AN771" s="89" t="n"/>
      <c r="AO771" s="89" t="n">
        <v>46.93895</v>
      </c>
      <c r="AP771" s="89" t="n">
        <v>63.40548</v>
      </c>
      <c r="AQ771" s="89" t="n"/>
      <c r="AR771" s="89" t="n"/>
      <c r="AS771" s="89" t="n"/>
      <c r="AT771" s="89" t="n"/>
      <c r="AU771" s="89" t="n"/>
      <c r="AV771" s="89" t="n"/>
      <c r="AW771" s="89" t="n"/>
      <c r="AX771" s="89" t="n"/>
      <c r="AY771" s="89" t="n">
        <v>56.85143</v>
      </c>
    </row>
    <row r="772">
      <c r="A772" t="inlineStr">
        <is>
          <t>1983-03</t>
        </is>
      </c>
      <c r="B772" s="1" t="n">
        <v>30376</v>
      </c>
      <c r="C772" s="88" t="n">
        <v>772</v>
      </c>
      <c r="E772" s="1">
        <f>B772</f>
        <v/>
      </c>
      <c r="F772" s="2">
        <f>B772</f>
        <v/>
      </c>
      <c r="G772" s="88" t="n">
        <v>770</v>
      </c>
      <c r="H772" s="89" t="n"/>
      <c r="I772" s="89" t="n"/>
      <c r="J772" s="89" t="n">
        <v>51.64131</v>
      </c>
      <c r="K772" s="89" t="n">
        <v>51.36812</v>
      </c>
      <c r="L772" s="89" t="n"/>
      <c r="M772" s="89" t="n"/>
      <c r="N772" s="89" t="n">
        <v>56.59499</v>
      </c>
      <c r="O772" s="89" t="n">
        <v>63.15932</v>
      </c>
      <c r="P772" s="89" t="n">
        <v>84.73887999999999</v>
      </c>
      <c r="Q772" s="89" t="n"/>
      <c r="R772" s="89" t="n">
        <v>53.18169</v>
      </c>
      <c r="S772" s="89" t="n">
        <v>79.73599</v>
      </c>
      <c r="T772" s="89" t="n">
        <v>79.59099999999999</v>
      </c>
      <c r="U772" s="89" t="n">
        <v>113.7134</v>
      </c>
      <c r="V772" s="89" t="n"/>
      <c r="W772" s="89" t="n">
        <v>8.250403</v>
      </c>
      <c r="X772" s="89" t="n"/>
      <c r="Y772" s="89" t="n"/>
      <c r="Z772" s="89" t="n">
        <v>88.88357999999999</v>
      </c>
      <c r="AA772" s="89" t="n">
        <v>72.68743000000001</v>
      </c>
      <c r="AB772" s="89" t="n"/>
      <c r="AC772" s="89" t="n">
        <v>48.37643</v>
      </c>
      <c r="AD772" s="89" t="n"/>
      <c r="AE772" s="89" t="n">
        <v>53.71618</v>
      </c>
      <c r="AF772" s="89" t="n">
        <v>64.29204</v>
      </c>
      <c r="AG772" s="89" t="n">
        <v>56.62094</v>
      </c>
      <c r="AH772" s="89" t="n">
        <v>51.52083</v>
      </c>
      <c r="AI772" s="89" t="n"/>
      <c r="AJ772" s="89" t="n">
        <v>81.07961</v>
      </c>
      <c r="AK772" s="89" t="n"/>
      <c r="AL772" s="89" t="n"/>
      <c r="AM772" s="89" t="n">
        <v>56.31289</v>
      </c>
      <c r="AN772" s="89" t="n"/>
      <c r="AO772" s="89" t="n">
        <v>47.31989</v>
      </c>
      <c r="AP772" s="89" t="n">
        <v>63.99614</v>
      </c>
      <c r="AQ772" s="89" t="n"/>
      <c r="AR772" s="89" t="n"/>
      <c r="AS772" s="89" t="n"/>
      <c r="AT772" s="89" t="n"/>
      <c r="AU772" s="89" t="n"/>
      <c r="AV772" s="89" t="n"/>
      <c r="AW772" s="89" t="n"/>
      <c r="AX772" s="89" t="n"/>
      <c r="AY772" s="89" t="n">
        <v>58.95898</v>
      </c>
    </row>
    <row r="773">
      <c r="A773" t="inlineStr">
        <is>
          <t>1983-04</t>
        </is>
      </c>
      <c r="B773" s="1" t="n">
        <v>30407</v>
      </c>
      <c r="C773" s="88" t="n">
        <v>773</v>
      </c>
      <c r="E773" s="1">
        <f>B773</f>
        <v/>
      </c>
      <c r="F773" s="2">
        <f>B773</f>
        <v/>
      </c>
      <c r="G773" s="88" t="n">
        <v>771</v>
      </c>
      <c r="H773" s="89" t="n"/>
      <c r="I773" s="89" t="n"/>
      <c r="J773" s="89" t="n">
        <v>51.647</v>
      </c>
      <c r="K773" s="89" t="n">
        <v>52.20879</v>
      </c>
      <c r="L773" s="89" t="n"/>
      <c r="M773" s="89" t="n"/>
      <c r="N773" s="89" t="n">
        <v>57.15044</v>
      </c>
      <c r="O773" s="89" t="n">
        <v>65.66068</v>
      </c>
      <c r="P773" s="89" t="n">
        <v>82.80904</v>
      </c>
      <c r="Q773" s="89" t="n"/>
      <c r="R773" s="89" t="n">
        <v>54.14494</v>
      </c>
      <c r="S773" s="89" t="n">
        <v>79.24731</v>
      </c>
      <c r="T773" s="89" t="n">
        <v>80.46992</v>
      </c>
      <c r="U773" s="89" t="n">
        <v>117.921</v>
      </c>
      <c r="V773" s="89" t="n"/>
      <c r="W773" s="89" t="n">
        <v>8.09304</v>
      </c>
      <c r="X773" s="89" t="n"/>
      <c r="Y773" s="89" t="n"/>
      <c r="Z773" s="89" t="n">
        <v>88.41143</v>
      </c>
      <c r="AA773" s="89" t="n">
        <v>72.68743000000001</v>
      </c>
      <c r="AB773" s="89" t="n"/>
      <c r="AC773" s="89" t="n">
        <v>51.36726</v>
      </c>
      <c r="AD773" s="89" t="n"/>
      <c r="AE773" s="89" t="n">
        <v>53.57159</v>
      </c>
      <c r="AF773" s="89" t="n">
        <v>64.29204</v>
      </c>
      <c r="AG773" s="89" t="n">
        <v>62.22697</v>
      </c>
      <c r="AH773" s="89" t="n">
        <v>51.90537</v>
      </c>
      <c r="AI773" s="89" t="n"/>
      <c r="AJ773" s="89" t="n">
        <v>79.87526</v>
      </c>
      <c r="AK773" s="89" t="n"/>
      <c r="AL773" s="89" t="n"/>
      <c r="AM773" s="89" t="n">
        <v>57.80691</v>
      </c>
      <c r="AN773" s="89" t="n"/>
      <c r="AO773" s="89" t="n">
        <v>47.89821</v>
      </c>
      <c r="AP773" s="89" t="n">
        <v>63.76643</v>
      </c>
      <c r="AQ773" s="89" t="n"/>
      <c r="AR773" s="89" t="n"/>
      <c r="AS773" s="89" t="n"/>
      <c r="AT773" s="89" t="n"/>
      <c r="AU773" s="89" t="n"/>
      <c r="AV773" s="89" t="n"/>
      <c r="AW773" s="89" t="n"/>
      <c r="AX773" s="89" t="n"/>
      <c r="AY773" s="89" t="n">
        <v>58.40549</v>
      </c>
    </row>
    <row r="774">
      <c r="A774" t="inlineStr">
        <is>
          <t>1983-05</t>
        </is>
      </c>
      <c r="B774" s="1" t="n">
        <v>30437</v>
      </c>
      <c r="C774" s="88" t="n">
        <v>774</v>
      </c>
      <c r="E774" s="1">
        <f>B774</f>
        <v/>
      </c>
      <c r="F774" s="2">
        <f>B774</f>
        <v/>
      </c>
      <c r="G774" s="88" t="n">
        <v>772</v>
      </c>
      <c r="H774" s="89" t="n"/>
      <c r="I774" s="89" t="n"/>
      <c r="J774" s="89" t="n">
        <v>51.32644</v>
      </c>
      <c r="K774" s="89" t="n">
        <v>52.53914</v>
      </c>
      <c r="L774" s="89" t="n"/>
      <c r="M774" s="89" t="n"/>
      <c r="N774" s="89" t="n">
        <v>56.78014</v>
      </c>
      <c r="O774" s="89" t="n">
        <v>66.28603</v>
      </c>
      <c r="P774" s="89" t="n">
        <v>83.44328</v>
      </c>
      <c r="Q774" s="89" t="n"/>
      <c r="R774" s="89" t="n">
        <v>54.80401</v>
      </c>
      <c r="S774" s="89" t="n">
        <v>79.89888999999999</v>
      </c>
      <c r="T774" s="89" t="n">
        <v>81.4465</v>
      </c>
      <c r="U774" s="89" t="n">
        <v>107.993</v>
      </c>
      <c r="V774" s="89" t="n"/>
      <c r="W774" s="89" t="n">
        <v>8.205442</v>
      </c>
      <c r="X774" s="89" t="n"/>
      <c r="Y774" s="89" t="n"/>
      <c r="Z774" s="89" t="n">
        <v>87.113</v>
      </c>
      <c r="AA774" s="89" t="n">
        <v>73.02395</v>
      </c>
      <c r="AB774" s="89" t="n"/>
      <c r="AC774" s="89" t="n">
        <v>51.69737</v>
      </c>
      <c r="AD774" s="89" t="n"/>
      <c r="AE774" s="89" t="n">
        <v>52.99321</v>
      </c>
      <c r="AF774" s="89" t="n">
        <v>66.30116</v>
      </c>
      <c r="AG774" s="89" t="n">
        <v>59.42396</v>
      </c>
      <c r="AH774" s="89" t="n">
        <v>52.01444</v>
      </c>
      <c r="AI774" s="89" t="n"/>
      <c r="AJ774" s="89" t="n">
        <v>79.1889</v>
      </c>
      <c r="AK774" s="89" t="n"/>
      <c r="AL774" s="89" t="n"/>
      <c r="AM774" s="89" t="n">
        <v>57.46214</v>
      </c>
      <c r="AN774" s="89" t="n"/>
      <c r="AO774" s="89" t="n">
        <v>48.22565</v>
      </c>
      <c r="AP774" s="89" t="n">
        <v>63.89769</v>
      </c>
      <c r="AQ774" s="89" t="n"/>
      <c r="AR774" s="89" t="n"/>
      <c r="AS774" s="89" t="n"/>
      <c r="AT774" s="89" t="n"/>
      <c r="AU774" s="89" t="n"/>
      <c r="AV774" s="89" t="n"/>
      <c r="AW774" s="89" t="n"/>
      <c r="AX774" s="89" t="n"/>
      <c r="AY774" s="89" t="n">
        <v>60.06529</v>
      </c>
    </row>
    <row r="775">
      <c r="A775" t="inlineStr">
        <is>
          <t>1983-06</t>
        </is>
      </c>
      <c r="B775" s="1" t="n">
        <v>30468</v>
      </c>
      <c r="C775" s="88" t="n">
        <v>775</v>
      </c>
      <c r="E775" s="1">
        <f>B775</f>
        <v/>
      </c>
      <c r="F775" s="2">
        <f>B775</f>
        <v/>
      </c>
      <c r="G775" s="88" t="n">
        <v>773</v>
      </c>
      <c r="H775" s="89" t="n"/>
      <c r="I775" s="89" t="n"/>
      <c r="J775" s="89" t="n">
        <v>51.94737</v>
      </c>
      <c r="K775" s="89" t="n">
        <v>54.15469</v>
      </c>
      <c r="L775" s="89" t="n"/>
      <c r="M775" s="89" t="n"/>
      <c r="N775" s="89" t="n">
        <v>58.69338</v>
      </c>
      <c r="O775" s="89" t="n">
        <v>66.91136</v>
      </c>
      <c r="P775" s="89" t="n">
        <v>83.18004000000001</v>
      </c>
      <c r="Q775" s="89" t="n"/>
      <c r="R775" s="89" t="n">
        <v>55.56447</v>
      </c>
      <c r="S775" s="89" t="n">
        <v>79.89888999999999</v>
      </c>
      <c r="T775" s="89" t="n">
        <v>80.27460000000001</v>
      </c>
      <c r="U775" s="89" t="n">
        <v>115.6263</v>
      </c>
      <c r="V775" s="89" t="n"/>
      <c r="W775" s="89" t="n">
        <v>8.430249</v>
      </c>
      <c r="X775" s="89" t="n"/>
      <c r="Y775" s="89" t="n"/>
      <c r="Z775" s="89" t="n">
        <v>87.46711999999999</v>
      </c>
      <c r="AA775" s="89" t="n">
        <v>73.78111</v>
      </c>
      <c r="AB775" s="89" t="n"/>
      <c r="AC775" s="89" t="n">
        <v>50.33099</v>
      </c>
      <c r="AD775" s="89" t="n"/>
      <c r="AE775" s="89" t="n">
        <v>52.99321</v>
      </c>
      <c r="AF775" s="89" t="n">
        <v>63.62233</v>
      </c>
      <c r="AG775" s="89" t="n">
        <v>60.54517</v>
      </c>
      <c r="AH775" s="89" t="n">
        <v>52.43801</v>
      </c>
      <c r="AI775" s="89" t="n"/>
      <c r="AJ775" s="89" t="n">
        <v>81.2283</v>
      </c>
      <c r="AK775" s="89" t="n"/>
      <c r="AL775" s="89" t="n"/>
      <c r="AM775" s="89" t="n">
        <v>57.80691</v>
      </c>
      <c r="AN775" s="89" t="n"/>
      <c r="AO775" s="89" t="n">
        <v>48.51428</v>
      </c>
      <c r="AP775" s="89" t="n">
        <v>64.38171</v>
      </c>
      <c r="AQ775" s="89" t="n"/>
      <c r="AR775" s="89" t="n"/>
      <c r="AS775" s="89" t="n"/>
      <c r="AT775" s="89" t="n"/>
      <c r="AU775" s="89" t="n"/>
      <c r="AV775" s="89" t="n"/>
      <c r="AW775" s="89" t="n"/>
      <c r="AX775" s="89" t="n"/>
      <c r="AY775" s="89" t="n">
        <v>58.01046</v>
      </c>
    </row>
    <row r="776">
      <c r="A776" t="inlineStr">
        <is>
          <t>1983-07</t>
        </is>
      </c>
      <c r="B776" s="1" t="n">
        <v>30498</v>
      </c>
      <c r="C776" s="88" t="n">
        <v>776</v>
      </c>
      <c r="E776" s="1">
        <f>B776</f>
        <v/>
      </c>
      <c r="F776" s="2">
        <f>B776</f>
        <v/>
      </c>
      <c r="G776" s="88" t="n">
        <v>774</v>
      </c>
      <c r="H776" s="89" t="n"/>
      <c r="I776" s="89" t="n"/>
      <c r="J776" s="89" t="n">
        <v>52.33246</v>
      </c>
      <c r="K776" s="89" t="n">
        <v>54.15281</v>
      </c>
      <c r="L776" s="89" t="n"/>
      <c r="M776" s="89" t="n"/>
      <c r="N776" s="89" t="n">
        <v>56.03953</v>
      </c>
      <c r="O776" s="89" t="n">
        <v>65.66068</v>
      </c>
      <c r="P776" s="89" t="n">
        <v>81.97673</v>
      </c>
      <c r="Q776" s="89" t="n"/>
      <c r="R776" s="89" t="n">
        <v>53.08029</v>
      </c>
      <c r="S776" s="89" t="n">
        <v>78.67719</v>
      </c>
      <c r="T776" s="89" t="n">
        <v>81.54416000000001</v>
      </c>
      <c r="U776" s="89" t="n">
        <v>116.4465</v>
      </c>
      <c r="V776" s="89" t="n"/>
      <c r="W776" s="89" t="n">
        <v>8.969785</v>
      </c>
      <c r="X776" s="89" t="n"/>
      <c r="Y776" s="89" t="n"/>
      <c r="Z776" s="89" t="n">
        <v>89.8279</v>
      </c>
      <c r="AA776" s="89" t="n">
        <v>73.52872000000001</v>
      </c>
      <c r="AB776" s="89" t="n"/>
      <c r="AC776" s="89" t="n">
        <v>51.8699</v>
      </c>
      <c r="AD776" s="89" t="n"/>
      <c r="AE776" s="89" t="n">
        <v>53.06551</v>
      </c>
      <c r="AF776" s="89" t="n">
        <v>64.29204</v>
      </c>
      <c r="AG776" s="89" t="n">
        <v>61.66637</v>
      </c>
      <c r="AH776" s="89" t="n">
        <v>52.53955</v>
      </c>
      <c r="AI776" s="89" t="n"/>
      <c r="AJ776" s="89" t="n">
        <v>78.87468</v>
      </c>
      <c r="AK776" s="89" t="n"/>
      <c r="AL776" s="89" t="n"/>
      <c r="AM776" s="89" t="n">
        <v>59.24346</v>
      </c>
      <c r="AN776" s="89" t="n"/>
      <c r="AO776" s="89" t="n">
        <v>49.24849</v>
      </c>
      <c r="AP776" s="89" t="n">
        <v>64.02894999999999</v>
      </c>
      <c r="AQ776" s="89" t="n"/>
      <c r="AR776" s="89" t="n"/>
      <c r="AS776" s="89" t="n"/>
      <c r="AT776" s="89" t="n"/>
      <c r="AU776" s="89" t="n"/>
      <c r="AV776" s="89" t="n"/>
      <c r="AW776" s="89" t="n"/>
      <c r="AX776" s="89" t="n"/>
      <c r="AY776" s="89" t="n">
        <v>57.86499</v>
      </c>
    </row>
    <row r="777">
      <c r="A777" t="inlineStr">
        <is>
          <t>1983-08</t>
        </is>
      </c>
      <c r="B777" s="1" t="n">
        <v>30529</v>
      </c>
      <c r="C777" s="88" t="n">
        <v>777</v>
      </c>
      <c r="E777" s="1">
        <f>B777</f>
        <v/>
      </c>
      <c r="F777" s="2">
        <f>B777</f>
        <v/>
      </c>
      <c r="G777" s="88" t="n">
        <v>775</v>
      </c>
      <c r="H777" s="89" t="n"/>
      <c r="I777" s="89" t="n"/>
      <c r="J777" s="89" t="n">
        <v>53.22142</v>
      </c>
      <c r="K777" s="89" t="n">
        <v>55.52447</v>
      </c>
      <c r="L777" s="89" t="n"/>
      <c r="M777" s="89" t="n"/>
      <c r="N777" s="89" t="n">
        <v>56.59499</v>
      </c>
      <c r="O777" s="89" t="n">
        <v>66.28603</v>
      </c>
      <c r="P777" s="89" t="n">
        <v>82.29709</v>
      </c>
      <c r="Q777" s="89" t="n"/>
      <c r="R777" s="89" t="n">
        <v>55.41238</v>
      </c>
      <c r="S777" s="89" t="n">
        <v>78.67719</v>
      </c>
      <c r="T777" s="89" t="n">
        <v>81.64182</v>
      </c>
      <c r="U777" s="89" t="n">
        <v>118.8584</v>
      </c>
      <c r="V777" s="89" t="n"/>
      <c r="W777" s="89" t="n">
        <v>8.610094</v>
      </c>
      <c r="X777" s="89" t="n"/>
      <c r="Y777" s="89" t="n"/>
      <c r="Z777" s="89" t="n">
        <v>91.24437</v>
      </c>
      <c r="AA777" s="89" t="n">
        <v>75.21129999999999</v>
      </c>
      <c r="AB777" s="89" t="n"/>
      <c r="AC777" s="89" t="n">
        <v>51.94299</v>
      </c>
      <c r="AD777" s="89" t="n"/>
      <c r="AE777" s="89" t="n">
        <v>52.92092</v>
      </c>
      <c r="AF777" s="89" t="n">
        <v>63.62233</v>
      </c>
      <c r="AG777" s="89" t="n">
        <v>60.54517</v>
      </c>
      <c r="AH777" s="89" t="n">
        <v>53.06441</v>
      </c>
      <c r="AI777" s="89" t="n"/>
      <c r="AJ777" s="89" t="n">
        <v>77.64584000000001</v>
      </c>
      <c r="AK777" s="89" t="n"/>
      <c r="AL777" s="89" t="n"/>
      <c r="AM777" s="89" t="n">
        <v>57.86437</v>
      </c>
      <c r="AN777" s="89" t="n"/>
      <c r="AO777" s="89" t="n">
        <v>49.798</v>
      </c>
      <c r="AP777" s="89" t="n">
        <v>64.3653</v>
      </c>
      <c r="AQ777" s="89" t="n"/>
      <c r="AR777" s="89" t="n"/>
      <c r="AS777" s="89" t="n"/>
      <c r="AT777" s="89" t="n"/>
      <c r="AU777" s="89" t="n"/>
      <c r="AV777" s="89" t="n"/>
      <c r="AW777" s="89" t="n"/>
      <c r="AX777" s="89" t="n"/>
      <c r="AY777" s="89" t="n">
        <v>59.20052</v>
      </c>
    </row>
    <row r="778">
      <c r="A778" t="inlineStr">
        <is>
          <t>1983-09</t>
        </is>
      </c>
      <c r="B778" s="1" t="n">
        <v>30560</v>
      </c>
      <c r="C778" s="88" t="n">
        <v>778</v>
      </c>
      <c r="E778" s="1">
        <f>B778</f>
        <v/>
      </c>
      <c r="F778" s="2">
        <f>B778</f>
        <v/>
      </c>
      <c r="G778" s="88" t="n">
        <v>776</v>
      </c>
      <c r="H778" s="89" t="n"/>
      <c r="I778" s="89" t="n"/>
      <c r="J778" s="89" t="n">
        <v>51.48923</v>
      </c>
      <c r="K778" s="89" t="n">
        <v>56.64896</v>
      </c>
      <c r="L778" s="89" t="n"/>
      <c r="M778" s="89" t="n"/>
      <c r="N778" s="89" t="n">
        <v>58.07621</v>
      </c>
      <c r="O778" s="89" t="n">
        <v>68.16204</v>
      </c>
      <c r="P778" s="89" t="n">
        <v>83.74316</v>
      </c>
      <c r="Q778" s="89" t="n"/>
      <c r="R778" s="89" t="n">
        <v>55.46308</v>
      </c>
      <c r="S778" s="89" t="n">
        <v>79.49165000000001</v>
      </c>
      <c r="T778" s="89" t="n">
        <v>82.03245</v>
      </c>
      <c r="U778" s="89" t="n">
        <v>114.5971</v>
      </c>
      <c r="V778" s="89" t="n"/>
      <c r="W778" s="89" t="n">
        <v>8.520172000000001</v>
      </c>
      <c r="X778" s="89" t="n"/>
      <c r="Y778" s="89" t="n"/>
      <c r="Z778" s="89" t="n">
        <v>89.35574</v>
      </c>
      <c r="AA778" s="89" t="n">
        <v>76.22085</v>
      </c>
      <c r="AB778" s="89" t="n"/>
      <c r="AC778" s="89" t="n">
        <v>53.19385</v>
      </c>
      <c r="AD778" s="89" t="n"/>
      <c r="AE778" s="89" t="n">
        <v>53.2101</v>
      </c>
      <c r="AF778" s="89" t="n">
        <v>63.62233</v>
      </c>
      <c r="AG778" s="89" t="n">
        <v>61.10577</v>
      </c>
      <c r="AH778" s="89" t="n">
        <v>53.64944</v>
      </c>
      <c r="AI778" s="89" t="n"/>
      <c r="AJ778" s="89" t="n">
        <v>80.45668999999999</v>
      </c>
      <c r="AK778" s="89" t="n"/>
      <c r="AL778" s="89" t="n"/>
      <c r="AM778" s="89" t="n">
        <v>58.61138</v>
      </c>
      <c r="AN778" s="89" t="n"/>
      <c r="AO778" s="89" t="n">
        <v>50.55191</v>
      </c>
      <c r="AP778" s="89" t="n">
        <v>65.02979000000001</v>
      </c>
      <c r="AQ778" s="89" t="n"/>
      <c r="AR778" s="89" t="n"/>
      <c r="AS778" s="89" t="n"/>
      <c r="AT778" s="89" t="n"/>
      <c r="AU778" s="89" t="n"/>
      <c r="AV778" s="89" t="n"/>
      <c r="AW778" s="89" t="n"/>
      <c r="AX778" s="89" t="n"/>
      <c r="AY778" s="89" t="n">
        <v>58.94696</v>
      </c>
    </row>
    <row r="779">
      <c r="A779" t="inlineStr">
        <is>
          <t>1983-10</t>
        </is>
      </c>
      <c r="B779" s="1" t="n">
        <v>30590</v>
      </c>
      <c r="C779" s="88" t="n">
        <v>779</v>
      </c>
      <c r="E779" s="1">
        <f>B779</f>
        <v/>
      </c>
      <c r="F779" s="2">
        <f>B779</f>
        <v/>
      </c>
      <c r="G779" s="88" t="n">
        <v>777</v>
      </c>
      <c r="H779" s="89" t="n"/>
      <c r="I779" s="89" t="n"/>
      <c r="J779" s="89" t="n">
        <v>52.71038</v>
      </c>
      <c r="K779" s="89" t="n">
        <v>56.14428</v>
      </c>
      <c r="L779" s="89" t="n"/>
      <c r="M779" s="89" t="n"/>
      <c r="N779" s="89" t="n">
        <v>57.89106</v>
      </c>
      <c r="O779" s="89" t="n">
        <v>66.91136</v>
      </c>
      <c r="P779" s="89" t="n">
        <v>82.78012</v>
      </c>
      <c r="Q779" s="89" t="n"/>
      <c r="R779" s="89" t="n">
        <v>54.9561</v>
      </c>
      <c r="S779" s="89" t="n">
        <v>78.75864</v>
      </c>
      <c r="T779" s="89" t="n">
        <v>82.81371</v>
      </c>
      <c r="U779" s="89" t="n">
        <v>114.659</v>
      </c>
      <c r="V779" s="89" t="n"/>
      <c r="W779" s="89" t="n">
        <v>8.700017000000001</v>
      </c>
      <c r="X779" s="89" t="n"/>
      <c r="Y779" s="89" t="n"/>
      <c r="Z779" s="89" t="n">
        <v>89.8279</v>
      </c>
      <c r="AA779" s="89" t="n">
        <v>75.88433000000001</v>
      </c>
      <c r="AB779" s="89" t="n"/>
      <c r="AC779" s="89" t="n">
        <v>54.21965</v>
      </c>
      <c r="AD779" s="89" t="n"/>
      <c r="AE779" s="89" t="n">
        <v>53.57159</v>
      </c>
      <c r="AF779" s="89" t="n">
        <v>63.62233</v>
      </c>
      <c r="AG779" s="89" t="n">
        <v>62.22697</v>
      </c>
      <c r="AH779" s="89" t="n">
        <v>53.8132</v>
      </c>
      <c r="AI779" s="89" t="n"/>
      <c r="AJ779" s="89" t="n">
        <v>80.1692</v>
      </c>
      <c r="AK779" s="89" t="n"/>
      <c r="AL779" s="89" t="n"/>
      <c r="AM779" s="89" t="n">
        <v>59.70316</v>
      </c>
      <c r="AN779" s="89" t="n"/>
      <c r="AO779" s="89" t="n">
        <v>50.97223</v>
      </c>
      <c r="AP779" s="89" t="n">
        <v>64.8411</v>
      </c>
      <c r="AQ779" s="89" t="n"/>
      <c r="AR779" s="89" t="n"/>
      <c r="AS779" s="89" t="n"/>
      <c r="AT779" s="89" t="n"/>
      <c r="AU779" s="89" t="n"/>
      <c r="AV779" s="89" t="n"/>
      <c r="AW779" s="89" t="n"/>
      <c r="AX779" s="89" t="n"/>
      <c r="AY779" s="89" t="n">
        <v>59.5078</v>
      </c>
    </row>
    <row r="780">
      <c r="A780" t="inlineStr">
        <is>
          <t>1983-11</t>
        </is>
      </c>
      <c r="B780" s="1" t="n">
        <v>30621</v>
      </c>
      <c r="C780" s="88" t="n">
        <v>780</v>
      </c>
      <c r="E780" s="1">
        <f>B780</f>
        <v/>
      </c>
      <c r="F780" s="2">
        <f>B780</f>
        <v/>
      </c>
      <c r="G780" s="88" t="n">
        <v>778</v>
      </c>
      <c r="H780" s="89" t="n"/>
      <c r="I780" s="89" t="n"/>
      <c r="J780" s="89" t="n">
        <v>53.99677</v>
      </c>
      <c r="K780" s="89" t="n">
        <v>56.90131</v>
      </c>
      <c r="L780" s="89" t="n"/>
      <c r="M780" s="89" t="n"/>
      <c r="N780" s="89" t="n">
        <v>58.63166</v>
      </c>
      <c r="O780" s="89" t="n">
        <v>67.53671</v>
      </c>
      <c r="P780" s="89" t="n">
        <v>83.08634000000001</v>
      </c>
      <c r="Q780" s="89" t="n"/>
      <c r="R780" s="89" t="n">
        <v>55.86866</v>
      </c>
      <c r="S780" s="89" t="n">
        <v>80.71335000000001</v>
      </c>
      <c r="T780" s="89" t="n">
        <v>82.71605</v>
      </c>
      <c r="U780" s="89" t="n">
        <v>116.2454</v>
      </c>
      <c r="V780" s="89" t="n"/>
      <c r="W780" s="89" t="n">
        <v>8.565132999999999</v>
      </c>
      <c r="X780" s="89" t="n"/>
      <c r="Y780" s="89" t="n"/>
      <c r="Z780" s="89" t="n">
        <v>91.48045</v>
      </c>
      <c r="AA780" s="89" t="n">
        <v>76.64149</v>
      </c>
      <c r="AB780" s="89" t="n"/>
      <c r="AC780" s="89" t="n">
        <v>55.67311</v>
      </c>
      <c r="AD780" s="89" t="n"/>
      <c r="AE780" s="89" t="n">
        <v>53.42699</v>
      </c>
      <c r="AF780" s="89" t="n">
        <v>64.96174999999999</v>
      </c>
      <c r="AG780" s="89" t="n">
        <v>61.66637</v>
      </c>
      <c r="AH780" s="89" t="n">
        <v>54.22152</v>
      </c>
      <c r="AI780" s="89" t="n"/>
      <c r="AJ780" s="89" t="n">
        <v>78.83862999999999</v>
      </c>
      <c r="AK780" s="89" t="n"/>
      <c r="AL780" s="89" t="n"/>
      <c r="AM780" s="89" t="n">
        <v>59.76062</v>
      </c>
      <c r="AN780" s="89" t="n"/>
      <c r="AO780" s="89" t="n">
        <v>51.1504</v>
      </c>
      <c r="AP780" s="89" t="n">
        <v>65.47278</v>
      </c>
      <c r="AQ780" s="89" t="n"/>
      <c r="AR780" s="89" t="n"/>
      <c r="AS780" s="89" t="n"/>
      <c r="AT780" s="89" t="n"/>
      <c r="AU780" s="89" t="n"/>
      <c r="AV780" s="89" t="n"/>
      <c r="AW780" s="89" t="n"/>
      <c r="AX780" s="89" t="n"/>
      <c r="AY780" s="89" t="n">
        <v>59.84797</v>
      </c>
    </row>
    <row r="781">
      <c r="A781" t="inlineStr">
        <is>
          <t>1983-12</t>
        </is>
      </c>
      <c r="B781" s="1" t="n">
        <v>30651</v>
      </c>
      <c r="C781" s="88" t="n">
        <v>781</v>
      </c>
      <c r="E781" s="1">
        <f>B781</f>
        <v/>
      </c>
      <c r="F781" s="2">
        <f>B781</f>
        <v/>
      </c>
      <c r="G781" s="88" t="n">
        <v>779</v>
      </c>
      <c r="H781" s="89" t="n"/>
      <c r="I781" s="89" t="n"/>
      <c r="J781" s="89" t="n">
        <v>52.29383</v>
      </c>
      <c r="K781" s="89" t="n">
        <v>58.62634</v>
      </c>
      <c r="L781" s="89" t="n"/>
      <c r="M781" s="89" t="n"/>
      <c r="N781" s="89" t="n">
        <v>59.8043</v>
      </c>
      <c r="O781" s="89" t="n">
        <v>70.03806</v>
      </c>
      <c r="P781" s="89" t="n">
        <v>85.05688000000001</v>
      </c>
      <c r="Q781" s="89" t="n"/>
      <c r="R781" s="89" t="n">
        <v>53.84076</v>
      </c>
      <c r="S781" s="89" t="n">
        <v>81.12058</v>
      </c>
      <c r="T781" s="89" t="n">
        <v>83.10668</v>
      </c>
      <c r="U781" s="89" t="n">
        <v>116.9944</v>
      </c>
      <c r="V781" s="89" t="n"/>
      <c r="W781" s="89" t="n">
        <v>9.217072</v>
      </c>
      <c r="X781" s="89" t="n"/>
      <c r="Y781" s="89" t="n"/>
      <c r="Z781" s="89" t="n">
        <v>91.83457</v>
      </c>
      <c r="AA781" s="89" t="n">
        <v>77.65103999999999</v>
      </c>
      <c r="AB781" s="89" t="n"/>
      <c r="AC781" s="89" t="n">
        <v>55.80736</v>
      </c>
      <c r="AD781" s="89" t="n"/>
      <c r="AE781" s="89" t="n">
        <v>54.43914</v>
      </c>
      <c r="AF781" s="89" t="n">
        <v>66.30116</v>
      </c>
      <c r="AG781" s="89" t="n">
        <v>62.78758</v>
      </c>
      <c r="AH781" s="89" t="n">
        <v>54.73335</v>
      </c>
      <c r="AI781" s="89" t="n"/>
      <c r="AJ781" s="89" t="n">
        <v>80.2655</v>
      </c>
      <c r="AK781" s="89" t="n"/>
      <c r="AL781" s="89" t="n"/>
      <c r="AM781" s="89" t="n">
        <v>59.47331</v>
      </c>
      <c r="AN781" s="89" t="n"/>
      <c r="AO781" s="89" t="n">
        <v>51.4202</v>
      </c>
      <c r="AP781" s="89" t="n">
        <v>66.19468999999999</v>
      </c>
      <c r="AQ781" s="89" t="n"/>
      <c r="AR781" s="89" t="n"/>
      <c r="AS781" s="89" t="n"/>
      <c r="AT781" s="89" t="n"/>
      <c r="AU781" s="89" t="n"/>
      <c r="AV781" s="89" t="n"/>
      <c r="AW781" s="89" t="n"/>
      <c r="AX781" s="89" t="n"/>
      <c r="AY781" s="89" t="n">
        <v>60.60732</v>
      </c>
    </row>
    <row r="782">
      <c r="A782" t="inlineStr">
        <is>
          <t>1984-01</t>
        </is>
      </c>
      <c r="B782" s="1" t="n">
        <v>30682</v>
      </c>
      <c r="C782" s="88" t="n">
        <v>782</v>
      </c>
      <c r="E782" s="1">
        <f>B782</f>
        <v/>
      </c>
      <c r="F782" s="2">
        <f>B782</f>
        <v/>
      </c>
      <c r="G782" s="88" t="n">
        <v>780</v>
      </c>
      <c r="H782" s="89" t="n"/>
      <c r="I782" s="89" t="n"/>
      <c r="J782" s="89" t="n">
        <v>53.20592</v>
      </c>
      <c r="K782" s="89" t="n">
        <v>58.25417</v>
      </c>
      <c r="L782" s="89" t="n"/>
      <c r="M782" s="89" t="n"/>
      <c r="N782" s="89" t="n">
        <v>59.06369</v>
      </c>
      <c r="O782" s="89" t="n">
        <v>70.66341</v>
      </c>
      <c r="P782" s="89" t="n">
        <v>84.97675</v>
      </c>
      <c r="Q782" s="89" t="n"/>
      <c r="R782" s="89" t="n">
        <v>55.81796</v>
      </c>
      <c r="S782" s="89" t="n">
        <v>81.44637</v>
      </c>
      <c r="T782" s="89" t="n">
        <v>84.37623000000001</v>
      </c>
      <c r="U782" s="89" t="n">
        <v>117.9161</v>
      </c>
      <c r="V782" s="89" t="n"/>
      <c r="W782" s="89" t="n">
        <v>8.812421000000001</v>
      </c>
      <c r="X782" s="89" t="n"/>
      <c r="Y782" s="89" t="n"/>
      <c r="Z782" s="89" t="n">
        <v>92.30672</v>
      </c>
      <c r="AA782" s="89" t="n">
        <v>78.23994</v>
      </c>
      <c r="AB782" s="89" t="n"/>
      <c r="AC782" s="89" t="n">
        <v>55.06539</v>
      </c>
      <c r="AD782" s="89" t="n"/>
      <c r="AE782" s="89" t="n">
        <v>54.36684</v>
      </c>
      <c r="AF782" s="89" t="n">
        <v>67.64058</v>
      </c>
      <c r="AG782" s="89" t="n">
        <v>64.46939</v>
      </c>
      <c r="AH782" s="89" t="n">
        <v>55.30391</v>
      </c>
      <c r="AI782" s="89" t="n"/>
      <c r="AJ782" s="89" t="n">
        <v>80.58244999999999</v>
      </c>
      <c r="AK782" s="89" t="n"/>
      <c r="AL782" s="89" t="n"/>
      <c r="AM782" s="89" t="n">
        <v>60.79494</v>
      </c>
      <c r="AN782" s="89" t="n"/>
      <c r="AO782" s="89" t="n">
        <v>52.44459</v>
      </c>
      <c r="AP782" s="89" t="n">
        <v>65.76810999999999</v>
      </c>
      <c r="AQ782" s="89" t="n"/>
      <c r="AR782" s="89" t="n"/>
      <c r="AS782" s="89" t="n"/>
      <c r="AT782" s="89" t="n"/>
      <c r="AU782" s="89" t="n"/>
      <c r="AV782" s="89" t="n"/>
      <c r="AW782" s="89" t="n"/>
      <c r="AX782" s="89" t="n"/>
      <c r="AY782" s="89" t="n">
        <v>59.39552</v>
      </c>
    </row>
    <row r="783">
      <c r="A783" t="inlineStr">
        <is>
          <t>1984-02</t>
        </is>
      </c>
      <c r="B783" s="1" t="n">
        <v>30713</v>
      </c>
      <c r="C783" s="88" t="n">
        <v>783</v>
      </c>
      <c r="E783" s="1">
        <f>B783</f>
        <v/>
      </c>
      <c r="F783" s="2">
        <f>B783</f>
        <v/>
      </c>
      <c r="G783" s="88" t="n">
        <v>781</v>
      </c>
      <c r="H783" s="89" t="n"/>
      <c r="I783" s="89" t="n"/>
      <c r="J783" s="89" t="n">
        <v>52.98836</v>
      </c>
      <c r="K783" s="89" t="n">
        <v>58.05728</v>
      </c>
      <c r="L783" s="89" t="n"/>
      <c r="M783" s="89" t="n"/>
      <c r="N783" s="89" t="n">
        <v>59.61915</v>
      </c>
      <c r="O783" s="89" t="n">
        <v>70.03806</v>
      </c>
      <c r="P783" s="89" t="n">
        <v>84.20097</v>
      </c>
      <c r="Q783" s="89" t="n"/>
      <c r="R783" s="89" t="n">
        <v>55.15889</v>
      </c>
      <c r="S783" s="89" t="n">
        <v>81.20202999999999</v>
      </c>
      <c r="T783" s="89" t="n">
        <v>83.59497</v>
      </c>
      <c r="U783" s="89" t="n">
        <v>112.3087</v>
      </c>
      <c r="V783" s="89" t="n"/>
      <c r="W783" s="89" t="n">
        <v>8.924823999999999</v>
      </c>
      <c r="X783" s="89" t="n"/>
      <c r="Y783" s="89" t="n"/>
      <c r="Z783" s="89" t="n">
        <v>88.88357999999999</v>
      </c>
      <c r="AA783" s="89" t="n">
        <v>80.17489999999999</v>
      </c>
      <c r="AB783" s="89" t="n"/>
      <c r="AC783" s="89" t="n">
        <v>55.95452</v>
      </c>
      <c r="AD783" s="89" t="n"/>
      <c r="AE783" s="89" t="n">
        <v>54.22225</v>
      </c>
      <c r="AF783" s="89" t="n">
        <v>66.97087000000001</v>
      </c>
      <c r="AG783" s="89" t="n">
        <v>62.22697</v>
      </c>
      <c r="AH783" s="89" t="n">
        <v>55.41216</v>
      </c>
      <c r="AI783" s="89" t="n"/>
      <c r="AJ783" s="89" t="n">
        <v>82.49702000000001</v>
      </c>
      <c r="AK783" s="89" t="n"/>
      <c r="AL783" s="89" t="n"/>
      <c r="AM783" s="89" t="n">
        <v>60.62255</v>
      </c>
      <c r="AN783" s="89" t="n"/>
      <c r="AO783" s="89" t="n">
        <v>52.66954</v>
      </c>
      <c r="AP783" s="89" t="n">
        <v>65.57943</v>
      </c>
      <c r="AQ783" s="89" t="n"/>
      <c r="AR783" s="89" t="n"/>
      <c r="AS783" s="89" t="n"/>
      <c r="AT783" s="89" t="n"/>
      <c r="AU783" s="89" t="n"/>
      <c r="AV783" s="89" t="n"/>
      <c r="AW783" s="89" t="n"/>
      <c r="AX783" s="89" t="n"/>
      <c r="AY783" s="89" t="n">
        <v>61.7224</v>
      </c>
    </row>
    <row r="784">
      <c r="A784" t="inlineStr">
        <is>
          <t>1984-03</t>
        </is>
      </c>
      <c r="B784" s="1" t="n">
        <v>30742</v>
      </c>
      <c r="C784" s="88" t="n">
        <v>784</v>
      </c>
      <c r="E784" s="1">
        <f>B784</f>
        <v/>
      </c>
      <c r="F784" s="2">
        <f>B784</f>
        <v/>
      </c>
      <c r="G784" s="88" t="n">
        <v>782</v>
      </c>
      <c r="H784" s="89" t="n"/>
      <c r="I784" s="89" t="n"/>
      <c r="J784" s="89" t="n">
        <v>53.11342</v>
      </c>
      <c r="K784" s="89" t="n">
        <v>58.88855</v>
      </c>
      <c r="L784" s="89" t="n"/>
      <c r="M784" s="89" t="n"/>
      <c r="N784" s="89" t="n">
        <v>58.69338</v>
      </c>
      <c r="O784" s="89" t="n">
        <v>71.91409</v>
      </c>
      <c r="P784" s="89" t="n">
        <v>82.77912000000001</v>
      </c>
      <c r="Q784" s="89" t="n"/>
      <c r="R784" s="89" t="n">
        <v>55.66587</v>
      </c>
      <c r="S784" s="89" t="n">
        <v>81.03914</v>
      </c>
      <c r="T784" s="89" t="n">
        <v>82.52074</v>
      </c>
      <c r="U784" s="89" t="n">
        <v>118.4347</v>
      </c>
      <c r="V784" s="89" t="n"/>
      <c r="W784" s="89" t="n">
        <v>9.12715</v>
      </c>
      <c r="X784" s="89" t="n"/>
      <c r="Y784" s="89" t="n"/>
      <c r="Z784" s="89" t="n">
        <v>90.53613</v>
      </c>
      <c r="AA784" s="89" t="n">
        <v>79.50188</v>
      </c>
      <c r="AB784" s="89" t="n"/>
      <c r="AC784" s="89" t="n">
        <v>55.92768</v>
      </c>
      <c r="AD784" s="89" t="n"/>
      <c r="AE784" s="89" t="n">
        <v>54.80062</v>
      </c>
      <c r="AF784" s="89" t="n">
        <v>68.31028999999999</v>
      </c>
      <c r="AG784" s="89" t="n">
        <v>62.78758</v>
      </c>
      <c r="AH784" s="89" t="n">
        <v>55.41268</v>
      </c>
      <c r="AI784" s="89" t="n"/>
      <c r="AJ784" s="89" t="n">
        <v>78.85169999999999</v>
      </c>
      <c r="AK784" s="89" t="n"/>
      <c r="AL784" s="89" t="n"/>
      <c r="AM784" s="89" t="n">
        <v>60.33524</v>
      </c>
      <c r="AN784" s="89" t="n"/>
      <c r="AO784" s="89" t="n">
        <v>52.92907</v>
      </c>
      <c r="AP784" s="89" t="n">
        <v>65.40715</v>
      </c>
      <c r="AQ784" s="89" t="n"/>
      <c r="AR784" s="89" t="n"/>
      <c r="AS784" s="89" t="n"/>
      <c r="AT784" s="89" t="n"/>
      <c r="AU784" s="89" t="n"/>
      <c r="AV784" s="89" t="n"/>
      <c r="AW784" s="89" t="n"/>
      <c r="AX784" s="89" t="n"/>
      <c r="AY784" s="89" t="n">
        <v>58.8949</v>
      </c>
    </row>
    <row r="785">
      <c r="A785" t="inlineStr">
        <is>
          <t>1984-04</t>
        </is>
      </c>
      <c r="B785" s="1" t="n">
        <v>30773</v>
      </c>
      <c r="C785" s="88" t="n">
        <v>785</v>
      </c>
      <c r="E785" s="1">
        <f>B785</f>
        <v/>
      </c>
      <c r="F785" s="2">
        <f>B785</f>
        <v/>
      </c>
      <c r="G785" s="88" t="n">
        <v>783</v>
      </c>
      <c r="H785" s="89" t="n"/>
      <c r="I785" s="89" t="n"/>
      <c r="J785" s="89" t="n">
        <v>52.77778</v>
      </c>
      <c r="K785" s="89" t="n">
        <v>60.65306</v>
      </c>
      <c r="L785" s="89" t="n"/>
      <c r="M785" s="89" t="n"/>
      <c r="N785" s="89" t="n">
        <v>58.26136</v>
      </c>
      <c r="O785" s="89" t="n">
        <v>70.03806</v>
      </c>
      <c r="P785" s="89" t="n">
        <v>83.63554999999999</v>
      </c>
      <c r="Q785" s="89" t="n"/>
      <c r="R785" s="89" t="n">
        <v>56.07145</v>
      </c>
      <c r="S785" s="89" t="n">
        <v>79.73599</v>
      </c>
      <c r="T785" s="89" t="n">
        <v>80.95820999999999</v>
      </c>
      <c r="U785" s="89" t="n">
        <v>116.1813</v>
      </c>
      <c r="V785" s="89" t="n"/>
      <c r="W785" s="89" t="n">
        <v>9.284514</v>
      </c>
      <c r="X785" s="89" t="n"/>
      <c r="Y785" s="89" t="n"/>
      <c r="Z785" s="89" t="n">
        <v>89.47378999999999</v>
      </c>
      <c r="AA785" s="89" t="n">
        <v>79.24948999999999</v>
      </c>
      <c r="AB785" s="89" t="n"/>
      <c r="AC785" s="89" t="n">
        <v>56.61066</v>
      </c>
      <c r="AD785" s="89" t="n"/>
      <c r="AE785" s="89" t="n">
        <v>55.37899</v>
      </c>
      <c r="AF785" s="89" t="n">
        <v>67.64058</v>
      </c>
      <c r="AG785" s="89" t="n">
        <v>62.78758</v>
      </c>
      <c r="AH785" s="89" t="n">
        <v>55.41614</v>
      </c>
      <c r="AI785" s="89" t="n"/>
      <c r="AJ785" s="89" t="n">
        <v>78.84381</v>
      </c>
      <c r="AK785" s="89" t="n"/>
      <c r="AL785" s="89" t="n"/>
      <c r="AM785" s="89" t="n">
        <v>60.96732</v>
      </c>
      <c r="AN785" s="89" t="n"/>
      <c r="AO785" s="89" t="n">
        <v>53.2616</v>
      </c>
      <c r="AP785" s="89" t="n">
        <v>65.34152</v>
      </c>
      <c r="AQ785" s="89" t="n"/>
      <c r="AR785" s="89" t="n"/>
      <c r="AS785" s="89" t="n"/>
      <c r="AT785" s="89" t="n"/>
      <c r="AU785" s="89" t="n"/>
      <c r="AV785" s="89" t="n"/>
      <c r="AW785" s="89" t="n"/>
      <c r="AX785" s="89" t="n"/>
      <c r="AY785" s="89" t="n">
        <v>61.35784</v>
      </c>
    </row>
    <row r="786">
      <c r="A786" t="inlineStr">
        <is>
          <t>1984-05</t>
        </is>
      </c>
      <c r="B786" s="1" t="n">
        <v>30803</v>
      </c>
      <c r="C786" s="88" t="n">
        <v>786</v>
      </c>
      <c r="E786" s="1">
        <f>B786</f>
        <v/>
      </c>
      <c r="F786" s="2">
        <f>B786</f>
        <v/>
      </c>
      <c r="G786" s="88" t="n">
        <v>784</v>
      </c>
      <c r="H786" s="89" t="n"/>
      <c r="I786" s="89" t="n"/>
      <c r="J786" s="89" t="n">
        <v>53.82056</v>
      </c>
      <c r="K786" s="89" t="n">
        <v>61.39833</v>
      </c>
      <c r="L786" s="89" t="n"/>
      <c r="M786" s="89" t="n"/>
      <c r="N786" s="89" t="n">
        <v>58.69338</v>
      </c>
      <c r="O786" s="89" t="n">
        <v>73.7901</v>
      </c>
      <c r="P786" s="89" t="n">
        <v>83.35023</v>
      </c>
      <c r="Q786" s="89" t="n"/>
      <c r="R786" s="89" t="n">
        <v>56.47703</v>
      </c>
      <c r="S786" s="89" t="n">
        <v>81.8536</v>
      </c>
      <c r="T786" s="89" t="n">
        <v>80.46992</v>
      </c>
      <c r="U786" s="89" t="n">
        <v>117.3332</v>
      </c>
      <c r="V786" s="89" t="n"/>
      <c r="W786" s="89" t="n">
        <v>9.306995000000001</v>
      </c>
      <c r="X786" s="89" t="n"/>
      <c r="Y786" s="89" t="n"/>
      <c r="Z786" s="89" t="n">
        <v>93.25104</v>
      </c>
      <c r="AA786" s="89" t="n">
        <v>80.67968</v>
      </c>
      <c r="AB786" s="89" t="n"/>
      <c r="AC786" s="89" t="n">
        <v>57.02649</v>
      </c>
      <c r="AD786" s="89" t="n"/>
      <c r="AE786" s="89" t="n">
        <v>54.87292</v>
      </c>
      <c r="AF786" s="89" t="n">
        <v>67.64058</v>
      </c>
      <c r="AG786" s="89" t="n">
        <v>65.59059000000001</v>
      </c>
      <c r="AH786" s="89" t="n">
        <v>55.97306</v>
      </c>
      <c r="AI786" s="89" t="n"/>
      <c r="AJ786" s="89" t="n">
        <v>81.39492</v>
      </c>
      <c r="AK786" s="89" t="n"/>
      <c r="AL786" s="89" t="n"/>
      <c r="AM786" s="89" t="n">
        <v>62.74865</v>
      </c>
      <c r="AN786" s="89" t="n"/>
      <c r="AO786" s="89" t="n">
        <v>53.51392</v>
      </c>
      <c r="AP786" s="89" t="n">
        <v>66.36696999999999</v>
      </c>
      <c r="AQ786" s="89" t="n"/>
      <c r="AR786" s="89" t="n"/>
      <c r="AS786" s="89" t="n"/>
      <c r="AT786" s="89" t="n"/>
      <c r="AU786" s="89" t="n"/>
      <c r="AV786" s="89" t="n"/>
      <c r="AW786" s="89" t="n"/>
      <c r="AX786" s="89" t="n"/>
      <c r="AY786" s="89" t="n">
        <v>63.28871</v>
      </c>
    </row>
    <row r="787">
      <c r="A787" t="inlineStr">
        <is>
          <t>1984-06</t>
        </is>
      </c>
      <c r="B787" s="1" t="n">
        <v>30834</v>
      </c>
      <c r="C787" s="88" t="n">
        <v>787</v>
      </c>
      <c r="E787" s="1">
        <f>B787</f>
        <v/>
      </c>
      <c r="F787" s="2">
        <f>B787</f>
        <v/>
      </c>
      <c r="G787" s="88" t="n">
        <v>785</v>
      </c>
      <c r="H787" s="89" t="n"/>
      <c r="I787" s="89" t="n"/>
      <c r="J787" s="89" t="n">
        <v>53.50855</v>
      </c>
      <c r="K787" s="89" t="n">
        <v>61.4082</v>
      </c>
      <c r="L787" s="89" t="n"/>
      <c r="M787" s="89" t="n"/>
      <c r="N787" s="89" t="n">
        <v>53.13881</v>
      </c>
      <c r="O787" s="89" t="n">
        <v>70.66341</v>
      </c>
      <c r="P787" s="89" t="n">
        <v>83.41801</v>
      </c>
      <c r="Q787" s="89" t="n"/>
      <c r="R787" s="89" t="n">
        <v>56.67982</v>
      </c>
      <c r="S787" s="89" t="n">
        <v>79.89888999999999</v>
      </c>
      <c r="T787" s="89" t="n">
        <v>81.05587</v>
      </c>
      <c r="U787" s="89" t="n">
        <v>116.8409</v>
      </c>
      <c r="V787" s="89" t="n"/>
      <c r="W787" s="89" t="n">
        <v>9.958933999999999</v>
      </c>
      <c r="X787" s="89" t="n"/>
      <c r="Y787" s="89" t="n"/>
      <c r="Z787" s="89" t="n">
        <v>93.72320000000001</v>
      </c>
      <c r="AA787" s="89" t="n">
        <v>81.18446</v>
      </c>
      <c r="AB787" s="89" t="n"/>
      <c r="AC787" s="89" t="n">
        <v>59.11013</v>
      </c>
      <c r="AD787" s="89" t="n"/>
      <c r="AE787" s="89" t="n">
        <v>56.17425</v>
      </c>
      <c r="AF787" s="89" t="n">
        <v>68.98</v>
      </c>
      <c r="AG787" s="89" t="n">
        <v>63.90879</v>
      </c>
      <c r="AH787" s="89" t="n">
        <v>55.5815</v>
      </c>
      <c r="AI787" s="89" t="n"/>
      <c r="AJ787" s="89" t="n">
        <v>80.834</v>
      </c>
      <c r="AK787" s="89" t="n"/>
      <c r="AL787" s="89" t="n"/>
      <c r="AM787" s="89" t="n">
        <v>61.48449</v>
      </c>
      <c r="AN787" s="89" t="n"/>
      <c r="AO787" s="89" t="n">
        <v>53.70065</v>
      </c>
      <c r="AP787" s="89" t="n">
        <v>63.02811</v>
      </c>
      <c r="AQ787" s="89" t="n"/>
      <c r="AR787" s="89" t="n"/>
      <c r="AS787" s="89" t="n"/>
      <c r="AT787" s="89" t="n"/>
      <c r="AU787" s="89" t="n"/>
      <c r="AV787" s="89" t="n"/>
      <c r="AW787" s="89" t="n"/>
      <c r="AX787" s="89" t="n"/>
      <c r="AY787" s="89" t="n">
        <v>64.3092</v>
      </c>
    </row>
    <row r="788">
      <c r="A788" t="inlineStr">
        <is>
          <t>1984-07</t>
        </is>
      </c>
      <c r="B788" s="1" t="n">
        <v>30864</v>
      </c>
      <c r="C788" s="88" t="n">
        <v>788</v>
      </c>
      <c r="E788" s="1">
        <f>B788</f>
        <v/>
      </c>
      <c r="F788" s="2">
        <f>B788</f>
        <v/>
      </c>
      <c r="G788" s="88" t="n">
        <v>786</v>
      </c>
      <c r="H788" s="89" t="n"/>
      <c r="I788" s="89" t="n"/>
      <c r="J788" s="89" t="n">
        <v>53.10048</v>
      </c>
      <c r="K788" s="89" t="n">
        <v>62.30855</v>
      </c>
      <c r="L788" s="89" t="n"/>
      <c r="M788" s="89" t="n"/>
      <c r="N788" s="89" t="n">
        <v>59.68086</v>
      </c>
      <c r="O788" s="89" t="n">
        <v>74.41544</v>
      </c>
      <c r="P788" s="89" t="n">
        <v>83.86906</v>
      </c>
      <c r="Q788" s="89" t="n"/>
      <c r="R788" s="89" t="n">
        <v>57.28819</v>
      </c>
      <c r="S788" s="89" t="n">
        <v>81.28348</v>
      </c>
      <c r="T788" s="89" t="n">
        <v>79.78632</v>
      </c>
      <c r="U788" s="89" t="n">
        <v>111.972</v>
      </c>
      <c r="V788" s="89" t="n"/>
      <c r="W788" s="89" t="n">
        <v>9.599244000000001</v>
      </c>
      <c r="X788" s="89" t="n"/>
      <c r="Y788" s="89" t="n"/>
      <c r="Z788" s="89" t="n">
        <v>90.77222</v>
      </c>
      <c r="AA788" s="89" t="n">
        <v>81.18446</v>
      </c>
      <c r="AB788" s="89" t="n"/>
      <c r="AC788" s="89" t="n">
        <v>57.21717</v>
      </c>
      <c r="AD788" s="89" t="n"/>
      <c r="AE788" s="89" t="n">
        <v>56.89722</v>
      </c>
      <c r="AF788" s="89" t="n">
        <v>66.97087000000001</v>
      </c>
      <c r="AG788" s="89" t="n">
        <v>62.78758</v>
      </c>
      <c r="AH788" s="89" t="n">
        <v>56.27075</v>
      </c>
      <c r="AI788" s="89" t="n"/>
      <c r="AJ788" s="89" t="n">
        <v>84.8888</v>
      </c>
      <c r="AK788" s="89" t="n"/>
      <c r="AL788" s="89" t="n"/>
      <c r="AM788" s="89" t="n">
        <v>60.68002</v>
      </c>
      <c r="AN788" s="89" t="n"/>
      <c r="AO788" s="89" t="n">
        <v>53.86941</v>
      </c>
      <c r="AP788" s="89" t="n">
        <v>66.64588999999999</v>
      </c>
      <c r="AQ788" s="89" t="n"/>
      <c r="AR788" s="89" t="n"/>
      <c r="AS788" s="89" t="n"/>
      <c r="AT788" s="89" t="n"/>
      <c r="AU788" s="89" t="n"/>
      <c r="AV788" s="89" t="n"/>
      <c r="AW788" s="89" t="n"/>
      <c r="AX788" s="89" t="n"/>
      <c r="AY788" s="89" t="n">
        <v>63.91793</v>
      </c>
    </row>
    <row r="789">
      <c r="A789" t="inlineStr">
        <is>
          <t>1984-08</t>
        </is>
      </c>
      <c r="B789" s="1" t="n">
        <v>30895</v>
      </c>
      <c r="C789" s="88" t="n">
        <v>789</v>
      </c>
      <c r="E789" s="1">
        <f>B789</f>
        <v/>
      </c>
      <c r="F789" s="2">
        <f>B789</f>
        <v/>
      </c>
      <c r="G789" s="88" t="n">
        <v>787</v>
      </c>
      <c r="H789" s="89" t="n"/>
      <c r="I789" s="89" t="n"/>
      <c r="J789" s="89" t="n">
        <v>53.57246</v>
      </c>
      <c r="K789" s="89" t="n">
        <v>62.37152</v>
      </c>
      <c r="L789" s="89" t="n"/>
      <c r="M789" s="89" t="n"/>
      <c r="N789" s="89" t="n">
        <v>59.06369</v>
      </c>
      <c r="O789" s="89" t="n">
        <v>75.04078</v>
      </c>
      <c r="P789" s="89" t="n">
        <v>87.5921</v>
      </c>
      <c r="Q789" s="89" t="n"/>
      <c r="R789" s="89" t="n">
        <v>56.73051</v>
      </c>
      <c r="S789" s="89" t="n">
        <v>81.28348</v>
      </c>
      <c r="T789" s="89" t="n">
        <v>79.49335000000001</v>
      </c>
      <c r="U789" s="89" t="n">
        <v>126.5435</v>
      </c>
      <c r="V789" s="89" t="n"/>
      <c r="W789" s="89" t="n">
        <v>8.857381999999999</v>
      </c>
      <c r="X789" s="89" t="n"/>
      <c r="Y789" s="89" t="n"/>
      <c r="Z789" s="89" t="n">
        <v>96.32006</v>
      </c>
      <c r="AA789" s="89" t="n">
        <v>82.36226000000001</v>
      </c>
      <c r="AB789" s="89" t="n"/>
      <c r="AC789" s="89" t="n">
        <v>59.3411</v>
      </c>
      <c r="AD789" s="89" t="n"/>
      <c r="AE789" s="89" t="n">
        <v>56.96951</v>
      </c>
      <c r="AF789" s="89" t="n">
        <v>68.98</v>
      </c>
      <c r="AG789" s="89" t="n">
        <v>63.90879</v>
      </c>
      <c r="AH789" s="89" t="n">
        <v>56.74465</v>
      </c>
      <c r="AI789" s="89" t="n"/>
      <c r="AJ789" s="89" t="n">
        <v>83.3091</v>
      </c>
      <c r="AK789" s="89" t="n"/>
      <c r="AL789" s="89" t="n"/>
      <c r="AM789" s="89" t="n">
        <v>62.34642</v>
      </c>
      <c r="AN789" s="89" t="n"/>
      <c r="AO789" s="89" t="n">
        <v>53.9207</v>
      </c>
      <c r="AP789" s="89" t="n">
        <v>68.11433</v>
      </c>
      <c r="AQ789" s="89" t="n"/>
      <c r="AR789" s="89" t="n"/>
      <c r="AS789" s="89" t="n"/>
      <c r="AT789" s="89" t="n"/>
      <c r="AU789" s="89" t="n"/>
      <c r="AV789" s="89" t="n"/>
      <c r="AW789" s="89" t="n"/>
      <c r="AX789" s="89" t="n"/>
      <c r="AY789" s="89" t="n">
        <v>63.53847</v>
      </c>
    </row>
    <row r="790">
      <c r="A790" t="inlineStr">
        <is>
          <t>1984-09</t>
        </is>
      </c>
      <c r="B790" s="1" t="n">
        <v>30926</v>
      </c>
      <c r="C790" s="88" t="n">
        <v>790</v>
      </c>
      <c r="E790" s="1">
        <f>B790</f>
        <v/>
      </c>
      <c r="F790" s="2">
        <f>B790</f>
        <v/>
      </c>
      <c r="G790" s="88" t="n">
        <v>788</v>
      </c>
      <c r="H790" s="89" t="n"/>
      <c r="I790" s="89" t="n"/>
      <c r="J790" s="89" t="n">
        <v>54.23834</v>
      </c>
      <c r="K790" s="89" t="n">
        <v>61.32362</v>
      </c>
      <c r="L790" s="89" t="n"/>
      <c r="M790" s="89" t="n"/>
      <c r="N790" s="89" t="n">
        <v>60.29804</v>
      </c>
      <c r="O790" s="89" t="n">
        <v>75.04078</v>
      </c>
      <c r="P790" s="89" t="n">
        <v>84.33144</v>
      </c>
      <c r="Q790" s="89" t="n"/>
      <c r="R790" s="89" t="n">
        <v>56.88261</v>
      </c>
      <c r="S790" s="89" t="n">
        <v>81.12058</v>
      </c>
      <c r="T790" s="89" t="n">
        <v>80.86055</v>
      </c>
      <c r="U790" s="89" t="n">
        <v>120.7981</v>
      </c>
      <c r="V790" s="89" t="n"/>
      <c r="W790" s="89" t="n">
        <v>9.734128</v>
      </c>
      <c r="X790" s="89" t="n"/>
      <c r="Y790" s="89" t="n"/>
      <c r="Z790" s="89" t="n">
        <v>94.43143000000001</v>
      </c>
      <c r="AA790" s="89" t="n">
        <v>81.18446</v>
      </c>
      <c r="AB790" s="89" t="n"/>
      <c r="AC790" s="89" t="n">
        <v>60.81321</v>
      </c>
      <c r="AD790" s="89" t="n"/>
      <c r="AE790" s="89" t="n">
        <v>58.19855</v>
      </c>
      <c r="AF790" s="89" t="n">
        <v>68.31028999999999</v>
      </c>
      <c r="AG790" s="89" t="n">
        <v>66.1512</v>
      </c>
      <c r="AH790" s="89" t="n">
        <v>56.68606</v>
      </c>
      <c r="AI790" s="89" t="n"/>
      <c r="AJ790" s="89" t="n">
        <v>84.07562</v>
      </c>
      <c r="AK790" s="89" t="n"/>
      <c r="AL790" s="89" t="n"/>
      <c r="AM790" s="89" t="n">
        <v>63.32327</v>
      </c>
      <c r="AN790" s="89" t="n"/>
      <c r="AO790" s="89" t="n">
        <v>53.82523</v>
      </c>
      <c r="AP790" s="89" t="n">
        <v>67.8108</v>
      </c>
      <c r="AQ790" s="89" t="n"/>
      <c r="AR790" s="89" t="n"/>
      <c r="AS790" s="89" t="n"/>
      <c r="AT790" s="89" t="n"/>
      <c r="AU790" s="89" t="n"/>
      <c r="AV790" s="89" t="n"/>
      <c r="AW790" s="89" t="n"/>
      <c r="AX790" s="89" t="n"/>
      <c r="AY790" s="89" t="n">
        <v>63.16583</v>
      </c>
    </row>
    <row r="791">
      <c r="A791" t="inlineStr">
        <is>
          <t>1984-10</t>
        </is>
      </c>
      <c r="B791" s="1" t="n">
        <v>30956</v>
      </c>
      <c r="C791" s="88" t="n">
        <v>791</v>
      </c>
      <c r="E791" s="1">
        <f>B791</f>
        <v/>
      </c>
      <c r="F791" s="2">
        <f>B791</f>
        <v/>
      </c>
      <c r="G791" s="88" t="n">
        <v>789</v>
      </c>
      <c r="H791" s="89" t="n"/>
      <c r="I791" s="89" t="n"/>
      <c r="J791" s="89" t="n">
        <v>53.65198</v>
      </c>
      <c r="K791" s="89" t="n">
        <v>62.57593</v>
      </c>
      <c r="L791" s="89" t="n"/>
      <c r="M791" s="89" t="n"/>
      <c r="N791" s="89" t="n">
        <v>60.05117</v>
      </c>
      <c r="O791" s="89" t="n">
        <v>75.66612000000001</v>
      </c>
      <c r="P791" s="89" t="n">
        <v>84.54026</v>
      </c>
      <c r="Q791" s="89" t="n"/>
      <c r="R791" s="89" t="n">
        <v>57.84586</v>
      </c>
      <c r="S791" s="89" t="n">
        <v>81.44637</v>
      </c>
      <c r="T791" s="89" t="n">
        <v>80.95820999999999</v>
      </c>
      <c r="U791" s="89" t="n">
        <v>120.174</v>
      </c>
      <c r="V791" s="89" t="n"/>
      <c r="W791" s="89" t="n">
        <v>9.531801</v>
      </c>
      <c r="X791" s="89" t="n"/>
      <c r="Y791" s="89" t="n"/>
      <c r="Z791" s="89" t="n">
        <v>93.95927</v>
      </c>
      <c r="AA791" s="89" t="n">
        <v>83.54007</v>
      </c>
      <c r="AB791" s="89" t="n"/>
      <c r="AC791" s="89" t="n">
        <v>56.14968</v>
      </c>
      <c r="AD791" s="89" t="n"/>
      <c r="AE791" s="89" t="n">
        <v>56.17425</v>
      </c>
      <c r="AF791" s="89" t="n">
        <v>66.30116</v>
      </c>
      <c r="AG791" s="89" t="n">
        <v>65.59059000000001</v>
      </c>
      <c r="AH791" s="89" t="n">
        <v>56.76887</v>
      </c>
      <c r="AI791" s="89" t="n"/>
      <c r="AJ791" s="89" t="n">
        <v>81.81001000000001</v>
      </c>
      <c r="AK791" s="89" t="n"/>
      <c r="AL791" s="89" t="n"/>
      <c r="AM791" s="89" t="n">
        <v>63.78297</v>
      </c>
      <c r="AN791" s="89" t="n"/>
      <c r="AO791" s="89" t="n">
        <v>53.73657</v>
      </c>
      <c r="AP791" s="89" t="n">
        <v>67.21194</v>
      </c>
      <c r="AQ791" s="89" t="n"/>
      <c r="AR791" s="89" t="n"/>
      <c r="AS791" s="89" t="n"/>
      <c r="AT791" s="89" t="n"/>
      <c r="AU791" s="89" t="n"/>
      <c r="AV791" s="89" t="n"/>
      <c r="AW791" s="89" t="n"/>
      <c r="AX791" s="89" t="n"/>
      <c r="AY791" s="89" t="n">
        <v>64.06464</v>
      </c>
    </row>
    <row r="792">
      <c r="A792" t="inlineStr">
        <is>
          <t>1984-11</t>
        </is>
      </c>
      <c r="B792" s="1" t="n">
        <v>30987</v>
      </c>
      <c r="C792" s="88" t="n">
        <v>792</v>
      </c>
      <c r="E792" s="1">
        <f>B792</f>
        <v/>
      </c>
      <c r="F792" s="2">
        <f>B792</f>
        <v/>
      </c>
      <c r="G792" s="88" t="n">
        <v>790</v>
      </c>
      <c r="H792" s="89" t="n"/>
      <c r="I792" s="89" t="n"/>
      <c r="J792" s="89" t="n">
        <v>52.43978</v>
      </c>
      <c r="K792" s="89" t="n">
        <v>62.37716</v>
      </c>
      <c r="L792" s="89" t="n"/>
      <c r="M792" s="89" t="n"/>
      <c r="N792" s="89" t="n">
        <v>60.54491</v>
      </c>
      <c r="O792" s="89" t="n">
        <v>76.29147</v>
      </c>
      <c r="P792" s="89" t="n">
        <v>83.44945</v>
      </c>
      <c r="Q792" s="89" t="n"/>
      <c r="R792" s="89" t="n">
        <v>58.65702</v>
      </c>
      <c r="S792" s="89" t="n">
        <v>80.22467</v>
      </c>
      <c r="T792" s="89" t="n">
        <v>80.46992</v>
      </c>
      <c r="U792" s="89" t="n">
        <v>116.8893</v>
      </c>
      <c r="V792" s="89" t="n"/>
      <c r="W792" s="89" t="n">
        <v>9.779089000000001</v>
      </c>
      <c r="X792" s="89" t="n"/>
      <c r="Y792" s="89" t="n"/>
      <c r="Z792" s="89" t="n">
        <v>91.83457</v>
      </c>
      <c r="AA792" s="89" t="n">
        <v>83.54007</v>
      </c>
      <c r="AB792" s="89" t="n"/>
      <c r="AC792" s="89" t="n">
        <v>60.41551</v>
      </c>
      <c r="AD792" s="89" t="n"/>
      <c r="AE792" s="89" t="n">
        <v>57.69247</v>
      </c>
      <c r="AF792" s="89" t="n">
        <v>67.64058</v>
      </c>
      <c r="AG792" s="89" t="n">
        <v>66.1512</v>
      </c>
      <c r="AH792" s="89" t="n">
        <v>56.82116</v>
      </c>
      <c r="AI792" s="89" t="n"/>
      <c r="AJ792" s="89" t="n">
        <v>85.03801</v>
      </c>
      <c r="AK792" s="89" t="n"/>
      <c r="AL792" s="89" t="n"/>
      <c r="AM792" s="89" t="n">
        <v>63.95536</v>
      </c>
      <c r="AN792" s="89" t="n"/>
      <c r="AO792" s="89" t="n">
        <v>53.94865</v>
      </c>
      <c r="AP792" s="89" t="n">
        <v>66.94942</v>
      </c>
      <c r="AQ792" s="89" t="n"/>
      <c r="AR792" s="89" t="n"/>
      <c r="AS792" s="89" t="n"/>
      <c r="AT792" s="89" t="n"/>
      <c r="AU792" s="89" t="n"/>
      <c r="AV792" s="89" t="n"/>
      <c r="AW792" s="89" t="n"/>
      <c r="AX792" s="89" t="n"/>
      <c r="AY792" s="89" t="n">
        <v>64.68476</v>
      </c>
    </row>
    <row r="793">
      <c r="A793" t="inlineStr">
        <is>
          <t>1984-12</t>
        </is>
      </c>
      <c r="B793" s="1" t="n">
        <v>31017</v>
      </c>
      <c r="C793" s="88" t="n">
        <v>793</v>
      </c>
      <c r="E793" s="1">
        <f>B793</f>
        <v/>
      </c>
      <c r="F793" s="2">
        <f>B793</f>
        <v/>
      </c>
      <c r="G793" s="88" t="n">
        <v>791</v>
      </c>
      <c r="H793" s="89" t="n"/>
      <c r="I793" s="89" t="n"/>
      <c r="J793" s="89" t="n">
        <v>55.47437</v>
      </c>
      <c r="K793" s="89" t="n">
        <v>62.45516</v>
      </c>
      <c r="L793" s="89" t="n"/>
      <c r="M793" s="89" t="n"/>
      <c r="N793" s="89" t="n">
        <v>60.91521</v>
      </c>
      <c r="O793" s="89" t="n">
        <v>76.91679999999999</v>
      </c>
      <c r="P793" s="89" t="n">
        <v>84.21674</v>
      </c>
      <c r="Q793" s="89" t="n"/>
      <c r="R793" s="89" t="n">
        <v>60.07655</v>
      </c>
      <c r="S793" s="89" t="n">
        <v>80.22467</v>
      </c>
      <c r="T793" s="89" t="n">
        <v>81.83713</v>
      </c>
      <c r="U793" s="89" t="n">
        <v>113.1407</v>
      </c>
      <c r="V793" s="89" t="n"/>
      <c r="W793" s="89" t="n">
        <v>10.0039</v>
      </c>
      <c r="X793" s="89" t="n"/>
      <c r="Y793" s="89" t="n"/>
      <c r="Z793" s="89" t="n">
        <v>93.95927</v>
      </c>
      <c r="AA793" s="89" t="n">
        <v>83.03529</v>
      </c>
      <c r="AB793" s="89" t="n"/>
      <c r="AC793" s="89" t="n">
        <v>62.02519</v>
      </c>
      <c r="AD793" s="89" t="n"/>
      <c r="AE793" s="89" t="n">
        <v>58.63233</v>
      </c>
      <c r="AF793" s="89" t="n">
        <v>66.30116</v>
      </c>
      <c r="AG793" s="89" t="n">
        <v>65.02999</v>
      </c>
      <c r="AH793" s="89" t="n">
        <v>57.09368</v>
      </c>
      <c r="AI793" s="89" t="n"/>
      <c r="AJ793" s="89" t="n">
        <v>81.39615999999999</v>
      </c>
      <c r="AK793" s="89" t="n"/>
      <c r="AL793" s="89" t="n"/>
      <c r="AM793" s="89" t="n">
        <v>65.79414</v>
      </c>
      <c r="AN793" s="89" t="n"/>
      <c r="AO793" s="89" t="n">
        <v>54.00907</v>
      </c>
      <c r="AP793" s="89" t="n">
        <v>67.8026</v>
      </c>
      <c r="AQ793" s="89" t="n"/>
      <c r="AR793" s="89" t="n"/>
      <c r="AS793" s="89" t="n"/>
      <c r="AT793" s="89" t="n"/>
      <c r="AU793" s="89" t="n"/>
      <c r="AV793" s="89" t="n"/>
      <c r="AW793" s="89" t="n"/>
      <c r="AX793" s="89" t="n"/>
      <c r="AY793" s="89" t="n">
        <v>66.17989</v>
      </c>
    </row>
    <row r="794">
      <c r="A794" t="inlineStr">
        <is>
          <t>1985-01</t>
        </is>
      </c>
      <c r="B794" s="1" t="n">
        <v>31048</v>
      </c>
      <c r="C794" s="88" t="n">
        <v>794</v>
      </c>
      <c r="E794" s="1">
        <f>B794</f>
        <v/>
      </c>
      <c r="F794" s="2">
        <f>B794</f>
        <v/>
      </c>
      <c r="G794" s="88" t="n">
        <v>792</v>
      </c>
      <c r="H794" s="89" t="n"/>
      <c r="I794" s="89" t="n"/>
      <c r="J794" s="89" t="n">
        <v>52.97454</v>
      </c>
      <c r="K794" s="89" t="n">
        <v>62.97864</v>
      </c>
      <c r="L794" s="89" t="n"/>
      <c r="M794" s="89" t="n"/>
      <c r="N794" s="89" t="n">
        <v>60.91521</v>
      </c>
      <c r="O794" s="89" t="n">
        <v>75.22083000000001</v>
      </c>
      <c r="P794" s="89" t="n">
        <v>84.46378</v>
      </c>
      <c r="Q794" s="89" t="n"/>
      <c r="R794" s="89" t="n">
        <v>58.25433</v>
      </c>
      <c r="S794" s="89" t="n">
        <v>80.85051</v>
      </c>
      <c r="T794" s="89" t="n">
        <v>83.30199</v>
      </c>
      <c r="U794" s="89" t="n">
        <v>118.0658</v>
      </c>
      <c r="V794" s="89" t="n">
        <v>44.22408</v>
      </c>
      <c r="W794" s="89" t="n">
        <v>9.82405</v>
      </c>
      <c r="X794" s="89" t="n"/>
      <c r="Y794" s="89" t="n"/>
      <c r="Z794" s="89" t="n">
        <v>90.65416999999999</v>
      </c>
      <c r="AA794" s="89" t="n">
        <v>83.87658</v>
      </c>
      <c r="AB794" s="89" t="n"/>
      <c r="AC794" s="89" t="n">
        <v>63.30757</v>
      </c>
      <c r="AD794" s="89" t="n"/>
      <c r="AE794" s="89" t="n">
        <v>58.56003</v>
      </c>
      <c r="AF794" s="89" t="n">
        <v>76.36687999999999</v>
      </c>
      <c r="AG794" s="89" t="n">
        <v>66.1512</v>
      </c>
      <c r="AH794" s="89" t="n">
        <v>57.37646</v>
      </c>
      <c r="AI794" s="89" t="n">
        <v>34.93184</v>
      </c>
      <c r="AJ794" s="89" t="n">
        <v>82.64512000000001</v>
      </c>
      <c r="AK794" s="89" t="n"/>
      <c r="AL794" s="89" t="n"/>
      <c r="AM794" s="89" t="n">
        <v>63.49566</v>
      </c>
      <c r="AN794" s="89" t="n"/>
      <c r="AO794" s="89" t="n">
        <v>53.92281</v>
      </c>
      <c r="AP794" s="89" t="n">
        <v>68.36784</v>
      </c>
      <c r="AQ794" s="89" t="n"/>
      <c r="AR794" s="89" t="n"/>
      <c r="AS794" s="89" t="n"/>
      <c r="AT794" s="89" t="n"/>
      <c r="AU794" s="89" t="n"/>
      <c r="AV794" s="89" t="n"/>
      <c r="AW794" s="89" t="n"/>
      <c r="AX794" s="89" t="n">
        <v>23.56426</v>
      </c>
      <c r="AY794" s="89" t="n">
        <v>66.56053</v>
      </c>
    </row>
    <row r="795">
      <c r="A795" t="inlineStr">
        <is>
          <t>1985-02</t>
        </is>
      </c>
      <c r="B795" s="1" t="n">
        <v>31079</v>
      </c>
      <c r="C795" s="88" t="n">
        <v>795</v>
      </c>
      <c r="E795" s="1">
        <f>B795</f>
        <v/>
      </c>
      <c r="F795" s="2">
        <f>B795</f>
        <v/>
      </c>
      <c r="G795" s="88" t="n">
        <v>793</v>
      </c>
      <c r="H795" s="89" t="n"/>
      <c r="I795" s="89" t="n"/>
      <c r="J795" s="89" t="n">
        <v>53.91709</v>
      </c>
      <c r="K795" s="89" t="n">
        <v>63.76198</v>
      </c>
      <c r="L795" s="89" t="n"/>
      <c r="M795" s="89" t="n"/>
      <c r="N795" s="89" t="n">
        <v>60.97693</v>
      </c>
      <c r="O795" s="89" t="n">
        <v>75.87398</v>
      </c>
      <c r="P795" s="89" t="n">
        <v>84.11704</v>
      </c>
      <c r="Q795" s="89" t="n"/>
      <c r="R795" s="89" t="n">
        <v>58.7265</v>
      </c>
      <c r="S795" s="89" t="n">
        <v>82.23021</v>
      </c>
      <c r="T795" s="89" t="n">
        <v>83.30199</v>
      </c>
      <c r="U795" s="89" t="n">
        <v>118.3518</v>
      </c>
      <c r="V795" s="89" t="n">
        <v>44.08979</v>
      </c>
      <c r="W795" s="89" t="n">
        <v>9.689166</v>
      </c>
      <c r="X795" s="89" t="n"/>
      <c r="Y795" s="89" t="n"/>
      <c r="Z795" s="89" t="n">
        <v>94.78555</v>
      </c>
      <c r="AA795" s="89" t="n">
        <v>83.6242</v>
      </c>
      <c r="AB795" s="89" t="n"/>
      <c r="AC795" s="89" t="n">
        <v>56.76569</v>
      </c>
      <c r="AD795" s="89" t="n"/>
      <c r="AE795" s="89" t="n">
        <v>59.71677</v>
      </c>
      <c r="AF795" s="89" t="n">
        <v>72.12428</v>
      </c>
      <c r="AG795" s="89" t="n">
        <v>66.7118</v>
      </c>
      <c r="AH795" s="89" t="n">
        <v>57.58234</v>
      </c>
      <c r="AI795" s="89" t="n">
        <v>34.69247</v>
      </c>
      <c r="AJ795" s="89" t="n">
        <v>80.36153</v>
      </c>
      <c r="AK795" s="89" t="n"/>
      <c r="AL795" s="89" t="n"/>
      <c r="AM795" s="89" t="n">
        <v>62.92104</v>
      </c>
      <c r="AN795" s="89" t="n"/>
      <c r="AO795" s="89" t="n">
        <v>54.10771</v>
      </c>
      <c r="AP795" s="89" t="n">
        <v>68.11071</v>
      </c>
      <c r="AQ795" s="89" t="n"/>
      <c r="AR795" s="89" t="n"/>
      <c r="AS795" s="89" t="n"/>
      <c r="AT795" s="89" t="n"/>
      <c r="AU795" s="89" t="n"/>
      <c r="AV795" s="89" t="n"/>
      <c r="AW795" s="89" t="n"/>
      <c r="AX795" s="89" t="n">
        <v>21.97871</v>
      </c>
      <c r="AY795" s="89" t="n">
        <v>65.30112</v>
      </c>
    </row>
    <row r="796">
      <c r="A796" t="inlineStr">
        <is>
          <t>1985-03</t>
        </is>
      </c>
      <c r="B796" s="1" t="n">
        <v>31107</v>
      </c>
      <c r="C796" s="88" t="n">
        <v>796</v>
      </c>
      <c r="E796" s="1">
        <f>B796</f>
        <v/>
      </c>
      <c r="F796" s="2">
        <f>B796</f>
        <v/>
      </c>
      <c r="G796" s="88" t="n">
        <v>794</v>
      </c>
      <c r="H796" s="89" t="n"/>
      <c r="I796" s="89" t="n"/>
      <c r="J796" s="89" t="n">
        <v>54.49332</v>
      </c>
      <c r="K796" s="89" t="n">
        <v>64.08246</v>
      </c>
      <c r="L796" s="89" t="n"/>
      <c r="M796" s="89" t="n"/>
      <c r="N796" s="89" t="n">
        <v>61.53239</v>
      </c>
      <c r="O796" s="89" t="n">
        <v>70.10451</v>
      </c>
      <c r="P796" s="89" t="n">
        <v>84.54658000000001</v>
      </c>
      <c r="Q796" s="89" t="n"/>
      <c r="R796" s="89" t="n">
        <v>60.67421</v>
      </c>
      <c r="S796" s="89" t="n">
        <v>82.59813</v>
      </c>
      <c r="T796" s="89" t="n">
        <v>85.35281000000001</v>
      </c>
      <c r="U796" s="89" t="n">
        <v>118.5357</v>
      </c>
      <c r="V796" s="89" t="n">
        <v>45.07454</v>
      </c>
      <c r="W796" s="89" t="n">
        <v>10.31862</v>
      </c>
      <c r="X796" s="89" t="n"/>
      <c r="Y796" s="89" t="n"/>
      <c r="Z796" s="89" t="n">
        <v>93.48712</v>
      </c>
      <c r="AA796" s="89" t="n">
        <v>82.95116</v>
      </c>
      <c r="AB796" s="89" t="n"/>
      <c r="AC796" s="89" t="n">
        <v>63.68478</v>
      </c>
      <c r="AD796" s="89" t="n"/>
      <c r="AE796" s="89" t="n">
        <v>59.57218</v>
      </c>
      <c r="AF796" s="89" t="n">
        <v>71.41718</v>
      </c>
      <c r="AG796" s="89" t="n">
        <v>67.83301</v>
      </c>
      <c r="AH796" s="89" t="n">
        <v>57.71505</v>
      </c>
      <c r="AI796" s="89" t="n">
        <v>35.7426</v>
      </c>
      <c r="AJ796" s="89" t="n">
        <v>83.82946</v>
      </c>
      <c r="AK796" s="89" t="n"/>
      <c r="AL796" s="89" t="n"/>
      <c r="AM796" s="89" t="n">
        <v>64.64490000000001</v>
      </c>
      <c r="AN796" s="89" t="n"/>
      <c r="AO796" s="89" t="n">
        <v>54.19502</v>
      </c>
      <c r="AP796" s="89" t="n">
        <v>68.64400999999999</v>
      </c>
      <c r="AQ796" s="89" t="n"/>
      <c r="AR796" s="89" t="n"/>
      <c r="AS796" s="89" t="n"/>
      <c r="AT796" s="89" t="n"/>
      <c r="AU796" s="89" t="n"/>
      <c r="AV796" s="89" t="n"/>
      <c r="AW796" s="89" t="n"/>
      <c r="AX796" s="89" t="n">
        <v>22.61479</v>
      </c>
      <c r="AY796" s="89" t="n">
        <v>67.12039</v>
      </c>
    </row>
    <row r="797">
      <c r="A797" t="inlineStr">
        <is>
          <t>1985-04</t>
        </is>
      </c>
      <c r="B797" s="1" t="n">
        <v>31138</v>
      </c>
      <c r="C797" s="88" t="n">
        <v>797</v>
      </c>
      <c r="E797" s="1">
        <f>B797</f>
        <v/>
      </c>
      <c r="F797" s="2">
        <f>B797</f>
        <v/>
      </c>
      <c r="G797" s="88" t="n">
        <v>795</v>
      </c>
      <c r="H797" s="89" t="n"/>
      <c r="I797" s="89" t="n"/>
      <c r="J797" s="89" t="n">
        <v>54.69407</v>
      </c>
      <c r="K797" s="89" t="n">
        <v>63.59328</v>
      </c>
      <c r="L797" s="89" t="n"/>
      <c r="M797" s="89" t="n"/>
      <c r="N797" s="89" t="n">
        <v>60.8535</v>
      </c>
      <c r="O797" s="89" t="n">
        <v>68.68935</v>
      </c>
      <c r="P797" s="89" t="n">
        <v>85.00127999999999</v>
      </c>
      <c r="Q797" s="89" t="n"/>
      <c r="R797" s="89" t="n">
        <v>59.67085</v>
      </c>
      <c r="S797" s="89" t="n">
        <v>81.67833</v>
      </c>
      <c r="T797" s="89" t="n">
        <v>86.13406000000001</v>
      </c>
      <c r="U797" s="89" t="n">
        <v>114.8761</v>
      </c>
      <c r="V797" s="89" t="n">
        <v>43.7317</v>
      </c>
      <c r="W797" s="89" t="n">
        <v>9.734128</v>
      </c>
      <c r="X797" s="89" t="n"/>
      <c r="Y797" s="89" t="n"/>
      <c r="Z797" s="89" t="n">
        <v>92.5428</v>
      </c>
      <c r="AA797" s="89" t="n">
        <v>84.29723</v>
      </c>
      <c r="AB797" s="89" t="n"/>
      <c r="AC797" s="89" t="n">
        <v>62.02282</v>
      </c>
      <c r="AD797" s="89" t="n"/>
      <c r="AE797" s="89" t="n">
        <v>58.92151</v>
      </c>
      <c r="AF797" s="89" t="n">
        <v>69.29588</v>
      </c>
      <c r="AG797" s="89" t="n">
        <v>67.27240999999999</v>
      </c>
      <c r="AH797" s="89" t="n">
        <v>57.64574</v>
      </c>
      <c r="AI797" s="89" t="n">
        <v>35.12923</v>
      </c>
      <c r="AJ797" s="89" t="n">
        <v>82.2368</v>
      </c>
      <c r="AK797" s="89" t="n"/>
      <c r="AL797" s="89" t="n"/>
      <c r="AM797" s="89" t="n">
        <v>64.64490000000001</v>
      </c>
      <c r="AN797" s="89" t="n"/>
      <c r="AO797" s="89" t="n">
        <v>54.0472</v>
      </c>
      <c r="AP797" s="89" t="n">
        <v>67.92024000000001</v>
      </c>
      <c r="AQ797" s="89" t="n"/>
      <c r="AR797" s="89" t="n"/>
      <c r="AS797" s="89" t="n"/>
      <c r="AT797" s="89" t="n"/>
      <c r="AU797" s="89" t="n"/>
      <c r="AV797" s="89" t="n"/>
      <c r="AW797" s="89" t="n"/>
      <c r="AX797" s="89" t="n">
        <v>22.82075</v>
      </c>
      <c r="AY797" s="89" t="n">
        <v>61.87534</v>
      </c>
    </row>
    <row r="798">
      <c r="A798" t="inlineStr">
        <is>
          <t>1985-05</t>
        </is>
      </c>
      <c r="B798" s="1" t="n">
        <v>31168</v>
      </c>
      <c r="C798" s="88" t="n">
        <v>798</v>
      </c>
      <c r="E798" s="1">
        <f>B798</f>
        <v/>
      </c>
      <c r="F798" s="2">
        <f>B798</f>
        <v/>
      </c>
      <c r="G798" s="88" t="n">
        <v>796</v>
      </c>
      <c r="H798" s="89" t="n"/>
      <c r="I798" s="89" t="n"/>
      <c r="J798" s="89" t="n">
        <v>54.81797</v>
      </c>
      <c r="K798" s="89" t="n">
        <v>64.04533000000001</v>
      </c>
      <c r="L798" s="89" t="n"/>
      <c r="M798" s="89" t="n"/>
      <c r="N798" s="89" t="n">
        <v>61.59411</v>
      </c>
      <c r="O798" s="89" t="n">
        <v>72.71709</v>
      </c>
      <c r="P798" s="89" t="n">
        <v>84.57883</v>
      </c>
      <c r="Q798" s="89" t="n"/>
      <c r="R798" s="89" t="n">
        <v>60.79226</v>
      </c>
      <c r="S798" s="89" t="n">
        <v>82.50615000000001</v>
      </c>
      <c r="T798" s="89" t="n">
        <v>86.91533</v>
      </c>
      <c r="U798" s="89" t="n">
        <v>121.1099</v>
      </c>
      <c r="V798" s="89" t="n">
        <v>44.85073</v>
      </c>
      <c r="W798" s="89" t="n">
        <v>9.756608</v>
      </c>
      <c r="X798" s="89" t="n"/>
      <c r="Y798" s="89" t="n"/>
      <c r="Z798" s="89" t="n">
        <v>93.84124</v>
      </c>
      <c r="AA798" s="89" t="n">
        <v>85.13852</v>
      </c>
      <c r="AB798" s="89" t="n"/>
      <c r="AC798" s="89" t="n">
        <v>60.70831</v>
      </c>
      <c r="AD798" s="89" t="n"/>
      <c r="AE798" s="89" t="n">
        <v>58.56003</v>
      </c>
      <c r="AF798" s="89" t="n">
        <v>70.00297999999999</v>
      </c>
      <c r="AG798" s="89" t="n">
        <v>67.27240999999999</v>
      </c>
      <c r="AH798" s="89" t="n">
        <v>58.07101</v>
      </c>
      <c r="AI798" s="89" t="n">
        <v>35.08975</v>
      </c>
      <c r="AJ798" s="89" t="n">
        <v>82.74274</v>
      </c>
      <c r="AK798" s="89" t="n"/>
      <c r="AL798" s="89" t="n"/>
      <c r="AM798" s="89" t="n">
        <v>64.41504999999999</v>
      </c>
      <c r="AN798" s="89" t="n"/>
      <c r="AO798" s="89" t="n">
        <v>54.12356</v>
      </c>
      <c r="AP798" s="89" t="n">
        <v>68.82496</v>
      </c>
      <c r="AQ798" s="89" t="n"/>
      <c r="AR798" s="89" t="n"/>
      <c r="AS798" s="89" t="n"/>
      <c r="AT798" s="89" t="n"/>
      <c r="AU798" s="89" t="n"/>
      <c r="AV798" s="89" t="n"/>
      <c r="AW798" s="89" t="n"/>
      <c r="AX798" s="89" t="n">
        <v>24.94823</v>
      </c>
      <c r="AY798" s="89" t="n">
        <v>65.85298</v>
      </c>
    </row>
    <row r="799">
      <c r="A799" t="inlineStr">
        <is>
          <t>1985-06</t>
        </is>
      </c>
      <c r="B799" s="1" t="n">
        <v>31199</v>
      </c>
      <c r="C799" s="88" t="n">
        <v>799</v>
      </c>
      <c r="E799" s="1">
        <f>B799</f>
        <v/>
      </c>
      <c r="F799" s="2">
        <f>B799</f>
        <v/>
      </c>
      <c r="G799" s="88" t="n">
        <v>797</v>
      </c>
      <c r="H799" s="89" t="n"/>
      <c r="I799" s="89" t="n"/>
      <c r="J799" s="89" t="n">
        <v>54.78089</v>
      </c>
      <c r="K799" s="89" t="n">
        <v>63.97203</v>
      </c>
      <c r="L799" s="89" t="n"/>
      <c r="M799" s="89" t="n"/>
      <c r="N799" s="89" t="n">
        <v>62.33472</v>
      </c>
      <c r="O799" s="89" t="n">
        <v>76.41827000000001</v>
      </c>
      <c r="P799" s="89" t="n">
        <v>83.14597999999999</v>
      </c>
      <c r="Q799" s="89" t="n"/>
      <c r="R799" s="89" t="n">
        <v>60.02498</v>
      </c>
      <c r="S799" s="89" t="n">
        <v>81.31041</v>
      </c>
      <c r="T799" s="89" t="n">
        <v>88.77083</v>
      </c>
      <c r="U799" s="89" t="n">
        <v>123.07</v>
      </c>
      <c r="V799" s="89" t="n">
        <v>44.71645</v>
      </c>
      <c r="W799" s="89" t="n">
        <v>9.531801</v>
      </c>
      <c r="X799" s="89" t="n"/>
      <c r="Y799" s="89" t="n"/>
      <c r="Z799" s="89" t="n">
        <v>94.66750999999999</v>
      </c>
      <c r="AA799" s="89" t="n">
        <v>83.79245</v>
      </c>
      <c r="AB799" s="89" t="n"/>
      <c r="AC799" s="89" t="n">
        <v>59.73451</v>
      </c>
      <c r="AD799" s="89" t="n"/>
      <c r="AE799" s="89" t="n">
        <v>59.93366</v>
      </c>
      <c r="AF799" s="89" t="n">
        <v>70.71008</v>
      </c>
      <c r="AG799" s="89" t="n">
        <v>63.90879</v>
      </c>
      <c r="AH799" s="89" t="n">
        <v>57.95103</v>
      </c>
      <c r="AI799" s="89" t="n">
        <v>35.59302</v>
      </c>
      <c r="AJ799" s="89" t="n">
        <v>82.6404</v>
      </c>
      <c r="AK799" s="89" t="n"/>
      <c r="AL799" s="89" t="n"/>
      <c r="AM799" s="89" t="n">
        <v>65.62175999999999</v>
      </c>
      <c r="AN799" s="89" t="n"/>
      <c r="AO799" s="89" t="n">
        <v>54.16323</v>
      </c>
      <c r="AP799" s="89" t="n">
        <v>68.23451</v>
      </c>
      <c r="AQ799" s="89" t="n"/>
      <c r="AR799" s="89" t="n"/>
      <c r="AS799" s="89" t="n"/>
      <c r="AT799" s="89" t="n"/>
      <c r="AU799" s="89" t="n"/>
      <c r="AV799" s="89" t="n"/>
      <c r="AW799" s="89" t="n"/>
      <c r="AX799" s="89" t="n">
        <v>19.87324</v>
      </c>
      <c r="AY799" s="89" t="n">
        <v>66.94074000000001</v>
      </c>
    </row>
    <row r="800">
      <c r="A800" t="inlineStr">
        <is>
          <t>1985-07</t>
        </is>
      </c>
      <c r="B800" s="1" t="n">
        <v>31229</v>
      </c>
      <c r="C800" s="88" t="n">
        <v>800</v>
      </c>
      <c r="E800" s="1">
        <f>B800</f>
        <v/>
      </c>
      <c r="F800" s="2">
        <f>B800</f>
        <v/>
      </c>
      <c r="G800" s="88" t="n">
        <v>798</v>
      </c>
      <c r="H800" s="89" t="n"/>
      <c r="I800" s="89" t="n"/>
      <c r="J800" s="89" t="n">
        <v>53.8786</v>
      </c>
      <c r="K800" s="89" t="n">
        <v>64.15434999999999</v>
      </c>
      <c r="L800" s="89" t="n"/>
      <c r="M800" s="89" t="n"/>
      <c r="N800" s="89" t="n">
        <v>62.95189</v>
      </c>
      <c r="O800" s="89" t="n">
        <v>75.22083000000001</v>
      </c>
      <c r="P800" s="89" t="n">
        <v>85.92506</v>
      </c>
      <c r="Q800" s="89" t="n"/>
      <c r="R800" s="89" t="n">
        <v>57.72313</v>
      </c>
      <c r="S800" s="89" t="n">
        <v>81.49437</v>
      </c>
      <c r="T800" s="89" t="n">
        <v>85.35281000000001</v>
      </c>
      <c r="U800" s="89" t="n">
        <v>122.0857</v>
      </c>
      <c r="V800" s="89" t="n">
        <v>46.99928</v>
      </c>
      <c r="W800" s="89" t="n">
        <v>9.644204999999999</v>
      </c>
      <c r="X800" s="89" t="n"/>
      <c r="Y800" s="89" t="n"/>
      <c r="Z800" s="89" t="n">
        <v>93.25104</v>
      </c>
      <c r="AA800" s="89" t="n">
        <v>85.05439</v>
      </c>
      <c r="AB800" s="89" t="n"/>
      <c r="AC800" s="89" t="n">
        <v>64.51975</v>
      </c>
      <c r="AD800" s="89" t="n"/>
      <c r="AE800" s="89" t="n">
        <v>60.15055</v>
      </c>
      <c r="AF800" s="89" t="n">
        <v>68.58878</v>
      </c>
      <c r="AG800" s="89" t="n">
        <v>68.95422000000001</v>
      </c>
      <c r="AH800" s="89" t="n">
        <v>57.94997</v>
      </c>
      <c r="AI800" s="89" t="n">
        <v>36.04988</v>
      </c>
      <c r="AJ800" s="89" t="n">
        <v>80.93512</v>
      </c>
      <c r="AK800" s="89" t="n"/>
      <c r="AL800" s="89" t="n"/>
      <c r="AM800" s="89" t="n">
        <v>62.11657</v>
      </c>
      <c r="AN800" s="89" t="n"/>
      <c r="AO800" s="89" t="n">
        <v>53.81101</v>
      </c>
      <c r="AP800" s="89" t="n">
        <v>68.84399999999999</v>
      </c>
      <c r="AQ800" s="89" t="n"/>
      <c r="AR800" s="89" t="n"/>
      <c r="AS800" s="89" t="n"/>
      <c r="AT800" s="89" t="n"/>
      <c r="AU800" s="89" t="n"/>
      <c r="AV800" s="89" t="n"/>
      <c r="AW800" s="89" t="n"/>
      <c r="AX800" s="89" t="n">
        <v>22.7999</v>
      </c>
      <c r="AY800" s="89" t="n">
        <v>68.79931999999999</v>
      </c>
    </row>
    <row r="801">
      <c r="A801" t="inlineStr">
        <is>
          <t>1985-08</t>
        </is>
      </c>
      <c r="B801" s="1" t="n">
        <v>31260</v>
      </c>
      <c r="C801" s="88" t="n">
        <v>801</v>
      </c>
      <c r="E801" s="1">
        <f>B801</f>
        <v/>
      </c>
      <c r="F801" s="2">
        <f>B801</f>
        <v/>
      </c>
      <c r="G801" s="88" t="n">
        <v>799</v>
      </c>
      <c r="H801" s="89" t="n"/>
      <c r="I801" s="89" t="n"/>
      <c r="J801" s="89" t="n">
        <v>54.49202</v>
      </c>
      <c r="K801" s="89" t="n">
        <v>64.34702</v>
      </c>
      <c r="L801" s="89" t="n"/>
      <c r="M801" s="89" t="n"/>
      <c r="N801" s="89" t="n">
        <v>61.34724</v>
      </c>
      <c r="O801" s="89" t="n">
        <v>74.89426</v>
      </c>
      <c r="P801" s="89" t="n">
        <v>87.04662</v>
      </c>
      <c r="Q801" s="89" t="n"/>
      <c r="R801" s="89" t="n">
        <v>59.02161</v>
      </c>
      <c r="S801" s="89" t="n">
        <v>81.49437</v>
      </c>
      <c r="T801" s="89" t="n">
        <v>86.13406000000001</v>
      </c>
      <c r="U801" s="89" t="n">
        <v>124.4365</v>
      </c>
      <c r="V801" s="89" t="n">
        <v>44.71645</v>
      </c>
      <c r="W801" s="89" t="n">
        <v>9.262033000000001</v>
      </c>
      <c r="X801" s="89" t="n"/>
      <c r="Y801" s="89" t="n"/>
      <c r="Z801" s="89" t="n">
        <v>96.08398</v>
      </c>
      <c r="AA801" s="89" t="n">
        <v>84.29723</v>
      </c>
      <c r="AB801" s="89" t="n"/>
      <c r="AC801" s="89" t="n">
        <v>62.21844</v>
      </c>
      <c r="AD801" s="89" t="n"/>
      <c r="AE801" s="89" t="n">
        <v>59.71677</v>
      </c>
      <c r="AF801" s="89" t="n">
        <v>69.29588</v>
      </c>
      <c r="AG801" s="89" t="n">
        <v>68.95422000000001</v>
      </c>
      <c r="AH801" s="89" t="n">
        <v>58.01734</v>
      </c>
      <c r="AI801" s="89" t="n">
        <v>36.46583</v>
      </c>
      <c r="AJ801" s="89" t="n">
        <v>82.54585</v>
      </c>
      <c r="AK801" s="89" t="n"/>
      <c r="AL801" s="89" t="n"/>
      <c r="AM801" s="89" t="n">
        <v>65.90907</v>
      </c>
      <c r="AN801" s="89" t="n"/>
      <c r="AO801" s="89" t="n">
        <v>54.03394</v>
      </c>
      <c r="AP801" s="89" t="n">
        <v>68.94875999999999</v>
      </c>
      <c r="AQ801" s="89" t="n"/>
      <c r="AR801" s="89" t="n"/>
      <c r="AS801" s="89" t="n"/>
      <c r="AT801" s="89" t="n"/>
      <c r="AU801" s="89" t="n"/>
      <c r="AV801" s="89" t="n"/>
      <c r="AW801" s="89" t="n"/>
      <c r="AX801" s="89" t="n">
        <v>22.99592</v>
      </c>
      <c r="AY801" s="89" t="n">
        <v>69.40383</v>
      </c>
    </row>
    <row r="802">
      <c r="A802" t="inlineStr">
        <is>
          <t>1985-09</t>
        </is>
      </c>
      <c r="B802" s="1" t="n">
        <v>31291</v>
      </c>
      <c r="C802" s="88" t="n">
        <v>802</v>
      </c>
      <c r="E802" s="1">
        <f>B802</f>
        <v/>
      </c>
      <c r="F802" s="2">
        <f>B802</f>
        <v/>
      </c>
      <c r="G802" s="88" t="n">
        <v>800</v>
      </c>
      <c r="H802" s="89" t="n"/>
      <c r="I802" s="89" t="n"/>
      <c r="J802" s="89" t="n">
        <v>55.87103</v>
      </c>
      <c r="K802" s="89" t="n">
        <v>64.58714000000001</v>
      </c>
      <c r="L802" s="89" t="n"/>
      <c r="M802" s="89" t="n"/>
      <c r="N802" s="89" t="n">
        <v>62.08785</v>
      </c>
      <c r="O802" s="89" t="n">
        <v>76.96254999999999</v>
      </c>
      <c r="P802" s="89" t="n">
        <v>86.6525</v>
      </c>
      <c r="Q802" s="89" t="n"/>
      <c r="R802" s="89" t="n">
        <v>59.02161</v>
      </c>
      <c r="S802" s="89" t="n">
        <v>81.67833</v>
      </c>
      <c r="T802" s="89" t="n">
        <v>87.69659</v>
      </c>
      <c r="U802" s="89" t="n">
        <v>124.2668</v>
      </c>
      <c r="V802" s="89" t="n">
        <v>45.34311</v>
      </c>
      <c r="W802" s="89" t="n">
        <v>9.689166</v>
      </c>
      <c r="X802" s="89" t="n"/>
      <c r="Y802" s="89" t="n"/>
      <c r="Z802" s="89" t="n">
        <v>93.60516</v>
      </c>
      <c r="AA802" s="89" t="n">
        <v>83.6242</v>
      </c>
      <c r="AB802" s="89" t="n"/>
      <c r="AC802" s="89" t="n">
        <v>59.55025</v>
      </c>
      <c r="AD802" s="89" t="n"/>
      <c r="AE802" s="89" t="n">
        <v>59.93366</v>
      </c>
      <c r="AF802" s="89" t="n">
        <v>67.88168</v>
      </c>
      <c r="AG802" s="89" t="n">
        <v>68.39362</v>
      </c>
      <c r="AH802" s="89" t="n">
        <v>58.09239</v>
      </c>
      <c r="AI802" s="89" t="n">
        <v>36.68352</v>
      </c>
      <c r="AJ802" s="89" t="n">
        <v>80.28955000000001</v>
      </c>
      <c r="AK802" s="89" t="n"/>
      <c r="AL802" s="89" t="n"/>
      <c r="AM802" s="89" t="n">
        <v>65.96653000000001</v>
      </c>
      <c r="AN802" s="89" t="n"/>
      <c r="AO802" s="89" t="n">
        <v>54.26715</v>
      </c>
      <c r="AP802" s="89" t="n">
        <v>68.85352</v>
      </c>
      <c r="AQ802" s="89" t="n"/>
      <c r="AR802" s="89" t="n"/>
      <c r="AS802" s="89" t="n"/>
      <c r="AT802" s="89" t="n"/>
      <c r="AU802" s="89" t="n"/>
      <c r="AV802" s="89" t="n"/>
      <c r="AW802" s="89" t="n"/>
      <c r="AX802" s="89" t="n">
        <v>23.19172</v>
      </c>
      <c r="AY802" s="89" t="n">
        <v>70.21786</v>
      </c>
    </row>
    <row r="803">
      <c r="A803" t="inlineStr">
        <is>
          <t>1985-10</t>
        </is>
      </c>
      <c r="B803" s="1" t="n">
        <v>31321</v>
      </c>
      <c r="C803" s="88" t="n">
        <v>803</v>
      </c>
      <c r="E803" s="1">
        <f>B803</f>
        <v/>
      </c>
      <c r="F803" s="2">
        <f>B803</f>
        <v/>
      </c>
      <c r="G803" s="88" t="n">
        <v>801</v>
      </c>
      <c r="H803" s="89" t="n"/>
      <c r="I803" s="89" t="n"/>
      <c r="J803" s="89" t="n">
        <v>55.36912</v>
      </c>
      <c r="K803" s="89" t="n">
        <v>65.17406</v>
      </c>
      <c r="L803" s="89" t="n"/>
      <c r="M803" s="89" t="n"/>
      <c r="N803" s="89" t="n">
        <v>62.82846</v>
      </c>
      <c r="O803" s="89" t="n">
        <v>82.73202999999999</v>
      </c>
      <c r="P803" s="89" t="n">
        <v>87.58447</v>
      </c>
      <c r="Q803" s="89" t="n"/>
      <c r="R803" s="89" t="n">
        <v>58.7265</v>
      </c>
      <c r="S803" s="89" t="n">
        <v>82.50615000000001</v>
      </c>
      <c r="T803" s="89" t="n">
        <v>85.84108999999999</v>
      </c>
      <c r="U803" s="89" t="n">
        <v>124.7317</v>
      </c>
      <c r="V803" s="89" t="n">
        <v>45.07454</v>
      </c>
      <c r="W803" s="89" t="n">
        <v>9.599244000000001</v>
      </c>
      <c r="X803" s="89" t="n"/>
      <c r="Y803" s="89" t="n"/>
      <c r="Z803" s="89" t="n">
        <v>93.01496</v>
      </c>
      <c r="AA803" s="89" t="n">
        <v>84.46548</v>
      </c>
      <c r="AB803" s="89" t="n"/>
      <c r="AC803" s="89" t="n">
        <v>65.12188</v>
      </c>
      <c r="AD803" s="89" t="n"/>
      <c r="AE803" s="89" t="n">
        <v>59.35529</v>
      </c>
      <c r="AF803" s="89" t="n">
        <v>69.29588</v>
      </c>
      <c r="AG803" s="89" t="n">
        <v>69.51482</v>
      </c>
      <c r="AH803" s="89" t="n">
        <v>58.15276</v>
      </c>
      <c r="AI803" s="89" t="n">
        <v>36.79258</v>
      </c>
      <c r="AJ803" s="89" t="n">
        <v>85.60196999999999</v>
      </c>
      <c r="AK803" s="89" t="n"/>
      <c r="AL803" s="89" t="n"/>
      <c r="AM803" s="89" t="n">
        <v>63.95536</v>
      </c>
      <c r="AN803" s="89" t="n"/>
      <c r="AO803" s="89" t="n">
        <v>54.04288</v>
      </c>
      <c r="AP803" s="89" t="n">
        <v>69.47254</v>
      </c>
      <c r="AQ803" s="89" t="n"/>
      <c r="AR803" s="89" t="n"/>
      <c r="AS803" s="89" t="n"/>
      <c r="AT803" s="89" t="n"/>
      <c r="AU803" s="89" t="n"/>
      <c r="AV803" s="89" t="n"/>
      <c r="AW803" s="89" t="n"/>
      <c r="AX803" s="89" t="n">
        <v>23.82949</v>
      </c>
      <c r="AY803" s="89" t="n">
        <v>71.64117</v>
      </c>
    </row>
    <row r="804">
      <c r="A804" t="inlineStr">
        <is>
          <t>1985-11</t>
        </is>
      </c>
      <c r="B804" s="1" t="n">
        <v>31352</v>
      </c>
      <c r="C804" s="88" t="n">
        <v>804</v>
      </c>
      <c r="E804" s="1">
        <f>B804</f>
        <v/>
      </c>
      <c r="F804" s="2">
        <f>B804</f>
        <v/>
      </c>
      <c r="G804" s="88" t="n">
        <v>802</v>
      </c>
      <c r="H804" s="89" t="n"/>
      <c r="I804" s="89" t="n"/>
      <c r="J804" s="89" t="n">
        <v>56.9284</v>
      </c>
      <c r="K804" s="89" t="n">
        <v>65.25535000000001</v>
      </c>
      <c r="L804" s="89" t="n"/>
      <c r="M804" s="89" t="n"/>
      <c r="N804" s="89" t="n">
        <v>64.00109</v>
      </c>
      <c r="O804" s="89" t="n">
        <v>86.10662000000001</v>
      </c>
      <c r="P804" s="89" t="n">
        <v>87.56919000000001</v>
      </c>
      <c r="Q804" s="89" t="n"/>
      <c r="R804" s="89" t="n">
        <v>59.13965</v>
      </c>
      <c r="S804" s="89" t="n">
        <v>83.42595</v>
      </c>
      <c r="T804" s="89" t="n">
        <v>86.91533</v>
      </c>
      <c r="U804" s="89" t="n">
        <v>123.1017</v>
      </c>
      <c r="V804" s="89" t="n">
        <v>44.80597</v>
      </c>
      <c r="W804" s="89" t="n">
        <v>9.936453999999999</v>
      </c>
      <c r="X804" s="89" t="n"/>
      <c r="Y804" s="89" t="n"/>
      <c r="Z804" s="89" t="n">
        <v>95.13967</v>
      </c>
      <c r="AA804" s="89" t="n">
        <v>84.29723</v>
      </c>
      <c r="AB804" s="89" t="n"/>
      <c r="AC804" s="89" t="n">
        <v>63.11237</v>
      </c>
      <c r="AD804" s="89" t="n"/>
      <c r="AE804" s="89" t="n">
        <v>59.35529</v>
      </c>
      <c r="AF804" s="89" t="n">
        <v>75.65978</v>
      </c>
      <c r="AG804" s="89" t="n">
        <v>70.07541999999999</v>
      </c>
      <c r="AH804" s="89" t="n">
        <v>58.65213</v>
      </c>
      <c r="AI804" s="89" t="n">
        <v>36.58737</v>
      </c>
      <c r="AJ804" s="89" t="n">
        <v>82.40016</v>
      </c>
      <c r="AK804" s="89" t="n"/>
      <c r="AL804" s="89" t="n"/>
      <c r="AM804" s="89" t="n">
        <v>63.78297</v>
      </c>
      <c r="AN804" s="89" t="n"/>
      <c r="AO804" s="89" t="n">
        <v>54.22547</v>
      </c>
      <c r="AP804" s="89" t="n">
        <v>70.11060000000001</v>
      </c>
      <c r="AQ804" s="89" t="n"/>
      <c r="AR804" s="89" t="n"/>
      <c r="AS804" s="89" t="n"/>
      <c r="AT804" s="89" t="n"/>
      <c r="AU804" s="89" t="n"/>
      <c r="AV804" s="89" t="n"/>
      <c r="AW804" s="89" t="n"/>
      <c r="AX804" s="89" t="n">
        <v>25.43599</v>
      </c>
      <c r="AY804" s="89" t="n">
        <v>71.86466</v>
      </c>
    </row>
    <row r="805">
      <c r="A805" t="inlineStr">
        <is>
          <t>1985-12</t>
        </is>
      </c>
      <c r="B805" s="1" t="n">
        <v>31382</v>
      </c>
      <c r="C805" s="88" t="n">
        <v>805</v>
      </c>
      <c r="E805" s="1">
        <f>B805</f>
        <v/>
      </c>
      <c r="F805" s="2">
        <f>B805</f>
        <v/>
      </c>
      <c r="G805" s="88" t="n">
        <v>803</v>
      </c>
      <c r="H805" s="89" t="n"/>
      <c r="I805" s="89" t="n"/>
      <c r="J805" s="89" t="n">
        <v>55.53015</v>
      </c>
      <c r="K805" s="89" t="n">
        <v>65.33289000000001</v>
      </c>
      <c r="L805" s="89" t="n"/>
      <c r="M805" s="89" t="n"/>
      <c r="N805" s="89" t="n">
        <v>61.59411</v>
      </c>
      <c r="O805" s="89" t="n">
        <v>83.0586</v>
      </c>
      <c r="P805" s="89" t="n">
        <v>86.93077</v>
      </c>
      <c r="Q805" s="89" t="n"/>
      <c r="R805" s="89" t="n">
        <v>59.61182</v>
      </c>
      <c r="S805" s="89" t="n">
        <v>82.59813</v>
      </c>
      <c r="T805" s="89" t="n">
        <v>84.6692</v>
      </c>
      <c r="U805" s="89" t="n">
        <v>126.2335</v>
      </c>
      <c r="V805" s="89" t="n">
        <v>43.7317</v>
      </c>
      <c r="W805" s="89" t="n">
        <v>9.756608</v>
      </c>
      <c r="X805" s="89" t="n"/>
      <c r="Y805" s="89" t="n"/>
      <c r="Z805" s="89" t="n">
        <v>94.19535</v>
      </c>
      <c r="AA805" s="89" t="n">
        <v>84.29723</v>
      </c>
      <c r="AB805" s="89" t="n"/>
      <c r="AC805" s="89" t="n">
        <v>62.10742</v>
      </c>
      <c r="AD805" s="89" t="n"/>
      <c r="AE805" s="89" t="n">
        <v>58.63233</v>
      </c>
      <c r="AF805" s="89" t="n">
        <v>67.88168</v>
      </c>
      <c r="AG805" s="89" t="n">
        <v>70.63602</v>
      </c>
      <c r="AH805" s="89" t="n">
        <v>58.2485</v>
      </c>
      <c r="AI805" s="89" t="n">
        <v>37.43331</v>
      </c>
      <c r="AJ805" s="89" t="n">
        <v>83.16704</v>
      </c>
      <c r="AK805" s="89" t="n"/>
      <c r="AL805" s="89" t="n"/>
      <c r="AM805" s="89" t="n">
        <v>61.88672</v>
      </c>
      <c r="AN805" s="89" t="n"/>
      <c r="AO805" s="89" t="n">
        <v>54.79303</v>
      </c>
      <c r="AP805" s="89" t="n">
        <v>69.53921</v>
      </c>
      <c r="AQ805" s="89" t="n"/>
      <c r="AR805" s="89" t="n"/>
      <c r="AS805" s="89" t="n"/>
      <c r="AT805" s="89" t="n"/>
      <c r="AU805" s="89" t="n"/>
      <c r="AV805" s="89" t="n"/>
      <c r="AW805" s="89" t="n"/>
      <c r="AX805" s="89" t="n">
        <v>24.60074</v>
      </c>
      <c r="AY805" s="89" t="n">
        <v>73.11151</v>
      </c>
    </row>
    <row r="806">
      <c r="A806" t="inlineStr">
        <is>
          <t>1986-01</t>
        </is>
      </c>
      <c r="B806" s="1" t="n">
        <v>31413</v>
      </c>
      <c r="C806" s="88" t="n">
        <v>806</v>
      </c>
      <c r="E806" s="1">
        <f>B806</f>
        <v/>
      </c>
      <c r="F806" s="2">
        <f>B806</f>
        <v/>
      </c>
      <c r="G806" s="88" t="n">
        <v>804</v>
      </c>
      <c r="H806" s="89" t="n"/>
      <c r="I806" s="89" t="n"/>
      <c r="J806" s="89" t="n">
        <v>55.26524</v>
      </c>
      <c r="K806" s="89" t="n">
        <v>65.68953999999999</v>
      </c>
      <c r="L806" s="89" t="n"/>
      <c r="M806" s="89" t="n"/>
      <c r="N806" s="89" t="n">
        <v>62.82846</v>
      </c>
      <c r="O806" s="89" t="n">
        <v>80.22829</v>
      </c>
      <c r="P806" s="89" t="n">
        <v>86.87107</v>
      </c>
      <c r="Q806" s="89" t="n"/>
      <c r="R806" s="89" t="n">
        <v>60.37911</v>
      </c>
      <c r="S806" s="89" t="n">
        <v>82.96605</v>
      </c>
      <c r="T806" s="89" t="n">
        <v>85.64578</v>
      </c>
      <c r="U806" s="89" t="n">
        <v>120.5114</v>
      </c>
      <c r="V806" s="89" t="n">
        <v>44.49265</v>
      </c>
      <c r="W806" s="89" t="n">
        <v>9.666686</v>
      </c>
      <c r="X806" s="89" t="n"/>
      <c r="Y806" s="89" t="n"/>
      <c r="Z806" s="89" t="n">
        <v>95.96594</v>
      </c>
      <c r="AA806" s="89" t="n">
        <v>84.12897</v>
      </c>
      <c r="AB806" s="89" t="n"/>
      <c r="AC806" s="89" t="n">
        <v>65.11447</v>
      </c>
      <c r="AD806" s="89" t="n"/>
      <c r="AE806" s="89" t="n">
        <v>58.56003</v>
      </c>
      <c r="AF806" s="89" t="n">
        <v>68.58878</v>
      </c>
      <c r="AG806" s="89" t="n">
        <v>70.19056999999999</v>
      </c>
      <c r="AH806" s="89" t="n">
        <v>58.52221</v>
      </c>
      <c r="AI806" s="89" t="n">
        <v>37.08747</v>
      </c>
      <c r="AJ806" s="89" t="n">
        <v>83.33642999999999</v>
      </c>
      <c r="AK806" s="89" t="n"/>
      <c r="AL806" s="89" t="n"/>
      <c r="AM806" s="89" t="n">
        <v>64.87475000000001</v>
      </c>
      <c r="AN806" s="89" t="n"/>
      <c r="AO806" s="89" t="n">
        <v>55.04718</v>
      </c>
      <c r="AP806" s="89" t="n">
        <v>69.96775</v>
      </c>
      <c r="AQ806" s="89" t="n"/>
      <c r="AR806" s="89" t="n"/>
      <c r="AS806" s="89" t="n"/>
      <c r="AT806" s="89" t="n"/>
      <c r="AU806" s="89" t="n"/>
      <c r="AV806" s="89" t="n"/>
      <c r="AW806" s="89" t="n"/>
      <c r="AX806" s="89" t="n">
        <v>23.49804</v>
      </c>
      <c r="AY806" s="89" t="n">
        <v>74.37197999999999</v>
      </c>
    </row>
    <row r="807">
      <c r="A807" t="inlineStr">
        <is>
          <t>1986-02</t>
        </is>
      </c>
      <c r="B807" s="1" t="n">
        <v>31444</v>
      </c>
      <c r="C807" s="88" t="n">
        <v>807</v>
      </c>
      <c r="E807" s="1">
        <f>B807</f>
        <v/>
      </c>
      <c r="F807" s="2">
        <f>B807</f>
        <v/>
      </c>
      <c r="G807" s="88" t="n">
        <v>805</v>
      </c>
      <c r="H807" s="89" t="n"/>
      <c r="I807" s="89" t="n"/>
      <c r="J807" s="89" t="n">
        <v>55.51634</v>
      </c>
      <c r="K807" s="89" t="n">
        <v>65.29576</v>
      </c>
      <c r="L807" s="89" t="n"/>
      <c r="M807" s="89" t="n"/>
      <c r="N807" s="89" t="n">
        <v>63.07533</v>
      </c>
      <c r="O807" s="89" t="n">
        <v>80.11944</v>
      </c>
      <c r="P807" s="89" t="n">
        <v>87.61841</v>
      </c>
      <c r="Q807" s="89" t="n"/>
      <c r="R807" s="89" t="n">
        <v>59.84791</v>
      </c>
      <c r="S807" s="89" t="n">
        <v>82.13822999999999</v>
      </c>
      <c r="T807" s="89" t="n">
        <v>86.32938</v>
      </c>
      <c r="U807" s="89" t="n">
        <v>121.5036</v>
      </c>
      <c r="V807" s="89" t="n">
        <v>44.26884</v>
      </c>
      <c r="W807" s="89" t="n">
        <v>9.913973</v>
      </c>
      <c r="X807" s="89" t="n"/>
      <c r="Y807" s="89" t="n"/>
      <c r="Z807" s="89" t="n">
        <v>96.43810000000001</v>
      </c>
      <c r="AA807" s="89" t="n">
        <v>84.12897</v>
      </c>
      <c r="AB807" s="89" t="n"/>
      <c r="AC807" s="89" t="n">
        <v>63.85898</v>
      </c>
      <c r="AD807" s="89" t="n"/>
      <c r="AE807" s="89" t="n">
        <v>58.99381</v>
      </c>
      <c r="AF807" s="89" t="n">
        <v>74.95268</v>
      </c>
      <c r="AG807" s="89" t="n">
        <v>71.06522</v>
      </c>
      <c r="AH807" s="89" t="n">
        <v>58.52965</v>
      </c>
      <c r="AI807" s="89" t="n">
        <v>37.22002</v>
      </c>
      <c r="AJ807" s="89" t="n">
        <v>84.94804000000001</v>
      </c>
      <c r="AK807" s="89" t="n"/>
      <c r="AL807" s="89" t="n"/>
      <c r="AM807" s="89" t="n">
        <v>64.52997999999999</v>
      </c>
      <c r="AN807" s="89" t="n"/>
      <c r="AO807" s="89" t="n">
        <v>54.68604</v>
      </c>
      <c r="AP807" s="89" t="n">
        <v>70.19631</v>
      </c>
      <c r="AQ807" s="89" t="n"/>
      <c r="AR807" s="89" t="n"/>
      <c r="AS807" s="89" t="n"/>
      <c r="AT807" s="89" t="n"/>
      <c r="AU807" s="89" t="n"/>
      <c r="AV807" s="89" t="n"/>
      <c r="AW807" s="89" t="n"/>
      <c r="AX807" s="89" t="n">
        <v>22.39813</v>
      </c>
      <c r="AY807" s="89" t="n">
        <v>74.28272</v>
      </c>
    </row>
    <row r="808">
      <c r="A808" t="inlineStr">
        <is>
          <t>1986-03</t>
        </is>
      </c>
      <c r="B808" s="1" t="n">
        <v>31472</v>
      </c>
      <c r="C808" s="88" t="n">
        <v>808</v>
      </c>
      <c r="E808" s="1">
        <f>B808</f>
        <v/>
      </c>
      <c r="F808" s="2">
        <f>B808</f>
        <v/>
      </c>
      <c r="G808" s="88" t="n">
        <v>806</v>
      </c>
      <c r="H808" s="89" t="n"/>
      <c r="I808" s="89" t="n"/>
      <c r="J808" s="89" t="n">
        <v>56.51301</v>
      </c>
      <c r="K808" s="89" t="n">
        <v>64.15106</v>
      </c>
      <c r="L808" s="89" t="n"/>
      <c r="M808" s="89" t="n"/>
      <c r="N808" s="89" t="n">
        <v>63.19876</v>
      </c>
      <c r="O808" s="89" t="n">
        <v>80.88144</v>
      </c>
      <c r="P808" s="89" t="n">
        <v>89.31686999999999</v>
      </c>
      <c r="Q808" s="89" t="n"/>
      <c r="R808" s="89" t="n">
        <v>57.84118</v>
      </c>
      <c r="S808" s="89" t="n">
        <v>81.86229</v>
      </c>
      <c r="T808" s="89" t="n">
        <v>87.20831</v>
      </c>
      <c r="U808" s="89" t="n">
        <v>117.6655</v>
      </c>
      <c r="V808" s="89" t="n">
        <v>44.3136</v>
      </c>
      <c r="W808" s="89" t="n">
        <v>10.18374</v>
      </c>
      <c r="X808" s="89" t="n"/>
      <c r="Y808" s="89" t="n"/>
      <c r="Z808" s="89" t="n">
        <v>97.38242</v>
      </c>
      <c r="AA808" s="89" t="n">
        <v>84.04483999999999</v>
      </c>
      <c r="AB808" s="89" t="n"/>
      <c r="AC808" s="89" t="n">
        <v>62.39889</v>
      </c>
      <c r="AD808" s="89" t="n"/>
      <c r="AE808" s="89" t="n">
        <v>57.98166</v>
      </c>
      <c r="AF808" s="89" t="n">
        <v>67.17458000000001</v>
      </c>
      <c r="AG808" s="89" t="n">
        <v>71.28386999999999</v>
      </c>
      <c r="AH808" s="89" t="n">
        <v>58.36229</v>
      </c>
      <c r="AI808" s="89" t="n">
        <v>37.16007</v>
      </c>
      <c r="AJ808" s="89" t="n">
        <v>86.67858</v>
      </c>
      <c r="AK808" s="89" t="n"/>
      <c r="AL808" s="89" t="n"/>
      <c r="AM808" s="89" t="n">
        <v>65.90907</v>
      </c>
      <c r="AN808" s="89" t="n"/>
      <c r="AO808" s="89" t="n">
        <v>54.30913</v>
      </c>
      <c r="AP808" s="89" t="n">
        <v>69.46302</v>
      </c>
      <c r="AQ808" s="89" t="n"/>
      <c r="AR808" s="89" t="n"/>
      <c r="AS808" s="89" t="n"/>
      <c r="AT808" s="89" t="n"/>
      <c r="AU808" s="89" t="n"/>
      <c r="AV808" s="89" t="n"/>
      <c r="AW808" s="89" t="n"/>
      <c r="AX808" s="89" t="n">
        <v>23.49804</v>
      </c>
      <c r="AY808" s="89" t="n">
        <v>70.09896000000001</v>
      </c>
    </row>
    <row r="809">
      <c r="A809" t="inlineStr">
        <is>
          <t>1986-04</t>
        </is>
      </c>
      <c r="B809" s="1" t="n">
        <v>31503</v>
      </c>
      <c r="C809" s="88" t="n">
        <v>809</v>
      </c>
      <c r="E809" s="1">
        <f>B809</f>
        <v/>
      </c>
      <c r="F809" s="2">
        <f>B809</f>
        <v/>
      </c>
      <c r="G809" s="88" t="n">
        <v>807</v>
      </c>
      <c r="H809" s="89" t="n"/>
      <c r="I809" s="89" t="n"/>
      <c r="J809" s="89" t="n">
        <v>54.58236</v>
      </c>
      <c r="K809" s="89" t="n">
        <v>64.68017999999999</v>
      </c>
      <c r="L809" s="89" t="n"/>
      <c r="M809" s="89" t="n"/>
      <c r="N809" s="89" t="n">
        <v>63.50735</v>
      </c>
      <c r="O809" s="89" t="n">
        <v>82.62317</v>
      </c>
      <c r="P809" s="89" t="n">
        <v>88.83502</v>
      </c>
      <c r="Q809" s="89" t="n"/>
      <c r="R809" s="89" t="n">
        <v>59.84791</v>
      </c>
      <c r="S809" s="89" t="n">
        <v>83.97783</v>
      </c>
      <c r="T809" s="89" t="n">
        <v>88.28254</v>
      </c>
      <c r="U809" s="89" t="n">
        <v>127.9984</v>
      </c>
      <c r="V809" s="89" t="n">
        <v>47.44688</v>
      </c>
      <c r="W809" s="89" t="n">
        <v>10.04886</v>
      </c>
      <c r="X809" s="89" t="n"/>
      <c r="Y809" s="89" t="n"/>
      <c r="Z809" s="89" t="n">
        <v>97.85458</v>
      </c>
      <c r="AA809" s="89" t="n">
        <v>84.04483999999999</v>
      </c>
      <c r="AB809" s="89" t="n"/>
      <c r="AC809" s="89" t="n">
        <v>64.23583000000001</v>
      </c>
      <c r="AD809" s="89" t="n"/>
      <c r="AE809" s="89" t="n">
        <v>57.54788</v>
      </c>
      <c r="AF809" s="89" t="n">
        <v>74.95268</v>
      </c>
      <c r="AG809" s="89" t="n">
        <v>48.21502</v>
      </c>
      <c r="AH809" s="89" t="n">
        <v>58.49186</v>
      </c>
      <c r="AI809" s="89" t="n">
        <v>37.65392</v>
      </c>
      <c r="AJ809" s="89" t="n">
        <v>88.90980999999999</v>
      </c>
      <c r="AK809" s="89" t="n"/>
      <c r="AL809" s="89" t="n"/>
      <c r="AM809" s="89" t="n">
        <v>63.09342</v>
      </c>
      <c r="AN809" s="89" t="n"/>
      <c r="AO809" s="89" t="n">
        <v>54.32632</v>
      </c>
      <c r="AP809" s="89" t="n">
        <v>71.17722000000001</v>
      </c>
      <c r="AQ809" s="89" t="n"/>
      <c r="AR809" s="89" t="n"/>
      <c r="AS809" s="89" t="n"/>
      <c r="AT809" s="89" t="n"/>
      <c r="AU809" s="89" t="n"/>
      <c r="AV809" s="89" t="n"/>
      <c r="AW809" s="89" t="n"/>
      <c r="AX809" s="89" t="n">
        <v>23.19807</v>
      </c>
      <c r="AY809" s="89" t="n">
        <v>74.09885</v>
      </c>
    </row>
    <row r="810">
      <c r="A810" t="inlineStr">
        <is>
          <t>1986-05</t>
        </is>
      </c>
      <c r="B810" s="1" t="n">
        <v>31533</v>
      </c>
      <c r="C810" s="88" t="n">
        <v>810</v>
      </c>
      <c r="E810" s="1">
        <f>B810</f>
        <v/>
      </c>
      <c r="F810" s="2">
        <f>B810</f>
        <v/>
      </c>
      <c r="G810" s="88" t="n">
        <v>808</v>
      </c>
      <c r="H810" s="89" t="n"/>
      <c r="I810" s="89" t="n"/>
      <c r="J810" s="89" t="n">
        <v>54.28981</v>
      </c>
      <c r="K810" s="89" t="n">
        <v>63.32402</v>
      </c>
      <c r="L810" s="89" t="n"/>
      <c r="M810" s="89" t="n"/>
      <c r="N810" s="89" t="n">
        <v>62.89017</v>
      </c>
      <c r="O810" s="89" t="n">
        <v>81.42573</v>
      </c>
      <c r="P810" s="89" t="n">
        <v>85.75732000000001</v>
      </c>
      <c r="Q810" s="89" t="n"/>
      <c r="R810" s="89" t="n">
        <v>58.31335</v>
      </c>
      <c r="S810" s="89" t="n">
        <v>81.40239</v>
      </c>
      <c r="T810" s="89" t="n">
        <v>86.81767000000001</v>
      </c>
      <c r="U810" s="89" t="n">
        <v>119.97</v>
      </c>
      <c r="V810" s="89" t="n">
        <v>45.29835</v>
      </c>
      <c r="W810" s="89" t="n">
        <v>9.396917</v>
      </c>
      <c r="X810" s="89" t="n"/>
      <c r="Y810" s="89" t="n"/>
      <c r="Z810" s="89" t="n">
        <v>95.37575</v>
      </c>
      <c r="AA810" s="89" t="n">
        <v>84.04483999999999</v>
      </c>
      <c r="AB810" s="89" t="n"/>
      <c r="AC810" s="89" t="n">
        <v>61.65889</v>
      </c>
      <c r="AD810" s="89" t="n"/>
      <c r="AE810" s="89" t="n">
        <v>56.82492</v>
      </c>
      <c r="AF810" s="89" t="n">
        <v>67.17458000000001</v>
      </c>
      <c r="AG810" s="89" t="n">
        <v>67.89462</v>
      </c>
      <c r="AH810" s="89" t="n">
        <v>58.01825</v>
      </c>
      <c r="AI810" s="89" t="n">
        <v>37.47994</v>
      </c>
      <c r="AJ810" s="89" t="n">
        <v>86.23277</v>
      </c>
      <c r="AK810" s="89" t="n"/>
      <c r="AL810" s="89" t="n"/>
      <c r="AM810" s="89" t="n">
        <v>63.20835</v>
      </c>
      <c r="AN810" s="89" t="n"/>
      <c r="AO810" s="89" t="n">
        <v>54.44389</v>
      </c>
      <c r="AP810" s="89" t="n">
        <v>69.23446</v>
      </c>
      <c r="AQ810" s="89" t="n"/>
      <c r="AR810" s="89" t="n"/>
      <c r="AS810" s="89" t="n"/>
      <c r="AT810" s="89" t="n"/>
      <c r="AU810" s="89" t="n"/>
      <c r="AV810" s="89" t="n"/>
      <c r="AW810" s="89" t="n"/>
      <c r="AX810" s="89" t="n">
        <v>23.09808</v>
      </c>
      <c r="AY810" s="89" t="n">
        <v>73.76595</v>
      </c>
    </row>
    <row r="811">
      <c r="A811" t="inlineStr">
        <is>
          <t>1986-06</t>
        </is>
      </c>
      <c r="B811" s="1" t="n">
        <v>31564</v>
      </c>
      <c r="C811" s="88" t="n">
        <v>811</v>
      </c>
      <c r="E811" s="1">
        <f>B811</f>
        <v/>
      </c>
      <c r="F811" s="2">
        <f>B811</f>
        <v/>
      </c>
      <c r="G811" s="88" t="n">
        <v>809</v>
      </c>
      <c r="H811" s="89" t="n"/>
      <c r="I811" s="89" t="n"/>
      <c r="J811" s="89" t="n">
        <v>55.16967</v>
      </c>
      <c r="K811" s="89" t="n">
        <v>63.08108</v>
      </c>
      <c r="L811" s="89" t="n"/>
      <c r="M811" s="89" t="n"/>
      <c r="N811" s="89" t="n">
        <v>63.19876</v>
      </c>
      <c r="O811" s="89" t="n">
        <v>81.20802</v>
      </c>
      <c r="P811" s="89" t="n">
        <v>91.02016</v>
      </c>
      <c r="Q811" s="89" t="n"/>
      <c r="R811" s="89" t="n">
        <v>59.5528</v>
      </c>
      <c r="S811" s="89" t="n">
        <v>82.04625</v>
      </c>
      <c r="T811" s="89" t="n">
        <v>87.98956</v>
      </c>
      <c r="U811" s="89" t="n">
        <v>122.6048</v>
      </c>
      <c r="V811" s="89" t="n">
        <v>45.38787</v>
      </c>
      <c r="W811" s="89" t="n">
        <v>9.958933999999999</v>
      </c>
      <c r="X811" s="89" t="n"/>
      <c r="Y811" s="89" t="n"/>
      <c r="Z811" s="89" t="n">
        <v>97.26437</v>
      </c>
      <c r="AA811" s="89" t="n">
        <v>84.29723</v>
      </c>
      <c r="AB811" s="89" t="n"/>
      <c r="AC811" s="89" t="n">
        <v>62.68538</v>
      </c>
      <c r="AD811" s="89" t="n"/>
      <c r="AE811" s="89" t="n">
        <v>55.45129</v>
      </c>
      <c r="AF811" s="89" t="n">
        <v>70.00297999999999</v>
      </c>
      <c r="AG811" s="89" t="n">
        <v>73.1425</v>
      </c>
      <c r="AH811" s="89" t="n">
        <v>58.36604</v>
      </c>
      <c r="AI811" s="89" t="n">
        <v>36.85838</v>
      </c>
      <c r="AJ811" s="89" t="n">
        <v>87.54349999999999</v>
      </c>
      <c r="AK811" s="89" t="n"/>
      <c r="AL811" s="89" t="n"/>
      <c r="AM811" s="89" t="n">
        <v>63.61058</v>
      </c>
      <c r="AN811" s="89" t="n"/>
      <c r="AO811" s="89" t="n">
        <v>54.26648</v>
      </c>
      <c r="AP811" s="89" t="n">
        <v>70.37726000000001</v>
      </c>
      <c r="AQ811" s="89" t="n"/>
      <c r="AR811" s="89" t="n"/>
      <c r="AS811" s="89" t="n"/>
      <c r="AT811" s="89" t="n"/>
      <c r="AU811" s="89" t="n"/>
      <c r="AV811" s="89" t="n"/>
      <c r="AW811" s="89" t="n"/>
      <c r="AX811" s="89" t="n">
        <v>24.69794</v>
      </c>
      <c r="AY811" s="89" t="n">
        <v>75.55859</v>
      </c>
    </row>
    <row r="812">
      <c r="A812" t="inlineStr">
        <is>
          <t>1986-07</t>
        </is>
      </c>
      <c r="B812" s="1" t="n">
        <v>31594</v>
      </c>
      <c r="C812" s="88" t="n">
        <v>812</v>
      </c>
      <c r="E812" s="1">
        <f>B812</f>
        <v/>
      </c>
      <c r="F812" s="2">
        <f>B812</f>
        <v/>
      </c>
      <c r="G812" s="88" t="n">
        <v>810</v>
      </c>
      <c r="H812" s="89" t="n"/>
      <c r="I812" s="89" t="n"/>
      <c r="J812" s="89" t="n">
        <v>56.62803</v>
      </c>
      <c r="K812" s="89" t="n">
        <v>63.53877</v>
      </c>
      <c r="L812" s="89" t="n"/>
      <c r="M812" s="89" t="n"/>
      <c r="N812" s="89" t="n">
        <v>64.12452999999999</v>
      </c>
      <c r="O812" s="89" t="n">
        <v>81.86116</v>
      </c>
      <c r="P812" s="89" t="n">
        <v>87.71123</v>
      </c>
      <c r="Q812" s="89" t="n"/>
      <c r="R812" s="89" t="n">
        <v>61.38247</v>
      </c>
      <c r="S812" s="89" t="n">
        <v>82.13822999999999</v>
      </c>
      <c r="T812" s="89" t="n">
        <v>87.30596</v>
      </c>
      <c r="U812" s="89" t="n">
        <v>128.0652</v>
      </c>
      <c r="V812" s="89" t="n">
        <v>46.68594</v>
      </c>
      <c r="W812" s="89" t="n">
        <v>9.689166</v>
      </c>
      <c r="X812" s="89" t="n"/>
      <c r="Y812" s="89" t="n"/>
      <c r="Z812" s="89" t="n">
        <v>98.56281</v>
      </c>
      <c r="AA812" s="89" t="n">
        <v>84.29723</v>
      </c>
      <c r="AB812" s="89" t="n"/>
      <c r="AC812" s="89" t="n">
        <v>65.05737999999999</v>
      </c>
      <c r="AD812" s="89" t="n"/>
      <c r="AE812" s="89" t="n">
        <v>54.72832</v>
      </c>
      <c r="AF812" s="89" t="n">
        <v>70.71008</v>
      </c>
      <c r="AG812" s="89" t="n">
        <v>75.43846000000001</v>
      </c>
      <c r="AH812" s="89" t="n">
        <v>58.5839</v>
      </c>
      <c r="AI812" s="89" t="n">
        <v>37.52519</v>
      </c>
      <c r="AJ812" s="89" t="n">
        <v>88.65328</v>
      </c>
      <c r="AK812" s="89" t="n"/>
      <c r="AL812" s="89" t="n"/>
      <c r="AM812" s="89" t="n">
        <v>64.24267</v>
      </c>
      <c r="AN812" s="89" t="n"/>
      <c r="AO812" s="89" t="n">
        <v>54.57039</v>
      </c>
      <c r="AP812" s="89" t="n">
        <v>70.5201</v>
      </c>
      <c r="AQ812" s="89" t="n"/>
      <c r="AR812" s="89" t="n"/>
      <c r="AS812" s="89" t="n"/>
      <c r="AT812" s="89" t="n"/>
      <c r="AU812" s="89" t="n"/>
      <c r="AV812" s="89" t="n"/>
      <c r="AW812" s="89" t="n"/>
      <c r="AX812" s="89" t="n">
        <v>24.49796</v>
      </c>
      <c r="AY812" s="89" t="n">
        <v>75.62448999999999</v>
      </c>
    </row>
    <row r="813">
      <c r="A813" t="inlineStr">
        <is>
          <t>1986-08</t>
        </is>
      </c>
      <c r="B813" s="1" t="n">
        <v>31625</v>
      </c>
      <c r="C813" s="88" t="n">
        <v>813</v>
      </c>
      <c r="E813" s="1">
        <f>B813</f>
        <v/>
      </c>
      <c r="F813" s="2">
        <f>B813</f>
        <v/>
      </c>
      <c r="G813" s="88" t="n">
        <v>811</v>
      </c>
      <c r="H813" s="89" t="n"/>
      <c r="I813" s="89" t="n"/>
      <c r="J813" s="89" t="n">
        <v>56.01458</v>
      </c>
      <c r="K813" s="89" t="n">
        <v>62.96783</v>
      </c>
      <c r="L813" s="89" t="n"/>
      <c r="M813" s="89" t="n"/>
      <c r="N813" s="89" t="n">
        <v>63.01361</v>
      </c>
      <c r="O813" s="89" t="n">
        <v>84.14718000000001</v>
      </c>
      <c r="P813" s="89" t="n">
        <v>86.64315999999999</v>
      </c>
      <c r="Q813" s="89" t="n"/>
      <c r="R813" s="89" t="n">
        <v>60.49715</v>
      </c>
      <c r="S813" s="89" t="n">
        <v>82.13822999999999</v>
      </c>
      <c r="T813" s="89" t="n">
        <v>87.30596</v>
      </c>
      <c r="U813" s="89" t="n">
        <v>118.3415</v>
      </c>
      <c r="V813" s="89" t="n">
        <v>45.79072</v>
      </c>
      <c r="W813" s="89" t="n">
        <v>9.958933999999999</v>
      </c>
      <c r="X813" s="89" t="n"/>
      <c r="Y813" s="89" t="n"/>
      <c r="Z813" s="89" t="n">
        <v>98.79889</v>
      </c>
      <c r="AA813" s="89" t="n">
        <v>82.27813</v>
      </c>
      <c r="AB813" s="89" t="n"/>
      <c r="AC813" s="89" t="n">
        <v>60.26338</v>
      </c>
      <c r="AD813" s="89" t="n"/>
      <c r="AE813" s="89" t="n">
        <v>54.43914</v>
      </c>
      <c r="AF813" s="89" t="n">
        <v>70.71008</v>
      </c>
      <c r="AG813" s="89" t="n">
        <v>77.18774999999999</v>
      </c>
      <c r="AH813" s="89" t="n">
        <v>58.22987</v>
      </c>
      <c r="AI813" s="89" t="n">
        <v>36.82195</v>
      </c>
      <c r="AJ813" s="89" t="n">
        <v>90.79969</v>
      </c>
      <c r="AK813" s="89" t="n"/>
      <c r="AL813" s="89" t="n"/>
      <c r="AM813" s="89" t="n">
        <v>64.64490000000001</v>
      </c>
      <c r="AN813" s="89" t="n"/>
      <c r="AO813" s="89" t="n">
        <v>54.49749</v>
      </c>
      <c r="AP813" s="89" t="n">
        <v>70.08203</v>
      </c>
      <c r="AQ813" s="89" t="n"/>
      <c r="AR813" s="89" t="n"/>
      <c r="AS813" s="89" t="n"/>
      <c r="AT813" s="89" t="n"/>
      <c r="AU813" s="89" t="n"/>
      <c r="AV813" s="89" t="n"/>
      <c r="AW813" s="89" t="n"/>
      <c r="AX813" s="89" t="n">
        <v>26.09783</v>
      </c>
      <c r="AY813" s="89" t="n">
        <v>76.2831</v>
      </c>
    </row>
    <row r="814">
      <c r="A814" t="inlineStr">
        <is>
          <t>1986-09</t>
        </is>
      </c>
      <c r="B814" s="1" t="n">
        <v>31656</v>
      </c>
      <c r="C814" s="88" t="n">
        <v>814</v>
      </c>
      <c r="E814" s="1">
        <f>B814</f>
        <v/>
      </c>
      <c r="F814" s="2">
        <f>B814</f>
        <v/>
      </c>
      <c r="G814" s="88" t="n">
        <v>812</v>
      </c>
      <c r="H814" s="89" t="n"/>
      <c r="I814" s="89" t="n"/>
      <c r="J814" s="89" t="n">
        <v>55.13724</v>
      </c>
      <c r="K814" s="89" t="n">
        <v>63.25166</v>
      </c>
      <c r="L814" s="89" t="n"/>
      <c r="M814" s="89" t="n"/>
      <c r="N814" s="89" t="n">
        <v>62.64331</v>
      </c>
      <c r="O814" s="89" t="n">
        <v>83.49403</v>
      </c>
      <c r="P814" s="89" t="n">
        <v>88.22002999999999</v>
      </c>
      <c r="Q814" s="89" t="n"/>
      <c r="R814" s="89" t="n">
        <v>60.79226</v>
      </c>
      <c r="S814" s="89" t="n">
        <v>82.87407</v>
      </c>
      <c r="T814" s="89" t="n">
        <v>89.45443</v>
      </c>
      <c r="U814" s="89" t="n">
        <v>118.3581</v>
      </c>
      <c r="V814" s="89" t="n">
        <v>46.05929</v>
      </c>
      <c r="W814" s="89" t="n">
        <v>10.13878</v>
      </c>
      <c r="X814" s="89" t="n"/>
      <c r="Y814" s="89" t="n"/>
      <c r="Z814" s="89" t="n">
        <v>97.85458</v>
      </c>
      <c r="AA814" s="89" t="n">
        <v>85.05439</v>
      </c>
      <c r="AB814" s="89" t="n"/>
      <c r="AC814" s="89" t="n">
        <v>64.06053</v>
      </c>
      <c r="AD814" s="89" t="n"/>
      <c r="AE814" s="89" t="n">
        <v>54.07766</v>
      </c>
      <c r="AF814" s="89" t="n">
        <v>72.83138</v>
      </c>
      <c r="AG814" s="89" t="n">
        <v>69.31592000000001</v>
      </c>
      <c r="AH814" s="89" t="n">
        <v>58.55135</v>
      </c>
      <c r="AI814" s="89" t="n">
        <v>37.94555</v>
      </c>
      <c r="AJ814" s="89" t="n">
        <v>91.54617</v>
      </c>
      <c r="AK814" s="89" t="n"/>
      <c r="AL814" s="89" t="n"/>
      <c r="AM814" s="89" t="n">
        <v>64.30013</v>
      </c>
      <c r="AN814" s="89" t="n"/>
      <c r="AO814" s="89" t="n">
        <v>54.60804</v>
      </c>
      <c r="AP814" s="89" t="n">
        <v>70.61534</v>
      </c>
      <c r="AQ814" s="89" t="n"/>
      <c r="AR814" s="89" t="n"/>
      <c r="AS814" s="89" t="n"/>
      <c r="AT814" s="89" t="n"/>
      <c r="AU814" s="89" t="n"/>
      <c r="AV814" s="89" t="n"/>
      <c r="AW814" s="89" t="n"/>
      <c r="AX814" s="89" t="n">
        <v>24.29798</v>
      </c>
      <c r="AY814" s="89" t="n">
        <v>78.89323</v>
      </c>
    </row>
    <row r="815">
      <c r="A815" t="inlineStr">
        <is>
          <t>1986-10</t>
        </is>
      </c>
      <c r="B815" s="1" t="n">
        <v>31686</v>
      </c>
      <c r="C815" s="88" t="n">
        <v>815</v>
      </c>
      <c r="E815" s="1">
        <f>B815</f>
        <v/>
      </c>
      <c r="F815" s="2">
        <f>B815</f>
        <v/>
      </c>
      <c r="G815" s="88" t="n">
        <v>813</v>
      </c>
      <c r="H815" s="89" t="n"/>
      <c r="I815" s="89" t="n"/>
      <c r="J815" s="89" t="n">
        <v>54.94764</v>
      </c>
      <c r="K815" s="89" t="n">
        <v>63.17741</v>
      </c>
      <c r="L815" s="89" t="n"/>
      <c r="M815" s="89" t="n"/>
      <c r="N815" s="89" t="n">
        <v>62.82846</v>
      </c>
      <c r="O815" s="89" t="n">
        <v>80.88144</v>
      </c>
      <c r="P815" s="89" t="n">
        <v>89.33707</v>
      </c>
      <c r="Q815" s="89" t="n"/>
      <c r="R815" s="89" t="n">
        <v>61.61856</v>
      </c>
      <c r="S815" s="89" t="n">
        <v>83.60991</v>
      </c>
      <c r="T815" s="89" t="n">
        <v>89.7474</v>
      </c>
      <c r="U815" s="89" t="n">
        <v>119.7429</v>
      </c>
      <c r="V815" s="89" t="n">
        <v>45.61168</v>
      </c>
      <c r="W815" s="89" t="n">
        <v>10.25118</v>
      </c>
      <c r="X815" s="89" t="n"/>
      <c r="Y815" s="89" t="n"/>
      <c r="Z815" s="89" t="n">
        <v>97.73653</v>
      </c>
      <c r="AA815" s="89" t="n">
        <v>83.96071000000001</v>
      </c>
      <c r="AB815" s="89" t="n"/>
      <c r="AC815" s="89" t="n">
        <v>64.26806999999999</v>
      </c>
      <c r="AD815" s="89" t="n"/>
      <c r="AE815" s="89" t="n">
        <v>54.29455</v>
      </c>
      <c r="AF815" s="89" t="n">
        <v>70.00297999999999</v>
      </c>
      <c r="AG815" s="89" t="n">
        <v>71.7212</v>
      </c>
      <c r="AH815" s="89" t="n">
        <v>58.60302</v>
      </c>
      <c r="AI815" s="89" t="n">
        <v>37.58826</v>
      </c>
      <c r="AJ815" s="89" t="n">
        <v>90.67689</v>
      </c>
      <c r="AK815" s="89" t="n"/>
      <c r="AL815" s="89" t="n"/>
      <c r="AM815" s="89" t="n">
        <v>64.30013</v>
      </c>
      <c r="AN815" s="89" t="n"/>
      <c r="AO815" s="89" t="n">
        <v>54.86344</v>
      </c>
      <c r="AP815" s="89" t="n">
        <v>70.50106</v>
      </c>
      <c r="AQ815" s="89" t="n"/>
      <c r="AR815" s="89" t="n"/>
      <c r="AS815" s="89" t="n"/>
      <c r="AT815" s="89" t="n"/>
      <c r="AU815" s="89" t="n"/>
      <c r="AV815" s="89" t="n"/>
      <c r="AW815" s="89" t="n"/>
      <c r="AX815" s="89" t="n">
        <v>25.49788</v>
      </c>
      <c r="AY815" s="89" t="n">
        <v>79.78069000000001</v>
      </c>
    </row>
    <row r="816">
      <c r="A816" t="inlineStr">
        <is>
          <t>1986-11</t>
        </is>
      </c>
      <c r="B816" s="1" t="n">
        <v>31717</v>
      </c>
      <c r="C816" s="88" t="n">
        <v>816</v>
      </c>
      <c r="E816" s="1">
        <f>B816</f>
        <v/>
      </c>
      <c r="F816" s="2">
        <f>B816</f>
        <v/>
      </c>
      <c r="G816" s="88" t="n">
        <v>814</v>
      </c>
      <c r="H816" s="89" t="n"/>
      <c r="I816" s="89" t="n"/>
      <c r="J816" s="89" t="n">
        <v>54.91082</v>
      </c>
      <c r="K816" s="89" t="n">
        <v>63.04161</v>
      </c>
      <c r="L816" s="89" t="n"/>
      <c r="M816" s="89" t="n"/>
      <c r="N816" s="89" t="n">
        <v>63.50735</v>
      </c>
      <c r="O816" s="89" t="n">
        <v>79.03085</v>
      </c>
      <c r="P816" s="89" t="n">
        <v>88.80152</v>
      </c>
      <c r="Q816" s="89" t="n"/>
      <c r="R816" s="89" t="n">
        <v>61.79562</v>
      </c>
      <c r="S816" s="89" t="n">
        <v>82.41417</v>
      </c>
      <c r="T816" s="89" t="n">
        <v>89.35677</v>
      </c>
      <c r="U816" s="89" t="n">
        <v>122.3222</v>
      </c>
      <c r="V816" s="89" t="n">
        <v>44.80597</v>
      </c>
      <c r="W816" s="89" t="n">
        <v>10.09382</v>
      </c>
      <c r="X816" s="89" t="n"/>
      <c r="Y816" s="89" t="n"/>
      <c r="Z816" s="89" t="n">
        <v>97.50046</v>
      </c>
      <c r="AA816" s="89" t="n">
        <v>82.78291</v>
      </c>
      <c r="AB816" s="89" t="n"/>
      <c r="AC816" s="89" t="n">
        <v>61.96127</v>
      </c>
      <c r="AD816" s="89" t="n"/>
      <c r="AE816" s="89" t="n">
        <v>53.78848</v>
      </c>
      <c r="AF816" s="89" t="n">
        <v>70.00297999999999</v>
      </c>
      <c r="AG816" s="89" t="n">
        <v>72.81451</v>
      </c>
      <c r="AH816" s="89" t="n">
        <v>58.53613</v>
      </c>
      <c r="AI816" s="89" t="n">
        <v>38.17352</v>
      </c>
      <c r="AJ816" s="89" t="n">
        <v>91.39627</v>
      </c>
      <c r="AK816" s="89" t="n"/>
      <c r="AL816" s="89" t="n"/>
      <c r="AM816" s="89" t="n">
        <v>65.44937</v>
      </c>
      <c r="AN816" s="89" t="n"/>
      <c r="AO816" s="89" t="n">
        <v>55.11327</v>
      </c>
      <c r="AP816" s="89" t="n">
        <v>69.82491</v>
      </c>
      <c r="AQ816" s="89" t="n"/>
      <c r="AR816" s="89" t="n"/>
      <c r="AS816" s="89" t="n"/>
      <c r="AT816" s="89" t="n"/>
      <c r="AU816" s="89" t="n"/>
      <c r="AV816" s="89" t="n"/>
      <c r="AW816" s="89" t="n"/>
      <c r="AX816" s="89" t="n">
        <v>25.59787</v>
      </c>
      <c r="AY816" s="89" t="n">
        <v>78.92355000000001</v>
      </c>
    </row>
    <row r="817">
      <c r="A817" t="inlineStr">
        <is>
          <t>1986-12</t>
        </is>
      </c>
      <c r="B817" s="1" t="n">
        <v>31747</v>
      </c>
      <c r="C817" s="88" t="n">
        <v>817</v>
      </c>
      <c r="E817" s="1">
        <f>B817</f>
        <v/>
      </c>
      <c r="F817" s="2">
        <f>B817</f>
        <v/>
      </c>
      <c r="G817" s="88" t="n">
        <v>815</v>
      </c>
      <c r="H817" s="89" t="n"/>
      <c r="I817" s="89" t="n"/>
      <c r="J817" s="89" t="n">
        <v>55.48977</v>
      </c>
      <c r="K817" s="89" t="n">
        <v>64.15716999999999</v>
      </c>
      <c r="L817" s="89" t="n"/>
      <c r="M817" s="89" t="n"/>
      <c r="N817" s="89" t="n">
        <v>62.70502</v>
      </c>
      <c r="O817" s="89" t="n">
        <v>80.11944</v>
      </c>
      <c r="P817" s="89" t="n">
        <v>90.13177</v>
      </c>
      <c r="Q817" s="89" t="n"/>
      <c r="R817" s="89" t="n">
        <v>61.32345</v>
      </c>
      <c r="S817" s="89" t="n">
        <v>82.96605</v>
      </c>
      <c r="T817" s="89" t="n">
        <v>89.7474</v>
      </c>
      <c r="U817" s="89" t="n">
        <v>119.5862</v>
      </c>
      <c r="V817" s="89" t="n">
        <v>46.37262</v>
      </c>
      <c r="W817" s="89" t="n">
        <v>10.02638</v>
      </c>
      <c r="X817" s="89" t="n"/>
      <c r="Y817" s="89" t="n"/>
      <c r="Z817" s="89" t="n">
        <v>100.2154</v>
      </c>
      <c r="AA817" s="89" t="n">
        <v>84.71787</v>
      </c>
      <c r="AB817" s="89" t="n"/>
      <c r="AC817" s="89" t="n">
        <v>60.10597</v>
      </c>
      <c r="AD817" s="89" t="n"/>
      <c r="AE817" s="89" t="n">
        <v>53.71618</v>
      </c>
      <c r="AF817" s="89" t="n">
        <v>71.41718</v>
      </c>
      <c r="AG817" s="89" t="n">
        <v>75.43846000000001</v>
      </c>
      <c r="AH817" s="89" t="n">
        <v>59.0582</v>
      </c>
      <c r="AI817" s="89" t="n">
        <v>37.6848</v>
      </c>
      <c r="AJ817" s="89" t="n">
        <v>91.37286</v>
      </c>
      <c r="AK817" s="89" t="n"/>
      <c r="AL817" s="89" t="n"/>
      <c r="AM817" s="89" t="n">
        <v>64.70236</v>
      </c>
      <c r="AN817" s="89" t="n"/>
      <c r="AO817" s="89" t="n">
        <v>55.57729</v>
      </c>
      <c r="AP817" s="89" t="n">
        <v>70.57725000000001</v>
      </c>
      <c r="AQ817" s="89" t="n"/>
      <c r="AR817" s="89" t="n"/>
      <c r="AS817" s="89" t="n"/>
      <c r="AT817" s="89" t="n"/>
      <c r="AU817" s="89" t="n"/>
      <c r="AV817" s="89" t="n"/>
      <c r="AW817" s="89" t="n"/>
      <c r="AX817" s="89" t="n">
        <v>25.39788</v>
      </c>
      <c r="AY817" s="89" t="n">
        <v>77.18864000000001</v>
      </c>
    </row>
    <row r="818">
      <c r="A818" t="inlineStr">
        <is>
          <t>1987-01</t>
        </is>
      </c>
      <c r="B818" s="1" t="n">
        <v>31778</v>
      </c>
      <c r="C818" s="88" t="n">
        <v>818</v>
      </c>
      <c r="E818" s="1">
        <f>B818</f>
        <v/>
      </c>
      <c r="F818" s="2">
        <f>B818</f>
        <v/>
      </c>
      <c r="G818" s="88" t="n">
        <v>816</v>
      </c>
      <c r="H818" s="89" t="n"/>
      <c r="I818" s="89" t="n"/>
      <c r="J818" s="89" t="n">
        <v>54.55617</v>
      </c>
      <c r="K818" s="89" t="n">
        <v>64.82069</v>
      </c>
      <c r="L818" s="89" t="n"/>
      <c r="M818" s="89" t="n"/>
      <c r="N818" s="89" t="n">
        <v>61.71754</v>
      </c>
      <c r="O818" s="89" t="n">
        <v>74.89426</v>
      </c>
      <c r="P818" s="89" t="n">
        <v>86.88124000000001</v>
      </c>
      <c r="Q818" s="89" t="n"/>
      <c r="R818" s="89" t="n">
        <v>60.67421</v>
      </c>
      <c r="S818" s="89" t="n">
        <v>80.75852999999999</v>
      </c>
      <c r="T818" s="89" t="n">
        <v>88.08722</v>
      </c>
      <c r="U818" s="89" t="n">
        <v>116.7326</v>
      </c>
      <c r="V818" s="89" t="n">
        <v>43.32885</v>
      </c>
      <c r="W818" s="89" t="n">
        <v>9.531801</v>
      </c>
      <c r="X818" s="89" t="n"/>
      <c r="Y818" s="89" t="n"/>
      <c r="Z818" s="89" t="n">
        <v>95.72987000000001</v>
      </c>
      <c r="AA818" s="89" t="n">
        <v>84.46548</v>
      </c>
      <c r="AB818" s="89" t="n"/>
      <c r="AC818" s="89" t="n">
        <v>62.07739</v>
      </c>
      <c r="AD818" s="89" t="n"/>
      <c r="AE818" s="89" t="n">
        <v>54.14996</v>
      </c>
      <c r="AF818" s="89" t="n">
        <v>74.95268</v>
      </c>
      <c r="AG818" s="89" t="n">
        <v>77.40642</v>
      </c>
      <c r="AH818" s="89" t="n">
        <v>58.53218</v>
      </c>
      <c r="AI818" s="89" t="n">
        <v>35.44857</v>
      </c>
      <c r="AJ818" s="89" t="n">
        <v>88.37035</v>
      </c>
      <c r="AK818" s="89" t="n"/>
      <c r="AL818" s="89" t="n"/>
      <c r="AM818" s="89" t="n">
        <v>62.34642</v>
      </c>
      <c r="AN818" s="89" t="n"/>
      <c r="AO818" s="89" t="n">
        <v>55.40699</v>
      </c>
      <c r="AP818" s="89" t="n">
        <v>69.94871000000001</v>
      </c>
      <c r="AQ818" s="89" t="n"/>
      <c r="AR818" s="89" t="n"/>
      <c r="AS818" s="89" t="n"/>
      <c r="AT818" s="89" t="n"/>
      <c r="AU818" s="89" t="n"/>
      <c r="AV818" s="89" t="n"/>
      <c r="AW818" s="89" t="n"/>
      <c r="AX818" s="89" t="n">
        <v>25.49788</v>
      </c>
      <c r="AY818" s="89" t="n">
        <v>79.6186</v>
      </c>
    </row>
    <row r="819">
      <c r="A819" t="inlineStr">
        <is>
          <t>1987-02</t>
        </is>
      </c>
      <c r="B819" s="1" t="n">
        <v>31809</v>
      </c>
      <c r="C819" s="88" t="n">
        <v>819</v>
      </c>
      <c r="E819" s="1">
        <f>B819</f>
        <v/>
      </c>
      <c r="F819" s="2">
        <f>B819</f>
        <v/>
      </c>
      <c r="G819" s="88" t="n">
        <v>817</v>
      </c>
      <c r="H819" s="89" t="n"/>
      <c r="I819" s="89" t="n"/>
      <c r="J819" s="89" t="n">
        <v>56.2682</v>
      </c>
      <c r="K819" s="89" t="n">
        <v>64.96119</v>
      </c>
      <c r="L819" s="89" t="n"/>
      <c r="M819" s="89" t="n"/>
      <c r="N819" s="89" t="n">
        <v>62.95189</v>
      </c>
      <c r="O819" s="89" t="n">
        <v>78.37770999999999</v>
      </c>
      <c r="P819" s="89" t="n">
        <v>91.69091</v>
      </c>
      <c r="Q819" s="89" t="n"/>
      <c r="R819" s="89" t="n">
        <v>61.55954</v>
      </c>
      <c r="S819" s="89" t="n">
        <v>82.69011</v>
      </c>
      <c r="T819" s="89" t="n">
        <v>90.91930000000001</v>
      </c>
      <c r="U819" s="89" t="n">
        <v>126.4172</v>
      </c>
      <c r="V819" s="89" t="n">
        <v>46.55166</v>
      </c>
      <c r="W819" s="89" t="n">
        <v>10.31862</v>
      </c>
      <c r="X819" s="89" t="n"/>
      <c r="Y819" s="89" t="n"/>
      <c r="Z819" s="89" t="n">
        <v>98.68085000000001</v>
      </c>
      <c r="AA819" s="89" t="n">
        <v>84.04483999999999</v>
      </c>
      <c r="AB819" s="89" t="n"/>
      <c r="AC819" s="89" t="n">
        <v>60.50597</v>
      </c>
      <c r="AD819" s="89" t="n"/>
      <c r="AE819" s="89" t="n">
        <v>55.01751</v>
      </c>
      <c r="AF819" s="89" t="n">
        <v>71.41718</v>
      </c>
      <c r="AG819" s="89" t="n">
        <v>74.45448</v>
      </c>
      <c r="AH819" s="89" t="n">
        <v>59.40536</v>
      </c>
      <c r="AI819" s="89" t="n">
        <v>39.81722</v>
      </c>
      <c r="AJ819" s="89" t="n">
        <v>92.10835</v>
      </c>
      <c r="AK819" s="89" t="n"/>
      <c r="AL819" s="89" t="n"/>
      <c r="AM819" s="89" t="n">
        <v>64.93221</v>
      </c>
      <c r="AN819" s="89" t="n"/>
      <c r="AO819" s="89" t="n">
        <v>56.13208</v>
      </c>
      <c r="AP819" s="89" t="n">
        <v>70.88199</v>
      </c>
      <c r="AQ819" s="89" t="n"/>
      <c r="AR819" s="89" t="n"/>
      <c r="AS819" s="89" t="n"/>
      <c r="AT819" s="89" t="n"/>
      <c r="AU819" s="89" t="n"/>
      <c r="AV819" s="89" t="n"/>
      <c r="AW819" s="89" t="n"/>
      <c r="AX819" s="89" t="n">
        <v>26.09783</v>
      </c>
      <c r="AY819" s="89" t="n">
        <v>83.99518999999999</v>
      </c>
    </row>
    <row r="820">
      <c r="A820" t="inlineStr">
        <is>
          <t>1987-03</t>
        </is>
      </c>
      <c r="B820" s="1" t="n">
        <v>31837</v>
      </c>
      <c r="C820" s="88" t="n">
        <v>820</v>
      </c>
      <c r="E820" s="1">
        <f>B820</f>
        <v/>
      </c>
      <c r="F820" s="2">
        <f>B820</f>
        <v/>
      </c>
      <c r="G820" s="88" t="n">
        <v>818</v>
      </c>
      <c r="H820" s="89" t="n"/>
      <c r="I820" s="89" t="n"/>
      <c r="J820" s="89" t="n">
        <v>55.37326</v>
      </c>
      <c r="K820" s="89" t="n">
        <v>65.38834</v>
      </c>
      <c r="L820" s="89" t="n"/>
      <c r="M820" s="89" t="n"/>
      <c r="N820" s="89" t="n">
        <v>62.58159</v>
      </c>
      <c r="O820" s="89" t="n">
        <v>79.90172</v>
      </c>
      <c r="P820" s="89" t="n">
        <v>91.06453999999999</v>
      </c>
      <c r="Q820" s="89" t="n"/>
      <c r="R820" s="89" t="n">
        <v>63.97942</v>
      </c>
      <c r="S820" s="89" t="n">
        <v>83.60991</v>
      </c>
      <c r="T820" s="89" t="n">
        <v>90.52866</v>
      </c>
      <c r="U820" s="89" t="n">
        <v>118.7288</v>
      </c>
      <c r="V820" s="89" t="n">
        <v>46.95451</v>
      </c>
      <c r="W820" s="89" t="n">
        <v>10.2287</v>
      </c>
      <c r="X820" s="89" t="n"/>
      <c r="Y820" s="89" t="n"/>
      <c r="Z820" s="89" t="n">
        <v>99.97928</v>
      </c>
      <c r="AA820" s="89" t="n">
        <v>85.30678</v>
      </c>
      <c r="AB820" s="89" t="n"/>
      <c r="AC820" s="89" t="n">
        <v>63.57925</v>
      </c>
      <c r="AD820" s="89" t="n"/>
      <c r="AE820" s="89" t="n">
        <v>55.74047</v>
      </c>
      <c r="AF820" s="89" t="n">
        <v>73.53848000000001</v>
      </c>
      <c r="AG820" s="89" t="n">
        <v>74.01715</v>
      </c>
      <c r="AH820" s="89" t="n">
        <v>59.59507</v>
      </c>
      <c r="AI820" s="89" t="n">
        <v>38.81628</v>
      </c>
      <c r="AJ820" s="89" t="n">
        <v>89.56046000000001</v>
      </c>
      <c r="AK820" s="89" t="n"/>
      <c r="AL820" s="89" t="n"/>
      <c r="AM820" s="89" t="n">
        <v>64.70236</v>
      </c>
      <c r="AN820" s="89" t="n"/>
      <c r="AO820" s="89" t="n">
        <v>56.20518</v>
      </c>
      <c r="AP820" s="89" t="n">
        <v>70.66296</v>
      </c>
      <c r="AQ820" s="89" t="n"/>
      <c r="AR820" s="89" t="n"/>
      <c r="AS820" s="89" t="n"/>
      <c r="AT820" s="89" t="n"/>
      <c r="AU820" s="89" t="n"/>
      <c r="AV820" s="89" t="n"/>
      <c r="AW820" s="89" t="n"/>
      <c r="AX820" s="89" t="n">
        <v>25.1979</v>
      </c>
      <c r="AY820" s="89" t="n">
        <v>79.59908</v>
      </c>
    </row>
    <row r="821">
      <c r="A821" t="inlineStr">
        <is>
          <t>1987-04</t>
        </is>
      </c>
      <c r="B821" s="1" t="n">
        <v>31868</v>
      </c>
      <c r="C821" s="88" t="n">
        <v>821</v>
      </c>
      <c r="E821" s="1">
        <f>B821</f>
        <v/>
      </c>
      <c r="F821" s="2">
        <f>B821</f>
        <v/>
      </c>
      <c r="G821" s="88" t="n">
        <v>819</v>
      </c>
      <c r="H821" s="89" t="n"/>
      <c r="I821" s="89" t="n"/>
      <c r="J821" s="89" t="n">
        <v>56.69806</v>
      </c>
      <c r="K821" s="89" t="n">
        <v>65.07819000000001</v>
      </c>
      <c r="L821" s="89" t="n"/>
      <c r="M821" s="89" t="n"/>
      <c r="N821" s="89" t="n">
        <v>63.44563</v>
      </c>
      <c r="O821" s="89" t="n">
        <v>79.90172</v>
      </c>
      <c r="P821" s="89" t="n">
        <v>91.31777</v>
      </c>
      <c r="Q821" s="89" t="n"/>
      <c r="R821" s="89" t="n">
        <v>62.2678</v>
      </c>
      <c r="S821" s="89" t="n">
        <v>82.78209</v>
      </c>
      <c r="T821" s="89" t="n">
        <v>89.7474</v>
      </c>
      <c r="U821" s="89" t="n">
        <v>119.9392</v>
      </c>
      <c r="V821" s="89" t="n">
        <v>47.80497</v>
      </c>
      <c r="W821" s="89" t="n">
        <v>10.79072</v>
      </c>
      <c r="X821" s="89" t="n"/>
      <c r="Y821" s="89" t="n"/>
      <c r="Z821" s="89" t="n">
        <v>101.8679</v>
      </c>
      <c r="AA821" s="89" t="n">
        <v>84.63374</v>
      </c>
      <c r="AB821" s="89" t="n"/>
      <c r="AC821" s="89" t="n">
        <v>61.14914</v>
      </c>
      <c r="AD821" s="89" t="n"/>
      <c r="AE821" s="89" t="n">
        <v>57.04181</v>
      </c>
      <c r="AF821" s="89" t="n">
        <v>70.00297999999999</v>
      </c>
      <c r="AG821" s="89" t="n">
        <v>74.23582</v>
      </c>
      <c r="AH821" s="89" t="n">
        <v>59.86968</v>
      </c>
      <c r="AI821" s="89" t="n">
        <v>38.70452</v>
      </c>
      <c r="AJ821" s="89" t="n">
        <v>92.2456</v>
      </c>
      <c r="AK821" s="89" t="n"/>
      <c r="AL821" s="89" t="n"/>
      <c r="AM821" s="89" t="n">
        <v>65.04713</v>
      </c>
      <c r="AN821" s="89" t="n"/>
      <c r="AO821" s="89" t="n">
        <v>56.5597</v>
      </c>
      <c r="AP821" s="89" t="n">
        <v>70.77724000000001</v>
      </c>
      <c r="AQ821" s="89" t="n"/>
      <c r="AR821" s="89" t="n"/>
      <c r="AS821" s="89" t="n"/>
      <c r="AT821" s="89" t="n"/>
      <c r="AU821" s="89" t="n"/>
      <c r="AV821" s="89" t="n"/>
      <c r="AW821" s="89" t="n"/>
      <c r="AX821" s="89" t="n">
        <v>26.19782</v>
      </c>
      <c r="AY821" s="89" t="n">
        <v>80.6921</v>
      </c>
    </row>
    <row r="822">
      <c r="A822" t="inlineStr">
        <is>
          <t>1987-05</t>
        </is>
      </c>
      <c r="B822" s="1" t="n">
        <v>31898</v>
      </c>
      <c r="C822" s="88" t="n">
        <v>822</v>
      </c>
      <c r="E822" s="1">
        <f>B822</f>
        <v/>
      </c>
      <c r="F822" s="2">
        <f>B822</f>
        <v/>
      </c>
      <c r="G822" s="88" t="n">
        <v>820</v>
      </c>
      <c r="H822" s="89" t="n"/>
      <c r="I822" s="89" t="n"/>
      <c r="J822" s="89" t="n">
        <v>57.05219</v>
      </c>
      <c r="K822" s="89" t="n">
        <v>65.12096</v>
      </c>
      <c r="L822" s="89" t="n"/>
      <c r="M822" s="89" t="n"/>
      <c r="N822" s="89" t="n">
        <v>64.37139999999999</v>
      </c>
      <c r="O822" s="89" t="n">
        <v>80.55486999999999</v>
      </c>
      <c r="P822" s="89" t="n">
        <v>93.11507</v>
      </c>
      <c r="Q822" s="89" t="n"/>
      <c r="R822" s="89" t="n">
        <v>63.74334</v>
      </c>
      <c r="S822" s="89" t="n">
        <v>83.51793000000001</v>
      </c>
      <c r="T822" s="89" t="n">
        <v>91.40759</v>
      </c>
      <c r="U822" s="89" t="n">
        <v>118.7131</v>
      </c>
      <c r="V822" s="89" t="n">
        <v>46.14881</v>
      </c>
      <c r="W822" s="89" t="n">
        <v>11.12793</v>
      </c>
      <c r="X822" s="89" t="n"/>
      <c r="Y822" s="89" t="n"/>
      <c r="Z822" s="89" t="n">
        <v>102.3401</v>
      </c>
      <c r="AA822" s="89" t="n">
        <v>83.28767999999999</v>
      </c>
      <c r="AB822" s="89" t="n"/>
      <c r="AC822" s="89" t="n">
        <v>62.67511</v>
      </c>
      <c r="AD822" s="89" t="n"/>
      <c r="AE822" s="89" t="n">
        <v>57.54788</v>
      </c>
      <c r="AF822" s="89" t="n">
        <v>72.12428</v>
      </c>
      <c r="AG822" s="89" t="n">
        <v>76.09444000000001</v>
      </c>
      <c r="AH822" s="89" t="n">
        <v>60.20959</v>
      </c>
      <c r="AI822" s="89" t="n">
        <v>38.97492</v>
      </c>
      <c r="AJ822" s="89" t="n">
        <v>92.87900999999999</v>
      </c>
      <c r="AK822" s="89" t="n"/>
      <c r="AL822" s="89" t="n"/>
      <c r="AM822" s="89" t="n">
        <v>65.90907</v>
      </c>
      <c r="AN822" s="89" t="n"/>
      <c r="AO822" s="89" t="n">
        <v>56.92488</v>
      </c>
      <c r="AP822" s="89" t="n">
        <v>71.68195</v>
      </c>
      <c r="AQ822" s="89" t="n"/>
      <c r="AR822" s="89" t="n"/>
      <c r="AS822" s="89" t="n"/>
      <c r="AT822" s="89" t="n"/>
      <c r="AU822" s="89" t="n"/>
      <c r="AV822" s="89" t="n"/>
      <c r="AW822" s="89" t="n"/>
      <c r="AX822" s="89" t="n">
        <v>26.79777</v>
      </c>
      <c r="AY822" s="89" t="n">
        <v>79.63281000000001</v>
      </c>
    </row>
    <row r="823">
      <c r="A823" t="inlineStr">
        <is>
          <t>1987-06</t>
        </is>
      </c>
      <c r="B823" s="1" t="n">
        <v>31929</v>
      </c>
      <c r="C823" s="88" t="n">
        <v>823</v>
      </c>
      <c r="E823" s="1">
        <f>B823</f>
        <v/>
      </c>
      <c r="F823" s="2">
        <f>B823</f>
        <v/>
      </c>
      <c r="G823" s="88" t="n">
        <v>821</v>
      </c>
      <c r="H823" s="89" t="n"/>
      <c r="I823" s="89" t="n"/>
      <c r="J823" s="89" t="n">
        <v>57.01696</v>
      </c>
      <c r="K823" s="89" t="n">
        <v>65.88455999999999</v>
      </c>
      <c r="L823" s="89" t="n"/>
      <c r="M823" s="89" t="n"/>
      <c r="N823" s="89" t="n">
        <v>63.19876</v>
      </c>
      <c r="O823" s="89" t="n">
        <v>79.03085</v>
      </c>
      <c r="P823" s="89" t="n">
        <v>92.93434000000001</v>
      </c>
      <c r="Q823" s="89" t="n"/>
      <c r="R823" s="89" t="n">
        <v>62.56291</v>
      </c>
      <c r="S823" s="89" t="n">
        <v>83.97783</v>
      </c>
      <c r="T823" s="89" t="n">
        <v>91.01694999999999</v>
      </c>
      <c r="U823" s="89" t="n">
        <v>116.4686</v>
      </c>
      <c r="V823" s="89" t="n">
        <v>46.41738</v>
      </c>
      <c r="W823" s="89" t="n">
        <v>10.79072</v>
      </c>
      <c r="X823" s="89" t="n"/>
      <c r="Y823" s="89" t="n"/>
      <c r="Z823" s="89" t="n">
        <v>100.8056</v>
      </c>
      <c r="AA823" s="89" t="n">
        <v>86.40045000000001</v>
      </c>
      <c r="AB823" s="89" t="n"/>
      <c r="AC823" s="89" t="n">
        <v>62.83134</v>
      </c>
      <c r="AD823" s="89" t="n"/>
      <c r="AE823" s="89" t="n">
        <v>57.54788</v>
      </c>
      <c r="AF823" s="89" t="n">
        <v>70.71008</v>
      </c>
      <c r="AG823" s="89" t="n">
        <v>71.83053</v>
      </c>
      <c r="AH823" s="89" t="n">
        <v>60.45636</v>
      </c>
      <c r="AI823" s="89" t="n">
        <v>38.99282</v>
      </c>
      <c r="AJ823" s="89" t="n">
        <v>92.88925</v>
      </c>
      <c r="AK823" s="89" t="n"/>
      <c r="AL823" s="89" t="n"/>
      <c r="AM823" s="89" t="n">
        <v>65.50684</v>
      </c>
      <c r="AN823" s="89" t="n"/>
      <c r="AO823" s="89" t="n">
        <v>57.1896</v>
      </c>
      <c r="AP823" s="89" t="n">
        <v>70.92961</v>
      </c>
      <c r="AQ823" s="89" t="n"/>
      <c r="AR823" s="89" t="n"/>
      <c r="AS823" s="89" t="n"/>
      <c r="AT823" s="89" t="n"/>
      <c r="AU823" s="89" t="n"/>
      <c r="AV823" s="89" t="n"/>
      <c r="AW823" s="89" t="n"/>
      <c r="AX823" s="89" t="n">
        <v>27.49771</v>
      </c>
      <c r="AY823" s="89" t="n">
        <v>74.89046</v>
      </c>
    </row>
    <row r="824">
      <c r="A824" t="inlineStr">
        <is>
          <t>1987-07</t>
        </is>
      </c>
      <c r="B824" s="1" t="n">
        <v>31959</v>
      </c>
      <c r="C824" s="88" t="n">
        <v>824</v>
      </c>
      <c r="E824" s="1">
        <f>B824</f>
        <v/>
      </c>
      <c r="F824" s="2">
        <f>B824</f>
        <v/>
      </c>
      <c r="G824" s="88" t="n">
        <v>822</v>
      </c>
      <c r="H824" s="89" t="n"/>
      <c r="I824" s="89" t="n"/>
      <c r="J824" s="89" t="n">
        <v>56.37405</v>
      </c>
      <c r="K824" s="89" t="n">
        <v>66.6007</v>
      </c>
      <c r="L824" s="89" t="n"/>
      <c r="M824" s="89" t="n"/>
      <c r="N824" s="89" t="n">
        <v>62.45815</v>
      </c>
      <c r="O824" s="89" t="n">
        <v>82.18774000000001</v>
      </c>
      <c r="P824" s="89" t="n">
        <v>96.34245</v>
      </c>
      <c r="Q824" s="89" t="n"/>
      <c r="R824" s="89" t="n">
        <v>63.80236</v>
      </c>
      <c r="S824" s="89" t="n">
        <v>82.96605</v>
      </c>
      <c r="T824" s="89" t="n">
        <v>92.67713000000001</v>
      </c>
      <c r="U824" s="89" t="n">
        <v>117.9966</v>
      </c>
      <c r="V824" s="89" t="n">
        <v>47.13356</v>
      </c>
      <c r="W824" s="89" t="n">
        <v>11.12793</v>
      </c>
      <c r="X824" s="89" t="n"/>
      <c r="Y824" s="89" t="n"/>
      <c r="Z824" s="89" t="n">
        <v>99.97928</v>
      </c>
      <c r="AA824" s="89" t="n">
        <v>87.15761999999999</v>
      </c>
      <c r="AB824" s="89" t="n"/>
      <c r="AC824" s="89" t="n">
        <v>64.59741</v>
      </c>
      <c r="AD824" s="89" t="n"/>
      <c r="AE824" s="89" t="n">
        <v>57.83707</v>
      </c>
      <c r="AF824" s="89" t="n">
        <v>70.71008</v>
      </c>
      <c r="AG824" s="89" t="n">
        <v>75.21980000000001</v>
      </c>
      <c r="AH824" s="89" t="n">
        <v>60.65152</v>
      </c>
      <c r="AI824" s="89" t="n">
        <v>39.06577</v>
      </c>
      <c r="AJ824" s="89" t="n">
        <v>95.4196</v>
      </c>
      <c r="AK824" s="89" t="n"/>
      <c r="AL824" s="89" t="n"/>
      <c r="AM824" s="89" t="n">
        <v>65.21952</v>
      </c>
      <c r="AN824" s="89" t="n"/>
      <c r="AO824" s="89" t="n">
        <v>57.586</v>
      </c>
      <c r="AP824" s="89" t="n">
        <v>71.21531</v>
      </c>
      <c r="AQ824" s="89" t="n"/>
      <c r="AR824" s="89" t="n"/>
      <c r="AS824" s="89" t="n"/>
      <c r="AT824" s="89" t="n"/>
      <c r="AU824" s="89" t="n"/>
      <c r="AV824" s="89" t="n"/>
      <c r="AW824" s="89" t="n"/>
      <c r="AX824" s="89" t="n">
        <v>25.29789</v>
      </c>
      <c r="AY824" s="89" t="n">
        <v>70.94404</v>
      </c>
    </row>
    <row r="825">
      <c r="A825" t="inlineStr">
        <is>
          <t>1987-08</t>
        </is>
      </c>
      <c r="B825" s="1" t="n">
        <v>31990</v>
      </c>
      <c r="C825" s="88" t="n">
        <v>825</v>
      </c>
      <c r="E825" s="1">
        <f>B825</f>
        <v/>
      </c>
      <c r="F825" s="2">
        <f>B825</f>
        <v/>
      </c>
      <c r="G825" s="88" t="n">
        <v>823</v>
      </c>
      <c r="H825" s="89" t="n"/>
      <c r="I825" s="89" t="n"/>
      <c r="J825" s="89" t="n">
        <v>56.39411</v>
      </c>
      <c r="K825" s="89" t="n">
        <v>67.35303</v>
      </c>
      <c r="L825" s="89" t="n"/>
      <c r="M825" s="89" t="n"/>
      <c r="N825" s="89" t="n">
        <v>63.81594</v>
      </c>
      <c r="O825" s="89" t="n">
        <v>82.62317</v>
      </c>
      <c r="P825" s="89" t="n">
        <v>90.47711</v>
      </c>
      <c r="Q825" s="89" t="n"/>
      <c r="R825" s="89" t="n">
        <v>64.03843999999999</v>
      </c>
      <c r="S825" s="89" t="n">
        <v>82.96605</v>
      </c>
      <c r="T825" s="89" t="n">
        <v>92.38415999999999</v>
      </c>
      <c r="U825" s="89" t="n">
        <v>117.4231</v>
      </c>
      <c r="V825" s="89" t="n">
        <v>44.71645</v>
      </c>
      <c r="W825" s="89" t="n">
        <v>11.55506</v>
      </c>
      <c r="X825" s="89" t="n"/>
      <c r="Y825" s="89" t="n"/>
      <c r="Z825" s="89" t="n">
        <v>99.7432</v>
      </c>
      <c r="AA825" s="89" t="n">
        <v>87.15761999999999</v>
      </c>
      <c r="AB825" s="89" t="n"/>
      <c r="AC825" s="89" t="n">
        <v>57.73713</v>
      </c>
      <c r="AD825" s="89" t="n"/>
      <c r="AE825" s="89" t="n">
        <v>58.12626</v>
      </c>
      <c r="AF825" s="89" t="n">
        <v>70.71008</v>
      </c>
      <c r="AG825" s="89" t="n">
        <v>67.89462</v>
      </c>
      <c r="AH825" s="89" t="n">
        <v>60.97633</v>
      </c>
      <c r="AI825" s="89" t="n">
        <v>39.02183</v>
      </c>
      <c r="AJ825" s="89" t="n">
        <v>90.29825</v>
      </c>
      <c r="AK825" s="89" t="n"/>
      <c r="AL825" s="89" t="n"/>
      <c r="AM825" s="89" t="n">
        <v>67.74786</v>
      </c>
      <c r="AN825" s="89" t="n"/>
      <c r="AO825" s="89" t="n">
        <v>58.06443</v>
      </c>
      <c r="AP825" s="89" t="n">
        <v>71.2534</v>
      </c>
      <c r="AQ825" s="89" t="n"/>
      <c r="AR825" s="89" t="n"/>
      <c r="AS825" s="89" t="n"/>
      <c r="AT825" s="89" t="n"/>
      <c r="AU825" s="89" t="n"/>
      <c r="AV825" s="89" t="n"/>
      <c r="AW825" s="89" t="n"/>
      <c r="AX825" s="89" t="n">
        <v>27.99767</v>
      </c>
      <c r="AY825" s="89" t="n">
        <v>71.98641000000001</v>
      </c>
    </row>
    <row r="826">
      <c r="A826" t="inlineStr">
        <is>
          <t>1987-09</t>
        </is>
      </c>
      <c r="B826" s="1" t="n">
        <v>32021</v>
      </c>
      <c r="C826" s="88" t="n">
        <v>826</v>
      </c>
      <c r="E826" s="1">
        <f>B826</f>
        <v/>
      </c>
      <c r="F826" s="2">
        <f>B826</f>
        <v/>
      </c>
      <c r="G826" s="88" t="n">
        <v>824</v>
      </c>
      <c r="H826" s="89" t="n"/>
      <c r="I826" s="89" t="n"/>
      <c r="J826" s="89" t="n">
        <v>56.85629</v>
      </c>
      <c r="K826" s="89" t="n">
        <v>67.72331</v>
      </c>
      <c r="L826" s="89" t="n"/>
      <c r="M826" s="89" t="n"/>
      <c r="N826" s="89" t="n">
        <v>63.01361</v>
      </c>
      <c r="O826" s="89" t="n">
        <v>80.33714999999999</v>
      </c>
      <c r="P826" s="89" t="n">
        <v>93.91068</v>
      </c>
      <c r="Q826" s="89" t="n"/>
      <c r="R826" s="89" t="n">
        <v>63.27116</v>
      </c>
      <c r="S826" s="89" t="n">
        <v>84.16179</v>
      </c>
      <c r="T826" s="89" t="n">
        <v>91.79821</v>
      </c>
      <c r="U826" s="89" t="n">
        <v>121.4577</v>
      </c>
      <c r="V826" s="89" t="n">
        <v>47.26784</v>
      </c>
      <c r="W826" s="89" t="n">
        <v>11.19537</v>
      </c>
      <c r="X826" s="89" t="n"/>
      <c r="Y826" s="89" t="n"/>
      <c r="Z826" s="89" t="n">
        <v>100.4514</v>
      </c>
      <c r="AA826" s="89" t="n">
        <v>88.50368</v>
      </c>
      <c r="AB826" s="89" t="n"/>
      <c r="AC826" s="89" t="n">
        <v>63.46893</v>
      </c>
      <c r="AD826" s="89" t="n"/>
      <c r="AE826" s="89" t="n">
        <v>59.1384</v>
      </c>
      <c r="AF826" s="89" t="n">
        <v>69.29588</v>
      </c>
      <c r="AG826" s="89" t="n">
        <v>75.98511999999999</v>
      </c>
      <c r="AH826" s="89" t="n">
        <v>61.24074</v>
      </c>
      <c r="AI826" s="89" t="n">
        <v>38.10468</v>
      </c>
      <c r="AJ826" s="89" t="n">
        <v>92.94991</v>
      </c>
      <c r="AK826" s="89" t="n"/>
      <c r="AL826" s="89" t="n"/>
      <c r="AM826" s="89" t="n">
        <v>67.11578</v>
      </c>
      <c r="AN826" s="89" t="n"/>
      <c r="AO826" s="89" t="n">
        <v>58.2135</v>
      </c>
      <c r="AP826" s="89" t="n">
        <v>71.32006</v>
      </c>
      <c r="AQ826" s="89" t="n"/>
      <c r="AR826" s="89" t="n"/>
      <c r="AS826" s="89" t="n"/>
      <c r="AT826" s="89" t="n"/>
      <c r="AU826" s="89" t="n"/>
      <c r="AV826" s="89" t="n"/>
      <c r="AW826" s="89" t="n"/>
      <c r="AX826" s="89" t="n">
        <v>26.99775</v>
      </c>
      <c r="AY826" s="89" t="n">
        <v>73.93649000000001</v>
      </c>
    </row>
    <row r="827">
      <c r="A827" t="inlineStr">
        <is>
          <t>1987-10</t>
        </is>
      </c>
      <c r="B827" s="1" t="n">
        <v>32051</v>
      </c>
      <c r="C827" s="88" t="n">
        <v>827</v>
      </c>
      <c r="E827" s="1">
        <f>B827</f>
        <v/>
      </c>
      <c r="F827" s="2">
        <f>B827</f>
        <v/>
      </c>
      <c r="G827" s="88" t="n">
        <v>825</v>
      </c>
      <c r="H827" s="89" t="n"/>
      <c r="I827" s="89" t="n"/>
      <c r="J827" s="89" t="n">
        <v>57.64172</v>
      </c>
      <c r="K827" s="89" t="n">
        <v>68.41455000000001</v>
      </c>
      <c r="L827" s="89" t="n"/>
      <c r="M827" s="89" t="n"/>
      <c r="N827" s="89" t="n">
        <v>64.00109</v>
      </c>
      <c r="O827" s="89" t="n">
        <v>68.03619999999999</v>
      </c>
      <c r="P827" s="89" t="n">
        <v>93.46681</v>
      </c>
      <c r="Q827" s="89" t="n"/>
      <c r="R827" s="89" t="n">
        <v>62.85801</v>
      </c>
      <c r="S827" s="89" t="n">
        <v>84.71366999999999</v>
      </c>
      <c r="T827" s="89" t="n">
        <v>92.87244</v>
      </c>
      <c r="U827" s="89" t="n">
        <v>120.1572</v>
      </c>
      <c r="V827" s="89" t="n">
        <v>47.76022</v>
      </c>
      <c r="W827" s="89" t="n">
        <v>11.19537</v>
      </c>
      <c r="X827" s="89" t="n"/>
      <c r="Y827" s="89" t="n"/>
      <c r="Z827" s="89" t="n">
        <v>103.0483</v>
      </c>
      <c r="AA827" s="89" t="n">
        <v>89.93387</v>
      </c>
      <c r="AB827" s="89" t="n"/>
      <c r="AC827" s="89" t="n">
        <v>65.55122</v>
      </c>
      <c r="AD827" s="89" t="n"/>
      <c r="AE827" s="89" t="n">
        <v>58.92151</v>
      </c>
      <c r="AF827" s="89" t="n">
        <v>71.41718</v>
      </c>
      <c r="AG827" s="89" t="n">
        <v>76.31310000000001</v>
      </c>
      <c r="AH827" s="89" t="n">
        <v>62.06648</v>
      </c>
      <c r="AI827" s="89" t="n">
        <v>38.32427</v>
      </c>
      <c r="AJ827" s="89" t="n">
        <v>92.11095</v>
      </c>
      <c r="AK827" s="89" t="n"/>
      <c r="AL827" s="89" t="n"/>
      <c r="AM827" s="89" t="n">
        <v>67.28816</v>
      </c>
      <c r="AN827" s="89" t="n"/>
      <c r="AO827" s="89" t="n">
        <v>59.06269</v>
      </c>
      <c r="AP827" s="89" t="n">
        <v>71.84385</v>
      </c>
      <c r="AQ827" s="89" t="n"/>
      <c r="AR827" s="89" t="n"/>
      <c r="AS827" s="89" t="n"/>
      <c r="AT827" s="89" t="n"/>
      <c r="AU827" s="89" t="n"/>
      <c r="AV827" s="89" t="n"/>
      <c r="AW827" s="89" t="n"/>
      <c r="AX827" s="89" t="n">
        <v>27.99767</v>
      </c>
      <c r="AY827" s="89" t="n">
        <v>74.43944999999999</v>
      </c>
    </row>
    <row r="828">
      <c r="A828" t="inlineStr">
        <is>
          <t>1987-11</t>
        </is>
      </c>
      <c r="B828" s="1" t="n">
        <v>32082</v>
      </c>
      <c r="C828" s="88" t="n">
        <v>828</v>
      </c>
      <c r="E828" s="1">
        <f>B828</f>
        <v/>
      </c>
      <c r="F828" s="2">
        <f>B828</f>
        <v/>
      </c>
      <c r="G828" s="88" t="n">
        <v>826</v>
      </c>
      <c r="H828" s="89" t="n"/>
      <c r="I828" s="89" t="n"/>
      <c r="J828" s="89" t="n">
        <v>56.92481</v>
      </c>
      <c r="K828" s="89" t="n">
        <v>68.97327</v>
      </c>
      <c r="L828" s="89" t="n"/>
      <c r="M828" s="89" t="n"/>
      <c r="N828" s="89" t="n">
        <v>64.37139999999999</v>
      </c>
      <c r="O828" s="89" t="n">
        <v>69.66907999999999</v>
      </c>
      <c r="P828" s="89" t="n">
        <v>93.99934</v>
      </c>
      <c r="Q828" s="89" t="n"/>
      <c r="R828" s="89" t="n">
        <v>62.44486</v>
      </c>
      <c r="S828" s="89" t="n">
        <v>84.71366999999999</v>
      </c>
      <c r="T828" s="89" t="n">
        <v>92.87244</v>
      </c>
      <c r="U828" s="89" t="n">
        <v>121.0639</v>
      </c>
      <c r="V828" s="89" t="n">
        <v>47.3126</v>
      </c>
      <c r="W828" s="89" t="n">
        <v>11.3977</v>
      </c>
      <c r="X828" s="89" t="n"/>
      <c r="Y828" s="89" t="n"/>
      <c r="Z828" s="89" t="n">
        <v>102.5761</v>
      </c>
      <c r="AA828" s="89" t="n">
        <v>90.27039000000001</v>
      </c>
      <c r="AB828" s="89" t="n"/>
      <c r="AC828" s="89" t="n">
        <v>60.10598</v>
      </c>
      <c r="AD828" s="89" t="n"/>
      <c r="AE828" s="89" t="n">
        <v>59.0661</v>
      </c>
      <c r="AF828" s="89" t="n">
        <v>72.83138</v>
      </c>
      <c r="AG828" s="89" t="n">
        <v>75.65712000000001</v>
      </c>
      <c r="AH828" s="89" t="n">
        <v>62.35342</v>
      </c>
      <c r="AI828" s="89" t="n">
        <v>38.70645</v>
      </c>
      <c r="AJ828" s="89" t="n">
        <v>92.76379</v>
      </c>
      <c r="AK828" s="89" t="n"/>
      <c r="AL828" s="89" t="n"/>
      <c r="AM828" s="89" t="n">
        <v>68.15009000000001</v>
      </c>
      <c r="AN828" s="89" t="n"/>
      <c r="AO828" s="89" t="n">
        <v>59.37265</v>
      </c>
      <c r="AP828" s="89" t="n">
        <v>72.12954999999999</v>
      </c>
      <c r="AQ828" s="89" t="n"/>
      <c r="AR828" s="89" t="n"/>
      <c r="AS828" s="89" t="n"/>
      <c r="AT828" s="89" t="n"/>
      <c r="AU828" s="89" t="n"/>
      <c r="AV828" s="89" t="n"/>
      <c r="AW828" s="89" t="n"/>
      <c r="AX828" s="89" t="n">
        <v>29.19757</v>
      </c>
      <c r="AY828" s="89" t="n">
        <v>76.81771999999999</v>
      </c>
    </row>
    <row r="829">
      <c r="A829" t="inlineStr">
        <is>
          <t>1987-12</t>
        </is>
      </c>
      <c r="B829" s="1" t="n">
        <v>32112</v>
      </c>
      <c r="C829" s="88" t="n">
        <v>829</v>
      </c>
      <c r="E829" s="1">
        <f>B829</f>
        <v/>
      </c>
      <c r="F829" s="2">
        <f>B829</f>
        <v/>
      </c>
      <c r="G829" s="88" t="n">
        <v>827</v>
      </c>
      <c r="H829" s="89" t="n"/>
      <c r="I829" s="89" t="n"/>
      <c r="J829" s="89" t="n">
        <v>57.21677</v>
      </c>
      <c r="K829" s="89" t="n">
        <v>69.66216</v>
      </c>
      <c r="L829" s="89" t="n"/>
      <c r="M829" s="89" t="n"/>
      <c r="N829" s="89" t="n">
        <v>64.43311</v>
      </c>
      <c r="O829" s="89" t="n">
        <v>72.28166</v>
      </c>
      <c r="P829" s="89" t="n">
        <v>93.22107</v>
      </c>
      <c r="Q829" s="89" t="n"/>
      <c r="R829" s="89" t="n">
        <v>63.74334</v>
      </c>
      <c r="S829" s="89" t="n">
        <v>85.90940999999999</v>
      </c>
      <c r="T829" s="89" t="n">
        <v>93.65371</v>
      </c>
      <c r="U829" s="89" t="n">
        <v>124.0334</v>
      </c>
      <c r="V829" s="89" t="n">
        <v>47.35736</v>
      </c>
      <c r="W829" s="89" t="n">
        <v>10.74576</v>
      </c>
      <c r="X829" s="89" t="n"/>
      <c r="Y829" s="89" t="n"/>
      <c r="Z829" s="89" t="n">
        <v>101.0416</v>
      </c>
      <c r="AA829" s="89" t="n">
        <v>91.27992999999999</v>
      </c>
      <c r="AB829" s="89" t="n"/>
      <c r="AC829" s="89" t="n">
        <v>66.52406000000001</v>
      </c>
      <c r="AD829" s="89" t="n"/>
      <c r="AE829" s="89" t="n">
        <v>59.0661</v>
      </c>
      <c r="AF829" s="89" t="n">
        <v>70.71008</v>
      </c>
      <c r="AG829" s="89" t="n">
        <v>75.87578000000001</v>
      </c>
      <c r="AH829" s="89" t="n">
        <v>62.59124</v>
      </c>
      <c r="AI829" s="89" t="n">
        <v>39.46859</v>
      </c>
      <c r="AJ829" s="89" t="n">
        <v>96.00463000000001</v>
      </c>
      <c r="AK829" s="89" t="n"/>
      <c r="AL829" s="89" t="n"/>
      <c r="AM829" s="89" t="n">
        <v>68.37994</v>
      </c>
      <c r="AN829" s="89" t="n"/>
      <c r="AO829" s="89" t="n">
        <v>59.66589</v>
      </c>
      <c r="AP829" s="89" t="n">
        <v>71.9486</v>
      </c>
      <c r="AQ829" s="89" t="n"/>
      <c r="AR829" s="89" t="n"/>
      <c r="AS829" s="89" t="n"/>
      <c r="AT829" s="89" t="n"/>
      <c r="AU829" s="89" t="n"/>
      <c r="AV829" s="89" t="n"/>
      <c r="AW829" s="89" t="n"/>
      <c r="AX829" s="89" t="n">
        <v>28.89759</v>
      </c>
      <c r="AY829" s="89" t="n">
        <v>74.46339</v>
      </c>
    </row>
    <row r="830">
      <c r="A830" t="inlineStr">
        <is>
          <t>1988-01</t>
        </is>
      </c>
      <c r="B830" s="1" t="n">
        <v>32143</v>
      </c>
      <c r="C830" s="88" t="n">
        <v>830</v>
      </c>
      <c r="E830" s="1">
        <f>B830</f>
        <v/>
      </c>
      <c r="F830" s="2">
        <f>B830</f>
        <v/>
      </c>
      <c r="G830" s="88" t="n">
        <v>828</v>
      </c>
      <c r="H830" s="89" t="n"/>
      <c r="I830" s="89" t="n"/>
      <c r="J830" s="89" t="n">
        <v>58.93927</v>
      </c>
      <c r="K830" s="89" t="n">
        <v>70.22275999999999</v>
      </c>
      <c r="L830" s="89" t="n"/>
      <c r="M830" s="89" t="n"/>
      <c r="N830" s="89" t="n">
        <v>64.12452999999999</v>
      </c>
      <c r="O830" s="89" t="n">
        <v>83.0586</v>
      </c>
      <c r="P830" s="89" t="n">
        <v>91.6433</v>
      </c>
      <c r="Q830" s="89" t="n"/>
      <c r="R830" s="89" t="n">
        <v>64.92377</v>
      </c>
      <c r="S830" s="89" t="n">
        <v>85.81743</v>
      </c>
      <c r="T830" s="89" t="n">
        <v>94.53263</v>
      </c>
      <c r="U830" s="89" t="n">
        <v>126.146</v>
      </c>
      <c r="V830" s="89" t="n">
        <v>44.08979</v>
      </c>
      <c r="W830" s="89" t="n">
        <v>11.73491</v>
      </c>
      <c r="X830" s="89" t="n"/>
      <c r="Y830" s="89" t="n"/>
      <c r="Z830" s="89" t="n">
        <v>105.9993</v>
      </c>
      <c r="AA830" s="89" t="n">
        <v>91.57341</v>
      </c>
      <c r="AB830" s="89" t="n"/>
      <c r="AC830" s="89" t="n">
        <v>66.08694</v>
      </c>
      <c r="AD830" s="89" t="n"/>
      <c r="AE830" s="89" t="n">
        <v>58.41544</v>
      </c>
      <c r="AF830" s="89" t="n">
        <v>68.58878</v>
      </c>
      <c r="AG830" s="89" t="n">
        <v>76.09444000000001</v>
      </c>
      <c r="AH830" s="89" t="n">
        <v>62.84544</v>
      </c>
      <c r="AI830" s="89" t="n">
        <v>39.75449</v>
      </c>
      <c r="AJ830" s="89" t="n">
        <v>96.31765</v>
      </c>
      <c r="AK830" s="89" t="n"/>
      <c r="AL830" s="89" t="n"/>
      <c r="AM830" s="89" t="n">
        <v>65.56429</v>
      </c>
      <c r="AN830" s="89" t="n"/>
      <c r="AO830" s="89" t="n">
        <v>59.69269</v>
      </c>
      <c r="AP830" s="89" t="n">
        <v>71.80576000000001</v>
      </c>
      <c r="AQ830" s="89" t="n"/>
      <c r="AR830" s="89" t="n"/>
      <c r="AS830" s="89" t="n"/>
      <c r="AT830" s="89" t="n"/>
      <c r="AU830" s="89" t="n"/>
      <c r="AV830" s="89" t="n"/>
      <c r="AW830" s="89" t="n"/>
      <c r="AX830" s="89" t="n">
        <v>29.59753</v>
      </c>
      <c r="AY830" s="89" t="n">
        <v>74.62414</v>
      </c>
    </row>
    <row r="831">
      <c r="A831" t="inlineStr">
        <is>
          <t>1988-02</t>
        </is>
      </c>
      <c r="B831" s="1" t="n">
        <v>32174</v>
      </c>
      <c r="C831" s="88" t="n">
        <v>831</v>
      </c>
      <c r="E831" s="1">
        <f>B831</f>
        <v/>
      </c>
      <c r="F831" s="2">
        <f>B831</f>
        <v/>
      </c>
      <c r="G831" s="88" t="n">
        <v>829</v>
      </c>
      <c r="H831" s="89" t="n"/>
      <c r="I831" s="89" t="n"/>
      <c r="J831" s="89" t="n">
        <v>58.1112</v>
      </c>
      <c r="K831" s="89" t="n">
        <v>70.43281</v>
      </c>
      <c r="L831" s="89" t="n"/>
      <c r="M831" s="89" t="n"/>
      <c r="N831" s="89" t="n">
        <v>64.61827</v>
      </c>
      <c r="O831" s="89" t="n">
        <v>80.66373</v>
      </c>
      <c r="P831" s="89" t="n">
        <v>93.84969</v>
      </c>
      <c r="Q831" s="89" t="n"/>
      <c r="R831" s="89" t="n">
        <v>64.86475</v>
      </c>
      <c r="S831" s="89" t="n">
        <v>87.10516</v>
      </c>
      <c r="T831" s="89" t="n">
        <v>93.36073</v>
      </c>
      <c r="U831" s="89" t="n">
        <v>125.2312</v>
      </c>
      <c r="V831" s="89" t="n">
        <v>47.08879</v>
      </c>
      <c r="W831" s="89" t="n">
        <v>11.44266</v>
      </c>
      <c r="X831" s="89" t="n"/>
      <c r="Y831" s="89" t="n"/>
      <c r="Z831" s="89" t="n">
        <v>104.5828</v>
      </c>
      <c r="AA831" s="89" t="n">
        <v>94.51430999999999</v>
      </c>
      <c r="AB831" s="89" t="n"/>
      <c r="AC831" s="89" t="n">
        <v>65.82279</v>
      </c>
      <c r="AD831" s="89" t="n"/>
      <c r="AE831" s="89" t="n">
        <v>58.05396</v>
      </c>
      <c r="AF831" s="89" t="n">
        <v>69.29588</v>
      </c>
      <c r="AG831" s="89" t="n">
        <v>76.64109999999999</v>
      </c>
      <c r="AH831" s="89" t="n">
        <v>63.26236</v>
      </c>
      <c r="AI831" s="89" t="n">
        <v>40.8694</v>
      </c>
      <c r="AJ831" s="89" t="n">
        <v>96.06331</v>
      </c>
      <c r="AK831" s="89" t="n"/>
      <c r="AL831" s="89" t="n"/>
      <c r="AM831" s="89" t="n">
        <v>64.41504999999999</v>
      </c>
      <c r="AN831" s="89" t="n"/>
      <c r="AO831" s="89" t="n">
        <v>59.95203</v>
      </c>
      <c r="AP831" s="89" t="n">
        <v>72.52</v>
      </c>
      <c r="AQ831" s="89" t="n"/>
      <c r="AR831" s="89" t="n"/>
      <c r="AS831" s="89" t="n"/>
      <c r="AT831" s="89" t="n"/>
      <c r="AU831" s="89" t="n"/>
      <c r="AV831" s="89" t="n"/>
      <c r="AW831" s="89" t="n"/>
      <c r="AX831" s="89" t="n">
        <v>29.39755</v>
      </c>
      <c r="AY831" s="89" t="n">
        <v>74.72874</v>
      </c>
    </row>
    <row r="832">
      <c r="A832" t="inlineStr">
        <is>
          <t>1988-03</t>
        </is>
      </c>
      <c r="B832" s="1" t="n">
        <v>32203</v>
      </c>
      <c r="C832" s="88" t="n">
        <v>832</v>
      </c>
      <c r="E832" s="1">
        <f>B832</f>
        <v/>
      </c>
      <c r="F832" s="2">
        <f>B832</f>
        <v/>
      </c>
      <c r="G832" s="88" t="n">
        <v>830</v>
      </c>
      <c r="H832" s="89" t="n"/>
      <c r="I832" s="89" t="n"/>
      <c r="J832" s="89" t="n">
        <v>58.04114</v>
      </c>
      <c r="K832" s="89" t="n">
        <v>71.02254000000001</v>
      </c>
      <c r="L832" s="89" t="n"/>
      <c r="M832" s="89" t="n"/>
      <c r="N832" s="89" t="n">
        <v>64.30968</v>
      </c>
      <c r="O832" s="89" t="n">
        <v>81.64345</v>
      </c>
      <c r="P832" s="89" t="n">
        <v>97.69173000000001</v>
      </c>
      <c r="Q832" s="89" t="n"/>
      <c r="R832" s="89" t="n">
        <v>63.50725</v>
      </c>
      <c r="S832" s="89" t="n">
        <v>87.19714</v>
      </c>
      <c r="T832" s="89" t="n">
        <v>94.82559999999999</v>
      </c>
      <c r="U832" s="89" t="n">
        <v>127.187</v>
      </c>
      <c r="V832" s="89" t="n">
        <v>46.82023</v>
      </c>
      <c r="W832" s="89" t="n">
        <v>11.48762</v>
      </c>
      <c r="X832" s="89" t="n"/>
      <c r="Y832" s="89" t="n"/>
      <c r="Z832" s="89" t="n">
        <v>105.9993</v>
      </c>
      <c r="AA832" s="89" t="n">
        <v>92.68893</v>
      </c>
      <c r="AB832" s="89" t="n"/>
      <c r="AC832" s="89" t="n">
        <v>65.83726</v>
      </c>
      <c r="AD832" s="89" t="n"/>
      <c r="AE832" s="89" t="n">
        <v>57.90937</v>
      </c>
      <c r="AF832" s="89" t="n">
        <v>70.00297999999999</v>
      </c>
      <c r="AG832" s="89" t="n">
        <v>76.09444000000001</v>
      </c>
      <c r="AH832" s="89" t="n">
        <v>63.20331</v>
      </c>
      <c r="AI832" s="89" t="n">
        <v>40.89647</v>
      </c>
      <c r="AJ832" s="89" t="n">
        <v>91.54868999999999</v>
      </c>
      <c r="AK832" s="89" t="n"/>
      <c r="AL832" s="89" t="n"/>
      <c r="AM832" s="89" t="n">
        <v>66.02399</v>
      </c>
      <c r="AN832" s="89" t="n"/>
      <c r="AO832" s="89" t="n">
        <v>60.07199</v>
      </c>
      <c r="AP832" s="89" t="n">
        <v>73.45329</v>
      </c>
      <c r="AQ832" s="89" t="n"/>
      <c r="AR832" s="89" t="n"/>
      <c r="AS832" s="89" t="n"/>
      <c r="AT832" s="89" t="n"/>
      <c r="AU832" s="89" t="n"/>
      <c r="AV832" s="89" t="n"/>
      <c r="AW832" s="89" t="n"/>
      <c r="AX832" s="89" t="n">
        <v>27.99767</v>
      </c>
      <c r="AY832" s="89" t="n">
        <v>78.63158</v>
      </c>
    </row>
    <row r="833">
      <c r="A833" t="inlineStr">
        <is>
          <t>1988-04</t>
        </is>
      </c>
      <c r="B833" s="1" t="n">
        <v>32234</v>
      </c>
      <c r="C833" s="88" t="n">
        <v>833</v>
      </c>
      <c r="E833" s="1">
        <f>B833</f>
        <v/>
      </c>
      <c r="F833" s="2">
        <f>B833</f>
        <v/>
      </c>
      <c r="G833" s="88" t="n">
        <v>831</v>
      </c>
      <c r="H833" s="89" t="n"/>
      <c r="I833" s="89" t="n"/>
      <c r="J833" s="89" t="n">
        <v>59.63271</v>
      </c>
      <c r="K833" s="89" t="n">
        <v>70.89473</v>
      </c>
      <c r="L833" s="89" t="n"/>
      <c r="M833" s="89" t="n"/>
      <c r="N833" s="89" t="n">
        <v>64.74169999999999</v>
      </c>
      <c r="O833" s="89" t="n">
        <v>78.922</v>
      </c>
      <c r="P833" s="89" t="n">
        <v>93.55557</v>
      </c>
      <c r="Q833" s="89" t="n"/>
      <c r="R833" s="89" t="n">
        <v>65.51398</v>
      </c>
      <c r="S833" s="89" t="n">
        <v>85.90940999999999</v>
      </c>
      <c r="T833" s="89" t="n">
        <v>94.142</v>
      </c>
      <c r="U833" s="89" t="n">
        <v>123.3575</v>
      </c>
      <c r="V833" s="89" t="n">
        <v>45.65644</v>
      </c>
      <c r="W833" s="89" t="n">
        <v>11.6225</v>
      </c>
      <c r="X833" s="89" t="n"/>
      <c r="Y833" s="89" t="n"/>
      <c r="Z833" s="89" t="n">
        <v>105.291</v>
      </c>
      <c r="AA833" s="89" t="n">
        <v>94.91995</v>
      </c>
      <c r="AB833" s="89" t="n"/>
      <c r="AC833" s="89" t="n">
        <v>65.56433</v>
      </c>
      <c r="AD833" s="89" t="n"/>
      <c r="AE833" s="89" t="n">
        <v>57.90937</v>
      </c>
      <c r="AF833" s="89" t="n">
        <v>68.58878</v>
      </c>
      <c r="AG833" s="89" t="n">
        <v>77.73441</v>
      </c>
      <c r="AH833" s="89" t="n">
        <v>63.49834</v>
      </c>
      <c r="AI833" s="89" t="n">
        <v>40.00645</v>
      </c>
      <c r="AJ833" s="89" t="n">
        <v>95.0959</v>
      </c>
      <c r="AK833" s="89" t="n"/>
      <c r="AL833" s="89" t="n"/>
      <c r="AM833" s="89" t="n">
        <v>67.69038999999999</v>
      </c>
      <c r="AN833" s="89" t="n"/>
      <c r="AO833" s="89" t="n">
        <v>60.41211</v>
      </c>
      <c r="AP833" s="89" t="n">
        <v>72.34858</v>
      </c>
      <c r="AQ833" s="89" t="n"/>
      <c r="AR833" s="89" t="n"/>
      <c r="AS833" s="89" t="n"/>
      <c r="AT833" s="89" t="n"/>
      <c r="AU833" s="89" t="n"/>
      <c r="AV833" s="89" t="n"/>
      <c r="AW833" s="89" t="n"/>
      <c r="AX833" s="89" t="n">
        <v>28.49763</v>
      </c>
      <c r="AY833" s="89" t="n">
        <v>75.33221</v>
      </c>
    </row>
    <row r="834">
      <c r="A834" t="inlineStr">
        <is>
          <t>1988-05</t>
        </is>
      </c>
      <c r="B834" s="1" t="n">
        <v>32264</v>
      </c>
      <c r="C834" s="88" t="n">
        <v>834</v>
      </c>
      <c r="E834" s="1">
        <f>B834</f>
        <v/>
      </c>
      <c r="F834" s="2">
        <f>B834</f>
        <v/>
      </c>
      <c r="G834" s="88" t="n">
        <v>832</v>
      </c>
      <c r="H834" s="89" t="n"/>
      <c r="I834" s="89" t="n"/>
      <c r="J834" s="89" t="n">
        <v>59.58739</v>
      </c>
      <c r="K834" s="89" t="n">
        <v>71.40834</v>
      </c>
      <c r="L834" s="89" t="n"/>
      <c r="M834" s="89" t="n"/>
      <c r="N834" s="89" t="n">
        <v>64.74169999999999</v>
      </c>
      <c r="O834" s="89" t="n">
        <v>79.90172</v>
      </c>
      <c r="P834" s="89" t="n">
        <v>95.14021</v>
      </c>
      <c r="Q834" s="89" t="n"/>
      <c r="R834" s="89" t="n">
        <v>64.80573</v>
      </c>
      <c r="S834" s="89" t="n">
        <v>87.01318000000001</v>
      </c>
      <c r="T834" s="89" t="n">
        <v>95.21623</v>
      </c>
      <c r="U834" s="89" t="n">
        <v>124.8905</v>
      </c>
      <c r="V834" s="89" t="n">
        <v>46.01453</v>
      </c>
      <c r="W834" s="89" t="n">
        <v>11.64498</v>
      </c>
      <c r="X834" s="89" t="n"/>
      <c r="Y834" s="89" t="n"/>
      <c r="Z834" s="89" t="n">
        <v>105.7632</v>
      </c>
      <c r="AA834" s="89" t="n">
        <v>93.90585</v>
      </c>
      <c r="AB834" s="89" t="n"/>
      <c r="AC834" s="89" t="n">
        <v>67.91173000000001</v>
      </c>
      <c r="AD834" s="89" t="n"/>
      <c r="AE834" s="89" t="n">
        <v>57.76477</v>
      </c>
      <c r="AF834" s="89" t="n">
        <v>70.71008</v>
      </c>
      <c r="AG834" s="89" t="n">
        <v>75.00114000000001</v>
      </c>
      <c r="AH834" s="89" t="n">
        <v>63.5195</v>
      </c>
      <c r="AI834" s="89" t="n">
        <v>42.0249</v>
      </c>
      <c r="AJ834" s="89" t="n">
        <v>97.59598</v>
      </c>
      <c r="AK834" s="89" t="n"/>
      <c r="AL834" s="89" t="n"/>
      <c r="AM834" s="89" t="n">
        <v>68.03516</v>
      </c>
      <c r="AN834" s="89" t="n"/>
      <c r="AO834" s="89" t="n">
        <v>60.34142</v>
      </c>
      <c r="AP834" s="89" t="n">
        <v>73.47233</v>
      </c>
      <c r="AQ834" s="89" t="n"/>
      <c r="AR834" s="89" t="n"/>
      <c r="AS834" s="89" t="n"/>
      <c r="AT834" s="89" t="n"/>
      <c r="AU834" s="89" t="n"/>
      <c r="AV834" s="89" t="n"/>
      <c r="AW834" s="89" t="n"/>
      <c r="AX834" s="89" t="n">
        <v>28.19765</v>
      </c>
      <c r="AY834" s="89" t="n">
        <v>73.93996</v>
      </c>
    </row>
    <row r="835">
      <c r="A835" t="inlineStr">
        <is>
          <t>1988-06</t>
        </is>
      </c>
      <c r="B835" s="1" t="n">
        <v>32295</v>
      </c>
      <c r="C835" s="88" t="n">
        <v>835</v>
      </c>
      <c r="E835" s="1">
        <f>B835</f>
        <v/>
      </c>
      <c r="F835" s="2">
        <f>B835</f>
        <v/>
      </c>
      <c r="G835" s="88" t="n">
        <v>833</v>
      </c>
      <c r="H835" s="89" t="n"/>
      <c r="I835" s="89" t="n"/>
      <c r="J835" s="89" t="n">
        <v>59.3336</v>
      </c>
      <c r="K835" s="89" t="n">
        <v>71.02113</v>
      </c>
      <c r="L835" s="89" t="n"/>
      <c r="M835" s="89" t="n"/>
      <c r="N835" s="89" t="n">
        <v>65.91434</v>
      </c>
      <c r="O835" s="89" t="n">
        <v>80.55486999999999</v>
      </c>
      <c r="P835" s="89" t="n">
        <v>94.57989999999999</v>
      </c>
      <c r="Q835" s="89" t="n"/>
      <c r="R835" s="89" t="n">
        <v>65.75008</v>
      </c>
      <c r="S835" s="89" t="n">
        <v>87.56506</v>
      </c>
      <c r="T835" s="89" t="n">
        <v>95.50920000000001</v>
      </c>
      <c r="U835" s="89" t="n">
        <v>127.0235</v>
      </c>
      <c r="V835" s="89" t="n">
        <v>46.64119</v>
      </c>
      <c r="W835" s="89" t="n">
        <v>12.11708</v>
      </c>
      <c r="X835" s="89" t="n"/>
      <c r="Y835" s="89" t="n"/>
      <c r="Z835" s="89" t="n">
        <v>106.8256</v>
      </c>
      <c r="AA835" s="89" t="n">
        <v>94.21008</v>
      </c>
      <c r="AB835" s="89" t="n"/>
      <c r="AC835" s="89" t="n">
        <v>68.39538</v>
      </c>
      <c r="AD835" s="89" t="n"/>
      <c r="AE835" s="89" t="n">
        <v>58.63233</v>
      </c>
      <c r="AF835" s="89" t="n">
        <v>72.12428</v>
      </c>
      <c r="AG835" s="89" t="n">
        <v>73.57983</v>
      </c>
      <c r="AH835" s="89" t="n">
        <v>63.77436</v>
      </c>
      <c r="AI835" s="89" t="n">
        <v>41.42823</v>
      </c>
      <c r="AJ835" s="89" t="n">
        <v>94.83637</v>
      </c>
      <c r="AK835" s="89" t="n"/>
      <c r="AL835" s="89" t="n"/>
      <c r="AM835" s="89" t="n">
        <v>67.74786</v>
      </c>
      <c r="AN835" s="89" t="n"/>
      <c r="AO835" s="89" t="n">
        <v>60.4951</v>
      </c>
      <c r="AP835" s="89" t="n">
        <v>73.51994999999999</v>
      </c>
      <c r="AQ835" s="89" t="n"/>
      <c r="AR835" s="89" t="n"/>
      <c r="AS835" s="89" t="n"/>
      <c r="AT835" s="89" t="n"/>
      <c r="AU835" s="89" t="n"/>
      <c r="AV835" s="89" t="n"/>
      <c r="AW835" s="89" t="n"/>
      <c r="AX835" s="89" t="n">
        <v>26.89776</v>
      </c>
      <c r="AY835" s="89" t="n">
        <v>76.101</v>
      </c>
    </row>
    <row r="836">
      <c r="A836" t="inlineStr">
        <is>
          <t>1988-07</t>
        </is>
      </c>
      <c r="B836" s="1" t="n">
        <v>32325</v>
      </c>
      <c r="C836" s="88" t="n">
        <v>836</v>
      </c>
      <c r="E836" s="1">
        <f>B836</f>
        <v/>
      </c>
      <c r="F836" s="2">
        <f>B836</f>
        <v/>
      </c>
      <c r="G836" s="88" t="n">
        <v>834</v>
      </c>
      <c r="H836" s="89" t="n"/>
      <c r="I836" s="89" t="n"/>
      <c r="J836" s="89" t="n">
        <v>60.51334</v>
      </c>
      <c r="K836" s="89" t="n">
        <v>70.60760999999999</v>
      </c>
      <c r="L836" s="89" t="n"/>
      <c r="M836" s="89" t="n"/>
      <c r="N836" s="89" t="n">
        <v>64.37139999999999</v>
      </c>
      <c r="O836" s="89" t="n">
        <v>75.11197</v>
      </c>
      <c r="P836" s="89" t="n">
        <v>96.05054</v>
      </c>
      <c r="Q836" s="89" t="n"/>
      <c r="R836" s="89" t="n">
        <v>64.68768</v>
      </c>
      <c r="S836" s="89" t="n">
        <v>86.9212</v>
      </c>
      <c r="T836" s="89" t="n">
        <v>95.99749</v>
      </c>
      <c r="U836" s="89" t="n">
        <v>125.2391</v>
      </c>
      <c r="V836" s="89" t="n">
        <v>45.38787</v>
      </c>
      <c r="W836" s="89" t="n">
        <v>11.98219</v>
      </c>
      <c r="X836" s="89" t="n"/>
      <c r="Y836" s="89" t="n"/>
      <c r="Z836" s="89" t="n">
        <v>106.5895</v>
      </c>
      <c r="AA836" s="89" t="n">
        <v>94.61572</v>
      </c>
      <c r="AB836" s="89" t="n"/>
      <c r="AC836" s="89" t="n">
        <v>65.42077999999999</v>
      </c>
      <c r="AD836" s="89" t="n"/>
      <c r="AE836" s="89" t="n">
        <v>56.89722</v>
      </c>
      <c r="AF836" s="89" t="n">
        <v>73.53848000000001</v>
      </c>
      <c r="AG836" s="89" t="n">
        <v>74.01715</v>
      </c>
      <c r="AH836" s="89" t="n">
        <v>63.68813</v>
      </c>
      <c r="AI836" s="89" t="n">
        <v>40.20195</v>
      </c>
      <c r="AJ836" s="89" t="n">
        <v>96.35041</v>
      </c>
      <c r="AK836" s="89" t="n"/>
      <c r="AL836" s="89" t="n"/>
      <c r="AM836" s="89" t="n">
        <v>66.71353999999999</v>
      </c>
      <c r="AN836" s="89" t="n"/>
      <c r="AO836" s="89" t="n">
        <v>60.52103</v>
      </c>
      <c r="AP836" s="89" t="n">
        <v>72.93903</v>
      </c>
      <c r="AQ836" s="89" t="n"/>
      <c r="AR836" s="89" t="n"/>
      <c r="AS836" s="89" t="n"/>
      <c r="AT836" s="89" t="n"/>
      <c r="AU836" s="89" t="n"/>
      <c r="AV836" s="89" t="n"/>
      <c r="AW836" s="89" t="n"/>
      <c r="AX836" s="89" t="n">
        <v>28.69761</v>
      </c>
      <c r="AY836" s="89" t="n">
        <v>73.58847</v>
      </c>
    </row>
    <row r="837">
      <c r="A837" t="inlineStr">
        <is>
          <t>1988-08</t>
        </is>
      </c>
      <c r="B837" s="1" t="n">
        <v>32356</v>
      </c>
      <c r="C837" s="88" t="n">
        <v>837</v>
      </c>
      <c r="E837" s="1">
        <f>B837</f>
        <v/>
      </c>
      <c r="F837" s="2">
        <f>B837</f>
        <v/>
      </c>
      <c r="G837" s="88" t="n">
        <v>835</v>
      </c>
      <c r="H837" s="89" t="n"/>
      <c r="I837" s="89" t="n"/>
      <c r="J837" s="89" t="n">
        <v>60.62852</v>
      </c>
      <c r="K837" s="89" t="n">
        <v>70.64239000000001</v>
      </c>
      <c r="L837" s="89" t="n"/>
      <c r="M837" s="89" t="n"/>
      <c r="N837" s="89" t="n">
        <v>67.02525</v>
      </c>
      <c r="O837" s="89" t="n">
        <v>77.39798999999999</v>
      </c>
      <c r="P837" s="89" t="n">
        <v>95.47033</v>
      </c>
      <c r="Q837" s="89" t="n"/>
      <c r="R837" s="89" t="n">
        <v>64.62866</v>
      </c>
      <c r="S837" s="89" t="n">
        <v>86.9212</v>
      </c>
      <c r="T837" s="89" t="n">
        <v>97.07172</v>
      </c>
      <c r="U837" s="89" t="n">
        <v>128.7732</v>
      </c>
      <c r="V837" s="89" t="n">
        <v>46.82023</v>
      </c>
      <c r="W837" s="89" t="n">
        <v>11.93723</v>
      </c>
      <c r="X837" s="89" t="n"/>
      <c r="Y837" s="89" t="n"/>
      <c r="Z837" s="89" t="n">
        <v>105.173</v>
      </c>
      <c r="AA837" s="89" t="n">
        <v>95.12277</v>
      </c>
      <c r="AB837" s="89" t="n"/>
      <c r="AC837" s="89" t="n">
        <v>73.64812000000001</v>
      </c>
      <c r="AD837" s="89" t="n"/>
      <c r="AE837" s="89" t="n">
        <v>59.2107</v>
      </c>
      <c r="AF837" s="89" t="n">
        <v>72.12428</v>
      </c>
      <c r="AG837" s="89" t="n">
        <v>74.67314</v>
      </c>
      <c r="AH837" s="89" t="n">
        <v>64.13959</v>
      </c>
      <c r="AI837" s="89" t="n">
        <v>40.77846</v>
      </c>
      <c r="AJ837" s="89" t="n">
        <v>95.88760000000001</v>
      </c>
      <c r="AK837" s="89" t="n"/>
      <c r="AL837" s="89" t="n"/>
      <c r="AM837" s="89" t="n">
        <v>65.1046</v>
      </c>
      <c r="AN837" s="89" t="n"/>
      <c r="AO837" s="89" t="n">
        <v>60.77365</v>
      </c>
      <c r="AP837" s="89" t="n">
        <v>75.39604</v>
      </c>
      <c r="AQ837" s="89" t="n"/>
      <c r="AR837" s="89" t="n"/>
      <c r="AS837" s="89" t="n"/>
      <c r="AT837" s="89" t="n"/>
      <c r="AU837" s="89" t="n"/>
      <c r="AV837" s="89" t="n"/>
      <c r="AW837" s="89" t="n"/>
      <c r="AX837" s="89" t="n">
        <v>27.49771</v>
      </c>
      <c r="AY837" s="89" t="n">
        <v>74.15843</v>
      </c>
    </row>
    <row r="838">
      <c r="A838" t="inlineStr">
        <is>
          <t>1988-09</t>
        </is>
      </c>
      <c r="B838" s="1" t="n">
        <v>32387</v>
      </c>
      <c r="C838" s="88" t="n">
        <v>838</v>
      </c>
      <c r="E838" s="1">
        <f>B838</f>
        <v/>
      </c>
      <c r="F838" s="2">
        <f>B838</f>
        <v/>
      </c>
      <c r="G838" s="88" t="n">
        <v>836</v>
      </c>
      <c r="H838" s="89" t="n"/>
      <c r="I838" s="89" t="n"/>
      <c r="J838" s="89" t="n">
        <v>60.75533</v>
      </c>
      <c r="K838" s="89" t="n">
        <v>71.11136</v>
      </c>
      <c r="L838" s="89" t="n"/>
      <c r="M838" s="89" t="n"/>
      <c r="N838" s="89" t="n">
        <v>66.22292</v>
      </c>
      <c r="O838" s="89" t="n">
        <v>78.16</v>
      </c>
      <c r="P838" s="89" t="n">
        <v>95.22038999999999</v>
      </c>
      <c r="Q838" s="89" t="n"/>
      <c r="R838" s="89" t="n">
        <v>66.34029</v>
      </c>
      <c r="S838" s="89" t="n">
        <v>88.66882</v>
      </c>
      <c r="T838" s="89" t="n">
        <v>98.0483</v>
      </c>
      <c r="U838" s="89" t="n">
        <v>126.0968</v>
      </c>
      <c r="V838" s="89" t="n">
        <v>46.14881</v>
      </c>
      <c r="W838" s="89" t="n">
        <v>12.18452</v>
      </c>
      <c r="X838" s="89" t="n"/>
      <c r="Y838" s="89" t="n"/>
      <c r="Z838" s="89" t="n">
        <v>108.006</v>
      </c>
      <c r="AA838" s="89" t="n">
        <v>96.64391999999999</v>
      </c>
      <c r="AB838" s="89" t="n"/>
      <c r="AC838" s="89" t="n">
        <v>65.52118</v>
      </c>
      <c r="AD838" s="89" t="n"/>
      <c r="AE838" s="89" t="n">
        <v>58.84922</v>
      </c>
      <c r="AF838" s="89" t="n">
        <v>74.24558</v>
      </c>
      <c r="AG838" s="89" t="n">
        <v>79.59304</v>
      </c>
      <c r="AH838" s="89" t="n">
        <v>64.38079999999999</v>
      </c>
      <c r="AI838" s="89" t="n">
        <v>39.93704</v>
      </c>
      <c r="AJ838" s="89" t="n">
        <v>94.33951999999999</v>
      </c>
      <c r="AK838" s="89" t="n"/>
      <c r="AL838" s="89" t="n"/>
      <c r="AM838" s="89" t="n">
        <v>66.3113</v>
      </c>
      <c r="AN838" s="89" t="n"/>
      <c r="AO838" s="89" t="n">
        <v>60.60719</v>
      </c>
      <c r="AP838" s="89" t="n">
        <v>74.65322</v>
      </c>
      <c r="AQ838" s="89" t="n"/>
      <c r="AR838" s="89" t="n"/>
      <c r="AS838" s="89" t="n"/>
      <c r="AT838" s="89" t="n"/>
      <c r="AU838" s="89" t="n"/>
      <c r="AV838" s="89" t="n"/>
      <c r="AW838" s="89" t="n"/>
      <c r="AX838" s="89" t="n">
        <v>26.49779</v>
      </c>
      <c r="AY838" s="89" t="n">
        <v>72.97359</v>
      </c>
    </row>
    <row r="839">
      <c r="A839" t="inlineStr">
        <is>
          <t>1988-10</t>
        </is>
      </c>
      <c r="B839" s="1" t="n">
        <v>32417</v>
      </c>
      <c r="C839" s="88" t="n">
        <v>839</v>
      </c>
      <c r="E839" s="1">
        <f>B839</f>
        <v/>
      </c>
      <c r="F839" s="2">
        <f>B839</f>
        <v/>
      </c>
      <c r="G839" s="88" t="n">
        <v>837</v>
      </c>
      <c r="H839" s="89" t="n"/>
      <c r="I839" s="89" t="n"/>
      <c r="J839" s="89" t="n">
        <v>60.2947</v>
      </c>
      <c r="K839" s="89" t="n">
        <v>70.47698</v>
      </c>
      <c r="L839" s="89" t="n"/>
      <c r="M839" s="89" t="n"/>
      <c r="N839" s="89" t="n">
        <v>66.46980000000001</v>
      </c>
      <c r="O839" s="89" t="n">
        <v>87.1952</v>
      </c>
      <c r="P839" s="89" t="n">
        <v>95.91896</v>
      </c>
      <c r="Q839" s="89" t="n"/>
      <c r="R839" s="89" t="n">
        <v>66.87148000000001</v>
      </c>
      <c r="S839" s="89" t="n">
        <v>86.64525999999999</v>
      </c>
      <c r="T839" s="89" t="n">
        <v>96.97407</v>
      </c>
      <c r="U839" s="89" t="n">
        <v>124.7635</v>
      </c>
      <c r="V839" s="89" t="n">
        <v>46.10405</v>
      </c>
      <c r="W839" s="89" t="n">
        <v>12.83646</v>
      </c>
      <c r="X839" s="89" t="n"/>
      <c r="Y839" s="89" t="n"/>
      <c r="Z839" s="89" t="n">
        <v>107.4158</v>
      </c>
      <c r="AA839" s="89" t="n">
        <v>95.32559000000001</v>
      </c>
      <c r="AB839" s="89" t="n"/>
      <c r="AC839" s="89" t="n">
        <v>68.53283999999999</v>
      </c>
      <c r="AD839" s="89" t="n"/>
      <c r="AE839" s="89" t="n">
        <v>59.86137</v>
      </c>
      <c r="AF839" s="89" t="n">
        <v>74.24558</v>
      </c>
      <c r="AG839" s="89" t="n">
        <v>78.17174</v>
      </c>
      <c r="AH839" s="89" t="n">
        <v>64.45415</v>
      </c>
      <c r="AI839" s="89" t="n">
        <v>39.5266</v>
      </c>
      <c r="AJ839" s="89" t="n">
        <v>97.56382000000001</v>
      </c>
      <c r="AK839" s="89" t="n"/>
      <c r="AL839" s="89" t="n"/>
      <c r="AM839" s="89" t="n">
        <v>68.60979</v>
      </c>
      <c r="AN839" s="89" t="n"/>
      <c r="AO839" s="89" t="n">
        <v>60.90802</v>
      </c>
      <c r="AP839" s="89" t="n">
        <v>74.15801</v>
      </c>
      <c r="AQ839" s="89" t="n"/>
      <c r="AR839" s="89" t="n"/>
      <c r="AS839" s="89" t="n"/>
      <c r="AT839" s="89" t="n"/>
      <c r="AU839" s="89" t="n"/>
      <c r="AV839" s="89" t="n"/>
      <c r="AW839" s="89" t="n"/>
      <c r="AX839" s="89" t="n">
        <v>27.79768</v>
      </c>
      <c r="AY839" s="89" t="n">
        <v>69.94157</v>
      </c>
    </row>
    <row r="840">
      <c r="A840" t="inlineStr">
        <is>
          <t>1988-11</t>
        </is>
      </c>
      <c r="B840" s="1" t="n">
        <v>32448</v>
      </c>
      <c r="C840" s="88" t="n">
        <v>840</v>
      </c>
      <c r="E840" s="1">
        <f>B840</f>
        <v/>
      </c>
      <c r="F840" s="2">
        <f>B840</f>
        <v/>
      </c>
      <c r="G840" s="88" t="n">
        <v>838</v>
      </c>
      <c r="H840" s="89" t="n"/>
      <c r="I840" s="89" t="n"/>
      <c r="J840" s="89" t="n">
        <v>61.25068</v>
      </c>
      <c r="K840" s="89" t="n">
        <v>70.01600000000001</v>
      </c>
      <c r="L840" s="89" t="n"/>
      <c r="M840" s="89" t="n"/>
      <c r="N840" s="89" t="n">
        <v>66.77838</v>
      </c>
      <c r="O840" s="89" t="n">
        <v>86.54205</v>
      </c>
      <c r="P840" s="89" t="n">
        <v>97.73748999999999</v>
      </c>
      <c r="Q840" s="89" t="n"/>
      <c r="R840" s="89" t="n">
        <v>67.28464</v>
      </c>
      <c r="S840" s="89" t="n">
        <v>88.94476</v>
      </c>
      <c r="T840" s="89" t="n">
        <v>97.95065</v>
      </c>
      <c r="U840" s="89" t="n">
        <v>125.4885</v>
      </c>
      <c r="V840" s="89" t="n">
        <v>46.28309</v>
      </c>
      <c r="W840" s="89" t="n">
        <v>12.25196</v>
      </c>
      <c r="X840" s="89" t="n"/>
      <c r="Y840" s="89" t="n"/>
      <c r="Z840" s="89" t="n">
        <v>109.3044</v>
      </c>
      <c r="AA840" s="89" t="n">
        <v>97.35380000000001</v>
      </c>
      <c r="AB840" s="89" t="n"/>
      <c r="AC840" s="89" t="n">
        <v>71.78963</v>
      </c>
      <c r="AD840" s="89" t="n"/>
      <c r="AE840" s="89" t="n">
        <v>61.45189</v>
      </c>
      <c r="AF840" s="89" t="n">
        <v>73.53848000000001</v>
      </c>
      <c r="AG840" s="89" t="n">
        <v>79.48371</v>
      </c>
      <c r="AH840" s="89" t="n">
        <v>64.99290999999999</v>
      </c>
      <c r="AI840" s="89" t="n">
        <v>40.34215</v>
      </c>
      <c r="AJ840" s="89" t="n">
        <v>97.09538000000001</v>
      </c>
      <c r="AK840" s="89" t="n"/>
      <c r="AL840" s="89" t="n"/>
      <c r="AM840" s="89" t="n">
        <v>68.26501</v>
      </c>
      <c r="AN840" s="89" t="n"/>
      <c r="AO840" s="89" t="n">
        <v>61.00465</v>
      </c>
      <c r="AP840" s="89" t="n">
        <v>74.85321</v>
      </c>
      <c r="AQ840" s="89" t="n"/>
      <c r="AR840" s="89" t="n"/>
      <c r="AS840" s="89" t="n"/>
      <c r="AT840" s="89" t="n"/>
      <c r="AU840" s="89" t="n"/>
      <c r="AV840" s="89" t="n"/>
      <c r="AW840" s="89" t="n"/>
      <c r="AX840" s="89" t="n">
        <v>26.59778</v>
      </c>
      <c r="AY840" s="89" t="n">
        <v>69.74836999999999</v>
      </c>
    </row>
    <row r="841">
      <c r="A841" t="inlineStr">
        <is>
          <t>1988-12</t>
        </is>
      </c>
      <c r="B841" s="1" t="n">
        <v>32478</v>
      </c>
      <c r="C841" s="88" t="n">
        <v>841</v>
      </c>
      <c r="E841" s="1">
        <f>B841</f>
        <v/>
      </c>
      <c r="F841" s="2">
        <f>B841</f>
        <v/>
      </c>
      <c r="G841" s="88" t="n">
        <v>839</v>
      </c>
      <c r="H841" s="89" t="n"/>
      <c r="I841" s="89" t="n"/>
      <c r="J841" s="89" t="n">
        <v>60.49432</v>
      </c>
      <c r="K841" s="89" t="n">
        <v>70.97414000000001</v>
      </c>
      <c r="L841" s="89" t="n"/>
      <c r="M841" s="89" t="n"/>
      <c r="N841" s="89" t="n">
        <v>68.25961</v>
      </c>
      <c r="O841" s="89" t="n">
        <v>88.82807</v>
      </c>
      <c r="P841" s="89" t="n">
        <v>97.3121</v>
      </c>
      <c r="Q841" s="89" t="n"/>
      <c r="R841" s="89" t="n">
        <v>66.81246</v>
      </c>
      <c r="S841" s="89" t="n">
        <v>90.04852</v>
      </c>
      <c r="T841" s="89" t="n">
        <v>97.26703999999999</v>
      </c>
      <c r="U841" s="89" t="n">
        <v>125.1847</v>
      </c>
      <c r="V841" s="89" t="n">
        <v>46.77547</v>
      </c>
      <c r="W841" s="89" t="n">
        <v>12.65661</v>
      </c>
      <c r="X841" s="89" t="n"/>
      <c r="Y841" s="89" t="n"/>
      <c r="Z841" s="89" t="n">
        <v>111.5471</v>
      </c>
      <c r="AA841" s="89" t="n">
        <v>98.06367</v>
      </c>
      <c r="AB841" s="89" t="n"/>
      <c r="AC841" s="89" t="n">
        <v>74.30953</v>
      </c>
      <c r="AD841" s="89" t="n"/>
      <c r="AE841" s="89" t="n">
        <v>61.45189</v>
      </c>
      <c r="AF841" s="89" t="n">
        <v>71.41718</v>
      </c>
      <c r="AG841" s="89" t="n">
        <v>79.8117</v>
      </c>
      <c r="AH841" s="89" t="n">
        <v>65.46671000000001</v>
      </c>
      <c r="AI841" s="89" t="n">
        <v>39.28442</v>
      </c>
      <c r="AJ841" s="89" t="n">
        <v>97.75745000000001</v>
      </c>
      <c r="AK841" s="89" t="n"/>
      <c r="AL841" s="89" t="n"/>
      <c r="AM841" s="89" t="n">
        <v>68.03516</v>
      </c>
      <c r="AN841" s="89" t="n"/>
      <c r="AO841" s="89" t="n">
        <v>61.30289</v>
      </c>
      <c r="AP841" s="89" t="n">
        <v>75.87221</v>
      </c>
      <c r="AQ841" s="89" t="n"/>
      <c r="AR841" s="89" t="n"/>
      <c r="AS841" s="89" t="n"/>
      <c r="AT841" s="89" t="n"/>
      <c r="AU841" s="89" t="n"/>
      <c r="AV841" s="89" t="n"/>
      <c r="AW841" s="89" t="n"/>
      <c r="AX841" s="89" t="n">
        <v>27.99767</v>
      </c>
      <c r="AY841" s="89" t="n">
        <v>73.91070999999999</v>
      </c>
    </row>
    <row r="842">
      <c r="A842" t="inlineStr">
        <is>
          <t>1989-01</t>
        </is>
      </c>
      <c r="B842" s="1" t="n">
        <v>32509</v>
      </c>
      <c r="C842" s="88" t="n">
        <v>842</v>
      </c>
      <c r="E842" s="1">
        <f>B842</f>
        <v/>
      </c>
      <c r="F842" s="2">
        <f>B842</f>
        <v/>
      </c>
      <c r="G842" s="88" t="n">
        <v>840</v>
      </c>
      <c r="H842" s="89" t="n"/>
      <c r="I842" s="89" t="n"/>
      <c r="J842" s="89" t="n">
        <v>61.57829</v>
      </c>
      <c r="K842" s="89" t="n">
        <v>70.73824999999999</v>
      </c>
      <c r="L842" s="89" t="n"/>
      <c r="M842" s="89" t="n"/>
      <c r="N842" s="89" t="n">
        <v>67.27213</v>
      </c>
      <c r="O842" s="89" t="n">
        <v>83.92946999999999</v>
      </c>
      <c r="P842" s="89" t="n">
        <v>98.89653</v>
      </c>
      <c r="Q842" s="89" t="n"/>
      <c r="R842" s="89" t="n">
        <v>66.45834000000001</v>
      </c>
      <c r="S842" s="89" t="n">
        <v>89.58862000000001</v>
      </c>
      <c r="T842" s="89" t="n">
        <v>97.75533</v>
      </c>
      <c r="U842" s="89" t="n">
        <v>127.8215</v>
      </c>
      <c r="V842" s="89" t="n">
        <v>45.16406</v>
      </c>
      <c r="W842" s="89" t="n">
        <v>13.03878</v>
      </c>
      <c r="X842" s="89" t="n"/>
      <c r="Y842" s="89" t="n"/>
      <c r="Z842" s="89" t="n">
        <v>110.0126</v>
      </c>
      <c r="AA842" s="89" t="n">
        <v>98.87495</v>
      </c>
      <c r="AB842" s="89" t="n">
        <v>18.98135</v>
      </c>
      <c r="AC842" s="89" t="n">
        <v>74.04092</v>
      </c>
      <c r="AD842" s="89" t="n"/>
      <c r="AE842" s="89" t="n">
        <v>62.17485</v>
      </c>
      <c r="AF842" s="89" t="n">
        <v>72.54854</v>
      </c>
      <c r="AG842" s="89" t="n">
        <v>80.79568</v>
      </c>
      <c r="AH842" s="89" t="n">
        <v>65.55476</v>
      </c>
      <c r="AI842" s="89" t="n">
        <v>44.6173</v>
      </c>
      <c r="AJ842" s="89" t="n">
        <v>98.31082000000001</v>
      </c>
      <c r="AK842" s="89" t="n">
        <v>47.26587</v>
      </c>
      <c r="AL842" s="89" t="n"/>
      <c r="AM842" s="89" t="n">
        <v>70.50604</v>
      </c>
      <c r="AN842" s="89" t="n"/>
      <c r="AO842" s="89" t="n">
        <v>61.4873</v>
      </c>
      <c r="AP842" s="89" t="n">
        <v>76.0341</v>
      </c>
      <c r="AQ842" s="89" t="n"/>
      <c r="AR842" s="89" t="n"/>
      <c r="AS842" s="89" t="n"/>
      <c r="AT842" s="89" t="n"/>
      <c r="AU842" s="89" t="n"/>
      <c r="AV842" s="89" t="n"/>
      <c r="AW842" s="89" t="n"/>
      <c r="AX842" s="89" t="n">
        <v>26.99775</v>
      </c>
      <c r="AY842" s="89" t="n">
        <v>73.19561</v>
      </c>
    </row>
    <row r="843">
      <c r="A843" t="inlineStr">
        <is>
          <t>1989-02</t>
        </is>
      </c>
      <c r="B843" s="1" t="n">
        <v>32540</v>
      </c>
      <c r="C843" s="88" t="n">
        <v>843</v>
      </c>
      <c r="E843" s="1">
        <f>B843</f>
        <v/>
      </c>
      <c r="F843" s="2">
        <f>B843</f>
        <v/>
      </c>
      <c r="G843" s="88" t="n">
        <v>841</v>
      </c>
      <c r="H843" s="89" t="n"/>
      <c r="I843" s="89" t="n"/>
      <c r="J843" s="89" t="n">
        <v>61.4794</v>
      </c>
      <c r="K843" s="89" t="n">
        <v>71.4652</v>
      </c>
      <c r="L843" s="89" t="n"/>
      <c r="M843" s="89" t="n"/>
      <c r="N843" s="89" t="n">
        <v>67.02525</v>
      </c>
      <c r="O843" s="89" t="n">
        <v>81.20802</v>
      </c>
      <c r="P843" s="89" t="n">
        <v>98.8946</v>
      </c>
      <c r="Q843" s="89" t="n"/>
      <c r="R843" s="89" t="n">
        <v>66.04518</v>
      </c>
      <c r="S843" s="89" t="n">
        <v>89.40466000000001</v>
      </c>
      <c r="T843" s="89" t="n">
        <v>98.0483</v>
      </c>
      <c r="U843" s="89" t="n">
        <v>126.7033</v>
      </c>
      <c r="V843" s="89" t="n">
        <v>44.94026</v>
      </c>
      <c r="W843" s="89" t="n">
        <v>12.72406</v>
      </c>
      <c r="X843" s="89" t="n"/>
      <c r="Y843" s="89" t="n"/>
      <c r="Z843" s="89" t="n">
        <v>110.2487</v>
      </c>
      <c r="AA843" s="89" t="n">
        <v>98.26649</v>
      </c>
      <c r="AB843" s="89" t="n">
        <v>18.89662</v>
      </c>
      <c r="AC843" s="89" t="n">
        <v>71.98645</v>
      </c>
      <c r="AD843" s="89" t="n"/>
      <c r="AE843" s="89" t="n">
        <v>62.17485</v>
      </c>
      <c r="AF843" s="89" t="n">
        <v>72.12428</v>
      </c>
      <c r="AG843" s="89" t="n">
        <v>80.24902</v>
      </c>
      <c r="AH843" s="89" t="n">
        <v>65.43556</v>
      </c>
      <c r="AI843" s="89" t="n">
        <v>41.24337</v>
      </c>
      <c r="AJ843" s="89" t="n">
        <v>97.06251</v>
      </c>
      <c r="AK843" s="89" t="n">
        <v>48.36502</v>
      </c>
      <c r="AL843" s="89" t="n"/>
      <c r="AM843" s="89" t="n">
        <v>69.98887999999999</v>
      </c>
      <c r="AN843" s="89" t="n"/>
      <c r="AO843" s="89" t="n">
        <v>61.2077</v>
      </c>
      <c r="AP843" s="89" t="n">
        <v>75.84363999999999</v>
      </c>
      <c r="AQ843" s="89" t="n"/>
      <c r="AR843" s="89" t="n"/>
      <c r="AS843" s="89" t="n"/>
      <c r="AT843" s="89" t="n"/>
      <c r="AU843" s="89" t="n"/>
      <c r="AV843" s="89" t="n"/>
      <c r="AW843" s="89" t="n"/>
      <c r="AX843" s="89" t="n">
        <v>28.49763</v>
      </c>
      <c r="AY843" s="89" t="n">
        <v>69.9708</v>
      </c>
    </row>
    <row r="844">
      <c r="A844" t="inlineStr">
        <is>
          <t>1989-03</t>
        </is>
      </c>
      <c r="B844" s="1" t="n">
        <v>32568</v>
      </c>
      <c r="C844" s="88" t="n">
        <v>844</v>
      </c>
      <c r="E844" s="1">
        <f>B844</f>
        <v/>
      </c>
      <c r="F844" s="2">
        <f>B844</f>
        <v/>
      </c>
      <c r="G844" s="88" t="n">
        <v>842</v>
      </c>
      <c r="H844" s="89" t="n"/>
      <c r="I844" s="89" t="n"/>
      <c r="J844" s="89" t="n">
        <v>60.47211</v>
      </c>
      <c r="K844" s="89" t="n">
        <v>71.06202</v>
      </c>
      <c r="L844" s="89" t="n"/>
      <c r="M844" s="89" t="n"/>
      <c r="N844" s="89" t="n">
        <v>67.51899</v>
      </c>
      <c r="O844" s="89" t="n">
        <v>80.66373</v>
      </c>
      <c r="P844" s="89" t="n">
        <v>101.6535</v>
      </c>
      <c r="Q844" s="89" t="n"/>
      <c r="R844" s="89" t="n">
        <v>66.39931</v>
      </c>
      <c r="S844" s="89" t="n">
        <v>89.49664</v>
      </c>
      <c r="T844" s="89" t="n">
        <v>96.77876000000001</v>
      </c>
      <c r="U844" s="89" t="n">
        <v>127.9023</v>
      </c>
      <c r="V844" s="89" t="n">
        <v>45.1193</v>
      </c>
      <c r="W844" s="89" t="n">
        <v>12.99382</v>
      </c>
      <c r="X844" s="89" t="n"/>
      <c r="Y844" s="89" t="n"/>
      <c r="Z844" s="89" t="n">
        <v>108.7142</v>
      </c>
      <c r="AA844" s="89" t="n">
        <v>101.8158</v>
      </c>
      <c r="AB844" s="89" t="n">
        <v>19.06609</v>
      </c>
      <c r="AC844" s="89" t="n">
        <v>73.10525</v>
      </c>
      <c r="AD844" s="89" t="n"/>
      <c r="AE844" s="89" t="n">
        <v>61.81337</v>
      </c>
      <c r="AF844" s="89" t="n">
        <v>71.91215</v>
      </c>
      <c r="AG844" s="89" t="n">
        <v>83.3103</v>
      </c>
      <c r="AH844" s="89" t="n">
        <v>65.8664</v>
      </c>
      <c r="AI844" s="89" t="n">
        <v>40.48101</v>
      </c>
      <c r="AJ844" s="89" t="n">
        <v>101.3123</v>
      </c>
      <c r="AK844" s="89" t="n">
        <v>44.57333</v>
      </c>
      <c r="AL844" s="89" t="n"/>
      <c r="AM844" s="89" t="n">
        <v>69.93142</v>
      </c>
      <c r="AN844" s="89" t="n"/>
      <c r="AO844" s="89" t="n">
        <v>61.34688</v>
      </c>
      <c r="AP844" s="89" t="n">
        <v>75.81506</v>
      </c>
      <c r="AQ844" s="89" t="n"/>
      <c r="AR844" s="89" t="n"/>
      <c r="AS844" s="89" t="n"/>
      <c r="AT844" s="89" t="n"/>
      <c r="AU844" s="89" t="n"/>
      <c r="AV844" s="89" t="n"/>
      <c r="AW844" s="89" t="n"/>
      <c r="AX844" s="89" t="n">
        <v>28.19765</v>
      </c>
      <c r="AY844" s="89" t="n">
        <v>72.49476</v>
      </c>
    </row>
    <row r="845">
      <c r="A845" t="inlineStr">
        <is>
          <t>1989-04</t>
        </is>
      </c>
      <c r="B845" s="1" t="n">
        <v>32599</v>
      </c>
      <c r="C845" s="88" t="n">
        <v>845</v>
      </c>
      <c r="E845" s="1">
        <f>B845</f>
        <v/>
      </c>
      <c r="F845" s="2">
        <f>B845</f>
        <v/>
      </c>
      <c r="G845" s="88" t="n">
        <v>843</v>
      </c>
      <c r="H845" s="89" t="n"/>
      <c r="I845" s="89" t="n"/>
      <c r="J845" s="89" t="n">
        <v>61.6447</v>
      </c>
      <c r="K845" s="89" t="n">
        <v>71.48963999999999</v>
      </c>
      <c r="L845" s="89" t="n"/>
      <c r="M845" s="89" t="n"/>
      <c r="N845" s="89" t="n">
        <v>69.55567000000001</v>
      </c>
      <c r="O845" s="89" t="n">
        <v>81.97002000000001</v>
      </c>
      <c r="P845" s="89" t="n">
        <v>99.31774</v>
      </c>
      <c r="Q845" s="89" t="n"/>
      <c r="R845" s="89" t="n">
        <v>64.27454</v>
      </c>
      <c r="S845" s="89" t="n">
        <v>91.15228</v>
      </c>
      <c r="T845" s="89" t="n">
        <v>99.12254</v>
      </c>
      <c r="U845" s="89" t="n">
        <v>130.6838</v>
      </c>
      <c r="V845" s="89" t="n">
        <v>44.49265</v>
      </c>
      <c r="W845" s="89" t="n">
        <v>12.94886</v>
      </c>
      <c r="X845" s="89" t="n"/>
      <c r="Y845" s="89" t="n"/>
      <c r="Z845" s="89" t="n">
        <v>109.5405</v>
      </c>
      <c r="AA845" s="89" t="n">
        <v>100.1933</v>
      </c>
      <c r="AB845" s="89" t="n">
        <v>18.07042</v>
      </c>
      <c r="AC845" s="89" t="n">
        <v>75.98737</v>
      </c>
      <c r="AD845" s="89" t="n"/>
      <c r="AE845" s="89" t="n">
        <v>62.31944</v>
      </c>
      <c r="AF845" s="89" t="n">
        <v>77.9225</v>
      </c>
      <c r="AG845" s="89" t="n">
        <v>83.85695</v>
      </c>
      <c r="AH845" s="89" t="n">
        <v>66.04532</v>
      </c>
      <c r="AI845" s="89" t="n">
        <v>42.37652</v>
      </c>
      <c r="AJ845" s="89" t="n">
        <v>100.5251</v>
      </c>
      <c r="AK845" s="89" t="n">
        <v>46.90347</v>
      </c>
      <c r="AL845" s="89" t="n"/>
      <c r="AM845" s="89" t="n">
        <v>69.93142</v>
      </c>
      <c r="AN845" s="89" t="n"/>
      <c r="AO845" s="89" t="n">
        <v>61.38847</v>
      </c>
      <c r="AP845" s="89" t="n">
        <v>77.44355</v>
      </c>
      <c r="AQ845" s="89" t="n"/>
      <c r="AR845" s="89" t="n"/>
      <c r="AS845" s="89" t="n"/>
      <c r="AT845" s="89" t="n"/>
      <c r="AU845" s="89" t="n"/>
      <c r="AV845" s="89" t="n"/>
      <c r="AW845" s="89" t="n"/>
      <c r="AX845" s="89" t="n">
        <v>26.69777</v>
      </c>
      <c r="AY845" s="89" t="n">
        <v>74.61733</v>
      </c>
    </row>
    <row r="846">
      <c r="A846" t="inlineStr">
        <is>
          <t>1989-05</t>
        </is>
      </c>
      <c r="B846" s="1" t="n">
        <v>32629</v>
      </c>
      <c r="C846" s="88" t="n">
        <v>846</v>
      </c>
      <c r="E846" s="1">
        <f>B846</f>
        <v/>
      </c>
      <c r="F846" s="2">
        <f>B846</f>
        <v/>
      </c>
      <c r="G846" s="88" t="n">
        <v>844</v>
      </c>
      <c r="H846" s="89" t="n"/>
      <c r="I846" s="89" t="n"/>
      <c r="J846" s="89" t="n">
        <v>61.3452</v>
      </c>
      <c r="K846" s="89" t="n">
        <v>70.80356999999999</v>
      </c>
      <c r="L846" s="89" t="n"/>
      <c r="M846" s="89" t="n"/>
      <c r="N846" s="89" t="n">
        <v>66.22292</v>
      </c>
      <c r="O846" s="89" t="n">
        <v>82.07888</v>
      </c>
      <c r="P846" s="89" t="n">
        <v>99.62170999999999</v>
      </c>
      <c r="Q846" s="89" t="n"/>
      <c r="R846" s="89" t="n">
        <v>65.51398</v>
      </c>
      <c r="S846" s="89" t="n">
        <v>90.1405</v>
      </c>
      <c r="T846" s="89" t="n">
        <v>96.6811</v>
      </c>
      <c r="U846" s="89" t="n">
        <v>128.2137</v>
      </c>
      <c r="V846" s="89" t="n">
        <v>45.74596</v>
      </c>
      <c r="W846" s="89" t="n">
        <v>13.4884</v>
      </c>
      <c r="X846" s="89" t="n"/>
      <c r="Y846" s="89" t="n"/>
      <c r="Z846" s="89" t="n">
        <v>108.5961</v>
      </c>
      <c r="AA846" s="89" t="n">
        <v>100.2947</v>
      </c>
      <c r="AB846" s="89" t="n">
        <v>19.29912</v>
      </c>
      <c r="AC846" s="89" t="n">
        <v>74.43724</v>
      </c>
      <c r="AD846" s="89" t="n"/>
      <c r="AE846" s="89" t="n">
        <v>62.39174</v>
      </c>
      <c r="AF846" s="89" t="n">
        <v>75.02339000000001</v>
      </c>
      <c r="AG846" s="89" t="n">
        <v>83.3103</v>
      </c>
      <c r="AH846" s="89" t="n">
        <v>65.50830999999999</v>
      </c>
      <c r="AI846" s="89" t="n">
        <v>39.88014</v>
      </c>
      <c r="AJ846" s="89" t="n">
        <v>102.2257</v>
      </c>
      <c r="AK846" s="89" t="n">
        <v>46.99757</v>
      </c>
      <c r="AL846" s="89" t="n"/>
      <c r="AM846" s="89" t="n">
        <v>67.97771</v>
      </c>
      <c r="AN846" s="89" t="n"/>
      <c r="AO846" s="89" t="n">
        <v>60.98121</v>
      </c>
      <c r="AP846" s="89" t="n">
        <v>75.13891</v>
      </c>
      <c r="AQ846" s="89" t="n"/>
      <c r="AR846" s="89" t="n"/>
      <c r="AS846" s="89" t="n"/>
      <c r="AT846" s="89" t="n"/>
      <c r="AU846" s="89" t="n"/>
      <c r="AV846" s="89" t="n"/>
      <c r="AW846" s="89" t="n"/>
      <c r="AX846" s="89" t="n">
        <v>27.99767</v>
      </c>
      <c r="AY846" s="89" t="n">
        <v>76.54318000000001</v>
      </c>
    </row>
    <row r="847">
      <c r="A847" t="inlineStr">
        <is>
          <t>1989-06</t>
        </is>
      </c>
      <c r="B847" s="1" t="n">
        <v>32660</v>
      </c>
      <c r="C847" s="88" t="n">
        <v>847</v>
      </c>
      <c r="E847" s="1">
        <f>B847</f>
        <v/>
      </c>
      <c r="F847" s="2">
        <f>B847</f>
        <v/>
      </c>
      <c r="G847" s="88" t="n">
        <v>845</v>
      </c>
      <c r="H847" s="89" t="n"/>
      <c r="I847" s="89" t="n"/>
      <c r="J847" s="89" t="n">
        <v>60.86836</v>
      </c>
      <c r="K847" s="89" t="n">
        <v>70.26553</v>
      </c>
      <c r="L847" s="89" t="n"/>
      <c r="M847" s="89" t="n"/>
      <c r="N847" s="89" t="n">
        <v>68.87678</v>
      </c>
      <c r="O847" s="89" t="n">
        <v>82.62317</v>
      </c>
      <c r="P847" s="89" t="n">
        <v>100.4769</v>
      </c>
      <c r="Q847" s="89" t="n"/>
      <c r="R847" s="89" t="n">
        <v>66.39931</v>
      </c>
      <c r="S847" s="89" t="n">
        <v>91.33624</v>
      </c>
      <c r="T847" s="89" t="n">
        <v>96.6811</v>
      </c>
      <c r="U847" s="89" t="n">
        <v>126.8169</v>
      </c>
      <c r="V847" s="89" t="n">
        <v>45.16406</v>
      </c>
      <c r="W847" s="89" t="n">
        <v>13.35351</v>
      </c>
      <c r="X847" s="89" t="n"/>
      <c r="Y847" s="89" t="n"/>
      <c r="Z847" s="89" t="n">
        <v>111.3111</v>
      </c>
      <c r="AA847" s="89" t="n">
        <v>101.5116</v>
      </c>
      <c r="AB847" s="89" t="n">
        <v>19.57452</v>
      </c>
      <c r="AC847" s="89" t="n">
        <v>72.18016</v>
      </c>
      <c r="AD847" s="89" t="n"/>
      <c r="AE847" s="89" t="n">
        <v>63.54848</v>
      </c>
      <c r="AF847" s="89" t="n">
        <v>74.45771000000001</v>
      </c>
      <c r="AG847" s="89" t="n">
        <v>84.62227</v>
      </c>
      <c r="AH847" s="89" t="n">
        <v>66.19826</v>
      </c>
      <c r="AI847" s="89" t="n">
        <v>41.01307</v>
      </c>
      <c r="AJ847" s="89" t="n">
        <v>102.9379</v>
      </c>
      <c r="AK847" s="89" t="n">
        <v>52.46172</v>
      </c>
      <c r="AL847" s="89" t="n"/>
      <c r="AM847" s="89" t="n">
        <v>68.95456</v>
      </c>
      <c r="AN847" s="89" t="n"/>
      <c r="AO847" s="89" t="n">
        <v>61.01031</v>
      </c>
      <c r="AP847" s="89" t="n">
        <v>77.53879000000001</v>
      </c>
      <c r="AQ847" s="89" t="n"/>
      <c r="AR847" s="89" t="n"/>
      <c r="AS847" s="89" t="n"/>
      <c r="AT847" s="89" t="n"/>
      <c r="AU847" s="89" t="n"/>
      <c r="AV847" s="89" t="n"/>
      <c r="AW847" s="89" t="n"/>
      <c r="AX847" s="89" t="n">
        <v>28.99758</v>
      </c>
      <c r="AY847" s="89" t="n">
        <v>79.27512</v>
      </c>
    </row>
    <row r="848">
      <c r="A848" t="inlineStr">
        <is>
          <t>1989-07</t>
        </is>
      </c>
      <c r="B848" s="1" t="n">
        <v>32690</v>
      </c>
      <c r="C848" s="88" t="n">
        <v>848</v>
      </c>
      <c r="E848" s="1">
        <f>B848</f>
        <v/>
      </c>
      <c r="F848" s="2">
        <f>B848</f>
        <v/>
      </c>
      <c r="G848" s="88" t="n">
        <v>846</v>
      </c>
      <c r="H848" s="89" t="n"/>
      <c r="I848" s="89" t="n"/>
      <c r="J848" s="89" t="n">
        <v>63.92083</v>
      </c>
      <c r="K848" s="89" t="n">
        <v>69.70350999999999</v>
      </c>
      <c r="L848" s="89" t="n"/>
      <c r="M848" s="89" t="n"/>
      <c r="N848" s="89" t="n">
        <v>69.24709</v>
      </c>
      <c r="O848" s="89" t="n">
        <v>79.03085</v>
      </c>
      <c r="P848" s="89" t="n">
        <v>101.4567</v>
      </c>
      <c r="Q848" s="89" t="n"/>
      <c r="R848" s="89" t="n">
        <v>77.31831</v>
      </c>
      <c r="S848" s="89" t="n">
        <v>90.32446</v>
      </c>
      <c r="T848" s="89" t="n">
        <v>96.87641000000001</v>
      </c>
      <c r="U848" s="89" t="n">
        <v>128.4402</v>
      </c>
      <c r="V848" s="89" t="n">
        <v>44.00027</v>
      </c>
      <c r="W848" s="89" t="n">
        <v>14.81476</v>
      </c>
      <c r="X848" s="89" t="n"/>
      <c r="Y848" s="89" t="n"/>
      <c r="Z848" s="89" t="n">
        <v>110.0126</v>
      </c>
      <c r="AA848" s="89" t="n">
        <v>99.38200000000001</v>
      </c>
      <c r="AB848" s="89" t="n">
        <v>19.70163</v>
      </c>
      <c r="AC848" s="89" t="n">
        <v>71.89577</v>
      </c>
      <c r="AD848" s="89" t="n"/>
      <c r="AE848" s="89" t="n">
        <v>63.1147</v>
      </c>
      <c r="AF848" s="89" t="n">
        <v>75.02339000000001</v>
      </c>
      <c r="AG848" s="89" t="n">
        <v>84.95026</v>
      </c>
      <c r="AH848" s="89" t="n">
        <v>65.86476999999999</v>
      </c>
      <c r="AI848" s="89" t="n">
        <v>37.83374</v>
      </c>
      <c r="AJ848" s="89" t="n">
        <v>101.0023</v>
      </c>
      <c r="AK848" s="89" t="n">
        <v>42.21499</v>
      </c>
      <c r="AL848" s="89" t="n"/>
      <c r="AM848" s="89" t="n">
        <v>67.2307</v>
      </c>
      <c r="AN848" s="89" t="n"/>
      <c r="AO848" s="89" t="n">
        <v>60.45005</v>
      </c>
      <c r="AP848" s="89" t="n">
        <v>76.86263</v>
      </c>
      <c r="AQ848" s="89" t="n"/>
      <c r="AR848" s="89" t="n"/>
      <c r="AS848" s="89" t="n"/>
      <c r="AT848" s="89" t="n"/>
      <c r="AU848" s="89" t="n"/>
      <c r="AV848" s="89" t="n"/>
      <c r="AW848" s="89" t="n"/>
      <c r="AX848" s="89" t="n">
        <v>29.69753</v>
      </c>
      <c r="AY848" s="89" t="n">
        <v>78.41148</v>
      </c>
    </row>
    <row r="849">
      <c r="A849" t="inlineStr">
        <is>
          <t>1989-08</t>
        </is>
      </c>
      <c r="B849" s="1" t="n">
        <v>32721</v>
      </c>
      <c r="C849" s="88" t="n">
        <v>849</v>
      </c>
      <c r="E849" s="1">
        <f>B849</f>
        <v/>
      </c>
      <c r="F849" s="2">
        <f>B849</f>
        <v/>
      </c>
      <c r="G849" s="88" t="n">
        <v>847</v>
      </c>
      <c r="H849" s="89" t="n"/>
      <c r="I849" s="89" t="n"/>
      <c r="J849" s="89" t="n">
        <v>62.50771</v>
      </c>
      <c r="K849" s="89" t="n">
        <v>69.82334</v>
      </c>
      <c r="L849" s="89" t="n"/>
      <c r="M849" s="89" t="n"/>
      <c r="N849" s="89" t="n">
        <v>69.06193</v>
      </c>
      <c r="O849" s="89" t="n">
        <v>77.83342</v>
      </c>
      <c r="P849" s="89" t="n">
        <v>99.45916</v>
      </c>
      <c r="Q849" s="89" t="n"/>
      <c r="R849" s="89" t="n">
        <v>68.87822</v>
      </c>
      <c r="S849" s="89" t="n">
        <v>90.32446</v>
      </c>
      <c r="T849" s="89" t="n">
        <v>98.92722000000001</v>
      </c>
      <c r="U849" s="89" t="n">
        <v>128.208</v>
      </c>
      <c r="V849" s="89" t="n">
        <v>44.22408</v>
      </c>
      <c r="W849" s="89" t="n">
        <v>12.70158</v>
      </c>
      <c r="X849" s="89" t="n"/>
      <c r="Y849" s="89" t="n"/>
      <c r="Z849" s="89" t="n">
        <v>109.5405</v>
      </c>
      <c r="AA849" s="89" t="n">
        <v>101.106</v>
      </c>
      <c r="AB849" s="89" t="n">
        <v>20.4219</v>
      </c>
      <c r="AC849" s="89" t="n">
        <v>77.85983</v>
      </c>
      <c r="AD849" s="89" t="n"/>
      <c r="AE849" s="89" t="n">
        <v>63.62078</v>
      </c>
      <c r="AF849" s="89" t="n">
        <v>75.44765</v>
      </c>
      <c r="AG849" s="89" t="n">
        <v>85.38759</v>
      </c>
      <c r="AH849" s="89" t="n">
        <v>66.23447</v>
      </c>
      <c r="AI849" s="89" t="n">
        <v>36.713</v>
      </c>
      <c r="AJ849" s="89" t="n">
        <v>103.7058</v>
      </c>
      <c r="AK849" s="89" t="n">
        <v>34.4474</v>
      </c>
      <c r="AL849" s="89" t="n"/>
      <c r="AM849" s="89" t="n">
        <v>68.20755</v>
      </c>
      <c r="AN849" s="89" t="n"/>
      <c r="AO849" s="89" t="n">
        <v>61.00849</v>
      </c>
      <c r="AP849" s="89" t="n">
        <v>79.15774999999999</v>
      </c>
      <c r="AQ849" s="89" t="n"/>
      <c r="AR849" s="89" t="n"/>
      <c r="AS849" s="89" t="n"/>
      <c r="AT849" s="89" t="n"/>
      <c r="AU849" s="89" t="n"/>
      <c r="AV849" s="89" t="n"/>
      <c r="AW849" s="89" t="n"/>
      <c r="AX849" s="89" t="n">
        <v>29.09758</v>
      </c>
      <c r="AY849" s="89" t="n">
        <v>78.31004</v>
      </c>
    </row>
    <row r="850">
      <c r="A850" t="inlineStr">
        <is>
          <t>1989-09</t>
        </is>
      </c>
      <c r="B850" s="1" t="n">
        <v>32752</v>
      </c>
      <c r="C850" s="88" t="n">
        <v>850</v>
      </c>
      <c r="E850" s="1">
        <f>B850</f>
        <v/>
      </c>
      <c r="F850" s="2">
        <f>B850</f>
        <v/>
      </c>
      <c r="G850" s="88" t="n">
        <v>848</v>
      </c>
      <c r="H850" s="89" t="n"/>
      <c r="I850" s="89" t="n"/>
      <c r="J850" s="89" t="n">
        <v>61.69985</v>
      </c>
      <c r="K850" s="89" t="n">
        <v>70.01177</v>
      </c>
      <c r="L850" s="89" t="n"/>
      <c r="M850" s="89" t="n"/>
      <c r="N850" s="89" t="n">
        <v>69.43223999999999</v>
      </c>
      <c r="O850" s="89" t="n">
        <v>80.66373</v>
      </c>
      <c r="P850" s="89" t="n">
        <v>101.3351</v>
      </c>
      <c r="Q850" s="89" t="n"/>
      <c r="R850" s="89" t="n">
        <v>66.69441999999999</v>
      </c>
      <c r="S850" s="89" t="n">
        <v>90.23248</v>
      </c>
      <c r="T850" s="89" t="n">
        <v>98.43893</v>
      </c>
      <c r="U850" s="89" t="n">
        <v>127.1936</v>
      </c>
      <c r="V850" s="89" t="n">
        <v>43.59742</v>
      </c>
      <c r="W850" s="89" t="n">
        <v>13.08375</v>
      </c>
      <c r="X850" s="89" t="n"/>
      <c r="Y850" s="89" t="n"/>
      <c r="Z850" s="89" t="n">
        <v>112.1373</v>
      </c>
      <c r="AA850" s="89" t="n">
        <v>100.8017</v>
      </c>
      <c r="AB850" s="89" t="n">
        <v>19.93466</v>
      </c>
      <c r="AC850" s="89" t="n">
        <v>72.12059000000001</v>
      </c>
      <c r="AD850" s="89" t="n"/>
      <c r="AE850" s="89" t="n">
        <v>62.68092</v>
      </c>
      <c r="AF850" s="89" t="n">
        <v>76.08405</v>
      </c>
      <c r="AG850" s="89" t="n">
        <v>85.71558</v>
      </c>
      <c r="AH850" s="89" t="n">
        <v>66.22906</v>
      </c>
      <c r="AI850" s="89" t="n">
        <v>38.40863</v>
      </c>
      <c r="AJ850" s="89" t="n">
        <v>105.2039</v>
      </c>
      <c r="AK850" s="89" t="n">
        <v>43.51059</v>
      </c>
      <c r="AL850" s="89" t="n"/>
      <c r="AM850" s="89" t="n">
        <v>68.83964</v>
      </c>
      <c r="AN850" s="89" t="n"/>
      <c r="AO850" s="89" t="n">
        <v>60.79583</v>
      </c>
      <c r="AP850" s="89" t="n">
        <v>77.55783</v>
      </c>
      <c r="AQ850" s="89" t="n"/>
      <c r="AR850" s="89" t="n"/>
      <c r="AS850" s="89" t="n"/>
      <c r="AT850" s="89" t="n"/>
      <c r="AU850" s="89" t="n"/>
      <c r="AV850" s="89" t="n"/>
      <c r="AW850" s="89" t="n"/>
      <c r="AX850" s="89" t="n">
        <v>29.49754</v>
      </c>
      <c r="AY850" s="89" t="n">
        <v>77.11</v>
      </c>
    </row>
    <row r="851">
      <c r="A851" t="inlineStr">
        <is>
          <t>1989-10</t>
        </is>
      </c>
      <c r="B851" s="1" t="n">
        <v>32782</v>
      </c>
      <c r="C851" s="88" t="n">
        <v>851</v>
      </c>
      <c r="E851" s="1">
        <f>B851</f>
        <v/>
      </c>
      <c r="F851" s="2">
        <f>B851</f>
        <v/>
      </c>
      <c r="G851" s="88" t="n">
        <v>849</v>
      </c>
      <c r="H851" s="89" t="n"/>
      <c r="I851" s="89" t="n"/>
      <c r="J851" s="89" t="n">
        <v>61.41624</v>
      </c>
      <c r="K851" s="89" t="n">
        <v>69.16547</v>
      </c>
      <c r="L851" s="89" t="n"/>
      <c r="M851" s="89" t="n"/>
      <c r="N851" s="89" t="n">
        <v>69.61739</v>
      </c>
      <c r="O851" s="89" t="n">
        <v>83.27631</v>
      </c>
      <c r="P851" s="89" t="n">
        <v>100.1716</v>
      </c>
      <c r="Q851" s="89" t="n"/>
      <c r="R851" s="89" t="n">
        <v>66.28127000000001</v>
      </c>
      <c r="S851" s="89" t="n">
        <v>91.0603</v>
      </c>
      <c r="T851" s="89" t="n">
        <v>97.85299000000001</v>
      </c>
      <c r="U851" s="89" t="n">
        <v>129.0675</v>
      </c>
      <c r="V851" s="89" t="n">
        <v>43.19457</v>
      </c>
      <c r="W851" s="89" t="n">
        <v>13.39848</v>
      </c>
      <c r="X851" s="89" t="n"/>
      <c r="Y851" s="89" t="n"/>
      <c r="Z851" s="89" t="n">
        <v>112.6095</v>
      </c>
      <c r="AA851" s="89" t="n">
        <v>100.1933</v>
      </c>
      <c r="AB851" s="89" t="n">
        <v>19.76518</v>
      </c>
      <c r="AC851" s="89" t="n">
        <v>71.96942</v>
      </c>
      <c r="AD851" s="89" t="n"/>
      <c r="AE851" s="89" t="n">
        <v>62.68092</v>
      </c>
      <c r="AF851" s="89" t="n">
        <v>76.43759</v>
      </c>
      <c r="AG851" s="89" t="n">
        <v>85.38759</v>
      </c>
      <c r="AH851" s="89" t="n">
        <v>66.08766</v>
      </c>
      <c r="AI851" s="89" t="n">
        <v>37.07756</v>
      </c>
      <c r="AJ851" s="89" t="n">
        <v>105.6018</v>
      </c>
      <c r="AK851" s="89" t="n">
        <v>43.37358</v>
      </c>
      <c r="AL851" s="89" t="n"/>
      <c r="AM851" s="89" t="n">
        <v>69.93142</v>
      </c>
      <c r="AN851" s="89" t="n"/>
      <c r="AO851" s="89" t="n">
        <v>60.75626</v>
      </c>
      <c r="AP851" s="89" t="n">
        <v>78.12923000000001</v>
      </c>
      <c r="AQ851" s="89" t="n"/>
      <c r="AR851" s="89" t="n"/>
      <c r="AS851" s="89" t="n"/>
      <c r="AT851" s="89" t="n"/>
      <c r="AU851" s="89" t="n"/>
      <c r="AV851" s="89" t="n"/>
      <c r="AW851" s="89" t="n"/>
      <c r="AX851" s="89" t="n">
        <v>28.39763</v>
      </c>
      <c r="AY851" s="89" t="n">
        <v>77.94421</v>
      </c>
    </row>
    <row r="852">
      <c r="A852" t="inlineStr">
        <is>
          <t>1989-11</t>
        </is>
      </c>
      <c r="B852" s="1" t="n">
        <v>32813</v>
      </c>
      <c r="C852" s="88" t="n">
        <v>852</v>
      </c>
      <c r="E852" s="1">
        <f>B852</f>
        <v/>
      </c>
      <c r="F852" s="2">
        <f>B852</f>
        <v/>
      </c>
      <c r="G852" s="88" t="n">
        <v>850</v>
      </c>
      <c r="H852" s="89" t="n"/>
      <c r="I852" s="89" t="n"/>
      <c r="J852" s="89" t="n">
        <v>62.64914</v>
      </c>
      <c r="K852" s="89" t="n">
        <v>69.8755</v>
      </c>
      <c r="L852" s="89" t="n"/>
      <c r="M852" s="89" t="n"/>
      <c r="N852" s="89" t="n">
        <v>69.92598</v>
      </c>
      <c r="O852" s="89" t="n">
        <v>82.94974999999999</v>
      </c>
      <c r="P852" s="89" t="n">
        <v>100.4698</v>
      </c>
      <c r="Q852" s="89" t="n"/>
      <c r="R852" s="89" t="n">
        <v>66.34029</v>
      </c>
      <c r="S852" s="89" t="n">
        <v>92.07207</v>
      </c>
      <c r="T852" s="89" t="n">
        <v>98.73191</v>
      </c>
      <c r="U852" s="89" t="n">
        <v>128.3717</v>
      </c>
      <c r="V852" s="89" t="n">
        <v>42.65744</v>
      </c>
      <c r="W852" s="89" t="n">
        <v>13.87057</v>
      </c>
      <c r="X852" s="89" t="n"/>
      <c r="Y852" s="89" t="n"/>
      <c r="Z852" s="89" t="n">
        <v>112.7275</v>
      </c>
      <c r="AA852" s="89" t="n">
        <v>100.9032</v>
      </c>
      <c r="AB852" s="89" t="n">
        <v>20.06177</v>
      </c>
      <c r="AC852" s="89" t="n">
        <v>73.37372999999999</v>
      </c>
      <c r="AD852" s="89" t="n"/>
      <c r="AE852" s="89" t="n">
        <v>62.75322</v>
      </c>
      <c r="AF852" s="89" t="n">
        <v>77.07398000000001</v>
      </c>
      <c r="AG852" s="89" t="n">
        <v>84.7316</v>
      </c>
      <c r="AH852" s="89" t="n">
        <v>66.46169999999999</v>
      </c>
      <c r="AI852" s="89" t="n">
        <v>35.34741</v>
      </c>
      <c r="AJ852" s="89" t="n">
        <v>105.282</v>
      </c>
      <c r="AK852" s="89" t="n">
        <v>58.61019</v>
      </c>
      <c r="AL852" s="89" t="n"/>
      <c r="AM852" s="89" t="n">
        <v>69.93142</v>
      </c>
      <c r="AN852" s="89" t="n"/>
      <c r="AO852" s="89" t="n">
        <v>60.95547</v>
      </c>
      <c r="AP852" s="89" t="n">
        <v>78.06256999999999</v>
      </c>
      <c r="AQ852" s="89" t="n"/>
      <c r="AR852" s="89" t="n"/>
      <c r="AS852" s="89" t="n"/>
      <c r="AT852" s="89" t="n"/>
      <c r="AU852" s="89" t="n"/>
      <c r="AV852" s="89" t="n"/>
      <c r="AW852" s="89" t="n"/>
      <c r="AX852" s="89" t="n">
        <v>29.09758</v>
      </c>
      <c r="AY852" s="89" t="n">
        <v>77.17474</v>
      </c>
    </row>
    <row r="853">
      <c r="A853" t="inlineStr">
        <is>
          <t>1989-12</t>
        </is>
      </c>
      <c r="B853" s="1" t="n">
        <v>32843</v>
      </c>
      <c r="C853" s="88" t="n">
        <v>853</v>
      </c>
      <c r="E853" s="1">
        <f>B853</f>
        <v/>
      </c>
      <c r="F853" s="2">
        <f>B853</f>
        <v/>
      </c>
      <c r="G853" s="88" t="n">
        <v>851</v>
      </c>
      <c r="H853" s="89" t="n"/>
      <c r="I853" s="89" t="n"/>
      <c r="J853" s="89" t="n">
        <v>62.93592</v>
      </c>
      <c r="K853" s="89" t="n">
        <v>70.64333000000001</v>
      </c>
      <c r="L853" s="89" t="n"/>
      <c r="M853" s="89" t="n"/>
      <c r="N853" s="89" t="n">
        <v>71.09860999999999</v>
      </c>
      <c r="O853" s="89" t="n">
        <v>86.32434000000001</v>
      </c>
      <c r="P853" s="89" t="n">
        <v>100.5684</v>
      </c>
      <c r="Q853" s="89" t="n"/>
      <c r="R853" s="89" t="n">
        <v>65.75008</v>
      </c>
      <c r="S853" s="89" t="n">
        <v>92.34801</v>
      </c>
      <c r="T853" s="89" t="n">
        <v>98.53659</v>
      </c>
      <c r="U853" s="89" t="n">
        <v>128.3604</v>
      </c>
      <c r="V853" s="89" t="n">
        <v>39.30035</v>
      </c>
      <c r="W853" s="89" t="n">
        <v>14.16282</v>
      </c>
      <c r="X853" s="89" t="n"/>
      <c r="Y853" s="89" t="n"/>
      <c r="Z853" s="89" t="n">
        <v>113.5538</v>
      </c>
      <c r="AA853" s="89" t="n">
        <v>101.5116</v>
      </c>
      <c r="AB853" s="89" t="n">
        <v>19.95584</v>
      </c>
      <c r="AC853" s="89" t="n">
        <v>73.39713</v>
      </c>
      <c r="AD853" s="89" t="n"/>
      <c r="AE853" s="89" t="n">
        <v>62.82552</v>
      </c>
      <c r="AF853" s="89" t="n">
        <v>79.40742</v>
      </c>
      <c r="AG853" s="89" t="n">
        <v>83.96629</v>
      </c>
      <c r="AH853" s="89" t="n">
        <v>66.91104</v>
      </c>
      <c r="AI853" s="89" t="n">
        <v>38.05149</v>
      </c>
      <c r="AJ853" s="89" t="n">
        <v>105.2546</v>
      </c>
      <c r="AK853" s="89" t="n">
        <v>62.52831</v>
      </c>
      <c r="AL853" s="89" t="n"/>
      <c r="AM853" s="89" t="n">
        <v>70.67843000000001</v>
      </c>
      <c r="AN853" s="89" t="n"/>
      <c r="AO853" s="89" t="n">
        <v>61.32536</v>
      </c>
      <c r="AP853" s="89" t="n">
        <v>78.77682</v>
      </c>
      <c r="AQ853" s="89" t="n"/>
      <c r="AR853" s="89" t="n"/>
      <c r="AS853" s="89" t="n"/>
      <c r="AT853" s="89" t="n"/>
      <c r="AU853" s="89" t="n"/>
      <c r="AV853" s="89" t="n"/>
      <c r="AW853" s="89" t="n"/>
      <c r="AX853" s="89" t="n">
        <v>29.49754</v>
      </c>
      <c r="AY853" s="89" t="n">
        <v>78.61945</v>
      </c>
    </row>
    <row r="854">
      <c r="A854" t="inlineStr">
        <is>
          <t>1990-01</t>
        </is>
      </c>
      <c r="B854" s="1" t="n">
        <v>32874</v>
      </c>
      <c r="C854" s="88" t="n">
        <v>854</v>
      </c>
      <c r="E854" s="1">
        <f>B854</f>
        <v/>
      </c>
      <c r="F854" s="2">
        <f>B854</f>
        <v/>
      </c>
      <c r="G854" s="88" t="n">
        <v>852</v>
      </c>
      <c r="H854" s="89" t="n"/>
      <c r="I854" s="89" t="n"/>
      <c r="J854" s="89" t="n">
        <v>64.09998</v>
      </c>
      <c r="K854" s="89" t="n">
        <v>69.05504000000001</v>
      </c>
      <c r="L854" s="89" t="n"/>
      <c r="M854" s="89" t="n">
        <v>68.2668</v>
      </c>
      <c r="N854" s="89" t="n">
        <v>70.97517000000001</v>
      </c>
      <c r="O854" s="89" t="n">
        <v>83.0586</v>
      </c>
      <c r="P854" s="89" t="n">
        <v>100.9223</v>
      </c>
      <c r="Q854" s="89" t="n"/>
      <c r="R854" s="89" t="n">
        <v>68.89172000000001</v>
      </c>
      <c r="S854" s="89" t="n">
        <v>91.33076</v>
      </c>
      <c r="T854" s="89" t="n">
        <v>97.56001000000001</v>
      </c>
      <c r="U854" s="89" t="n">
        <v>126.8894</v>
      </c>
      <c r="V854" s="89" t="n">
        <v>42.20982</v>
      </c>
      <c r="W854" s="89" t="n">
        <v>13.42507</v>
      </c>
      <c r="X854" s="89" t="n"/>
      <c r="Y854" s="89" t="n">
        <v>39.013</v>
      </c>
      <c r="Z854" s="89" t="n">
        <v>110.1908</v>
      </c>
      <c r="AA854" s="89" t="n">
        <v>100.9032</v>
      </c>
      <c r="AB854" s="89" t="n">
        <v>19.76735</v>
      </c>
      <c r="AC854" s="89" t="n">
        <v>71.46749</v>
      </c>
      <c r="AD854" s="89" t="n"/>
      <c r="AE854" s="89" t="n">
        <v>64.99441</v>
      </c>
      <c r="AF854" s="89" t="n">
        <v>76.62911</v>
      </c>
      <c r="AG854" s="89" t="n">
        <v>84.07561</v>
      </c>
      <c r="AH854" s="89" t="n">
        <v>66.57353000000001</v>
      </c>
      <c r="AI854" s="89" t="n">
        <v>31.23841</v>
      </c>
      <c r="AJ854" s="89" t="n">
        <v>106.9245</v>
      </c>
      <c r="AK854" s="89" t="n">
        <v>43.16763</v>
      </c>
      <c r="AL854" s="89" t="n"/>
      <c r="AM854" s="89" t="n">
        <v>69.72908</v>
      </c>
      <c r="AN854" s="89" t="n"/>
      <c r="AO854" s="89" t="n">
        <v>60.91821</v>
      </c>
      <c r="AP854" s="89" t="n">
        <v>78.86253000000001</v>
      </c>
      <c r="AQ854" s="89" t="n"/>
      <c r="AR854" s="89" t="n"/>
      <c r="AS854" s="89" t="n"/>
      <c r="AT854" s="89" t="n"/>
      <c r="AU854" s="89" t="n"/>
      <c r="AV854" s="89" t="n"/>
      <c r="AW854" s="89" t="n"/>
      <c r="AX854" s="89" t="n">
        <v>29.89751</v>
      </c>
      <c r="AY854" s="89" t="n">
        <v>76.83158</v>
      </c>
    </row>
    <row r="855">
      <c r="A855" t="inlineStr">
        <is>
          <t>1990-02</t>
        </is>
      </c>
      <c r="B855" s="1" t="n">
        <v>32905</v>
      </c>
      <c r="C855" s="88" t="n">
        <v>855</v>
      </c>
      <c r="E855" s="1">
        <f>B855</f>
        <v/>
      </c>
      <c r="F855" s="2">
        <f>B855</f>
        <v/>
      </c>
      <c r="G855" s="88" t="n">
        <v>853</v>
      </c>
      <c r="H855" s="89" t="n"/>
      <c r="I855" s="89" t="n"/>
      <c r="J855" s="89" t="n">
        <v>63.39102</v>
      </c>
      <c r="K855" s="89" t="n">
        <v>69.41452</v>
      </c>
      <c r="L855" s="89" t="n"/>
      <c r="M855" s="89" t="n">
        <v>65.45076</v>
      </c>
      <c r="N855" s="89" t="n">
        <v>70.66659</v>
      </c>
      <c r="O855" s="89" t="n">
        <v>82.40545</v>
      </c>
      <c r="P855" s="89" t="n">
        <v>98.39785000000001</v>
      </c>
      <c r="Q855" s="89" t="n"/>
      <c r="R855" s="89" t="n">
        <v>68.81343</v>
      </c>
      <c r="S855" s="89" t="n">
        <v>92.84077000000001</v>
      </c>
      <c r="T855" s="89" t="n">
        <v>96.97407</v>
      </c>
      <c r="U855" s="89" t="n">
        <v>131.7846</v>
      </c>
      <c r="V855" s="89" t="n">
        <v>40.7327</v>
      </c>
      <c r="W855" s="89" t="n">
        <v>13.66268</v>
      </c>
      <c r="X855" s="89" t="n"/>
      <c r="Y855" s="89" t="n">
        <v>39.22312</v>
      </c>
      <c r="Z855" s="89" t="n">
        <v>110.7908</v>
      </c>
      <c r="AA855" s="89" t="n">
        <v>101.4102</v>
      </c>
      <c r="AB855" s="89" t="n">
        <v>20.22931</v>
      </c>
      <c r="AC855" s="89" t="n">
        <v>74.51087</v>
      </c>
      <c r="AD855" s="89" t="n"/>
      <c r="AE855" s="89" t="n">
        <v>64.48833</v>
      </c>
      <c r="AF855" s="89" t="n">
        <v>73.00581</v>
      </c>
      <c r="AG855" s="89" t="n">
        <v>84.84093</v>
      </c>
      <c r="AH855" s="89" t="n">
        <v>66.74626000000001</v>
      </c>
      <c r="AI855" s="89" t="n">
        <v>28.74194</v>
      </c>
      <c r="AJ855" s="89" t="n">
        <v>105.6852</v>
      </c>
      <c r="AK855" s="89" t="n">
        <v>45.4548</v>
      </c>
      <c r="AL855" s="89" t="n"/>
      <c r="AM855" s="89" t="n">
        <v>69.72908</v>
      </c>
      <c r="AN855" s="89" t="n"/>
      <c r="AO855" s="89" t="n">
        <v>61.51545</v>
      </c>
      <c r="AP855" s="89" t="n">
        <v>79.78628999999999</v>
      </c>
      <c r="AQ855" s="89" t="n"/>
      <c r="AR855" s="89" t="n"/>
      <c r="AS855" s="89" t="n"/>
      <c r="AT855" s="89" t="n"/>
      <c r="AU855" s="89" t="n"/>
      <c r="AV855" s="89" t="n"/>
      <c r="AW855" s="89" t="n"/>
      <c r="AX855" s="89" t="n">
        <v>30.99742</v>
      </c>
      <c r="AY855" s="89" t="n">
        <v>76.11921</v>
      </c>
    </row>
    <row r="856">
      <c r="A856" t="inlineStr">
        <is>
          <t>1990-03</t>
        </is>
      </c>
      <c r="B856" s="1" t="n">
        <v>32933</v>
      </c>
      <c r="C856" s="88" t="n">
        <v>856</v>
      </c>
      <c r="E856" s="1">
        <f>B856</f>
        <v/>
      </c>
      <c r="F856" s="2">
        <f>B856</f>
        <v/>
      </c>
      <c r="G856" s="88" t="n">
        <v>854</v>
      </c>
      <c r="H856" s="89" t="n"/>
      <c r="I856" s="89" t="n"/>
      <c r="J856" s="89" t="n">
        <v>65.01712000000001</v>
      </c>
      <c r="K856" s="89" t="n">
        <v>69.75332</v>
      </c>
      <c r="L856" s="89" t="n"/>
      <c r="M856" s="89" t="n">
        <v>79.93689999999999</v>
      </c>
      <c r="N856" s="89" t="n">
        <v>71.34547999999999</v>
      </c>
      <c r="O856" s="89" t="n">
        <v>83.60289</v>
      </c>
      <c r="P856" s="89" t="n">
        <v>99.4235</v>
      </c>
      <c r="Q856" s="89" t="n"/>
      <c r="R856" s="89" t="n">
        <v>68.41082</v>
      </c>
      <c r="S856" s="89" t="n">
        <v>92.41077</v>
      </c>
      <c r="T856" s="89" t="n">
        <v>98.24362000000001</v>
      </c>
      <c r="U856" s="89" t="n">
        <v>126.3963</v>
      </c>
      <c r="V856" s="89" t="n">
        <v>40.41938</v>
      </c>
      <c r="W856" s="89" t="n">
        <v>14.13791</v>
      </c>
      <c r="X856" s="89" t="n"/>
      <c r="Y856" s="89" t="n">
        <v>38.87292</v>
      </c>
      <c r="Z856" s="89" t="n">
        <v>111.1907</v>
      </c>
      <c r="AA856" s="89" t="n">
        <v>103.2356</v>
      </c>
      <c r="AB856" s="89" t="n">
        <v>20.76527</v>
      </c>
      <c r="AC856" s="89" t="n">
        <v>70.42985</v>
      </c>
      <c r="AD856" s="89" t="n"/>
      <c r="AE856" s="89" t="n">
        <v>66.36803</v>
      </c>
      <c r="AF856" s="89" t="n">
        <v>74.70182</v>
      </c>
      <c r="AG856" s="89" t="n">
        <v>83.74762</v>
      </c>
      <c r="AH856" s="89" t="n">
        <v>67.53918</v>
      </c>
      <c r="AI856" s="89" t="n">
        <v>28.75564</v>
      </c>
      <c r="AJ856" s="89" t="n">
        <v>108.6092</v>
      </c>
      <c r="AK856" s="89" t="n">
        <v>44.78443</v>
      </c>
      <c r="AL856" s="89" t="n"/>
      <c r="AM856" s="89" t="n">
        <v>70.33629999999999</v>
      </c>
      <c r="AN856" s="89" t="n"/>
      <c r="AO856" s="89" t="n">
        <v>61.81647</v>
      </c>
      <c r="AP856" s="89" t="n">
        <v>79.55772</v>
      </c>
      <c r="AQ856" s="89" t="n"/>
      <c r="AR856" s="89" t="n"/>
      <c r="AS856" s="89" t="n"/>
      <c r="AT856" s="89" t="n"/>
      <c r="AU856" s="89" t="n"/>
      <c r="AV856" s="89" t="n"/>
      <c r="AW856" s="89" t="n"/>
      <c r="AX856" s="89" t="n">
        <v>31.99733</v>
      </c>
      <c r="AY856" s="89" t="n">
        <v>70.22132000000001</v>
      </c>
    </row>
    <row r="857">
      <c r="A857" t="inlineStr">
        <is>
          <t>1990-04</t>
        </is>
      </c>
      <c r="B857" s="1" t="n">
        <v>32964</v>
      </c>
      <c r="C857" s="88" t="n">
        <v>857</v>
      </c>
      <c r="E857" s="1">
        <f>B857</f>
        <v/>
      </c>
      <c r="F857" s="2">
        <f>B857</f>
        <v/>
      </c>
      <c r="G857" s="88" t="n">
        <v>855</v>
      </c>
      <c r="H857" s="89" t="n"/>
      <c r="I857" s="89" t="n"/>
      <c r="J857" s="89" t="n">
        <v>62.14593</v>
      </c>
      <c r="K857" s="89" t="n">
        <v>69.21857</v>
      </c>
      <c r="L857" s="89" t="n"/>
      <c r="M857" s="89" t="n">
        <v>71.75827</v>
      </c>
      <c r="N857" s="89" t="n">
        <v>70.11113</v>
      </c>
      <c r="O857" s="89" t="n">
        <v>82.29658999999999</v>
      </c>
      <c r="P857" s="89" t="n">
        <v>100.7756</v>
      </c>
      <c r="Q857" s="89" t="n"/>
      <c r="R857" s="89" t="n">
        <v>67.75098</v>
      </c>
      <c r="S857" s="89" t="n">
        <v>92.86077</v>
      </c>
      <c r="T857" s="89" t="n">
        <v>98.92722000000001</v>
      </c>
      <c r="U857" s="89" t="n">
        <v>124.7684</v>
      </c>
      <c r="V857" s="89" t="n">
        <v>40.41938</v>
      </c>
      <c r="W857" s="89" t="n">
        <v>13.36567</v>
      </c>
      <c r="X857" s="89" t="n"/>
      <c r="Y857" s="89" t="n">
        <v>39.29316</v>
      </c>
      <c r="Z857" s="89" t="n">
        <v>112.0907</v>
      </c>
      <c r="AA857" s="89" t="n">
        <v>103.4384</v>
      </c>
      <c r="AB857" s="89" t="n">
        <v>20.70028</v>
      </c>
      <c r="AC857" s="89" t="n">
        <v>73.69692000000001</v>
      </c>
      <c r="AD857" s="89" t="n"/>
      <c r="AE857" s="89" t="n">
        <v>65.78967</v>
      </c>
      <c r="AF857" s="89" t="n">
        <v>76.93747999999999</v>
      </c>
      <c r="AG857" s="89" t="n">
        <v>83.3103</v>
      </c>
      <c r="AH857" s="89" t="n">
        <v>67.37703999999999</v>
      </c>
      <c r="AI857" s="89" t="n">
        <v>28.47261</v>
      </c>
      <c r="AJ857" s="89" t="n">
        <v>111.5312</v>
      </c>
      <c r="AK857" s="89" t="n">
        <v>48.47287</v>
      </c>
      <c r="AL857" s="89" t="n"/>
      <c r="AM857" s="89" t="n">
        <v>70.1339</v>
      </c>
      <c r="AN857" s="89" t="n"/>
      <c r="AO857" s="89" t="n">
        <v>61.72253</v>
      </c>
      <c r="AP857" s="89" t="n">
        <v>79.88151999999999</v>
      </c>
      <c r="AQ857" s="89" t="n"/>
      <c r="AR857" s="89" t="n"/>
      <c r="AS857" s="89" t="n"/>
      <c r="AT857" s="89" t="n"/>
      <c r="AU857" s="89" t="n"/>
      <c r="AV857" s="89" t="n"/>
      <c r="AW857" s="89" t="n"/>
      <c r="AX857" s="89" t="n">
        <v>32.19732</v>
      </c>
      <c r="AY857" s="89" t="n">
        <v>53.5439</v>
      </c>
    </row>
    <row r="858">
      <c r="A858" t="inlineStr">
        <is>
          <t>1990-05</t>
        </is>
      </c>
      <c r="B858" s="1" t="n">
        <v>32994</v>
      </c>
      <c r="C858" s="88" t="n">
        <v>858</v>
      </c>
      <c r="E858" s="1">
        <f>B858</f>
        <v/>
      </c>
      <c r="F858" s="2">
        <f>B858</f>
        <v/>
      </c>
      <c r="G858" s="88" t="n">
        <v>856</v>
      </c>
      <c r="H858" s="89" t="n"/>
      <c r="I858" s="89" t="n"/>
      <c r="J858" s="89" t="n">
        <v>63.57159</v>
      </c>
      <c r="K858" s="89" t="n">
        <v>69.36565</v>
      </c>
      <c r="L858" s="89" t="n"/>
      <c r="M858" s="89" t="n">
        <v>73.7783</v>
      </c>
      <c r="N858" s="89" t="n">
        <v>71.90094000000001</v>
      </c>
      <c r="O858" s="89" t="n">
        <v>80.88144</v>
      </c>
      <c r="P858" s="89" t="n">
        <v>99.71254999999999</v>
      </c>
      <c r="Q858" s="89" t="n"/>
      <c r="R858" s="89" t="n">
        <v>68.51147</v>
      </c>
      <c r="S858" s="89" t="n">
        <v>93.11078000000001</v>
      </c>
      <c r="T858" s="89" t="n">
        <v>98.34128</v>
      </c>
      <c r="U858" s="89" t="n">
        <v>128.4576</v>
      </c>
      <c r="V858" s="89" t="n">
        <v>40.24033</v>
      </c>
      <c r="W858" s="89" t="n">
        <v>13.78149</v>
      </c>
      <c r="X858" s="89" t="n"/>
      <c r="Y858" s="89" t="n">
        <v>40.41383</v>
      </c>
      <c r="Z858" s="89" t="n">
        <v>110.7908</v>
      </c>
      <c r="AA858" s="89" t="n">
        <v>104.1483</v>
      </c>
      <c r="AB858" s="89" t="n">
        <v>20.3683</v>
      </c>
      <c r="AC858" s="89" t="n">
        <v>72.79539</v>
      </c>
      <c r="AD858" s="89" t="n"/>
      <c r="AE858" s="89" t="n">
        <v>66.72951999999999</v>
      </c>
      <c r="AF858" s="89" t="n">
        <v>76.01237</v>
      </c>
      <c r="AG858" s="89" t="n">
        <v>86.59023000000001</v>
      </c>
      <c r="AH858" s="89" t="n">
        <v>67.53964000000001</v>
      </c>
      <c r="AI858" s="89" t="n">
        <v>28.80935</v>
      </c>
      <c r="AJ858" s="89" t="n">
        <v>110.7592</v>
      </c>
      <c r="AK858" s="89" t="n">
        <v>48.16034</v>
      </c>
      <c r="AL858" s="89" t="n"/>
      <c r="AM858" s="89" t="n">
        <v>70.33629999999999</v>
      </c>
      <c r="AN858" s="89" t="n"/>
      <c r="AO858" s="89" t="n">
        <v>61.85422</v>
      </c>
      <c r="AP858" s="89" t="n">
        <v>79.86247</v>
      </c>
      <c r="AQ858" s="89" t="n"/>
      <c r="AR858" s="89" t="n"/>
      <c r="AS858" s="89" t="n"/>
      <c r="AT858" s="89" t="n"/>
      <c r="AU858" s="89" t="n"/>
      <c r="AV858" s="89" t="n"/>
      <c r="AW858" s="89" t="n"/>
      <c r="AX858" s="89" t="n">
        <v>30.39747</v>
      </c>
      <c r="AY858" s="89" t="n">
        <v>67.01415</v>
      </c>
    </row>
    <row r="859">
      <c r="A859" t="inlineStr">
        <is>
          <t>1990-06</t>
        </is>
      </c>
      <c r="B859" s="1" t="n">
        <v>33025</v>
      </c>
      <c r="C859" s="88" t="n">
        <v>859</v>
      </c>
      <c r="E859" s="1">
        <f>B859</f>
        <v/>
      </c>
      <c r="F859" s="2">
        <f>B859</f>
        <v/>
      </c>
      <c r="G859" s="88" t="n">
        <v>857</v>
      </c>
      <c r="H859" s="89" t="n"/>
      <c r="I859" s="89" t="n"/>
      <c r="J859" s="89" t="n">
        <v>63.9987</v>
      </c>
      <c r="K859" s="89" t="n">
        <v>69.46809</v>
      </c>
      <c r="L859" s="89" t="n"/>
      <c r="M859" s="89" t="n">
        <v>77.14591</v>
      </c>
      <c r="N859" s="89" t="n">
        <v>71.90094000000001</v>
      </c>
      <c r="O859" s="89" t="n">
        <v>80.01057</v>
      </c>
      <c r="P859" s="89" t="n">
        <v>102.3183</v>
      </c>
      <c r="Q859" s="89" t="n"/>
      <c r="R859" s="89" t="n">
        <v>67.24771</v>
      </c>
      <c r="S859" s="89" t="n">
        <v>91.72076</v>
      </c>
      <c r="T859" s="89" t="n">
        <v>99.80614</v>
      </c>
      <c r="U859" s="89" t="n">
        <v>126.696</v>
      </c>
      <c r="V859" s="89" t="n">
        <v>39.74796</v>
      </c>
      <c r="W859" s="89" t="n">
        <v>14.19731</v>
      </c>
      <c r="X859" s="89" t="n"/>
      <c r="Y859" s="89" t="n">
        <v>39.3632</v>
      </c>
      <c r="Z859" s="89" t="n">
        <v>109.6909</v>
      </c>
      <c r="AA859" s="89" t="n">
        <v>104.4525</v>
      </c>
      <c r="AB859" s="89" t="n">
        <v>20.76527</v>
      </c>
      <c r="AC859" s="89" t="n">
        <v>78.39294</v>
      </c>
      <c r="AD859" s="89" t="n"/>
      <c r="AE859" s="89" t="n">
        <v>66.87411</v>
      </c>
      <c r="AF859" s="89" t="n">
        <v>77.24584</v>
      </c>
      <c r="AG859" s="89" t="n">
        <v>87.90221</v>
      </c>
      <c r="AH859" s="89" t="n">
        <v>67.75219</v>
      </c>
      <c r="AI859" s="89" t="n">
        <v>28.46594</v>
      </c>
      <c r="AJ859" s="89" t="n">
        <v>110.7635</v>
      </c>
      <c r="AK859" s="89" t="n">
        <v>45.51956</v>
      </c>
      <c r="AL859" s="89" t="n"/>
      <c r="AM859" s="89" t="n">
        <v>70.4375</v>
      </c>
      <c r="AN859" s="89" t="n"/>
      <c r="AO859" s="89" t="n">
        <v>62.05285</v>
      </c>
      <c r="AP859" s="89" t="n">
        <v>79.34820999999999</v>
      </c>
      <c r="AQ859" s="89" t="n"/>
      <c r="AR859" s="89" t="n"/>
      <c r="AS859" s="89" t="n"/>
      <c r="AT859" s="89" t="n"/>
      <c r="AU859" s="89" t="n"/>
      <c r="AV859" s="89" t="n"/>
      <c r="AW859" s="89" t="n"/>
      <c r="AX859" s="89" t="n">
        <v>31.1974</v>
      </c>
      <c r="AY859" s="89" t="n">
        <v>66.79494</v>
      </c>
    </row>
    <row r="860">
      <c r="A860" t="inlineStr">
        <is>
          <t>1990-07</t>
        </is>
      </c>
      <c r="B860" s="1" t="n">
        <v>33055</v>
      </c>
      <c r="C860" s="88" t="n">
        <v>860</v>
      </c>
      <c r="E860" s="1">
        <f>B860</f>
        <v/>
      </c>
      <c r="F860" s="2">
        <f>B860</f>
        <v/>
      </c>
      <c r="G860" s="88" t="n">
        <v>858</v>
      </c>
      <c r="H860" s="89" t="n"/>
      <c r="I860" s="89" t="n"/>
      <c r="J860" s="89" t="n">
        <v>61.36292</v>
      </c>
      <c r="K860" s="89" t="n">
        <v>69.53152</v>
      </c>
      <c r="L860" s="89" t="n"/>
      <c r="M860" s="89" t="n">
        <v>78.1865</v>
      </c>
      <c r="N860" s="89" t="n">
        <v>72.57983</v>
      </c>
      <c r="O860" s="89" t="n">
        <v>82.18774000000001</v>
      </c>
      <c r="P860" s="89" t="n">
        <v>99.26899</v>
      </c>
      <c r="Q860" s="89" t="n"/>
      <c r="R860" s="89" t="n">
        <v>66.20762999999999</v>
      </c>
      <c r="S860" s="89" t="n">
        <v>91.79076000000001</v>
      </c>
      <c r="T860" s="89" t="n">
        <v>97.46236</v>
      </c>
      <c r="U860" s="89" t="n">
        <v>128.2893</v>
      </c>
      <c r="V860" s="89" t="n">
        <v>37.86798</v>
      </c>
      <c r="W860" s="89" t="n">
        <v>14.25671</v>
      </c>
      <c r="X860" s="89" t="n"/>
      <c r="Y860" s="89" t="n">
        <v>39.71341</v>
      </c>
      <c r="Z860" s="89" t="n">
        <v>109.9908</v>
      </c>
      <c r="AA860" s="89" t="n">
        <v>105.3652</v>
      </c>
      <c r="AB860" s="89" t="n">
        <v>21.43121</v>
      </c>
      <c r="AC860" s="89" t="n">
        <v>75.0929</v>
      </c>
      <c r="AD860" s="89" t="n"/>
      <c r="AE860" s="89" t="n">
        <v>67.81395999999999</v>
      </c>
      <c r="AF860" s="89" t="n">
        <v>77.40002</v>
      </c>
      <c r="AG860" s="89" t="n">
        <v>79.48371</v>
      </c>
      <c r="AH860" s="89" t="n">
        <v>67.79319</v>
      </c>
      <c r="AI860" s="89" t="n">
        <v>29.57021</v>
      </c>
      <c r="AJ860" s="89" t="n">
        <v>113.551</v>
      </c>
      <c r="AK860" s="89" t="n">
        <v>52.18872</v>
      </c>
      <c r="AL860" s="89" t="n"/>
      <c r="AM860" s="89" t="n">
        <v>68.61584000000001</v>
      </c>
      <c r="AN860" s="89" t="n"/>
      <c r="AO860" s="89" t="n">
        <v>61.97256</v>
      </c>
      <c r="AP860" s="89" t="n">
        <v>79.65295999999999</v>
      </c>
      <c r="AQ860" s="89" t="n"/>
      <c r="AR860" s="89" t="n"/>
      <c r="AS860" s="89" t="n"/>
      <c r="AT860" s="89" t="n"/>
      <c r="AU860" s="89" t="n"/>
      <c r="AV860" s="89" t="n"/>
      <c r="AW860" s="89" t="n"/>
      <c r="AX860" s="89" t="n">
        <v>30.59745</v>
      </c>
      <c r="AY860" s="89" t="n">
        <v>70.54357</v>
      </c>
    </row>
    <row r="861">
      <c r="A861" t="inlineStr">
        <is>
          <t>1990-08</t>
        </is>
      </c>
      <c r="B861" s="1" t="n">
        <v>33086</v>
      </c>
      <c r="C861" s="88" t="n">
        <v>861</v>
      </c>
      <c r="E861" s="1">
        <f>B861</f>
        <v/>
      </c>
      <c r="F861" s="2">
        <f>B861</f>
        <v/>
      </c>
      <c r="G861" s="88" t="n">
        <v>859</v>
      </c>
      <c r="H861" s="89" t="n"/>
      <c r="I861" s="89" t="n"/>
      <c r="J861" s="89" t="n">
        <v>64.21093999999999</v>
      </c>
      <c r="K861" s="89" t="n">
        <v>68.47423000000001</v>
      </c>
      <c r="L861" s="89" t="n"/>
      <c r="M861" s="89" t="n">
        <v>75.47033999999999</v>
      </c>
      <c r="N861" s="89" t="n">
        <v>73.01186</v>
      </c>
      <c r="O861" s="89" t="n">
        <v>84.03832</v>
      </c>
      <c r="P861" s="89" t="n">
        <v>97.97743</v>
      </c>
      <c r="Q861" s="89" t="n"/>
      <c r="R861" s="89" t="n">
        <v>67.48257</v>
      </c>
      <c r="S861" s="89" t="n">
        <v>91.23076</v>
      </c>
      <c r="T861" s="89" t="n">
        <v>97.56001000000001</v>
      </c>
      <c r="U861" s="89" t="n">
        <v>121.9615</v>
      </c>
      <c r="V861" s="89" t="n">
        <v>39.79272</v>
      </c>
      <c r="W861" s="89" t="n">
        <v>14.19731</v>
      </c>
      <c r="X861" s="89" t="n"/>
      <c r="Y861" s="89" t="n">
        <v>39.99358</v>
      </c>
      <c r="Z861" s="89" t="n">
        <v>111.1907</v>
      </c>
      <c r="AA861" s="89" t="n">
        <v>106.2779</v>
      </c>
      <c r="AB861" s="89" t="n">
        <v>21.96717</v>
      </c>
      <c r="AC861" s="89" t="n">
        <v>75.33438</v>
      </c>
      <c r="AD861" s="89" t="n"/>
      <c r="AE861" s="89" t="n">
        <v>67.81395999999999</v>
      </c>
      <c r="AF861" s="89" t="n">
        <v>78.17094</v>
      </c>
      <c r="AG861" s="89" t="n">
        <v>88.77685</v>
      </c>
      <c r="AH861" s="89" t="n">
        <v>68.08543</v>
      </c>
      <c r="AI861" s="89" t="n">
        <v>29.74588</v>
      </c>
      <c r="AJ861" s="89" t="n">
        <v>116.206</v>
      </c>
      <c r="AK861" s="89" t="n">
        <v>48.10387</v>
      </c>
      <c r="AL861" s="89" t="n"/>
      <c r="AM861" s="89" t="n">
        <v>70.2351</v>
      </c>
      <c r="AN861" s="89" t="n"/>
      <c r="AO861" s="89" t="n">
        <v>62.17628</v>
      </c>
      <c r="AP861" s="89" t="n">
        <v>80.18626</v>
      </c>
      <c r="AQ861" s="89" t="n"/>
      <c r="AR861" s="89" t="n"/>
      <c r="AS861" s="89" t="n"/>
      <c r="AT861" s="89" t="n"/>
      <c r="AU861" s="89" t="n"/>
      <c r="AV861" s="89" t="n"/>
      <c r="AW861" s="89" t="n"/>
      <c r="AX861" s="89" t="n">
        <v>30.29748</v>
      </c>
      <c r="AY861" s="89" t="n">
        <v>72.20859</v>
      </c>
    </row>
    <row r="862">
      <c r="A862" t="inlineStr">
        <is>
          <t>1990-09</t>
        </is>
      </c>
      <c r="B862" s="1" t="n">
        <v>33117</v>
      </c>
      <c r="C862" s="88" t="n">
        <v>862</v>
      </c>
      <c r="E862" s="1">
        <f>B862</f>
        <v/>
      </c>
      <c r="F862" s="2">
        <f>B862</f>
        <v/>
      </c>
      <c r="G862" s="88" t="n">
        <v>860</v>
      </c>
      <c r="H862" s="89" t="n"/>
      <c r="I862" s="89" t="n"/>
      <c r="J862" s="89" t="n">
        <v>63.44565</v>
      </c>
      <c r="K862" s="89" t="n">
        <v>67.27831</v>
      </c>
      <c r="L862" s="89" t="n"/>
      <c r="M862" s="89" t="n">
        <v>73.72785</v>
      </c>
      <c r="N862" s="89" t="n">
        <v>73.69074999999999</v>
      </c>
      <c r="O862" s="89" t="n">
        <v>81.75230000000001</v>
      </c>
      <c r="P862" s="89" t="n">
        <v>101.3836</v>
      </c>
      <c r="Q862" s="89" t="n"/>
      <c r="R862" s="89" t="n">
        <v>66.82273000000001</v>
      </c>
      <c r="S862" s="89" t="n">
        <v>92.04076000000001</v>
      </c>
      <c r="T862" s="89" t="n">
        <v>97.07172</v>
      </c>
      <c r="U862" s="89" t="n">
        <v>105.8638</v>
      </c>
      <c r="V862" s="89" t="n">
        <v>38.98701</v>
      </c>
      <c r="W862" s="89" t="n">
        <v>14.37552</v>
      </c>
      <c r="X862" s="89" t="n"/>
      <c r="Y862" s="89" t="n">
        <v>40.76403</v>
      </c>
      <c r="Z862" s="89" t="n">
        <v>110.8908</v>
      </c>
      <c r="AA862" s="89" t="n">
        <v>105.3652</v>
      </c>
      <c r="AB862" s="89" t="n">
        <v>21.90217</v>
      </c>
      <c r="AC862" s="89" t="n">
        <v>72.13737</v>
      </c>
      <c r="AD862" s="89" t="n"/>
      <c r="AE862" s="89" t="n">
        <v>68.10315</v>
      </c>
      <c r="AF862" s="89" t="n">
        <v>79.40441</v>
      </c>
      <c r="AG862" s="89" t="n">
        <v>87.35554999999999</v>
      </c>
      <c r="AH862" s="89" t="n">
        <v>68.10804</v>
      </c>
      <c r="AI862" s="89" t="n">
        <v>29.61912</v>
      </c>
      <c r="AJ862" s="89" t="n">
        <v>113.2295</v>
      </c>
      <c r="AK862" s="89" t="n">
        <v>43.16051</v>
      </c>
      <c r="AL862" s="89" t="n"/>
      <c r="AM862" s="89" t="n">
        <v>70.33629999999999</v>
      </c>
      <c r="AN862" s="89" t="n"/>
      <c r="AO862" s="89" t="n">
        <v>62.25494</v>
      </c>
      <c r="AP862" s="89" t="n">
        <v>80.58624</v>
      </c>
      <c r="AQ862" s="89" t="n"/>
      <c r="AR862" s="89" t="n"/>
      <c r="AS862" s="89" t="n"/>
      <c r="AT862" s="89" t="n"/>
      <c r="AU862" s="89" t="n"/>
      <c r="AV862" s="89" t="n"/>
      <c r="AW862" s="89" t="n"/>
      <c r="AX862" s="89" t="n">
        <v>32.99725</v>
      </c>
      <c r="AY862" s="89" t="n">
        <v>72.77414</v>
      </c>
    </row>
    <row r="863">
      <c r="A863" t="inlineStr">
        <is>
          <t>1990-10</t>
        </is>
      </c>
      <c r="B863" s="1" t="n">
        <v>33147</v>
      </c>
      <c r="C863" s="88" t="n">
        <v>863</v>
      </c>
      <c r="E863" s="1">
        <f>B863</f>
        <v/>
      </c>
      <c r="F863" s="2">
        <f>B863</f>
        <v/>
      </c>
      <c r="G863" s="88" t="n">
        <v>861</v>
      </c>
      <c r="H863" s="89" t="n"/>
      <c r="I863" s="89" t="n"/>
      <c r="J863" s="89" t="n">
        <v>65.06353</v>
      </c>
      <c r="K863" s="89" t="n">
        <v>67.31026</v>
      </c>
      <c r="L863" s="89" t="n"/>
      <c r="M863" s="89" t="n">
        <v>73.50166</v>
      </c>
      <c r="N863" s="89" t="n">
        <v>73.81417999999999</v>
      </c>
      <c r="O863" s="89" t="n">
        <v>83.27631</v>
      </c>
      <c r="P863" s="89" t="n">
        <v>97.32932</v>
      </c>
      <c r="Q863" s="89" t="n"/>
      <c r="R863" s="89" t="n">
        <v>66.83392000000001</v>
      </c>
      <c r="S863" s="89" t="n">
        <v>91.74075999999999</v>
      </c>
      <c r="T863" s="89" t="n">
        <v>96.97407</v>
      </c>
      <c r="U863" s="89" t="n">
        <v>128.8485</v>
      </c>
      <c r="V863" s="89" t="n">
        <v>38.49464</v>
      </c>
      <c r="W863" s="89" t="n">
        <v>14.0785</v>
      </c>
      <c r="X863" s="89" t="n"/>
      <c r="Y863" s="89" t="n">
        <v>40.55391</v>
      </c>
      <c r="Z863" s="89" t="n">
        <v>110.2908</v>
      </c>
      <c r="AA863" s="89" t="n">
        <v>107.4948</v>
      </c>
      <c r="AB863" s="89" t="n">
        <v>21.90217</v>
      </c>
      <c r="AC863" s="89" t="n">
        <v>71.38628</v>
      </c>
      <c r="AD863" s="89" t="n"/>
      <c r="AE863" s="89" t="n">
        <v>68.10315</v>
      </c>
      <c r="AF863" s="89" t="n">
        <v>77.32294</v>
      </c>
      <c r="AG863" s="89" t="n">
        <v>88.66752</v>
      </c>
      <c r="AH863" s="89" t="n">
        <v>68.17673000000001</v>
      </c>
      <c r="AI863" s="89" t="n">
        <v>29.91291</v>
      </c>
      <c r="AJ863" s="89" t="n">
        <v>113.6684</v>
      </c>
      <c r="AK863" s="89" t="n">
        <v>55.87605</v>
      </c>
      <c r="AL863" s="89" t="n"/>
      <c r="AM863" s="89" t="n">
        <v>70.33629999999999</v>
      </c>
      <c r="AN863" s="89" t="n"/>
      <c r="AO863" s="89" t="n">
        <v>61.78708</v>
      </c>
      <c r="AP863" s="89" t="n">
        <v>80.74814000000001</v>
      </c>
      <c r="AQ863" s="89" t="n"/>
      <c r="AR863" s="89" t="n"/>
      <c r="AS863" s="89" t="n"/>
      <c r="AT863" s="89" t="n"/>
      <c r="AU863" s="89" t="n"/>
      <c r="AV863" s="89" t="n"/>
      <c r="AW863" s="89" t="n"/>
      <c r="AX863" s="89" t="n">
        <v>32.79727</v>
      </c>
      <c r="AY863" s="89" t="n">
        <v>71.48430999999999</v>
      </c>
    </row>
    <row r="864">
      <c r="A864" t="inlineStr">
        <is>
          <t>1990-11</t>
        </is>
      </c>
      <c r="B864" s="1" t="n">
        <v>33178</v>
      </c>
      <c r="C864" s="88" t="n">
        <v>864</v>
      </c>
      <c r="E864" s="1">
        <f>B864</f>
        <v/>
      </c>
      <c r="F864" s="2">
        <f>B864</f>
        <v/>
      </c>
      <c r="G864" s="88" t="n">
        <v>862</v>
      </c>
      <c r="H864" s="89" t="n"/>
      <c r="I864" s="89" t="n"/>
      <c r="J864" s="89" t="n">
        <v>64.34595</v>
      </c>
      <c r="K864" s="89" t="n">
        <v>66.54478</v>
      </c>
      <c r="L864" s="89" t="n"/>
      <c r="M864" s="89" t="n">
        <v>72.17527</v>
      </c>
      <c r="N864" s="89" t="n">
        <v>73.81417999999999</v>
      </c>
      <c r="O864" s="89" t="n">
        <v>84.14718000000001</v>
      </c>
      <c r="P864" s="89" t="n">
        <v>100.4843</v>
      </c>
      <c r="Q864" s="89" t="n"/>
      <c r="R864" s="89" t="n">
        <v>66.58788</v>
      </c>
      <c r="S864" s="89" t="n">
        <v>90.72076</v>
      </c>
      <c r="T864" s="89" t="n">
        <v>96.48578000000001</v>
      </c>
      <c r="U864" s="89" t="n">
        <v>123.78</v>
      </c>
      <c r="V864" s="89" t="n">
        <v>41.04603</v>
      </c>
      <c r="W864" s="89" t="n">
        <v>14.0785</v>
      </c>
      <c r="X864" s="89" t="n"/>
      <c r="Y864" s="89" t="n">
        <v>40.97416</v>
      </c>
      <c r="Z864" s="89" t="n">
        <v>108.6909</v>
      </c>
      <c r="AA864" s="89" t="n">
        <v>106.7849</v>
      </c>
      <c r="AB864" s="89" t="n">
        <v>21.96717</v>
      </c>
      <c r="AC864" s="89" t="n">
        <v>71.05945</v>
      </c>
      <c r="AD864" s="89" t="n"/>
      <c r="AE864" s="89" t="n">
        <v>67.81395999999999</v>
      </c>
      <c r="AF864" s="89" t="n">
        <v>78.09385</v>
      </c>
      <c r="AG864" s="89" t="n">
        <v>89.10484</v>
      </c>
      <c r="AH864" s="89" t="n">
        <v>67.75301</v>
      </c>
      <c r="AI864" s="89" t="n">
        <v>29.82719</v>
      </c>
      <c r="AJ864" s="89" t="n">
        <v>113.9638</v>
      </c>
      <c r="AK864" s="89" t="n">
        <v>39.21084</v>
      </c>
      <c r="AL864" s="89" t="n"/>
      <c r="AM864" s="89" t="n">
        <v>70.1339</v>
      </c>
      <c r="AN864" s="89" t="n"/>
      <c r="AO864" s="89" t="n">
        <v>61.06468</v>
      </c>
      <c r="AP864" s="89" t="n">
        <v>79.98627</v>
      </c>
      <c r="AQ864" s="89" t="n"/>
      <c r="AR864" s="89" t="n"/>
      <c r="AS864" s="89" t="n"/>
      <c r="AT864" s="89" t="n"/>
      <c r="AU864" s="89" t="n"/>
      <c r="AV864" s="89" t="n"/>
      <c r="AW864" s="89" t="n"/>
      <c r="AX864" s="89" t="n">
        <v>33.19724</v>
      </c>
      <c r="AY864" s="89" t="n">
        <v>69.87436</v>
      </c>
    </row>
    <row r="865">
      <c r="A865" t="inlineStr">
        <is>
          <t>1990-12</t>
        </is>
      </c>
      <c r="B865" s="1" t="n">
        <v>33208</v>
      </c>
      <c r="C865" s="88" t="n">
        <v>865</v>
      </c>
      <c r="E865" s="1">
        <f>B865</f>
        <v/>
      </c>
      <c r="F865" s="2">
        <f>B865</f>
        <v/>
      </c>
      <c r="G865" s="88" t="n">
        <v>863</v>
      </c>
      <c r="H865" s="89" t="n"/>
      <c r="I865" s="89" t="n"/>
      <c r="J865" s="89" t="n">
        <v>63.53319</v>
      </c>
      <c r="K865" s="89" t="n">
        <v>66.01143999999999</v>
      </c>
      <c r="L865" s="89" t="n"/>
      <c r="M865" s="89" t="n">
        <v>89.35857</v>
      </c>
      <c r="N865" s="89" t="n">
        <v>74.12277</v>
      </c>
      <c r="O865" s="89" t="n">
        <v>82.84088</v>
      </c>
      <c r="P865" s="89" t="n">
        <v>99.994</v>
      </c>
      <c r="Q865" s="89" t="n"/>
      <c r="R865" s="89" t="n">
        <v>65.21227</v>
      </c>
      <c r="S865" s="89" t="n">
        <v>91.87076999999999</v>
      </c>
      <c r="T865" s="89" t="n">
        <v>95.89982999999999</v>
      </c>
      <c r="U865" s="89" t="n">
        <v>128.9834</v>
      </c>
      <c r="V865" s="89" t="n">
        <v>37.91275</v>
      </c>
      <c r="W865" s="89" t="n">
        <v>14.55373</v>
      </c>
      <c r="X865" s="89" t="n"/>
      <c r="Y865" s="89" t="n">
        <v>41.18428</v>
      </c>
      <c r="Z865" s="89" t="n">
        <v>110.4908</v>
      </c>
      <c r="AA865" s="89" t="n">
        <v>106.8864</v>
      </c>
      <c r="AB865" s="89" t="n">
        <v>22.36414</v>
      </c>
      <c r="AC865" s="89" t="n">
        <v>71.11246</v>
      </c>
      <c r="AD865" s="89" t="n"/>
      <c r="AE865" s="89" t="n">
        <v>66.9464</v>
      </c>
      <c r="AF865" s="89" t="n">
        <v>80.17532</v>
      </c>
      <c r="AG865" s="89" t="n">
        <v>87.24621999999999</v>
      </c>
      <c r="AH865" s="89" t="n">
        <v>67.82758</v>
      </c>
      <c r="AI865" s="89" t="n">
        <v>29.18701</v>
      </c>
      <c r="AJ865" s="89" t="n">
        <v>115.3257</v>
      </c>
      <c r="AK865" s="89" t="n">
        <v>33.94868</v>
      </c>
      <c r="AL865" s="89" t="n"/>
      <c r="AM865" s="89" t="n">
        <v>70.94352000000001</v>
      </c>
      <c r="AN865" s="89" t="n"/>
      <c r="AO865" s="89" t="n">
        <v>60.66521</v>
      </c>
      <c r="AP865" s="89" t="n">
        <v>80.82433</v>
      </c>
      <c r="AQ865" s="89" t="n"/>
      <c r="AR865" s="89" t="n"/>
      <c r="AS865" s="89" t="n"/>
      <c r="AT865" s="89" t="n"/>
      <c r="AU865" s="89" t="n"/>
      <c r="AV865" s="89" t="n"/>
      <c r="AW865" s="89" t="n"/>
      <c r="AX865" s="89" t="n">
        <v>31.79735</v>
      </c>
      <c r="AY865" s="89" t="n">
        <v>65.59238000000001</v>
      </c>
    </row>
    <row r="866">
      <c r="A866" t="inlineStr">
        <is>
          <t>1991-01</t>
        </is>
      </c>
      <c r="B866" s="1" t="n">
        <v>33239</v>
      </c>
      <c r="C866" s="88" t="n">
        <v>866</v>
      </c>
      <c r="E866" s="1">
        <f>B866</f>
        <v/>
      </c>
      <c r="F866" s="2">
        <f>B866</f>
        <v/>
      </c>
      <c r="G866" s="88" t="n">
        <v>864</v>
      </c>
      <c r="H866" s="89" t="n"/>
      <c r="I866" s="89" t="n"/>
      <c r="J866" s="89" t="n">
        <v>63.35565</v>
      </c>
      <c r="K866" s="89" t="n">
        <v>66.34883000000001</v>
      </c>
      <c r="L866" s="89" t="n"/>
      <c r="M866" s="89" t="n">
        <v>68.89193</v>
      </c>
      <c r="N866" s="89" t="n">
        <v>76.39363</v>
      </c>
      <c r="O866" s="89" t="n">
        <v>81.20802</v>
      </c>
      <c r="P866" s="89" t="n">
        <v>100.0969</v>
      </c>
      <c r="Q866" s="89" t="n"/>
      <c r="R866" s="89" t="n">
        <v>65.41358</v>
      </c>
      <c r="S866" s="89" t="n">
        <v>93.07078</v>
      </c>
      <c r="T866" s="89" t="n">
        <v>95.70452</v>
      </c>
      <c r="U866" s="89" t="n">
        <v>123.1071</v>
      </c>
      <c r="V866" s="89" t="n">
        <v>39.16606</v>
      </c>
      <c r="W866" s="89" t="n">
        <v>14.37552</v>
      </c>
      <c r="X866" s="89" t="n"/>
      <c r="Y866" s="89" t="n">
        <v>38.52271</v>
      </c>
      <c r="Z866" s="89" t="n">
        <v>111.0907</v>
      </c>
      <c r="AA866" s="89" t="n">
        <v>107.5962</v>
      </c>
      <c r="AB866" s="89" t="n">
        <v>22.29914</v>
      </c>
      <c r="AC866" s="89" t="n">
        <v>71.39798</v>
      </c>
      <c r="AD866" s="89" t="n"/>
      <c r="AE866" s="89" t="n">
        <v>68.68152000000001</v>
      </c>
      <c r="AF866" s="89" t="n">
        <v>78.63348999999999</v>
      </c>
      <c r="AG866" s="89" t="n">
        <v>88.33951999999999</v>
      </c>
      <c r="AH866" s="89" t="n">
        <v>67.67265999999999</v>
      </c>
      <c r="AI866" s="89" t="n">
        <v>28.74488</v>
      </c>
      <c r="AJ866" s="89" t="n">
        <v>111.5069</v>
      </c>
      <c r="AK866" s="89" t="n">
        <v>45.4149</v>
      </c>
      <c r="AL866" s="89" t="n"/>
      <c r="AM866" s="89" t="n">
        <v>70.03269</v>
      </c>
      <c r="AN866" s="89" t="n"/>
      <c r="AO866" s="89" t="n">
        <v>60.40183</v>
      </c>
      <c r="AP866" s="89" t="n">
        <v>82.38627</v>
      </c>
      <c r="AQ866" s="89" t="n"/>
      <c r="AR866" s="89" t="n"/>
      <c r="AS866" s="89" t="n"/>
      <c r="AT866" s="89" t="n"/>
      <c r="AU866" s="89" t="n"/>
      <c r="AV866" s="89" t="n"/>
      <c r="AW866" s="89" t="n"/>
      <c r="AX866" s="89" t="n">
        <v>27.5977</v>
      </c>
      <c r="AY866" s="89" t="n">
        <v>64.30816</v>
      </c>
    </row>
    <row r="867">
      <c r="A867" t="inlineStr">
        <is>
          <t>1991-02</t>
        </is>
      </c>
      <c r="B867" s="1" t="n">
        <v>33270</v>
      </c>
      <c r="C867" s="88" t="n">
        <v>867</v>
      </c>
      <c r="E867" s="1">
        <f>B867</f>
        <v/>
      </c>
      <c r="F867" s="2">
        <f>B867</f>
        <v/>
      </c>
      <c r="G867" s="88" t="n">
        <v>865</v>
      </c>
      <c r="H867" s="89" t="n"/>
      <c r="I867" s="89" t="n"/>
      <c r="J867" s="89" t="n">
        <v>62.14927</v>
      </c>
      <c r="K867" s="89" t="n">
        <v>65.19614</v>
      </c>
      <c r="L867" s="89" t="n"/>
      <c r="M867" s="89" t="n">
        <v>63.54094</v>
      </c>
      <c r="N867" s="89" t="n">
        <v>75.49370999999999</v>
      </c>
      <c r="O867" s="89" t="n">
        <v>82.18774000000001</v>
      </c>
      <c r="P867" s="89" t="n">
        <v>98.5069</v>
      </c>
      <c r="Q867" s="89" t="n"/>
      <c r="R867" s="89" t="n">
        <v>63.33341</v>
      </c>
      <c r="S867" s="89" t="n">
        <v>92.66077</v>
      </c>
      <c r="T867" s="89" t="n">
        <v>95.60686</v>
      </c>
      <c r="U867" s="89" t="n">
        <v>124.2291</v>
      </c>
      <c r="V867" s="89" t="n">
        <v>36.74895</v>
      </c>
      <c r="W867" s="89" t="n">
        <v>14.49432</v>
      </c>
      <c r="X867" s="89" t="n"/>
      <c r="Y867" s="89" t="n">
        <v>39.50329</v>
      </c>
      <c r="Z867" s="89" t="n">
        <v>108.9909</v>
      </c>
      <c r="AA867" s="89" t="n">
        <v>108.0019</v>
      </c>
      <c r="AB867" s="89" t="n">
        <v>22.36414</v>
      </c>
      <c r="AC867" s="89" t="n">
        <v>72.23483</v>
      </c>
      <c r="AD867" s="89" t="n"/>
      <c r="AE867" s="89" t="n">
        <v>68.75381</v>
      </c>
      <c r="AF867" s="89" t="n">
        <v>80.46827999999999</v>
      </c>
      <c r="AG867" s="89" t="n">
        <v>89.97949</v>
      </c>
      <c r="AH867" s="89" t="n">
        <v>67.48139999999999</v>
      </c>
      <c r="AI867" s="89" t="n">
        <v>27.10761</v>
      </c>
      <c r="AJ867" s="89" t="n">
        <v>113.7067</v>
      </c>
      <c r="AK867" s="89" t="n">
        <v>41.7161</v>
      </c>
      <c r="AL867" s="89" t="n"/>
      <c r="AM867" s="89" t="n">
        <v>70.1339</v>
      </c>
      <c r="AN867" s="89" t="n"/>
      <c r="AO867" s="89" t="n">
        <v>59.98017</v>
      </c>
      <c r="AP867" s="89" t="n">
        <v>81.48642</v>
      </c>
      <c r="AQ867" s="89" t="n"/>
      <c r="AR867" s="89" t="n"/>
      <c r="AS867" s="89" t="n"/>
      <c r="AT867" s="89" t="n"/>
      <c r="AU867" s="89" t="n"/>
      <c r="AV867" s="89" t="n"/>
      <c r="AW867" s="89" t="n"/>
      <c r="AX867" s="89" t="n">
        <v>32.19732</v>
      </c>
      <c r="AY867" s="89" t="n">
        <v>63.27234</v>
      </c>
    </row>
    <row r="868">
      <c r="A868" t="inlineStr">
        <is>
          <t>1991-03</t>
        </is>
      </c>
      <c r="B868" s="1" t="n">
        <v>33298</v>
      </c>
      <c r="C868" s="88" t="n">
        <v>868</v>
      </c>
      <c r="E868" s="1">
        <f>B868</f>
        <v/>
      </c>
      <c r="F868" s="2">
        <f>B868</f>
        <v/>
      </c>
      <c r="G868" s="88" t="n">
        <v>866</v>
      </c>
      <c r="H868" s="89" t="n"/>
      <c r="I868" s="89" t="n"/>
      <c r="J868" s="89" t="n">
        <v>61.98735</v>
      </c>
      <c r="K868" s="89" t="n">
        <v>65.24126</v>
      </c>
      <c r="L868" s="89" t="n"/>
      <c r="M868" s="89" t="n">
        <v>66.60995</v>
      </c>
      <c r="N868" s="89" t="n">
        <v>74.99375000000001</v>
      </c>
      <c r="O868" s="89" t="n">
        <v>82.40545</v>
      </c>
      <c r="P868" s="89" t="n">
        <v>95.07810000000001</v>
      </c>
      <c r="Q868" s="89" t="n"/>
      <c r="R868" s="89" t="n">
        <v>63.18802</v>
      </c>
      <c r="S868" s="89" t="n">
        <v>91.52076</v>
      </c>
      <c r="T868" s="89" t="n">
        <v>94.63029</v>
      </c>
      <c r="U868" s="89" t="n">
        <v>124.3158</v>
      </c>
      <c r="V868" s="89" t="n">
        <v>34.60042</v>
      </c>
      <c r="W868" s="89" t="n">
        <v>13.84089</v>
      </c>
      <c r="X868" s="89" t="n"/>
      <c r="Y868" s="89" t="n">
        <v>41.67457</v>
      </c>
      <c r="Z868" s="89" t="n">
        <v>108.391</v>
      </c>
      <c r="AA868" s="89" t="n">
        <v>106.9878</v>
      </c>
      <c r="AB868" s="89" t="n">
        <v>22.42913</v>
      </c>
      <c r="AC868" s="89" t="n">
        <v>72.88413</v>
      </c>
      <c r="AD868" s="89" t="n"/>
      <c r="AE868" s="89" t="n">
        <v>68.17545</v>
      </c>
      <c r="AF868" s="89" t="n">
        <v>75.50357</v>
      </c>
      <c r="AG868" s="89" t="n">
        <v>88.55819</v>
      </c>
      <c r="AH868" s="89" t="n">
        <v>67.08546</v>
      </c>
      <c r="AI868" s="89" t="n">
        <v>26.73517</v>
      </c>
      <c r="AJ868" s="89" t="n">
        <v>112.7049</v>
      </c>
      <c r="AK868" s="89" t="n">
        <v>46.11814</v>
      </c>
      <c r="AL868" s="89" t="n"/>
      <c r="AM868" s="89" t="n">
        <v>69.42547</v>
      </c>
      <c r="AN868" s="89" t="n"/>
      <c r="AO868" s="89" t="n">
        <v>59.66589</v>
      </c>
      <c r="AP868" s="89" t="n">
        <v>80.68655</v>
      </c>
      <c r="AQ868" s="89" t="n"/>
      <c r="AR868" s="89" t="n"/>
      <c r="AS868" s="89" t="n"/>
      <c r="AT868" s="89" t="n"/>
      <c r="AU868" s="89" t="n"/>
      <c r="AV868" s="89" t="n"/>
      <c r="AW868" s="89" t="n"/>
      <c r="AX868" s="89" t="n">
        <v>33.5972</v>
      </c>
      <c r="AY868" s="89" t="n">
        <v>62.51743</v>
      </c>
    </row>
    <row r="869">
      <c r="A869" t="inlineStr">
        <is>
          <t>1991-04</t>
        </is>
      </c>
      <c r="B869" s="1" t="n">
        <v>33329</v>
      </c>
      <c r="C869" s="88" t="n">
        <v>869</v>
      </c>
      <c r="E869" s="1">
        <f>B869</f>
        <v/>
      </c>
      <c r="F869" s="2">
        <f>B869</f>
        <v/>
      </c>
      <c r="G869" s="88" t="n">
        <v>867</v>
      </c>
      <c r="H869" s="89" t="n"/>
      <c r="I869" s="89" t="n"/>
      <c r="J869" s="89" t="n">
        <v>63.46441</v>
      </c>
      <c r="K869" s="89" t="n">
        <v>65.27744</v>
      </c>
      <c r="L869" s="89" t="n"/>
      <c r="M869" s="89" t="n">
        <v>61.15932</v>
      </c>
      <c r="N869" s="89" t="n">
        <v>74.3938</v>
      </c>
      <c r="O869" s="89" t="n">
        <v>81.64345</v>
      </c>
      <c r="P869" s="89" t="n">
        <v>102.171</v>
      </c>
      <c r="Q869" s="89" t="n"/>
      <c r="R869" s="89" t="n">
        <v>63.21039</v>
      </c>
      <c r="S869" s="89" t="n">
        <v>91.50076</v>
      </c>
      <c r="T869" s="89" t="n">
        <v>93.36073</v>
      </c>
      <c r="U869" s="89" t="n">
        <v>124.7767</v>
      </c>
      <c r="V869" s="89" t="n">
        <v>34.82422</v>
      </c>
      <c r="W869" s="89" t="n">
        <v>14.25671</v>
      </c>
      <c r="X869" s="89" t="n"/>
      <c r="Y869" s="89" t="n">
        <v>42.37498</v>
      </c>
      <c r="Z869" s="89" t="n">
        <v>107.3911</v>
      </c>
      <c r="AA869" s="89" t="n">
        <v>107.3934</v>
      </c>
      <c r="AB869" s="89" t="n">
        <v>22.69711</v>
      </c>
      <c r="AC869" s="89" t="n">
        <v>72.88449</v>
      </c>
      <c r="AD869" s="89" t="n"/>
      <c r="AE869" s="89" t="n">
        <v>68.32004000000001</v>
      </c>
      <c r="AF869" s="89" t="n">
        <v>77.16875</v>
      </c>
      <c r="AG869" s="89" t="n">
        <v>87.57420999999999</v>
      </c>
      <c r="AH869" s="89" t="n">
        <v>67.01138</v>
      </c>
      <c r="AI869" s="89" t="n">
        <v>25.26243</v>
      </c>
      <c r="AJ869" s="89" t="n">
        <v>108.1313</v>
      </c>
      <c r="AK869" s="89" t="n">
        <v>37.34023</v>
      </c>
      <c r="AL869" s="89" t="n"/>
      <c r="AM869" s="89" t="n">
        <v>69.02066000000001</v>
      </c>
      <c r="AN869" s="89" t="n"/>
      <c r="AO869" s="89" t="n">
        <v>59.78355</v>
      </c>
      <c r="AP869" s="89" t="n">
        <v>80.18664</v>
      </c>
      <c r="AQ869" s="89" t="n"/>
      <c r="AR869" s="89" t="n"/>
      <c r="AS869" s="89" t="n"/>
      <c r="AT869" s="89" t="n"/>
      <c r="AU869" s="89" t="n"/>
      <c r="AV869" s="89" t="n"/>
      <c r="AW869" s="89" t="n"/>
      <c r="AX869" s="89" t="n">
        <v>32.19732</v>
      </c>
      <c r="AY869" s="89" t="n">
        <v>66.7748</v>
      </c>
    </row>
    <row r="870">
      <c r="A870" t="inlineStr">
        <is>
          <t>1991-05</t>
        </is>
      </c>
      <c r="B870" s="1" t="n">
        <v>33359</v>
      </c>
      <c r="C870" s="88" t="n">
        <v>870</v>
      </c>
      <c r="E870" s="1">
        <f>B870</f>
        <v/>
      </c>
      <c r="F870" s="2">
        <f>B870</f>
        <v/>
      </c>
      <c r="G870" s="88" t="n">
        <v>868</v>
      </c>
      <c r="H870" s="89" t="n"/>
      <c r="I870" s="89" t="n"/>
      <c r="J870" s="89" t="n">
        <v>63.00194</v>
      </c>
      <c r="K870" s="89" t="n">
        <v>65.76661</v>
      </c>
      <c r="L870" s="89" t="n"/>
      <c r="M870" s="89" t="n">
        <v>57.69493</v>
      </c>
      <c r="N870" s="89" t="n">
        <v>73.1939</v>
      </c>
      <c r="O870" s="89" t="n">
        <v>82.84088</v>
      </c>
      <c r="P870" s="89" t="n">
        <v>97.14085</v>
      </c>
      <c r="Q870" s="89" t="n"/>
      <c r="R870" s="89" t="n">
        <v>62.68475</v>
      </c>
      <c r="S870" s="89" t="n">
        <v>91.61076</v>
      </c>
      <c r="T870" s="89" t="n">
        <v>94.43497000000001</v>
      </c>
      <c r="U870" s="89" t="n">
        <v>123.313</v>
      </c>
      <c r="V870" s="89" t="n">
        <v>33.70519</v>
      </c>
      <c r="W870" s="89" t="n">
        <v>13.9597</v>
      </c>
      <c r="X870" s="89" t="n"/>
      <c r="Y870" s="89" t="n">
        <v>43.07539</v>
      </c>
      <c r="Z870" s="89" t="n">
        <v>108.6909</v>
      </c>
      <c r="AA870" s="89" t="n">
        <v>108.5089</v>
      </c>
      <c r="AB870" s="89" t="n">
        <v>22.56712</v>
      </c>
      <c r="AC870" s="89" t="n">
        <v>70.63319</v>
      </c>
      <c r="AD870" s="89" t="n"/>
      <c r="AE870" s="89" t="n">
        <v>68.75381</v>
      </c>
      <c r="AF870" s="89" t="n">
        <v>79.60485</v>
      </c>
      <c r="AG870" s="89" t="n">
        <v>90.85414</v>
      </c>
      <c r="AH870" s="89" t="n">
        <v>67.19024</v>
      </c>
      <c r="AI870" s="89" t="n">
        <v>23.78391</v>
      </c>
      <c r="AJ870" s="89" t="n">
        <v>110.206</v>
      </c>
      <c r="AK870" s="89" t="n">
        <v>35.15709</v>
      </c>
      <c r="AL870" s="89" t="n"/>
      <c r="AM870" s="89" t="n">
        <v>68.61584000000001</v>
      </c>
      <c r="AN870" s="89" t="n"/>
      <c r="AO870" s="89" t="n">
        <v>60.38205</v>
      </c>
      <c r="AP870" s="89" t="n">
        <v>80.08665000000001</v>
      </c>
      <c r="AQ870" s="89" t="n"/>
      <c r="AR870" s="89" t="n"/>
      <c r="AS870" s="89" t="n"/>
      <c r="AT870" s="89" t="n"/>
      <c r="AU870" s="89" t="n"/>
      <c r="AV870" s="89" t="n"/>
      <c r="AW870" s="89" t="n"/>
      <c r="AX870" s="89" t="n">
        <v>33.69719</v>
      </c>
      <c r="AY870" s="89" t="n">
        <v>67.92471999999999</v>
      </c>
    </row>
    <row r="871">
      <c r="A871" t="inlineStr">
        <is>
          <t>1991-06</t>
        </is>
      </c>
      <c r="B871" s="1" t="n">
        <v>33390</v>
      </c>
      <c r="C871" s="88" t="n">
        <v>871</v>
      </c>
      <c r="E871" s="1">
        <f>B871</f>
        <v/>
      </c>
      <c r="F871" s="2">
        <f>B871</f>
        <v/>
      </c>
      <c r="G871" s="88" t="n">
        <v>869</v>
      </c>
      <c r="H871" s="89" t="n"/>
      <c r="I871" s="89" t="n"/>
      <c r="J871" s="89" t="n">
        <v>62.37712</v>
      </c>
      <c r="K871" s="89" t="n">
        <v>66.10589</v>
      </c>
      <c r="L871" s="89" t="n"/>
      <c r="M871" s="89" t="n">
        <v>57.99726</v>
      </c>
      <c r="N871" s="89" t="n">
        <v>76.39363</v>
      </c>
      <c r="O871" s="89" t="n">
        <v>82.18774000000001</v>
      </c>
      <c r="P871" s="89" t="n">
        <v>100.1859</v>
      </c>
      <c r="Q871" s="89" t="n"/>
      <c r="R871" s="89" t="n">
        <v>57.05934</v>
      </c>
      <c r="S871" s="89" t="n">
        <v>91.97076</v>
      </c>
      <c r="T871" s="89" t="n">
        <v>94.82559999999999</v>
      </c>
      <c r="U871" s="89" t="n">
        <v>122.1367</v>
      </c>
      <c r="V871" s="89" t="n">
        <v>31.91475</v>
      </c>
      <c r="W871" s="89" t="n">
        <v>14.49432</v>
      </c>
      <c r="X871" s="89" t="n"/>
      <c r="Y871" s="89" t="n">
        <v>43.28552</v>
      </c>
      <c r="Z871" s="89" t="n">
        <v>109.0909</v>
      </c>
      <c r="AA871" s="89" t="n">
        <v>105.3652</v>
      </c>
      <c r="AB871" s="89" t="n">
        <v>22.49313</v>
      </c>
      <c r="AC871" s="89" t="n">
        <v>77.64457</v>
      </c>
      <c r="AD871" s="89" t="n"/>
      <c r="AE871" s="89" t="n">
        <v>68.03085</v>
      </c>
      <c r="AF871" s="89" t="n">
        <v>79.24252</v>
      </c>
      <c r="AG871" s="89" t="n">
        <v>88.23018999999999</v>
      </c>
      <c r="AH871" s="89" t="n">
        <v>67.3197</v>
      </c>
      <c r="AI871" s="89" t="n">
        <v>24.56415</v>
      </c>
      <c r="AJ871" s="89" t="n">
        <v>113.3486</v>
      </c>
      <c r="AK871" s="89" t="n">
        <v>35.03151</v>
      </c>
      <c r="AL871" s="89" t="n"/>
      <c r="AM871" s="89" t="n">
        <v>68.41343999999999</v>
      </c>
      <c r="AN871" s="89" t="n"/>
      <c r="AO871" s="89" t="n">
        <v>60.93203</v>
      </c>
      <c r="AP871" s="89" t="n">
        <v>81.68639</v>
      </c>
      <c r="AQ871" s="89" t="n"/>
      <c r="AR871" s="89" t="n"/>
      <c r="AS871" s="89" t="n"/>
      <c r="AT871" s="89" t="n"/>
      <c r="AU871" s="89" t="n"/>
      <c r="AV871" s="89" t="n"/>
      <c r="AW871" s="89" t="n"/>
      <c r="AX871" s="89" t="n">
        <v>31.49738</v>
      </c>
      <c r="AY871" s="89" t="n">
        <v>70.84782</v>
      </c>
    </row>
    <row r="872">
      <c r="A872" t="inlineStr">
        <is>
          <t>1991-07</t>
        </is>
      </c>
      <c r="B872" s="1" t="n">
        <v>33420</v>
      </c>
      <c r="C872" s="88" t="n">
        <v>872</v>
      </c>
      <c r="E872" s="1">
        <f>B872</f>
        <v/>
      </c>
      <c r="F872" s="2">
        <f>B872</f>
        <v/>
      </c>
      <c r="G872" s="88" t="n">
        <v>870</v>
      </c>
      <c r="H872" s="89" t="n"/>
      <c r="I872" s="89" t="n"/>
      <c r="J872" s="89" t="n">
        <v>61.9289</v>
      </c>
      <c r="K872" s="89" t="n">
        <v>66.28821000000001</v>
      </c>
      <c r="L872" s="89" t="n"/>
      <c r="M872" s="89" t="n">
        <v>55.3853</v>
      </c>
      <c r="N872" s="89" t="n">
        <v>74.19382</v>
      </c>
      <c r="O872" s="89" t="n">
        <v>85.12690000000001</v>
      </c>
      <c r="P872" s="89" t="n">
        <v>97.73332000000001</v>
      </c>
      <c r="Q872" s="89" t="n"/>
      <c r="R872" s="89" t="n">
        <v>62.30451</v>
      </c>
      <c r="S872" s="89" t="n">
        <v>90.43076000000001</v>
      </c>
      <c r="T872" s="89" t="n">
        <v>93.94668</v>
      </c>
      <c r="U872" s="89" t="n">
        <v>120.6049</v>
      </c>
      <c r="V872" s="89" t="n">
        <v>32.18331</v>
      </c>
      <c r="W872" s="89" t="n">
        <v>14.0785</v>
      </c>
      <c r="X872" s="89" t="n"/>
      <c r="Y872" s="89" t="n">
        <v>43.4256</v>
      </c>
      <c r="Z872" s="89" t="n">
        <v>109.0909</v>
      </c>
      <c r="AA872" s="89" t="n">
        <v>107.6976</v>
      </c>
      <c r="AB872" s="89" t="n">
        <v>23.15907</v>
      </c>
      <c r="AC872" s="89" t="n">
        <v>73.25704</v>
      </c>
      <c r="AD872" s="89" t="n"/>
      <c r="AE872" s="89" t="n">
        <v>69.04300000000001</v>
      </c>
      <c r="AF872" s="89" t="n">
        <v>78.20949</v>
      </c>
      <c r="AG872" s="89" t="n">
        <v>85.93424</v>
      </c>
      <c r="AH872" s="89" t="n">
        <v>67.34529000000001</v>
      </c>
      <c r="AI872" s="89" t="n">
        <v>24.26478</v>
      </c>
      <c r="AJ872" s="89" t="n">
        <v>111.393</v>
      </c>
      <c r="AK872" s="89" t="n">
        <v>34.12782</v>
      </c>
      <c r="AL872" s="89" t="n"/>
      <c r="AM872" s="89" t="n">
        <v>68.51464</v>
      </c>
      <c r="AN872" s="89" t="n"/>
      <c r="AO872" s="89" t="n">
        <v>61.00465</v>
      </c>
      <c r="AP872" s="89" t="n">
        <v>80.08665000000001</v>
      </c>
      <c r="AQ872" s="89" t="n"/>
      <c r="AR872" s="89" t="n"/>
      <c r="AS872" s="89" t="n"/>
      <c r="AT872" s="89" t="n"/>
      <c r="AU872" s="89" t="n"/>
      <c r="AV872" s="89" t="n"/>
      <c r="AW872" s="89" t="n"/>
      <c r="AX872" s="89" t="n">
        <v>32.3973</v>
      </c>
      <c r="AY872" s="89" t="n">
        <v>72.23475999999999</v>
      </c>
    </row>
    <row r="873">
      <c r="A873" t="inlineStr">
        <is>
          <t>1991-08</t>
        </is>
      </c>
      <c r="B873" s="1" t="n">
        <v>33451</v>
      </c>
      <c r="C873" s="88" t="n">
        <v>873</v>
      </c>
      <c r="E873" s="1">
        <f>B873</f>
        <v/>
      </c>
      <c r="F873" s="2">
        <f>B873</f>
        <v/>
      </c>
      <c r="G873" s="88" t="n">
        <v>871</v>
      </c>
      <c r="H873" s="89" t="n"/>
      <c r="I873" s="89" t="n"/>
      <c r="J873" s="89" t="n">
        <v>61.23651</v>
      </c>
      <c r="K873" s="89" t="n">
        <v>66.20128</v>
      </c>
      <c r="L873" s="89" t="n"/>
      <c r="M873" s="89" t="n">
        <v>58.08664</v>
      </c>
      <c r="N873" s="89" t="n">
        <v>72.99392</v>
      </c>
      <c r="O873" s="89" t="n">
        <v>83.38517</v>
      </c>
      <c r="P873" s="89" t="n">
        <v>97.50655</v>
      </c>
      <c r="Q873" s="89" t="n"/>
      <c r="R873" s="89" t="n">
        <v>61.15258</v>
      </c>
      <c r="S873" s="89" t="n">
        <v>91.38076</v>
      </c>
      <c r="T873" s="89" t="n">
        <v>93.06776000000001</v>
      </c>
      <c r="U873" s="89" t="n">
        <v>124.0812</v>
      </c>
      <c r="V873" s="89" t="n">
        <v>30.39286</v>
      </c>
      <c r="W873" s="89" t="n">
        <v>14.61313</v>
      </c>
      <c r="X873" s="89" t="n"/>
      <c r="Y873" s="89" t="n">
        <v>44.26609</v>
      </c>
      <c r="Z873" s="89" t="n">
        <v>109.6909</v>
      </c>
      <c r="AA873" s="89" t="n">
        <v>105.9737</v>
      </c>
      <c r="AB873" s="89" t="n">
        <v>24.028</v>
      </c>
      <c r="AC873" s="89" t="n">
        <v>74.07454</v>
      </c>
      <c r="AD873" s="89" t="n"/>
      <c r="AE873" s="89" t="n">
        <v>68.75381</v>
      </c>
      <c r="AF873" s="89" t="n">
        <v>78.34054999999999</v>
      </c>
      <c r="AG873" s="89" t="n">
        <v>81.12367</v>
      </c>
      <c r="AH873" s="89" t="n">
        <v>67.14945</v>
      </c>
      <c r="AI873" s="89" t="n">
        <v>23.67161</v>
      </c>
      <c r="AJ873" s="89" t="n">
        <v>113.0521</v>
      </c>
      <c r="AK873" s="89" t="n">
        <v>33.78011</v>
      </c>
      <c r="AL873" s="89" t="n"/>
      <c r="AM873" s="89" t="n">
        <v>66.79418</v>
      </c>
      <c r="AN873" s="89" t="n"/>
      <c r="AO873" s="89" t="n">
        <v>61.0568</v>
      </c>
      <c r="AP873" s="89" t="n">
        <v>80.08665000000001</v>
      </c>
      <c r="AQ873" s="89" t="n"/>
      <c r="AR873" s="89" t="n"/>
      <c r="AS873" s="89" t="n"/>
      <c r="AT873" s="89" t="n"/>
      <c r="AU873" s="89" t="n"/>
      <c r="AV873" s="89" t="n"/>
      <c r="AW873" s="89" t="n"/>
      <c r="AX873" s="89" t="n">
        <v>32.59728</v>
      </c>
      <c r="AY873" s="89" t="n">
        <v>72.72633</v>
      </c>
    </row>
    <row r="874">
      <c r="A874" t="inlineStr">
        <is>
          <t>1991-09</t>
        </is>
      </c>
      <c r="B874" s="1" t="n">
        <v>33482</v>
      </c>
      <c r="C874" s="88" t="n">
        <v>874</v>
      </c>
      <c r="E874" s="1">
        <f>B874</f>
        <v/>
      </c>
      <c r="F874" s="2">
        <f>B874</f>
        <v/>
      </c>
      <c r="G874" s="88" t="n">
        <v>872</v>
      </c>
      <c r="H874" s="89" t="n"/>
      <c r="I874" s="89" t="n"/>
      <c r="J874" s="89" t="n">
        <v>62.69831</v>
      </c>
      <c r="K874" s="89" t="n">
        <v>66.47054</v>
      </c>
      <c r="L874" s="89" t="n"/>
      <c r="M874" s="89" t="n">
        <v>51.39095</v>
      </c>
      <c r="N874" s="89" t="n">
        <v>72.79393</v>
      </c>
      <c r="O874" s="89" t="n">
        <v>83.38517</v>
      </c>
      <c r="P874" s="89" t="n">
        <v>99.94548</v>
      </c>
      <c r="Q874" s="89" t="n"/>
      <c r="R874" s="89" t="n">
        <v>61.06311</v>
      </c>
      <c r="S874" s="89" t="n">
        <v>91.69077</v>
      </c>
      <c r="T874" s="89" t="n">
        <v>93.16542</v>
      </c>
      <c r="U874" s="89" t="n">
        <v>131.495</v>
      </c>
      <c r="V874" s="89" t="n">
        <v>29.40812</v>
      </c>
      <c r="W874" s="89" t="n">
        <v>14.79134</v>
      </c>
      <c r="X874" s="89" t="n"/>
      <c r="Y874" s="89" t="n">
        <v>42.51506</v>
      </c>
      <c r="Z874" s="89" t="n">
        <v>110.8908</v>
      </c>
      <c r="AA874" s="89" t="n">
        <v>106.0751</v>
      </c>
      <c r="AB874" s="89" t="n">
        <v>23.82401</v>
      </c>
      <c r="AC874" s="89" t="n">
        <v>74.3301</v>
      </c>
      <c r="AD874" s="89" t="n"/>
      <c r="AE874" s="89" t="n">
        <v>68.75381</v>
      </c>
      <c r="AF874" s="89" t="n">
        <v>76.34387</v>
      </c>
      <c r="AG874" s="89" t="n">
        <v>91.40079</v>
      </c>
      <c r="AH874" s="89" t="n">
        <v>67.36864</v>
      </c>
      <c r="AI874" s="89" t="n">
        <v>23.10306</v>
      </c>
      <c r="AJ874" s="89" t="n">
        <v>112.3611</v>
      </c>
      <c r="AK874" s="89" t="n">
        <v>33.20922</v>
      </c>
      <c r="AL874" s="89" t="n"/>
      <c r="AM874" s="89" t="n">
        <v>67.60381</v>
      </c>
      <c r="AN874" s="89" t="n"/>
      <c r="AO874" s="89" t="n">
        <v>61.60036</v>
      </c>
      <c r="AP874" s="89" t="n">
        <v>80.28662</v>
      </c>
      <c r="AQ874" s="89" t="n"/>
      <c r="AR874" s="89" t="n"/>
      <c r="AS874" s="89" t="n"/>
      <c r="AT874" s="89" t="n"/>
      <c r="AU874" s="89" t="n"/>
      <c r="AV874" s="89" t="n"/>
      <c r="AW874" s="89" t="n"/>
      <c r="AX874" s="89" t="n">
        <v>33.49721</v>
      </c>
      <c r="AY874" s="89" t="n">
        <v>69.67155</v>
      </c>
    </row>
    <row r="875">
      <c r="A875" t="inlineStr">
        <is>
          <t>1991-10</t>
        </is>
      </c>
      <c r="B875" s="1" t="n">
        <v>33512</v>
      </c>
      <c r="C875" s="88" t="n">
        <v>875</v>
      </c>
      <c r="E875" s="1">
        <f>B875</f>
        <v/>
      </c>
      <c r="F875" s="2">
        <f>B875</f>
        <v/>
      </c>
      <c r="G875" s="88" t="n">
        <v>873</v>
      </c>
      <c r="H875" s="89" t="n"/>
      <c r="I875" s="89" t="n"/>
      <c r="J875" s="89" t="n">
        <v>62.79496</v>
      </c>
      <c r="K875" s="89" t="n">
        <v>66.18201000000001</v>
      </c>
      <c r="L875" s="89" t="n"/>
      <c r="M875" s="89" t="n">
        <v>52.02311</v>
      </c>
      <c r="N875" s="89" t="n">
        <v>73.89384</v>
      </c>
      <c r="O875" s="89" t="n">
        <v>81.53458999999999</v>
      </c>
      <c r="P875" s="89" t="n">
        <v>100.5453</v>
      </c>
      <c r="Q875" s="89" t="n"/>
      <c r="R875" s="89" t="n">
        <v>60.58221</v>
      </c>
      <c r="S875" s="89" t="n">
        <v>91.26076</v>
      </c>
      <c r="T875" s="89" t="n">
        <v>94.33731</v>
      </c>
      <c r="U875" s="89" t="n">
        <v>123.3345</v>
      </c>
      <c r="V875" s="89" t="n">
        <v>29.63192</v>
      </c>
      <c r="W875" s="89" t="n">
        <v>14.73194</v>
      </c>
      <c r="X875" s="89" t="n"/>
      <c r="Y875" s="89" t="n">
        <v>44.19605</v>
      </c>
      <c r="Z875" s="89" t="n">
        <v>110.1908</v>
      </c>
      <c r="AA875" s="89" t="n">
        <v>105.3652</v>
      </c>
      <c r="AB875" s="89" t="n">
        <v>24.028</v>
      </c>
      <c r="AC875" s="89" t="n">
        <v>71.47</v>
      </c>
      <c r="AD875" s="89" t="n"/>
      <c r="AE875" s="89" t="n">
        <v>71.0673</v>
      </c>
      <c r="AF875" s="89" t="n">
        <v>78.80309</v>
      </c>
      <c r="AG875" s="89" t="n">
        <v>87.68353999999999</v>
      </c>
      <c r="AH875" s="89" t="n">
        <v>67.52687</v>
      </c>
      <c r="AI875" s="89" t="n">
        <v>23.37561</v>
      </c>
      <c r="AJ875" s="89" t="n">
        <v>111.7965</v>
      </c>
      <c r="AK875" s="89" t="n">
        <v>33.88189</v>
      </c>
      <c r="AL875" s="89" t="n"/>
      <c r="AM875" s="89" t="n">
        <v>67.90742</v>
      </c>
      <c r="AN875" s="89" t="n"/>
      <c r="AO875" s="89" t="n">
        <v>61.49307</v>
      </c>
      <c r="AP875" s="89" t="n">
        <v>80.58656999999999</v>
      </c>
      <c r="AQ875" s="89" t="n"/>
      <c r="AR875" s="89" t="n"/>
      <c r="AS875" s="89" t="n"/>
      <c r="AT875" s="89" t="n"/>
      <c r="AU875" s="89" t="n"/>
      <c r="AV875" s="89" t="n"/>
      <c r="AW875" s="89" t="n"/>
      <c r="AX875" s="89" t="n">
        <v>33.49721</v>
      </c>
      <c r="AY875" s="89" t="n">
        <v>71.40084</v>
      </c>
    </row>
    <row r="876">
      <c r="A876" t="inlineStr">
        <is>
          <t>1991-11</t>
        </is>
      </c>
      <c r="B876" s="1" t="n">
        <v>33543</v>
      </c>
      <c r="C876" s="88" t="n">
        <v>876</v>
      </c>
      <c r="E876" s="1">
        <f>B876</f>
        <v/>
      </c>
      <c r="F876" s="2">
        <f>B876</f>
        <v/>
      </c>
      <c r="G876" s="88" t="n">
        <v>874</v>
      </c>
      <c r="H876" s="89" t="n"/>
      <c r="I876" s="89" t="n"/>
      <c r="J876" s="89" t="n">
        <v>62.08569</v>
      </c>
      <c r="K876" s="89" t="n">
        <v>65.84602</v>
      </c>
      <c r="L876" s="89" t="n"/>
      <c r="M876" s="89" t="n">
        <v>51.9511</v>
      </c>
      <c r="N876" s="89" t="n">
        <v>74.69378</v>
      </c>
      <c r="O876" s="89" t="n">
        <v>82.84088</v>
      </c>
      <c r="P876" s="89" t="n">
        <v>100.2518</v>
      </c>
      <c r="Q876" s="89" t="n"/>
      <c r="R876" s="89" t="n">
        <v>60.10131</v>
      </c>
      <c r="S876" s="89" t="n">
        <v>92.72077</v>
      </c>
      <c r="T876" s="89" t="n">
        <v>94.63029</v>
      </c>
      <c r="U876" s="89" t="n">
        <v>121.4357</v>
      </c>
      <c r="V876" s="89" t="n">
        <v>29.81097</v>
      </c>
      <c r="W876" s="89" t="n">
        <v>15.32597</v>
      </c>
      <c r="X876" s="89" t="n"/>
      <c r="Y876" s="89" t="n">
        <v>44.19605</v>
      </c>
      <c r="Z876" s="89" t="n">
        <v>110.7908</v>
      </c>
      <c r="AA876" s="89" t="n">
        <v>106.0751</v>
      </c>
      <c r="AB876" s="89" t="n">
        <v>24.16599</v>
      </c>
      <c r="AC876" s="89" t="n">
        <v>74.57326999999999</v>
      </c>
      <c r="AD876" s="89" t="n"/>
      <c r="AE876" s="89" t="n">
        <v>70.63352</v>
      </c>
      <c r="AF876" s="89" t="n">
        <v>80.02885000000001</v>
      </c>
      <c r="AG876" s="89" t="n">
        <v>88.12085999999999</v>
      </c>
      <c r="AH876" s="89" t="n">
        <v>67.71543</v>
      </c>
      <c r="AI876" s="89" t="n">
        <v>22.7033</v>
      </c>
      <c r="AJ876" s="89" t="n">
        <v>111.4118</v>
      </c>
      <c r="AK876" s="89" t="n">
        <v>33.68051</v>
      </c>
      <c r="AL876" s="89" t="n"/>
      <c r="AM876" s="89" t="n">
        <v>68.91946</v>
      </c>
      <c r="AN876" s="89" t="n"/>
      <c r="AO876" s="89" t="n">
        <v>61.42266</v>
      </c>
      <c r="AP876" s="89" t="n">
        <v>81.48642</v>
      </c>
      <c r="AQ876" s="89" t="n"/>
      <c r="AR876" s="89" t="n"/>
      <c r="AS876" s="89" t="n"/>
      <c r="AT876" s="89" t="n"/>
      <c r="AU876" s="89" t="n"/>
      <c r="AV876" s="89" t="n"/>
      <c r="AW876" s="89" t="n"/>
      <c r="AX876" s="89" t="n">
        <v>33.39722</v>
      </c>
      <c r="AY876" s="89" t="n">
        <v>67.12591999999999</v>
      </c>
    </row>
    <row r="877">
      <c r="A877" t="inlineStr">
        <is>
          <t>1991-12</t>
        </is>
      </c>
      <c r="B877" s="1" t="n">
        <v>33573</v>
      </c>
      <c r="C877" s="88" t="n">
        <v>877</v>
      </c>
      <c r="E877" s="1">
        <f>B877</f>
        <v/>
      </c>
      <c r="F877" s="2">
        <f>B877</f>
        <v/>
      </c>
      <c r="G877" s="88" t="n">
        <v>875</v>
      </c>
      <c r="H877" s="89" t="n"/>
      <c r="I877" s="89" t="n"/>
      <c r="J877" s="89" t="n">
        <v>62.47662</v>
      </c>
      <c r="K877" s="89" t="n">
        <v>65.14915000000001</v>
      </c>
      <c r="L877" s="89" t="n"/>
      <c r="M877" s="89" t="n">
        <v>58.72885</v>
      </c>
      <c r="N877" s="89" t="n">
        <v>74.79376999999999</v>
      </c>
      <c r="O877" s="89" t="n">
        <v>83.49403</v>
      </c>
      <c r="P877" s="89" t="n">
        <v>101.2586</v>
      </c>
      <c r="Q877" s="89" t="n"/>
      <c r="R877" s="89" t="n">
        <v>61.06311</v>
      </c>
      <c r="S877" s="89" t="n">
        <v>91.89076</v>
      </c>
      <c r="T877" s="89" t="n">
        <v>94.23965</v>
      </c>
      <c r="U877" s="89" t="n">
        <v>121.6321</v>
      </c>
      <c r="V877" s="89" t="n">
        <v>28.9605</v>
      </c>
      <c r="W877" s="89" t="n">
        <v>14.79134</v>
      </c>
      <c r="X877" s="89" t="n"/>
      <c r="Y877" s="89" t="n">
        <v>43.70576</v>
      </c>
      <c r="Z877" s="89" t="n">
        <v>109.2909</v>
      </c>
      <c r="AA877" s="89" t="n">
        <v>104.6553</v>
      </c>
      <c r="AB877" s="89" t="n">
        <v>24.16599</v>
      </c>
      <c r="AC877" s="89" t="n">
        <v>75.16533</v>
      </c>
      <c r="AD877" s="89" t="n"/>
      <c r="AE877" s="89" t="n">
        <v>69.62137</v>
      </c>
      <c r="AF877" s="89" t="n">
        <v>78.81081</v>
      </c>
      <c r="AG877" s="89" t="n">
        <v>89.21417</v>
      </c>
      <c r="AH877" s="89" t="n">
        <v>67.40071</v>
      </c>
      <c r="AI877" s="89" t="n">
        <v>23.02417</v>
      </c>
      <c r="AJ877" s="89" t="n">
        <v>109.7094</v>
      </c>
      <c r="AK877" s="89" t="n">
        <v>32.72635</v>
      </c>
      <c r="AL877" s="89" t="n"/>
      <c r="AM877" s="89" t="n">
        <v>67.80620999999999</v>
      </c>
      <c r="AN877" s="89" t="n"/>
      <c r="AO877" s="89" t="n">
        <v>61.17841</v>
      </c>
      <c r="AP877" s="89" t="n">
        <v>80.88652</v>
      </c>
      <c r="AQ877" s="89" t="n"/>
      <c r="AR877" s="89" t="n"/>
      <c r="AS877" s="89" t="n"/>
      <c r="AT877" s="89" t="n"/>
      <c r="AU877" s="89" t="n"/>
      <c r="AV877" s="89" t="n"/>
      <c r="AW877" s="89" t="n"/>
      <c r="AX877" s="89" t="n">
        <v>33.09724</v>
      </c>
      <c r="AY877" s="89" t="n">
        <v>63.03534</v>
      </c>
    </row>
    <row r="878">
      <c r="A878" t="inlineStr">
        <is>
          <t>1992-01</t>
        </is>
      </c>
      <c r="B878" s="1" t="n">
        <v>33604</v>
      </c>
      <c r="C878" s="88" t="n">
        <v>878</v>
      </c>
      <c r="E878" s="1">
        <f>B878</f>
        <v/>
      </c>
      <c r="F878" s="2">
        <f>B878</f>
        <v/>
      </c>
      <c r="G878" s="88" t="n">
        <v>876</v>
      </c>
      <c r="H878" s="89" t="n"/>
      <c r="I878" s="89" t="n"/>
      <c r="J878" s="89" t="n">
        <v>63.32898</v>
      </c>
      <c r="K878" s="89" t="n">
        <v>66.06547999999999</v>
      </c>
      <c r="L878" s="89" t="n"/>
      <c r="M878" s="89" t="n">
        <v>53.02731</v>
      </c>
      <c r="N878" s="89" t="n">
        <v>75.69370000000001</v>
      </c>
      <c r="O878" s="89" t="n">
        <v>84.80032</v>
      </c>
      <c r="P878" s="89" t="n">
        <v>99.69109</v>
      </c>
      <c r="Q878" s="89" t="n"/>
      <c r="R878" s="89" t="n">
        <v>60.80589</v>
      </c>
      <c r="S878" s="89" t="n">
        <v>92.14077</v>
      </c>
      <c r="T878" s="89" t="n">
        <v>94.142</v>
      </c>
      <c r="U878" s="89" t="n">
        <v>124.4089</v>
      </c>
      <c r="V878" s="89" t="n">
        <v>28.94593</v>
      </c>
      <c r="W878" s="89" t="n">
        <v>15.44477</v>
      </c>
      <c r="X878" s="89" t="n"/>
      <c r="Y878" s="89" t="n">
        <v>44.54626</v>
      </c>
      <c r="Z878" s="89" t="n">
        <v>110.1908</v>
      </c>
      <c r="AA878" s="89" t="n">
        <v>103.9455</v>
      </c>
      <c r="AB878" s="89" t="n">
        <v>24.09199</v>
      </c>
      <c r="AC878" s="89" t="n">
        <v>72.20068000000001</v>
      </c>
      <c r="AD878" s="89" t="n"/>
      <c r="AE878" s="89" t="n">
        <v>69.62137</v>
      </c>
      <c r="AF878" s="89" t="n">
        <v>80.28326</v>
      </c>
      <c r="AG878" s="89" t="n">
        <v>91.07281</v>
      </c>
      <c r="AH878" s="89" t="n">
        <v>67.39558</v>
      </c>
      <c r="AI878" s="89" t="n">
        <v>24.32049</v>
      </c>
      <c r="AJ878" s="89" t="n">
        <v>112.7918</v>
      </c>
      <c r="AK878" s="89" t="n">
        <v>33.31029</v>
      </c>
      <c r="AL878" s="89" t="n">
        <v>66.96554999999999</v>
      </c>
      <c r="AM878" s="89" t="n">
        <v>69.12186</v>
      </c>
      <c r="AN878" s="89" t="n"/>
      <c r="AO878" s="89" t="n">
        <v>60.83618</v>
      </c>
      <c r="AP878" s="89" t="n">
        <v>81.88634999999999</v>
      </c>
      <c r="AQ878" s="89" t="n"/>
      <c r="AR878" s="89" t="n"/>
      <c r="AS878" s="89" t="n"/>
      <c r="AT878" s="89" t="n"/>
      <c r="AU878" s="89" t="n"/>
      <c r="AV878" s="89" t="n"/>
      <c r="AW878" s="89" t="n"/>
      <c r="AX878" s="89" t="n">
        <v>33.29723</v>
      </c>
      <c r="AY878" s="89" t="n">
        <v>63.21968</v>
      </c>
    </row>
    <row r="879">
      <c r="A879" t="inlineStr">
        <is>
          <t>1992-02</t>
        </is>
      </c>
      <c r="B879" s="1" t="n">
        <v>33635</v>
      </c>
      <c r="C879" s="88" t="n">
        <v>879</v>
      </c>
      <c r="E879" s="1">
        <f>B879</f>
        <v/>
      </c>
      <c r="F879" s="2">
        <f>B879</f>
        <v/>
      </c>
      <c r="G879" s="88" t="n">
        <v>877</v>
      </c>
      <c r="H879" s="89" t="n"/>
      <c r="I879" s="89" t="n"/>
      <c r="J879" s="89" t="n">
        <v>63.27011</v>
      </c>
      <c r="K879" s="89" t="n">
        <v>66.00015999999999</v>
      </c>
      <c r="L879" s="89" t="n"/>
      <c r="M879" s="89" t="n">
        <v>53.15553</v>
      </c>
      <c r="N879" s="89" t="n">
        <v>76.99357999999999</v>
      </c>
      <c r="O879" s="89" t="n">
        <v>85.67119</v>
      </c>
      <c r="P879" s="89" t="n">
        <v>99.89507999999999</v>
      </c>
      <c r="Q879" s="89" t="n"/>
      <c r="R879" s="89" t="n">
        <v>62.59528</v>
      </c>
      <c r="S879" s="89" t="n">
        <v>91.45076</v>
      </c>
      <c r="T879" s="89" t="n">
        <v>94.72794</v>
      </c>
      <c r="U879" s="89" t="n">
        <v>121.1832</v>
      </c>
      <c r="V879" s="89" t="n">
        <v>29.3268</v>
      </c>
      <c r="W879" s="89" t="n">
        <v>15.32597</v>
      </c>
      <c r="X879" s="89" t="n"/>
      <c r="Y879" s="89" t="n">
        <v>43.49564</v>
      </c>
      <c r="Z879" s="89" t="n">
        <v>110.1908</v>
      </c>
      <c r="AA879" s="89" t="n">
        <v>103.6412</v>
      </c>
      <c r="AB879" s="89" t="n">
        <v>24.69294</v>
      </c>
      <c r="AC879" s="89" t="n">
        <v>74.61077</v>
      </c>
      <c r="AD879" s="89" t="n"/>
      <c r="AE879" s="89" t="n">
        <v>69.69365999999999</v>
      </c>
      <c r="AF879" s="89" t="n">
        <v>78.70287</v>
      </c>
      <c r="AG879" s="89" t="n">
        <v>90.08882</v>
      </c>
      <c r="AH879" s="89" t="n">
        <v>67.69754</v>
      </c>
      <c r="AI879" s="89" t="n">
        <v>24.59932</v>
      </c>
      <c r="AJ879" s="89" t="n">
        <v>113.5671</v>
      </c>
      <c r="AK879" s="89" t="n">
        <v>31.89731</v>
      </c>
      <c r="AL879" s="89" t="n">
        <v>70.71624</v>
      </c>
      <c r="AM879" s="89" t="n">
        <v>68.91946</v>
      </c>
      <c r="AN879" s="89" t="n"/>
      <c r="AO879" s="89" t="n">
        <v>61.27196</v>
      </c>
      <c r="AP879" s="89" t="n">
        <v>82.08632</v>
      </c>
      <c r="AQ879" s="89" t="n"/>
      <c r="AR879" s="89" t="n"/>
      <c r="AS879" s="89" t="n"/>
      <c r="AT879" s="89" t="n"/>
      <c r="AU879" s="89" t="n"/>
      <c r="AV879" s="89" t="n"/>
      <c r="AW879" s="89" t="n"/>
      <c r="AX879" s="89" t="n">
        <v>32.99725</v>
      </c>
      <c r="AY879" s="89" t="n">
        <v>65.40542000000001</v>
      </c>
    </row>
    <row r="880">
      <c r="A880" t="inlineStr">
        <is>
          <t>1992-03</t>
        </is>
      </c>
      <c r="B880" s="1" t="n">
        <v>33664</v>
      </c>
      <c r="C880" s="88" t="n">
        <v>880</v>
      </c>
      <c r="E880" s="1">
        <f>B880</f>
        <v/>
      </c>
      <c r="F880" s="2">
        <f>B880</f>
        <v/>
      </c>
      <c r="G880" s="88" t="n">
        <v>878</v>
      </c>
      <c r="H880" s="89" t="n"/>
      <c r="I880" s="89" t="n"/>
      <c r="J880" s="89" t="n">
        <v>62.97542</v>
      </c>
      <c r="K880" s="89" t="n">
        <v>65.94517999999999</v>
      </c>
      <c r="L880" s="89" t="n"/>
      <c r="M880" s="89" t="n">
        <v>53.14684</v>
      </c>
      <c r="N880" s="89" t="n">
        <v>74.79376999999999</v>
      </c>
      <c r="O880" s="89" t="n">
        <v>86.75977</v>
      </c>
      <c r="P880" s="89" t="n">
        <v>98.56108</v>
      </c>
      <c r="Q880" s="89" t="n"/>
      <c r="R880" s="89" t="n">
        <v>62.14793</v>
      </c>
      <c r="S880" s="89" t="n">
        <v>92.34077000000001</v>
      </c>
      <c r="T880" s="89" t="n">
        <v>94.33731</v>
      </c>
      <c r="U880" s="89" t="n">
        <v>122.9</v>
      </c>
      <c r="V880" s="89" t="n">
        <v>29.3268</v>
      </c>
      <c r="W880" s="89" t="n">
        <v>15.80119</v>
      </c>
      <c r="X880" s="89" t="n"/>
      <c r="Y880" s="89" t="n">
        <v>45.59688</v>
      </c>
      <c r="Z880" s="89" t="n">
        <v>109.9908</v>
      </c>
      <c r="AA880" s="89" t="n">
        <v>102.1201</v>
      </c>
      <c r="AB880" s="89" t="n">
        <v>24.69294</v>
      </c>
      <c r="AC880" s="89" t="n">
        <v>74.43626</v>
      </c>
      <c r="AD880" s="89" t="n"/>
      <c r="AE880" s="89" t="n">
        <v>72.80240999999999</v>
      </c>
      <c r="AF880" s="89" t="n">
        <v>77.64672</v>
      </c>
      <c r="AG880" s="89" t="n">
        <v>92.27544</v>
      </c>
      <c r="AH880" s="89" t="n">
        <v>67.59968000000001</v>
      </c>
      <c r="AI880" s="89" t="n">
        <v>25.5112</v>
      </c>
      <c r="AJ880" s="89" t="n">
        <v>109.8082</v>
      </c>
      <c r="AK880" s="89" t="n">
        <v>35.88355</v>
      </c>
      <c r="AL880" s="89" t="n">
        <v>67.04369</v>
      </c>
      <c r="AM880" s="89" t="n">
        <v>68.21102999999999</v>
      </c>
      <c r="AN880" s="89" t="n"/>
      <c r="AO880" s="89" t="n">
        <v>61.78112</v>
      </c>
      <c r="AP880" s="89" t="n">
        <v>81.38643999999999</v>
      </c>
      <c r="AQ880" s="89" t="n"/>
      <c r="AR880" s="89" t="n"/>
      <c r="AS880" s="89" t="n"/>
      <c r="AT880" s="89" t="n"/>
      <c r="AU880" s="89" t="n"/>
      <c r="AV880" s="89" t="n"/>
      <c r="AW880" s="89" t="n"/>
      <c r="AX880" s="89" t="n">
        <v>33.09724</v>
      </c>
      <c r="AY880" s="89" t="n">
        <v>64.41349</v>
      </c>
    </row>
    <row r="881">
      <c r="A881" t="inlineStr">
        <is>
          <t>1992-04</t>
        </is>
      </c>
      <c r="B881" s="1" t="n">
        <v>33695</v>
      </c>
      <c r="C881" s="88" t="n">
        <v>881</v>
      </c>
      <c r="E881" s="1">
        <f>B881</f>
        <v/>
      </c>
      <c r="F881" s="2">
        <f>B881</f>
        <v/>
      </c>
      <c r="G881" s="88" t="n">
        <v>879</v>
      </c>
      <c r="H881" s="89" t="n"/>
      <c r="I881" s="89" t="n"/>
      <c r="J881" s="89" t="n">
        <v>62.68634</v>
      </c>
      <c r="K881" s="89" t="n">
        <v>66.54666</v>
      </c>
      <c r="L881" s="89" t="n"/>
      <c r="M881" s="89" t="n">
        <v>55.16856</v>
      </c>
      <c r="N881" s="89" t="n">
        <v>74.69378</v>
      </c>
      <c r="O881" s="89" t="n">
        <v>86.10662000000001</v>
      </c>
      <c r="P881" s="89" t="n">
        <v>98.62608</v>
      </c>
      <c r="Q881" s="89" t="n"/>
      <c r="R881" s="89" t="n">
        <v>61.99136</v>
      </c>
      <c r="S881" s="89" t="n">
        <v>91.69077</v>
      </c>
      <c r="T881" s="89" t="n">
        <v>94.92326</v>
      </c>
      <c r="U881" s="89" t="n">
        <v>120.4943</v>
      </c>
      <c r="V881" s="89" t="n">
        <v>29.53188</v>
      </c>
      <c r="W881" s="89" t="n">
        <v>15.56358</v>
      </c>
      <c r="X881" s="89" t="n"/>
      <c r="Y881" s="89" t="n">
        <v>45.66692</v>
      </c>
      <c r="Z881" s="89" t="n">
        <v>110.2908</v>
      </c>
      <c r="AA881" s="89" t="n">
        <v>101.613</v>
      </c>
      <c r="AB881" s="89" t="n">
        <v>24.42496</v>
      </c>
      <c r="AC881" s="89" t="n">
        <v>71.71904000000001</v>
      </c>
      <c r="AD881" s="89" t="n"/>
      <c r="AE881" s="89" t="n">
        <v>70.48893</v>
      </c>
      <c r="AF881" s="89" t="n">
        <v>79.5663</v>
      </c>
      <c r="AG881" s="89" t="n">
        <v>93.69674999999999</v>
      </c>
      <c r="AH881" s="89" t="n">
        <v>67.654</v>
      </c>
      <c r="AI881" s="89" t="n">
        <v>25.72211</v>
      </c>
      <c r="AJ881" s="89" t="n">
        <v>110.8224</v>
      </c>
      <c r="AK881" s="89" t="n">
        <v>33.22582</v>
      </c>
      <c r="AL881" s="89" t="n">
        <v>67.43438</v>
      </c>
      <c r="AM881" s="89" t="n">
        <v>69.42547</v>
      </c>
      <c r="AN881" s="89" t="n"/>
      <c r="AO881" s="89" t="n">
        <v>62.24947</v>
      </c>
      <c r="AP881" s="89" t="n">
        <v>81.18647</v>
      </c>
      <c r="AQ881" s="89" t="n"/>
      <c r="AR881" s="89" t="n"/>
      <c r="AS881" s="89" t="n"/>
      <c r="AT881" s="89" t="n"/>
      <c r="AU881" s="89" t="n"/>
      <c r="AV881" s="89" t="n"/>
      <c r="AW881" s="89" t="n"/>
      <c r="AX881" s="89" t="n">
        <v>33.09724</v>
      </c>
      <c r="AY881" s="89" t="n">
        <v>64.80851</v>
      </c>
    </row>
    <row r="882">
      <c r="A882" t="inlineStr">
        <is>
          <t>1992-05</t>
        </is>
      </c>
      <c r="B882" s="1" t="n">
        <v>33725</v>
      </c>
      <c r="C882" s="88" t="n">
        <v>882</v>
      </c>
      <c r="E882" s="1">
        <f>B882</f>
        <v/>
      </c>
      <c r="F882" s="2">
        <f>B882</f>
        <v/>
      </c>
      <c r="G882" s="88" t="n">
        <v>880</v>
      </c>
      <c r="H882" s="89" t="n"/>
      <c r="I882" s="89" t="n"/>
      <c r="J882" s="89" t="n">
        <v>62.28751</v>
      </c>
      <c r="K882" s="89" t="n">
        <v>66.20128</v>
      </c>
      <c r="L882" s="89" t="n"/>
      <c r="M882" s="89" t="n">
        <v>53.86003</v>
      </c>
      <c r="N882" s="89" t="n">
        <v>74.19382</v>
      </c>
      <c r="O882" s="89" t="n">
        <v>85.45348</v>
      </c>
      <c r="P882" s="89" t="n">
        <v>97.76608</v>
      </c>
      <c r="Q882" s="89" t="n"/>
      <c r="R882" s="89" t="n">
        <v>61.96899</v>
      </c>
      <c r="S882" s="89" t="n">
        <v>91.72076</v>
      </c>
      <c r="T882" s="89" t="n">
        <v>92.97011000000001</v>
      </c>
      <c r="U882" s="89" t="n">
        <v>120.3425</v>
      </c>
      <c r="V882" s="89" t="n">
        <v>29.03382</v>
      </c>
      <c r="W882" s="89" t="n">
        <v>15.68238</v>
      </c>
      <c r="X882" s="89" t="n"/>
      <c r="Y882" s="89" t="n">
        <v>45.807</v>
      </c>
      <c r="Z882" s="89" t="n">
        <v>109.9908</v>
      </c>
      <c r="AA882" s="89" t="n">
        <v>99.28059</v>
      </c>
      <c r="AB882" s="89" t="n">
        <v>24.23098</v>
      </c>
      <c r="AC882" s="89" t="n">
        <v>73.15085000000001</v>
      </c>
      <c r="AD882" s="89" t="n"/>
      <c r="AE882" s="89" t="n">
        <v>72.07944000000001</v>
      </c>
      <c r="AF882" s="89" t="n">
        <v>78.0476</v>
      </c>
      <c r="AG882" s="89" t="n">
        <v>92.60344000000001</v>
      </c>
      <c r="AH882" s="89" t="n">
        <v>67.35856</v>
      </c>
      <c r="AI882" s="89" t="n">
        <v>24.6326</v>
      </c>
      <c r="AJ882" s="89" t="n">
        <v>112.6402</v>
      </c>
      <c r="AK882" s="89" t="n">
        <v>31.20006</v>
      </c>
      <c r="AL882" s="89" t="n">
        <v>66.96554999999999</v>
      </c>
      <c r="AM882" s="89" t="n">
        <v>68.61584000000001</v>
      </c>
      <c r="AN882" s="89" t="n"/>
      <c r="AO882" s="89" t="n">
        <v>62.45252</v>
      </c>
      <c r="AP882" s="89" t="n">
        <v>80.68655</v>
      </c>
      <c r="AQ882" s="89" t="n"/>
      <c r="AR882" s="89" t="n"/>
      <c r="AS882" s="89" t="n"/>
      <c r="AT882" s="89" t="n"/>
      <c r="AU882" s="89" t="n"/>
      <c r="AV882" s="89" t="n"/>
      <c r="AW882" s="89" t="n"/>
      <c r="AX882" s="89" t="n">
        <v>33.99717</v>
      </c>
      <c r="AY882" s="89" t="n">
        <v>63.32501</v>
      </c>
    </row>
    <row r="883">
      <c r="A883" t="inlineStr">
        <is>
          <t>1992-06</t>
        </is>
      </c>
      <c r="B883" s="1" t="n">
        <v>33756</v>
      </c>
      <c r="C883" s="88" t="n">
        <v>883</v>
      </c>
      <c r="E883" s="1">
        <f>B883</f>
        <v/>
      </c>
      <c r="F883" s="2">
        <f>B883</f>
        <v/>
      </c>
      <c r="G883" s="88" t="n">
        <v>881</v>
      </c>
      <c r="H883" s="89" t="n"/>
      <c r="I883" s="89" t="n"/>
      <c r="J883" s="89" t="n">
        <v>63.2308</v>
      </c>
      <c r="K883" s="89" t="n">
        <v>66.43764</v>
      </c>
      <c r="L883" s="89" t="n"/>
      <c r="M883" s="89" t="n">
        <v>52.88952</v>
      </c>
      <c r="N883" s="89" t="n">
        <v>72.99392</v>
      </c>
      <c r="O883" s="89" t="n">
        <v>87.08634000000001</v>
      </c>
      <c r="P883" s="89" t="n">
        <v>96.53308</v>
      </c>
      <c r="Q883" s="89" t="n"/>
      <c r="R883" s="89" t="n">
        <v>62.15912</v>
      </c>
      <c r="S883" s="89" t="n">
        <v>90.63075000000001</v>
      </c>
      <c r="T883" s="89" t="n">
        <v>93.94668</v>
      </c>
      <c r="U883" s="89" t="n">
        <v>122.1813</v>
      </c>
      <c r="V883" s="89" t="n">
        <v>29.3561</v>
      </c>
      <c r="W883" s="89" t="n">
        <v>15.38537</v>
      </c>
      <c r="X883" s="89" t="n"/>
      <c r="Y883" s="89" t="n">
        <v>45.4568</v>
      </c>
      <c r="Z883" s="89" t="n">
        <v>109.7908</v>
      </c>
      <c r="AA883" s="89" t="n">
        <v>101.3088</v>
      </c>
      <c r="AB883" s="89" t="n">
        <v>24.56395</v>
      </c>
      <c r="AC883" s="89" t="n">
        <v>72.01603</v>
      </c>
      <c r="AD883" s="89" t="n"/>
      <c r="AE883" s="89" t="n">
        <v>72.22404</v>
      </c>
      <c r="AF883" s="89" t="n">
        <v>78.24803</v>
      </c>
      <c r="AG883" s="89" t="n">
        <v>93.69674999999999</v>
      </c>
      <c r="AH883" s="89" t="n">
        <v>67.44676</v>
      </c>
      <c r="AI883" s="89" t="n">
        <v>24.70794</v>
      </c>
      <c r="AJ883" s="89" t="n">
        <v>110.9393</v>
      </c>
      <c r="AK883" s="89" t="n">
        <v>33.08964</v>
      </c>
      <c r="AL883" s="89" t="n">
        <v>65.09019000000001</v>
      </c>
      <c r="AM883" s="89" t="n">
        <v>68.00861999999999</v>
      </c>
      <c r="AN883" s="89" t="n"/>
      <c r="AO883" s="89" t="n">
        <v>62.46146</v>
      </c>
      <c r="AP883" s="89" t="n">
        <v>79.98667</v>
      </c>
      <c r="AQ883" s="89" t="n"/>
      <c r="AR883" s="89" t="n"/>
      <c r="AS883" s="89" t="n"/>
      <c r="AT883" s="89" t="n"/>
      <c r="AU883" s="89" t="n"/>
      <c r="AV883" s="89" t="n"/>
      <c r="AW883" s="89" t="n"/>
      <c r="AX883" s="89" t="n">
        <v>33.19724</v>
      </c>
      <c r="AY883" s="89" t="n">
        <v>64.45738</v>
      </c>
    </row>
    <row r="884">
      <c r="A884" t="inlineStr">
        <is>
          <t>1992-07</t>
        </is>
      </c>
      <c r="B884" s="1" t="n">
        <v>33786</v>
      </c>
      <c r="C884" s="88" t="n">
        <v>884</v>
      </c>
      <c r="E884" s="1">
        <f>B884</f>
        <v/>
      </c>
      <c r="F884" s="2">
        <f>B884</f>
        <v/>
      </c>
      <c r="G884" s="88" t="n">
        <v>882</v>
      </c>
      <c r="H884" s="89" t="n"/>
      <c r="I884" s="89" t="n"/>
      <c r="J884" s="89" t="n">
        <v>63.11797</v>
      </c>
      <c r="K884" s="89" t="n">
        <v>65.77695</v>
      </c>
      <c r="L884" s="89" t="n"/>
      <c r="M884" s="89" t="n">
        <v>53.8389</v>
      </c>
      <c r="N884" s="89" t="n">
        <v>71.69401999999999</v>
      </c>
      <c r="O884" s="89" t="n">
        <v>85.56233</v>
      </c>
      <c r="P884" s="89" t="n">
        <v>95.58908</v>
      </c>
      <c r="Q884" s="89" t="n"/>
      <c r="R884" s="89" t="n">
        <v>61.24205</v>
      </c>
      <c r="S884" s="89" t="n">
        <v>90.28075</v>
      </c>
      <c r="T884" s="89" t="n">
        <v>94.82559999999999</v>
      </c>
      <c r="U884" s="89" t="n">
        <v>123.3654</v>
      </c>
      <c r="V884" s="89" t="n">
        <v>28.91664</v>
      </c>
      <c r="W884" s="89" t="n">
        <v>16.0388</v>
      </c>
      <c r="X884" s="89" t="n"/>
      <c r="Y884" s="89" t="n">
        <v>46.36733</v>
      </c>
      <c r="Z884" s="89" t="n">
        <v>108.391</v>
      </c>
      <c r="AA884" s="89" t="n">
        <v>101.106</v>
      </c>
      <c r="AB884" s="89" t="n">
        <v>24.96092</v>
      </c>
      <c r="AC884" s="89" t="n">
        <v>72.26698</v>
      </c>
      <c r="AD884" s="89" t="n"/>
      <c r="AE884" s="89" t="n">
        <v>73.45308</v>
      </c>
      <c r="AF884" s="89" t="n">
        <v>79.63569</v>
      </c>
      <c r="AG884" s="89" t="n">
        <v>93.58741999999999</v>
      </c>
      <c r="AH884" s="89" t="n">
        <v>67.62614000000001</v>
      </c>
      <c r="AI884" s="89" t="n">
        <v>26.00797</v>
      </c>
      <c r="AJ884" s="89" t="n">
        <v>109.3273</v>
      </c>
      <c r="AK884" s="89" t="n">
        <v>33.36425</v>
      </c>
      <c r="AL884" s="89" t="n">
        <v>65.71531</v>
      </c>
      <c r="AM884" s="89" t="n">
        <v>69.52667</v>
      </c>
      <c r="AN884" s="89" t="n"/>
      <c r="AO884" s="89" t="n">
        <v>63.02595</v>
      </c>
      <c r="AP884" s="89" t="n">
        <v>78.98684</v>
      </c>
      <c r="AQ884" s="89" t="n"/>
      <c r="AR884" s="89" t="n"/>
      <c r="AS884" s="89" t="n"/>
      <c r="AT884" s="89" t="n"/>
      <c r="AU884" s="89" t="n"/>
      <c r="AV884" s="89" t="n"/>
      <c r="AW884" s="89" t="n"/>
      <c r="AX884" s="89" t="n">
        <v>33.79718</v>
      </c>
      <c r="AY884" s="89" t="n">
        <v>64.46616</v>
      </c>
    </row>
    <row r="885">
      <c r="A885" t="inlineStr">
        <is>
          <t>1992-08</t>
        </is>
      </c>
      <c r="B885" s="1" t="n">
        <v>33817</v>
      </c>
      <c r="C885" s="88" t="n">
        <v>885</v>
      </c>
      <c r="E885" s="1">
        <f>B885</f>
        <v/>
      </c>
      <c r="F885" s="2">
        <f>B885</f>
        <v/>
      </c>
      <c r="G885" s="88" t="n">
        <v>883</v>
      </c>
      <c r="H885" s="89" t="n"/>
      <c r="I885" s="89" t="n"/>
      <c r="J885" s="89" t="n">
        <v>61.96475</v>
      </c>
      <c r="K885" s="89" t="n">
        <v>66.22477000000001</v>
      </c>
      <c r="L885" s="89" t="n"/>
      <c r="M885" s="89" t="n">
        <v>54.11391</v>
      </c>
      <c r="N885" s="89" t="n">
        <v>71.89400999999999</v>
      </c>
      <c r="O885" s="89" t="n">
        <v>85.88891</v>
      </c>
      <c r="P885" s="89" t="n">
        <v>95.19508</v>
      </c>
      <c r="Q885" s="89" t="n"/>
      <c r="R885" s="89" t="n">
        <v>62.62883</v>
      </c>
      <c r="S885" s="89" t="n">
        <v>90.56075</v>
      </c>
      <c r="T885" s="89" t="n">
        <v>94.63029</v>
      </c>
      <c r="U885" s="89" t="n">
        <v>124.1186</v>
      </c>
      <c r="V885" s="89" t="n">
        <v>27.0123</v>
      </c>
      <c r="W885" s="89" t="n">
        <v>15.80119</v>
      </c>
      <c r="X885" s="89" t="n"/>
      <c r="Y885" s="89" t="n">
        <v>45.66692</v>
      </c>
      <c r="Z885" s="89" t="n">
        <v>106.4911</v>
      </c>
      <c r="AA885" s="89" t="n">
        <v>98.16508</v>
      </c>
      <c r="AB885" s="89" t="n">
        <v>24.75794</v>
      </c>
      <c r="AC885" s="89" t="n">
        <v>71.29376000000001</v>
      </c>
      <c r="AD885" s="89" t="n"/>
      <c r="AE885" s="89" t="n">
        <v>72.15174</v>
      </c>
      <c r="AF885" s="89" t="n">
        <v>76.58286</v>
      </c>
      <c r="AG885" s="89" t="n">
        <v>95.66471</v>
      </c>
      <c r="AH885" s="89" t="n">
        <v>66.91399</v>
      </c>
      <c r="AI885" s="89" t="n">
        <v>25.67519</v>
      </c>
      <c r="AJ885" s="89" t="n">
        <v>99.78230000000001</v>
      </c>
      <c r="AK885" s="89" t="n">
        <v>32.73099</v>
      </c>
      <c r="AL885" s="89" t="n">
        <v>64.46508</v>
      </c>
      <c r="AM885" s="89" t="n">
        <v>70.33629999999999</v>
      </c>
      <c r="AN885" s="89" t="n"/>
      <c r="AO885" s="89" t="n">
        <v>62.7158</v>
      </c>
      <c r="AP885" s="89" t="n">
        <v>78.88685</v>
      </c>
      <c r="AQ885" s="89" t="n"/>
      <c r="AR885" s="89" t="n"/>
      <c r="AS885" s="89" t="n"/>
      <c r="AT885" s="89" t="n"/>
      <c r="AU885" s="89" t="n"/>
      <c r="AV885" s="89" t="n"/>
      <c r="AW885" s="89" t="n"/>
      <c r="AX885" s="89" t="n">
        <v>32.59728</v>
      </c>
      <c r="AY885" s="89" t="n">
        <v>64.10626000000001</v>
      </c>
    </row>
    <row r="886">
      <c r="A886" t="inlineStr">
        <is>
          <t>1992-09</t>
        </is>
      </c>
      <c r="B886" s="1" t="n">
        <v>33848</v>
      </c>
      <c r="C886" s="88" t="n">
        <v>886</v>
      </c>
      <c r="E886" s="1">
        <f>B886</f>
        <v/>
      </c>
      <c r="F886" s="2">
        <f>B886</f>
        <v/>
      </c>
      <c r="G886" s="88" t="n">
        <v>884</v>
      </c>
      <c r="H886" s="89" t="n"/>
      <c r="I886" s="89" t="n"/>
      <c r="J886" s="89" t="n">
        <v>61.95364</v>
      </c>
      <c r="K886" s="89" t="n">
        <v>66.59365</v>
      </c>
      <c r="L886" s="89" t="n"/>
      <c r="M886" s="89" t="n">
        <v>54.69465</v>
      </c>
      <c r="N886" s="89" t="n">
        <v>71.29406</v>
      </c>
      <c r="O886" s="89" t="n">
        <v>86.21548</v>
      </c>
      <c r="P886" s="89" t="n">
        <v>94.50908</v>
      </c>
      <c r="Q886" s="89" t="n"/>
      <c r="R886" s="89" t="n">
        <v>62.18149</v>
      </c>
      <c r="S886" s="89" t="n">
        <v>89.29074</v>
      </c>
      <c r="T886" s="89" t="n">
        <v>95.31389</v>
      </c>
      <c r="U886" s="89" t="n">
        <v>121.4743</v>
      </c>
      <c r="V886" s="89" t="n">
        <v>29.3268</v>
      </c>
      <c r="W886" s="89" t="n">
        <v>16.39522</v>
      </c>
      <c r="X886" s="89" t="n"/>
      <c r="Y886" s="89" t="n">
        <v>46.36733</v>
      </c>
      <c r="Z886" s="89" t="n">
        <v>105.6912</v>
      </c>
      <c r="AA886" s="89" t="n">
        <v>101.9173</v>
      </c>
      <c r="AB886" s="89" t="n">
        <v>24.42496</v>
      </c>
      <c r="AC886" s="89" t="n">
        <v>73.8233</v>
      </c>
      <c r="AD886" s="89" t="n"/>
      <c r="AE886" s="89" t="n">
        <v>73.52538</v>
      </c>
      <c r="AF886" s="89" t="n">
        <v>76.8681</v>
      </c>
      <c r="AG886" s="89" t="n">
        <v>94.89939</v>
      </c>
      <c r="AH886" s="89" t="n">
        <v>67.46854999999999</v>
      </c>
      <c r="AI886" s="89" t="n">
        <v>25.54162</v>
      </c>
      <c r="AJ886" s="89" t="n">
        <v>106.3708</v>
      </c>
      <c r="AK886" s="89" t="n">
        <v>34.19226</v>
      </c>
      <c r="AL886" s="89" t="n">
        <v>64.6995</v>
      </c>
      <c r="AM886" s="89" t="n">
        <v>68.21102999999999</v>
      </c>
      <c r="AN886" s="89" t="n"/>
      <c r="AO886" s="89" t="n">
        <v>62.86151</v>
      </c>
      <c r="AP886" s="89" t="n">
        <v>78.18697</v>
      </c>
      <c r="AQ886" s="89" t="n"/>
      <c r="AR886" s="89" t="n"/>
      <c r="AS886" s="89" t="n"/>
      <c r="AT886" s="89" t="n"/>
      <c r="AU886" s="89" t="n"/>
      <c r="AV886" s="89" t="n"/>
      <c r="AW886" s="89" t="n"/>
      <c r="AX886" s="89" t="n">
        <v>34.49712</v>
      </c>
      <c r="AY886" s="89" t="n">
        <v>65.64243</v>
      </c>
    </row>
    <row r="887">
      <c r="A887" t="inlineStr">
        <is>
          <t>1992-10</t>
        </is>
      </c>
      <c r="B887" s="1" t="n">
        <v>33878</v>
      </c>
      <c r="C887" s="88" t="n">
        <v>887</v>
      </c>
      <c r="E887" s="1">
        <f>B887</f>
        <v/>
      </c>
      <c r="F887" s="2">
        <f>B887</f>
        <v/>
      </c>
      <c r="G887" s="88" t="n">
        <v>885</v>
      </c>
      <c r="H887" s="89" t="n"/>
      <c r="I887" s="89" t="n"/>
      <c r="J887" s="89" t="n">
        <v>61.23207</v>
      </c>
      <c r="K887" s="89" t="n">
        <v>67.39391000000001</v>
      </c>
      <c r="L887" s="89" t="n"/>
      <c r="M887" s="89" t="n">
        <v>54.30289</v>
      </c>
      <c r="N887" s="89" t="n">
        <v>71.19407</v>
      </c>
      <c r="O887" s="89" t="n">
        <v>85.45348</v>
      </c>
      <c r="P887" s="89" t="n">
        <v>94.10808</v>
      </c>
      <c r="Q887" s="89" t="n"/>
      <c r="R887" s="89" t="n">
        <v>62.37161</v>
      </c>
      <c r="S887" s="89" t="n">
        <v>90.24075000000001</v>
      </c>
      <c r="T887" s="89" t="n">
        <v>96.29047</v>
      </c>
      <c r="U887" s="89" t="n">
        <v>121.6526</v>
      </c>
      <c r="V887" s="89" t="n">
        <v>29.97135</v>
      </c>
      <c r="W887" s="89" t="n">
        <v>16.51403</v>
      </c>
      <c r="X887" s="89" t="n"/>
      <c r="Y887" s="89" t="n">
        <v>46.71754</v>
      </c>
      <c r="Z887" s="89" t="n">
        <v>106.3911</v>
      </c>
      <c r="AA887" s="89" t="n">
        <v>98.77354</v>
      </c>
      <c r="AB887" s="89" t="n">
        <v>24.42496</v>
      </c>
      <c r="AC887" s="89" t="n">
        <v>74.62023000000001</v>
      </c>
      <c r="AD887" s="89" t="n"/>
      <c r="AE887" s="89" t="n">
        <v>72.29633</v>
      </c>
      <c r="AF887" s="89" t="n">
        <v>81.51672000000001</v>
      </c>
      <c r="AG887" s="89" t="n">
        <v>93.25942999999999</v>
      </c>
      <c r="AH887" s="89" t="n">
        <v>67.39924999999999</v>
      </c>
      <c r="AI887" s="89" t="n">
        <v>26.30597</v>
      </c>
      <c r="AJ887" s="89" t="n">
        <v>107.6954</v>
      </c>
      <c r="AK887" s="89" t="n">
        <v>33.30109</v>
      </c>
      <c r="AL887" s="89" t="n">
        <v>65.48090000000001</v>
      </c>
      <c r="AM887" s="89" t="n">
        <v>68.10983</v>
      </c>
      <c r="AN887" s="89" t="n"/>
      <c r="AO887" s="89" t="n">
        <v>63.33302</v>
      </c>
      <c r="AP887" s="89" t="n">
        <v>78.28695</v>
      </c>
      <c r="AQ887" s="89" t="n"/>
      <c r="AR887" s="89" t="n"/>
      <c r="AS887" s="89" t="n"/>
      <c r="AT887" s="89" t="n"/>
      <c r="AU887" s="89" t="n"/>
      <c r="AV887" s="89" t="n"/>
      <c r="AW887" s="89" t="n"/>
      <c r="AX887" s="89" t="n">
        <v>34.59712</v>
      </c>
      <c r="AY887" s="89" t="n">
        <v>65.67753999999999</v>
      </c>
    </row>
    <row r="888">
      <c r="A888" t="inlineStr">
        <is>
          <t>1992-11</t>
        </is>
      </c>
      <c r="B888" s="1" t="n">
        <v>33909</v>
      </c>
      <c r="C888" s="88" t="n">
        <v>888</v>
      </c>
      <c r="E888" s="1">
        <f>B888</f>
        <v/>
      </c>
      <c r="F888" s="2">
        <f>B888</f>
        <v/>
      </c>
      <c r="G888" s="88" t="n">
        <v>886</v>
      </c>
      <c r="H888" s="89" t="n"/>
      <c r="I888" s="89" t="n"/>
      <c r="J888" s="89" t="n">
        <v>60.59751</v>
      </c>
      <c r="K888" s="89" t="n">
        <v>67.57201000000001</v>
      </c>
      <c r="L888" s="89" t="n"/>
      <c r="M888" s="89" t="n">
        <v>54.48128</v>
      </c>
      <c r="N888" s="89" t="n">
        <v>70.09416</v>
      </c>
      <c r="O888" s="89" t="n">
        <v>82.62317</v>
      </c>
      <c r="P888" s="89" t="n">
        <v>92.21307</v>
      </c>
      <c r="Q888" s="89" t="n"/>
      <c r="R888" s="89" t="n">
        <v>62.81896</v>
      </c>
      <c r="S888" s="89" t="n">
        <v>89.07074</v>
      </c>
      <c r="T888" s="89" t="n">
        <v>95.02091</v>
      </c>
      <c r="U888" s="89" t="n">
        <v>122.2036</v>
      </c>
      <c r="V888" s="89" t="n">
        <v>29.20961</v>
      </c>
      <c r="W888" s="89" t="n">
        <v>16.45462</v>
      </c>
      <c r="X888" s="89" t="n"/>
      <c r="Y888" s="89" t="n">
        <v>46.99771</v>
      </c>
      <c r="Z888" s="89" t="n">
        <v>107.0911</v>
      </c>
      <c r="AA888" s="89" t="n">
        <v>97.55662</v>
      </c>
      <c r="AB888" s="89" t="n">
        <v>24.49896</v>
      </c>
      <c r="AC888" s="89" t="n">
        <v>73.30217</v>
      </c>
      <c r="AD888" s="89" t="n"/>
      <c r="AE888" s="89" t="n">
        <v>72.07944000000001</v>
      </c>
      <c r="AF888" s="89" t="n">
        <v>77.76236</v>
      </c>
      <c r="AG888" s="89" t="n">
        <v>92.60344000000001</v>
      </c>
      <c r="AH888" s="89" t="n">
        <v>67.0438</v>
      </c>
      <c r="AI888" s="89" t="n">
        <v>26.23028</v>
      </c>
      <c r="AJ888" s="89" t="n">
        <v>107.4768</v>
      </c>
      <c r="AK888" s="89" t="n">
        <v>32.55528</v>
      </c>
      <c r="AL888" s="89" t="n">
        <v>64.93391</v>
      </c>
      <c r="AM888" s="89" t="n">
        <v>66.69298000000001</v>
      </c>
      <c r="AN888" s="89" t="n"/>
      <c r="AO888" s="89" t="n">
        <v>63.60244</v>
      </c>
      <c r="AP888" s="89" t="n">
        <v>77.58707</v>
      </c>
      <c r="AQ888" s="89" t="n"/>
      <c r="AR888" s="89" t="n"/>
      <c r="AS888" s="89" t="n"/>
      <c r="AT888" s="89" t="n"/>
      <c r="AU888" s="89" t="n"/>
      <c r="AV888" s="89" t="n"/>
      <c r="AW888" s="89" t="n"/>
      <c r="AX888" s="89" t="n">
        <v>34.49712</v>
      </c>
      <c r="AY888" s="89" t="n">
        <v>66.98547000000001</v>
      </c>
    </row>
    <row r="889">
      <c r="A889" t="inlineStr">
        <is>
          <t>1992-12</t>
        </is>
      </c>
      <c r="B889" s="1" t="n">
        <v>33939</v>
      </c>
      <c r="C889" s="88" t="n">
        <v>889</v>
      </c>
      <c r="E889" s="1">
        <f>B889</f>
        <v/>
      </c>
      <c r="F889" s="2">
        <f>B889</f>
        <v/>
      </c>
      <c r="G889" s="88" t="n">
        <v>887</v>
      </c>
      <c r="H889" s="89" t="n"/>
      <c r="I889" s="89" t="n"/>
      <c r="J889" s="89" t="n">
        <v>59.84929</v>
      </c>
      <c r="K889" s="89" t="n">
        <v>67.73083</v>
      </c>
      <c r="L889" s="89" t="n"/>
      <c r="M889" s="89" t="n">
        <v>52.28609</v>
      </c>
      <c r="N889" s="89" t="n">
        <v>68.89426</v>
      </c>
      <c r="O889" s="89" t="n">
        <v>81.64345</v>
      </c>
      <c r="P889" s="89" t="n">
        <v>90.67708</v>
      </c>
      <c r="Q889" s="89" t="n"/>
      <c r="R889" s="89" t="n">
        <v>62.6512</v>
      </c>
      <c r="S889" s="89" t="n">
        <v>87.88073</v>
      </c>
      <c r="T889" s="89" t="n">
        <v>94.92326</v>
      </c>
      <c r="U889" s="89" t="n">
        <v>121.0277</v>
      </c>
      <c r="V889" s="89" t="n">
        <v>31.6413</v>
      </c>
      <c r="W889" s="89" t="n">
        <v>15.26656</v>
      </c>
      <c r="X889" s="89" t="n"/>
      <c r="Y889" s="89" t="n">
        <v>47.90824</v>
      </c>
      <c r="Z889" s="89" t="n">
        <v>105.2912</v>
      </c>
      <c r="AA889" s="89" t="n">
        <v>97.15097</v>
      </c>
      <c r="AB889" s="89" t="n">
        <v>24.62795</v>
      </c>
      <c r="AC889" s="89" t="n">
        <v>69.28521000000001</v>
      </c>
      <c r="AD889" s="89" t="n"/>
      <c r="AE889" s="89" t="n">
        <v>71.50108</v>
      </c>
      <c r="AF889" s="89" t="n">
        <v>74.50909</v>
      </c>
      <c r="AG889" s="89" t="n">
        <v>94.35274</v>
      </c>
      <c r="AH889" s="89" t="n">
        <v>66.64532</v>
      </c>
      <c r="AI889" s="89" t="n">
        <v>26.42479</v>
      </c>
      <c r="AJ889" s="89" t="n">
        <v>103.4519</v>
      </c>
      <c r="AK889" s="89" t="n">
        <v>33.13321</v>
      </c>
      <c r="AL889" s="89" t="n">
        <v>63.76183</v>
      </c>
      <c r="AM889" s="89" t="n">
        <v>66.69298000000001</v>
      </c>
      <c r="AN889" s="89" t="n"/>
      <c r="AO889" s="89" t="n">
        <v>63.65988</v>
      </c>
      <c r="AP889" s="89" t="n">
        <v>76.28728</v>
      </c>
      <c r="AQ889" s="89" t="n"/>
      <c r="AR889" s="89" t="n"/>
      <c r="AS889" s="89" t="n"/>
      <c r="AT889" s="89" t="n"/>
      <c r="AU889" s="89" t="n"/>
      <c r="AV889" s="89" t="n"/>
      <c r="AW889" s="89" t="n"/>
      <c r="AX889" s="89" t="n">
        <v>33.5972</v>
      </c>
      <c r="AY889" s="89" t="n">
        <v>66.25689</v>
      </c>
    </row>
    <row r="890">
      <c r="A890" t="inlineStr">
        <is>
          <t>1993-01</t>
        </is>
      </c>
      <c r="B890" s="1" t="n">
        <v>33970</v>
      </c>
      <c r="C890" s="88" t="n">
        <v>890</v>
      </c>
      <c r="E890" s="1">
        <f>B890</f>
        <v/>
      </c>
      <c r="F890" s="2">
        <f>B890</f>
        <v/>
      </c>
      <c r="G890" s="88" t="n">
        <v>888</v>
      </c>
      <c r="H890" s="89" t="n"/>
      <c r="I890" s="89" t="n"/>
      <c r="J890" s="89" t="n">
        <v>58.61264</v>
      </c>
      <c r="K890" s="89" t="n">
        <v>67.85677</v>
      </c>
      <c r="L890" s="89" t="n"/>
      <c r="M890" s="89" t="n">
        <v>51.40253</v>
      </c>
      <c r="N890" s="89" t="n">
        <v>68.09432</v>
      </c>
      <c r="O890" s="89" t="n">
        <v>79.46629</v>
      </c>
      <c r="P890" s="89" t="n">
        <v>92.40208</v>
      </c>
      <c r="Q890" s="89" t="n"/>
      <c r="R890" s="89" t="n">
        <v>62.80777</v>
      </c>
      <c r="S890" s="89" t="n">
        <v>87.79073</v>
      </c>
      <c r="T890" s="89" t="n">
        <v>95.02091</v>
      </c>
      <c r="U890" s="89" t="n">
        <v>115.3168</v>
      </c>
      <c r="V890" s="89" t="n">
        <v>27.59825</v>
      </c>
      <c r="W890" s="89" t="n">
        <v>16.63283</v>
      </c>
      <c r="X890" s="89" t="n"/>
      <c r="Y890" s="89" t="n">
        <v>48.18841</v>
      </c>
      <c r="Z890" s="89" t="n">
        <v>107.0911</v>
      </c>
      <c r="AA890" s="89" t="n">
        <v>99.17918</v>
      </c>
      <c r="AB890" s="89" t="n">
        <v>24.62795</v>
      </c>
      <c r="AC890" s="89" t="n">
        <v>66.08184</v>
      </c>
      <c r="AD890" s="89" t="n"/>
      <c r="AE890" s="89" t="n">
        <v>71.33297</v>
      </c>
      <c r="AF890" s="89" t="n">
        <v>77.8009</v>
      </c>
      <c r="AG890" s="89" t="n">
        <v>89.32351</v>
      </c>
      <c r="AH890" s="89" t="n">
        <v>67.00708</v>
      </c>
      <c r="AI890" s="89" t="n">
        <v>25.68399</v>
      </c>
      <c r="AJ890" s="89" t="n">
        <v>106.3845</v>
      </c>
      <c r="AK890" s="89" t="n">
        <v>33.67661</v>
      </c>
      <c r="AL890" s="89" t="n">
        <v>66.18415</v>
      </c>
      <c r="AM890" s="89" t="n">
        <v>66.89539000000001</v>
      </c>
      <c r="AN890" s="89" t="n"/>
      <c r="AO890" s="89" t="n">
        <v>63.93565</v>
      </c>
      <c r="AP890" s="89" t="n">
        <v>76.68722</v>
      </c>
      <c r="AQ890" s="89" t="n"/>
      <c r="AR890" s="89" t="n"/>
      <c r="AS890" s="89" t="n"/>
      <c r="AT890" s="89" t="n"/>
      <c r="AU890" s="89" t="n"/>
      <c r="AV890" s="89" t="n">
        <v>77.41759999999999</v>
      </c>
      <c r="AW890" s="89" t="n"/>
      <c r="AX890" s="89" t="n">
        <v>35.09708</v>
      </c>
      <c r="AY890" s="89" t="n">
        <v>67.60871</v>
      </c>
    </row>
    <row r="891">
      <c r="A891" t="inlineStr">
        <is>
          <t>1993-02</t>
        </is>
      </c>
      <c r="B891" s="1" t="n">
        <v>34001</v>
      </c>
      <c r="C891" s="88" t="n">
        <v>891</v>
      </c>
      <c r="E891" s="1">
        <f>B891</f>
        <v/>
      </c>
      <c r="F891" s="2">
        <f>B891</f>
        <v/>
      </c>
      <c r="G891" s="88" t="n">
        <v>889</v>
      </c>
      <c r="H891" s="89" t="n"/>
      <c r="I891" s="89" t="n"/>
      <c r="J891" s="89" t="n">
        <v>59.16882</v>
      </c>
      <c r="K891" s="89" t="n">
        <v>68.84405</v>
      </c>
      <c r="L891" s="89" t="n"/>
      <c r="M891" s="89" t="n">
        <v>51.82082</v>
      </c>
      <c r="N891" s="89" t="n">
        <v>67.09441</v>
      </c>
      <c r="O891" s="89" t="n">
        <v>80.77258</v>
      </c>
      <c r="P891" s="89" t="n">
        <v>90.81708</v>
      </c>
      <c r="Q891" s="89" t="n"/>
      <c r="R891" s="89" t="n">
        <v>63.12092</v>
      </c>
      <c r="S891" s="89" t="n">
        <v>87.93073</v>
      </c>
      <c r="T891" s="89" t="n">
        <v>96.38812</v>
      </c>
      <c r="U891" s="89" t="n">
        <v>119.4161</v>
      </c>
      <c r="V891" s="89" t="n">
        <v>29.59048</v>
      </c>
      <c r="W891" s="89" t="n">
        <v>16.63283</v>
      </c>
      <c r="X891" s="89" t="n"/>
      <c r="Y891" s="89" t="n">
        <v>49.0289</v>
      </c>
      <c r="Z891" s="89" t="n">
        <v>106.7911</v>
      </c>
      <c r="AA891" s="89" t="n">
        <v>99.38200000000001</v>
      </c>
      <c r="AB891" s="89" t="n">
        <v>24.35997</v>
      </c>
      <c r="AC891" s="89" t="n">
        <v>70.24435</v>
      </c>
      <c r="AD891" s="89" t="n"/>
      <c r="AE891" s="89" t="n">
        <v>72.28033000000001</v>
      </c>
      <c r="AF891" s="89" t="n">
        <v>77.75465</v>
      </c>
      <c r="AG891" s="89" t="n">
        <v>92.49411000000001</v>
      </c>
      <c r="AH891" s="89" t="n">
        <v>67.12679</v>
      </c>
      <c r="AI891" s="89" t="n">
        <v>25.87587</v>
      </c>
      <c r="AJ891" s="89" t="n">
        <v>103.4284</v>
      </c>
      <c r="AK891" s="89" t="n">
        <v>33.56164</v>
      </c>
      <c r="AL891" s="89" t="n">
        <v>63.29299</v>
      </c>
      <c r="AM891" s="89" t="n">
        <v>65.98456</v>
      </c>
      <c r="AN891" s="89" t="n"/>
      <c r="AO891" s="89" t="n">
        <v>64.21908999999999</v>
      </c>
      <c r="AP891" s="89" t="n">
        <v>76.08732000000001</v>
      </c>
      <c r="AQ891" s="89" t="n"/>
      <c r="AR891" s="89" t="n"/>
      <c r="AS891" s="89" t="n"/>
      <c r="AT891" s="89" t="n"/>
      <c r="AU891" s="89" t="n"/>
      <c r="AV891" s="89" t="n">
        <v>82.2748</v>
      </c>
      <c r="AW891" s="89" t="n"/>
      <c r="AX891" s="89" t="n">
        <v>35.19707</v>
      </c>
      <c r="AY891" s="89" t="n">
        <v>69.05709</v>
      </c>
    </row>
    <row r="892">
      <c r="A892" t="inlineStr">
        <is>
          <t>1993-03</t>
        </is>
      </c>
      <c r="B892" s="1" t="n">
        <v>34029</v>
      </c>
      <c r="C892" s="88" t="n">
        <v>892</v>
      </c>
      <c r="E892" s="1">
        <f>B892</f>
        <v/>
      </c>
      <c r="F892" s="2">
        <f>B892</f>
        <v/>
      </c>
      <c r="G892" s="88" t="n">
        <v>890</v>
      </c>
      <c r="H892" s="89" t="n"/>
      <c r="I892" s="89" t="n"/>
      <c r="J892" s="89" t="n">
        <v>59.41261</v>
      </c>
      <c r="K892" s="89" t="n">
        <v>69.54797000000001</v>
      </c>
      <c r="L892" s="89" t="n"/>
      <c r="M892" s="89" t="n">
        <v>50.18815</v>
      </c>
      <c r="N892" s="89" t="n">
        <v>67.1944</v>
      </c>
      <c r="O892" s="89" t="n">
        <v>81.53458999999999</v>
      </c>
      <c r="P892" s="89" t="n">
        <v>90.82107999999999</v>
      </c>
      <c r="Q892" s="89" t="n"/>
      <c r="R892" s="89" t="n">
        <v>63.613</v>
      </c>
      <c r="S892" s="89" t="n">
        <v>87.49073</v>
      </c>
      <c r="T892" s="89" t="n">
        <v>95.60686</v>
      </c>
      <c r="U892" s="89" t="n">
        <v>117.705</v>
      </c>
      <c r="V892" s="89" t="n">
        <v>30.44011</v>
      </c>
      <c r="W892" s="89" t="n">
        <v>16.69223</v>
      </c>
      <c r="X892" s="89" t="n"/>
      <c r="Y892" s="89" t="n">
        <v>48.53861</v>
      </c>
      <c r="Z892" s="89" t="n">
        <v>106.2911</v>
      </c>
      <c r="AA892" s="89" t="n">
        <v>96.03546</v>
      </c>
      <c r="AB892" s="89" t="n">
        <v>25.2289</v>
      </c>
      <c r="AC892" s="89" t="n">
        <v>70.5694</v>
      </c>
      <c r="AD892" s="89" t="n"/>
      <c r="AE892" s="89" t="n">
        <v>72.78719</v>
      </c>
      <c r="AF892" s="89" t="n">
        <v>77.02997999999999</v>
      </c>
      <c r="AG892" s="89" t="n">
        <v>96.32069</v>
      </c>
      <c r="AH892" s="89" t="n">
        <v>66.71228000000001</v>
      </c>
      <c r="AI892" s="89" t="n">
        <v>26.09598</v>
      </c>
      <c r="AJ892" s="89" t="n">
        <v>106.4501</v>
      </c>
      <c r="AK892" s="89" t="n">
        <v>31.81753</v>
      </c>
      <c r="AL892" s="89" t="n">
        <v>62.98043</v>
      </c>
      <c r="AM892" s="89" t="n">
        <v>67.199</v>
      </c>
      <c r="AN892" s="89" t="n"/>
      <c r="AO892" s="89" t="n">
        <v>64.12918999999999</v>
      </c>
      <c r="AP892" s="89" t="n">
        <v>75.88735</v>
      </c>
      <c r="AQ892" s="89" t="n"/>
      <c r="AR892" s="89" t="n"/>
      <c r="AS892" s="89" t="n"/>
      <c r="AT892" s="89" t="n"/>
      <c r="AU892" s="89" t="n"/>
      <c r="AV892" s="89" t="n">
        <v>83.56303</v>
      </c>
      <c r="AW892" s="89" t="n"/>
      <c r="AX892" s="89" t="n">
        <v>33.99717</v>
      </c>
      <c r="AY892" s="89" t="n">
        <v>68.81131000000001</v>
      </c>
    </row>
    <row r="893">
      <c r="A893" t="inlineStr">
        <is>
          <t>1993-04</t>
        </is>
      </c>
      <c r="B893" s="1" t="n">
        <v>34060</v>
      </c>
      <c r="C893" s="88" t="n">
        <v>893</v>
      </c>
      <c r="E893" s="1">
        <f>B893</f>
        <v/>
      </c>
      <c r="F893" s="2">
        <f>B893</f>
        <v/>
      </c>
      <c r="G893" s="88" t="n">
        <v>891</v>
      </c>
      <c r="H893" s="89" t="n"/>
      <c r="I893" s="89" t="n"/>
      <c r="J893" s="89" t="n">
        <v>59.66206</v>
      </c>
      <c r="K893" s="89" t="n">
        <v>69.23595</v>
      </c>
      <c r="L893" s="89" t="n"/>
      <c r="M893" s="89" t="n">
        <v>51.38503</v>
      </c>
      <c r="N893" s="89" t="n">
        <v>66.69444</v>
      </c>
      <c r="O893" s="89" t="n">
        <v>82.40545</v>
      </c>
      <c r="P893" s="89" t="n">
        <v>90.57407000000001</v>
      </c>
      <c r="Q893" s="89" t="n"/>
      <c r="R893" s="89" t="n">
        <v>64.08271999999999</v>
      </c>
      <c r="S893" s="89" t="n">
        <v>86.90073</v>
      </c>
      <c r="T893" s="89" t="n">
        <v>95.70452</v>
      </c>
      <c r="U893" s="89" t="n">
        <v>119.0604</v>
      </c>
      <c r="V893" s="89" t="n">
        <v>30.93816</v>
      </c>
      <c r="W893" s="89" t="n">
        <v>16.63283</v>
      </c>
      <c r="X893" s="89" t="n"/>
      <c r="Y893" s="89" t="n">
        <v>48.11837</v>
      </c>
      <c r="Z893" s="89" t="n">
        <v>106.0912</v>
      </c>
      <c r="AA893" s="89" t="n">
        <v>97.86085</v>
      </c>
      <c r="AB893" s="89" t="n">
        <v>25.08991</v>
      </c>
      <c r="AC893" s="89" t="n">
        <v>70.146</v>
      </c>
      <c r="AD893" s="89" t="n"/>
      <c r="AE893" s="89" t="n">
        <v>72.38856</v>
      </c>
      <c r="AF893" s="89" t="n">
        <v>76.18969</v>
      </c>
      <c r="AG893" s="89" t="n">
        <v>95.99271</v>
      </c>
      <c r="AH893" s="89" t="n">
        <v>67.00931</v>
      </c>
      <c r="AI893" s="89" t="n">
        <v>26.71192</v>
      </c>
      <c r="AJ893" s="89" t="n">
        <v>104.6943</v>
      </c>
      <c r="AK893" s="89" t="n">
        <v>31.99341</v>
      </c>
      <c r="AL893" s="89" t="n">
        <v>63.05857</v>
      </c>
      <c r="AM893" s="89" t="n">
        <v>66.49057999999999</v>
      </c>
      <c r="AN893" s="89" t="n"/>
      <c r="AO893" s="89" t="n">
        <v>64.35414</v>
      </c>
      <c r="AP893" s="89" t="n">
        <v>75.38744</v>
      </c>
      <c r="AQ893" s="89" t="n"/>
      <c r="AR893" s="89" t="n"/>
      <c r="AS893" s="89" t="n"/>
      <c r="AT893" s="89" t="n"/>
      <c r="AU893" s="89" t="n"/>
      <c r="AV893" s="89" t="n">
        <v>82.16254000000001</v>
      </c>
      <c r="AW893" s="89" t="n"/>
      <c r="AX893" s="89" t="n">
        <v>35.69703</v>
      </c>
      <c r="AY893" s="89" t="n">
        <v>69.49599000000001</v>
      </c>
    </row>
    <row r="894">
      <c r="A894" t="inlineStr">
        <is>
          <t>1993-05</t>
        </is>
      </c>
      <c r="B894" s="1" t="n">
        <v>34090</v>
      </c>
      <c r="C894" s="88" t="n">
        <v>894</v>
      </c>
      <c r="E894" s="1">
        <f>B894</f>
        <v/>
      </c>
      <c r="F894" s="2">
        <f>B894</f>
        <v/>
      </c>
      <c r="G894" s="88" t="n">
        <v>892</v>
      </c>
      <c r="H894" s="89" t="n"/>
      <c r="I894" s="89" t="n"/>
      <c r="J894" s="89" t="n">
        <v>58.27518</v>
      </c>
      <c r="K894" s="89" t="n">
        <v>68.87365</v>
      </c>
      <c r="L894" s="89" t="n"/>
      <c r="M894" s="89" t="n">
        <v>52.69756</v>
      </c>
      <c r="N894" s="89" t="n">
        <v>66.69444</v>
      </c>
      <c r="O894" s="89" t="n">
        <v>77.18026999999999</v>
      </c>
      <c r="P894" s="89" t="n">
        <v>91.13106999999999</v>
      </c>
      <c r="Q894" s="89" t="n"/>
      <c r="R894" s="89" t="n">
        <v>63.33341</v>
      </c>
      <c r="S894" s="89" t="n">
        <v>86.83073</v>
      </c>
      <c r="T894" s="89" t="n">
        <v>96.38812</v>
      </c>
      <c r="U894" s="89" t="n">
        <v>119.5956</v>
      </c>
      <c r="V894" s="89" t="n">
        <v>30.08854</v>
      </c>
      <c r="W894" s="89" t="n">
        <v>16.63283</v>
      </c>
      <c r="X894" s="89" t="n"/>
      <c r="Y894" s="89" t="n">
        <v>48.18841</v>
      </c>
      <c r="Z894" s="89" t="n">
        <v>105.4912</v>
      </c>
      <c r="AA894" s="89" t="n">
        <v>99.17918</v>
      </c>
      <c r="AB894" s="89" t="n">
        <v>25.02592</v>
      </c>
      <c r="AC894" s="89" t="n">
        <v>72.4436</v>
      </c>
      <c r="AD894" s="89" t="n"/>
      <c r="AE894" s="89" t="n">
        <v>73.03259</v>
      </c>
      <c r="AF894" s="89" t="n">
        <v>76.71391</v>
      </c>
      <c r="AG894" s="89" t="n">
        <v>96.10204</v>
      </c>
      <c r="AH894" s="89" t="n">
        <v>67.14324000000001</v>
      </c>
      <c r="AI894" s="89" t="n">
        <v>27.6377</v>
      </c>
      <c r="AJ894" s="89" t="n">
        <v>102.7678</v>
      </c>
      <c r="AK894" s="89" t="n">
        <v>31.71676</v>
      </c>
      <c r="AL894" s="89" t="n">
        <v>62.90229</v>
      </c>
      <c r="AM894" s="89" t="n">
        <v>67.50261</v>
      </c>
      <c r="AN894" s="89" t="n"/>
      <c r="AO894" s="89" t="n">
        <v>64.13072</v>
      </c>
      <c r="AP894" s="89" t="n">
        <v>75.28745000000001</v>
      </c>
      <c r="AQ894" s="89" t="n"/>
      <c r="AR894" s="89" t="n"/>
      <c r="AS894" s="89" t="n"/>
      <c r="AT894" s="89" t="n"/>
      <c r="AU894" s="89" t="n"/>
      <c r="AV894" s="89" t="n">
        <v>82.15611</v>
      </c>
      <c r="AW894" s="89" t="n"/>
      <c r="AX894" s="89" t="n">
        <v>35.29706</v>
      </c>
      <c r="AY894" s="89" t="n">
        <v>71.14627</v>
      </c>
    </row>
    <row r="895">
      <c r="A895" t="inlineStr">
        <is>
          <t>1993-06</t>
        </is>
      </c>
      <c r="B895" s="1" t="n">
        <v>34121</v>
      </c>
      <c r="C895" s="88" t="n">
        <v>895</v>
      </c>
      <c r="E895" s="1">
        <f>B895</f>
        <v/>
      </c>
      <c r="F895" s="2">
        <f>B895</f>
        <v/>
      </c>
      <c r="G895" s="88" t="n">
        <v>893</v>
      </c>
      <c r="H895" s="89" t="n"/>
      <c r="I895" s="89" t="n"/>
      <c r="J895" s="89" t="n">
        <v>59.20359</v>
      </c>
      <c r="K895" s="89" t="n">
        <v>69.26508</v>
      </c>
      <c r="L895" s="89" t="n"/>
      <c r="M895" s="89" t="n">
        <v>50.92623</v>
      </c>
      <c r="N895" s="89" t="n">
        <v>66.19448</v>
      </c>
      <c r="O895" s="89" t="n">
        <v>82.29658999999999</v>
      </c>
      <c r="P895" s="89" t="n">
        <v>90.63307</v>
      </c>
      <c r="Q895" s="89" t="n"/>
      <c r="R895" s="89" t="n">
        <v>65.20108999999999</v>
      </c>
      <c r="S895" s="89" t="n">
        <v>86.16072</v>
      </c>
      <c r="T895" s="89" t="n">
        <v>95.80218000000001</v>
      </c>
      <c r="U895" s="89" t="n">
        <v>120.4049</v>
      </c>
      <c r="V895" s="89" t="n">
        <v>31.20184</v>
      </c>
      <c r="W895" s="89" t="n">
        <v>16.21701</v>
      </c>
      <c r="X895" s="89" t="n"/>
      <c r="Y895" s="89" t="n">
        <v>49.0289</v>
      </c>
      <c r="Z895" s="89" t="n">
        <v>105.0912</v>
      </c>
      <c r="AA895" s="89" t="n">
        <v>97.35380000000001</v>
      </c>
      <c r="AB895" s="89" t="n">
        <v>25.29389</v>
      </c>
      <c r="AC895" s="89" t="n">
        <v>71.84679</v>
      </c>
      <c r="AD895" s="89" t="n"/>
      <c r="AE895" s="89" t="n">
        <v>72.05195000000001</v>
      </c>
      <c r="AF895" s="89" t="n">
        <v>75.96613000000001</v>
      </c>
      <c r="AG895" s="89" t="n">
        <v>92.38478000000001</v>
      </c>
      <c r="AH895" s="89" t="n">
        <v>66.85458</v>
      </c>
      <c r="AI895" s="89" t="n">
        <v>27.34207</v>
      </c>
      <c r="AJ895" s="89" t="n">
        <v>102.6943</v>
      </c>
      <c r="AK895" s="89" t="n">
        <v>31.18332</v>
      </c>
      <c r="AL895" s="89" t="n">
        <v>62.27718</v>
      </c>
      <c r="AM895" s="89" t="n">
        <v>68.00861999999999</v>
      </c>
      <c r="AN895" s="89" t="n"/>
      <c r="AO895" s="89" t="n">
        <v>64.23705</v>
      </c>
      <c r="AP895" s="89" t="n">
        <v>74.88751999999999</v>
      </c>
      <c r="AQ895" s="89" t="n"/>
      <c r="AR895" s="89" t="n"/>
      <c r="AS895" s="89" t="n"/>
      <c r="AT895" s="89" t="n"/>
      <c r="AU895" s="89" t="n"/>
      <c r="AV895" s="89" t="n">
        <v>80.70789000000001</v>
      </c>
      <c r="AW895" s="89" t="n"/>
      <c r="AX895" s="89" t="n">
        <v>36.09699</v>
      </c>
      <c r="AY895" s="89" t="n">
        <v>70.60204</v>
      </c>
    </row>
    <row r="896">
      <c r="A896" t="inlineStr">
        <is>
          <t>1993-07</t>
        </is>
      </c>
      <c r="B896" s="1" t="n">
        <v>34151</v>
      </c>
      <c r="C896" s="88" t="n">
        <v>896</v>
      </c>
      <c r="E896" s="1">
        <f>B896</f>
        <v/>
      </c>
      <c r="F896" s="2">
        <f>B896</f>
        <v/>
      </c>
      <c r="G896" s="88" t="n">
        <v>894</v>
      </c>
      <c r="H896" s="89" t="n"/>
      <c r="I896" s="89" t="n"/>
      <c r="J896" s="89" t="n">
        <v>57.841</v>
      </c>
      <c r="K896" s="89" t="n">
        <v>68.81397</v>
      </c>
      <c r="L896" s="89" t="n"/>
      <c r="M896" s="89" t="n">
        <v>49.76168</v>
      </c>
      <c r="N896" s="89" t="n">
        <v>64.69461</v>
      </c>
      <c r="O896" s="89" t="n">
        <v>87.08634000000001</v>
      </c>
      <c r="P896" s="89" t="n">
        <v>91.54507</v>
      </c>
      <c r="Q896" s="89" t="n"/>
      <c r="R896" s="89" t="n">
        <v>66.02869</v>
      </c>
      <c r="S896" s="89" t="n">
        <v>87.33073</v>
      </c>
      <c r="T896" s="89" t="n">
        <v>96.6811</v>
      </c>
      <c r="U896" s="89" t="n">
        <v>114.9217</v>
      </c>
      <c r="V896" s="89" t="n">
        <v>31.72919</v>
      </c>
      <c r="W896" s="89" t="n">
        <v>16.45462</v>
      </c>
      <c r="X896" s="89" t="n"/>
      <c r="Y896" s="89" t="n">
        <v>49.16899</v>
      </c>
      <c r="Z896" s="89" t="n">
        <v>104.4913</v>
      </c>
      <c r="AA896" s="89" t="n">
        <v>97.25238</v>
      </c>
      <c r="AB896" s="89" t="n">
        <v>25.62586</v>
      </c>
      <c r="AC896" s="89" t="n">
        <v>71.06695999999999</v>
      </c>
      <c r="AD896" s="89" t="n"/>
      <c r="AE896" s="89" t="n">
        <v>71.8271</v>
      </c>
      <c r="AF896" s="89" t="n">
        <v>77.19188</v>
      </c>
      <c r="AG896" s="89" t="n">
        <v>97.96066</v>
      </c>
      <c r="AH896" s="89" t="n">
        <v>66.83463</v>
      </c>
      <c r="AI896" s="89" t="n">
        <v>26.2097</v>
      </c>
      <c r="AJ896" s="89" t="n">
        <v>103.8002</v>
      </c>
      <c r="AK896" s="89" t="n">
        <v>30.37864</v>
      </c>
      <c r="AL896" s="89" t="n">
        <v>62.66787</v>
      </c>
      <c r="AM896" s="89" t="n">
        <v>69.12186</v>
      </c>
      <c r="AN896" s="89" t="n"/>
      <c r="AO896" s="89" t="n">
        <v>64.4353</v>
      </c>
      <c r="AP896" s="89" t="n">
        <v>74.38760000000001</v>
      </c>
      <c r="AQ896" s="89" t="n"/>
      <c r="AR896" s="89" t="n"/>
      <c r="AS896" s="89" t="n"/>
      <c r="AT896" s="89" t="n"/>
      <c r="AU896" s="89" t="n"/>
      <c r="AV896" s="89" t="n">
        <v>77.77357000000001</v>
      </c>
      <c r="AW896" s="89" t="n"/>
      <c r="AX896" s="89" t="n">
        <v>36.59695</v>
      </c>
      <c r="AY896" s="89" t="n">
        <v>71.0146</v>
      </c>
    </row>
    <row r="897">
      <c r="A897" t="inlineStr">
        <is>
          <t>1993-08</t>
        </is>
      </c>
      <c r="B897" s="1" t="n">
        <v>34182</v>
      </c>
      <c r="C897" s="88" t="n">
        <v>897</v>
      </c>
      <c r="E897" s="1">
        <f>B897</f>
        <v/>
      </c>
      <c r="F897" s="2">
        <f>B897</f>
        <v/>
      </c>
      <c r="G897" s="88" t="n">
        <v>895</v>
      </c>
      <c r="H897" s="89" t="n"/>
      <c r="I897" s="89" t="n"/>
      <c r="J897" s="89" t="n">
        <v>58.92184</v>
      </c>
      <c r="K897" s="89" t="n">
        <v>69.74722</v>
      </c>
      <c r="L897" s="89" t="n"/>
      <c r="M897" s="89" t="n">
        <v>49.9199</v>
      </c>
      <c r="N897" s="89" t="n">
        <v>67.49438000000001</v>
      </c>
      <c r="O897" s="89" t="n">
        <v>85.88891</v>
      </c>
      <c r="P897" s="89" t="n">
        <v>89.84007</v>
      </c>
      <c r="Q897" s="89" t="n"/>
      <c r="R897" s="89" t="n">
        <v>65.57015</v>
      </c>
      <c r="S897" s="89" t="n">
        <v>86.70072</v>
      </c>
      <c r="T897" s="89" t="n">
        <v>96.97407</v>
      </c>
      <c r="U897" s="89" t="n">
        <v>117.3823</v>
      </c>
      <c r="V897" s="89" t="n">
        <v>29.94205</v>
      </c>
      <c r="W897" s="89" t="n">
        <v>16.63283</v>
      </c>
      <c r="X897" s="89" t="n"/>
      <c r="Y897" s="89" t="n">
        <v>48.88882</v>
      </c>
      <c r="Z897" s="89" t="n">
        <v>104.5913</v>
      </c>
      <c r="AA897" s="89" t="n">
        <v>96.33969</v>
      </c>
      <c r="AB897" s="89" t="n">
        <v>25.2289</v>
      </c>
      <c r="AC897" s="89" t="n">
        <v>64.44104</v>
      </c>
      <c r="AD897" s="89" t="n"/>
      <c r="AE897" s="89" t="n">
        <v>71.62685999999999</v>
      </c>
      <c r="AF897" s="89" t="n">
        <v>76.50576</v>
      </c>
      <c r="AG897" s="89" t="n">
        <v>98.94464000000001</v>
      </c>
      <c r="AH897" s="89" t="n">
        <v>66.85196000000001</v>
      </c>
      <c r="AI897" s="89" t="n">
        <v>26.61522</v>
      </c>
      <c r="AJ897" s="89" t="n">
        <v>101.3692</v>
      </c>
      <c r="AK897" s="89" t="n">
        <v>32.33376</v>
      </c>
      <c r="AL897" s="89" t="n">
        <v>65.55904</v>
      </c>
      <c r="AM897" s="89" t="n">
        <v>69.42547</v>
      </c>
      <c r="AN897" s="89" t="n"/>
      <c r="AO897" s="89" t="n">
        <v>64.36758</v>
      </c>
      <c r="AP897" s="89" t="n">
        <v>75.48742</v>
      </c>
      <c r="AQ897" s="89" t="n"/>
      <c r="AR897" s="89" t="n"/>
      <c r="AS897" s="89" t="n"/>
      <c r="AT897" s="89" t="n"/>
      <c r="AU897" s="89" t="n"/>
      <c r="AV897" s="89" t="n">
        <v>75.14499000000001</v>
      </c>
      <c r="AW897" s="89" t="n"/>
      <c r="AX897" s="89" t="n">
        <v>34.29714</v>
      </c>
      <c r="AY897" s="89" t="n">
        <v>70.24213</v>
      </c>
    </row>
    <row r="898">
      <c r="A898" t="inlineStr">
        <is>
          <t>1993-09</t>
        </is>
      </c>
      <c r="B898" s="1" t="n">
        <v>34213</v>
      </c>
      <c r="C898" s="88" t="n">
        <v>898</v>
      </c>
      <c r="E898" s="1">
        <f>B898</f>
        <v/>
      </c>
      <c r="F898" s="2">
        <f>B898</f>
        <v/>
      </c>
      <c r="G898" s="88" t="n">
        <v>896</v>
      </c>
      <c r="H898" s="89" t="n"/>
      <c r="I898" s="89" t="n"/>
      <c r="J898" s="89" t="n">
        <v>59.67006</v>
      </c>
      <c r="K898" s="89" t="n">
        <v>70.65226</v>
      </c>
      <c r="L898" s="89" t="n"/>
      <c r="M898" s="89" t="n">
        <v>51.66958</v>
      </c>
      <c r="N898" s="89" t="n">
        <v>67.1944</v>
      </c>
      <c r="O898" s="89" t="n">
        <v>86.10662000000001</v>
      </c>
      <c r="P898" s="89" t="n">
        <v>92.61808000000001</v>
      </c>
      <c r="Q898" s="89" t="n"/>
      <c r="R898" s="89" t="n">
        <v>66.93456999999999</v>
      </c>
      <c r="S898" s="89" t="n">
        <v>87.28072</v>
      </c>
      <c r="T898" s="89" t="n">
        <v>97.3647</v>
      </c>
      <c r="U898" s="89" t="n">
        <v>125.6843</v>
      </c>
      <c r="V898" s="89" t="n">
        <v>30.4694</v>
      </c>
      <c r="W898" s="89" t="n">
        <v>16.81104</v>
      </c>
      <c r="X898" s="89" t="n"/>
      <c r="Y898" s="89" t="n">
        <v>50.14956</v>
      </c>
      <c r="Z898" s="89" t="n">
        <v>105.1912</v>
      </c>
      <c r="AA898" s="89" t="n">
        <v>96.64391999999999</v>
      </c>
      <c r="AB898" s="89" t="n">
        <v>26.29181</v>
      </c>
      <c r="AC898" s="89" t="n">
        <v>70.18483999999999</v>
      </c>
      <c r="AD898" s="89" t="n"/>
      <c r="AE898" s="89" t="n">
        <v>71.98875</v>
      </c>
      <c r="AF898" s="89" t="n">
        <v>79.45837</v>
      </c>
      <c r="AG898" s="89" t="n">
        <v>98.28865999999999</v>
      </c>
      <c r="AH898" s="89" t="n">
        <v>67.43405</v>
      </c>
      <c r="AI898" s="89" t="n">
        <v>27.00587</v>
      </c>
      <c r="AJ898" s="89" t="n">
        <v>104.204</v>
      </c>
      <c r="AK898" s="89" t="n">
        <v>31.7093</v>
      </c>
      <c r="AL898" s="89" t="n">
        <v>65.01205</v>
      </c>
      <c r="AM898" s="89" t="n">
        <v>69.52667</v>
      </c>
      <c r="AN898" s="89" t="n"/>
      <c r="AO898" s="89" t="n">
        <v>64.67543000000001</v>
      </c>
      <c r="AP898" s="89" t="n">
        <v>75.78737</v>
      </c>
      <c r="AQ898" s="89" t="n"/>
      <c r="AR898" s="89" t="n"/>
      <c r="AS898" s="89" t="n"/>
      <c r="AT898" s="89" t="n"/>
      <c r="AU898" s="89" t="n"/>
      <c r="AV898" s="89" t="n">
        <v>73.90195</v>
      </c>
      <c r="AW898" s="89" t="n"/>
      <c r="AX898" s="89" t="n">
        <v>36.49696</v>
      </c>
      <c r="AY898" s="89" t="n">
        <v>69.96124</v>
      </c>
    </row>
    <row r="899">
      <c r="A899" t="inlineStr">
        <is>
          <t>1993-10</t>
        </is>
      </c>
      <c r="B899" s="1" t="n">
        <v>34243</v>
      </c>
      <c r="C899" s="88" t="n">
        <v>899</v>
      </c>
      <c r="E899" s="1">
        <f>B899</f>
        <v/>
      </c>
      <c r="F899" s="2">
        <f>B899</f>
        <v/>
      </c>
      <c r="G899" s="88" t="n">
        <v>897</v>
      </c>
      <c r="H899" s="89" t="n"/>
      <c r="I899" s="89" t="n"/>
      <c r="J899" s="89" t="n">
        <v>59.23377</v>
      </c>
      <c r="K899" s="89" t="n">
        <v>70.67104999999999</v>
      </c>
      <c r="L899" s="89" t="n"/>
      <c r="M899" s="89" t="n">
        <v>50.87796</v>
      </c>
      <c r="N899" s="89" t="n">
        <v>67.1944</v>
      </c>
      <c r="O899" s="89" t="n">
        <v>80.9903</v>
      </c>
      <c r="P899" s="89" t="n">
        <v>93.28908</v>
      </c>
      <c r="Q899" s="89" t="n"/>
      <c r="R899" s="89" t="n">
        <v>67.59441</v>
      </c>
      <c r="S899" s="89" t="n">
        <v>87.67073000000001</v>
      </c>
      <c r="T899" s="89" t="n">
        <v>97.56001000000001</v>
      </c>
      <c r="U899" s="89" t="n">
        <v>119.5967</v>
      </c>
      <c r="V899" s="89" t="n">
        <v>30.41081</v>
      </c>
      <c r="W899" s="89" t="n">
        <v>16.75164</v>
      </c>
      <c r="X899" s="89" t="n"/>
      <c r="Y899" s="89" t="n">
        <v>50.56981</v>
      </c>
      <c r="Z899" s="89" t="n">
        <v>105.0912</v>
      </c>
      <c r="AA899" s="89" t="n">
        <v>95.83264</v>
      </c>
      <c r="AB899" s="89" t="n">
        <v>26.08883</v>
      </c>
      <c r="AC899" s="89" t="n">
        <v>69.77709</v>
      </c>
      <c r="AD899" s="89" t="n"/>
      <c r="AE899" s="89" t="n">
        <v>71.94206</v>
      </c>
      <c r="AF899" s="89" t="n">
        <v>79.37357</v>
      </c>
      <c r="AG899" s="89" t="n">
        <v>100.5846</v>
      </c>
      <c r="AH899" s="89" t="n">
        <v>67.48903</v>
      </c>
      <c r="AI899" s="89" t="n">
        <v>26.76139</v>
      </c>
      <c r="AJ899" s="89" t="n">
        <v>100.0509</v>
      </c>
      <c r="AK899" s="89" t="n">
        <v>31.07976</v>
      </c>
      <c r="AL899" s="89" t="n">
        <v>67.35624</v>
      </c>
      <c r="AM899" s="89" t="n">
        <v>69.52667</v>
      </c>
      <c r="AN899" s="89" t="n"/>
      <c r="AO899" s="89" t="n">
        <v>65.17201</v>
      </c>
      <c r="AP899" s="89" t="n">
        <v>75.88735</v>
      </c>
      <c r="AQ899" s="89" t="n"/>
      <c r="AR899" s="89" t="n"/>
      <c r="AS899" s="89" t="n"/>
      <c r="AT899" s="89" t="n"/>
      <c r="AU899" s="89" t="n"/>
      <c r="AV899" s="89" t="n">
        <v>73.46966999999999</v>
      </c>
      <c r="AW899" s="89" t="n"/>
      <c r="AX899" s="89" t="n">
        <v>36.89693</v>
      </c>
      <c r="AY899" s="89" t="n">
        <v>70.61081</v>
      </c>
    </row>
    <row r="900">
      <c r="A900" t="inlineStr">
        <is>
          <t>1993-11</t>
        </is>
      </c>
      <c r="B900" s="1" t="n">
        <v>34274</v>
      </c>
      <c r="C900" s="88" t="n">
        <v>900</v>
      </c>
      <c r="E900" s="1">
        <f>B900</f>
        <v/>
      </c>
      <c r="F900" s="2">
        <f>B900</f>
        <v/>
      </c>
      <c r="G900" s="88" t="n">
        <v>898</v>
      </c>
      <c r="H900" s="89" t="n"/>
      <c r="I900" s="89" t="n"/>
      <c r="J900" s="89" t="n">
        <v>58.93908</v>
      </c>
      <c r="K900" s="89" t="n">
        <v>70.87218</v>
      </c>
      <c r="L900" s="89" t="n"/>
      <c r="M900" s="89" t="n">
        <v>50.7063</v>
      </c>
      <c r="N900" s="89" t="n">
        <v>66.59444999999999</v>
      </c>
      <c r="O900" s="89" t="n">
        <v>81.64345</v>
      </c>
      <c r="P900" s="89" t="n">
        <v>93.63708</v>
      </c>
      <c r="Q900" s="89" t="n"/>
      <c r="R900" s="89" t="n">
        <v>68.31017</v>
      </c>
      <c r="S900" s="89" t="n">
        <v>87.05073</v>
      </c>
      <c r="T900" s="89" t="n">
        <v>98.43893</v>
      </c>
      <c r="U900" s="89" t="n">
        <v>120.0704</v>
      </c>
      <c r="V900" s="89" t="n">
        <v>31.26044</v>
      </c>
      <c r="W900" s="89" t="n">
        <v>16.75164</v>
      </c>
      <c r="X900" s="89" t="n"/>
      <c r="Y900" s="89" t="n">
        <v>51.27023</v>
      </c>
      <c r="Z900" s="89" t="n">
        <v>105.8912</v>
      </c>
      <c r="AA900" s="89" t="n">
        <v>95.62982</v>
      </c>
      <c r="AB900" s="89" t="n">
        <v>26.62478</v>
      </c>
      <c r="AC900" s="89" t="n">
        <v>67.05119999999999</v>
      </c>
      <c r="AD900" s="89" t="n"/>
      <c r="AE900" s="89" t="n">
        <v>72.49339999999999</v>
      </c>
      <c r="AF900" s="89" t="n">
        <v>79.71278</v>
      </c>
      <c r="AG900" s="89" t="n">
        <v>101.5686</v>
      </c>
      <c r="AH900" s="89" t="n">
        <v>67.58447</v>
      </c>
      <c r="AI900" s="89" t="n">
        <v>27.46021</v>
      </c>
      <c r="AJ900" s="89" t="n">
        <v>103.0675</v>
      </c>
      <c r="AK900" s="89" t="n">
        <v>32.32622</v>
      </c>
      <c r="AL900" s="89" t="n">
        <v>65.40276</v>
      </c>
      <c r="AM900" s="89" t="n">
        <v>70.03269</v>
      </c>
      <c r="AN900" s="89" t="n"/>
      <c r="AO900" s="89" t="n">
        <v>65.44201</v>
      </c>
      <c r="AP900" s="89" t="n">
        <v>75.88735</v>
      </c>
      <c r="AQ900" s="89" t="n"/>
      <c r="AR900" s="89" t="n"/>
      <c r="AS900" s="89" t="n"/>
      <c r="AT900" s="89" t="n"/>
      <c r="AU900" s="89" t="n"/>
      <c r="AV900" s="89" t="n">
        <v>71.0808</v>
      </c>
      <c r="AW900" s="89" t="n"/>
      <c r="AX900" s="89" t="n">
        <v>35.49704</v>
      </c>
      <c r="AY900" s="89" t="n">
        <v>70.18069</v>
      </c>
    </row>
    <row r="901">
      <c r="A901" t="inlineStr">
        <is>
          <t>1993-12</t>
        </is>
      </c>
      <c r="B901" s="1" t="n">
        <v>34304</v>
      </c>
      <c r="C901" s="88" t="n">
        <v>901</v>
      </c>
      <c r="E901" s="1">
        <f>B901</f>
        <v/>
      </c>
      <c r="F901" s="2">
        <f>B901</f>
        <v/>
      </c>
      <c r="G901" s="88" t="n">
        <v>899</v>
      </c>
      <c r="H901" s="89" t="n"/>
      <c r="I901" s="89" t="n"/>
      <c r="J901" s="89" t="n">
        <v>59.5365</v>
      </c>
      <c r="K901" s="89" t="n">
        <v>70.24155</v>
      </c>
      <c r="L901" s="89" t="n"/>
      <c r="M901" s="89" t="n">
        <v>50.7668</v>
      </c>
      <c r="N901" s="89" t="n">
        <v>67.39439</v>
      </c>
      <c r="O901" s="89" t="n">
        <v>79.79286</v>
      </c>
      <c r="P901" s="89" t="n">
        <v>93.89308</v>
      </c>
      <c r="Q901" s="89" t="n"/>
      <c r="R901" s="89" t="n">
        <v>68.60093999999999</v>
      </c>
      <c r="S901" s="89" t="n">
        <v>86.27072</v>
      </c>
      <c r="T901" s="89" t="n">
        <v>98.73191</v>
      </c>
      <c r="U901" s="89" t="n">
        <v>118.7588</v>
      </c>
      <c r="V901" s="89" t="n">
        <v>31.99287</v>
      </c>
      <c r="W901" s="89" t="n">
        <v>17.22686</v>
      </c>
      <c r="X901" s="89" t="n"/>
      <c r="Y901" s="89" t="n">
        <v>51.27023</v>
      </c>
      <c r="Z901" s="89" t="n">
        <v>105.7912</v>
      </c>
      <c r="AA901" s="89" t="n">
        <v>94.91995</v>
      </c>
      <c r="AB901" s="89" t="n">
        <v>27.22473</v>
      </c>
      <c r="AC901" s="89" t="n">
        <v>70.40277</v>
      </c>
      <c r="AD901" s="89" t="n"/>
      <c r="AE901" s="89" t="n">
        <v>73.87657</v>
      </c>
      <c r="AF901" s="89" t="n">
        <v>74.90997</v>
      </c>
      <c r="AG901" s="89" t="n">
        <v>100.9126</v>
      </c>
      <c r="AH901" s="89" t="n">
        <v>67.81256999999999</v>
      </c>
      <c r="AI901" s="89" t="n">
        <v>27.63565</v>
      </c>
      <c r="AJ901" s="89" t="n">
        <v>105.1101</v>
      </c>
      <c r="AK901" s="89" t="n">
        <v>32.58108</v>
      </c>
      <c r="AL901" s="89" t="n">
        <v>67.04369</v>
      </c>
      <c r="AM901" s="89" t="n">
        <v>71.34833999999999</v>
      </c>
      <c r="AN901" s="89" t="n"/>
      <c r="AO901" s="89" t="n">
        <v>65.80009</v>
      </c>
      <c r="AP901" s="89" t="n">
        <v>75.98734</v>
      </c>
      <c r="AQ901" s="89" t="n"/>
      <c r="AR901" s="89" t="n"/>
      <c r="AS901" s="89" t="n"/>
      <c r="AT901" s="89" t="n"/>
      <c r="AU901" s="89" t="n"/>
      <c r="AV901" s="89" t="n">
        <v>66.71207</v>
      </c>
      <c r="AW901" s="89" t="n"/>
      <c r="AX901" s="89" t="n">
        <v>38.29681</v>
      </c>
      <c r="AY901" s="89" t="n">
        <v>71.3745</v>
      </c>
    </row>
    <row r="902">
      <c r="A902" t="inlineStr">
        <is>
          <t>1994-01</t>
        </is>
      </c>
      <c r="B902" s="1" t="n">
        <v>34335</v>
      </c>
      <c r="C902" s="88" t="n">
        <v>902</v>
      </c>
      <c r="E902" s="1">
        <f>B902</f>
        <v/>
      </c>
      <c r="F902" s="2">
        <f>B902</f>
        <v/>
      </c>
      <c r="G902" s="88" t="n">
        <v>900</v>
      </c>
      <c r="H902" s="89" t="n"/>
      <c r="I902" s="89" t="n"/>
      <c r="J902" s="89" t="n">
        <v>61.31252</v>
      </c>
      <c r="K902" s="89" t="n">
        <v>70.97132999999999</v>
      </c>
      <c r="L902" s="89" t="n"/>
      <c r="M902" s="89" t="n">
        <v>50.55645</v>
      </c>
      <c r="N902" s="89" t="n">
        <v>67.09441</v>
      </c>
      <c r="O902" s="89" t="n">
        <v>89.15464</v>
      </c>
      <c r="P902" s="89" t="n">
        <v>93.46908000000001</v>
      </c>
      <c r="Q902" s="89" t="n"/>
      <c r="R902" s="89" t="n">
        <v>69.16013</v>
      </c>
      <c r="S902" s="89" t="n">
        <v>87.88073</v>
      </c>
      <c r="T902" s="89" t="n">
        <v>99.31786</v>
      </c>
      <c r="U902" s="89" t="n">
        <v>116.8313</v>
      </c>
      <c r="V902" s="89" t="n">
        <v>32.13936</v>
      </c>
      <c r="W902" s="89" t="n">
        <v>17.16746</v>
      </c>
      <c r="X902" s="89" t="n"/>
      <c r="Y902" s="89" t="n">
        <v>52.2508</v>
      </c>
      <c r="Z902" s="89" t="n">
        <v>106.0912</v>
      </c>
      <c r="AA902" s="89" t="n">
        <v>94.51430999999999</v>
      </c>
      <c r="AB902" s="89" t="n">
        <v>26.95675</v>
      </c>
      <c r="AC902" s="89" t="n">
        <v>73.62754</v>
      </c>
      <c r="AD902" s="89" t="n"/>
      <c r="AE902" s="89" t="n">
        <v>74.68274</v>
      </c>
      <c r="AF902" s="89" t="n">
        <v>78.77225</v>
      </c>
      <c r="AG902" s="89" t="n">
        <v>102.4432</v>
      </c>
      <c r="AH902" s="89" t="n">
        <v>68.14579000000001</v>
      </c>
      <c r="AI902" s="89" t="n">
        <v>28.51093</v>
      </c>
      <c r="AJ902" s="89" t="n">
        <v>103.258</v>
      </c>
      <c r="AK902" s="89" t="n">
        <v>32.00739</v>
      </c>
      <c r="AL902" s="89" t="n">
        <v>65.48090000000001</v>
      </c>
      <c r="AM902" s="89" t="n">
        <v>71.75314</v>
      </c>
      <c r="AN902" s="89" t="n"/>
      <c r="AO902" s="89" t="n">
        <v>66.04925</v>
      </c>
      <c r="AP902" s="89" t="n">
        <v>76.08732000000001</v>
      </c>
      <c r="AQ902" s="89" t="n"/>
      <c r="AR902" s="89" t="n"/>
      <c r="AS902" s="89" t="n"/>
      <c r="AT902" s="89" t="n"/>
      <c r="AU902" s="89" t="n"/>
      <c r="AV902" s="89" t="n">
        <v>60.62581</v>
      </c>
      <c r="AW902" s="89" t="n"/>
      <c r="AX902" s="89" t="n">
        <v>38.19682</v>
      </c>
      <c r="AY902" s="89" t="n">
        <v>72.47176</v>
      </c>
    </row>
    <row r="903">
      <c r="A903" t="inlineStr">
        <is>
          <t>1994-02</t>
        </is>
      </c>
      <c r="B903" s="1" t="n">
        <v>34366</v>
      </c>
      <c r="C903" s="88" t="n">
        <v>903</v>
      </c>
      <c r="E903" s="1">
        <f>B903</f>
        <v/>
      </c>
      <c r="F903" s="2">
        <f>B903</f>
        <v/>
      </c>
      <c r="G903" s="88" t="n">
        <v>901</v>
      </c>
      <c r="H903" s="89" t="n"/>
      <c r="I903" s="89" t="n"/>
      <c r="J903" s="89" t="n">
        <v>60.86607</v>
      </c>
      <c r="K903" s="89" t="n">
        <v>71.16681</v>
      </c>
      <c r="L903" s="89" t="n"/>
      <c r="M903" s="89" t="n">
        <v>49.86689</v>
      </c>
      <c r="N903" s="89" t="n">
        <v>68.09432</v>
      </c>
      <c r="O903" s="89" t="n">
        <v>87.41292</v>
      </c>
      <c r="P903" s="89" t="n">
        <v>96.38308000000001</v>
      </c>
      <c r="Q903" s="89" t="n"/>
      <c r="R903" s="89" t="n">
        <v>69.50682</v>
      </c>
      <c r="S903" s="89" t="n">
        <v>87.61073</v>
      </c>
      <c r="T903" s="89" t="n">
        <v>99.61082</v>
      </c>
      <c r="U903" s="89" t="n">
        <v>118.928</v>
      </c>
      <c r="V903" s="89" t="n">
        <v>32.02217</v>
      </c>
      <c r="W903" s="89" t="n">
        <v>18.23671</v>
      </c>
      <c r="X903" s="89" t="n"/>
      <c r="Y903" s="89" t="n">
        <v>53.23138</v>
      </c>
      <c r="Z903" s="89" t="n">
        <v>107.791</v>
      </c>
      <c r="AA903" s="89" t="n">
        <v>95.32559000000001</v>
      </c>
      <c r="AB903" s="89" t="n">
        <v>27.02175</v>
      </c>
      <c r="AC903" s="89" t="n">
        <v>72.14259</v>
      </c>
      <c r="AD903" s="89" t="n"/>
      <c r="AE903" s="89" t="n">
        <v>75.00821999999999</v>
      </c>
      <c r="AF903" s="89" t="n">
        <v>80.47598000000001</v>
      </c>
      <c r="AG903" s="89" t="n">
        <v>103.8645</v>
      </c>
      <c r="AH903" s="89" t="n">
        <v>68.34434</v>
      </c>
      <c r="AI903" s="89" t="n">
        <v>28.86141</v>
      </c>
      <c r="AJ903" s="89" t="n">
        <v>103.053</v>
      </c>
      <c r="AK903" s="89" t="n">
        <v>32.79753</v>
      </c>
      <c r="AL903" s="89" t="n">
        <v>66.10601</v>
      </c>
      <c r="AM903" s="89" t="n">
        <v>73.27119</v>
      </c>
      <c r="AN903" s="89" t="n"/>
      <c r="AO903" s="89" t="n">
        <v>66.06731000000001</v>
      </c>
      <c r="AP903" s="89" t="n">
        <v>77.18713</v>
      </c>
      <c r="AQ903" s="89" t="n"/>
      <c r="AR903" s="89" t="n"/>
      <c r="AS903" s="89" t="n"/>
      <c r="AT903" s="89" t="n"/>
      <c r="AU903" s="89" t="n"/>
      <c r="AV903" s="89" t="n">
        <v>63.09177</v>
      </c>
      <c r="AW903" s="89" t="n"/>
      <c r="AX903" s="89" t="n">
        <v>34.09716</v>
      </c>
      <c r="AY903" s="89" t="n">
        <v>71.24284</v>
      </c>
    </row>
    <row r="904">
      <c r="A904" t="inlineStr">
        <is>
          <t>1994-03</t>
        </is>
      </c>
      <c r="B904" s="1" t="n">
        <v>34394</v>
      </c>
      <c r="C904" s="88" t="n">
        <v>904</v>
      </c>
      <c r="E904" s="1">
        <f>B904</f>
        <v/>
      </c>
      <c r="F904" s="2">
        <f>B904</f>
        <v/>
      </c>
      <c r="G904" s="88" t="n">
        <v>902</v>
      </c>
      <c r="H904" s="89" t="n"/>
      <c r="I904" s="89" t="n"/>
      <c r="J904" s="89" t="n">
        <v>61.04866</v>
      </c>
      <c r="K904" s="89" t="n">
        <v>72.15503</v>
      </c>
      <c r="L904" s="89" t="n"/>
      <c r="M904" s="89" t="n">
        <v>50.62016</v>
      </c>
      <c r="N904" s="89" t="n">
        <v>67.79434999999999</v>
      </c>
      <c r="O904" s="89" t="n">
        <v>89.80779</v>
      </c>
      <c r="P904" s="89" t="n">
        <v>96.28708</v>
      </c>
      <c r="Q904" s="89" t="n"/>
      <c r="R904" s="89" t="n">
        <v>70.12193000000001</v>
      </c>
      <c r="S904" s="89" t="n">
        <v>87.55073</v>
      </c>
      <c r="T904" s="89" t="n">
        <v>100.0015</v>
      </c>
      <c r="U904" s="89" t="n">
        <v>119.0043</v>
      </c>
      <c r="V904" s="89" t="n">
        <v>31.99287</v>
      </c>
      <c r="W904" s="89" t="n">
        <v>17.9397</v>
      </c>
      <c r="X904" s="89" t="n"/>
      <c r="Y904" s="89" t="n">
        <v>51.76051</v>
      </c>
      <c r="Z904" s="89" t="n">
        <v>109.2909</v>
      </c>
      <c r="AA904" s="89" t="n">
        <v>96.33969</v>
      </c>
      <c r="AB904" s="89" t="n">
        <v>27.49271</v>
      </c>
      <c r="AC904" s="89" t="n">
        <v>73.79893</v>
      </c>
      <c r="AD904" s="89" t="n"/>
      <c r="AE904" s="89" t="n">
        <v>75.76527</v>
      </c>
      <c r="AF904" s="89" t="n">
        <v>80.63788</v>
      </c>
      <c r="AG904" s="89" t="n">
        <v>101.0219</v>
      </c>
      <c r="AH904" s="89" t="n">
        <v>68.77537</v>
      </c>
      <c r="AI904" s="89" t="n">
        <v>29.30377</v>
      </c>
      <c r="AJ904" s="89" t="n">
        <v>103.0861</v>
      </c>
      <c r="AK904" s="89" t="n">
        <v>33.18111</v>
      </c>
      <c r="AL904" s="89" t="n">
        <v>68.68462</v>
      </c>
      <c r="AM904" s="89" t="n">
        <v>73.67601000000001</v>
      </c>
      <c r="AN904" s="89" t="n"/>
      <c r="AO904" s="89" t="n">
        <v>66.73293</v>
      </c>
      <c r="AP904" s="89" t="n">
        <v>77.28712</v>
      </c>
      <c r="AQ904" s="89" t="n"/>
      <c r="AR904" s="89" t="n"/>
      <c r="AS904" s="89" t="n"/>
      <c r="AT904" s="89" t="n"/>
      <c r="AU904" s="89" t="n"/>
      <c r="AV904" s="89" t="n">
        <v>61.56506</v>
      </c>
      <c r="AW904" s="89" t="n"/>
      <c r="AX904" s="89" t="n">
        <v>34.09716</v>
      </c>
      <c r="AY904" s="89" t="n">
        <v>71.9363</v>
      </c>
    </row>
    <row r="905">
      <c r="A905" t="inlineStr">
        <is>
          <t>1994-04</t>
        </is>
      </c>
      <c r="B905" s="1" t="n">
        <v>34425</v>
      </c>
      <c r="C905" s="88" t="n">
        <v>905</v>
      </c>
      <c r="E905" s="1">
        <f>B905</f>
        <v/>
      </c>
      <c r="F905" s="2">
        <f>B905</f>
        <v/>
      </c>
      <c r="G905" s="88" t="n">
        <v>903</v>
      </c>
      <c r="H905" s="89" t="n"/>
      <c r="I905" s="89" t="n"/>
      <c r="J905" s="89" t="n">
        <v>59.95892</v>
      </c>
      <c r="K905" s="89" t="n">
        <v>72.66065</v>
      </c>
      <c r="L905" s="89" t="n"/>
      <c r="M905" s="89" t="n">
        <v>51.2902</v>
      </c>
      <c r="N905" s="89" t="n">
        <v>68.59428</v>
      </c>
      <c r="O905" s="89" t="n">
        <v>86.65091</v>
      </c>
      <c r="P905" s="89" t="n">
        <v>97.75208000000001</v>
      </c>
      <c r="Q905" s="89" t="n"/>
      <c r="R905" s="89" t="n">
        <v>71.40806000000001</v>
      </c>
      <c r="S905" s="89" t="n">
        <v>90.01075</v>
      </c>
      <c r="T905" s="89" t="n">
        <v>101.271</v>
      </c>
      <c r="U905" s="89" t="n">
        <v>120.1835</v>
      </c>
      <c r="V905" s="89" t="n">
        <v>32.25655</v>
      </c>
      <c r="W905" s="89" t="n">
        <v>18.47432</v>
      </c>
      <c r="X905" s="89" t="n"/>
      <c r="Y905" s="89" t="n">
        <v>51.9006</v>
      </c>
      <c r="Z905" s="89" t="n">
        <v>111.0907</v>
      </c>
      <c r="AA905" s="89" t="n">
        <v>97.25238</v>
      </c>
      <c r="AB905" s="89" t="n">
        <v>27.35472</v>
      </c>
      <c r="AC905" s="89" t="n">
        <v>74.63909</v>
      </c>
      <c r="AD905" s="89" t="n"/>
      <c r="AE905" s="89" t="n">
        <v>78.01348</v>
      </c>
      <c r="AF905" s="89" t="n">
        <v>80.51452999999999</v>
      </c>
      <c r="AG905" s="89" t="n">
        <v>100.6939</v>
      </c>
      <c r="AH905" s="89" t="n">
        <v>69.43791</v>
      </c>
      <c r="AI905" s="89" t="n">
        <v>29.48899</v>
      </c>
      <c r="AJ905" s="89" t="n">
        <v>102.8701</v>
      </c>
      <c r="AK905" s="89" t="n">
        <v>32.50082</v>
      </c>
      <c r="AL905" s="89" t="n">
        <v>67.43438</v>
      </c>
      <c r="AM905" s="89" t="n">
        <v>73.97962</v>
      </c>
      <c r="AN905" s="89" t="n"/>
      <c r="AO905" s="89" t="n">
        <v>67.11109</v>
      </c>
      <c r="AP905" s="89" t="n">
        <v>78.68688</v>
      </c>
      <c r="AQ905" s="89" t="n"/>
      <c r="AR905" s="89" t="n"/>
      <c r="AS905" s="89" t="n"/>
      <c r="AT905" s="89" t="n">
        <v>26.96272</v>
      </c>
      <c r="AU905" s="89" t="n"/>
      <c r="AV905" s="89" t="n">
        <v>60.66523</v>
      </c>
      <c r="AW905" s="89" t="n"/>
      <c r="AX905" s="89" t="n">
        <v>32.09732</v>
      </c>
      <c r="AY905" s="89" t="n">
        <v>71.62029</v>
      </c>
    </row>
    <row r="906">
      <c r="A906" t="inlineStr">
        <is>
          <t>1994-05</t>
        </is>
      </c>
      <c r="B906" s="1" t="n">
        <v>34455</v>
      </c>
      <c r="C906" s="88" t="n">
        <v>906</v>
      </c>
      <c r="E906" s="1">
        <f>B906</f>
        <v/>
      </c>
      <c r="F906" s="2">
        <f>B906</f>
        <v/>
      </c>
      <c r="G906" s="88" t="n">
        <v>904</v>
      </c>
      <c r="H906" s="89" t="n"/>
      <c r="I906" s="89" t="n"/>
      <c r="J906" s="89" t="n">
        <v>59.75175</v>
      </c>
      <c r="K906" s="89" t="n">
        <v>73.35706</v>
      </c>
      <c r="L906" s="89" t="n"/>
      <c r="M906" s="89" t="n">
        <v>53.21179</v>
      </c>
      <c r="N906" s="89" t="n">
        <v>68.29431</v>
      </c>
      <c r="O906" s="89" t="n">
        <v>92.31152</v>
      </c>
      <c r="P906" s="89" t="n">
        <v>96.86808000000001</v>
      </c>
      <c r="Q906" s="89" t="n"/>
      <c r="R906" s="89" t="n">
        <v>72.12381999999999</v>
      </c>
      <c r="S906" s="89" t="n">
        <v>89.91074999999999</v>
      </c>
      <c r="T906" s="89" t="n">
        <v>102.6382</v>
      </c>
      <c r="U906" s="89" t="n">
        <v>118.709</v>
      </c>
      <c r="V906" s="89" t="n">
        <v>32.66671</v>
      </c>
      <c r="W906" s="89" t="n">
        <v>18.29612</v>
      </c>
      <c r="X906" s="89" t="n"/>
      <c r="Y906" s="89" t="n">
        <v>52.11072</v>
      </c>
      <c r="Z906" s="89" t="n">
        <v>111.4907</v>
      </c>
      <c r="AA906" s="89" t="n">
        <v>97.15097</v>
      </c>
      <c r="AB906" s="89" t="n">
        <v>28.22365</v>
      </c>
      <c r="AC906" s="89" t="n">
        <v>75.46241000000001</v>
      </c>
      <c r="AD906" s="89" t="n"/>
      <c r="AE906" s="89" t="n">
        <v>76.70164</v>
      </c>
      <c r="AF906" s="89" t="n">
        <v>79.95947</v>
      </c>
      <c r="AG906" s="89" t="n">
        <v>102.7712</v>
      </c>
      <c r="AH906" s="89" t="n">
        <v>69.59809</v>
      </c>
      <c r="AI906" s="89" t="n">
        <v>29.79234</v>
      </c>
      <c r="AJ906" s="89" t="n">
        <v>103.7745</v>
      </c>
      <c r="AK906" s="89" t="n">
        <v>33.80972</v>
      </c>
      <c r="AL906" s="89" t="n">
        <v>69.54415</v>
      </c>
      <c r="AM906" s="89" t="n">
        <v>74.68804</v>
      </c>
      <c r="AN906" s="89" t="n"/>
      <c r="AO906" s="89" t="n">
        <v>67.45475999999999</v>
      </c>
      <c r="AP906" s="89" t="n">
        <v>78.48692</v>
      </c>
      <c r="AQ906" s="89" t="n"/>
      <c r="AR906" s="89" t="n"/>
      <c r="AS906" s="89" t="n"/>
      <c r="AT906" s="89" t="n">
        <v>27.40025</v>
      </c>
      <c r="AU906" s="89" t="n"/>
      <c r="AV906" s="89" t="n">
        <v>59.53713</v>
      </c>
      <c r="AW906" s="89" t="n"/>
      <c r="AX906" s="89" t="n">
        <v>31.89734</v>
      </c>
      <c r="AY906" s="89" t="n">
        <v>73.46368</v>
      </c>
    </row>
    <row r="907">
      <c r="A907" t="inlineStr">
        <is>
          <t>1994-06</t>
        </is>
      </c>
      <c r="B907" s="1" t="n">
        <v>34486</v>
      </c>
      <c r="C907" s="88" t="n">
        <v>907</v>
      </c>
      <c r="E907" s="1">
        <f>B907</f>
        <v/>
      </c>
      <c r="F907" s="2">
        <f>B907</f>
        <v/>
      </c>
      <c r="G907" s="88" t="n">
        <v>905</v>
      </c>
      <c r="H907" s="89" t="n"/>
      <c r="I907" s="89" t="n"/>
      <c r="J907" s="89" t="n">
        <v>60.1299</v>
      </c>
      <c r="K907" s="89" t="n">
        <v>74.30956</v>
      </c>
      <c r="L907" s="89" t="n"/>
      <c r="M907" s="89" t="n">
        <v>52.83365</v>
      </c>
      <c r="N907" s="89" t="n">
        <v>68.79427</v>
      </c>
      <c r="O907" s="89" t="n">
        <v>92.09381</v>
      </c>
      <c r="P907" s="89" t="n">
        <v>98.51508</v>
      </c>
      <c r="Q907" s="89" t="n"/>
      <c r="R907" s="89" t="n">
        <v>72.67180999999999</v>
      </c>
      <c r="S907" s="89" t="n">
        <v>90.42075</v>
      </c>
      <c r="T907" s="89" t="n">
        <v>101.3687</v>
      </c>
      <c r="U907" s="89" t="n">
        <v>119.1113</v>
      </c>
      <c r="V907" s="89" t="n">
        <v>33.01828</v>
      </c>
      <c r="W907" s="89" t="n">
        <v>19.00895</v>
      </c>
      <c r="X907" s="89" t="n"/>
      <c r="Y907" s="89" t="n">
        <v>52.53097</v>
      </c>
      <c r="Z907" s="89" t="n">
        <v>112.5906</v>
      </c>
      <c r="AA907" s="89" t="n">
        <v>98.36790000000001</v>
      </c>
      <c r="AB907" s="89" t="n">
        <v>28.62062</v>
      </c>
      <c r="AC907" s="89" t="n">
        <v>73.26836</v>
      </c>
      <c r="AD907" s="89" t="n"/>
      <c r="AE907" s="89" t="n">
        <v>76.99923</v>
      </c>
      <c r="AF907" s="89" t="n">
        <v>80.18304000000001</v>
      </c>
      <c r="AG907" s="89" t="n">
        <v>106.5978</v>
      </c>
      <c r="AH907" s="89" t="n">
        <v>69.99952999999999</v>
      </c>
      <c r="AI907" s="89" t="n">
        <v>30.08143</v>
      </c>
      <c r="AJ907" s="89" t="n">
        <v>102.7955</v>
      </c>
      <c r="AK907" s="89" t="n">
        <v>34.19937</v>
      </c>
      <c r="AL907" s="89" t="n">
        <v>71.57577999999999</v>
      </c>
      <c r="AM907" s="89" t="n">
        <v>75.80128000000001</v>
      </c>
      <c r="AN907" s="89" t="n"/>
      <c r="AO907" s="89" t="n">
        <v>67.88526</v>
      </c>
      <c r="AP907" s="89" t="n">
        <v>79.08682</v>
      </c>
      <c r="AQ907" s="89" t="n"/>
      <c r="AR907" s="89" t="n"/>
      <c r="AS907" s="89" t="n"/>
      <c r="AT907" s="89" t="n">
        <v>28.1054</v>
      </c>
      <c r="AU907" s="89" t="n"/>
      <c r="AV907" s="89" t="n">
        <v>59.09364</v>
      </c>
      <c r="AW907" s="89" t="n"/>
      <c r="AX907" s="89" t="n">
        <v>30.19748</v>
      </c>
      <c r="AY907" s="89" t="n">
        <v>73.75336</v>
      </c>
    </row>
    <row r="908">
      <c r="A908" t="inlineStr">
        <is>
          <t>1994-07</t>
        </is>
      </c>
      <c r="B908" s="1" t="n">
        <v>34516</v>
      </c>
      <c r="C908" s="88" t="n">
        <v>908</v>
      </c>
      <c r="E908" s="1">
        <f>B908</f>
        <v/>
      </c>
      <c r="F908" s="2">
        <f>B908</f>
        <v/>
      </c>
      <c r="G908" s="88" t="n">
        <v>906</v>
      </c>
      <c r="H908" s="89" t="n"/>
      <c r="I908" s="89" t="n"/>
      <c r="J908" s="89" t="n">
        <v>55.01037</v>
      </c>
      <c r="K908" s="89" t="n">
        <v>74.29218</v>
      </c>
      <c r="L908" s="89" t="n"/>
      <c r="M908" s="89" t="n">
        <v>53.41689</v>
      </c>
      <c r="N908" s="89" t="n">
        <v>68.49429000000001</v>
      </c>
      <c r="O908" s="89" t="n">
        <v>91.00523</v>
      </c>
      <c r="P908" s="89" t="n">
        <v>100.0461</v>
      </c>
      <c r="Q908" s="89" t="n"/>
      <c r="R908" s="89" t="n">
        <v>73.38757</v>
      </c>
      <c r="S908" s="89" t="n">
        <v>91.21075999999999</v>
      </c>
      <c r="T908" s="89" t="n">
        <v>101.9546</v>
      </c>
      <c r="U908" s="89" t="n">
        <v>120.8148</v>
      </c>
      <c r="V908" s="89" t="n">
        <v>33.39915</v>
      </c>
      <c r="W908" s="89" t="n">
        <v>18.41492</v>
      </c>
      <c r="X908" s="89" t="n"/>
      <c r="Y908" s="89" t="n">
        <v>53.16134</v>
      </c>
      <c r="Z908" s="89" t="n">
        <v>112.7906</v>
      </c>
      <c r="AA908" s="89" t="n">
        <v>99.38200000000001</v>
      </c>
      <c r="AB908" s="89" t="n">
        <v>27.5577</v>
      </c>
      <c r="AC908" s="89" t="n">
        <v>71.87966</v>
      </c>
      <c r="AD908" s="89" t="n"/>
      <c r="AE908" s="89" t="n">
        <v>77.087</v>
      </c>
      <c r="AF908" s="89" t="n">
        <v>81.04646</v>
      </c>
      <c r="AG908" s="89" t="n">
        <v>102.7712</v>
      </c>
      <c r="AH908" s="89" t="n">
        <v>70.20116</v>
      </c>
      <c r="AI908" s="89" t="n">
        <v>30.58236</v>
      </c>
      <c r="AJ908" s="89" t="n">
        <v>103.0362</v>
      </c>
      <c r="AK908" s="89" t="n">
        <v>35.58754</v>
      </c>
      <c r="AL908" s="89" t="n">
        <v>70.24741</v>
      </c>
      <c r="AM908" s="89" t="n">
        <v>73.87842000000001</v>
      </c>
      <c r="AN908" s="89" t="n"/>
      <c r="AO908" s="89" t="n">
        <v>67.98927999999999</v>
      </c>
      <c r="AP908" s="89" t="n">
        <v>79.28679</v>
      </c>
      <c r="AQ908" s="89" t="n"/>
      <c r="AR908" s="89" t="n"/>
      <c r="AS908" s="89" t="n"/>
      <c r="AT908" s="89" t="n">
        <v>28.35721</v>
      </c>
      <c r="AU908" s="89" t="n"/>
      <c r="AV908" s="89" t="n">
        <v>58.45829</v>
      </c>
      <c r="AW908" s="89" t="n"/>
      <c r="AX908" s="89" t="n">
        <v>31.1974</v>
      </c>
      <c r="AY908" s="89" t="n">
        <v>74.09569999999999</v>
      </c>
    </row>
    <row r="909">
      <c r="A909" t="inlineStr">
        <is>
          <t>1994-08</t>
        </is>
      </c>
      <c r="B909" s="1" t="n">
        <v>34547</v>
      </c>
      <c r="C909" s="88" t="n">
        <v>909</v>
      </c>
      <c r="E909" s="1">
        <f>B909</f>
        <v/>
      </c>
      <c r="F909" s="2">
        <f>B909</f>
        <v/>
      </c>
      <c r="G909" s="88" t="n">
        <v>907</v>
      </c>
      <c r="H909" s="89" t="n"/>
      <c r="I909" s="89" t="n"/>
      <c r="J909" s="89" t="n">
        <v>61.84234</v>
      </c>
      <c r="K909" s="89" t="n">
        <v>74.94018</v>
      </c>
      <c r="L909" s="89" t="n"/>
      <c r="M909" s="89" t="n">
        <v>53.18996</v>
      </c>
      <c r="N909" s="89" t="n">
        <v>68.49429000000001</v>
      </c>
      <c r="O909" s="89" t="n">
        <v>87.1952</v>
      </c>
      <c r="P909" s="89" t="n">
        <v>100.0511</v>
      </c>
      <c r="Q909" s="89" t="n"/>
      <c r="R909" s="89" t="n">
        <v>73.38757</v>
      </c>
      <c r="S909" s="89" t="n">
        <v>91.71075999999999</v>
      </c>
      <c r="T909" s="89" t="n">
        <v>102.3452</v>
      </c>
      <c r="U909" s="89" t="n">
        <v>121.8271</v>
      </c>
      <c r="V909" s="89" t="n">
        <v>33.92651</v>
      </c>
      <c r="W909" s="89" t="n">
        <v>19.18716</v>
      </c>
      <c r="X909" s="89" t="n"/>
      <c r="Y909" s="89" t="n">
        <v>54.35204</v>
      </c>
      <c r="Z909" s="89" t="n">
        <v>113.1906</v>
      </c>
      <c r="AA909" s="89" t="n">
        <v>100.1933</v>
      </c>
      <c r="AB909" s="89" t="n">
        <v>28.28764</v>
      </c>
      <c r="AC909" s="89" t="n">
        <v>77.76756</v>
      </c>
      <c r="AD909" s="89" t="n"/>
      <c r="AE909" s="89" t="n">
        <v>77.59952</v>
      </c>
      <c r="AF909" s="89" t="n">
        <v>81.53985</v>
      </c>
      <c r="AG909" s="89" t="n">
        <v>96.75802</v>
      </c>
      <c r="AH909" s="89" t="n">
        <v>70.82043</v>
      </c>
      <c r="AI909" s="89" t="n">
        <v>31.59404</v>
      </c>
      <c r="AJ909" s="89" t="n">
        <v>103.3028</v>
      </c>
      <c r="AK909" s="89" t="n">
        <v>33.7128</v>
      </c>
      <c r="AL909" s="89" t="n">
        <v>70.09113000000001</v>
      </c>
      <c r="AM909" s="89" t="n">
        <v>75.39646</v>
      </c>
      <c r="AN909" s="89" t="n"/>
      <c r="AO909" s="89" t="n">
        <v>68.39337</v>
      </c>
      <c r="AP909" s="89" t="n">
        <v>79.48676</v>
      </c>
      <c r="AQ909" s="89" t="n"/>
      <c r="AR909" s="89" t="n"/>
      <c r="AS909" s="89" t="n"/>
      <c r="AT909" s="89" t="n">
        <v>28.52628</v>
      </c>
      <c r="AU909" s="89" t="n"/>
      <c r="AV909" s="89" t="n">
        <v>59.23164</v>
      </c>
      <c r="AW909" s="89" t="n"/>
      <c r="AX909" s="89" t="n">
        <v>33.39722</v>
      </c>
      <c r="AY909" s="89" t="n">
        <v>77.5016</v>
      </c>
    </row>
    <row r="910">
      <c r="A910" t="inlineStr">
        <is>
          <t>1994-09</t>
        </is>
      </c>
      <c r="B910" s="1" t="n">
        <v>34578</v>
      </c>
      <c r="C910" s="88" t="n">
        <v>910</v>
      </c>
      <c r="E910" s="1">
        <f>B910</f>
        <v/>
      </c>
      <c r="F910" s="2">
        <f>B910</f>
        <v/>
      </c>
      <c r="G910" s="88" t="n">
        <v>908</v>
      </c>
      <c r="H910" s="89" t="n"/>
      <c r="I910" s="89" t="n"/>
      <c r="J910" s="89" t="n">
        <v>61.06841</v>
      </c>
      <c r="K910" s="89" t="n">
        <v>75.59383</v>
      </c>
      <c r="L910" s="89" t="n"/>
      <c r="M910" s="89" t="n">
        <v>53.11089</v>
      </c>
      <c r="N910" s="89" t="n">
        <v>69.49421</v>
      </c>
      <c r="O910" s="89" t="n">
        <v>88.93693</v>
      </c>
      <c r="P910" s="89" t="n">
        <v>100.0871</v>
      </c>
      <c r="Q910" s="89" t="n"/>
      <c r="R910" s="89" t="n">
        <v>75.13223000000001</v>
      </c>
      <c r="S910" s="89" t="n">
        <v>91.40076000000001</v>
      </c>
      <c r="T910" s="89" t="n">
        <v>103.3218</v>
      </c>
      <c r="U910" s="89" t="n">
        <v>126.6619</v>
      </c>
      <c r="V910" s="89" t="n">
        <v>34.27808</v>
      </c>
      <c r="W910" s="89" t="n">
        <v>18.23671</v>
      </c>
      <c r="X910" s="89" t="n"/>
      <c r="Y910" s="89" t="n">
        <v>53.37146</v>
      </c>
      <c r="Z910" s="89" t="n">
        <v>113.7905</v>
      </c>
      <c r="AA910" s="89" t="n">
        <v>99.17918</v>
      </c>
      <c r="AB910" s="89" t="n">
        <v>29.22157</v>
      </c>
      <c r="AC910" s="89" t="n">
        <v>71.73059000000001</v>
      </c>
      <c r="AD910" s="89" t="n"/>
      <c r="AE910" s="89" t="n">
        <v>77.19504000000001</v>
      </c>
      <c r="AF910" s="89" t="n">
        <v>82.07178</v>
      </c>
      <c r="AG910" s="89" t="n">
        <v>104.1925</v>
      </c>
      <c r="AH910" s="89" t="n">
        <v>71.00122</v>
      </c>
      <c r="AI910" s="89" t="n">
        <v>31.14748</v>
      </c>
      <c r="AJ910" s="89" t="n">
        <v>106.2452</v>
      </c>
      <c r="AK910" s="89" t="n">
        <v>32.65217</v>
      </c>
      <c r="AL910" s="89" t="n">
        <v>68.05949</v>
      </c>
      <c r="AM910" s="89" t="n">
        <v>78.83738</v>
      </c>
      <c r="AN910" s="89" t="n"/>
      <c r="AO910" s="89" t="n">
        <v>68.65405</v>
      </c>
      <c r="AP910" s="89" t="n">
        <v>79.88669</v>
      </c>
      <c r="AQ910" s="89" t="n"/>
      <c r="AR910" s="89" t="n"/>
      <c r="AS910" s="89" t="n"/>
      <c r="AT910" s="89" t="n">
        <v>28.65582</v>
      </c>
      <c r="AU910" s="89" t="n"/>
      <c r="AV910" s="89" t="n">
        <v>58.43759</v>
      </c>
      <c r="AW910" s="89" t="n"/>
      <c r="AX910" s="89" t="n">
        <v>33.99717</v>
      </c>
      <c r="AY910" s="89" t="n">
        <v>77.93172</v>
      </c>
    </row>
    <row r="911">
      <c r="A911" t="inlineStr">
        <is>
          <t>1994-10</t>
        </is>
      </c>
      <c r="B911" s="1" t="n">
        <v>34608</v>
      </c>
      <c r="C911" s="88" t="n">
        <v>911</v>
      </c>
      <c r="E911" s="1">
        <f>B911</f>
        <v/>
      </c>
      <c r="F911" s="2">
        <f>B911</f>
        <v/>
      </c>
      <c r="G911" s="88" t="n">
        <v>909</v>
      </c>
      <c r="H911" s="89" t="n"/>
      <c r="I911" s="89" t="n"/>
      <c r="J911" s="89" t="n">
        <v>60.65044</v>
      </c>
      <c r="K911" s="89" t="n">
        <v>75.34007</v>
      </c>
      <c r="L911" s="89" t="n"/>
      <c r="M911" s="89" t="n">
        <v>51.66409</v>
      </c>
      <c r="N911" s="89" t="n">
        <v>70.7941</v>
      </c>
      <c r="O911" s="89" t="n">
        <v>90.24323</v>
      </c>
      <c r="P911" s="89" t="n">
        <v>100.9371</v>
      </c>
      <c r="Q911" s="89" t="n"/>
      <c r="R911" s="89" t="n">
        <v>75.45657</v>
      </c>
      <c r="S911" s="89" t="n">
        <v>92.29076999999999</v>
      </c>
      <c r="T911" s="89" t="n">
        <v>103.5171</v>
      </c>
      <c r="U911" s="89" t="n">
        <v>122.3887</v>
      </c>
      <c r="V911" s="89" t="n">
        <v>34.19019</v>
      </c>
      <c r="W911" s="89" t="n">
        <v>19.36537</v>
      </c>
      <c r="X911" s="89" t="n"/>
      <c r="Y911" s="89" t="n">
        <v>54.70225</v>
      </c>
      <c r="Z911" s="89" t="n">
        <v>113.4905</v>
      </c>
      <c r="AA911" s="89" t="n">
        <v>100.1933</v>
      </c>
      <c r="AB911" s="89" t="n">
        <v>29.61853</v>
      </c>
      <c r="AC911" s="89" t="n">
        <v>72.71818</v>
      </c>
      <c r="AD911" s="89" t="n"/>
      <c r="AE911" s="89" t="n">
        <v>77.24682</v>
      </c>
      <c r="AF911" s="89" t="n">
        <v>85.46381</v>
      </c>
      <c r="AG911" s="89" t="n">
        <v>106.0512</v>
      </c>
      <c r="AH911" s="89" t="n">
        <v>71.54209</v>
      </c>
      <c r="AI911" s="89" t="n">
        <v>30.49718</v>
      </c>
      <c r="AJ911" s="89" t="n">
        <v>102.2804</v>
      </c>
      <c r="AK911" s="89" t="n">
        <v>33.64344</v>
      </c>
      <c r="AL911" s="89" t="n">
        <v>67.51251999999999</v>
      </c>
      <c r="AM911" s="89" t="n">
        <v>79.64700000000001</v>
      </c>
      <c r="AN911" s="89" t="n"/>
      <c r="AO911" s="89" t="n">
        <v>69.23545</v>
      </c>
      <c r="AP911" s="89" t="n">
        <v>80.78654</v>
      </c>
      <c r="AQ911" s="89" t="n"/>
      <c r="AR911" s="89" t="n"/>
      <c r="AS911" s="89" t="n"/>
      <c r="AT911" s="89" t="n">
        <v>29.13908</v>
      </c>
      <c r="AU911" s="89" t="n"/>
      <c r="AV911" s="89" t="n">
        <v>59.45793</v>
      </c>
      <c r="AW911" s="89" t="n"/>
      <c r="AX911" s="89" t="n">
        <v>34.7971</v>
      </c>
      <c r="AY911" s="89" t="n">
        <v>77.98439</v>
      </c>
    </row>
    <row r="912">
      <c r="A912" t="inlineStr">
        <is>
          <t>1994-11</t>
        </is>
      </c>
      <c r="B912" s="1" t="n">
        <v>34639</v>
      </c>
      <c r="C912" s="88" t="n">
        <v>912</v>
      </c>
      <c r="E912" s="1">
        <f>B912</f>
        <v/>
      </c>
      <c r="F912" s="2">
        <f>B912</f>
        <v/>
      </c>
      <c r="G912" s="88" t="n">
        <v>910</v>
      </c>
      <c r="H912" s="89" t="n"/>
      <c r="I912" s="89" t="n"/>
      <c r="J912" s="89" t="n">
        <v>62.63833</v>
      </c>
      <c r="K912" s="89" t="n">
        <v>76.23196</v>
      </c>
      <c r="L912" s="89" t="n"/>
      <c r="M912" s="89" t="n">
        <v>52.53359</v>
      </c>
      <c r="N912" s="89" t="n">
        <v>71.19407</v>
      </c>
      <c r="O912" s="89" t="n">
        <v>92.96467</v>
      </c>
      <c r="P912" s="89" t="n">
        <v>102.4081</v>
      </c>
      <c r="Q912" s="89" t="n"/>
      <c r="R912" s="89" t="n">
        <v>75.83681</v>
      </c>
      <c r="S912" s="89" t="n">
        <v>93.10078</v>
      </c>
      <c r="T912" s="89" t="n">
        <v>103.4195</v>
      </c>
      <c r="U912" s="89" t="n">
        <v>121.8122</v>
      </c>
      <c r="V912" s="89" t="n">
        <v>34.30738</v>
      </c>
      <c r="W912" s="89" t="n">
        <v>19.30597</v>
      </c>
      <c r="X912" s="89" t="n"/>
      <c r="Y912" s="89" t="n">
        <v>55.33262</v>
      </c>
      <c r="Z912" s="89" t="n">
        <v>115.3904</v>
      </c>
      <c r="AA912" s="89" t="n">
        <v>100.8017</v>
      </c>
      <c r="AB912" s="89" t="n">
        <v>30.21948</v>
      </c>
      <c r="AC912" s="89" t="n">
        <v>74.03973999999999</v>
      </c>
      <c r="AD912" s="89" t="n"/>
      <c r="AE912" s="89" t="n">
        <v>76.94468000000001</v>
      </c>
      <c r="AF912" s="89" t="n">
        <v>80.14449</v>
      </c>
      <c r="AG912" s="89" t="n">
        <v>106.8165</v>
      </c>
      <c r="AH912" s="89" t="n">
        <v>71.97868</v>
      </c>
      <c r="AI912" s="89" t="n">
        <v>31.16842</v>
      </c>
      <c r="AJ912" s="89" t="n">
        <v>103.9538</v>
      </c>
      <c r="AK912" s="89" t="n">
        <v>33.78865</v>
      </c>
      <c r="AL912" s="89" t="n">
        <v>70.01299</v>
      </c>
      <c r="AM912" s="89" t="n">
        <v>80.35543</v>
      </c>
      <c r="AN912" s="89" t="n"/>
      <c r="AO912" s="89" t="n">
        <v>69.6622</v>
      </c>
      <c r="AP912" s="89" t="n">
        <v>81.38643999999999</v>
      </c>
      <c r="AQ912" s="89" t="n"/>
      <c r="AR912" s="89" t="n"/>
      <c r="AS912" s="89" t="n"/>
      <c r="AT912" s="89" t="n">
        <v>29.58613</v>
      </c>
      <c r="AU912" s="89" t="n"/>
      <c r="AV912" s="89" t="n">
        <v>60.35983</v>
      </c>
      <c r="AW912" s="89" t="n"/>
      <c r="AX912" s="89" t="n">
        <v>34.69711</v>
      </c>
      <c r="AY912" s="89" t="n">
        <v>79.23088</v>
      </c>
    </row>
    <row r="913">
      <c r="A913" t="inlineStr">
        <is>
          <t>1994-12</t>
        </is>
      </c>
      <c r="B913" s="1" t="n">
        <v>34669</v>
      </c>
      <c r="C913" s="88" t="n">
        <v>913</v>
      </c>
      <c r="E913" s="1">
        <f>B913</f>
        <v/>
      </c>
      <c r="F913" s="2">
        <f>B913</f>
        <v/>
      </c>
      <c r="G913" s="88" t="n">
        <v>911</v>
      </c>
      <c r="H913" s="89" t="n"/>
      <c r="I913" s="89" t="n"/>
      <c r="J913" s="89" t="n">
        <v>57.08418</v>
      </c>
      <c r="K913" s="89" t="n">
        <v>77.42552999999999</v>
      </c>
      <c r="L913" s="89" t="n"/>
      <c r="M913" s="89" t="n">
        <v>54.55584</v>
      </c>
      <c r="N913" s="89" t="n">
        <v>71.19407</v>
      </c>
      <c r="O913" s="89" t="n">
        <v>98.62528</v>
      </c>
      <c r="P913" s="89" t="n">
        <v>105.3771</v>
      </c>
      <c r="Q913" s="89" t="n"/>
      <c r="R913" s="89" t="n">
        <v>76.44073</v>
      </c>
      <c r="S913" s="89" t="n">
        <v>92.96078</v>
      </c>
      <c r="T913" s="89" t="n">
        <v>104.4937</v>
      </c>
      <c r="U913" s="89" t="n">
        <v>122.0883</v>
      </c>
      <c r="V913" s="89" t="n">
        <v>35.42068</v>
      </c>
      <c r="W913" s="89" t="n">
        <v>20.37522</v>
      </c>
      <c r="X913" s="89" t="n"/>
      <c r="Y913" s="89" t="n">
        <v>55.33262</v>
      </c>
      <c r="Z913" s="89" t="n">
        <v>118.1901</v>
      </c>
      <c r="AA913" s="89" t="n">
        <v>101.5116</v>
      </c>
      <c r="AB913" s="89" t="n">
        <v>30.0155</v>
      </c>
      <c r="AC913" s="89" t="n">
        <v>74.94974999999999</v>
      </c>
      <c r="AD913" s="89" t="n"/>
      <c r="AE913" s="89" t="n">
        <v>75.95708</v>
      </c>
      <c r="AF913" s="89" t="n">
        <v>82.95063</v>
      </c>
      <c r="AG913" s="89" t="n">
        <v>106.9258</v>
      </c>
      <c r="AH913" s="89" t="n">
        <v>72.53465</v>
      </c>
      <c r="AI913" s="89" t="n">
        <v>32.77331</v>
      </c>
      <c r="AJ913" s="89" t="n">
        <v>104.7188</v>
      </c>
      <c r="AK913" s="89" t="n">
        <v>35.75961</v>
      </c>
      <c r="AL913" s="89" t="n">
        <v>69.8567</v>
      </c>
      <c r="AM913" s="89" t="n">
        <v>80.86144</v>
      </c>
      <c r="AN913" s="89" t="n"/>
      <c r="AO913" s="89" t="n">
        <v>70.39373000000001</v>
      </c>
      <c r="AP913" s="89" t="n">
        <v>82.28628999999999</v>
      </c>
      <c r="AQ913" s="89" t="n"/>
      <c r="AR913" s="89" t="n"/>
      <c r="AS913" s="89" t="n"/>
      <c r="AT913" s="89" t="n">
        <v>29.99916</v>
      </c>
      <c r="AU913" s="89" t="n"/>
      <c r="AV913" s="89" t="n">
        <v>60.70841</v>
      </c>
      <c r="AW913" s="89" t="n"/>
      <c r="AX913" s="89" t="n">
        <v>33.99717</v>
      </c>
      <c r="AY913" s="89" t="n">
        <v>83.57603</v>
      </c>
    </row>
    <row r="914">
      <c r="A914" t="inlineStr">
        <is>
          <t>1995-01</t>
        </is>
      </c>
      <c r="B914" s="1" t="n">
        <v>34700</v>
      </c>
      <c r="C914" s="88" t="n">
        <v>914</v>
      </c>
      <c r="E914" s="1">
        <f>B914</f>
        <v/>
      </c>
      <c r="F914" s="2">
        <f>B914</f>
        <v/>
      </c>
      <c r="G914" s="88" t="n">
        <v>912</v>
      </c>
      <c r="H914" s="89" t="n"/>
      <c r="I914" s="89" t="n"/>
      <c r="J914" s="89" t="n">
        <v>62.79057</v>
      </c>
      <c r="K914" s="89" t="n">
        <v>78.25197</v>
      </c>
      <c r="L914" s="89" t="n"/>
      <c r="M914" s="89" t="n">
        <v>58.14028</v>
      </c>
      <c r="N914" s="89" t="n">
        <v>69.79418</v>
      </c>
      <c r="O914" s="89" t="n">
        <v>97.21013000000001</v>
      </c>
      <c r="P914" s="89" t="n">
        <v>104.8301</v>
      </c>
      <c r="Q914" s="89" t="n"/>
      <c r="R914" s="89" t="n">
        <v>80.2</v>
      </c>
      <c r="S914" s="89" t="n">
        <v>93.63078</v>
      </c>
      <c r="T914" s="89" t="n">
        <v>102.6382</v>
      </c>
      <c r="U914" s="89" t="n">
        <v>124.4307</v>
      </c>
      <c r="V914" s="89" t="n">
        <v>34.74684</v>
      </c>
      <c r="W914" s="89" t="n">
        <v>19.9594</v>
      </c>
      <c r="X914" s="89" t="n"/>
      <c r="Y914" s="89" t="n">
        <v>55.40266</v>
      </c>
      <c r="Z914" s="89" t="n">
        <v>117.7902</v>
      </c>
      <c r="AA914" s="89" t="n">
        <v>99.48341000000001</v>
      </c>
      <c r="AB914" s="89" t="n">
        <v>30.68144</v>
      </c>
      <c r="AC914" s="89" t="n">
        <v>74.46301</v>
      </c>
      <c r="AD914" s="89" t="n"/>
      <c r="AE914" s="89" t="n">
        <v>74.43326</v>
      </c>
      <c r="AF914" s="89" t="n">
        <v>85.00793</v>
      </c>
      <c r="AG914" s="89" t="n">
        <v>105.6138</v>
      </c>
      <c r="AH914" s="89" t="n">
        <v>72.29411</v>
      </c>
      <c r="AI914" s="89" t="n">
        <v>32.10922</v>
      </c>
      <c r="AJ914" s="89" t="n">
        <v>105.1128</v>
      </c>
      <c r="AK914" s="89" t="n">
        <v>33.20903</v>
      </c>
      <c r="AL914" s="89" t="n">
        <v>73.37299</v>
      </c>
      <c r="AM914" s="89" t="n">
        <v>82.07588</v>
      </c>
      <c r="AN914" s="89" t="n"/>
      <c r="AO914" s="89" t="n">
        <v>70.52244</v>
      </c>
      <c r="AP914" s="89" t="n">
        <v>81.68639</v>
      </c>
      <c r="AQ914" s="89" t="n"/>
      <c r="AR914" s="89" t="n"/>
      <c r="AS914" s="89" t="n"/>
      <c r="AT914" s="89" t="n">
        <v>30.55564</v>
      </c>
      <c r="AU914" s="89" t="n"/>
      <c r="AV914" s="89" t="n">
        <v>60.16991</v>
      </c>
      <c r="AW914" s="89" t="n"/>
      <c r="AX914" s="89" t="n">
        <v>34.49712</v>
      </c>
      <c r="AY914" s="89" t="n">
        <v>82.22421</v>
      </c>
    </row>
    <row r="915">
      <c r="A915" t="inlineStr">
        <is>
          <t>1995-02</t>
        </is>
      </c>
      <c r="B915" s="1" t="n">
        <v>34731</v>
      </c>
      <c r="C915" s="88" t="n">
        <v>915</v>
      </c>
      <c r="E915" s="1">
        <f>B915</f>
        <v/>
      </c>
      <c r="F915" s="2">
        <f>B915</f>
        <v/>
      </c>
      <c r="G915" s="88" t="n">
        <v>913</v>
      </c>
      <c r="H915" s="89" t="n"/>
      <c r="I915" s="89" t="n"/>
      <c r="J915" s="89" t="n">
        <v>63.9556</v>
      </c>
      <c r="K915" s="89" t="n">
        <v>78.26175000000001</v>
      </c>
      <c r="L915" s="89" t="n"/>
      <c r="M915" s="89" t="n">
        <v>56.02067</v>
      </c>
      <c r="N915" s="89" t="n">
        <v>70.7941</v>
      </c>
      <c r="O915" s="89" t="n">
        <v>94.48869000000001</v>
      </c>
      <c r="P915" s="89" t="n">
        <v>103.6361</v>
      </c>
      <c r="Q915" s="89" t="n"/>
      <c r="R915" s="89" t="n">
        <v>79</v>
      </c>
      <c r="S915" s="89" t="n">
        <v>93.00078000000001</v>
      </c>
      <c r="T915" s="89" t="n">
        <v>102.6382</v>
      </c>
      <c r="U915" s="89" t="n">
        <v>123.9574</v>
      </c>
      <c r="V915" s="89" t="n">
        <v>34.86403</v>
      </c>
      <c r="W915" s="89" t="n">
        <v>20.61283</v>
      </c>
      <c r="X915" s="89" t="n"/>
      <c r="Y915" s="89" t="n">
        <v>55.54274</v>
      </c>
      <c r="Z915" s="89" t="n">
        <v>117.0902</v>
      </c>
      <c r="AA915" s="89" t="n">
        <v>100.9032</v>
      </c>
      <c r="AB915" s="89" t="n">
        <v>30.49646</v>
      </c>
      <c r="AC915" s="89" t="n">
        <v>74.59036</v>
      </c>
      <c r="AD915" s="89" t="n"/>
      <c r="AE915" s="89" t="n">
        <v>69.54796</v>
      </c>
      <c r="AF915" s="89" t="n">
        <v>81.80718</v>
      </c>
      <c r="AG915" s="89" t="n">
        <v>105.2859</v>
      </c>
      <c r="AH915" s="89" t="n">
        <v>72.18102</v>
      </c>
      <c r="AI915" s="89" t="n">
        <v>32.81288</v>
      </c>
      <c r="AJ915" s="89" t="n">
        <v>106.2601</v>
      </c>
      <c r="AK915" s="89" t="n">
        <v>34.78329</v>
      </c>
      <c r="AL915" s="89" t="n">
        <v>73.13857</v>
      </c>
      <c r="AM915" s="89" t="n">
        <v>82.27829</v>
      </c>
      <c r="AN915" s="89" t="n"/>
      <c r="AO915" s="89" t="n">
        <v>70.40774999999999</v>
      </c>
      <c r="AP915" s="89" t="n">
        <v>81.88634999999999</v>
      </c>
      <c r="AQ915" s="89" t="n"/>
      <c r="AR915" s="89" t="n"/>
      <c r="AS915" s="89" t="n"/>
      <c r="AT915" s="89" t="n">
        <v>30.34476</v>
      </c>
      <c r="AU915" s="89" t="n"/>
      <c r="AV915" s="89" t="n">
        <v>60.41418</v>
      </c>
      <c r="AW915" s="89" t="n"/>
      <c r="AX915" s="89" t="n">
        <v>33.5972</v>
      </c>
      <c r="AY915" s="89" t="n">
        <v>81.89941</v>
      </c>
    </row>
    <row r="916">
      <c r="A916" t="inlineStr">
        <is>
          <t>1995-03</t>
        </is>
      </c>
      <c r="B916" s="1" t="n">
        <v>34759</v>
      </c>
      <c r="C916" s="88" t="n">
        <v>916</v>
      </c>
      <c r="E916" s="1">
        <f>B916</f>
        <v/>
      </c>
      <c r="F916" s="2">
        <f>B916</f>
        <v/>
      </c>
      <c r="G916" s="88" t="n">
        <v>914</v>
      </c>
      <c r="H916" s="89" t="n"/>
      <c r="I916" s="89" t="n"/>
      <c r="J916" s="89" t="n">
        <v>64.30989</v>
      </c>
      <c r="K916" s="89" t="n">
        <v>77.70402</v>
      </c>
      <c r="L916" s="89" t="n"/>
      <c r="M916" s="89" t="n">
        <v>56.47284</v>
      </c>
      <c r="N916" s="89" t="n">
        <v>69.99415999999999</v>
      </c>
      <c r="O916" s="89" t="n">
        <v>94.81525000000001</v>
      </c>
      <c r="P916" s="89" t="n">
        <v>103.5821</v>
      </c>
      <c r="Q916" s="89" t="n"/>
      <c r="R916" s="89" t="n">
        <v>78.7</v>
      </c>
      <c r="S916" s="89" t="n">
        <v>93.78077999999999</v>
      </c>
      <c r="T916" s="89" t="n">
        <v>103.0288</v>
      </c>
      <c r="U916" s="89" t="n">
        <v>123.4825</v>
      </c>
      <c r="V916" s="89" t="n">
        <v>35.01052</v>
      </c>
      <c r="W916" s="89" t="n">
        <v>21.14746</v>
      </c>
      <c r="X916" s="89" t="n"/>
      <c r="Y916" s="89" t="n">
        <v>55.68283</v>
      </c>
      <c r="Z916" s="89" t="n">
        <v>117.3902</v>
      </c>
      <c r="AA916" s="89" t="n">
        <v>101.9173</v>
      </c>
      <c r="AB916" s="89" t="n">
        <v>31.42038</v>
      </c>
      <c r="AC916" s="89" t="n">
        <v>73.96115</v>
      </c>
      <c r="AD916" s="89" t="n"/>
      <c r="AE916" s="89" t="n">
        <v>68.90761999999999</v>
      </c>
      <c r="AF916" s="89" t="n">
        <v>82.84272</v>
      </c>
      <c r="AG916" s="89" t="n">
        <v>107.6911</v>
      </c>
      <c r="AH916" s="89" t="n">
        <v>72.30415000000001</v>
      </c>
      <c r="AI916" s="89" t="n">
        <v>32.03169</v>
      </c>
      <c r="AJ916" s="89" t="n">
        <v>100.7808</v>
      </c>
      <c r="AK916" s="89" t="n">
        <v>35.18656</v>
      </c>
      <c r="AL916" s="89" t="n">
        <v>70.48182</v>
      </c>
      <c r="AM916" s="89" t="n">
        <v>83.59393</v>
      </c>
      <c r="AN916" s="89" t="n"/>
      <c r="AO916" s="89" t="n">
        <v>70.50918</v>
      </c>
      <c r="AP916" s="89" t="n">
        <v>81.78637000000001</v>
      </c>
      <c r="AQ916" s="89" t="n"/>
      <c r="AR916" s="89" t="n"/>
      <c r="AS916" s="89" t="n"/>
      <c r="AT916" s="89" t="n">
        <v>30.55982</v>
      </c>
      <c r="AU916" s="89" t="n"/>
      <c r="AV916" s="89" t="n">
        <v>58.05595</v>
      </c>
      <c r="AW916" s="89" t="n"/>
      <c r="AX916" s="89" t="n">
        <v>33.49721</v>
      </c>
      <c r="AY916" s="89" t="n">
        <v>81.89941</v>
      </c>
    </row>
    <row r="917">
      <c r="A917" t="inlineStr">
        <is>
          <t>1995-04</t>
        </is>
      </c>
      <c r="B917" s="1" t="n">
        <v>34790</v>
      </c>
      <c r="C917" s="88" t="n">
        <v>917</v>
      </c>
      <c r="E917" s="1">
        <f>B917</f>
        <v/>
      </c>
      <c r="F917" s="2">
        <f>B917</f>
        <v/>
      </c>
      <c r="G917" s="88" t="n">
        <v>915</v>
      </c>
      <c r="H917" s="89" t="n"/>
      <c r="I917" s="89" t="n"/>
      <c r="J917" s="89" t="n">
        <v>63.1637</v>
      </c>
      <c r="K917" s="89" t="n">
        <v>77.53743</v>
      </c>
      <c r="L917" s="89" t="n"/>
      <c r="M917" s="89" t="n">
        <v>56.55847</v>
      </c>
      <c r="N917" s="89" t="n">
        <v>70.39413</v>
      </c>
      <c r="O917" s="89" t="n">
        <v>94.92411</v>
      </c>
      <c r="P917" s="89" t="n">
        <v>104.0581</v>
      </c>
      <c r="Q917" s="89" t="n"/>
      <c r="R917" s="89" t="n">
        <v>78.5</v>
      </c>
      <c r="S917" s="89" t="n">
        <v>93.82079</v>
      </c>
      <c r="T917" s="89" t="n">
        <v>103.9078</v>
      </c>
      <c r="U917" s="89" t="n">
        <v>122.6992</v>
      </c>
      <c r="V917" s="89" t="n">
        <v>35.01052</v>
      </c>
      <c r="W917" s="89" t="n">
        <v>21.50388</v>
      </c>
      <c r="X917" s="89" t="n"/>
      <c r="Y917" s="89" t="n">
        <v>56.94357</v>
      </c>
      <c r="Z917" s="89" t="n">
        <v>117.4902</v>
      </c>
      <c r="AA917" s="89" t="n">
        <v>103.1342</v>
      </c>
      <c r="AB917" s="89" t="n">
        <v>31.51337</v>
      </c>
      <c r="AC917" s="89" t="n">
        <v>74.7868</v>
      </c>
      <c r="AD917" s="89" t="n"/>
      <c r="AE917" s="89" t="n">
        <v>68.32698000000001</v>
      </c>
      <c r="AF917" s="89" t="n">
        <v>81.6189</v>
      </c>
      <c r="AG917" s="89" t="n">
        <v>107.9098</v>
      </c>
      <c r="AH917" s="89" t="n">
        <v>72.69707</v>
      </c>
      <c r="AI917" s="89" t="n">
        <v>32.22218</v>
      </c>
      <c r="AJ917" s="89" t="n">
        <v>110.0409</v>
      </c>
      <c r="AK917" s="89" t="n">
        <v>36.32851</v>
      </c>
      <c r="AL917" s="89" t="n">
        <v>69.46601</v>
      </c>
      <c r="AM917" s="89" t="n">
        <v>84.20116</v>
      </c>
      <c r="AN917" s="89" t="n"/>
      <c r="AO917" s="89" t="n">
        <v>70.46413</v>
      </c>
      <c r="AP917" s="89" t="n">
        <v>82.08632</v>
      </c>
      <c r="AQ917" s="89" t="n"/>
      <c r="AR917" s="89" t="n"/>
      <c r="AS917" s="89" t="n"/>
      <c r="AT917" s="89" t="n">
        <v>31.21769</v>
      </c>
      <c r="AU917" s="89" t="n"/>
      <c r="AV917" s="89" t="n">
        <v>56.95897</v>
      </c>
      <c r="AW917" s="89" t="n"/>
      <c r="AX917" s="89" t="n">
        <v>36.29697</v>
      </c>
      <c r="AY917" s="89" t="n">
        <v>80.66171</v>
      </c>
    </row>
    <row r="918">
      <c r="A918" t="inlineStr">
        <is>
          <t>1995-05</t>
        </is>
      </c>
      <c r="B918" s="1" t="n">
        <v>34820</v>
      </c>
      <c r="C918" s="88" t="n">
        <v>918</v>
      </c>
      <c r="E918" s="1">
        <f>B918</f>
        <v/>
      </c>
      <c r="F918" s="2">
        <f>B918</f>
        <v/>
      </c>
      <c r="G918" s="88" t="n">
        <v>916</v>
      </c>
      <c r="H918" s="89" t="n"/>
      <c r="I918" s="89" t="n"/>
      <c r="J918" s="89" t="n">
        <v>65.79321</v>
      </c>
      <c r="K918" s="89" t="n">
        <v>77.4592</v>
      </c>
      <c r="L918" s="89" t="n"/>
      <c r="M918" s="89" t="n">
        <v>55.85469</v>
      </c>
      <c r="N918" s="89" t="n">
        <v>70.7941</v>
      </c>
      <c r="O918" s="89" t="n">
        <v>94.37982</v>
      </c>
      <c r="P918" s="89" t="n">
        <v>105.0221</v>
      </c>
      <c r="Q918" s="89" t="n"/>
      <c r="R918" s="89" t="n">
        <v>77.3</v>
      </c>
      <c r="S918" s="89" t="n">
        <v>93.36078000000001</v>
      </c>
      <c r="T918" s="89" t="n">
        <v>103.8101</v>
      </c>
      <c r="U918" s="89" t="n">
        <v>121.9604</v>
      </c>
      <c r="V918" s="89" t="n">
        <v>36.12382</v>
      </c>
      <c r="W918" s="89" t="n">
        <v>22.15731</v>
      </c>
      <c r="X918" s="89" t="n"/>
      <c r="Y918" s="89" t="n">
        <v>57.71402</v>
      </c>
      <c r="Z918" s="89" t="n">
        <v>118.1901</v>
      </c>
      <c r="AA918" s="89" t="n">
        <v>101.4102</v>
      </c>
      <c r="AB918" s="89" t="n">
        <v>31.05141</v>
      </c>
      <c r="AC918" s="89" t="n">
        <v>73.96513</v>
      </c>
      <c r="AD918" s="89" t="n"/>
      <c r="AE918" s="89" t="n">
        <v>67.46507</v>
      </c>
      <c r="AF918" s="89" t="n">
        <v>83.03100000000001</v>
      </c>
      <c r="AG918" s="89" t="n">
        <v>109.1124</v>
      </c>
      <c r="AH918" s="89" t="n">
        <v>72.63046</v>
      </c>
      <c r="AI918" s="89" t="n">
        <v>33.25127</v>
      </c>
      <c r="AJ918" s="89" t="n">
        <v>106.6622</v>
      </c>
      <c r="AK918" s="89" t="n">
        <v>36.86465</v>
      </c>
      <c r="AL918" s="89" t="n">
        <v>70.01299</v>
      </c>
      <c r="AM918" s="89" t="n">
        <v>84.20116</v>
      </c>
      <c r="AN918" s="89" t="n"/>
      <c r="AO918" s="89" t="n">
        <v>70.70349</v>
      </c>
      <c r="AP918" s="89" t="n">
        <v>82.38627</v>
      </c>
      <c r="AQ918" s="89" t="n"/>
      <c r="AR918" s="89" t="n"/>
      <c r="AS918" s="89" t="n"/>
      <c r="AT918" s="89" t="n">
        <v>30.96093</v>
      </c>
      <c r="AU918" s="89" t="n"/>
      <c r="AV918" s="89" t="n">
        <v>59.5472</v>
      </c>
      <c r="AW918" s="89" t="n"/>
      <c r="AX918" s="89" t="n">
        <v>35.997</v>
      </c>
      <c r="AY918" s="89" t="n">
        <v>71.62029</v>
      </c>
    </row>
    <row r="919">
      <c r="A919" t="inlineStr">
        <is>
          <t>1995-06</t>
        </is>
      </c>
      <c r="B919" s="1" t="n">
        <v>34851</v>
      </c>
      <c r="C919" s="88" t="n">
        <v>919</v>
      </c>
      <c r="E919" s="1">
        <f>B919</f>
        <v/>
      </c>
      <c r="F919" s="2">
        <f>B919</f>
        <v/>
      </c>
      <c r="G919" s="88" t="n">
        <v>917</v>
      </c>
      <c r="H919" s="89" t="n"/>
      <c r="I919" s="89" t="n"/>
      <c r="J919" s="89" t="n">
        <v>65.19225</v>
      </c>
      <c r="K919" s="89" t="n">
        <v>77.31723</v>
      </c>
      <c r="L919" s="89" t="n"/>
      <c r="M919" s="89" t="n">
        <v>56.64537</v>
      </c>
      <c r="N919" s="89" t="n">
        <v>69.99415999999999</v>
      </c>
      <c r="O919" s="89" t="n">
        <v>93.18239</v>
      </c>
      <c r="P919" s="89" t="n">
        <v>104.1801</v>
      </c>
      <c r="Q919" s="89" t="n"/>
      <c r="R919" s="89" t="n">
        <v>76.7</v>
      </c>
      <c r="S919" s="89" t="n">
        <v>93.97078</v>
      </c>
      <c r="T919" s="89" t="n">
        <v>103.2242</v>
      </c>
      <c r="U919" s="89" t="n">
        <v>120.9953</v>
      </c>
      <c r="V919" s="89" t="n">
        <v>34.68824</v>
      </c>
      <c r="W919" s="89" t="n">
        <v>21.62268</v>
      </c>
      <c r="X919" s="89" t="n"/>
      <c r="Y919" s="89" t="n">
        <v>56.45328</v>
      </c>
      <c r="Z919" s="89" t="n">
        <v>117.9902</v>
      </c>
      <c r="AA919" s="89" t="n">
        <v>101.3088</v>
      </c>
      <c r="AB919" s="89" t="n">
        <v>32.16032</v>
      </c>
      <c r="AC919" s="89" t="n">
        <v>74.94989</v>
      </c>
      <c r="AD919" s="89" t="n"/>
      <c r="AE919" s="89" t="n">
        <v>67.34688</v>
      </c>
      <c r="AF919" s="89" t="n">
        <v>82.18375</v>
      </c>
      <c r="AG919" s="89" t="n">
        <v>107.0351</v>
      </c>
      <c r="AH919" s="89" t="n">
        <v>72.6683</v>
      </c>
      <c r="AI919" s="89" t="n">
        <v>33.22781</v>
      </c>
      <c r="AJ919" s="89" t="n">
        <v>103.3199</v>
      </c>
      <c r="AK919" s="89" t="n">
        <v>36.90541</v>
      </c>
      <c r="AL919" s="89" t="n">
        <v>74.46693</v>
      </c>
      <c r="AM919" s="89" t="n">
        <v>84.50476</v>
      </c>
      <c r="AN919" s="89" t="n"/>
      <c r="AO919" s="89" t="n">
        <v>70.94343000000001</v>
      </c>
      <c r="AP919" s="89" t="n">
        <v>81.98634</v>
      </c>
      <c r="AQ919" s="89" t="n"/>
      <c r="AR919" s="89" t="n"/>
      <c r="AS919" s="89" t="n"/>
      <c r="AT919" s="89" t="n">
        <v>31.23411</v>
      </c>
      <c r="AU919" s="89" t="n"/>
      <c r="AV919" s="89" t="n">
        <v>59.72966</v>
      </c>
      <c r="AW919" s="89" t="n"/>
      <c r="AX919" s="89" t="n">
        <v>37.1969</v>
      </c>
      <c r="AY919" s="89" t="n">
        <v>76.51846</v>
      </c>
    </row>
    <row r="920">
      <c r="A920" t="inlineStr">
        <is>
          <t>1995-07</t>
        </is>
      </c>
      <c r="B920" s="1" t="n">
        <v>34881</v>
      </c>
      <c r="C920" s="88" t="n">
        <v>920</v>
      </c>
      <c r="E920" s="1">
        <f>B920</f>
        <v/>
      </c>
      <c r="F920" s="2">
        <f>B920</f>
        <v/>
      </c>
      <c r="G920" s="88" t="n">
        <v>918</v>
      </c>
      <c r="H920" s="89" t="n"/>
      <c r="I920" s="89" t="n"/>
      <c r="J920" s="89" t="n">
        <v>63.1477</v>
      </c>
      <c r="K920" s="89" t="n">
        <v>77.07277000000001</v>
      </c>
      <c r="L920" s="89" t="n"/>
      <c r="M920" s="89" t="n">
        <v>54.81801</v>
      </c>
      <c r="N920" s="89" t="n">
        <v>69.79418</v>
      </c>
      <c r="O920" s="89" t="n">
        <v>88.71922000000001</v>
      </c>
      <c r="P920" s="89" t="n">
        <v>103.4891</v>
      </c>
      <c r="Q920" s="89" t="n"/>
      <c r="R920" s="89" t="n">
        <v>78</v>
      </c>
      <c r="S920" s="89" t="n">
        <v>94.41079000000001</v>
      </c>
      <c r="T920" s="89" t="n">
        <v>103.8101</v>
      </c>
      <c r="U920" s="89" t="n">
        <v>121.2344</v>
      </c>
      <c r="V920" s="89" t="n">
        <v>35.2156</v>
      </c>
      <c r="W920" s="89" t="n">
        <v>22.63253</v>
      </c>
      <c r="X920" s="89" t="n"/>
      <c r="Y920" s="89" t="n">
        <v>58.13427</v>
      </c>
      <c r="Z920" s="89" t="n">
        <v>117.8902</v>
      </c>
      <c r="AA920" s="89" t="n">
        <v>99.88905</v>
      </c>
      <c r="AB920" s="89" t="n">
        <v>32.16032</v>
      </c>
      <c r="AC920" s="89" t="n">
        <v>70.84003</v>
      </c>
      <c r="AD920" s="89" t="n"/>
      <c r="AE920" s="89" t="n">
        <v>67.34430999999999</v>
      </c>
      <c r="AF920" s="89" t="n">
        <v>82.74858</v>
      </c>
      <c r="AG920" s="89" t="n">
        <v>111.1897</v>
      </c>
      <c r="AH920" s="89" t="n">
        <v>72.48468</v>
      </c>
      <c r="AI920" s="89" t="n">
        <v>33.84576</v>
      </c>
      <c r="AJ920" s="89" t="n">
        <v>109.8846</v>
      </c>
      <c r="AK920" s="89" t="n">
        <v>36.95717</v>
      </c>
      <c r="AL920" s="89" t="n">
        <v>70.01299</v>
      </c>
      <c r="AM920" s="89" t="n">
        <v>84.50476</v>
      </c>
      <c r="AN920" s="89" t="n"/>
      <c r="AO920" s="89" t="n">
        <v>70.66123</v>
      </c>
      <c r="AP920" s="89" t="n">
        <v>81.98634</v>
      </c>
      <c r="AQ920" s="89" t="n"/>
      <c r="AR920" s="89" t="n"/>
      <c r="AS920" s="89" t="n"/>
      <c r="AT920" s="89" t="n">
        <v>31.98158</v>
      </c>
      <c r="AU920" s="89" t="n"/>
      <c r="AV920" s="89" t="n">
        <v>59.95563</v>
      </c>
      <c r="AW920" s="89" t="n"/>
      <c r="AX920" s="89" t="n">
        <v>37.1969</v>
      </c>
      <c r="AY920" s="89" t="n">
        <v>74.62239</v>
      </c>
    </row>
    <row r="921">
      <c r="A921" t="inlineStr">
        <is>
          <t>1995-08</t>
        </is>
      </c>
      <c r="B921" s="1" t="n">
        <v>34912</v>
      </c>
      <c r="C921" s="88" t="n">
        <v>921</v>
      </c>
      <c r="E921" s="1">
        <f>B921</f>
        <v/>
      </c>
      <c r="F921" s="2">
        <f>B921</f>
        <v/>
      </c>
      <c r="G921" s="88" t="n">
        <v>919</v>
      </c>
      <c r="H921" s="89" t="n"/>
      <c r="I921" s="89" t="n"/>
      <c r="J921" s="89" t="n">
        <v>64.27628</v>
      </c>
      <c r="K921" s="89" t="n">
        <v>77.24370999999999</v>
      </c>
      <c r="L921" s="89" t="n"/>
      <c r="M921" s="89" t="n">
        <v>56.94618</v>
      </c>
      <c r="N921" s="89" t="n">
        <v>68.99424999999999</v>
      </c>
      <c r="O921" s="89" t="n">
        <v>91.22295</v>
      </c>
      <c r="P921" s="89" t="n">
        <v>103.3561</v>
      </c>
      <c r="Q921" s="89" t="n"/>
      <c r="R921" s="89" t="n">
        <v>78.40000000000001</v>
      </c>
      <c r="S921" s="89" t="n">
        <v>93.84078</v>
      </c>
      <c r="T921" s="89" t="n">
        <v>104.0054</v>
      </c>
      <c r="U921" s="89" t="n">
        <v>122.0381</v>
      </c>
      <c r="V921" s="89" t="n">
        <v>35.47927</v>
      </c>
      <c r="W921" s="89" t="n">
        <v>23.16716</v>
      </c>
      <c r="X921" s="89" t="n"/>
      <c r="Y921" s="89" t="n">
        <v>58.48448</v>
      </c>
      <c r="Z921" s="89" t="n">
        <v>119.99</v>
      </c>
      <c r="AA921" s="89" t="n">
        <v>101.4102</v>
      </c>
      <c r="AB921" s="89" t="n">
        <v>32.34531</v>
      </c>
      <c r="AC921" s="89" t="n">
        <v>78.21372</v>
      </c>
      <c r="AD921" s="89" t="n"/>
      <c r="AE921" s="89" t="n">
        <v>67.83338000000001</v>
      </c>
      <c r="AF921" s="89" t="n">
        <v>83.97239999999999</v>
      </c>
      <c r="AG921" s="89" t="n">
        <v>108.6751</v>
      </c>
      <c r="AH921" s="89" t="n">
        <v>73.05135</v>
      </c>
      <c r="AI921" s="89" t="n">
        <v>33.43531</v>
      </c>
      <c r="AJ921" s="89" t="n">
        <v>110.3184</v>
      </c>
      <c r="AK921" s="89" t="n">
        <v>37.45023</v>
      </c>
      <c r="AL921" s="89" t="n">
        <v>67.6688</v>
      </c>
      <c r="AM921" s="89" t="n">
        <v>84.60596</v>
      </c>
      <c r="AN921" s="89" t="n"/>
      <c r="AO921" s="89" t="n">
        <v>71.55315</v>
      </c>
      <c r="AP921" s="89" t="n">
        <v>81.98634</v>
      </c>
      <c r="AQ921" s="89" t="n"/>
      <c r="AR921" s="89" t="n"/>
      <c r="AS921" s="89" t="n"/>
      <c r="AT921" s="89" t="n">
        <v>32.06753</v>
      </c>
      <c r="AU921" s="89" t="n"/>
      <c r="AV921" s="89" t="n">
        <v>59.4563</v>
      </c>
      <c r="AW921" s="89" t="n"/>
      <c r="AX921" s="89" t="n">
        <v>37.79685</v>
      </c>
      <c r="AY921" s="89" t="n">
        <v>72.91943999999999</v>
      </c>
    </row>
    <row r="922">
      <c r="A922" t="inlineStr">
        <is>
          <t>1995-09</t>
        </is>
      </c>
      <c r="B922" s="1" t="n">
        <v>34943</v>
      </c>
      <c r="C922" s="88" t="n">
        <v>922</v>
      </c>
      <c r="E922" s="1">
        <f>B922</f>
        <v/>
      </c>
      <c r="F922" s="2">
        <f>B922</f>
        <v/>
      </c>
      <c r="G922" s="88" t="n">
        <v>920</v>
      </c>
      <c r="H922" s="89" t="n"/>
      <c r="I922" s="89" t="n"/>
      <c r="J922" s="89" t="n">
        <v>63.32169</v>
      </c>
      <c r="K922" s="89" t="n">
        <v>76.99925</v>
      </c>
      <c r="L922" s="89" t="n"/>
      <c r="M922" s="89" t="n">
        <v>56.31569</v>
      </c>
      <c r="N922" s="89" t="n">
        <v>70.39413</v>
      </c>
      <c r="O922" s="89" t="n">
        <v>91.76723</v>
      </c>
      <c r="P922" s="89" t="n">
        <v>104.0101</v>
      </c>
      <c r="Q922" s="89" t="n"/>
      <c r="R922" s="89" t="n">
        <v>76.3</v>
      </c>
      <c r="S922" s="89" t="n">
        <v>93.98078</v>
      </c>
      <c r="T922" s="89" t="n">
        <v>104.2984</v>
      </c>
      <c r="U922" s="89" t="n">
        <v>122.7491</v>
      </c>
      <c r="V922" s="89" t="n">
        <v>35.36209</v>
      </c>
      <c r="W922" s="89" t="n">
        <v>23.04835</v>
      </c>
      <c r="X922" s="89" t="n"/>
      <c r="Y922" s="89" t="n">
        <v>57.99419</v>
      </c>
      <c r="Z922" s="89" t="n">
        <v>119.1901</v>
      </c>
      <c r="AA922" s="89" t="n">
        <v>99.78764</v>
      </c>
      <c r="AB922" s="89" t="n">
        <v>32.06733</v>
      </c>
      <c r="AC922" s="89" t="n">
        <v>76.24799</v>
      </c>
      <c r="AD922" s="89" t="n"/>
      <c r="AE922" s="89" t="n">
        <v>68.5262</v>
      </c>
      <c r="AF922" s="89" t="n">
        <v>84.06654</v>
      </c>
      <c r="AG922" s="89" t="n">
        <v>111.7364</v>
      </c>
      <c r="AH922" s="89" t="n">
        <v>73.00841</v>
      </c>
      <c r="AI922" s="89" t="n">
        <v>33.95824</v>
      </c>
      <c r="AJ922" s="89" t="n">
        <v>107.6935</v>
      </c>
      <c r="AK922" s="89" t="n">
        <v>37.20453</v>
      </c>
      <c r="AL922" s="89" t="n">
        <v>69.07531</v>
      </c>
      <c r="AM922" s="89" t="n">
        <v>84.20116</v>
      </c>
      <c r="AN922" s="89" t="n"/>
      <c r="AO922" s="89" t="n">
        <v>71.84007</v>
      </c>
      <c r="AP922" s="89" t="n">
        <v>82.38627</v>
      </c>
      <c r="AQ922" s="89" t="n"/>
      <c r="AR922" s="89" t="n"/>
      <c r="AS922" s="89" t="n"/>
      <c r="AT922" s="89" t="n">
        <v>33.27685</v>
      </c>
      <c r="AU922" s="89" t="n"/>
      <c r="AV922" s="89" t="n">
        <v>58.98775</v>
      </c>
      <c r="AW922" s="89" t="n"/>
      <c r="AX922" s="89" t="n">
        <v>36.09699</v>
      </c>
      <c r="AY922" s="89" t="n">
        <v>73.5778</v>
      </c>
    </row>
    <row r="923">
      <c r="A923" t="inlineStr">
        <is>
          <t>1995-10</t>
        </is>
      </c>
      <c r="B923" s="1" t="n">
        <v>34973</v>
      </c>
      <c r="C923" s="88" t="n">
        <v>923</v>
      </c>
      <c r="E923" s="1">
        <f>B923</f>
        <v/>
      </c>
      <c r="F923" s="2">
        <f>B923</f>
        <v/>
      </c>
      <c r="G923" s="88" t="n">
        <v>921</v>
      </c>
      <c r="H923" s="89" t="n"/>
      <c r="I923" s="89" t="n"/>
      <c r="J923" s="89" t="n">
        <v>64.39091999999999</v>
      </c>
      <c r="K923" s="89" t="n">
        <v>76.96014</v>
      </c>
      <c r="L923" s="89" t="n"/>
      <c r="M923" s="89" t="n">
        <v>57.58918</v>
      </c>
      <c r="N923" s="89" t="n">
        <v>68.59428</v>
      </c>
      <c r="O923" s="89" t="n">
        <v>93.50896</v>
      </c>
      <c r="P923" s="89" t="n">
        <v>102.5911</v>
      </c>
      <c r="Q923" s="89" t="n"/>
      <c r="R923" s="89" t="n">
        <v>75.59999999999999</v>
      </c>
      <c r="S923" s="89" t="n">
        <v>92.17077</v>
      </c>
      <c r="T923" s="89" t="n">
        <v>103.9078</v>
      </c>
      <c r="U923" s="89" t="n">
        <v>123.8819</v>
      </c>
      <c r="V923" s="89" t="n">
        <v>35.30349</v>
      </c>
      <c r="W923" s="89" t="n">
        <v>23.70179</v>
      </c>
      <c r="X923" s="89" t="n"/>
      <c r="Y923" s="89" t="n">
        <v>58.41444</v>
      </c>
      <c r="Z923" s="89" t="n">
        <v>119.99</v>
      </c>
      <c r="AA923" s="89" t="n">
        <v>101.3088</v>
      </c>
      <c r="AB923" s="89" t="n">
        <v>32.25231</v>
      </c>
      <c r="AC923" s="89" t="n">
        <v>76.44471</v>
      </c>
      <c r="AD923" s="89" t="n"/>
      <c r="AE923" s="89" t="n">
        <v>64.70361</v>
      </c>
      <c r="AF923" s="89" t="n">
        <v>84.06654</v>
      </c>
      <c r="AG923" s="89" t="n">
        <v>111.0804</v>
      </c>
      <c r="AH923" s="89" t="n">
        <v>72.75790000000001</v>
      </c>
      <c r="AI923" s="89" t="n">
        <v>33.68149</v>
      </c>
      <c r="AJ923" s="89" t="n">
        <v>114.2644</v>
      </c>
      <c r="AK923" s="89" t="n">
        <v>37.40895</v>
      </c>
      <c r="AL923" s="89" t="n">
        <v>66.57483999999999</v>
      </c>
      <c r="AM923" s="89" t="n">
        <v>84.90958000000001</v>
      </c>
      <c r="AN923" s="89" t="n"/>
      <c r="AO923" s="89" t="n">
        <v>71.75169</v>
      </c>
      <c r="AP923" s="89" t="n">
        <v>81.38643999999999</v>
      </c>
      <c r="AQ923" s="89" t="n"/>
      <c r="AR923" s="89" t="n"/>
      <c r="AS923" s="89" t="n"/>
      <c r="AT923" s="89" t="n">
        <v>32.37823</v>
      </c>
      <c r="AU923" s="89" t="n"/>
      <c r="AV923" s="89" t="n">
        <v>58.3395</v>
      </c>
      <c r="AW923" s="89" t="n"/>
      <c r="AX923" s="89" t="n">
        <v>35.09708</v>
      </c>
      <c r="AY923" s="89" t="n">
        <v>74.51705</v>
      </c>
    </row>
    <row r="924">
      <c r="A924" t="inlineStr">
        <is>
          <t>1995-11</t>
        </is>
      </c>
      <c r="B924" s="1" t="n">
        <v>35004</v>
      </c>
      <c r="C924" s="88" t="n">
        <v>924</v>
      </c>
      <c r="E924" s="1">
        <f>B924</f>
        <v/>
      </c>
      <c r="F924" s="2">
        <f>B924</f>
        <v/>
      </c>
      <c r="G924" s="88" t="n">
        <v>922</v>
      </c>
      <c r="H924" s="89" t="n"/>
      <c r="I924" s="89" t="n"/>
      <c r="J924" s="89" t="n">
        <v>64.07151</v>
      </c>
      <c r="K924" s="89" t="n">
        <v>77.15571</v>
      </c>
      <c r="L924" s="89" t="n"/>
      <c r="M924" s="89" t="n">
        <v>58.19875</v>
      </c>
      <c r="N924" s="89" t="n">
        <v>68.99424999999999</v>
      </c>
      <c r="O924" s="89" t="n">
        <v>95.90383</v>
      </c>
      <c r="P924" s="89" t="n">
        <v>103.4831</v>
      </c>
      <c r="Q924" s="89" t="n"/>
      <c r="R924" s="89" t="n">
        <v>75.7</v>
      </c>
      <c r="S924" s="89" t="n">
        <v>92.13077</v>
      </c>
      <c r="T924" s="89" t="n">
        <v>104.4937</v>
      </c>
      <c r="U924" s="89" t="n">
        <v>122.7861</v>
      </c>
      <c r="V924" s="89" t="n">
        <v>34.42456</v>
      </c>
      <c r="W924" s="89" t="n">
        <v>23.58298</v>
      </c>
      <c r="X924" s="89" t="n"/>
      <c r="Y924" s="89" t="n">
        <v>58.34439</v>
      </c>
      <c r="Z924" s="89" t="n">
        <v>119.99</v>
      </c>
      <c r="AA924" s="89" t="n">
        <v>102.1201</v>
      </c>
      <c r="AB924" s="89" t="n">
        <v>32.4373</v>
      </c>
      <c r="AC924" s="89" t="n">
        <v>74.76235</v>
      </c>
      <c r="AD924" s="89" t="n"/>
      <c r="AE924" s="89" t="n">
        <v>69.35827999999999</v>
      </c>
      <c r="AF924" s="89" t="n">
        <v>84.25481000000001</v>
      </c>
      <c r="AG924" s="89" t="n">
        <v>112.8297</v>
      </c>
      <c r="AH924" s="89" t="n">
        <v>73.41253</v>
      </c>
      <c r="AI924" s="89" t="n">
        <v>34.92795</v>
      </c>
      <c r="AJ924" s="89" t="n">
        <v>110.1782</v>
      </c>
      <c r="AK924" s="89" t="n">
        <v>37.2653</v>
      </c>
      <c r="AL924" s="89" t="n">
        <v>68.76276</v>
      </c>
      <c r="AM924" s="89" t="n">
        <v>85.01078</v>
      </c>
      <c r="AN924" s="89" t="n"/>
      <c r="AO924" s="89" t="n">
        <v>71.93227</v>
      </c>
      <c r="AP924" s="89" t="n">
        <v>81.68639</v>
      </c>
      <c r="AQ924" s="89" t="n"/>
      <c r="AR924" s="89" t="n"/>
      <c r="AS924" s="89" t="n"/>
      <c r="AT924" s="89" t="n">
        <v>33.19024</v>
      </c>
      <c r="AU924" s="89" t="n"/>
      <c r="AV924" s="89" t="n">
        <v>56.75374</v>
      </c>
      <c r="AW924" s="89" t="n"/>
      <c r="AX924" s="89" t="n">
        <v>38.59678</v>
      </c>
      <c r="AY924" s="89" t="n">
        <v>74.99985</v>
      </c>
    </row>
    <row r="925">
      <c r="A925" t="inlineStr">
        <is>
          <t>1995-12</t>
        </is>
      </c>
      <c r="B925" s="1" t="n">
        <v>35034</v>
      </c>
      <c r="C925" s="88" t="n">
        <v>925</v>
      </c>
      <c r="E925" s="1">
        <f>B925</f>
        <v/>
      </c>
      <c r="F925" s="2">
        <f>B925</f>
        <v/>
      </c>
      <c r="G925" s="88" t="n">
        <v>923</v>
      </c>
      <c r="H925" s="89" t="n"/>
      <c r="I925" s="89" t="n"/>
      <c r="J925" s="89" t="n">
        <v>64.02808</v>
      </c>
      <c r="K925" s="89" t="n">
        <v>76.79355</v>
      </c>
      <c r="L925" s="89" t="n"/>
      <c r="M925" s="89" t="n">
        <v>56.96864</v>
      </c>
      <c r="N925" s="89" t="n">
        <v>68.99424999999999</v>
      </c>
      <c r="O925" s="89" t="n">
        <v>99.27843</v>
      </c>
      <c r="P925" s="89" t="n">
        <v>104.8041</v>
      </c>
      <c r="Q925" s="89" t="n"/>
      <c r="R925" s="89" t="n">
        <v>76.59999999999999</v>
      </c>
      <c r="S925" s="89" t="n">
        <v>94.09078</v>
      </c>
      <c r="T925" s="89" t="n">
        <v>105.0797</v>
      </c>
      <c r="U925" s="89" t="n">
        <v>124.9052</v>
      </c>
      <c r="V925" s="89" t="n">
        <v>35.44998</v>
      </c>
      <c r="W925" s="89" t="n">
        <v>24.35522</v>
      </c>
      <c r="X925" s="89" t="n"/>
      <c r="Y925" s="89" t="n">
        <v>59.60514</v>
      </c>
      <c r="Z925" s="89" t="n">
        <v>121.9898</v>
      </c>
      <c r="AA925" s="89" t="n">
        <v>103.4384</v>
      </c>
      <c r="AB925" s="89" t="n">
        <v>33.17624</v>
      </c>
      <c r="AC925" s="89" t="n">
        <v>74.65872</v>
      </c>
      <c r="AD925" s="89" t="n"/>
      <c r="AE925" s="89" t="n">
        <v>73.44743</v>
      </c>
      <c r="AF925" s="89" t="n">
        <v>86.51416</v>
      </c>
      <c r="AG925" s="89" t="n">
        <v>113.8137</v>
      </c>
      <c r="AH925" s="89" t="n">
        <v>74.16468</v>
      </c>
      <c r="AI925" s="89" t="n">
        <v>34.60751</v>
      </c>
      <c r="AJ925" s="89" t="n">
        <v>116.8654</v>
      </c>
      <c r="AK925" s="89" t="n">
        <v>37.36768</v>
      </c>
      <c r="AL925" s="89" t="n">
        <v>67.43438</v>
      </c>
      <c r="AM925" s="89" t="n">
        <v>83.99875</v>
      </c>
      <c r="AN925" s="89" t="n"/>
      <c r="AO925" s="89" t="n">
        <v>72.20679</v>
      </c>
      <c r="AP925" s="89" t="n">
        <v>82.68622000000001</v>
      </c>
      <c r="AQ925" s="89" t="n"/>
      <c r="AR925" s="89" t="n"/>
      <c r="AS925" s="89" t="n"/>
      <c r="AT925" s="89" t="n">
        <v>33.75653</v>
      </c>
      <c r="AU925" s="89" t="n"/>
      <c r="AV925" s="89" t="n">
        <v>56.36494</v>
      </c>
      <c r="AW925" s="89" t="n"/>
      <c r="AX925" s="89" t="n">
        <v>40.19665</v>
      </c>
      <c r="AY925" s="89" t="n">
        <v>75.83376</v>
      </c>
    </row>
    <row r="926">
      <c r="A926" t="inlineStr">
        <is>
          <t>1996-01</t>
        </is>
      </c>
      <c r="B926" s="1" t="n">
        <v>35065</v>
      </c>
      <c r="C926" s="88" t="n">
        <v>926</v>
      </c>
      <c r="E926" s="1">
        <f>B926</f>
        <v/>
      </c>
      <c r="F926" s="2">
        <f>B926</f>
        <v/>
      </c>
      <c r="G926" s="88" t="n">
        <v>924</v>
      </c>
      <c r="H926" s="89" t="n"/>
      <c r="I926" s="89" t="n"/>
      <c r="J926" s="89" t="n">
        <v>63.95581</v>
      </c>
      <c r="K926" s="89" t="n">
        <v>77.5425</v>
      </c>
      <c r="L926" s="89" t="n"/>
      <c r="M926" s="89" t="n">
        <v>59.41671</v>
      </c>
      <c r="N926" s="89" t="n">
        <v>69.29423</v>
      </c>
      <c r="O926" s="89" t="n">
        <v>89.69893999999999</v>
      </c>
      <c r="P926" s="89" t="n">
        <v>100.6371</v>
      </c>
      <c r="Q926" s="89" t="n"/>
      <c r="R926" s="89" t="n">
        <v>76.8</v>
      </c>
      <c r="S926" s="89" t="n">
        <v>93.26078</v>
      </c>
      <c r="T926" s="89" t="n">
        <v>104.5914</v>
      </c>
      <c r="U926" s="89" t="n">
        <v>123.2899</v>
      </c>
      <c r="V926" s="89" t="n">
        <v>35.157</v>
      </c>
      <c r="W926" s="89" t="n">
        <v>23.87999</v>
      </c>
      <c r="X926" s="89" t="n"/>
      <c r="Y926" s="89" t="n">
        <v>59.25493</v>
      </c>
      <c r="Z926" s="89" t="n">
        <v>120.19</v>
      </c>
      <c r="AA926" s="89" t="n">
        <v>101.9173</v>
      </c>
      <c r="AB926" s="89" t="n">
        <v>33.08424</v>
      </c>
      <c r="AC926" s="89" t="n">
        <v>75.05062</v>
      </c>
      <c r="AD926" s="89" t="n"/>
      <c r="AE926" s="89" t="n">
        <v>75.06638</v>
      </c>
      <c r="AF926" s="89" t="n">
        <v>85.47862000000001</v>
      </c>
      <c r="AG926" s="89" t="n">
        <v>114.907</v>
      </c>
      <c r="AH926" s="89" t="n">
        <v>73.6451</v>
      </c>
      <c r="AI926" s="89" t="n">
        <v>35.00495</v>
      </c>
      <c r="AJ926" s="89" t="n">
        <v>112.5323</v>
      </c>
      <c r="AK926" s="89" t="n">
        <v>36.71073</v>
      </c>
      <c r="AL926" s="89" t="n">
        <v>68.76276</v>
      </c>
      <c r="AM926" s="89" t="n">
        <v>84.20116</v>
      </c>
      <c r="AN926" s="89" t="n"/>
      <c r="AO926" s="89" t="n">
        <v>71.73479</v>
      </c>
      <c r="AP926" s="89" t="n">
        <v>81.88634999999999</v>
      </c>
      <c r="AQ926" s="89" t="n"/>
      <c r="AR926" s="89" t="n"/>
      <c r="AS926" s="89" t="n"/>
      <c r="AT926" s="89" t="n">
        <v>34.13619</v>
      </c>
      <c r="AU926" s="89" t="n"/>
      <c r="AV926" s="89" t="n">
        <v>56.45691</v>
      </c>
      <c r="AW926" s="89" t="n"/>
      <c r="AX926" s="89" t="n">
        <v>38.89676</v>
      </c>
      <c r="AY926" s="89" t="n">
        <v>74.95596</v>
      </c>
    </row>
    <row r="927">
      <c r="A927" t="inlineStr">
        <is>
          <t>1996-02</t>
        </is>
      </c>
      <c r="B927" s="1" t="n">
        <v>35096</v>
      </c>
      <c r="C927" s="88" t="n">
        <v>927</v>
      </c>
      <c r="E927" s="1">
        <f>B927</f>
        <v/>
      </c>
      <c r="F927" s="2">
        <f>B927</f>
        <v/>
      </c>
      <c r="G927" s="88" t="n">
        <v>925</v>
      </c>
      <c r="H927" s="89" t="n"/>
      <c r="I927" s="89" t="n"/>
      <c r="J927" s="89" t="n">
        <v>63.03745</v>
      </c>
      <c r="K927" s="89" t="n">
        <v>77.52294000000001</v>
      </c>
      <c r="L927" s="89" t="n"/>
      <c r="M927" s="89" t="n">
        <v>60.18473</v>
      </c>
      <c r="N927" s="89" t="n">
        <v>68.69427</v>
      </c>
      <c r="O927" s="89" t="n">
        <v>94.7064</v>
      </c>
      <c r="P927" s="89" t="n">
        <v>101.0111</v>
      </c>
      <c r="Q927" s="89" t="n"/>
      <c r="R927" s="89" t="n">
        <v>77.90000000000001</v>
      </c>
      <c r="S927" s="89" t="n">
        <v>93.53077999999999</v>
      </c>
      <c r="T927" s="89" t="n">
        <v>105.3726</v>
      </c>
      <c r="U927" s="89" t="n">
        <v>122.6694</v>
      </c>
      <c r="V927" s="89" t="n">
        <v>35.53787</v>
      </c>
      <c r="W927" s="89" t="n">
        <v>22.92955</v>
      </c>
      <c r="X927" s="89" t="n"/>
      <c r="Y927" s="89" t="n">
        <v>59.67518</v>
      </c>
      <c r="Z927" s="89" t="n">
        <v>118.8901</v>
      </c>
      <c r="AA927" s="89" t="n">
        <v>101.8158</v>
      </c>
      <c r="AB927" s="89" t="n">
        <v>33.82318</v>
      </c>
      <c r="AC927" s="89" t="n">
        <v>73.33813000000001</v>
      </c>
      <c r="AD927" s="89" t="n"/>
      <c r="AE927" s="89" t="n">
        <v>74.74236000000001</v>
      </c>
      <c r="AF927" s="89" t="n">
        <v>85.76103999999999</v>
      </c>
      <c r="AG927" s="89" t="n">
        <v>118.7336</v>
      </c>
      <c r="AH927" s="89" t="n">
        <v>73.95702</v>
      </c>
      <c r="AI927" s="89" t="n">
        <v>34.54006</v>
      </c>
      <c r="AJ927" s="89" t="n">
        <v>112.4423</v>
      </c>
      <c r="AK927" s="89" t="n">
        <v>36.52022</v>
      </c>
      <c r="AL927" s="89" t="n">
        <v>67.43438</v>
      </c>
      <c r="AM927" s="89" t="n">
        <v>84.90958000000001</v>
      </c>
      <c r="AN927" s="89" t="n"/>
      <c r="AO927" s="89" t="n">
        <v>72.83965999999999</v>
      </c>
      <c r="AP927" s="89" t="n">
        <v>81.5864</v>
      </c>
      <c r="AQ927" s="89" t="n"/>
      <c r="AR927" s="89" t="n"/>
      <c r="AS927" s="89" t="n"/>
      <c r="AT927" s="89" t="n">
        <v>33.49266</v>
      </c>
      <c r="AU927" s="89" t="n"/>
      <c r="AV927" s="89" t="n">
        <v>55.57853</v>
      </c>
      <c r="AW927" s="89" t="n"/>
      <c r="AX927" s="89" t="n">
        <v>36.19698</v>
      </c>
      <c r="AY927" s="89" t="n">
        <v>74.56094</v>
      </c>
    </row>
    <row r="928">
      <c r="A928" t="inlineStr">
        <is>
          <t>1996-03</t>
        </is>
      </c>
      <c r="B928" s="1" t="n">
        <v>35125</v>
      </c>
      <c r="C928" s="88" t="n">
        <v>928</v>
      </c>
      <c r="E928" s="1">
        <f>B928</f>
        <v/>
      </c>
      <c r="F928" s="2">
        <f>B928</f>
        <v/>
      </c>
      <c r="G928" s="88" t="n">
        <v>926</v>
      </c>
      <c r="H928" s="89" t="n"/>
      <c r="I928" s="89" t="n"/>
      <c r="J928" s="89" t="n">
        <v>63.04628</v>
      </c>
      <c r="K928" s="89" t="n">
        <v>77.03366</v>
      </c>
      <c r="L928" s="89" t="n"/>
      <c r="M928" s="89" t="n">
        <v>58.68552</v>
      </c>
      <c r="N928" s="89" t="n">
        <v>68.79427</v>
      </c>
      <c r="O928" s="89" t="n">
        <v>96.12155</v>
      </c>
      <c r="P928" s="89" t="n">
        <v>101.8891</v>
      </c>
      <c r="Q928" s="89" t="n"/>
      <c r="R928" s="89" t="n">
        <v>76.8</v>
      </c>
      <c r="S928" s="89" t="n">
        <v>94.18079</v>
      </c>
      <c r="T928" s="89" t="n">
        <v>105.4703</v>
      </c>
      <c r="U928" s="89" t="n">
        <v>123.1389</v>
      </c>
      <c r="V928" s="89" t="n">
        <v>36.09452</v>
      </c>
      <c r="W928" s="89" t="n">
        <v>23.22656</v>
      </c>
      <c r="X928" s="89" t="n"/>
      <c r="Y928" s="89" t="n">
        <v>60.02539</v>
      </c>
      <c r="Z928" s="89" t="n">
        <v>117.6902</v>
      </c>
      <c r="AA928" s="89" t="n">
        <v>101.7144</v>
      </c>
      <c r="AB928" s="89" t="n">
        <v>33.82318</v>
      </c>
      <c r="AC928" s="89" t="n">
        <v>78.81944</v>
      </c>
      <c r="AD928" s="89" t="n"/>
      <c r="AE928" s="89" t="n">
        <v>75.25031</v>
      </c>
      <c r="AF928" s="89" t="n">
        <v>86.89072</v>
      </c>
      <c r="AG928" s="89" t="n">
        <v>113.595</v>
      </c>
      <c r="AH928" s="89" t="n">
        <v>73.9534</v>
      </c>
      <c r="AI928" s="89" t="n">
        <v>35.86137</v>
      </c>
      <c r="AJ928" s="89" t="n">
        <v>113.1797</v>
      </c>
      <c r="AK928" s="89" t="n">
        <v>36.32024</v>
      </c>
      <c r="AL928" s="89" t="n">
        <v>68.60648</v>
      </c>
      <c r="AM928" s="89" t="n">
        <v>83.39153</v>
      </c>
      <c r="AN928" s="89" t="n"/>
      <c r="AO928" s="89" t="n">
        <v>72.77118</v>
      </c>
      <c r="AP928" s="89" t="n">
        <v>81.5864</v>
      </c>
      <c r="AQ928" s="89" t="n"/>
      <c r="AR928" s="89" t="n"/>
      <c r="AS928" s="89" t="n"/>
      <c r="AT928" s="89" t="n">
        <v>34.96182</v>
      </c>
      <c r="AU928" s="89" t="n"/>
      <c r="AV928" s="89" t="n">
        <v>56.27438</v>
      </c>
      <c r="AW928" s="89" t="n"/>
      <c r="AX928" s="89" t="n">
        <v>36.29697</v>
      </c>
      <c r="AY928" s="89" t="n">
        <v>74.43805</v>
      </c>
    </row>
    <row r="929">
      <c r="A929" t="inlineStr">
        <is>
          <t>1996-04</t>
        </is>
      </c>
      <c r="B929" s="1" t="n">
        <v>35156</v>
      </c>
      <c r="C929" s="88" t="n">
        <v>929</v>
      </c>
      <c r="E929" s="1">
        <f>B929</f>
        <v/>
      </c>
      <c r="F929" s="2">
        <f>B929</f>
        <v/>
      </c>
      <c r="G929" s="88" t="n">
        <v>927</v>
      </c>
      <c r="H929" s="89" t="n"/>
      <c r="I929" s="89" t="n"/>
      <c r="J929" s="89" t="n">
        <v>64.60173</v>
      </c>
      <c r="K929" s="89" t="n">
        <v>77.4248</v>
      </c>
      <c r="L929" s="89" t="n"/>
      <c r="M929" s="89" t="n">
        <v>56.79007</v>
      </c>
      <c r="N929" s="89" t="n">
        <v>68.79427</v>
      </c>
      <c r="O929" s="89" t="n">
        <v>98.29871</v>
      </c>
      <c r="P929" s="89" t="n">
        <v>100.3831</v>
      </c>
      <c r="Q929" s="89" t="n"/>
      <c r="R929" s="89" t="n">
        <v>75.7</v>
      </c>
      <c r="S929" s="89" t="n">
        <v>93.26078</v>
      </c>
      <c r="T929" s="89" t="n">
        <v>104.2007</v>
      </c>
      <c r="U929" s="89" t="n">
        <v>122.4908</v>
      </c>
      <c r="V929" s="89" t="n">
        <v>35.2449</v>
      </c>
      <c r="W929" s="89" t="n">
        <v>23.34537</v>
      </c>
      <c r="X929" s="89" t="n"/>
      <c r="Y929" s="89" t="n">
        <v>60.02539</v>
      </c>
      <c r="Z929" s="89" t="n">
        <v>116.3903</v>
      </c>
      <c r="AA929" s="89" t="n">
        <v>102.0187</v>
      </c>
      <c r="AB929" s="89" t="n">
        <v>34.8401</v>
      </c>
      <c r="AC929" s="89" t="n">
        <v>73.8944</v>
      </c>
      <c r="AD929" s="89" t="n"/>
      <c r="AE929" s="89" t="n">
        <v>75.84956</v>
      </c>
      <c r="AF929" s="89" t="n">
        <v>85.00793</v>
      </c>
      <c r="AG929" s="89" t="n">
        <v>114.4697</v>
      </c>
      <c r="AH929" s="89" t="n">
        <v>74.16282</v>
      </c>
      <c r="AI929" s="89" t="n">
        <v>35.83203</v>
      </c>
      <c r="AJ929" s="89" t="n">
        <v>113.2389</v>
      </c>
      <c r="AK929" s="89" t="n">
        <v>36.03833</v>
      </c>
      <c r="AL929" s="89" t="n">
        <v>75.01391</v>
      </c>
      <c r="AM929" s="89" t="n">
        <v>83.39153</v>
      </c>
      <c r="AN929" s="89" t="n"/>
      <c r="AO929" s="89" t="n">
        <v>73.43691</v>
      </c>
      <c r="AP929" s="89" t="n">
        <v>80.98650000000001</v>
      </c>
      <c r="AQ929" s="89" t="n"/>
      <c r="AR929" s="89" t="n"/>
      <c r="AS929" s="89" t="n"/>
      <c r="AT929" s="89" t="n">
        <v>34.58219</v>
      </c>
      <c r="AU929" s="89" t="n"/>
      <c r="AV929" s="89" t="n">
        <v>56.60393</v>
      </c>
      <c r="AW929" s="89" t="n"/>
      <c r="AX929" s="89" t="n">
        <v>37.89684</v>
      </c>
      <c r="AY929" s="89" t="n">
        <v>76.37801</v>
      </c>
    </row>
    <row r="930">
      <c r="A930" t="inlineStr">
        <is>
          <t>1996-05</t>
        </is>
      </c>
      <c r="B930" s="1" t="n">
        <v>35186</v>
      </c>
      <c r="C930" s="88" t="n">
        <v>930</v>
      </c>
      <c r="E930" s="1">
        <f>B930</f>
        <v/>
      </c>
      <c r="F930" s="2">
        <f>B930</f>
        <v/>
      </c>
      <c r="G930" s="88" t="n">
        <v>928</v>
      </c>
      <c r="H930" s="89" t="n"/>
      <c r="I930" s="89" t="n"/>
      <c r="J930" s="89" t="n">
        <v>64.53849</v>
      </c>
      <c r="K930" s="89" t="n">
        <v>77.81629</v>
      </c>
      <c r="L930" s="89" t="n"/>
      <c r="M930" s="89" t="n">
        <v>56.64689</v>
      </c>
      <c r="N930" s="89" t="n">
        <v>69.39422</v>
      </c>
      <c r="O930" s="89" t="n">
        <v>95.14183</v>
      </c>
      <c r="P930" s="89" t="n">
        <v>102.0161</v>
      </c>
      <c r="Q930" s="89" t="n"/>
      <c r="R930" s="89" t="n">
        <v>78.09999999999999</v>
      </c>
      <c r="S930" s="89" t="n">
        <v>95.11078999999999</v>
      </c>
      <c r="T930" s="89" t="n">
        <v>104.982</v>
      </c>
      <c r="U930" s="89" t="n">
        <v>124.1624</v>
      </c>
      <c r="V930" s="89" t="n">
        <v>36.3289</v>
      </c>
      <c r="W930" s="89" t="n">
        <v>24.53343</v>
      </c>
      <c r="X930" s="89" t="n"/>
      <c r="Y930" s="89" t="n">
        <v>59.5351</v>
      </c>
      <c r="Z930" s="89" t="n">
        <v>116.2903</v>
      </c>
      <c r="AA930" s="89" t="n">
        <v>102.6271</v>
      </c>
      <c r="AB930" s="89" t="n">
        <v>34.93209</v>
      </c>
      <c r="AC930" s="89" t="n">
        <v>73.38663</v>
      </c>
      <c r="AD930" s="89" t="n"/>
      <c r="AE930" s="89" t="n">
        <v>76.27209000000001</v>
      </c>
      <c r="AF930" s="89" t="n">
        <v>85.19620999999999</v>
      </c>
      <c r="AG930" s="89" t="n">
        <v>111.6271</v>
      </c>
      <c r="AH930" s="89" t="n">
        <v>74.61981</v>
      </c>
      <c r="AI930" s="89" t="n">
        <v>36.02873</v>
      </c>
      <c r="AJ930" s="89" t="n">
        <v>114.8738</v>
      </c>
      <c r="AK930" s="89" t="n">
        <v>36.87457</v>
      </c>
      <c r="AL930" s="89" t="n">
        <v>69.46601</v>
      </c>
      <c r="AM930" s="89" t="n">
        <v>84.90958000000001</v>
      </c>
      <c r="AN930" s="89" t="n"/>
      <c r="AO930" s="89" t="n">
        <v>73.9747</v>
      </c>
      <c r="AP930" s="89" t="n">
        <v>81.88634999999999</v>
      </c>
      <c r="AQ930" s="89" t="n"/>
      <c r="AR930" s="89" t="n"/>
      <c r="AS930" s="89" t="n"/>
      <c r="AT930" s="89" t="n">
        <v>34.95261</v>
      </c>
      <c r="AU930" s="89" t="n"/>
      <c r="AV930" s="89" t="n">
        <v>56.66865</v>
      </c>
      <c r="AW930" s="89" t="n"/>
      <c r="AX930" s="89" t="n">
        <v>37.59687</v>
      </c>
      <c r="AY930" s="89" t="n">
        <v>76.39556</v>
      </c>
    </row>
    <row r="931">
      <c r="A931" t="inlineStr">
        <is>
          <t>1996-06</t>
        </is>
      </c>
      <c r="B931" s="1" t="n">
        <v>35217</v>
      </c>
      <c r="C931" s="88" t="n">
        <v>931</v>
      </c>
      <c r="E931" s="1">
        <f>B931</f>
        <v/>
      </c>
      <c r="F931" s="2">
        <f>B931</f>
        <v/>
      </c>
      <c r="G931" s="88" t="n">
        <v>929</v>
      </c>
      <c r="H931" s="89" t="n"/>
      <c r="I931" s="89" t="n"/>
      <c r="J931" s="89" t="n">
        <v>63.31153</v>
      </c>
      <c r="K931" s="89" t="n">
        <v>78.00715</v>
      </c>
      <c r="L931" s="89" t="n"/>
      <c r="M931" s="89" t="n">
        <v>56.4366</v>
      </c>
      <c r="N931" s="89" t="n">
        <v>69.79418</v>
      </c>
      <c r="O931" s="89" t="n">
        <v>96.23041000000001</v>
      </c>
      <c r="P931" s="89" t="n">
        <v>103.5571</v>
      </c>
      <c r="Q931" s="89" t="n"/>
      <c r="R931" s="89" t="n">
        <v>78.8</v>
      </c>
      <c r="S931" s="89" t="n">
        <v>94.35078</v>
      </c>
      <c r="T931" s="89" t="n">
        <v>104.2984</v>
      </c>
      <c r="U931" s="89" t="n">
        <v>125.029</v>
      </c>
      <c r="V931" s="89" t="n">
        <v>35.65506</v>
      </c>
      <c r="W931" s="89" t="n">
        <v>24.53343</v>
      </c>
      <c r="X931" s="89" t="n"/>
      <c r="Y931" s="89" t="n">
        <v>60.65576</v>
      </c>
      <c r="Z931" s="89" t="n">
        <v>116.4903</v>
      </c>
      <c r="AA931" s="89" t="n">
        <v>102.8299</v>
      </c>
      <c r="AB931" s="89" t="n">
        <v>33.91617</v>
      </c>
      <c r="AC931" s="89" t="n">
        <v>74.89788</v>
      </c>
      <c r="AD931" s="89" t="n"/>
      <c r="AE931" s="89" t="n">
        <v>76.92464</v>
      </c>
      <c r="AF931" s="89" t="n">
        <v>84.53722999999999</v>
      </c>
      <c r="AG931" s="89" t="n">
        <v>116.547</v>
      </c>
      <c r="AH931" s="89" t="n">
        <v>74.87853</v>
      </c>
      <c r="AI931" s="89" t="n">
        <v>35.67644</v>
      </c>
      <c r="AJ931" s="89" t="n">
        <v>117.9857</v>
      </c>
      <c r="AK931" s="89" t="n">
        <v>36.99004</v>
      </c>
      <c r="AL931" s="89" t="n">
        <v>68.60648</v>
      </c>
      <c r="AM931" s="89" t="n">
        <v>85.11198</v>
      </c>
      <c r="AN931" s="89" t="n"/>
      <c r="AO931" s="89" t="n">
        <v>74.5998</v>
      </c>
      <c r="AP931" s="89" t="n">
        <v>81.88634999999999</v>
      </c>
      <c r="AQ931" s="89" t="n"/>
      <c r="AR931" s="89" t="n"/>
      <c r="AS931" s="89" t="n"/>
      <c r="AT931" s="89" t="n">
        <v>34.53372</v>
      </c>
      <c r="AU931" s="89" t="n"/>
      <c r="AV931" s="89" t="n">
        <v>56.52231</v>
      </c>
      <c r="AW931" s="89" t="n"/>
      <c r="AX931" s="89" t="n">
        <v>38.59678</v>
      </c>
      <c r="AY931" s="89" t="n">
        <v>76.18489</v>
      </c>
    </row>
    <row r="932">
      <c r="A932" t="inlineStr">
        <is>
          <t>1996-07</t>
        </is>
      </c>
      <c r="B932" s="1" t="n">
        <v>35247</v>
      </c>
      <c r="C932" s="88" t="n">
        <v>932</v>
      </c>
      <c r="E932" s="1">
        <f>B932</f>
        <v/>
      </c>
      <c r="F932" s="2">
        <f>B932</f>
        <v/>
      </c>
      <c r="G932" s="88" t="n">
        <v>930</v>
      </c>
      <c r="H932" s="89" t="n"/>
      <c r="I932" s="89" t="n"/>
      <c r="J932" s="89" t="n">
        <v>64.73222</v>
      </c>
      <c r="K932" s="89" t="n">
        <v>78.79993</v>
      </c>
      <c r="L932" s="89" t="n"/>
      <c r="M932" s="89" t="n">
        <v>57.76926</v>
      </c>
      <c r="N932" s="89" t="n">
        <v>68.99424999999999</v>
      </c>
      <c r="O932" s="89" t="n">
        <v>95.79498</v>
      </c>
      <c r="P932" s="89" t="n">
        <v>101.8621</v>
      </c>
      <c r="Q932" s="89" t="n"/>
      <c r="R932" s="89" t="n">
        <v>76</v>
      </c>
      <c r="S932" s="89" t="n">
        <v>92.70077999999999</v>
      </c>
      <c r="T932" s="89" t="n">
        <v>104.2984</v>
      </c>
      <c r="U932" s="89" t="n">
        <v>124.9314</v>
      </c>
      <c r="V932" s="89" t="n">
        <v>36.06523</v>
      </c>
      <c r="W932" s="89" t="n">
        <v>24.47402</v>
      </c>
      <c r="X932" s="89" t="n"/>
      <c r="Y932" s="89" t="n">
        <v>59.11485</v>
      </c>
      <c r="Z932" s="89" t="n">
        <v>116.3903</v>
      </c>
      <c r="AA932" s="89" t="n">
        <v>103.4384</v>
      </c>
      <c r="AB932" s="89" t="n">
        <v>34.65511</v>
      </c>
      <c r="AC932" s="89" t="n">
        <v>74.27587</v>
      </c>
      <c r="AD932" s="89" t="n"/>
      <c r="AE932" s="89" t="n">
        <v>77.3653</v>
      </c>
      <c r="AF932" s="89" t="n">
        <v>85.94933</v>
      </c>
      <c r="AG932" s="89" t="n">
        <v>117.2029</v>
      </c>
      <c r="AH932" s="89" t="n">
        <v>74.86801</v>
      </c>
      <c r="AI932" s="89" t="n">
        <v>36.62614</v>
      </c>
      <c r="AJ932" s="89" t="n">
        <v>114.6521</v>
      </c>
      <c r="AK932" s="89" t="n">
        <v>37.43389</v>
      </c>
      <c r="AL932" s="89" t="n">
        <v>71.57577999999999</v>
      </c>
      <c r="AM932" s="89" t="n">
        <v>85.92161</v>
      </c>
      <c r="AN932" s="89" t="n"/>
      <c r="AO932" s="89" t="n">
        <v>74.50306999999999</v>
      </c>
      <c r="AP932" s="89" t="n">
        <v>81.18647</v>
      </c>
      <c r="AQ932" s="89" t="n"/>
      <c r="AR932" s="89" t="n"/>
      <c r="AS932" s="89" t="n"/>
      <c r="AT932" s="89" t="n">
        <v>34.10414</v>
      </c>
      <c r="AU932" s="89" t="n"/>
      <c r="AV932" s="89" t="n">
        <v>56.28369</v>
      </c>
      <c r="AW932" s="89" t="n"/>
      <c r="AX932" s="89" t="n">
        <v>38.19682</v>
      </c>
      <c r="AY932" s="89" t="n">
        <v>80.43347</v>
      </c>
    </row>
    <row r="933">
      <c r="A933" t="inlineStr">
        <is>
          <t>1996-08</t>
        </is>
      </c>
      <c r="B933" s="1" t="n">
        <v>35278</v>
      </c>
      <c r="C933" s="88" t="n">
        <v>933</v>
      </c>
      <c r="E933" s="1">
        <f>B933</f>
        <v/>
      </c>
      <c r="F933" s="2">
        <f>B933</f>
        <v/>
      </c>
      <c r="G933" s="88" t="n">
        <v>931</v>
      </c>
      <c r="H933" s="89" t="n"/>
      <c r="I933" s="89" t="n"/>
      <c r="J933" s="89" t="n">
        <v>63.50011</v>
      </c>
      <c r="K933" s="89" t="n">
        <v>79.06901000000001</v>
      </c>
      <c r="L933" s="89" t="n"/>
      <c r="M933" s="89" t="n">
        <v>57.40826</v>
      </c>
      <c r="N933" s="89" t="n">
        <v>69.89417</v>
      </c>
      <c r="O933" s="89" t="n">
        <v>98.29871</v>
      </c>
      <c r="P933" s="89" t="n">
        <v>102.7841</v>
      </c>
      <c r="Q933" s="89" t="n"/>
      <c r="R933" s="89" t="n">
        <v>79.09999999999999</v>
      </c>
      <c r="S933" s="89" t="n">
        <v>94.75078999999999</v>
      </c>
      <c r="T933" s="89" t="n">
        <v>104.982</v>
      </c>
      <c r="U933" s="89" t="n">
        <v>122.4506</v>
      </c>
      <c r="V933" s="89" t="n">
        <v>35.94804</v>
      </c>
      <c r="W933" s="89" t="n">
        <v>23.52358</v>
      </c>
      <c r="X933" s="89" t="n"/>
      <c r="Y933" s="89" t="n">
        <v>60.37559</v>
      </c>
      <c r="Z933" s="89" t="n">
        <v>116.9902</v>
      </c>
      <c r="AA933" s="89" t="n">
        <v>103.5398</v>
      </c>
      <c r="AB933" s="89" t="n">
        <v>34.47013</v>
      </c>
      <c r="AC933" s="89" t="n">
        <v>72.85493</v>
      </c>
      <c r="AD933" s="89" t="n"/>
      <c r="AE933" s="89" t="n">
        <v>76.88303000000001</v>
      </c>
      <c r="AF933" s="89" t="n">
        <v>85.6669</v>
      </c>
      <c r="AG933" s="89" t="n">
        <v>116.8749</v>
      </c>
      <c r="AH933" s="89" t="n">
        <v>75.19459000000001</v>
      </c>
      <c r="AI933" s="89" t="n">
        <v>36.77327</v>
      </c>
      <c r="AJ933" s="89" t="n">
        <v>116.0629</v>
      </c>
      <c r="AK933" s="89" t="n">
        <v>37.34201</v>
      </c>
      <c r="AL933" s="89" t="n">
        <v>68.13763</v>
      </c>
      <c r="AM933" s="89" t="n">
        <v>86.42762999999999</v>
      </c>
      <c r="AN933" s="89" t="n"/>
      <c r="AO933" s="89" t="n">
        <v>74.93510999999999</v>
      </c>
      <c r="AP933" s="89" t="n">
        <v>82.1863</v>
      </c>
      <c r="AQ933" s="89" t="n"/>
      <c r="AR933" s="89" t="n"/>
      <c r="AS933" s="89" t="n"/>
      <c r="AT933" s="89" t="n">
        <v>34.92324</v>
      </c>
      <c r="AU933" s="89" t="n"/>
      <c r="AV933" s="89" t="n">
        <v>56.20936</v>
      </c>
      <c r="AW933" s="89" t="n"/>
      <c r="AX933" s="89" t="n">
        <v>38.09682</v>
      </c>
      <c r="AY933" s="89" t="n">
        <v>78.75687000000001</v>
      </c>
    </row>
    <row r="934">
      <c r="A934" t="inlineStr">
        <is>
          <t>1996-09</t>
        </is>
      </c>
      <c r="B934" s="1" t="n">
        <v>35309</v>
      </c>
      <c r="C934" s="88" t="n">
        <v>934</v>
      </c>
      <c r="E934" s="1">
        <f>B934</f>
        <v/>
      </c>
      <c r="F934" s="2">
        <f>B934</f>
        <v/>
      </c>
      <c r="G934" s="88" t="n">
        <v>932</v>
      </c>
      <c r="H934" s="89" t="n"/>
      <c r="I934" s="89" t="n"/>
      <c r="J934" s="89" t="n">
        <v>65.55264</v>
      </c>
      <c r="K934" s="89" t="n">
        <v>79.04944999999999</v>
      </c>
      <c r="L934" s="89" t="n"/>
      <c r="M934" s="89" t="n">
        <v>58.12232</v>
      </c>
      <c r="N934" s="89" t="n">
        <v>70.49413</v>
      </c>
      <c r="O934" s="89" t="n">
        <v>97.42785000000001</v>
      </c>
      <c r="P934" s="89" t="n">
        <v>103.1991</v>
      </c>
      <c r="Q934" s="89" t="n"/>
      <c r="R934" s="89" t="n">
        <v>81</v>
      </c>
      <c r="S934" s="89" t="n">
        <v>94.84079</v>
      </c>
      <c r="T934" s="89" t="n">
        <v>105.5679</v>
      </c>
      <c r="U934" s="89" t="n">
        <v>123.9185</v>
      </c>
      <c r="V934" s="89" t="n">
        <v>36.12382</v>
      </c>
      <c r="W934" s="89" t="n">
        <v>23.04835</v>
      </c>
      <c r="X934" s="89" t="n"/>
      <c r="Y934" s="89" t="n">
        <v>61.28613</v>
      </c>
      <c r="Z934" s="89" t="n">
        <v>115.3904</v>
      </c>
      <c r="AA934" s="89" t="n">
        <v>104.6553</v>
      </c>
      <c r="AB934" s="89" t="n">
        <v>34.93209</v>
      </c>
      <c r="AC934" s="89" t="n">
        <v>75.12888</v>
      </c>
      <c r="AD934" s="89" t="n"/>
      <c r="AE934" s="89" t="n">
        <v>77.44723999999999</v>
      </c>
      <c r="AF934" s="89" t="n">
        <v>86.13760000000001</v>
      </c>
      <c r="AG934" s="89" t="n">
        <v>116.219</v>
      </c>
      <c r="AH934" s="89" t="n">
        <v>75.56749000000001</v>
      </c>
      <c r="AI934" s="89" t="n">
        <v>36.73408</v>
      </c>
      <c r="AJ934" s="89" t="n">
        <v>115.5447</v>
      </c>
      <c r="AK934" s="89" t="n">
        <v>38.52203</v>
      </c>
      <c r="AL934" s="89" t="n">
        <v>71.65392</v>
      </c>
      <c r="AM934" s="89" t="n">
        <v>85.11198</v>
      </c>
      <c r="AN934" s="89" t="n"/>
      <c r="AO934" s="89" t="n">
        <v>75.4511</v>
      </c>
      <c r="AP934" s="89" t="n">
        <v>82.1863</v>
      </c>
      <c r="AQ934" s="89" t="n"/>
      <c r="AR934" s="89" t="n"/>
      <c r="AS934" s="89" t="n"/>
      <c r="AT934" s="89" t="n">
        <v>34.52224</v>
      </c>
      <c r="AU934" s="89" t="n"/>
      <c r="AV934" s="89" t="n">
        <v>56.49496</v>
      </c>
      <c r="AW934" s="89" t="n"/>
      <c r="AX934" s="89" t="n">
        <v>37.69686</v>
      </c>
      <c r="AY934" s="89" t="n">
        <v>79.70489999999999</v>
      </c>
    </row>
    <row r="935">
      <c r="A935" t="inlineStr">
        <is>
          <t>1996-10</t>
        </is>
      </c>
      <c r="B935" s="1" t="n">
        <v>35339</v>
      </c>
      <c r="C935" s="88" t="n">
        <v>935</v>
      </c>
      <c r="E935" s="1">
        <f>B935</f>
        <v/>
      </c>
      <c r="F935" s="2">
        <f>B935</f>
        <v/>
      </c>
      <c r="G935" s="88" t="n">
        <v>933</v>
      </c>
      <c r="H935" s="89" t="n"/>
      <c r="I935" s="89" t="n"/>
      <c r="J935" s="89" t="n">
        <v>65.80565</v>
      </c>
      <c r="K935" s="89" t="n">
        <v>78.79993</v>
      </c>
      <c r="L935" s="89" t="n"/>
      <c r="M935" s="89" t="n">
        <v>57.55674</v>
      </c>
      <c r="N935" s="89" t="n">
        <v>69.49421</v>
      </c>
      <c r="O935" s="89" t="n">
        <v>94.92411</v>
      </c>
      <c r="P935" s="89" t="n">
        <v>103.3701</v>
      </c>
      <c r="Q935" s="89" t="n"/>
      <c r="R935" s="89" t="n">
        <v>81.09999999999999</v>
      </c>
      <c r="S935" s="89" t="n">
        <v>93.87078</v>
      </c>
      <c r="T935" s="89" t="n">
        <v>105.4703</v>
      </c>
      <c r="U935" s="89" t="n">
        <v>122.7882</v>
      </c>
      <c r="V935" s="89" t="n">
        <v>36.47539</v>
      </c>
      <c r="W935" s="89" t="n">
        <v>24.23641</v>
      </c>
      <c r="X935" s="89" t="n"/>
      <c r="Y935" s="89" t="n">
        <v>60.16547</v>
      </c>
      <c r="Z935" s="89" t="n">
        <v>115.8903</v>
      </c>
      <c r="AA935" s="89" t="n">
        <v>105.2638</v>
      </c>
      <c r="AB935" s="89" t="n">
        <v>34.47013</v>
      </c>
      <c r="AC935" s="89" t="n">
        <v>75.07304000000001</v>
      </c>
      <c r="AD935" s="89" t="n"/>
      <c r="AE935" s="89" t="n">
        <v>78.44182000000001</v>
      </c>
      <c r="AF935" s="89" t="n">
        <v>85.47862000000001</v>
      </c>
      <c r="AG935" s="89" t="n">
        <v>112.3924</v>
      </c>
      <c r="AH935" s="89" t="n">
        <v>75.63461</v>
      </c>
      <c r="AI935" s="89" t="n">
        <v>37.60094</v>
      </c>
      <c r="AJ935" s="89" t="n">
        <v>113.3896</v>
      </c>
      <c r="AK935" s="89" t="n">
        <v>38.25387</v>
      </c>
      <c r="AL935" s="89" t="n">
        <v>72.12275</v>
      </c>
      <c r="AM935" s="89" t="n">
        <v>84.70717</v>
      </c>
      <c r="AN935" s="89" t="n"/>
      <c r="AO935" s="89" t="n">
        <v>75.40624</v>
      </c>
      <c r="AP935" s="89" t="n">
        <v>81.78637000000001</v>
      </c>
      <c r="AQ935" s="89" t="n"/>
      <c r="AR935" s="89" t="n"/>
      <c r="AS935" s="89" t="n"/>
      <c r="AT935" s="89" t="n">
        <v>35.09788</v>
      </c>
      <c r="AU935" s="89" t="n"/>
      <c r="AV935" s="89" t="n">
        <v>56.26401</v>
      </c>
      <c r="AW935" s="89" t="n"/>
      <c r="AX935" s="89" t="n">
        <v>40.69661</v>
      </c>
      <c r="AY935" s="89" t="n">
        <v>80.24914</v>
      </c>
    </row>
    <row r="936">
      <c r="A936" t="inlineStr">
        <is>
          <t>1996-11</t>
        </is>
      </c>
      <c r="B936" s="1" t="n">
        <v>35370</v>
      </c>
      <c r="C936" s="88" t="n">
        <v>936</v>
      </c>
      <c r="E936" s="1">
        <f>B936</f>
        <v/>
      </c>
      <c r="F936" s="2">
        <f>B936</f>
        <v/>
      </c>
      <c r="G936" s="88" t="n">
        <v>934</v>
      </c>
      <c r="H936" s="89" t="n"/>
      <c r="I936" s="89" t="n"/>
      <c r="J936" s="89" t="n">
        <v>65.89972</v>
      </c>
      <c r="K936" s="89" t="n">
        <v>80.03308</v>
      </c>
      <c r="L936" s="89" t="n"/>
      <c r="M936" s="89" t="n">
        <v>57.32124</v>
      </c>
      <c r="N936" s="89" t="n">
        <v>70.49413</v>
      </c>
      <c r="O936" s="89" t="n">
        <v>93.18239</v>
      </c>
      <c r="P936" s="89" t="n">
        <v>104.7671</v>
      </c>
      <c r="Q936" s="89" t="n"/>
      <c r="R936" s="89" t="n">
        <v>81</v>
      </c>
      <c r="S936" s="89" t="n">
        <v>95.04079</v>
      </c>
      <c r="T936" s="89" t="n">
        <v>106.0562</v>
      </c>
      <c r="U936" s="89" t="n">
        <v>125.0374</v>
      </c>
      <c r="V936" s="89" t="n">
        <v>37.17853</v>
      </c>
      <c r="W936" s="89" t="n">
        <v>25.89969</v>
      </c>
      <c r="X936" s="89" t="n"/>
      <c r="Y936" s="89" t="n">
        <v>59.74522</v>
      </c>
      <c r="Z936" s="89" t="n">
        <v>115.3904</v>
      </c>
      <c r="AA936" s="89" t="n">
        <v>105.7708</v>
      </c>
      <c r="AB936" s="89" t="n">
        <v>34.93209</v>
      </c>
      <c r="AC936" s="89" t="n">
        <v>75.70244</v>
      </c>
      <c r="AD936" s="89" t="n"/>
      <c r="AE936" s="89" t="n">
        <v>78.91357000000001</v>
      </c>
      <c r="AF936" s="89" t="n">
        <v>84.44309</v>
      </c>
      <c r="AG936" s="89" t="n">
        <v>114.7977</v>
      </c>
      <c r="AH936" s="89" t="n">
        <v>76.18304999999999</v>
      </c>
      <c r="AI936" s="89" t="n">
        <v>37.27243</v>
      </c>
      <c r="AJ936" s="89" t="n">
        <v>115.1882</v>
      </c>
      <c r="AK936" s="89" t="n">
        <v>37.70554</v>
      </c>
      <c r="AL936" s="89" t="n">
        <v>72.12275</v>
      </c>
      <c r="AM936" s="89" t="n">
        <v>85.82040000000001</v>
      </c>
      <c r="AN936" s="89" t="n"/>
      <c r="AO936" s="89" t="n">
        <v>76.07196999999999</v>
      </c>
      <c r="AP936" s="89" t="n">
        <v>82.48625</v>
      </c>
      <c r="AQ936" s="89" t="n"/>
      <c r="AR936" s="89" t="n"/>
      <c r="AS936" s="89" t="n"/>
      <c r="AT936" s="89" t="n">
        <v>33.97722</v>
      </c>
      <c r="AU936" s="89" t="n"/>
      <c r="AV936" s="89" t="n">
        <v>55.79276</v>
      </c>
      <c r="AW936" s="89" t="n"/>
      <c r="AX936" s="89" t="n">
        <v>40.89659</v>
      </c>
      <c r="AY936" s="89" t="n">
        <v>80.74948999999999</v>
      </c>
    </row>
    <row r="937">
      <c r="A937" t="inlineStr">
        <is>
          <t>1996-12</t>
        </is>
      </c>
      <c r="B937" s="1" t="n">
        <v>35400</v>
      </c>
      <c r="C937" s="88" t="n">
        <v>937</v>
      </c>
      <c r="E937" s="1">
        <f>B937</f>
        <v/>
      </c>
      <c r="F937" s="2">
        <f>B937</f>
        <v/>
      </c>
      <c r="G937" s="88" t="n">
        <v>935</v>
      </c>
      <c r="H937" s="89" t="n"/>
      <c r="I937" s="89" t="n"/>
      <c r="J937" s="89" t="n">
        <v>66.30710999999999</v>
      </c>
      <c r="K937" s="89" t="n">
        <v>78.69707</v>
      </c>
      <c r="L937" s="89" t="n"/>
      <c r="M937" s="89" t="n">
        <v>54.44369</v>
      </c>
      <c r="N937" s="89" t="n">
        <v>70.49413</v>
      </c>
      <c r="O937" s="89" t="n">
        <v>95.25069000000001</v>
      </c>
      <c r="P937" s="89" t="n">
        <v>103.2181</v>
      </c>
      <c r="Q937" s="89" t="n"/>
      <c r="R937" s="89" t="n">
        <v>78.40000000000001</v>
      </c>
      <c r="S937" s="89" t="n">
        <v>95.1908</v>
      </c>
      <c r="T937" s="89" t="n">
        <v>106.5445</v>
      </c>
      <c r="U937" s="89" t="n">
        <v>124.1343</v>
      </c>
      <c r="V937" s="89" t="n">
        <v>37.32502</v>
      </c>
      <c r="W937" s="89" t="n">
        <v>25.12746</v>
      </c>
      <c r="X937" s="89" t="n"/>
      <c r="Y937" s="89" t="n">
        <v>60.16547</v>
      </c>
      <c r="Z937" s="89" t="n">
        <v>115.0904</v>
      </c>
      <c r="AA937" s="89" t="n">
        <v>106.7849</v>
      </c>
      <c r="AB937" s="89" t="n">
        <v>35.85701</v>
      </c>
      <c r="AC937" s="89" t="n">
        <v>74.77911</v>
      </c>
      <c r="AD937" s="89" t="n"/>
      <c r="AE937" s="89" t="n">
        <v>80.94061000000001</v>
      </c>
      <c r="AF937" s="89" t="n">
        <v>85.85518</v>
      </c>
      <c r="AG937" s="89" t="n">
        <v>115.3443</v>
      </c>
      <c r="AH937" s="89" t="n">
        <v>76.54483</v>
      </c>
      <c r="AI937" s="89" t="n">
        <v>37.62179</v>
      </c>
      <c r="AJ937" s="89" t="n">
        <v>109.8285</v>
      </c>
      <c r="AK937" s="89" t="n">
        <v>37.59997</v>
      </c>
      <c r="AL937" s="89" t="n">
        <v>71.88834</v>
      </c>
      <c r="AM937" s="89" t="n">
        <v>88.14807999999999</v>
      </c>
      <c r="AN937" s="89" t="n"/>
      <c r="AO937" s="89" t="n">
        <v>76.56635</v>
      </c>
      <c r="AP937" s="89" t="n">
        <v>82.28628999999999</v>
      </c>
      <c r="AQ937" s="89" t="n"/>
      <c r="AR937" s="89" t="n"/>
      <c r="AS937" s="89" t="n"/>
      <c r="AT937" s="89" t="n">
        <v>35.00288</v>
      </c>
      <c r="AU937" s="89" t="n"/>
      <c r="AV937" s="89" t="n">
        <v>54.89457</v>
      </c>
      <c r="AW937" s="89" t="n"/>
      <c r="AX937" s="89" t="n">
        <v>40.29664</v>
      </c>
      <c r="AY937" s="89" t="n">
        <v>80.02969</v>
      </c>
    </row>
    <row r="938">
      <c r="A938" t="inlineStr">
        <is>
          <t>1997-01</t>
        </is>
      </c>
      <c r="B938" s="1" t="n">
        <v>35431</v>
      </c>
      <c r="C938" s="88" t="n">
        <v>938</v>
      </c>
      <c r="E938" s="1">
        <f>B938</f>
        <v/>
      </c>
      <c r="F938" s="2">
        <f>B938</f>
        <v/>
      </c>
      <c r="G938" s="88" t="n">
        <v>936</v>
      </c>
      <c r="H938" s="89" t="n"/>
      <c r="I938" s="89" t="n"/>
      <c r="J938" s="89" t="n">
        <v>65.07209</v>
      </c>
      <c r="K938" s="89" t="n">
        <v>80.63585999999999</v>
      </c>
      <c r="L938" s="89" t="n"/>
      <c r="M938" s="89" t="n">
        <v>58.48524</v>
      </c>
      <c r="N938" s="89" t="n">
        <v>69.5942</v>
      </c>
      <c r="O938" s="89" t="n">
        <v>98.08099</v>
      </c>
      <c r="P938" s="89" t="n">
        <v>106.0951</v>
      </c>
      <c r="Q938" s="89" t="n"/>
      <c r="R938" s="89" t="n">
        <v>80.59999999999999</v>
      </c>
      <c r="S938" s="89" t="n">
        <v>94.33078999999999</v>
      </c>
      <c r="T938" s="89" t="n">
        <v>106.7313</v>
      </c>
      <c r="U938" s="89" t="n">
        <v>126.1927</v>
      </c>
      <c r="V938" s="89" t="n">
        <v>37.94027</v>
      </c>
      <c r="W938" s="89" t="n">
        <v>27.20656</v>
      </c>
      <c r="X938" s="89" t="n"/>
      <c r="Y938" s="89" t="n">
        <v>61.00596</v>
      </c>
      <c r="Z938" s="89" t="n">
        <v>115.9903</v>
      </c>
      <c r="AA938" s="89" t="n">
        <v>108.4075</v>
      </c>
      <c r="AB938" s="89" t="n">
        <v>33.91617</v>
      </c>
      <c r="AC938" s="89" t="n">
        <v>72.95577</v>
      </c>
      <c r="AD938" s="89" t="n"/>
      <c r="AE938" s="89" t="n">
        <v>79.65380999999999</v>
      </c>
      <c r="AF938" s="89" t="n">
        <v>85.85518</v>
      </c>
      <c r="AG938" s="89" t="n">
        <v>117.2029</v>
      </c>
      <c r="AH938" s="89" t="n">
        <v>76.65308</v>
      </c>
      <c r="AI938" s="89" t="n">
        <v>38.40747</v>
      </c>
      <c r="AJ938" s="89" t="n">
        <v>113.7031</v>
      </c>
      <c r="AK938" s="89" t="n">
        <v>36.24499</v>
      </c>
      <c r="AL938" s="89" t="n">
        <v>66.10601</v>
      </c>
      <c r="AM938" s="89" t="n">
        <v>88.45169</v>
      </c>
      <c r="AN938" s="89" t="n"/>
      <c r="AO938" s="89" t="n">
        <v>76.67488</v>
      </c>
      <c r="AP938" s="89" t="n">
        <v>82.58624</v>
      </c>
      <c r="AQ938" s="89" t="n"/>
      <c r="AR938" s="89" t="n"/>
      <c r="AS938" s="89" t="n"/>
      <c r="AT938" s="89" t="n">
        <v>34.68401</v>
      </c>
      <c r="AU938" s="89" t="n"/>
      <c r="AV938" s="89" t="n">
        <v>55.91321</v>
      </c>
      <c r="AW938" s="89" t="n"/>
      <c r="AX938" s="89" t="n">
        <v>38.89676</v>
      </c>
      <c r="AY938" s="89" t="n">
        <v>80.09113000000001</v>
      </c>
    </row>
    <row r="939">
      <c r="A939" t="inlineStr">
        <is>
          <t>1997-02</t>
        </is>
      </c>
      <c r="B939" s="1" t="n">
        <v>35462</v>
      </c>
      <c r="C939" s="88" t="n">
        <v>939</v>
      </c>
      <c r="E939" s="1">
        <f>B939</f>
        <v/>
      </c>
      <c r="F939" s="2">
        <f>B939</f>
        <v/>
      </c>
      <c r="G939" s="88" t="n">
        <v>937</v>
      </c>
      <c r="H939" s="89" t="n"/>
      <c r="I939" s="89" t="n"/>
      <c r="J939" s="89" t="n">
        <v>66.50745000000001</v>
      </c>
      <c r="K939" s="89" t="n">
        <v>81.52379999999999</v>
      </c>
      <c r="L939" s="89" t="n"/>
      <c r="M939" s="89" t="n">
        <v>58.68259</v>
      </c>
      <c r="N939" s="89" t="n">
        <v>70.59412</v>
      </c>
      <c r="O939" s="89" t="n">
        <v>98.18985000000001</v>
      </c>
      <c r="P939" s="89" t="n">
        <v>104.8601</v>
      </c>
      <c r="Q939" s="89" t="n"/>
      <c r="R939" s="89" t="n">
        <v>80.40000000000001</v>
      </c>
      <c r="S939" s="89" t="n">
        <v>95.09079</v>
      </c>
      <c r="T939" s="89" t="n">
        <v>106.9389</v>
      </c>
      <c r="U939" s="89" t="n">
        <v>126.7635</v>
      </c>
      <c r="V939" s="89" t="n">
        <v>38.64341</v>
      </c>
      <c r="W939" s="89" t="n">
        <v>25.78089</v>
      </c>
      <c r="X939" s="89" t="n"/>
      <c r="Y939" s="89" t="n">
        <v>60.37559</v>
      </c>
      <c r="Z939" s="89" t="n">
        <v>117.9902</v>
      </c>
      <c r="AA939" s="89" t="n">
        <v>108.4075</v>
      </c>
      <c r="AB939" s="89" t="n">
        <v>35.39405</v>
      </c>
      <c r="AC939" s="89" t="n">
        <v>80.44444</v>
      </c>
      <c r="AD939" s="89" t="n"/>
      <c r="AE939" s="89" t="n">
        <v>79.95834000000001</v>
      </c>
      <c r="AF939" s="89" t="n">
        <v>83.40755</v>
      </c>
      <c r="AG939" s="89" t="n">
        <v>117.8589</v>
      </c>
      <c r="AH939" s="89" t="n">
        <v>77.3325</v>
      </c>
      <c r="AI939" s="89" t="n">
        <v>39.2365</v>
      </c>
      <c r="AJ939" s="89" t="n">
        <v>116.6485</v>
      </c>
      <c r="AK939" s="89" t="n">
        <v>38.07227</v>
      </c>
      <c r="AL939" s="89" t="n">
        <v>70.09113000000001</v>
      </c>
      <c r="AM939" s="89" t="n">
        <v>87.54086</v>
      </c>
      <c r="AN939" s="89" t="n"/>
      <c r="AO939" s="89" t="n">
        <v>77.60245</v>
      </c>
      <c r="AP939" s="89" t="n">
        <v>83.08615</v>
      </c>
      <c r="AQ939" s="89" t="n"/>
      <c r="AR939" s="89" t="n"/>
      <c r="AS939" s="89" t="n"/>
      <c r="AT939" s="89" t="n">
        <v>35.5002</v>
      </c>
      <c r="AU939" s="89" t="n"/>
      <c r="AV939" s="89" t="n">
        <v>58.4352</v>
      </c>
      <c r="AW939" s="89" t="n"/>
      <c r="AX939" s="89" t="n">
        <v>39.69669</v>
      </c>
      <c r="AY939" s="89" t="n">
        <v>80.45981</v>
      </c>
    </row>
    <row r="940">
      <c r="A940" t="inlineStr">
        <is>
          <t>1997-03</t>
        </is>
      </c>
      <c r="B940" s="1" t="n">
        <v>35490</v>
      </c>
      <c r="C940" s="88" t="n">
        <v>940</v>
      </c>
      <c r="E940" s="1">
        <f>B940</f>
        <v/>
      </c>
      <c r="F940" s="2">
        <f>B940</f>
        <v/>
      </c>
      <c r="G940" s="88" t="n">
        <v>938</v>
      </c>
      <c r="H940" s="89" t="n"/>
      <c r="I940" s="89" t="n"/>
      <c r="J940" s="89" t="n">
        <v>66.46369</v>
      </c>
      <c r="K940" s="89" t="n">
        <v>81.03475</v>
      </c>
      <c r="L940" s="89" t="n"/>
      <c r="M940" s="89" t="n">
        <v>59.12718</v>
      </c>
      <c r="N940" s="89" t="n">
        <v>71.39404999999999</v>
      </c>
      <c r="O940" s="89" t="n">
        <v>97.53671</v>
      </c>
      <c r="P940" s="89" t="n">
        <v>109.5131</v>
      </c>
      <c r="Q940" s="89" t="n"/>
      <c r="R940" s="89" t="n">
        <v>80.90000000000001</v>
      </c>
      <c r="S940" s="89" t="n">
        <v>95.42079</v>
      </c>
      <c r="T940" s="89" t="n">
        <v>106.1083</v>
      </c>
      <c r="U940" s="89" t="n">
        <v>127.0523</v>
      </c>
      <c r="V940" s="89" t="n">
        <v>37.67659</v>
      </c>
      <c r="W940" s="89" t="n">
        <v>27.26596</v>
      </c>
      <c r="X940" s="89" t="n"/>
      <c r="Y940" s="89" t="n">
        <v>61.42621</v>
      </c>
      <c r="Z940" s="89" t="n">
        <v>118.5901</v>
      </c>
      <c r="AA940" s="89" t="n">
        <v>108.8131</v>
      </c>
      <c r="AB940" s="89" t="n">
        <v>35.94901</v>
      </c>
      <c r="AC940" s="89" t="n">
        <v>75.77218999999999</v>
      </c>
      <c r="AD940" s="89" t="n"/>
      <c r="AE940" s="89" t="n">
        <v>80.64192</v>
      </c>
      <c r="AF940" s="89" t="n">
        <v>81.6189</v>
      </c>
      <c r="AG940" s="89" t="n">
        <v>118.4056</v>
      </c>
      <c r="AH940" s="89" t="n">
        <v>77.81041</v>
      </c>
      <c r="AI940" s="89" t="n">
        <v>37.97457</v>
      </c>
      <c r="AJ940" s="89" t="n">
        <v>116.4173</v>
      </c>
      <c r="AK940" s="89" t="n">
        <v>37.16388</v>
      </c>
      <c r="AL940" s="89" t="n">
        <v>69.77856</v>
      </c>
      <c r="AM940" s="89" t="n">
        <v>87.64207</v>
      </c>
      <c r="AN940" s="89" t="n"/>
      <c r="AO940" s="89" t="n">
        <v>78.12209</v>
      </c>
      <c r="AP940" s="89" t="n">
        <v>83.986</v>
      </c>
      <c r="AQ940" s="89" t="n"/>
      <c r="AR940" s="89" t="n"/>
      <c r="AS940" s="89" t="n"/>
      <c r="AT940" s="89" t="n">
        <v>36.09102</v>
      </c>
      <c r="AU940" s="89" t="n"/>
      <c r="AV940" s="89" t="n">
        <v>56.34686</v>
      </c>
      <c r="AW940" s="89" t="n"/>
      <c r="AX940" s="89" t="n">
        <v>41.39655</v>
      </c>
      <c r="AY940" s="89" t="n">
        <v>81.46051</v>
      </c>
    </row>
    <row r="941">
      <c r="A941" t="inlineStr">
        <is>
          <t>1997-04</t>
        </is>
      </c>
      <c r="B941" s="1" t="n">
        <v>35521</v>
      </c>
      <c r="C941" s="88" t="n">
        <v>941</v>
      </c>
      <c r="E941" s="1">
        <f>B941</f>
        <v/>
      </c>
      <c r="F941" s="2">
        <f>B941</f>
        <v/>
      </c>
      <c r="G941" s="88" t="n">
        <v>939</v>
      </c>
      <c r="H941" s="89" t="n"/>
      <c r="I941" s="89" t="n"/>
      <c r="J941" s="89" t="n">
        <v>66.90257</v>
      </c>
      <c r="K941" s="89" t="n">
        <v>82.15170000000001</v>
      </c>
      <c r="L941" s="89" t="n"/>
      <c r="M941" s="89" t="n">
        <v>61.92373</v>
      </c>
      <c r="N941" s="89" t="n">
        <v>71.09408000000001</v>
      </c>
      <c r="O941" s="89" t="n">
        <v>98.62528</v>
      </c>
      <c r="P941" s="89" t="n">
        <v>108.9221</v>
      </c>
      <c r="Q941" s="89" t="n"/>
      <c r="R941" s="89" t="n">
        <v>83.40000000000001</v>
      </c>
      <c r="S941" s="89" t="n">
        <v>98.77082</v>
      </c>
      <c r="T941" s="89" t="n">
        <v>106.316</v>
      </c>
      <c r="U941" s="89" t="n">
        <v>126.0728</v>
      </c>
      <c r="V941" s="89" t="n">
        <v>38.93638</v>
      </c>
      <c r="W941" s="89" t="n">
        <v>27.38477</v>
      </c>
      <c r="X941" s="89" t="n"/>
      <c r="Y941" s="89" t="n">
        <v>61.63633</v>
      </c>
      <c r="Z941" s="89" t="n">
        <v>120.6899</v>
      </c>
      <c r="AA941" s="89" t="n">
        <v>106.0751</v>
      </c>
      <c r="AB941" s="89" t="n">
        <v>36.59595</v>
      </c>
      <c r="AC941" s="89" t="n">
        <v>77.82355</v>
      </c>
      <c r="AD941" s="89" t="n"/>
      <c r="AE941" s="89" t="n">
        <v>81.61949</v>
      </c>
      <c r="AF941" s="89" t="n">
        <v>86.32588</v>
      </c>
      <c r="AG941" s="89" t="n">
        <v>118.1869</v>
      </c>
      <c r="AH941" s="89" t="n">
        <v>78.11815</v>
      </c>
      <c r="AI941" s="89" t="n">
        <v>41.22484</v>
      </c>
      <c r="AJ941" s="89" t="n">
        <v>117.0347</v>
      </c>
      <c r="AK941" s="89" t="n">
        <v>37.234</v>
      </c>
      <c r="AL941" s="89" t="n">
        <v>76.9674</v>
      </c>
      <c r="AM941" s="89" t="n">
        <v>89.36252</v>
      </c>
      <c r="AN941" s="89" t="n"/>
      <c r="AO941" s="89" t="n">
        <v>78.14042999999999</v>
      </c>
      <c r="AP941" s="89" t="n">
        <v>84.88585</v>
      </c>
      <c r="AQ941" s="89" t="n"/>
      <c r="AR941" s="89" t="n"/>
      <c r="AS941" s="89" t="n"/>
      <c r="AT941" s="89" t="n">
        <v>36.0807</v>
      </c>
      <c r="AU941" s="89" t="n"/>
      <c r="AV941" s="89" t="n">
        <v>56.21552</v>
      </c>
      <c r="AW941" s="89" t="n"/>
      <c r="AX941" s="89" t="n">
        <v>41.79652</v>
      </c>
      <c r="AY941" s="89" t="n">
        <v>79.88046</v>
      </c>
    </row>
    <row r="942">
      <c r="A942" t="inlineStr">
        <is>
          <t>1997-05</t>
        </is>
      </c>
      <c r="B942" s="1" t="n">
        <v>35551</v>
      </c>
      <c r="C942" s="88" t="n">
        <v>942</v>
      </c>
      <c r="E942" s="1">
        <f>B942</f>
        <v/>
      </c>
      <c r="F942" s="2">
        <f>B942</f>
        <v/>
      </c>
      <c r="G942" s="88" t="n">
        <v>940</v>
      </c>
      <c r="H942" s="89" t="n"/>
      <c r="I942" s="89" t="n"/>
      <c r="J942" s="89" t="n">
        <v>66.80454</v>
      </c>
      <c r="K942" s="89" t="n">
        <v>82.28466</v>
      </c>
      <c r="L942" s="89" t="n"/>
      <c r="M942" s="89" t="n">
        <v>57.13528</v>
      </c>
      <c r="N942" s="89" t="n">
        <v>70.19414999999999</v>
      </c>
      <c r="O942" s="89" t="n">
        <v>99.605</v>
      </c>
      <c r="P942" s="89" t="n">
        <v>107.6661</v>
      </c>
      <c r="Q942" s="89" t="n"/>
      <c r="R942" s="89" t="n">
        <v>81.7</v>
      </c>
      <c r="S942" s="89" t="n">
        <v>96.93080999999999</v>
      </c>
      <c r="T942" s="89" t="n">
        <v>105.9007</v>
      </c>
      <c r="U942" s="89" t="n">
        <v>127.3633</v>
      </c>
      <c r="V942" s="89" t="n">
        <v>38.11605</v>
      </c>
      <c r="W942" s="89" t="n">
        <v>27.02835</v>
      </c>
      <c r="X942" s="89" t="n"/>
      <c r="Y942" s="89" t="n">
        <v>62.12663</v>
      </c>
      <c r="Z942" s="89" t="n">
        <v>120.39</v>
      </c>
      <c r="AA942" s="89" t="n">
        <v>109.2188</v>
      </c>
      <c r="AB942" s="89" t="n">
        <v>36.31897</v>
      </c>
      <c r="AC942" s="89" t="n">
        <v>77.02397999999999</v>
      </c>
      <c r="AD942" s="89" t="n"/>
      <c r="AE942" s="89" t="n">
        <v>82.41909</v>
      </c>
      <c r="AF942" s="89" t="n">
        <v>84.06654</v>
      </c>
      <c r="AG942" s="89" t="n">
        <v>119.8269</v>
      </c>
      <c r="AH942" s="89" t="n">
        <v>78.28445000000001</v>
      </c>
      <c r="AI942" s="89" t="n">
        <v>39.36275</v>
      </c>
      <c r="AJ942" s="89" t="n">
        <v>115.0852</v>
      </c>
      <c r="AK942" s="89" t="n">
        <v>36.99852</v>
      </c>
      <c r="AL942" s="89" t="n">
        <v>70.40367999999999</v>
      </c>
      <c r="AM942" s="89" t="n">
        <v>88.95771000000001</v>
      </c>
      <c r="AN942" s="89" t="n"/>
      <c r="AO942" s="89" t="n">
        <v>78.59782</v>
      </c>
      <c r="AP942" s="89" t="n">
        <v>84.18597</v>
      </c>
      <c r="AQ942" s="89" t="n"/>
      <c r="AR942" s="89" t="n"/>
      <c r="AS942" s="89" t="n"/>
      <c r="AT942" s="89" t="n">
        <v>36.34343</v>
      </c>
      <c r="AU942" s="89" t="n"/>
      <c r="AV942" s="89" t="n">
        <v>57.30274</v>
      </c>
      <c r="AW942" s="89" t="n"/>
      <c r="AX942" s="89" t="n">
        <v>41.69653</v>
      </c>
      <c r="AY942" s="89" t="n">
        <v>79.41521</v>
      </c>
    </row>
    <row r="943">
      <c r="A943" t="inlineStr">
        <is>
          <t>1997-06</t>
        </is>
      </c>
      <c r="B943" s="1" t="n">
        <v>35582</v>
      </c>
      <c r="C943" s="88" t="n">
        <v>943</v>
      </c>
      <c r="E943" s="1">
        <f>B943</f>
        <v/>
      </c>
      <c r="F943" s="2">
        <f>B943</f>
        <v/>
      </c>
      <c r="G943" s="88" t="n">
        <v>941</v>
      </c>
      <c r="H943" s="89" t="n"/>
      <c r="I943" s="89" t="n"/>
      <c r="J943" s="89" t="n">
        <v>67.15485</v>
      </c>
      <c r="K943" s="89" t="n">
        <v>81.59014999999999</v>
      </c>
      <c r="L943" s="89" t="n"/>
      <c r="M943" s="89" t="n">
        <v>60.47003</v>
      </c>
      <c r="N943" s="89" t="n">
        <v>72.99392</v>
      </c>
      <c r="O943" s="89" t="n">
        <v>100.4759</v>
      </c>
      <c r="P943" s="89" t="n">
        <v>109.0521</v>
      </c>
      <c r="Q943" s="89" t="n"/>
      <c r="R943" s="89" t="n">
        <v>85.2</v>
      </c>
      <c r="S943" s="89" t="n">
        <v>97.65081000000001</v>
      </c>
      <c r="T943" s="89" t="n">
        <v>106.0045</v>
      </c>
      <c r="U943" s="89" t="n">
        <v>126.2747</v>
      </c>
      <c r="V943" s="89" t="n">
        <v>40.22547</v>
      </c>
      <c r="W943" s="89" t="n">
        <v>28.27581</v>
      </c>
      <c r="X943" s="89" t="n"/>
      <c r="Y943" s="89" t="n">
        <v>61.84646</v>
      </c>
      <c r="Z943" s="89" t="n">
        <v>121.3899</v>
      </c>
      <c r="AA943" s="89" t="n">
        <v>108.6103</v>
      </c>
      <c r="AB943" s="89" t="n">
        <v>37.1499</v>
      </c>
      <c r="AC943" s="89" t="n">
        <v>76.96844</v>
      </c>
      <c r="AD943" s="89" t="n"/>
      <c r="AE943" s="89" t="n">
        <v>83.17872</v>
      </c>
      <c r="AF943" s="89" t="n">
        <v>84.72551</v>
      </c>
      <c r="AG943" s="89" t="n">
        <v>118.4056</v>
      </c>
      <c r="AH943" s="89" t="n">
        <v>78.97811</v>
      </c>
      <c r="AI943" s="89" t="n">
        <v>41.96191</v>
      </c>
      <c r="AJ943" s="89" t="n">
        <v>118.7649</v>
      </c>
      <c r="AK943" s="89" t="n">
        <v>38.84467</v>
      </c>
      <c r="AL943" s="89" t="n">
        <v>70.87251999999999</v>
      </c>
      <c r="AM943" s="89" t="n">
        <v>88.35048999999999</v>
      </c>
      <c r="AN943" s="89" t="n"/>
      <c r="AO943" s="89" t="n">
        <v>78.98125</v>
      </c>
      <c r="AP943" s="89" t="n">
        <v>85.58574</v>
      </c>
      <c r="AQ943" s="89" t="n"/>
      <c r="AR943" s="89" t="n"/>
      <c r="AS943" s="89" t="n"/>
      <c r="AT943" s="89" t="n">
        <v>36.65956</v>
      </c>
      <c r="AU943" s="89" t="n"/>
      <c r="AV943" s="89" t="n">
        <v>57.75445</v>
      </c>
      <c r="AW943" s="89" t="n"/>
      <c r="AX943" s="89" t="n">
        <v>42.19648</v>
      </c>
      <c r="AY943" s="89" t="n">
        <v>82.32076000000001</v>
      </c>
    </row>
    <row r="944">
      <c r="A944" t="inlineStr">
        <is>
          <t>1997-07</t>
        </is>
      </c>
      <c r="B944" s="1" t="n">
        <v>35612</v>
      </c>
      <c r="C944" s="88" t="n">
        <v>944</v>
      </c>
      <c r="E944" s="1">
        <f>B944</f>
        <v/>
      </c>
      <c r="F944" s="2">
        <f>B944</f>
        <v/>
      </c>
      <c r="G944" s="88" t="n">
        <v>942</v>
      </c>
      <c r="H944" s="89" t="n"/>
      <c r="I944" s="89" t="n"/>
      <c r="J944" s="89" t="n">
        <v>69.42314</v>
      </c>
      <c r="K944" s="89" t="n">
        <v>83.61321</v>
      </c>
      <c r="L944" s="89" t="n"/>
      <c r="M944" s="89" t="n">
        <v>59.67176</v>
      </c>
      <c r="N944" s="89" t="n">
        <v>73.79385000000001</v>
      </c>
      <c r="O944" s="89" t="n">
        <v>99.16956999999999</v>
      </c>
      <c r="P944" s="89" t="n">
        <v>110.3841</v>
      </c>
      <c r="Q944" s="89" t="n"/>
      <c r="R944" s="89" t="n">
        <v>85</v>
      </c>
      <c r="S944" s="89" t="n">
        <v>97.82082</v>
      </c>
      <c r="T944" s="89" t="n">
        <v>107.5619</v>
      </c>
      <c r="U944" s="89" t="n">
        <v>124.9437</v>
      </c>
      <c r="V944" s="89" t="n">
        <v>39.49303</v>
      </c>
      <c r="W944" s="89" t="n">
        <v>28.75104</v>
      </c>
      <c r="X944" s="89" t="n"/>
      <c r="Y944" s="89" t="n">
        <v>61.84646</v>
      </c>
      <c r="Z944" s="89" t="n">
        <v>122.1898</v>
      </c>
      <c r="AA944" s="89" t="n">
        <v>108.9146</v>
      </c>
      <c r="AB944" s="89" t="n">
        <v>36.31897</v>
      </c>
      <c r="AC944" s="89" t="n">
        <v>81.13461</v>
      </c>
      <c r="AD944" s="89" t="n"/>
      <c r="AE944" s="89" t="n">
        <v>83.07746</v>
      </c>
      <c r="AF944" s="89" t="n">
        <v>85.19620999999999</v>
      </c>
      <c r="AG944" s="89" t="n">
        <v>121.9042</v>
      </c>
      <c r="AH944" s="89" t="n">
        <v>79.39928</v>
      </c>
      <c r="AI944" s="89" t="n">
        <v>40.19545</v>
      </c>
      <c r="AJ944" s="89" t="n">
        <v>116.5033</v>
      </c>
      <c r="AK944" s="89" t="n">
        <v>37.8237</v>
      </c>
      <c r="AL944" s="89" t="n">
        <v>72.66973</v>
      </c>
      <c r="AM944" s="89" t="n">
        <v>90.07095</v>
      </c>
      <c r="AN944" s="89" t="n"/>
      <c r="AO944" s="89" t="n">
        <v>79.58369</v>
      </c>
      <c r="AP944" s="89" t="n">
        <v>86.28561999999999</v>
      </c>
      <c r="AQ944" s="89" t="n"/>
      <c r="AR944" s="89" t="n"/>
      <c r="AS944" s="89" t="n"/>
      <c r="AT944" s="89" t="n">
        <v>36.91539</v>
      </c>
      <c r="AU944" s="89" t="n"/>
      <c r="AV944" s="89" t="n">
        <v>58.14246</v>
      </c>
      <c r="AW944" s="89" t="n"/>
      <c r="AX944" s="89" t="n">
        <v>41.9965</v>
      </c>
      <c r="AY944" s="89" t="n">
        <v>81.28494999999999</v>
      </c>
    </row>
    <row r="945">
      <c r="A945" t="inlineStr">
        <is>
          <t>1997-08</t>
        </is>
      </c>
      <c r="B945" s="1" t="n">
        <v>35643</v>
      </c>
      <c r="C945" s="88" t="n">
        <v>945</v>
      </c>
      <c r="E945" s="1">
        <f>B945</f>
        <v/>
      </c>
      <c r="F945" s="2">
        <f>B945</f>
        <v/>
      </c>
      <c r="G945" s="88" t="n">
        <v>943</v>
      </c>
      <c r="H945" s="89" t="n"/>
      <c r="I945" s="89" t="n"/>
      <c r="J945" s="89" t="n">
        <v>68.60762</v>
      </c>
      <c r="K945" s="89" t="n">
        <v>83.42889</v>
      </c>
      <c r="L945" s="89" t="n"/>
      <c r="M945" s="89" t="n">
        <v>60.51837</v>
      </c>
      <c r="N945" s="89" t="n">
        <v>71.39404999999999</v>
      </c>
      <c r="O945" s="89" t="n">
        <v>96.66584</v>
      </c>
      <c r="P945" s="89" t="n">
        <v>112.0841</v>
      </c>
      <c r="Q945" s="89" t="n"/>
      <c r="R945" s="89" t="n">
        <v>83.90000000000001</v>
      </c>
      <c r="S945" s="89" t="n">
        <v>101.6108</v>
      </c>
      <c r="T945" s="89" t="n">
        <v>105.7969</v>
      </c>
      <c r="U945" s="89" t="n">
        <v>120.341</v>
      </c>
      <c r="V945" s="89" t="n">
        <v>40.92861</v>
      </c>
      <c r="W945" s="89" t="n">
        <v>29.10746</v>
      </c>
      <c r="X945" s="89" t="n"/>
      <c r="Y945" s="89" t="n">
        <v>60.93592</v>
      </c>
      <c r="Z945" s="89" t="n">
        <v>122.8898</v>
      </c>
      <c r="AA945" s="89" t="n">
        <v>108.4075</v>
      </c>
      <c r="AB945" s="89" t="n">
        <v>37.42788</v>
      </c>
      <c r="AC945" s="89" t="n">
        <v>78.72504000000001</v>
      </c>
      <c r="AD945" s="89" t="n"/>
      <c r="AE945" s="89" t="n">
        <v>83.94262999999999</v>
      </c>
      <c r="AF945" s="89" t="n">
        <v>86.04346</v>
      </c>
      <c r="AG945" s="89" t="n">
        <v>116.1096</v>
      </c>
      <c r="AH945" s="89" t="n">
        <v>79.58481999999999</v>
      </c>
      <c r="AI945" s="89" t="n">
        <v>40.24757</v>
      </c>
      <c r="AJ945" s="89" t="n">
        <v>116.2887</v>
      </c>
      <c r="AK945" s="89" t="n">
        <v>36.77414</v>
      </c>
      <c r="AL945" s="89" t="n">
        <v>69.15345000000001</v>
      </c>
      <c r="AM945" s="89" t="n">
        <v>89.56493</v>
      </c>
      <c r="AN945" s="89" t="n"/>
      <c r="AO945" s="89" t="n">
        <v>80.4152</v>
      </c>
      <c r="AP945" s="89" t="n">
        <v>86.3856</v>
      </c>
      <c r="AQ945" s="89" t="n"/>
      <c r="AR945" s="89" t="n"/>
      <c r="AS945" s="89" t="n"/>
      <c r="AT945" s="89" t="n">
        <v>36.82687</v>
      </c>
      <c r="AU945" s="89" t="n"/>
      <c r="AV945" s="89" t="n">
        <v>58.64117</v>
      </c>
      <c r="AW945" s="89" t="n"/>
      <c r="AX945" s="89" t="n">
        <v>43.39639</v>
      </c>
      <c r="AY945" s="89" t="n">
        <v>81.95208</v>
      </c>
    </row>
    <row r="946">
      <c r="A946" t="inlineStr">
        <is>
          <t>1997-09</t>
        </is>
      </c>
      <c r="B946" s="1" t="n">
        <v>35674</v>
      </c>
      <c r="C946" s="88" t="n">
        <v>946</v>
      </c>
      <c r="E946" s="1">
        <f>B946</f>
        <v/>
      </c>
      <c r="F946" s="2">
        <f>B946</f>
        <v/>
      </c>
      <c r="G946" s="88" t="n">
        <v>944</v>
      </c>
      <c r="H946" s="89" t="n"/>
      <c r="I946" s="89" t="n"/>
      <c r="J946" s="89" t="n">
        <v>68.69996999999999</v>
      </c>
      <c r="K946" s="89" t="n">
        <v>83.29298</v>
      </c>
      <c r="L946" s="89" t="n"/>
      <c r="M946" s="89" t="n">
        <v>61.33649</v>
      </c>
      <c r="N946" s="89" t="n">
        <v>71.994</v>
      </c>
      <c r="O946" s="89" t="n">
        <v>99.16956999999999</v>
      </c>
      <c r="P946" s="89" t="n">
        <v>111.5551</v>
      </c>
      <c r="Q946" s="89" t="n"/>
      <c r="R946" s="89" t="n">
        <v>83.90000000000001</v>
      </c>
      <c r="S946" s="89" t="n">
        <v>99.23083</v>
      </c>
      <c r="T946" s="89" t="n">
        <v>106.316</v>
      </c>
      <c r="U946" s="89" t="n">
        <v>126.018</v>
      </c>
      <c r="V946" s="89" t="n">
        <v>41.13369</v>
      </c>
      <c r="W946" s="89" t="n">
        <v>29.22626</v>
      </c>
      <c r="X946" s="89" t="n"/>
      <c r="Y946" s="89" t="n">
        <v>61.35617</v>
      </c>
      <c r="Z946" s="89" t="n">
        <v>122.7898</v>
      </c>
      <c r="AA946" s="89" t="n">
        <v>107.6976</v>
      </c>
      <c r="AB946" s="89" t="n">
        <v>37.61287</v>
      </c>
      <c r="AC946" s="89" t="n">
        <v>81.16579</v>
      </c>
      <c r="AD946" s="89" t="n"/>
      <c r="AE946" s="89" t="n">
        <v>84.05973</v>
      </c>
      <c r="AF946" s="89" t="n">
        <v>86.51416</v>
      </c>
      <c r="AG946" s="89" t="n">
        <v>119.4989</v>
      </c>
      <c r="AH946" s="89" t="n">
        <v>79.8539</v>
      </c>
      <c r="AI946" s="89" t="n">
        <v>41.63357</v>
      </c>
      <c r="AJ946" s="89" t="n">
        <v>115.8476</v>
      </c>
      <c r="AK946" s="89" t="n">
        <v>37.41195</v>
      </c>
      <c r="AL946" s="89" t="n">
        <v>71.65392</v>
      </c>
      <c r="AM946" s="89" t="n">
        <v>89.86854</v>
      </c>
      <c r="AN946" s="89" t="n"/>
      <c r="AO946" s="89" t="n">
        <v>81.12953</v>
      </c>
      <c r="AP946" s="89" t="n">
        <v>86.08566</v>
      </c>
      <c r="AQ946" s="89" t="n"/>
      <c r="AR946" s="89" t="n"/>
      <c r="AS946" s="89" t="n"/>
      <c r="AT946" s="89" t="n">
        <v>37.31566</v>
      </c>
      <c r="AU946" s="89" t="n"/>
      <c r="AV946" s="89" t="n">
        <v>58.00948</v>
      </c>
      <c r="AW946" s="89" t="n"/>
      <c r="AX946" s="89" t="n">
        <v>43.29639</v>
      </c>
      <c r="AY946" s="89" t="n">
        <v>83.96226</v>
      </c>
    </row>
    <row r="947">
      <c r="A947" t="inlineStr">
        <is>
          <t>1997-10</t>
        </is>
      </c>
      <c r="B947" s="1" t="n">
        <v>35704</v>
      </c>
      <c r="C947" s="88" t="n">
        <v>947</v>
      </c>
      <c r="E947" s="1">
        <f>B947</f>
        <v/>
      </c>
      <c r="F947" s="2">
        <f>B947</f>
        <v/>
      </c>
      <c r="G947" s="88" t="n">
        <v>945</v>
      </c>
      <c r="H947" s="89" t="n"/>
      <c r="I947" s="89" t="n"/>
      <c r="J947" s="89" t="n">
        <v>68.43518</v>
      </c>
      <c r="K947" s="89" t="n">
        <v>84.26839</v>
      </c>
      <c r="L947" s="89" t="n"/>
      <c r="M947" s="89" t="n">
        <v>62.81023</v>
      </c>
      <c r="N947" s="89" t="n">
        <v>72.99392</v>
      </c>
      <c r="O947" s="89" t="n">
        <v>103.0885</v>
      </c>
      <c r="P947" s="89" t="n">
        <v>112.8841</v>
      </c>
      <c r="Q947" s="89" t="n"/>
      <c r="R947" s="89" t="n">
        <v>85.3</v>
      </c>
      <c r="S947" s="89" t="n">
        <v>101.7208</v>
      </c>
      <c r="T947" s="89" t="n">
        <v>107.0427</v>
      </c>
      <c r="U947" s="89" t="n">
        <v>126.9024</v>
      </c>
      <c r="V947" s="89" t="n">
        <v>41.66105</v>
      </c>
      <c r="W947" s="89" t="n">
        <v>29.16686</v>
      </c>
      <c r="X947" s="89" t="n"/>
      <c r="Y947" s="89" t="n">
        <v>61.77642</v>
      </c>
      <c r="Z947" s="89" t="n">
        <v>124.2896</v>
      </c>
      <c r="AA947" s="89" t="n">
        <v>106.9878</v>
      </c>
      <c r="AB947" s="89" t="n">
        <v>36.78093</v>
      </c>
      <c r="AC947" s="89" t="n">
        <v>81.70004</v>
      </c>
      <c r="AD947" s="89" t="n"/>
      <c r="AE947" s="89" t="n">
        <v>84.79470000000001</v>
      </c>
      <c r="AF947" s="89" t="n">
        <v>86.04346</v>
      </c>
      <c r="AG947" s="89" t="n">
        <v>122.7788</v>
      </c>
      <c r="AH947" s="89" t="n">
        <v>80.39199000000001</v>
      </c>
      <c r="AI947" s="89" t="n">
        <v>41.3624</v>
      </c>
      <c r="AJ947" s="89" t="n">
        <v>119.0166</v>
      </c>
      <c r="AK947" s="89" t="n">
        <v>38.80888</v>
      </c>
      <c r="AL947" s="89" t="n">
        <v>72.12275</v>
      </c>
      <c r="AM947" s="89" t="n">
        <v>91.28539000000001</v>
      </c>
      <c r="AN947" s="89" t="n"/>
      <c r="AO947" s="89" t="n">
        <v>81.82754</v>
      </c>
      <c r="AP947" s="89" t="n">
        <v>87.38544</v>
      </c>
      <c r="AQ947" s="89" t="n"/>
      <c r="AR947" s="89" t="n"/>
      <c r="AS947" s="89" t="n"/>
      <c r="AT947" s="89" t="n">
        <v>37.52988</v>
      </c>
      <c r="AU947" s="89" t="n"/>
      <c r="AV947" s="89" t="n">
        <v>57.53571</v>
      </c>
      <c r="AW947" s="89" t="n"/>
      <c r="AX947" s="89" t="n">
        <v>42.89643</v>
      </c>
      <c r="AY947" s="89" t="n">
        <v>84.40116</v>
      </c>
    </row>
    <row r="948">
      <c r="A948" t="inlineStr">
        <is>
          <t>1997-11</t>
        </is>
      </c>
      <c r="B948" s="1" t="n">
        <v>35735</v>
      </c>
      <c r="C948" s="88" t="n">
        <v>948</v>
      </c>
      <c r="E948" s="1">
        <f>B948</f>
        <v/>
      </c>
      <c r="F948" s="2">
        <f>B948</f>
        <v/>
      </c>
      <c r="G948" s="88" t="n">
        <v>946</v>
      </c>
      <c r="H948" s="89" t="n"/>
      <c r="I948" s="89" t="n"/>
      <c r="J948" s="89" t="n">
        <v>66.80759999999999</v>
      </c>
      <c r="K948" s="89" t="n">
        <v>84.36899</v>
      </c>
      <c r="L948" s="89" t="n"/>
      <c r="M948" s="89" t="n">
        <v>64.05316000000001</v>
      </c>
      <c r="N948" s="89" t="n">
        <v>73.39388</v>
      </c>
      <c r="O948" s="89" t="n">
        <v>105.701</v>
      </c>
      <c r="P948" s="89" t="n">
        <v>111.7921</v>
      </c>
      <c r="Q948" s="89" t="n"/>
      <c r="R948" s="89" t="n">
        <v>87.2</v>
      </c>
      <c r="S948" s="89" t="n">
        <v>99.38083</v>
      </c>
      <c r="T948" s="89" t="n">
        <v>107.3542</v>
      </c>
      <c r="U948" s="89" t="n">
        <v>128.0791</v>
      </c>
      <c r="V948" s="89" t="n">
        <v>43.03803</v>
      </c>
      <c r="W948" s="89" t="n">
        <v>30.29552</v>
      </c>
      <c r="X948" s="89" t="n"/>
      <c r="Y948" s="89" t="n">
        <v>63.31733</v>
      </c>
      <c r="Z948" s="89" t="n">
        <v>123.5897</v>
      </c>
      <c r="AA948" s="89" t="n">
        <v>105.6694</v>
      </c>
      <c r="AB948" s="89" t="n">
        <v>36.31897</v>
      </c>
      <c r="AC948" s="89" t="n">
        <v>83.58463</v>
      </c>
      <c r="AD948" s="89" t="n"/>
      <c r="AE948" s="89" t="n">
        <v>84.69239</v>
      </c>
      <c r="AF948" s="89" t="n">
        <v>87.26727</v>
      </c>
      <c r="AG948" s="89" t="n">
        <v>120.7015</v>
      </c>
      <c r="AH948" s="89" t="n">
        <v>80.435</v>
      </c>
      <c r="AI948" s="89" t="n">
        <v>42.32091</v>
      </c>
      <c r="AJ948" s="89" t="n">
        <v>119.8368</v>
      </c>
      <c r="AK948" s="89" t="n">
        <v>39.07798</v>
      </c>
      <c r="AL948" s="89" t="n">
        <v>73.06041999999999</v>
      </c>
      <c r="AM948" s="89" t="n">
        <v>90.98177</v>
      </c>
      <c r="AN948" s="89" t="n"/>
      <c r="AO948" s="89" t="n">
        <v>82.5459</v>
      </c>
      <c r="AP948" s="89" t="n">
        <v>86.9855</v>
      </c>
      <c r="AQ948" s="89" t="n"/>
      <c r="AR948" s="89" t="n"/>
      <c r="AS948" s="89" t="n"/>
      <c r="AT948" s="89" t="n">
        <v>37.61499</v>
      </c>
      <c r="AU948" s="89" t="n"/>
      <c r="AV948" s="89" t="n">
        <v>58.15804</v>
      </c>
      <c r="AW948" s="89" t="n"/>
      <c r="AX948" s="89" t="n">
        <v>42.29647</v>
      </c>
      <c r="AY948" s="89" t="n">
        <v>80.62658999999999</v>
      </c>
    </row>
    <row r="949">
      <c r="A949" t="inlineStr">
        <is>
          <t>1997-12</t>
        </is>
      </c>
      <c r="B949" s="1" t="n">
        <v>35765</v>
      </c>
      <c r="C949" s="88" t="n">
        <v>949</v>
      </c>
      <c r="E949" s="1">
        <f>B949</f>
        <v/>
      </c>
      <c r="F949" s="2">
        <f>B949</f>
        <v/>
      </c>
      <c r="G949" s="88" t="n">
        <v>947</v>
      </c>
      <c r="H949" s="89" t="n"/>
      <c r="I949" s="89" t="n"/>
      <c r="J949" s="89" t="n">
        <v>70.1412</v>
      </c>
      <c r="K949" s="89" t="n">
        <v>84.64427999999999</v>
      </c>
      <c r="L949" s="89" t="n"/>
      <c r="M949" s="89" t="n">
        <v>59.3946</v>
      </c>
      <c r="N949" s="89" t="n">
        <v>74.09383</v>
      </c>
      <c r="O949" s="89" t="n">
        <v>105.1568</v>
      </c>
      <c r="P949" s="89" t="n">
        <v>111.5521</v>
      </c>
      <c r="Q949" s="89" t="n"/>
      <c r="R949" s="89" t="n">
        <v>88.40000000000001</v>
      </c>
      <c r="S949" s="89" t="n">
        <v>101.3708</v>
      </c>
      <c r="T949" s="89" t="n">
        <v>107.1466</v>
      </c>
      <c r="U949" s="89" t="n">
        <v>128.8611</v>
      </c>
      <c r="V949" s="89" t="n">
        <v>42.07121</v>
      </c>
      <c r="W949" s="89" t="n">
        <v>29.82029</v>
      </c>
      <c r="X949" s="89" t="n"/>
      <c r="Y949" s="89" t="n">
        <v>61.076</v>
      </c>
      <c r="Z949" s="89" t="n">
        <v>124.4896</v>
      </c>
      <c r="AA949" s="89" t="n">
        <v>104.6553</v>
      </c>
      <c r="AB949" s="89" t="n">
        <v>35.76402</v>
      </c>
      <c r="AC949" s="89" t="n">
        <v>82.54879</v>
      </c>
      <c r="AD949" s="89" t="n"/>
      <c r="AE949" s="89" t="n">
        <v>84.06131000000001</v>
      </c>
      <c r="AF949" s="89" t="n">
        <v>84.16068</v>
      </c>
      <c r="AG949" s="89" t="n">
        <v>121.1389</v>
      </c>
      <c r="AH949" s="89" t="n">
        <v>80.45602</v>
      </c>
      <c r="AI949" s="89" t="n">
        <v>42.14329</v>
      </c>
      <c r="AJ949" s="89" t="n">
        <v>118.3754</v>
      </c>
      <c r="AK949" s="89" t="n">
        <v>38.93835</v>
      </c>
      <c r="AL949" s="89" t="n">
        <v>73.13857</v>
      </c>
      <c r="AM949" s="89" t="n">
        <v>92.60102999999999</v>
      </c>
      <c r="AN949" s="89" t="n"/>
      <c r="AO949" s="89" t="n">
        <v>82.80043999999999</v>
      </c>
      <c r="AP949" s="89" t="n">
        <v>87.98533999999999</v>
      </c>
      <c r="AQ949" s="89" t="n"/>
      <c r="AR949" s="89" t="n"/>
      <c r="AS949" s="89" t="n"/>
      <c r="AT949" s="89" t="n">
        <v>37.41751</v>
      </c>
      <c r="AU949" s="89" t="n"/>
      <c r="AV949" s="89" t="n">
        <v>56.00526</v>
      </c>
      <c r="AW949" s="89" t="n"/>
      <c r="AX949" s="89" t="n">
        <v>42.89643</v>
      </c>
      <c r="AY949" s="89" t="n">
        <v>77.09781</v>
      </c>
    </row>
    <row r="950">
      <c r="A950" t="inlineStr">
        <is>
          <t>1998-01</t>
        </is>
      </c>
      <c r="B950" s="1" t="n">
        <v>35796</v>
      </c>
      <c r="C950" s="88" t="n">
        <v>950</v>
      </c>
      <c r="E950" s="1">
        <f>B950</f>
        <v/>
      </c>
      <c r="F950" s="2">
        <f>B950</f>
        <v/>
      </c>
      <c r="G950" s="88" t="n">
        <v>948</v>
      </c>
      <c r="H950" s="89" t="n"/>
      <c r="I950" s="89" t="n"/>
      <c r="J950" s="89" t="n">
        <v>69.43736</v>
      </c>
      <c r="K950" s="89" t="n">
        <v>84.02200000000001</v>
      </c>
      <c r="L950" s="89" t="n"/>
      <c r="M950" s="89" t="n">
        <v>63.84033</v>
      </c>
      <c r="N950" s="89" t="n">
        <v>74.89376</v>
      </c>
      <c r="O950" s="89" t="n">
        <v>102.4353</v>
      </c>
      <c r="P950" s="89" t="n">
        <v>113.4411</v>
      </c>
      <c r="Q950" s="89" t="n"/>
      <c r="R950" s="89" t="n">
        <v>86.59999999999999</v>
      </c>
      <c r="S950" s="89" t="n">
        <v>101.3708</v>
      </c>
      <c r="T950" s="89" t="n">
        <v>106.9389</v>
      </c>
      <c r="U950" s="89" t="n">
        <v>132.173</v>
      </c>
      <c r="V950" s="89" t="n">
        <v>41.90744</v>
      </c>
      <c r="W950" s="89" t="n">
        <v>31.66178</v>
      </c>
      <c r="X950" s="89" t="n">
        <v>25.60022</v>
      </c>
      <c r="Y950" s="89" t="n">
        <v>60.93592</v>
      </c>
      <c r="Z950" s="89" t="n">
        <v>123.5897</v>
      </c>
      <c r="AA950" s="89" t="n">
        <v>106.1943</v>
      </c>
      <c r="AB950" s="89" t="n">
        <v>33.73119</v>
      </c>
      <c r="AC950" s="89" t="n">
        <v>82.0253</v>
      </c>
      <c r="AD950" s="89" t="n"/>
      <c r="AE950" s="89" t="n">
        <v>84.65749</v>
      </c>
      <c r="AF950" s="89" t="n">
        <v>86.70244</v>
      </c>
      <c r="AG950" s="89" t="n">
        <v>119.1709</v>
      </c>
      <c r="AH950" s="89" t="n">
        <v>80.80506</v>
      </c>
      <c r="AI950" s="89" t="n">
        <v>42.95168</v>
      </c>
      <c r="AJ950" s="89" t="n">
        <v>118.833</v>
      </c>
      <c r="AK950" s="89" t="n">
        <v>40.61821</v>
      </c>
      <c r="AL950" s="89" t="n">
        <v>73.74309</v>
      </c>
      <c r="AM950" s="89" t="n">
        <v>91.38659</v>
      </c>
      <c r="AN950" s="89" t="n"/>
      <c r="AO950" s="89" t="n">
        <v>83.22565</v>
      </c>
      <c r="AP950" s="89" t="n">
        <v>88.28529</v>
      </c>
      <c r="AQ950" s="89" t="n"/>
      <c r="AR950" s="89" t="n"/>
      <c r="AS950" s="89" t="n"/>
      <c r="AT950" s="89" t="n">
        <v>37.61305</v>
      </c>
      <c r="AU950" s="89" t="n"/>
      <c r="AV950" s="89" t="n">
        <v>53.74749</v>
      </c>
      <c r="AW950" s="89" t="n"/>
      <c r="AX950" s="89" t="n">
        <v>43.39639</v>
      </c>
      <c r="AY950" s="89" t="n">
        <v>78.51108000000001</v>
      </c>
    </row>
    <row r="951">
      <c r="A951" t="inlineStr">
        <is>
          <t>1998-02</t>
        </is>
      </c>
      <c r="B951" s="1" t="n">
        <v>35827</v>
      </c>
      <c r="C951" s="88" t="n">
        <v>951</v>
      </c>
      <c r="E951" s="1">
        <f>B951</f>
        <v/>
      </c>
      <c r="F951" s="2">
        <f>B951</f>
        <v/>
      </c>
      <c r="G951" s="88" t="n">
        <v>949</v>
      </c>
      <c r="H951" s="89" t="n"/>
      <c r="I951" s="89" t="n"/>
      <c r="J951" s="89" t="n">
        <v>70.23293</v>
      </c>
      <c r="K951" s="89" t="n">
        <v>85.05681</v>
      </c>
      <c r="L951" s="89" t="n"/>
      <c r="M951" s="89" t="n">
        <v>63.80018</v>
      </c>
      <c r="N951" s="89" t="n">
        <v>74.69378</v>
      </c>
      <c r="O951" s="89" t="n">
        <v>101.4556</v>
      </c>
      <c r="P951" s="89" t="n">
        <v>116.3251</v>
      </c>
      <c r="Q951" s="89" t="n"/>
      <c r="R951" s="89" t="n">
        <v>88.09999999999999</v>
      </c>
      <c r="S951" s="89" t="n">
        <v>102.0709</v>
      </c>
      <c r="T951" s="89" t="n">
        <v>108.1848</v>
      </c>
      <c r="U951" s="89" t="n">
        <v>134.0818</v>
      </c>
      <c r="V951" s="89" t="n">
        <v>43.37478</v>
      </c>
      <c r="W951" s="89" t="n">
        <v>32.96865</v>
      </c>
      <c r="X951" s="89" t="n">
        <v>25.58204</v>
      </c>
      <c r="Y951" s="89" t="n">
        <v>64.71814999999999</v>
      </c>
      <c r="Z951" s="89" t="n">
        <v>123.4897</v>
      </c>
      <c r="AA951" s="89" t="n">
        <v>103.4305</v>
      </c>
      <c r="AB951" s="89" t="n">
        <v>34.00817</v>
      </c>
      <c r="AC951" s="89" t="n">
        <v>85.47453</v>
      </c>
      <c r="AD951" s="89" t="n"/>
      <c r="AE951" s="89" t="n">
        <v>86.48952</v>
      </c>
      <c r="AF951" s="89" t="n">
        <v>85.47862000000001</v>
      </c>
      <c r="AG951" s="89" t="n">
        <v>118.2962</v>
      </c>
      <c r="AH951" s="89" t="n">
        <v>80.86424</v>
      </c>
      <c r="AI951" s="89" t="n">
        <v>43.52604</v>
      </c>
      <c r="AJ951" s="89" t="n">
        <v>124.4275</v>
      </c>
      <c r="AK951" s="89" t="n">
        <v>40.33678</v>
      </c>
      <c r="AL951" s="89" t="n">
        <v>74.58320000000001</v>
      </c>
      <c r="AM951" s="89" t="n">
        <v>91.28539000000001</v>
      </c>
      <c r="AN951" s="89" t="n"/>
      <c r="AO951" s="89" t="n">
        <v>83.33496</v>
      </c>
      <c r="AP951" s="89" t="n">
        <v>88.68522</v>
      </c>
      <c r="AQ951" s="89" t="n"/>
      <c r="AR951" s="89" t="n"/>
      <c r="AS951" s="89" t="n"/>
      <c r="AT951" s="89" t="n">
        <v>37.9968</v>
      </c>
      <c r="AU951" s="89" t="n"/>
      <c r="AV951" s="89" t="n">
        <v>56.24813</v>
      </c>
      <c r="AW951" s="89" t="n"/>
      <c r="AX951" s="89" t="n">
        <v>43.49638</v>
      </c>
      <c r="AY951" s="89" t="n">
        <v>79.97701000000001</v>
      </c>
    </row>
    <row r="952">
      <c r="A952" t="inlineStr">
        <is>
          <t>1998-03</t>
        </is>
      </c>
      <c r="B952" s="1" t="n">
        <v>35855</v>
      </c>
      <c r="C952" s="88" t="n">
        <v>952</v>
      </c>
      <c r="E952" s="1">
        <f>B952</f>
        <v/>
      </c>
      <c r="F952" s="2">
        <f>B952</f>
        <v/>
      </c>
      <c r="G952" s="88" t="n">
        <v>950</v>
      </c>
      <c r="H952" s="89" t="n"/>
      <c r="I952" s="89" t="n"/>
      <c r="J952" s="89" t="n">
        <v>69.69880000000001</v>
      </c>
      <c r="K952" s="89" t="n">
        <v>85.89471</v>
      </c>
      <c r="L952" s="89" t="n"/>
      <c r="M952" s="89" t="n">
        <v>63.99145</v>
      </c>
      <c r="N952" s="89" t="n">
        <v>75.69370000000001</v>
      </c>
      <c r="O952" s="89" t="n">
        <v>103.415</v>
      </c>
      <c r="P952" s="89" t="n">
        <v>114.3011</v>
      </c>
      <c r="Q952" s="89" t="n"/>
      <c r="R952" s="89" t="n">
        <v>89.3</v>
      </c>
      <c r="S952" s="89" t="n">
        <v>100.8508</v>
      </c>
      <c r="T952" s="89" t="n">
        <v>108.4963</v>
      </c>
      <c r="U952" s="89" t="n">
        <v>143.6789</v>
      </c>
      <c r="V952" s="89" t="n">
        <v>43.49217</v>
      </c>
      <c r="W952" s="89" t="n">
        <v>33.26566</v>
      </c>
      <c r="X952" s="89" t="n">
        <v>26.09271</v>
      </c>
      <c r="Y952" s="89" t="n">
        <v>63.73758</v>
      </c>
      <c r="Z952" s="89" t="n">
        <v>122.8898</v>
      </c>
      <c r="AA952" s="89" t="n">
        <v>101.1981</v>
      </c>
      <c r="AB952" s="89" t="n">
        <v>32.62228</v>
      </c>
      <c r="AC952" s="89" t="n">
        <v>82.73246</v>
      </c>
      <c r="AD952" s="89" t="n"/>
      <c r="AE952" s="89" t="n">
        <v>88.08450999999999</v>
      </c>
      <c r="AF952" s="89" t="n">
        <v>85.85518</v>
      </c>
      <c r="AG952" s="89" t="n">
        <v>119.6082</v>
      </c>
      <c r="AH952" s="89" t="n">
        <v>80.65637</v>
      </c>
      <c r="AI952" s="89" t="n">
        <v>42.3834</v>
      </c>
      <c r="AJ952" s="89" t="n">
        <v>123.6494</v>
      </c>
      <c r="AK952" s="89" t="n">
        <v>41.8299</v>
      </c>
      <c r="AL952" s="89" t="n">
        <v>73.92977999999999</v>
      </c>
      <c r="AM952" s="89" t="n">
        <v>91.99379999999999</v>
      </c>
      <c r="AN952" s="89" t="n"/>
      <c r="AO952" s="89" t="n">
        <v>83.39124</v>
      </c>
      <c r="AP952" s="89" t="n">
        <v>88.68522</v>
      </c>
      <c r="AQ952" s="89" t="n"/>
      <c r="AR952" s="89" t="n"/>
      <c r="AS952" s="89" t="n"/>
      <c r="AT952" s="89" t="n">
        <v>37.48008</v>
      </c>
      <c r="AU952" s="89" t="n"/>
      <c r="AV952" s="89" t="n">
        <v>55.46016</v>
      </c>
      <c r="AW952" s="89" t="n"/>
      <c r="AX952" s="89" t="n">
        <v>44.19632</v>
      </c>
      <c r="AY952" s="89" t="n">
        <v>79.64345</v>
      </c>
    </row>
    <row r="953">
      <c r="A953" t="inlineStr">
        <is>
          <t>1998-04</t>
        </is>
      </c>
      <c r="B953" s="1" t="n">
        <v>35886</v>
      </c>
      <c r="C953" s="88" t="n">
        <v>953</v>
      </c>
      <c r="E953" s="1">
        <f>B953</f>
        <v/>
      </c>
      <c r="F953" s="2">
        <f>B953</f>
        <v/>
      </c>
      <c r="G953" s="88" t="n">
        <v>951</v>
      </c>
      <c r="H953" s="89" t="n"/>
      <c r="I953" s="89" t="n"/>
      <c r="J953" s="89" t="n">
        <v>69.87501</v>
      </c>
      <c r="K953" s="89" t="n">
        <v>85.51804</v>
      </c>
      <c r="L953" s="89" t="n"/>
      <c r="M953" s="89" t="n">
        <v>63.83781</v>
      </c>
      <c r="N953" s="89" t="n">
        <v>74.99375000000001</v>
      </c>
      <c r="O953" s="89" t="n">
        <v>97.86328</v>
      </c>
      <c r="P953" s="89" t="n">
        <v>115.1901</v>
      </c>
      <c r="Q953" s="89" t="n"/>
      <c r="R953" s="89" t="n">
        <v>90</v>
      </c>
      <c r="S953" s="89" t="n">
        <v>102.1508</v>
      </c>
      <c r="T953" s="89" t="n">
        <v>108.3925</v>
      </c>
      <c r="U953" s="89" t="n">
        <v>138.516</v>
      </c>
      <c r="V953" s="89" t="n">
        <v>43.96172</v>
      </c>
      <c r="W953" s="89" t="n">
        <v>32.43402</v>
      </c>
      <c r="X953" s="89" t="n">
        <v>26.61379</v>
      </c>
      <c r="Y953" s="89" t="n">
        <v>62.54687</v>
      </c>
      <c r="Z953" s="89" t="n">
        <v>123.8897</v>
      </c>
      <c r="AA953" s="89" t="n">
        <v>100.9855</v>
      </c>
      <c r="AB953" s="89" t="n">
        <v>32.25231</v>
      </c>
      <c r="AC953" s="89" t="n">
        <v>81.14125</v>
      </c>
      <c r="AD953" s="89" t="n"/>
      <c r="AE953" s="89" t="n">
        <v>86.80073</v>
      </c>
      <c r="AF953" s="89" t="n">
        <v>86.79658000000001</v>
      </c>
      <c r="AG953" s="89" t="n">
        <v>121.5762</v>
      </c>
      <c r="AH953" s="89" t="n">
        <v>80.6344</v>
      </c>
      <c r="AI953" s="89" t="n">
        <v>43.11141</v>
      </c>
      <c r="AJ953" s="89" t="n">
        <v>124.861</v>
      </c>
      <c r="AK953" s="89" t="n">
        <v>41.65016</v>
      </c>
      <c r="AL953" s="89" t="n">
        <v>74.39651000000001</v>
      </c>
      <c r="AM953" s="89" t="n">
        <v>93.10705</v>
      </c>
      <c r="AN953" s="89" t="n"/>
      <c r="AO953" s="89" t="n">
        <v>83.69986</v>
      </c>
      <c r="AP953" s="89" t="n">
        <v>88.98517</v>
      </c>
      <c r="AQ953" s="89" t="n"/>
      <c r="AR953" s="89" t="n"/>
      <c r="AS953" s="89" t="n"/>
      <c r="AT953" s="89" t="n">
        <v>37.92799</v>
      </c>
      <c r="AU953" s="89" t="n"/>
      <c r="AV953" s="89" t="n">
        <v>54.75544</v>
      </c>
      <c r="AW953" s="89" t="n"/>
      <c r="AX953" s="89" t="n">
        <v>43.29639</v>
      </c>
      <c r="AY953" s="89" t="n">
        <v>80.3018</v>
      </c>
    </row>
    <row r="954">
      <c r="A954" t="inlineStr">
        <is>
          <t>1998-05</t>
        </is>
      </c>
      <c r="B954" s="1" t="n">
        <v>35916</v>
      </c>
      <c r="C954" s="88" t="n">
        <v>954</v>
      </c>
      <c r="E954" s="1">
        <f>B954</f>
        <v/>
      </c>
      <c r="F954" s="2">
        <f>B954</f>
        <v/>
      </c>
      <c r="G954" s="88" t="n">
        <v>952</v>
      </c>
      <c r="H954" s="89" t="n"/>
      <c r="I954" s="89" t="n"/>
      <c r="J954" s="89" t="n">
        <v>69.84775999999999</v>
      </c>
      <c r="K954" s="89" t="n">
        <v>84.83503</v>
      </c>
      <c r="L954" s="89" t="n"/>
      <c r="M954" s="89" t="n">
        <v>62.63242</v>
      </c>
      <c r="N954" s="89" t="n">
        <v>75.39371</v>
      </c>
      <c r="O954" s="89" t="n">
        <v>98.29871</v>
      </c>
      <c r="P954" s="89" t="n">
        <v>115.9891</v>
      </c>
      <c r="Q954" s="89" t="n"/>
      <c r="R954" s="89" t="n">
        <v>89.59999999999999</v>
      </c>
      <c r="S954" s="89" t="n">
        <v>103.4409</v>
      </c>
      <c r="T954" s="89" t="n">
        <v>107.3542</v>
      </c>
      <c r="U954" s="89" t="n">
        <v>134.3363</v>
      </c>
      <c r="V954" s="89" t="n">
        <v>45.0769</v>
      </c>
      <c r="W954" s="89" t="n">
        <v>32.79044</v>
      </c>
      <c r="X954" s="89" t="n">
        <v>27.1123</v>
      </c>
      <c r="Y954" s="89" t="n">
        <v>62.68695</v>
      </c>
      <c r="Z954" s="89" t="n">
        <v>123.6897</v>
      </c>
      <c r="AA954" s="89" t="n">
        <v>100.2414</v>
      </c>
      <c r="AB954" s="89" t="n">
        <v>32.62228</v>
      </c>
      <c r="AC954" s="89" t="n">
        <v>82.10871</v>
      </c>
      <c r="AD954" s="89" t="n"/>
      <c r="AE954" s="89" t="n">
        <v>87.42489999999999</v>
      </c>
      <c r="AF954" s="89" t="n">
        <v>87.64382999999999</v>
      </c>
      <c r="AG954" s="89" t="n">
        <v>117.0936</v>
      </c>
      <c r="AH954" s="89" t="n">
        <v>80.79047</v>
      </c>
      <c r="AI954" s="89" t="n">
        <v>43.39059</v>
      </c>
      <c r="AJ954" s="89" t="n">
        <v>125.5668</v>
      </c>
      <c r="AK954" s="89" t="n">
        <v>39.95477</v>
      </c>
      <c r="AL954" s="89" t="n">
        <v>74.20981999999999</v>
      </c>
      <c r="AM954" s="89" t="n">
        <v>91.589</v>
      </c>
      <c r="AN954" s="89" t="n"/>
      <c r="AO954" s="89" t="n">
        <v>84.23208</v>
      </c>
      <c r="AP954" s="89" t="n">
        <v>89.28512000000001</v>
      </c>
      <c r="AQ954" s="89" t="n"/>
      <c r="AR954" s="89" t="n"/>
      <c r="AS954" s="89" t="n"/>
      <c r="AT954" s="89" t="n">
        <v>37.98383</v>
      </c>
      <c r="AU954" s="89" t="n"/>
      <c r="AV954" s="89" t="n">
        <v>52.36089</v>
      </c>
      <c r="AW954" s="89" t="n"/>
      <c r="AX954" s="89" t="n">
        <v>44.29631</v>
      </c>
      <c r="AY954" s="89" t="n">
        <v>81.88186</v>
      </c>
    </row>
    <row r="955">
      <c r="A955" t="inlineStr">
        <is>
          <t>1998-06</t>
        </is>
      </c>
      <c r="B955" s="1" t="n">
        <v>35947</v>
      </c>
      <c r="C955" s="88" t="n">
        <v>955</v>
      </c>
      <c r="E955" s="1">
        <f>B955</f>
        <v/>
      </c>
      <c r="F955" s="2">
        <f>B955</f>
        <v/>
      </c>
      <c r="G955" s="88" t="n">
        <v>953</v>
      </c>
      <c r="H955" s="89" t="n"/>
      <c r="I955" s="89" t="n"/>
      <c r="J955" s="89" t="n">
        <v>71.10548</v>
      </c>
      <c r="K955" s="89" t="n">
        <v>84.78286</v>
      </c>
      <c r="L955" s="89" t="n"/>
      <c r="M955" s="89" t="n">
        <v>61.65412</v>
      </c>
      <c r="N955" s="89" t="n">
        <v>74.79376999999999</v>
      </c>
      <c r="O955" s="89" t="n">
        <v>110.3819</v>
      </c>
      <c r="P955" s="89" t="n">
        <v>115.5801</v>
      </c>
      <c r="Q955" s="89" t="n"/>
      <c r="R955" s="89" t="n">
        <v>88.40000000000001</v>
      </c>
      <c r="S955" s="89" t="n">
        <v>102.7609</v>
      </c>
      <c r="T955" s="89" t="n">
        <v>107.2504</v>
      </c>
      <c r="U955" s="89" t="n">
        <v>135.9441</v>
      </c>
      <c r="V955" s="89" t="n">
        <v>45.37037</v>
      </c>
      <c r="W955" s="89" t="n">
        <v>32.84984</v>
      </c>
      <c r="X955" s="89" t="n">
        <v>27.39298</v>
      </c>
      <c r="Y955" s="89" t="n">
        <v>64.50803000000001</v>
      </c>
      <c r="Z955" s="89" t="n">
        <v>123.4897</v>
      </c>
      <c r="AA955" s="89" t="n">
        <v>100.2414</v>
      </c>
      <c r="AB955" s="89" t="n">
        <v>32.16032</v>
      </c>
      <c r="AC955" s="89" t="n">
        <v>85.01226</v>
      </c>
      <c r="AD955" s="89" t="n"/>
      <c r="AE955" s="89" t="n">
        <v>86.67175</v>
      </c>
      <c r="AF955" s="89" t="n">
        <v>86.23174</v>
      </c>
      <c r="AG955" s="89" t="n">
        <v>120.9202</v>
      </c>
      <c r="AH955" s="89" t="n">
        <v>80.37271</v>
      </c>
      <c r="AI955" s="89" t="n">
        <v>43.0615</v>
      </c>
      <c r="AJ955" s="89" t="n">
        <v>122.291</v>
      </c>
      <c r="AK955" s="89" t="n">
        <v>39.32806</v>
      </c>
      <c r="AL955" s="89" t="n">
        <v>72.24956</v>
      </c>
      <c r="AM955" s="89" t="n">
        <v>93.71426</v>
      </c>
      <c r="AN955" s="89" t="n"/>
      <c r="AO955" s="89" t="n">
        <v>83.70361</v>
      </c>
      <c r="AP955" s="89" t="n">
        <v>88.88518999999999</v>
      </c>
      <c r="AQ955" s="89" t="n"/>
      <c r="AR955" s="89" t="n"/>
      <c r="AS955" s="89" t="n"/>
      <c r="AT955" s="89" t="n">
        <v>38.53098</v>
      </c>
      <c r="AU955" s="89" t="n"/>
      <c r="AV955" s="89" t="n">
        <v>51.2006</v>
      </c>
      <c r="AW955" s="89" t="n"/>
      <c r="AX955" s="89" t="n">
        <v>42.29647</v>
      </c>
      <c r="AY955" s="89" t="n">
        <v>80.71437</v>
      </c>
    </row>
    <row r="956">
      <c r="A956" t="inlineStr">
        <is>
          <t>1998-07</t>
        </is>
      </c>
      <c r="B956" s="1" t="n">
        <v>35977</v>
      </c>
      <c r="C956" s="88" t="n">
        <v>956</v>
      </c>
      <c r="E956" s="1">
        <f>B956</f>
        <v/>
      </c>
      <c r="F956" s="2">
        <f>B956</f>
        <v/>
      </c>
      <c r="G956" s="88" t="n">
        <v>954</v>
      </c>
      <c r="H956" s="89" t="n"/>
      <c r="I956" s="89" t="n"/>
      <c r="J956" s="89" t="n">
        <v>70.69471</v>
      </c>
      <c r="K956" s="89" t="n">
        <v>83.45911</v>
      </c>
      <c r="L956" s="89" t="n"/>
      <c r="M956" s="89" t="n">
        <v>62.16999</v>
      </c>
      <c r="N956" s="89" t="n">
        <v>76.39363</v>
      </c>
      <c r="O956" s="89" t="n">
        <v>115.0628</v>
      </c>
      <c r="P956" s="89" t="n">
        <v>115.4821</v>
      </c>
      <c r="Q956" s="89" t="n"/>
      <c r="R956" s="89" t="n">
        <v>89.3</v>
      </c>
      <c r="S956" s="89" t="n">
        <v>103.3609</v>
      </c>
      <c r="T956" s="89" t="n">
        <v>107.6657</v>
      </c>
      <c r="U956" s="89" t="n">
        <v>136.9223</v>
      </c>
      <c r="V956" s="89" t="n">
        <v>45.54646</v>
      </c>
      <c r="W956" s="89" t="n">
        <v>34.0379</v>
      </c>
      <c r="X956" s="89" t="n">
        <v>27.63058</v>
      </c>
      <c r="Y956" s="89" t="n">
        <v>63.24728</v>
      </c>
      <c r="Z956" s="89" t="n">
        <v>123.2897</v>
      </c>
      <c r="AA956" s="89" t="n">
        <v>100.0288</v>
      </c>
      <c r="AB956" s="89" t="n">
        <v>31.51337</v>
      </c>
      <c r="AC956" s="89" t="n">
        <v>70.62914000000001</v>
      </c>
      <c r="AD956" s="89" t="n"/>
      <c r="AE956" s="89" t="n">
        <v>87.34495</v>
      </c>
      <c r="AF956" s="89" t="n">
        <v>87.54969</v>
      </c>
      <c r="AG956" s="89" t="n">
        <v>118.4056</v>
      </c>
      <c r="AH956" s="89" t="n">
        <v>80.41197</v>
      </c>
      <c r="AI956" s="89" t="n">
        <v>42.47482</v>
      </c>
      <c r="AJ956" s="89" t="n">
        <v>124.2524</v>
      </c>
      <c r="AK956" s="89" t="n">
        <v>39.98803</v>
      </c>
      <c r="AL956" s="89" t="n">
        <v>73.08967</v>
      </c>
      <c r="AM956" s="89" t="n">
        <v>94.42268</v>
      </c>
      <c r="AN956" s="89" t="n"/>
      <c r="AO956" s="89" t="n">
        <v>83.41285999999999</v>
      </c>
      <c r="AP956" s="89" t="n">
        <v>89.78503000000001</v>
      </c>
      <c r="AQ956" s="89" t="n"/>
      <c r="AR956" s="89" t="n"/>
      <c r="AS956" s="89" t="n"/>
      <c r="AT956" s="89" t="n">
        <v>38.31808</v>
      </c>
      <c r="AU956" s="89" t="n"/>
      <c r="AV956" s="89" t="n">
        <v>49.78129</v>
      </c>
      <c r="AW956" s="89" t="n"/>
      <c r="AX956" s="89" t="n">
        <v>42.69644</v>
      </c>
      <c r="AY956" s="89" t="n">
        <v>81.40783999999999</v>
      </c>
    </row>
    <row r="957">
      <c r="A957" t="inlineStr">
        <is>
          <t>1998-08</t>
        </is>
      </c>
      <c r="B957" s="1" t="n">
        <v>36008</v>
      </c>
      <c r="C957" s="88" t="n">
        <v>957</v>
      </c>
      <c r="E957" s="1">
        <f>B957</f>
        <v/>
      </c>
      <c r="F957" s="2">
        <f>B957</f>
        <v/>
      </c>
      <c r="G957" s="88" t="n">
        <v>955</v>
      </c>
      <c r="H957" s="89" t="n"/>
      <c r="I957" s="89" t="n"/>
      <c r="J957" s="89" t="n">
        <v>69.56404999999999</v>
      </c>
      <c r="K957" s="89" t="n">
        <v>85.60257</v>
      </c>
      <c r="L957" s="89" t="n"/>
      <c r="M957" s="89" t="n">
        <v>60.93257</v>
      </c>
      <c r="N957" s="89" t="n">
        <v>74.69378</v>
      </c>
      <c r="O957" s="89" t="n">
        <v>109.8376</v>
      </c>
      <c r="P957" s="89" t="n">
        <v>115.4081</v>
      </c>
      <c r="Q957" s="89" t="n"/>
      <c r="R957" s="89" t="n">
        <v>88.90000000000001</v>
      </c>
      <c r="S957" s="89" t="n">
        <v>100.7108</v>
      </c>
      <c r="T957" s="89" t="n">
        <v>106.9389</v>
      </c>
      <c r="U957" s="89" t="n">
        <v>139.9288</v>
      </c>
      <c r="V957" s="89" t="n">
        <v>45.83992</v>
      </c>
      <c r="W957" s="89" t="n">
        <v>35.64178</v>
      </c>
      <c r="X957" s="89" t="n">
        <v>27.67872</v>
      </c>
      <c r="Y957" s="89" t="n">
        <v>63.52745</v>
      </c>
      <c r="Z957" s="89" t="n">
        <v>121.5899</v>
      </c>
      <c r="AA957" s="89" t="n">
        <v>98.22172999999999</v>
      </c>
      <c r="AB957" s="89" t="n">
        <v>32.80727</v>
      </c>
      <c r="AC957" s="89" t="n">
        <v>77.23102</v>
      </c>
      <c r="AD957" s="89" t="n"/>
      <c r="AE957" s="89" t="n">
        <v>87.41131</v>
      </c>
      <c r="AF957" s="89" t="n">
        <v>86.51416</v>
      </c>
      <c r="AG957" s="89" t="n">
        <v>111.1897</v>
      </c>
      <c r="AH957" s="89" t="n">
        <v>80.46998000000001</v>
      </c>
      <c r="AI957" s="89" t="n">
        <v>43.01665</v>
      </c>
      <c r="AJ957" s="89" t="n">
        <v>122.0635</v>
      </c>
      <c r="AK957" s="89" t="n">
        <v>39.76688</v>
      </c>
      <c r="AL957" s="89" t="n">
        <v>74.11647000000001</v>
      </c>
      <c r="AM957" s="89" t="n">
        <v>95.53592999999999</v>
      </c>
      <c r="AN957" s="89" t="n"/>
      <c r="AO957" s="89" t="n">
        <v>85.12487</v>
      </c>
      <c r="AP957" s="89" t="n">
        <v>88.48524999999999</v>
      </c>
      <c r="AQ957" s="89" t="n"/>
      <c r="AR957" s="89" t="n"/>
      <c r="AS957" s="89" t="n"/>
      <c r="AT957" s="89" t="n">
        <v>38.49912</v>
      </c>
      <c r="AU957" s="89" t="n"/>
      <c r="AV957" s="89" t="n">
        <v>49.28611</v>
      </c>
      <c r="AW957" s="89" t="n"/>
      <c r="AX957" s="89" t="n">
        <v>42.99642</v>
      </c>
      <c r="AY957" s="89" t="n">
        <v>80.05602</v>
      </c>
    </row>
    <row r="958">
      <c r="A958" t="inlineStr">
        <is>
          <t>1998-09</t>
        </is>
      </c>
      <c r="B958" s="1" t="n">
        <v>36039</v>
      </c>
      <c r="C958" s="88" t="n">
        <v>958</v>
      </c>
      <c r="E958" s="1">
        <f>B958</f>
        <v/>
      </c>
      <c r="F958" s="2">
        <f>B958</f>
        <v/>
      </c>
      <c r="G958" s="88" t="n">
        <v>956</v>
      </c>
      <c r="H958" s="89" t="n"/>
      <c r="I958" s="89" t="n"/>
      <c r="J958" s="89" t="n">
        <v>69.52404</v>
      </c>
      <c r="K958" s="89" t="n">
        <v>85.84602</v>
      </c>
      <c r="L958" s="89" t="n"/>
      <c r="M958" s="89" t="n">
        <v>60.42138</v>
      </c>
      <c r="N958" s="89" t="n">
        <v>74.19382</v>
      </c>
      <c r="O958" s="89" t="n">
        <v>108.8579</v>
      </c>
      <c r="P958" s="89" t="n">
        <v>115.7301</v>
      </c>
      <c r="Q958" s="89" t="n"/>
      <c r="R958" s="89" t="n">
        <v>88.40000000000001</v>
      </c>
      <c r="S958" s="89" t="n">
        <v>102.5309</v>
      </c>
      <c r="T958" s="89" t="n">
        <v>106.9389</v>
      </c>
      <c r="U958" s="89" t="n">
        <v>135.3964</v>
      </c>
      <c r="V958" s="89" t="n">
        <v>45.89862</v>
      </c>
      <c r="W958" s="89" t="n">
        <v>35.22596</v>
      </c>
      <c r="X958" s="89" t="n">
        <v>27.3017</v>
      </c>
      <c r="Y958" s="89" t="n">
        <v>63.31733</v>
      </c>
      <c r="Z958" s="89" t="n">
        <v>123.3897</v>
      </c>
      <c r="AA958" s="89" t="n">
        <v>99.49733000000001</v>
      </c>
      <c r="AB958" s="89" t="n">
        <v>34.65511</v>
      </c>
      <c r="AC958" s="89" t="n">
        <v>76.32062999999999</v>
      </c>
      <c r="AD958" s="89" t="n"/>
      <c r="AE958" s="89" t="n">
        <v>87.29626</v>
      </c>
      <c r="AF958" s="89" t="n">
        <v>86.98486</v>
      </c>
      <c r="AG958" s="89" t="n">
        <v>119.4989</v>
      </c>
      <c r="AH958" s="89" t="n">
        <v>80.81021</v>
      </c>
      <c r="AI958" s="89" t="n">
        <v>41.66703</v>
      </c>
      <c r="AJ958" s="89" t="n">
        <v>124.6682</v>
      </c>
      <c r="AK958" s="89" t="n">
        <v>39.20588</v>
      </c>
      <c r="AL958" s="89" t="n">
        <v>73.18301</v>
      </c>
      <c r="AM958" s="89" t="n">
        <v>94.22028</v>
      </c>
      <c r="AN958" s="89" t="n"/>
      <c r="AO958" s="89" t="n">
        <v>84.95851</v>
      </c>
      <c r="AP958" s="89" t="n">
        <v>88.88518999999999</v>
      </c>
      <c r="AQ958" s="89" t="n"/>
      <c r="AR958" s="89" t="n"/>
      <c r="AS958" s="89" t="n"/>
      <c r="AT958" s="89" t="n">
        <v>38.38189</v>
      </c>
      <c r="AU958" s="89" t="n"/>
      <c r="AV958" s="89" t="n">
        <v>46.86234</v>
      </c>
      <c r="AW958" s="89" t="n"/>
      <c r="AX958" s="89" t="n">
        <v>43.49638</v>
      </c>
      <c r="AY958" s="89" t="n">
        <v>79.70489999999999</v>
      </c>
    </row>
    <row r="959">
      <c r="A959" t="inlineStr">
        <is>
          <t>1998-10</t>
        </is>
      </c>
      <c r="B959" s="1" t="n">
        <v>36069</v>
      </c>
      <c r="C959" s="88" t="n">
        <v>959</v>
      </c>
      <c r="E959" s="1">
        <f>B959</f>
        <v/>
      </c>
      <c r="F959" s="2">
        <f>B959</f>
        <v/>
      </c>
      <c r="G959" s="88" t="n">
        <v>957</v>
      </c>
      <c r="H959" s="89" t="n"/>
      <c r="I959" s="89" t="n"/>
      <c r="J959" s="89" t="n">
        <v>69.74336</v>
      </c>
      <c r="K959" s="89" t="n">
        <v>86.01992</v>
      </c>
      <c r="L959" s="89" t="n"/>
      <c r="M959" s="89" t="n">
        <v>59.42498</v>
      </c>
      <c r="N959" s="89" t="n">
        <v>74.69378</v>
      </c>
      <c r="O959" s="89" t="n">
        <v>97.21013000000001</v>
      </c>
      <c r="P959" s="89" t="n">
        <v>117.2701</v>
      </c>
      <c r="Q959" s="89" t="n"/>
      <c r="R959" s="89" t="n">
        <v>89</v>
      </c>
      <c r="S959" s="89" t="n">
        <v>102.6409</v>
      </c>
      <c r="T959" s="89" t="n">
        <v>107.0427</v>
      </c>
      <c r="U959" s="89" t="n">
        <v>139.4876</v>
      </c>
      <c r="V959" s="89" t="n">
        <v>45.72254</v>
      </c>
      <c r="W959" s="89" t="n">
        <v>35.64178</v>
      </c>
      <c r="X959" s="89" t="n">
        <v>26.95263</v>
      </c>
      <c r="Y959" s="89" t="n">
        <v>63.59749</v>
      </c>
      <c r="Z959" s="89" t="n">
        <v>122.5898</v>
      </c>
      <c r="AA959" s="89" t="n">
        <v>98.96583</v>
      </c>
      <c r="AB959" s="89" t="n">
        <v>35.48704</v>
      </c>
      <c r="AC959" s="89" t="n">
        <v>76.55331</v>
      </c>
      <c r="AD959" s="89" t="n"/>
      <c r="AE959" s="89" t="n">
        <v>87.00427999999999</v>
      </c>
      <c r="AF959" s="89" t="n">
        <v>88.11453</v>
      </c>
      <c r="AG959" s="89" t="n">
        <v>117.6403</v>
      </c>
      <c r="AH959" s="89" t="n">
        <v>80.98751</v>
      </c>
      <c r="AI959" s="89" t="n">
        <v>41.86475</v>
      </c>
      <c r="AJ959" s="89" t="n">
        <v>124.7026</v>
      </c>
      <c r="AK959" s="89" t="n">
        <v>38.72543</v>
      </c>
      <c r="AL959" s="89" t="n">
        <v>72.71629</v>
      </c>
      <c r="AM959" s="89" t="n">
        <v>94.22028</v>
      </c>
      <c r="AN959" s="89" t="n"/>
      <c r="AO959" s="89" t="n">
        <v>85.64642000000001</v>
      </c>
      <c r="AP959" s="89" t="n">
        <v>89.08515</v>
      </c>
      <c r="AQ959" s="89" t="n"/>
      <c r="AR959" s="89" t="n"/>
      <c r="AS959" s="89" t="n"/>
      <c r="AT959" s="89" t="n">
        <v>37.60727</v>
      </c>
      <c r="AU959" s="89" t="n"/>
      <c r="AV959" s="89" t="n">
        <v>49.62354</v>
      </c>
      <c r="AW959" s="89" t="n"/>
      <c r="AX959" s="89" t="n">
        <v>41.9965</v>
      </c>
      <c r="AY959" s="89" t="n">
        <v>77.32603</v>
      </c>
    </row>
    <row r="960">
      <c r="A960" t="inlineStr">
        <is>
          <t>1998-11</t>
        </is>
      </c>
      <c r="B960" s="1" t="n">
        <v>36100</v>
      </c>
      <c r="C960" s="88" t="n">
        <v>960</v>
      </c>
      <c r="E960" s="1">
        <f>B960</f>
        <v/>
      </c>
      <c r="F960" s="2">
        <f>B960</f>
        <v/>
      </c>
      <c r="G960" s="88" t="n">
        <v>958</v>
      </c>
      <c r="H960" s="89" t="n"/>
      <c r="I960" s="89" t="n"/>
      <c r="J960" s="89" t="n">
        <v>69.44624</v>
      </c>
      <c r="K960" s="89" t="n">
        <v>86.26204</v>
      </c>
      <c r="L960" s="89" t="n"/>
      <c r="M960" s="89" t="n">
        <v>58.51758</v>
      </c>
      <c r="N960" s="89" t="n">
        <v>73.69386</v>
      </c>
      <c r="O960" s="89" t="n">
        <v>96.55698</v>
      </c>
      <c r="P960" s="89" t="n">
        <v>116.1901</v>
      </c>
      <c r="Q960" s="89" t="n"/>
      <c r="R960" s="89" t="n">
        <v>88.5</v>
      </c>
      <c r="S960" s="89" t="n">
        <v>103.2309</v>
      </c>
      <c r="T960" s="89" t="n">
        <v>106.9389</v>
      </c>
      <c r="U960" s="89" t="n">
        <v>140.064</v>
      </c>
      <c r="V960" s="89" t="n">
        <v>45.83992</v>
      </c>
      <c r="W960" s="89" t="n">
        <v>34.92895</v>
      </c>
      <c r="X960" s="89" t="n">
        <v>26.52557</v>
      </c>
      <c r="Y960" s="89" t="n">
        <v>63.73758</v>
      </c>
      <c r="Z960" s="89" t="n">
        <v>122.1898</v>
      </c>
      <c r="AA960" s="89" t="n">
        <v>98.43433</v>
      </c>
      <c r="AB960" s="89" t="n">
        <v>36.87293</v>
      </c>
      <c r="AC960" s="89" t="n">
        <v>74.93781</v>
      </c>
      <c r="AD960" s="89" t="n"/>
      <c r="AE960" s="89" t="n">
        <v>87.74317000000001</v>
      </c>
      <c r="AF960" s="89" t="n">
        <v>88.77351</v>
      </c>
      <c r="AG960" s="89" t="n">
        <v>116.8749</v>
      </c>
      <c r="AH960" s="89" t="n">
        <v>80.82156999999999</v>
      </c>
      <c r="AI960" s="89" t="n">
        <v>40.80269</v>
      </c>
      <c r="AJ960" s="89" t="n">
        <v>122.9089</v>
      </c>
      <c r="AK960" s="89" t="n">
        <v>38.52396</v>
      </c>
      <c r="AL960" s="89" t="n">
        <v>74.30316000000001</v>
      </c>
      <c r="AM960" s="89" t="n">
        <v>94.72629999999999</v>
      </c>
      <c r="AN960" s="89" t="n"/>
      <c r="AO960" s="89" t="n">
        <v>85.59081</v>
      </c>
      <c r="AP960" s="89" t="n">
        <v>88.58524</v>
      </c>
      <c r="AQ960" s="89" t="n"/>
      <c r="AR960" s="89" t="n"/>
      <c r="AS960" s="89" t="n"/>
      <c r="AT960" s="89" t="n">
        <v>39.42215</v>
      </c>
      <c r="AU960" s="89" t="n"/>
      <c r="AV960" s="89" t="n">
        <v>50.41254</v>
      </c>
      <c r="AW960" s="89" t="n"/>
      <c r="AX960" s="89" t="n">
        <v>41.39655</v>
      </c>
      <c r="AY960" s="89" t="n">
        <v>78.00194999999999</v>
      </c>
    </row>
    <row r="961">
      <c r="A961" t="inlineStr">
        <is>
          <t>1998-12</t>
        </is>
      </c>
      <c r="B961" s="1" t="n">
        <v>36130</v>
      </c>
      <c r="C961" s="88" t="n">
        <v>961</v>
      </c>
      <c r="E961" s="1">
        <f>B961</f>
        <v/>
      </c>
      <c r="F961" s="2">
        <f>B961</f>
        <v/>
      </c>
      <c r="G961" s="88" t="n">
        <v>959</v>
      </c>
      <c r="H961" s="89" t="n"/>
      <c r="I961" s="89" t="n"/>
      <c r="J961" s="89" t="n">
        <v>68.97996000000001</v>
      </c>
      <c r="K961" s="89" t="n">
        <v>87.62858</v>
      </c>
      <c r="L961" s="89" t="n"/>
      <c r="M961" s="89" t="n">
        <v>55.24473</v>
      </c>
      <c r="N961" s="89" t="n">
        <v>73.99384000000001</v>
      </c>
      <c r="O961" s="89" t="n">
        <v>95.57726</v>
      </c>
      <c r="P961" s="89" t="n">
        <v>117.1531</v>
      </c>
      <c r="Q961" s="89" t="n"/>
      <c r="R961" s="89" t="n">
        <v>88.2</v>
      </c>
      <c r="S961" s="89" t="n">
        <v>102.4609</v>
      </c>
      <c r="T961" s="89" t="n">
        <v>107.1466</v>
      </c>
      <c r="U961" s="89" t="n">
        <v>139.7559</v>
      </c>
      <c r="V961" s="89" t="n">
        <v>47.0725</v>
      </c>
      <c r="W961" s="89" t="n">
        <v>35.16656</v>
      </c>
      <c r="X961" s="89" t="n">
        <v>26.38988</v>
      </c>
      <c r="Y961" s="89" t="n">
        <v>63.38737</v>
      </c>
      <c r="Z961" s="89" t="n">
        <v>119.2901</v>
      </c>
      <c r="AA961" s="89" t="n">
        <v>98.32803</v>
      </c>
      <c r="AB961" s="89" t="n">
        <v>37.42788</v>
      </c>
      <c r="AC961" s="89" t="n">
        <v>73.68252</v>
      </c>
      <c r="AD961" s="89" t="n"/>
      <c r="AE961" s="89" t="n">
        <v>88.4126</v>
      </c>
      <c r="AF961" s="89" t="n">
        <v>84.16068</v>
      </c>
      <c r="AG961" s="89" t="n">
        <v>115.4536</v>
      </c>
      <c r="AH961" s="89" t="n">
        <v>80.64085</v>
      </c>
      <c r="AI961" s="89" t="n">
        <v>41.25306</v>
      </c>
      <c r="AJ961" s="89" t="n">
        <v>124.2646</v>
      </c>
      <c r="AK961" s="89" t="n">
        <v>38.17353</v>
      </c>
      <c r="AL961" s="89" t="n">
        <v>71.59614000000001</v>
      </c>
      <c r="AM961" s="89" t="n">
        <v>93.71426</v>
      </c>
      <c r="AN961" s="89" t="n"/>
      <c r="AO961" s="89" t="n">
        <v>85.90864999999999</v>
      </c>
      <c r="AP961" s="89" t="n">
        <v>88.08532</v>
      </c>
      <c r="AQ961" s="89" t="n"/>
      <c r="AR961" s="89" t="n"/>
      <c r="AS961" s="89" t="n"/>
      <c r="AT961" s="89" t="n">
        <v>39.00266</v>
      </c>
      <c r="AU961" s="89" t="n"/>
      <c r="AV961" s="89" t="n">
        <v>51.79406</v>
      </c>
      <c r="AW961" s="89" t="n"/>
      <c r="AX961" s="89" t="n">
        <v>39.09674</v>
      </c>
      <c r="AY961" s="89" t="n">
        <v>75.35097</v>
      </c>
    </row>
    <row r="962">
      <c r="A962" t="inlineStr">
        <is>
          <t>1999-01</t>
        </is>
      </c>
      <c r="B962" s="1" t="n">
        <v>36161</v>
      </c>
      <c r="C962" s="88" t="n">
        <v>962</v>
      </c>
      <c r="E962" s="1">
        <f>B962</f>
        <v/>
      </c>
      <c r="F962" s="2">
        <f>B962</f>
        <v/>
      </c>
      <c r="G962" s="88" t="n">
        <v>960</v>
      </c>
      <c r="H962" s="89" t="n"/>
      <c r="I962" s="89" t="n"/>
      <c r="J962" s="89" t="n">
        <v>69.05426</v>
      </c>
      <c r="K962" s="89" t="n">
        <v>88.60587</v>
      </c>
      <c r="L962" s="89" t="n"/>
      <c r="M962" s="89" t="n">
        <v>58.28448</v>
      </c>
      <c r="N962" s="89" t="n">
        <v>75.19373</v>
      </c>
      <c r="O962" s="89" t="n">
        <v>104.2859</v>
      </c>
      <c r="P962" s="89" t="n">
        <v>118.7441</v>
      </c>
      <c r="Q962" s="89" t="n"/>
      <c r="R962" s="89" t="n">
        <v>89.59999999999999</v>
      </c>
      <c r="S962" s="89" t="n">
        <v>102.7409</v>
      </c>
      <c r="T962" s="89" t="n">
        <v>106.8351</v>
      </c>
      <c r="U962" s="89" t="n">
        <v>139.1877</v>
      </c>
      <c r="V962" s="89" t="n">
        <v>47.54205</v>
      </c>
      <c r="W962" s="89" t="n">
        <v>39.32477</v>
      </c>
      <c r="X962" s="89" t="n">
        <v>26.29285</v>
      </c>
      <c r="Y962" s="89" t="n">
        <v>61.63633</v>
      </c>
      <c r="Z962" s="89" t="n">
        <v>121.5899</v>
      </c>
      <c r="AA962" s="89" t="n">
        <v>99.60363</v>
      </c>
      <c r="AB962" s="89" t="n">
        <v>37.1499</v>
      </c>
      <c r="AC962" s="89" t="n">
        <v>80.3653</v>
      </c>
      <c r="AD962" s="89" t="n"/>
      <c r="AE962" s="89" t="n">
        <v>88.98863</v>
      </c>
      <c r="AF962" s="89" t="n">
        <v>87.64382999999999</v>
      </c>
      <c r="AG962" s="89" t="n">
        <v>116.547</v>
      </c>
      <c r="AH962" s="89" t="n">
        <v>81.44843</v>
      </c>
      <c r="AI962" s="89" t="n">
        <v>41.18057</v>
      </c>
      <c r="AJ962" s="89" t="n">
        <v>125.2788</v>
      </c>
      <c r="AK962" s="89" t="n">
        <v>38.51763</v>
      </c>
      <c r="AL962" s="89" t="n">
        <v>73.46305</v>
      </c>
      <c r="AM962" s="89" t="n">
        <v>93.10705</v>
      </c>
      <c r="AN962" s="89" t="n"/>
      <c r="AO962" s="89" t="n">
        <v>86.31081</v>
      </c>
      <c r="AP962" s="89" t="n">
        <v>89.38509999999999</v>
      </c>
      <c r="AQ962" s="89" t="n"/>
      <c r="AR962" s="89" t="n"/>
      <c r="AS962" s="89" t="n"/>
      <c r="AT962" s="89" t="n">
        <v>39.7136</v>
      </c>
      <c r="AU962" s="89" t="n"/>
      <c r="AV962" s="89" t="n">
        <v>52.54144</v>
      </c>
      <c r="AW962" s="89" t="n"/>
      <c r="AX962" s="89" t="n">
        <v>40.7966</v>
      </c>
      <c r="AY962" s="89" t="n">
        <v>77.67716</v>
      </c>
    </row>
    <row r="963">
      <c r="A963" t="inlineStr">
        <is>
          <t>1999-02</t>
        </is>
      </c>
      <c r="B963" s="1" t="n">
        <v>36192</v>
      </c>
      <c r="C963" s="88" t="n">
        <v>963</v>
      </c>
      <c r="E963" s="1">
        <f>B963</f>
        <v/>
      </c>
      <c r="F963" s="2">
        <f>B963</f>
        <v/>
      </c>
      <c r="G963" s="88" t="n">
        <v>961</v>
      </c>
      <c r="H963" s="89" t="n"/>
      <c r="I963" s="89" t="n"/>
      <c r="J963" s="89" t="n">
        <v>68.35171</v>
      </c>
      <c r="K963" s="89" t="n">
        <v>88.52187000000001</v>
      </c>
      <c r="L963" s="89" t="n"/>
      <c r="M963" s="89" t="n">
        <v>58.91549</v>
      </c>
      <c r="N963" s="89" t="n">
        <v>73.79385000000001</v>
      </c>
      <c r="O963" s="89" t="n">
        <v>102.3265</v>
      </c>
      <c r="P963" s="89" t="n">
        <v>116.3051</v>
      </c>
      <c r="Q963" s="89" t="n"/>
      <c r="R963" s="89" t="n">
        <v>90.09999999999999</v>
      </c>
      <c r="S963" s="89" t="n">
        <v>102.4309</v>
      </c>
      <c r="T963" s="89" t="n">
        <v>106.6274</v>
      </c>
      <c r="U963" s="89" t="n">
        <v>137.5978</v>
      </c>
      <c r="V963" s="89" t="n">
        <v>45.78123</v>
      </c>
      <c r="W963" s="89" t="n">
        <v>36.94865</v>
      </c>
      <c r="X963" s="89" t="n">
        <v>26.86387</v>
      </c>
      <c r="Y963" s="89" t="n">
        <v>62.82704</v>
      </c>
      <c r="Z963" s="89" t="n">
        <v>120.9899</v>
      </c>
      <c r="AA963" s="89" t="n">
        <v>99.60363</v>
      </c>
      <c r="AB963" s="89" t="n">
        <v>38.62878</v>
      </c>
      <c r="AC963" s="89" t="n">
        <v>82.86429</v>
      </c>
      <c r="AD963" s="89" t="n"/>
      <c r="AE963" s="89" t="n">
        <v>88.40723</v>
      </c>
      <c r="AF963" s="89" t="n">
        <v>88.20867</v>
      </c>
      <c r="AG963" s="89" t="n">
        <v>116.219</v>
      </c>
      <c r="AH963" s="89" t="n">
        <v>81.40839</v>
      </c>
      <c r="AI963" s="89" t="n">
        <v>41.27563</v>
      </c>
      <c r="AJ963" s="89" t="n">
        <v>128.2339</v>
      </c>
      <c r="AK963" s="89" t="n">
        <v>38.23365</v>
      </c>
      <c r="AL963" s="89" t="n">
        <v>71.31610000000001</v>
      </c>
      <c r="AM963" s="89" t="n">
        <v>94.52388999999999</v>
      </c>
      <c r="AN963" s="89" t="n"/>
      <c r="AO963" s="89" t="n">
        <v>86.77109</v>
      </c>
      <c r="AP963" s="89" t="n">
        <v>88.38527000000001</v>
      </c>
      <c r="AQ963" s="89" t="n"/>
      <c r="AR963" s="89" t="n"/>
      <c r="AS963" s="89" t="n"/>
      <c r="AT963" s="89" t="n">
        <v>39.34454</v>
      </c>
      <c r="AU963" s="89" t="n"/>
      <c r="AV963" s="89" t="n">
        <v>50.98319</v>
      </c>
      <c r="AW963" s="89" t="n"/>
      <c r="AX963" s="89" t="n">
        <v>41.09658</v>
      </c>
      <c r="AY963" s="89" t="n">
        <v>76.46578</v>
      </c>
    </row>
    <row r="964">
      <c r="A964" t="inlineStr">
        <is>
          <t>1999-03</t>
        </is>
      </c>
      <c r="B964" s="1" t="n">
        <v>36220</v>
      </c>
      <c r="C964" s="88" t="n">
        <v>964</v>
      </c>
      <c r="E964" s="1">
        <f>B964</f>
        <v/>
      </c>
      <c r="F964" s="2">
        <f>B964</f>
        <v/>
      </c>
      <c r="G964" s="88" t="n">
        <v>962</v>
      </c>
      <c r="H964" s="89" t="n"/>
      <c r="I964" s="89" t="n"/>
      <c r="J964" s="89" t="n">
        <v>69.48325</v>
      </c>
      <c r="K964" s="89" t="n">
        <v>88.19092999999999</v>
      </c>
      <c r="L964" s="89" t="n"/>
      <c r="M964" s="89" t="n">
        <v>57.84205</v>
      </c>
      <c r="N964" s="89" t="n">
        <v>74.29380999999999</v>
      </c>
      <c r="O964" s="89" t="n">
        <v>104.5036</v>
      </c>
      <c r="P964" s="89" t="n">
        <v>114.9071</v>
      </c>
      <c r="Q964" s="89" t="n"/>
      <c r="R964" s="89" t="n">
        <v>90.90000000000001</v>
      </c>
      <c r="S964" s="89" t="n">
        <v>102.3708</v>
      </c>
      <c r="T964" s="89" t="n">
        <v>107.5619</v>
      </c>
      <c r="U964" s="89" t="n">
        <v>135.6637</v>
      </c>
      <c r="V964" s="89" t="n">
        <v>47.18988</v>
      </c>
      <c r="W964" s="89" t="n">
        <v>35.40417</v>
      </c>
      <c r="X964" s="89" t="n">
        <v>27.35466</v>
      </c>
      <c r="Y964" s="89" t="n">
        <v>61.42621</v>
      </c>
      <c r="Z964" s="89" t="n">
        <v>121.3899</v>
      </c>
      <c r="AA964" s="89" t="n">
        <v>100.8792</v>
      </c>
      <c r="AB964" s="89" t="n">
        <v>39.27573</v>
      </c>
      <c r="AC964" s="89" t="n">
        <v>84.22879</v>
      </c>
      <c r="AD964" s="89" t="n"/>
      <c r="AE964" s="89" t="n">
        <v>88.83422</v>
      </c>
      <c r="AF964" s="89" t="n">
        <v>89.15006</v>
      </c>
      <c r="AG964" s="89" t="n">
        <v>116.6563</v>
      </c>
      <c r="AH964" s="89" t="n">
        <v>81.79646</v>
      </c>
      <c r="AI964" s="89" t="n">
        <v>43.15997</v>
      </c>
      <c r="AJ964" s="89" t="n">
        <v>125.2438</v>
      </c>
      <c r="AK964" s="89" t="n">
        <v>38.57634</v>
      </c>
      <c r="AL964" s="89" t="n">
        <v>71.96952</v>
      </c>
      <c r="AM964" s="89" t="n">
        <v>95.43472</v>
      </c>
      <c r="AN964" s="89" t="n"/>
      <c r="AO964" s="89" t="n">
        <v>86.90873000000001</v>
      </c>
      <c r="AP964" s="89" t="n">
        <v>88.48524999999999</v>
      </c>
      <c r="AQ964" s="89" t="n"/>
      <c r="AR964" s="89" t="n"/>
      <c r="AS964" s="89" t="n"/>
      <c r="AT964" s="89" t="n">
        <v>39.20747</v>
      </c>
      <c r="AU964" s="89" t="n"/>
      <c r="AV964" s="89" t="n">
        <v>52.20948</v>
      </c>
      <c r="AW964" s="89" t="n"/>
      <c r="AX964" s="89" t="n">
        <v>41.9965</v>
      </c>
      <c r="AY964" s="89" t="n">
        <v>76.57111999999999</v>
      </c>
    </row>
    <row r="965">
      <c r="A965" t="inlineStr">
        <is>
          <t>1999-04</t>
        </is>
      </c>
      <c r="B965" s="1" t="n">
        <v>36251</v>
      </c>
      <c r="C965" s="88" t="n">
        <v>965</v>
      </c>
      <c r="E965" s="1">
        <f>B965</f>
        <v/>
      </c>
      <c r="F965" s="2">
        <f>B965</f>
        <v/>
      </c>
      <c r="G965" s="88" t="n">
        <v>963</v>
      </c>
      <c r="H965" s="89" t="n"/>
      <c r="I965" s="89" t="n"/>
      <c r="J965" s="89" t="n">
        <v>69.59958</v>
      </c>
      <c r="K965" s="89" t="n">
        <v>88.72947000000001</v>
      </c>
      <c r="L965" s="89" t="n"/>
      <c r="M965" s="89" t="n">
        <v>59.33867</v>
      </c>
      <c r="N965" s="89" t="n">
        <v>74.79376999999999</v>
      </c>
      <c r="O965" s="89" t="n">
        <v>98.18985000000001</v>
      </c>
      <c r="P965" s="89" t="n">
        <v>117.6691</v>
      </c>
      <c r="Q965" s="89" t="n"/>
      <c r="R965" s="89" t="n">
        <v>91.59999999999999</v>
      </c>
      <c r="S965" s="89" t="n">
        <v>103.1909</v>
      </c>
      <c r="T965" s="89" t="n">
        <v>106.6274</v>
      </c>
      <c r="U965" s="89" t="n">
        <v>135.5213</v>
      </c>
      <c r="V965" s="89" t="n">
        <v>47.48335</v>
      </c>
      <c r="W965" s="89" t="n">
        <v>36.29522</v>
      </c>
      <c r="X965" s="89" t="n">
        <v>27.9402</v>
      </c>
      <c r="Y965" s="89" t="n">
        <v>62.68695</v>
      </c>
      <c r="Z965" s="89" t="n">
        <v>120.49</v>
      </c>
      <c r="AA965" s="89" t="n">
        <v>99.17843000000001</v>
      </c>
      <c r="AB965" s="89" t="n">
        <v>38.90576</v>
      </c>
      <c r="AC965" s="89" t="n">
        <v>85.9633</v>
      </c>
      <c r="AD965" s="89" t="n"/>
      <c r="AE965" s="89" t="n">
        <v>88.83181</v>
      </c>
      <c r="AF965" s="89" t="n">
        <v>87.54969</v>
      </c>
      <c r="AG965" s="89" t="n">
        <v>113.3764</v>
      </c>
      <c r="AH965" s="89" t="n">
        <v>81.70466</v>
      </c>
      <c r="AI965" s="89" t="n">
        <v>43.09546</v>
      </c>
      <c r="AJ965" s="89" t="n">
        <v>128.0129</v>
      </c>
      <c r="AK965" s="89" t="n">
        <v>38.85649</v>
      </c>
      <c r="AL965" s="89" t="n">
        <v>70.00926</v>
      </c>
      <c r="AM965" s="89" t="n">
        <v>93.81547</v>
      </c>
      <c r="AN965" s="89" t="n"/>
      <c r="AO965" s="89" t="n">
        <v>87.14453</v>
      </c>
      <c r="AP965" s="89" t="n">
        <v>89.08515</v>
      </c>
      <c r="AQ965" s="89" t="n"/>
      <c r="AR965" s="89" t="n"/>
      <c r="AS965" s="89" t="n"/>
      <c r="AT965" s="89" t="n">
        <v>39.82363</v>
      </c>
      <c r="AU965" s="89" t="n"/>
      <c r="AV965" s="89" t="n">
        <v>51.59541</v>
      </c>
      <c r="AW965" s="89" t="n"/>
      <c r="AX965" s="89" t="n">
        <v>41.39655</v>
      </c>
      <c r="AY965" s="89" t="n">
        <v>77.89661</v>
      </c>
    </row>
    <row r="966">
      <c r="A966" t="inlineStr">
        <is>
          <t>1999-05</t>
        </is>
      </c>
      <c r="B966" s="1" t="n">
        <v>36281</v>
      </c>
      <c r="C966" s="88" t="n">
        <v>966</v>
      </c>
      <c r="E966" s="1">
        <f>B966</f>
        <v/>
      </c>
      <c r="F966" s="2">
        <f>B966</f>
        <v/>
      </c>
      <c r="G966" s="88" t="n">
        <v>964</v>
      </c>
      <c r="H966" s="89" t="n"/>
      <c r="I966" s="89" t="n"/>
      <c r="J966" s="89" t="n">
        <v>69.60715</v>
      </c>
      <c r="K966" s="89" t="n">
        <v>88.56413000000001</v>
      </c>
      <c r="L966" s="89" t="n"/>
      <c r="M966" s="89" t="n">
        <v>61.4767</v>
      </c>
      <c r="N966" s="89" t="n">
        <v>75.29371999999999</v>
      </c>
      <c r="O966" s="89" t="n">
        <v>101.7822</v>
      </c>
      <c r="P966" s="89" t="n">
        <v>116.8721</v>
      </c>
      <c r="Q966" s="89" t="n"/>
      <c r="R966" s="89" t="n">
        <v>91.5</v>
      </c>
      <c r="S966" s="89" t="n">
        <v>103.6009</v>
      </c>
      <c r="T966" s="89" t="n">
        <v>107.458</v>
      </c>
      <c r="U966" s="89" t="n">
        <v>139.1278</v>
      </c>
      <c r="V966" s="89" t="n">
        <v>47.0725</v>
      </c>
      <c r="W966" s="89" t="n">
        <v>36.71104</v>
      </c>
      <c r="X966" s="89" t="n">
        <v>28.18081</v>
      </c>
      <c r="Y966" s="89" t="n">
        <v>62.26671</v>
      </c>
      <c r="Z966" s="89" t="n">
        <v>119.59</v>
      </c>
      <c r="AA966" s="89" t="n">
        <v>100.7729</v>
      </c>
      <c r="AB966" s="89" t="n">
        <v>41.03158</v>
      </c>
      <c r="AC966" s="89" t="n">
        <v>87.62219</v>
      </c>
      <c r="AD966" s="89" t="n"/>
      <c r="AE966" s="89" t="n">
        <v>88.61556</v>
      </c>
      <c r="AF966" s="89" t="n">
        <v>87.45555</v>
      </c>
      <c r="AG966" s="89" t="n">
        <v>116.4376</v>
      </c>
      <c r="AH966" s="89" t="n">
        <v>82.40849</v>
      </c>
      <c r="AI966" s="89" t="n">
        <v>44.78791</v>
      </c>
      <c r="AJ966" s="89" t="n">
        <v>125.5281</v>
      </c>
      <c r="AK966" s="89" t="n">
        <v>39.90057</v>
      </c>
      <c r="AL966" s="89" t="n">
        <v>72.06287</v>
      </c>
      <c r="AM966" s="89" t="n">
        <v>94.8275</v>
      </c>
      <c r="AN966" s="89" t="n"/>
      <c r="AO966" s="89" t="n">
        <v>87.74447000000001</v>
      </c>
      <c r="AP966" s="89" t="n">
        <v>89.18513</v>
      </c>
      <c r="AQ966" s="89" t="n"/>
      <c r="AR966" s="89" t="n"/>
      <c r="AS966" s="89" t="n"/>
      <c r="AT966" s="89" t="n">
        <v>40.81092</v>
      </c>
      <c r="AU966" s="89" t="n"/>
      <c r="AV966" s="89" t="n">
        <v>51.76536</v>
      </c>
      <c r="AW966" s="89" t="n"/>
      <c r="AX966" s="89" t="n">
        <v>42.79643</v>
      </c>
      <c r="AY966" s="89" t="n">
        <v>79.30988000000001</v>
      </c>
    </row>
    <row r="967">
      <c r="A967" t="inlineStr">
        <is>
          <t>1999-06</t>
        </is>
      </c>
      <c r="B967" s="1" t="n">
        <v>36312</v>
      </c>
      <c r="C967" s="88" t="n">
        <v>967</v>
      </c>
      <c r="E967" s="1">
        <f>B967</f>
        <v/>
      </c>
      <c r="F967" s="2">
        <f>B967</f>
        <v/>
      </c>
      <c r="G967" s="88" t="n">
        <v>965</v>
      </c>
      <c r="H967" s="89" t="n"/>
      <c r="I967" s="89" t="n"/>
      <c r="J967" s="89" t="n">
        <v>69.69365000000001</v>
      </c>
      <c r="K967" s="89" t="n">
        <v>89.77979000000001</v>
      </c>
      <c r="L967" s="89" t="n"/>
      <c r="M967" s="89" t="n">
        <v>59.30154</v>
      </c>
      <c r="N967" s="89" t="n">
        <v>75.29371999999999</v>
      </c>
      <c r="O967" s="89" t="n">
        <v>101.2379</v>
      </c>
      <c r="P967" s="89" t="n">
        <v>118.0641</v>
      </c>
      <c r="Q967" s="89" t="n"/>
      <c r="R967" s="89" t="n">
        <v>92.09999999999999</v>
      </c>
      <c r="S967" s="89" t="n">
        <v>105.0309</v>
      </c>
      <c r="T967" s="89" t="n">
        <v>108.1848</v>
      </c>
      <c r="U967" s="89" t="n">
        <v>139.1776</v>
      </c>
      <c r="V967" s="89" t="n">
        <v>48.48115</v>
      </c>
      <c r="W967" s="89" t="n">
        <v>37.54268</v>
      </c>
      <c r="X967" s="89" t="n">
        <v>28.11278</v>
      </c>
      <c r="Y967" s="89" t="n">
        <v>63.03716</v>
      </c>
      <c r="Z967" s="89" t="n">
        <v>121.4899</v>
      </c>
      <c r="AA967" s="89" t="n">
        <v>100.0288</v>
      </c>
      <c r="AB967" s="89" t="n">
        <v>41.30856</v>
      </c>
      <c r="AC967" s="89" t="n">
        <v>86.75121</v>
      </c>
      <c r="AD967" s="89" t="n"/>
      <c r="AE967" s="89" t="n">
        <v>88.50014</v>
      </c>
      <c r="AF967" s="89" t="n">
        <v>90.27974</v>
      </c>
      <c r="AG967" s="89" t="n">
        <v>116.8749</v>
      </c>
      <c r="AH967" s="89" t="n">
        <v>82.54510999999999</v>
      </c>
      <c r="AI967" s="89" t="n">
        <v>43.11386</v>
      </c>
      <c r="AJ967" s="89" t="n">
        <v>129.5061</v>
      </c>
      <c r="AK967" s="89" t="n">
        <v>38.49794</v>
      </c>
      <c r="AL967" s="89" t="n">
        <v>73.5564</v>
      </c>
      <c r="AM967" s="89" t="n">
        <v>95.33351999999999</v>
      </c>
      <c r="AN967" s="89" t="n"/>
      <c r="AO967" s="89" t="n">
        <v>87.59789000000001</v>
      </c>
      <c r="AP967" s="89" t="n">
        <v>89.88502</v>
      </c>
      <c r="AQ967" s="89" t="n"/>
      <c r="AR967" s="89" t="n"/>
      <c r="AS967" s="89" t="n"/>
      <c r="AT967" s="89" t="n">
        <v>40.3527</v>
      </c>
      <c r="AU967" s="89" t="n"/>
      <c r="AV967" s="89" t="n">
        <v>51.40688</v>
      </c>
      <c r="AW967" s="89" t="n"/>
      <c r="AX967" s="89" t="n">
        <v>42.79643</v>
      </c>
      <c r="AY967" s="89" t="n">
        <v>78.74809</v>
      </c>
    </row>
    <row r="968">
      <c r="A968" t="inlineStr">
        <is>
          <t>1999-07</t>
        </is>
      </c>
      <c r="B968" s="1" t="n">
        <v>36342</v>
      </c>
      <c r="C968" s="88" t="n">
        <v>968</v>
      </c>
      <c r="E968" s="1">
        <f>B968</f>
        <v/>
      </c>
      <c r="F968" s="2">
        <f>B968</f>
        <v/>
      </c>
      <c r="G968" s="88" t="n">
        <v>966</v>
      </c>
      <c r="H968" s="89" t="n"/>
      <c r="I968" s="89" t="n"/>
      <c r="J968" s="89" t="n">
        <v>70.64934</v>
      </c>
      <c r="K968" s="89" t="n">
        <v>90.29025</v>
      </c>
      <c r="L968" s="89" t="n"/>
      <c r="M968" s="89" t="n">
        <v>58.995</v>
      </c>
      <c r="N968" s="89" t="n">
        <v>75.89368</v>
      </c>
      <c r="O968" s="89" t="n">
        <v>99.71386</v>
      </c>
      <c r="P968" s="89" t="n">
        <v>120.1111</v>
      </c>
      <c r="Q968" s="89" t="n"/>
      <c r="R968" s="89" t="n">
        <v>91.59999999999999</v>
      </c>
      <c r="S968" s="89" t="n">
        <v>105.2809</v>
      </c>
      <c r="T968" s="89" t="n">
        <v>108.6001</v>
      </c>
      <c r="U968" s="89" t="n">
        <v>142.5406</v>
      </c>
      <c r="V968" s="89" t="n">
        <v>49.06809</v>
      </c>
      <c r="W968" s="89" t="n">
        <v>39.9188</v>
      </c>
      <c r="X968" s="89" t="n">
        <v>27.50228</v>
      </c>
      <c r="Y968" s="89" t="n">
        <v>64.01774</v>
      </c>
      <c r="Z968" s="89" t="n">
        <v>122.3898</v>
      </c>
      <c r="AA968" s="89" t="n">
        <v>100.5603</v>
      </c>
      <c r="AB968" s="89" t="n">
        <v>42.60245</v>
      </c>
      <c r="AC968" s="89" t="n">
        <v>87.20602</v>
      </c>
      <c r="AD968" s="89" t="n"/>
      <c r="AE968" s="89" t="n">
        <v>89.36639</v>
      </c>
      <c r="AF968" s="89" t="n">
        <v>90.09146</v>
      </c>
      <c r="AG968" s="89" t="n">
        <v>119.1709</v>
      </c>
      <c r="AH968" s="89" t="n">
        <v>83.09699000000001</v>
      </c>
      <c r="AI968" s="89" t="n">
        <v>44.19096</v>
      </c>
      <c r="AJ968" s="89" t="n">
        <v>126.503</v>
      </c>
      <c r="AK968" s="89" t="n">
        <v>38.60094</v>
      </c>
      <c r="AL968" s="89" t="n">
        <v>72.24956</v>
      </c>
      <c r="AM968" s="89" t="n">
        <v>95.02991</v>
      </c>
      <c r="AN968" s="89" t="n"/>
      <c r="AO968" s="89" t="n">
        <v>88.1523</v>
      </c>
      <c r="AP968" s="89" t="n">
        <v>90.5849</v>
      </c>
      <c r="AQ968" s="89" t="n"/>
      <c r="AR968" s="89" t="n"/>
      <c r="AS968" s="89" t="n"/>
      <c r="AT968" s="89" t="n">
        <v>40.79244</v>
      </c>
      <c r="AU968" s="89" t="n"/>
      <c r="AV968" s="89" t="n">
        <v>52.81734</v>
      </c>
      <c r="AW968" s="89" t="n"/>
      <c r="AX968" s="89" t="n">
        <v>42.09649</v>
      </c>
      <c r="AY968" s="89" t="n">
        <v>77.76494</v>
      </c>
    </row>
    <row r="969">
      <c r="A969" t="inlineStr">
        <is>
          <t>1999-08</t>
        </is>
      </c>
      <c r="B969" s="1" t="n">
        <v>36373</v>
      </c>
      <c r="C969" s="88" t="n">
        <v>969</v>
      </c>
      <c r="E969" s="1">
        <f>B969</f>
        <v/>
      </c>
      <c r="F969" s="2">
        <f>B969</f>
        <v/>
      </c>
      <c r="G969" s="88" t="n">
        <v>967</v>
      </c>
      <c r="H969" s="89" t="n"/>
      <c r="I969" s="89" t="n"/>
      <c r="J969" s="89" t="n">
        <v>71.08871000000001</v>
      </c>
      <c r="K969" s="89" t="n">
        <v>91.15170000000001</v>
      </c>
      <c r="L969" s="89" t="n"/>
      <c r="M969" s="89" t="n">
        <v>59.92268</v>
      </c>
      <c r="N969" s="89" t="n">
        <v>76.59362</v>
      </c>
      <c r="O969" s="89" t="n">
        <v>97.86328</v>
      </c>
      <c r="P969" s="89" t="n">
        <v>118.3411</v>
      </c>
      <c r="Q969" s="89" t="n"/>
      <c r="R969" s="89" t="n">
        <v>90.59999999999999</v>
      </c>
      <c r="S969" s="89" t="n">
        <v>103.3409</v>
      </c>
      <c r="T969" s="89" t="n">
        <v>110.1575</v>
      </c>
      <c r="U969" s="89" t="n">
        <v>140.9606</v>
      </c>
      <c r="V969" s="89" t="n">
        <v>50.71152</v>
      </c>
      <c r="W969" s="89" t="n">
        <v>38.55253</v>
      </c>
      <c r="X969" s="89" t="n">
        <v>26.60312</v>
      </c>
      <c r="Y969" s="89" t="n">
        <v>64.43799</v>
      </c>
      <c r="Z969" s="89" t="n">
        <v>123.1897</v>
      </c>
      <c r="AA969" s="89" t="n">
        <v>101.517</v>
      </c>
      <c r="AB969" s="89" t="n">
        <v>42.60245</v>
      </c>
      <c r="AC969" s="89" t="n">
        <v>93.11201</v>
      </c>
      <c r="AD969" s="89" t="n"/>
      <c r="AE969" s="89" t="n">
        <v>88.64254</v>
      </c>
      <c r="AF969" s="89" t="n">
        <v>89.7149</v>
      </c>
      <c r="AG969" s="89" t="n">
        <v>119.3896</v>
      </c>
      <c r="AH969" s="89" t="n">
        <v>83.2894</v>
      </c>
      <c r="AI969" s="89" t="n">
        <v>44.6242</v>
      </c>
      <c r="AJ969" s="89" t="n">
        <v>128.2904</v>
      </c>
      <c r="AK969" s="89" t="n">
        <v>39.48185</v>
      </c>
      <c r="AL969" s="89" t="n">
        <v>73.18301</v>
      </c>
      <c r="AM969" s="89" t="n">
        <v>93.51186</v>
      </c>
      <c r="AN969" s="89" t="n"/>
      <c r="AO969" s="89" t="n">
        <v>88.52334999999999</v>
      </c>
      <c r="AP969" s="89" t="n">
        <v>90.48492</v>
      </c>
      <c r="AQ969" s="89" t="n"/>
      <c r="AR969" s="89" t="n"/>
      <c r="AS969" s="89" t="n"/>
      <c r="AT969" s="89" t="n">
        <v>41.11371</v>
      </c>
      <c r="AU969" s="89" t="n"/>
      <c r="AV969" s="89" t="n">
        <v>52.92514</v>
      </c>
      <c r="AW969" s="89" t="n"/>
      <c r="AX969" s="89" t="n">
        <v>39.5967</v>
      </c>
      <c r="AY969" s="89" t="n">
        <v>79.06408999999999</v>
      </c>
    </row>
    <row r="970">
      <c r="A970" t="inlineStr">
        <is>
          <t>1999-09</t>
        </is>
      </c>
      <c r="B970" s="1" t="n">
        <v>36404</v>
      </c>
      <c r="C970" s="88" t="n">
        <v>970</v>
      </c>
      <c r="E970" s="1">
        <f>B970</f>
        <v/>
      </c>
      <c r="F970" s="2">
        <f>B970</f>
        <v/>
      </c>
      <c r="G970" s="88" t="n">
        <v>968</v>
      </c>
      <c r="H970" s="89" t="n"/>
      <c r="I970" s="89" t="n"/>
      <c r="J970" s="89" t="n">
        <v>71.11073</v>
      </c>
      <c r="K970" s="89" t="n">
        <v>92.36468000000001</v>
      </c>
      <c r="L970" s="89" t="n"/>
      <c r="M970" s="89" t="n">
        <v>59.29835</v>
      </c>
      <c r="N970" s="89" t="n">
        <v>76.29364</v>
      </c>
      <c r="O970" s="89" t="n">
        <v>103.7416</v>
      </c>
      <c r="P970" s="89" t="n">
        <v>119.9371</v>
      </c>
      <c r="Q970" s="89" t="n"/>
      <c r="R970" s="89" t="n">
        <v>92.8</v>
      </c>
      <c r="S970" s="89" t="n">
        <v>106.1409</v>
      </c>
      <c r="T970" s="89" t="n">
        <v>110.4689</v>
      </c>
      <c r="U970" s="89" t="n">
        <v>141.088</v>
      </c>
      <c r="V970" s="89" t="n">
        <v>51.76801</v>
      </c>
      <c r="W970" s="89" t="n">
        <v>41.16626</v>
      </c>
      <c r="X970" s="89" t="n">
        <v>27.18643</v>
      </c>
      <c r="Y970" s="89" t="n">
        <v>65.62868</v>
      </c>
      <c r="Z970" s="89" t="n">
        <v>123.6897</v>
      </c>
      <c r="AA970" s="89" t="n">
        <v>102.2611</v>
      </c>
      <c r="AB970" s="89" t="n">
        <v>44.72827</v>
      </c>
      <c r="AC970" s="89" t="n">
        <v>93.96993000000001</v>
      </c>
      <c r="AD970" s="89" t="n"/>
      <c r="AE970" s="89" t="n">
        <v>88.99275</v>
      </c>
      <c r="AF970" s="89" t="n">
        <v>89.24420000000001</v>
      </c>
      <c r="AG970" s="89" t="n">
        <v>117.7496</v>
      </c>
      <c r="AH970" s="89" t="n">
        <v>83.78718000000001</v>
      </c>
      <c r="AI970" s="89" t="n">
        <v>45.48158</v>
      </c>
      <c r="AJ970" s="89" t="n">
        <v>125.7147</v>
      </c>
      <c r="AK970" s="89" t="n">
        <v>38.8697</v>
      </c>
      <c r="AL970" s="89" t="n">
        <v>74.11647000000001</v>
      </c>
      <c r="AM970" s="89" t="n">
        <v>96.75037</v>
      </c>
      <c r="AN970" s="89" t="n"/>
      <c r="AO970" s="89" t="n">
        <v>88.1498</v>
      </c>
      <c r="AP970" s="89" t="n">
        <v>91.28478</v>
      </c>
      <c r="AQ970" s="89" t="n"/>
      <c r="AR970" s="89" t="n"/>
      <c r="AS970" s="89" t="n"/>
      <c r="AT970" s="89" t="n">
        <v>41.08699</v>
      </c>
      <c r="AU970" s="89" t="n"/>
      <c r="AV970" s="89" t="n">
        <v>53.5519</v>
      </c>
      <c r="AW970" s="89" t="n"/>
      <c r="AX970" s="89" t="n">
        <v>40.69661</v>
      </c>
      <c r="AY970" s="89" t="n">
        <v>80.09113000000001</v>
      </c>
    </row>
    <row r="971">
      <c r="A971" t="inlineStr">
        <is>
          <t>1999-10</t>
        </is>
      </c>
      <c r="B971" s="1" t="n">
        <v>36434</v>
      </c>
      <c r="C971" s="88" t="n">
        <v>971</v>
      </c>
      <c r="E971" s="1">
        <f>B971</f>
        <v/>
      </c>
      <c r="F971" s="2">
        <f>B971</f>
        <v/>
      </c>
      <c r="G971" s="88" t="n">
        <v>969</v>
      </c>
      <c r="H971" s="89" t="n"/>
      <c r="I971" s="89" t="n"/>
      <c r="J971" s="89" t="n">
        <v>71.57174999999999</v>
      </c>
      <c r="K971" s="89" t="n">
        <v>91.85102000000001</v>
      </c>
      <c r="L971" s="89" t="n"/>
      <c r="M971" s="89" t="n">
        <v>59.76662</v>
      </c>
      <c r="N971" s="89" t="n">
        <v>77.09357</v>
      </c>
      <c r="O971" s="89" t="n">
        <v>106.6808</v>
      </c>
      <c r="P971" s="89" t="n">
        <v>120.5631</v>
      </c>
      <c r="Q971" s="89" t="n"/>
      <c r="R971" s="89" t="n">
        <v>91.8</v>
      </c>
      <c r="S971" s="89" t="n">
        <v>107.4709</v>
      </c>
      <c r="T971" s="89" t="n">
        <v>110.2613</v>
      </c>
      <c r="U971" s="89" t="n">
        <v>143.4629</v>
      </c>
      <c r="V971" s="89" t="n">
        <v>52.41364</v>
      </c>
      <c r="W971" s="89" t="n">
        <v>42.41372</v>
      </c>
      <c r="X971" s="89" t="n">
        <v>27.83848</v>
      </c>
      <c r="Y971" s="89" t="n">
        <v>65.48860999999999</v>
      </c>
      <c r="Z971" s="89" t="n">
        <v>124.8896</v>
      </c>
      <c r="AA971" s="89" t="n">
        <v>102.1548</v>
      </c>
      <c r="AB971" s="89" t="n">
        <v>44.82027</v>
      </c>
      <c r="AC971" s="89" t="n">
        <v>93.06398</v>
      </c>
      <c r="AD971" s="89" t="n"/>
      <c r="AE971" s="89" t="n">
        <v>89.04231</v>
      </c>
      <c r="AF971" s="89" t="n">
        <v>89.80904</v>
      </c>
      <c r="AG971" s="89" t="n">
        <v>116.219</v>
      </c>
      <c r="AH971" s="89" t="n">
        <v>84.36994</v>
      </c>
      <c r="AI971" s="89" t="n">
        <v>45.88393</v>
      </c>
      <c r="AJ971" s="89" t="n">
        <v>127.5383</v>
      </c>
      <c r="AK971" s="89" t="n">
        <v>39.16719</v>
      </c>
      <c r="AL971" s="89" t="n">
        <v>75.51666</v>
      </c>
      <c r="AM971" s="89" t="n">
        <v>96.75037</v>
      </c>
      <c r="AN971" s="89" t="n"/>
      <c r="AO971" s="89" t="n">
        <v>89.32537000000001</v>
      </c>
      <c r="AP971" s="89" t="n">
        <v>92.28462</v>
      </c>
      <c r="AQ971" s="89" t="n"/>
      <c r="AR971" s="89" t="n"/>
      <c r="AS971" s="89" t="n"/>
      <c r="AT971" s="89" t="n">
        <v>40.80905</v>
      </c>
      <c r="AU971" s="89" t="n"/>
      <c r="AV971" s="89" t="n">
        <v>51.89805</v>
      </c>
      <c r="AW971" s="89" t="n"/>
      <c r="AX971" s="89" t="n">
        <v>40.39663</v>
      </c>
      <c r="AY971" s="89" t="n">
        <v>81.39028</v>
      </c>
    </row>
    <row r="972">
      <c r="A972" t="inlineStr">
        <is>
          <t>1999-11</t>
        </is>
      </c>
      <c r="B972" s="1" t="n">
        <v>36465</v>
      </c>
      <c r="C972" s="88" t="n">
        <v>972</v>
      </c>
      <c r="E972" s="1">
        <f>B972</f>
        <v/>
      </c>
      <c r="F972" s="2">
        <f>B972</f>
        <v/>
      </c>
      <c r="G972" s="88" t="n">
        <v>970</v>
      </c>
      <c r="H972" s="89" t="n"/>
      <c r="I972" s="89" t="n"/>
      <c r="J972" s="89" t="n">
        <v>73.55759999999999</v>
      </c>
      <c r="K972" s="89" t="n">
        <v>93.02842</v>
      </c>
      <c r="L972" s="89" t="n"/>
      <c r="M972" s="89" t="n">
        <v>59.15447</v>
      </c>
      <c r="N972" s="89" t="n">
        <v>76.99357999999999</v>
      </c>
      <c r="O972" s="89" t="n">
        <v>108.4225</v>
      </c>
      <c r="P972" s="89" t="n">
        <v>121.0851</v>
      </c>
      <c r="Q972" s="89" t="n"/>
      <c r="R972" s="89" t="n">
        <v>91.8</v>
      </c>
      <c r="S972" s="89" t="n">
        <v>107.5509</v>
      </c>
      <c r="T972" s="89" t="n">
        <v>110.8842</v>
      </c>
      <c r="U972" s="89" t="n">
        <v>142.6227</v>
      </c>
      <c r="V972" s="89" t="n">
        <v>53.17666</v>
      </c>
      <c r="W972" s="89" t="n">
        <v>41.10686</v>
      </c>
      <c r="X972" s="89" t="n">
        <v>28.85314</v>
      </c>
      <c r="Y972" s="89" t="n">
        <v>66.74935000000001</v>
      </c>
      <c r="Z972" s="89" t="n">
        <v>125.6895</v>
      </c>
      <c r="AA972" s="89" t="n">
        <v>103.2178</v>
      </c>
      <c r="AB972" s="89" t="n">
        <v>46.8541</v>
      </c>
      <c r="AC972" s="89" t="n">
        <v>91.39593000000001</v>
      </c>
      <c r="AD972" s="89" t="n"/>
      <c r="AE972" s="89" t="n">
        <v>90.13149</v>
      </c>
      <c r="AF972" s="89" t="n">
        <v>91.50355</v>
      </c>
      <c r="AG972" s="89" t="n">
        <v>120.3735</v>
      </c>
      <c r="AH972" s="89" t="n">
        <v>85.05014</v>
      </c>
      <c r="AI972" s="89" t="n">
        <v>46.33386</v>
      </c>
      <c r="AJ972" s="89" t="n">
        <v>129.3776</v>
      </c>
      <c r="AK972" s="89" t="n">
        <v>39.72471</v>
      </c>
      <c r="AL972" s="89" t="n">
        <v>74.58320000000001</v>
      </c>
      <c r="AM972" s="89" t="n">
        <v>97.05397000000001</v>
      </c>
      <c r="AN972" s="89" t="n"/>
      <c r="AO972" s="89" t="n">
        <v>89.74722</v>
      </c>
      <c r="AP972" s="89" t="n">
        <v>92.68456</v>
      </c>
      <c r="AQ972" s="89" t="n"/>
      <c r="AR972" s="89" t="n"/>
      <c r="AS972" s="89" t="n"/>
      <c r="AT972" s="89" t="n">
        <v>40.77678</v>
      </c>
      <c r="AU972" s="89" t="n"/>
      <c r="AV972" s="89" t="n">
        <v>53.38863</v>
      </c>
      <c r="AW972" s="89" t="n"/>
      <c r="AX972" s="89" t="n">
        <v>40.99658</v>
      </c>
      <c r="AY972" s="89" t="n">
        <v>80.76703999999999</v>
      </c>
    </row>
    <row r="973">
      <c r="A973" t="inlineStr">
        <is>
          <t>1999-12</t>
        </is>
      </c>
      <c r="B973" s="1" t="n">
        <v>36495</v>
      </c>
      <c r="C973" s="88" t="n">
        <v>973</v>
      </c>
      <c r="E973" s="1">
        <f>B973</f>
        <v/>
      </c>
      <c r="F973" s="2">
        <f>B973</f>
        <v/>
      </c>
      <c r="G973" s="88" t="n">
        <v>971</v>
      </c>
      <c r="H973" s="89" t="n"/>
      <c r="I973" s="89" t="n"/>
      <c r="J973" s="89" t="n">
        <v>72.16607999999999</v>
      </c>
      <c r="K973" s="89" t="n">
        <v>94.47871000000001</v>
      </c>
      <c r="L973" s="89" t="n"/>
      <c r="M973" s="89" t="n">
        <v>59.13443</v>
      </c>
      <c r="N973" s="89" t="n">
        <v>77.09357</v>
      </c>
      <c r="O973" s="89" t="n">
        <v>110.9262</v>
      </c>
      <c r="P973" s="89" t="n">
        <v>122.0681</v>
      </c>
      <c r="Q973" s="89" t="n"/>
      <c r="R973" s="89" t="n">
        <v>98.90000000000001</v>
      </c>
      <c r="S973" s="89" t="n">
        <v>106.6109</v>
      </c>
      <c r="T973" s="89" t="n">
        <v>109.9498</v>
      </c>
      <c r="U973" s="89" t="n">
        <v>145.2206</v>
      </c>
      <c r="V973" s="89" t="n">
        <v>51.12238</v>
      </c>
      <c r="W973" s="89" t="n">
        <v>41.34447</v>
      </c>
      <c r="X973" s="89" t="n">
        <v>30.05324</v>
      </c>
      <c r="Y973" s="89" t="n">
        <v>67.37972000000001</v>
      </c>
      <c r="Z973" s="89" t="n">
        <v>124.2896</v>
      </c>
      <c r="AA973" s="89" t="n">
        <v>103.1115</v>
      </c>
      <c r="AB973" s="89" t="n">
        <v>46.66911</v>
      </c>
      <c r="AC973" s="89" t="n">
        <v>93.35796000000001</v>
      </c>
      <c r="AD973" s="89" t="n"/>
      <c r="AE973" s="89" t="n">
        <v>90.41288</v>
      </c>
      <c r="AF973" s="89" t="n">
        <v>91.22113</v>
      </c>
      <c r="AG973" s="89" t="n">
        <v>122.5602</v>
      </c>
      <c r="AH973" s="89" t="n">
        <v>85.32494</v>
      </c>
      <c r="AI973" s="89" t="n">
        <v>49.05901</v>
      </c>
      <c r="AJ973" s="89" t="n">
        <v>129.2956</v>
      </c>
      <c r="AK973" s="89" t="n">
        <v>39.23034</v>
      </c>
      <c r="AL973" s="89" t="n">
        <v>75.89005</v>
      </c>
      <c r="AM973" s="89" t="n">
        <v>96.64915999999999</v>
      </c>
      <c r="AN973" s="89" t="n"/>
      <c r="AO973" s="89" t="n">
        <v>90.4409</v>
      </c>
      <c r="AP973" s="89" t="n">
        <v>92.28462</v>
      </c>
      <c r="AQ973" s="89" t="n"/>
      <c r="AR973" s="89" t="n"/>
      <c r="AS973" s="89" t="n"/>
      <c r="AT973" s="89" t="n">
        <v>42.08772</v>
      </c>
      <c r="AU973" s="89" t="n"/>
      <c r="AV973" s="89" t="n">
        <v>62.02753</v>
      </c>
      <c r="AW973" s="89" t="n"/>
      <c r="AX973" s="89" t="n">
        <v>41.19657</v>
      </c>
      <c r="AY973" s="89" t="n">
        <v>81.47807</v>
      </c>
    </row>
    <row r="974">
      <c r="A974" t="inlineStr">
        <is>
          <t>2000-01</t>
        </is>
      </c>
      <c r="B974" s="1" t="n">
        <v>36526</v>
      </c>
      <c r="C974" s="88" t="n">
        <v>974</v>
      </c>
      <c r="E974" s="1">
        <f>B974</f>
        <v/>
      </c>
      <c r="F974" s="2">
        <f>B974</f>
        <v/>
      </c>
      <c r="G974" s="88" t="n">
        <v>972</v>
      </c>
      <c r="H974" s="89" t="n"/>
      <c r="I974" s="89" t="n"/>
      <c r="J974" s="89" t="n">
        <v>64.89458999999999</v>
      </c>
      <c r="K974" s="89" t="n">
        <v>94.84121</v>
      </c>
      <c r="L974" s="89" t="n"/>
      <c r="M974" s="89" t="n">
        <v>58.49025</v>
      </c>
      <c r="N974" s="89" t="n">
        <v>76.49362000000001</v>
      </c>
      <c r="O974" s="89" t="n">
        <v>107</v>
      </c>
      <c r="P974" s="89" t="n">
        <v>122.3621</v>
      </c>
      <c r="Q974" s="89" t="n"/>
      <c r="R974" s="89" t="n">
        <v>96</v>
      </c>
      <c r="S974" s="89" t="n">
        <v>107.4009</v>
      </c>
      <c r="T974" s="89" t="n">
        <v>109.846</v>
      </c>
      <c r="U974" s="89" t="n">
        <v>149.126</v>
      </c>
      <c r="V974" s="89" t="n">
        <v>53.80449</v>
      </c>
      <c r="W974" s="89" t="n">
        <v>38.79014</v>
      </c>
      <c r="X974" s="89" t="n">
        <v>28.94435</v>
      </c>
      <c r="Y974" s="89" t="n">
        <v>64.64811</v>
      </c>
      <c r="Z974" s="89" t="n">
        <v>124.5896</v>
      </c>
      <c r="AA974" s="89" t="n">
        <v>103.0052</v>
      </c>
      <c r="AB974" s="89" t="n">
        <v>47.59504</v>
      </c>
      <c r="AC974" s="89" t="n">
        <v>86.99275</v>
      </c>
      <c r="AD974" s="89" t="n">
        <v>57.4</v>
      </c>
      <c r="AE974" s="89" t="n">
        <v>91.58931</v>
      </c>
      <c r="AF974" s="89" t="n">
        <v>92.25667</v>
      </c>
      <c r="AG974" s="89" t="n">
        <v>120.0931</v>
      </c>
      <c r="AH974" s="89" t="n">
        <v>85.2366</v>
      </c>
      <c r="AI974" s="89" t="n">
        <v>44.6</v>
      </c>
      <c r="AJ974" s="89" t="n">
        <v>127.8547</v>
      </c>
      <c r="AK974" s="89" t="n">
        <v>39.90665</v>
      </c>
      <c r="AL974" s="89" t="n">
        <v>74.11647000000001</v>
      </c>
      <c r="AM974" s="89" t="n">
        <v>92.90000000000001</v>
      </c>
      <c r="AN974" s="89" t="n"/>
      <c r="AO974" s="89" t="n">
        <v>90.45676</v>
      </c>
      <c r="AP974" s="89" t="n">
        <v>92.08466</v>
      </c>
      <c r="AQ974" s="89" t="n"/>
      <c r="AR974" s="89" t="n"/>
      <c r="AS974" s="89" t="n"/>
      <c r="AT974" s="89" t="n">
        <v>41.65397</v>
      </c>
      <c r="AU974" s="89" t="n"/>
      <c r="AV974" s="89" t="n">
        <v>58.03509</v>
      </c>
      <c r="AW974" s="89" t="n"/>
      <c r="AX974" s="89" t="n">
        <v>41.49654</v>
      </c>
      <c r="AY974" s="89" t="n">
        <v>80.7056</v>
      </c>
    </row>
    <row r="975">
      <c r="A975" t="inlineStr">
        <is>
          <t>2000-02</t>
        </is>
      </c>
      <c r="B975" s="1" t="n">
        <v>36557</v>
      </c>
      <c r="C975" s="88" t="n">
        <v>975</v>
      </c>
      <c r="E975" s="1">
        <f>B975</f>
        <v/>
      </c>
      <c r="F975" s="2">
        <f>B975</f>
        <v/>
      </c>
      <c r="G975" s="88" t="n">
        <v>973</v>
      </c>
      <c r="H975" s="89" t="n"/>
      <c r="I975" s="89" t="n"/>
      <c r="J975" s="89" t="n">
        <v>67.59437</v>
      </c>
      <c r="K975" s="89" t="n">
        <v>94.47548999999999</v>
      </c>
      <c r="L975" s="89" t="n"/>
      <c r="M975" s="89" t="n">
        <v>60.08998</v>
      </c>
      <c r="N975" s="89" t="n">
        <v>78.39346999999999</v>
      </c>
      <c r="O975" s="89" t="n">
        <v>107</v>
      </c>
      <c r="P975" s="89" t="n">
        <v>122.7141</v>
      </c>
      <c r="Q975" s="89" t="n"/>
      <c r="R975" s="89" t="n">
        <v>96.2</v>
      </c>
      <c r="S975" s="89" t="n">
        <v>107.7309</v>
      </c>
      <c r="T975" s="89" t="n">
        <v>110.5728</v>
      </c>
      <c r="U975" s="89" t="n">
        <v>149.5256</v>
      </c>
      <c r="V975" s="89" t="n">
        <v>54.0045</v>
      </c>
      <c r="W975" s="89" t="n">
        <v>38.79014</v>
      </c>
      <c r="X975" s="89" t="n">
        <v>28.23429</v>
      </c>
      <c r="Y975" s="89" t="n">
        <v>68.01009000000001</v>
      </c>
      <c r="Z975" s="89" t="n">
        <v>125.1896</v>
      </c>
      <c r="AA975" s="89" t="n">
        <v>102.8989</v>
      </c>
      <c r="AB975" s="89" t="n">
        <v>47.84001</v>
      </c>
      <c r="AC975" s="89" t="n">
        <v>89.69253</v>
      </c>
      <c r="AD975" s="89" t="n">
        <v>57.8</v>
      </c>
      <c r="AE975" s="89" t="n">
        <v>92.23048</v>
      </c>
      <c r="AF975" s="89" t="n">
        <v>93.10392</v>
      </c>
      <c r="AG975" s="89" t="n">
        <v>121.4895</v>
      </c>
      <c r="AH975" s="89" t="n">
        <v>85.85301</v>
      </c>
      <c r="AI975" s="89" t="n">
        <v>45.9</v>
      </c>
      <c r="AJ975" s="89" t="n">
        <v>128.8786</v>
      </c>
      <c r="AK975" s="89" t="n">
        <v>40.70678</v>
      </c>
      <c r="AL975" s="89" t="n">
        <v>76.35677</v>
      </c>
      <c r="AM975" s="89" t="n">
        <v>97.8</v>
      </c>
      <c r="AN975" s="89" t="n"/>
      <c r="AO975" s="89" t="n">
        <v>90.7256</v>
      </c>
      <c r="AP975" s="89" t="n">
        <v>93.18447</v>
      </c>
      <c r="AQ975" s="89" t="n"/>
      <c r="AR975" s="89" t="n"/>
      <c r="AS975" s="89" t="n"/>
      <c r="AT975" s="89" t="n">
        <v>41.08761</v>
      </c>
      <c r="AU975" s="89" t="n"/>
      <c r="AV975" s="89" t="n">
        <v>56.07244</v>
      </c>
      <c r="AW975" s="89" t="n"/>
      <c r="AX975" s="89" t="n">
        <v>42.99642</v>
      </c>
      <c r="AY975" s="89" t="n">
        <v>80.81093</v>
      </c>
    </row>
    <row r="976">
      <c r="A976" t="inlineStr">
        <is>
          <t>2000-03</t>
        </is>
      </c>
      <c r="B976" s="1" t="n">
        <v>36586</v>
      </c>
      <c r="C976" s="88" t="n">
        <v>976</v>
      </c>
      <c r="E976" s="1">
        <f>B976</f>
        <v/>
      </c>
      <c r="F976" s="2">
        <f>B976</f>
        <v/>
      </c>
      <c r="G976" s="88" t="n">
        <v>974</v>
      </c>
      <c r="H976" s="89" t="n"/>
      <c r="I976" s="89" t="n"/>
      <c r="J976" s="89" t="n">
        <v>68.69427</v>
      </c>
      <c r="K976" s="89" t="n">
        <v>95.56889</v>
      </c>
      <c r="L976" s="89" t="n"/>
      <c r="M976" s="89" t="n">
        <v>60.5899</v>
      </c>
      <c r="N976" s="89" t="n">
        <v>78.49346</v>
      </c>
      <c r="O976" s="89" t="n">
        <v>108.6</v>
      </c>
      <c r="P976" s="89" t="n">
        <v>124.1921</v>
      </c>
      <c r="Q976" s="89" t="n"/>
      <c r="R976" s="89" t="n">
        <v>95.5</v>
      </c>
      <c r="S976" s="89" t="n">
        <v>108.4509</v>
      </c>
      <c r="T976" s="89" t="n">
        <v>110.4689</v>
      </c>
      <c r="U976" s="89" t="n">
        <v>151.8229</v>
      </c>
      <c r="V976" s="89" t="n">
        <v>56.4047</v>
      </c>
      <c r="W976" s="89" t="n">
        <v>39.9782</v>
      </c>
      <c r="X976" s="89" t="n">
        <v>28.2763</v>
      </c>
      <c r="Y976" s="89" t="n">
        <v>69.2008</v>
      </c>
      <c r="Z976" s="89" t="n">
        <v>126.2895</v>
      </c>
      <c r="AA976" s="89" t="n">
        <v>104.3872</v>
      </c>
      <c r="AB976" s="89" t="n">
        <v>48.064</v>
      </c>
      <c r="AC976" s="89" t="n">
        <v>87.39272</v>
      </c>
      <c r="AD976" s="89" t="n">
        <v>57.5</v>
      </c>
      <c r="AE976" s="89" t="n">
        <v>92.31659999999999</v>
      </c>
      <c r="AF976" s="89" t="n">
        <v>93.38634</v>
      </c>
      <c r="AG976" s="89" t="n">
        <v>123.0023</v>
      </c>
      <c r="AH976" s="89" t="n">
        <v>86.27154</v>
      </c>
      <c r="AI976" s="89" t="n">
        <v>45.6</v>
      </c>
      <c r="AJ976" s="89" t="n">
        <v>120.8157</v>
      </c>
      <c r="AK976" s="89" t="n">
        <v>40.8068</v>
      </c>
      <c r="AL976" s="89" t="n">
        <v>77.38357999999999</v>
      </c>
      <c r="AM976" s="89" t="n">
        <v>98.40000000000001</v>
      </c>
      <c r="AN976" s="89" t="n"/>
      <c r="AO976" s="89" t="n">
        <v>91.05437999999999</v>
      </c>
      <c r="AP976" s="89" t="n">
        <v>93.5844</v>
      </c>
      <c r="AQ976" s="89" t="n"/>
      <c r="AR976" s="89" t="n"/>
      <c r="AS976" s="89" t="n"/>
      <c r="AT976" s="89" t="n">
        <v>42.58943</v>
      </c>
      <c r="AU976" s="89" t="n"/>
      <c r="AV976" s="89" t="n">
        <v>56.08223</v>
      </c>
      <c r="AW976" s="89" t="n"/>
      <c r="AX976" s="89" t="n">
        <v>42.19648</v>
      </c>
      <c r="AY976" s="89" t="n">
        <v>82.13642</v>
      </c>
    </row>
    <row r="977">
      <c r="A977" t="inlineStr">
        <is>
          <t>2000-04</t>
        </is>
      </c>
      <c r="B977" s="1" t="n">
        <v>36617</v>
      </c>
      <c r="C977" s="88" t="n">
        <v>977</v>
      </c>
      <c r="E977" s="1">
        <f>B977</f>
        <v/>
      </c>
      <c r="F977" s="2">
        <f>B977</f>
        <v/>
      </c>
      <c r="G977" s="88" t="n">
        <v>975</v>
      </c>
      <c r="H977" s="89" t="n"/>
      <c r="I977" s="89" t="n"/>
      <c r="J977" s="89" t="n">
        <v>71.19407</v>
      </c>
      <c r="K977" s="89" t="n">
        <v>95.30003000000001</v>
      </c>
      <c r="L977" s="89" t="n"/>
      <c r="M977" s="89" t="n">
        <v>60.48992</v>
      </c>
      <c r="N977" s="89" t="n">
        <v>79.49338</v>
      </c>
      <c r="O977" s="89" t="n">
        <v>108.6</v>
      </c>
      <c r="P977" s="89" t="n">
        <v>123.6021</v>
      </c>
      <c r="Q977" s="89" t="n"/>
      <c r="R977" s="89" t="n">
        <v>97</v>
      </c>
      <c r="S977" s="89" t="n">
        <v>109.0609</v>
      </c>
      <c r="T977" s="89" t="n">
        <v>110.1575</v>
      </c>
      <c r="U977" s="89" t="n">
        <v>151.8229</v>
      </c>
      <c r="V977" s="89" t="n">
        <v>55.70464</v>
      </c>
      <c r="W977" s="89" t="n">
        <v>43.12656</v>
      </c>
      <c r="X977" s="89" t="n">
        <v>28.58301</v>
      </c>
      <c r="Y977" s="89" t="n">
        <v>69.90121000000001</v>
      </c>
      <c r="Z977" s="89" t="n">
        <v>127.2894</v>
      </c>
      <c r="AA977" s="89" t="n">
        <v>105.9817</v>
      </c>
      <c r="AB977" s="89" t="n">
        <v>47.75702</v>
      </c>
      <c r="AC977" s="89" t="n">
        <v>92.69228</v>
      </c>
      <c r="AD977" s="89" t="n">
        <v>57.1</v>
      </c>
      <c r="AE977" s="89" t="n">
        <v>92.18391</v>
      </c>
      <c r="AF977" s="89" t="n">
        <v>93.76289</v>
      </c>
      <c r="AG977" s="89" t="n">
        <v>117.8821</v>
      </c>
      <c r="AH977" s="89" t="n">
        <v>86.90922999999999</v>
      </c>
      <c r="AI977" s="89" t="n">
        <v>46.8</v>
      </c>
      <c r="AJ977" s="89" t="n">
        <v>119.6638</v>
      </c>
      <c r="AK977" s="89" t="n">
        <v>41.4069</v>
      </c>
      <c r="AL977" s="89" t="n">
        <v>77.38357999999999</v>
      </c>
      <c r="AM977" s="89" t="n">
        <v>99.3</v>
      </c>
      <c r="AN977" s="89" t="n"/>
      <c r="AO977" s="89" t="n">
        <v>91.71022000000001</v>
      </c>
      <c r="AP977" s="89" t="n">
        <v>94.68422</v>
      </c>
      <c r="AQ977" s="89" t="n"/>
      <c r="AR977" s="89" t="n"/>
      <c r="AS977" s="89" t="n"/>
      <c r="AT977" s="89" t="n">
        <v>42.79817</v>
      </c>
      <c r="AU977" s="89" t="n"/>
      <c r="AV977" s="89" t="n">
        <v>61.55255</v>
      </c>
      <c r="AW977" s="89" t="n"/>
      <c r="AX977" s="89" t="n">
        <v>43.29639</v>
      </c>
      <c r="AY977" s="89" t="n">
        <v>82.90012</v>
      </c>
    </row>
    <row r="978">
      <c r="A978" t="inlineStr">
        <is>
          <t>2000-05</t>
        </is>
      </c>
      <c r="B978" s="1" t="n">
        <v>36647</v>
      </c>
      <c r="C978" s="88" t="n">
        <v>978</v>
      </c>
      <c r="E978" s="1">
        <f>B978</f>
        <v/>
      </c>
      <c r="F978" s="2">
        <f>B978</f>
        <v/>
      </c>
      <c r="G978" s="88" t="n">
        <v>976</v>
      </c>
      <c r="H978" s="89" t="n"/>
      <c r="I978" s="89" t="n"/>
      <c r="J978" s="89" t="n">
        <v>71.89400999999999</v>
      </c>
      <c r="K978" s="89" t="n">
        <v>96.74789</v>
      </c>
      <c r="L978" s="89" t="n"/>
      <c r="M978" s="89" t="n">
        <v>61.38977</v>
      </c>
      <c r="N978" s="89" t="n">
        <v>81.39322</v>
      </c>
      <c r="O978" s="89" t="n">
        <v>112.8</v>
      </c>
      <c r="P978" s="89" t="n">
        <v>124.8291</v>
      </c>
      <c r="Q978" s="89" t="n"/>
      <c r="R978" s="89" t="n">
        <v>101.2</v>
      </c>
      <c r="S978" s="89" t="n">
        <v>110.4209</v>
      </c>
      <c r="T978" s="89" t="n">
        <v>110.3651</v>
      </c>
      <c r="U978" s="89" t="n">
        <v>148.1272</v>
      </c>
      <c r="V978" s="89" t="n">
        <v>57.00475</v>
      </c>
      <c r="W978" s="89" t="n">
        <v>43.48298</v>
      </c>
      <c r="X978" s="89" t="n">
        <v>29.115</v>
      </c>
      <c r="Y978" s="89" t="n">
        <v>71.44212</v>
      </c>
      <c r="Z978" s="89" t="n">
        <v>127.9893</v>
      </c>
      <c r="AA978" s="89" t="n">
        <v>105.3439</v>
      </c>
      <c r="AB978" s="89" t="n">
        <v>49.75686</v>
      </c>
      <c r="AC978" s="89" t="n">
        <v>93.49221</v>
      </c>
      <c r="AD978" s="89" t="n">
        <v>58.8</v>
      </c>
      <c r="AE978" s="89" t="n">
        <v>93.18172</v>
      </c>
      <c r="AF978" s="89" t="n">
        <v>95.08085</v>
      </c>
      <c r="AG978" s="89" t="n">
        <v>122.886</v>
      </c>
      <c r="AH978" s="89" t="n">
        <v>87.60459</v>
      </c>
      <c r="AI978" s="89" t="n">
        <v>47.9</v>
      </c>
      <c r="AJ978" s="89" t="n">
        <v>128.6226</v>
      </c>
      <c r="AK978" s="89" t="n">
        <v>39.50658</v>
      </c>
      <c r="AL978" s="89" t="n">
        <v>79.34383</v>
      </c>
      <c r="AM978" s="89" t="n">
        <v>101.2</v>
      </c>
      <c r="AN978" s="89" t="n"/>
      <c r="AO978" s="89" t="n">
        <v>91.86649</v>
      </c>
      <c r="AP978" s="89" t="n">
        <v>95.98399999999999</v>
      </c>
      <c r="AQ978" s="89" t="n"/>
      <c r="AR978" s="89" t="n"/>
      <c r="AS978" s="89" t="n"/>
      <c r="AT978" s="89" t="n">
        <v>43.07859</v>
      </c>
      <c r="AU978" s="89" t="n"/>
      <c r="AV978" s="89" t="n">
        <v>56.74097</v>
      </c>
      <c r="AW978" s="89" t="n"/>
      <c r="AX978" s="89" t="n">
        <v>43.89634</v>
      </c>
      <c r="AY978" s="89" t="n">
        <v>82.6631</v>
      </c>
    </row>
    <row r="979">
      <c r="A979" t="inlineStr">
        <is>
          <t>2000-06</t>
        </is>
      </c>
      <c r="B979" s="1" t="n">
        <v>36678</v>
      </c>
      <c r="C979" s="88" t="n">
        <v>979</v>
      </c>
      <c r="E979" s="1">
        <f>B979</f>
        <v/>
      </c>
      <c r="F979" s="2">
        <f>B979</f>
        <v/>
      </c>
      <c r="G979" s="88" t="n">
        <v>977</v>
      </c>
      <c r="H979" s="89" t="n"/>
      <c r="I979" s="89" t="n"/>
      <c r="J979" s="89" t="n">
        <v>70.99409</v>
      </c>
      <c r="K979" s="89" t="n">
        <v>97.07482</v>
      </c>
      <c r="L979" s="89" t="n"/>
      <c r="M979" s="89" t="n">
        <v>61.28978</v>
      </c>
      <c r="N979" s="89" t="n">
        <v>79.59336999999999</v>
      </c>
      <c r="O979" s="89" t="n">
        <v>110.3</v>
      </c>
      <c r="P979" s="89" t="n">
        <v>123.6011</v>
      </c>
      <c r="Q979" s="89" t="n"/>
      <c r="R979" s="89" t="n">
        <v>97.09999999999999</v>
      </c>
      <c r="S979" s="89" t="n">
        <v>108.9809</v>
      </c>
      <c r="T979" s="89" t="n">
        <v>110.9881</v>
      </c>
      <c r="U979" s="89" t="n">
        <v>150.1248</v>
      </c>
      <c r="V979" s="89" t="n">
        <v>58.70489</v>
      </c>
      <c r="W979" s="89" t="n">
        <v>43.8988</v>
      </c>
      <c r="X979" s="89" t="n">
        <v>29.24276</v>
      </c>
      <c r="Y979" s="89" t="n">
        <v>71.44212</v>
      </c>
      <c r="Z979" s="89" t="n">
        <v>127.7894</v>
      </c>
      <c r="AA979" s="89" t="n">
        <v>106.7258</v>
      </c>
      <c r="AB979" s="89" t="n">
        <v>49.35389</v>
      </c>
      <c r="AC979" s="89" t="n">
        <v>91.29239</v>
      </c>
      <c r="AD979" s="89" t="n">
        <v>58.6</v>
      </c>
      <c r="AE979" s="89" t="n">
        <v>93.60290999999999</v>
      </c>
      <c r="AF979" s="89" t="n">
        <v>93.95117</v>
      </c>
      <c r="AG979" s="89" t="n">
        <v>120.3258</v>
      </c>
      <c r="AH979" s="89" t="n">
        <v>87.63857</v>
      </c>
      <c r="AI979" s="89" t="n">
        <v>48</v>
      </c>
      <c r="AJ979" s="89" t="n">
        <v>127.7267</v>
      </c>
      <c r="AK979" s="89" t="n">
        <v>38.20637</v>
      </c>
      <c r="AL979" s="89" t="n">
        <v>79.43718</v>
      </c>
      <c r="AM979" s="89" t="n">
        <v>104.2</v>
      </c>
      <c r="AN979" s="89" t="n"/>
      <c r="AO979" s="89" t="n">
        <v>91.95466999999999</v>
      </c>
      <c r="AP979" s="89" t="n">
        <v>94.58423999999999</v>
      </c>
      <c r="AQ979" s="89" t="n"/>
      <c r="AR979" s="89" t="n"/>
      <c r="AS979" s="89" t="n"/>
      <c r="AT979" s="89" t="n">
        <v>42.7399</v>
      </c>
      <c r="AU979" s="89" t="n"/>
      <c r="AV979" s="89" t="n">
        <v>57.43358</v>
      </c>
      <c r="AW979" s="89" t="n"/>
      <c r="AX979" s="89" t="n">
        <v>44.49629</v>
      </c>
      <c r="AY979" s="89" t="n">
        <v>84.68206000000001</v>
      </c>
    </row>
    <row r="980">
      <c r="A980" t="inlineStr">
        <is>
          <t>2000-07</t>
        </is>
      </c>
      <c r="B980" s="1" t="n">
        <v>36708</v>
      </c>
      <c r="C980" s="88" t="n">
        <v>980</v>
      </c>
      <c r="E980" s="1">
        <f>B980</f>
        <v/>
      </c>
      <c r="F980" s="2">
        <f>B980</f>
        <v/>
      </c>
      <c r="G980" s="88" t="n">
        <v>978</v>
      </c>
      <c r="H980" s="89" t="n"/>
      <c r="I980" s="89" t="n"/>
      <c r="J980" s="89" t="n">
        <v>70.99409</v>
      </c>
      <c r="K980" s="89" t="n">
        <v>97.07964</v>
      </c>
      <c r="L980" s="89" t="n"/>
      <c r="M980" s="89" t="n">
        <v>61.7897</v>
      </c>
      <c r="N980" s="89" t="n">
        <v>80.89326</v>
      </c>
      <c r="O980" s="89" t="n">
        <v>107.4</v>
      </c>
      <c r="P980" s="89" t="n">
        <v>124.4821</v>
      </c>
      <c r="Q980" s="89" t="n"/>
      <c r="R980" s="89" t="n">
        <v>100.5</v>
      </c>
      <c r="S980" s="89" t="n">
        <v>110.2709</v>
      </c>
      <c r="T980" s="89" t="n">
        <v>109.846</v>
      </c>
      <c r="U980" s="89" t="n">
        <v>148.0273</v>
      </c>
      <c r="V980" s="89" t="n">
        <v>58.90491</v>
      </c>
      <c r="W980" s="89" t="n">
        <v>46.0373</v>
      </c>
      <c r="X980" s="89" t="n">
        <v>29.73598</v>
      </c>
      <c r="Y980" s="89" t="n">
        <v>72.14252999999999</v>
      </c>
      <c r="Z980" s="89" t="n">
        <v>126.7894</v>
      </c>
      <c r="AA980" s="89" t="n">
        <v>106.5132</v>
      </c>
      <c r="AB980" s="89" t="n">
        <v>51.04774</v>
      </c>
      <c r="AC980" s="89" t="n">
        <v>93.09224</v>
      </c>
      <c r="AD980" s="89" t="n">
        <v>58.4</v>
      </c>
      <c r="AE980" s="89" t="n">
        <v>92.77404</v>
      </c>
      <c r="AF980" s="89" t="n">
        <v>95.55154</v>
      </c>
      <c r="AG980" s="89" t="n">
        <v>124.0497</v>
      </c>
      <c r="AH980" s="89" t="n">
        <v>87.85329</v>
      </c>
      <c r="AI980" s="89" t="n">
        <v>47.6</v>
      </c>
      <c r="AJ980" s="89" t="n">
        <v>125.551</v>
      </c>
      <c r="AK980" s="89" t="n">
        <v>40.10669</v>
      </c>
      <c r="AL980" s="89" t="n">
        <v>79.15714</v>
      </c>
      <c r="AM980" s="89" t="n">
        <v>100.5</v>
      </c>
      <c r="AN980" s="89" t="n"/>
      <c r="AO980" s="89" t="n">
        <v>91.81568</v>
      </c>
      <c r="AP980" s="89" t="n">
        <v>95.78403</v>
      </c>
      <c r="AQ980" s="89" t="n"/>
      <c r="AR980" s="89" t="n"/>
      <c r="AS980" s="89" t="n"/>
      <c r="AT980" s="89" t="n">
        <v>42.86542</v>
      </c>
      <c r="AU980" s="89" t="n"/>
      <c r="AV980" s="89" t="n">
        <v>57.45162</v>
      </c>
      <c r="AW980" s="89" t="n"/>
      <c r="AX980" s="89" t="n">
        <v>44.69627</v>
      </c>
      <c r="AY980" s="89" t="n">
        <v>85.27897</v>
      </c>
    </row>
    <row r="981">
      <c r="A981" t="inlineStr">
        <is>
          <t>2000-08</t>
        </is>
      </c>
      <c r="B981" s="1" t="n">
        <v>36739</v>
      </c>
      <c r="C981" s="88" t="n">
        <v>981</v>
      </c>
      <c r="E981" s="1">
        <f>B981</f>
        <v/>
      </c>
      <c r="F981" s="2">
        <f>B981</f>
        <v/>
      </c>
      <c r="G981" s="88" t="n">
        <v>979</v>
      </c>
      <c r="H981" s="89" t="n"/>
      <c r="I981" s="89" t="n"/>
      <c r="J981" s="89" t="n">
        <v>72.99392</v>
      </c>
      <c r="K981" s="89" t="n">
        <v>98.06388</v>
      </c>
      <c r="L981" s="89" t="n"/>
      <c r="M981" s="89" t="n">
        <v>64.58923</v>
      </c>
      <c r="N981" s="89" t="n">
        <v>81.69319</v>
      </c>
      <c r="O981" s="89" t="n">
        <v>111.8</v>
      </c>
      <c r="P981" s="89" t="n">
        <v>123.7941</v>
      </c>
      <c r="Q981" s="89" t="n"/>
      <c r="R981" s="89" t="n">
        <v>100.8</v>
      </c>
      <c r="S981" s="89" t="n">
        <v>109.2909</v>
      </c>
      <c r="T981" s="89" t="n">
        <v>110.9881</v>
      </c>
      <c r="U981" s="89" t="n">
        <v>153.5209</v>
      </c>
      <c r="V981" s="89" t="n">
        <v>59.50496</v>
      </c>
      <c r="W981" s="89" t="n">
        <v>44.67104</v>
      </c>
      <c r="X981" s="89" t="n">
        <v>29.99391</v>
      </c>
      <c r="Y981" s="89" t="n">
        <v>72.84294</v>
      </c>
      <c r="Z981" s="89" t="n">
        <v>127.9893</v>
      </c>
      <c r="AA981" s="89" t="n">
        <v>108.0014</v>
      </c>
      <c r="AB981" s="89" t="n">
        <v>51.93867</v>
      </c>
      <c r="AC981" s="89" t="n">
        <v>94.09216000000001</v>
      </c>
      <c r="AD981" s="89" t="n">
        <v>59.7</v>
      </c>
      <c r="AE981" s="89" t="n">
        <v>93.56653</v>
      </c>
      <c r="AF981" s="89" t="n">
        <v>95.08085</v>
      </c>
      <c r="AG981" s="89" t="n">
        <v>121.1404</v>
      </c>
      <c r="AH981" s="89" t="n">
        <v>88.40823</v>
      </c>
      <c r="AI981" s="89" t="n">
        <v>48.1</v>
      </c>
      <c r="AJ981" s="89" t="n">
        <v>131.5662</v>
      </c>
      <c r="AK981" s="89" t="n">
        <v>40.60677</v>
      </c>
      <c r="AL981" s="89" t="n">
        <v>79.0638</v>
      </c>
      <c r="AM981" s="89" t="n">
        <v>102.8</v>
      </c>
      <c r="AN981" s="89" t="n"/>
      <c r="AO981" s="89" t="n">
        <v>91.54732</v>
      </c>
      <c r="AP981" s="89" t="n">
        <v>95.88402000000001</v>
      </c>
      <c r="AQ981" s="89" t="n"/>
      <c r="AR981" s="89" t="n"/>
      <c r="AS981" s="89" t="n"/>
      <c r="AT981" s="89" t="n">
        <v>42.91359</v>
      </c>
      <c r="AU981" s="89" t="n"/>
      <c r="AV981" s="89" t="n">
        <v>57.56572</v>
      </c>
      <c r="AW981" s="89" t="n"/>
      <c r="AX981" s="89" t="n">
        <v>45.79618</v>
      </c>
      <c r="AY981" s="89" t="n">
        <v>85.26141</v>
      </c>
    </row>
    <row r="982">
      <c r="A982" t="inlineStr">
        <is>
          <t>2000-09</t>
        </is>
      </c>
      <c r="B982" s="1" t="n">
        <v>36770</v>
      </c>
      <c r="C982" s="88" t="n">
        <v>982</v>
      </c>
      <c r="E982" s="1">
        <f>B982</f>
        <v/>
      </c>
      <c r="F982" s="2">
        <f>B982</f>
        <v/>
      </c>
      <c r="G982" s="88" t="n">
        <v>980</v>
      </c>
      <c r="H982" s="89" t="n"/>
      <c r="I982" s="89" t="n"/>
      <c r="J982" s="89" t="n">
        <v>74.29380999999999</v>
      </c>
      <c r="K982" s="89" t="n">
        <v>98.02509000000001</v>
      </c>
      <c r="L982" s="89" t="n"/>
      <c r="M982" s="89" t="n">
        <v>64.38927</v>
      </c>
      <c r="N982" s="89" t="n">
        <v>81.79318000000001</v>
      </c>
      <c r="O982" s="89" t="n">
        <v>108.2</v>
      </c>
      <c r="P982" s="89" t="n">
        <v>123.8191</v>
      </c>
      <c r="Q982" s="89" t="n"/>
      <c r="R982" s="89" t="n">
        <v>102.5</v>
      </c>
      <c r="S982" s="89" t="n">
        <v>109.5709</v>
      </c>
      <c r="T982" s="89" t="n">
        <v>109.9498</v>
      </c>
      <c r="U982" s="89" t="n">
        <v>146.8287</v>
      </c>
      <c r="V982" s="89" t="n">
        <v>61.00508</v>
      </c>
      <c r="W982" s="89" t="n">
        <v>45.68089</v>
      </c>
      <c r="X982" s="89" t="n">
        <v>29.65123</v>
      </c>
      <c r="Y982" s="89" t="n">
        <v>71.44212</v>
      </c>
      <c r="Z982" s="89" t="n">
        <v>127.8893</v>
      </c>
      <c r="AA982" s="89" t="n">
        <v>105.7691</v>
      </c>
      <c r="AB982" s="89" t="n">
        <v>51.16074</v>
      </c>
      <c r="AC982" s="89" t="n">
        <v>91.89234</v>
      </c>
      <c r="AD982" s="89" t="n">
        <v>60.4</v>
      </c>
      <c r="AE982" s="89" t="n">
        <v>93.46978</v>
      </c>
      <c r="AF982" s="89" t="n">
        <v>94.04532</v>
      </c>
      <c r="AG982" s="89" t="n">
        <v>121.4895</v>
      </c>
      <c r="AH982" s="89" t="n">
        <v>88.05477</v>
      </c>
      <c r="AI982" s="89" t="n">
        <v>48.1</v>
      </c>
      <c r="AJ982" s="89" t="n">
        <v>132.4621</v>
      </c>
      <c r="AK982" s="89" t="n">
        <v>40.70678</v>
      </c>
      <c r="AL982" s="89" t="n">
        <v>79.62387</v>
      </c>
      <c r="AM982" s="89" t="n">
        <v>102.9</v>
      </c>
      <c r="AN982" s="89" t="n"/>
      <c r="AO982" s="89" t="n">
        <v>91.90058999999999</v>
      </c>
      <c r="AP982" s="89" t="n">
        <v>95.98399999999999</v>
      </c>
      <c r="AQ982" s="89" t="n"/>
      <c r="AR982" s="89" t="n"/>
      <c r="AS982" s="89" t="n"/>
      <c r="AT982" s="89" t="n">
        <v>43.4428</v>
      </c>
      <c r="AU982" s="89" t="n"/>
      <c r="AV982" s="89" t="n">
        <v>57.40355</v>
      </c>
      <c r="AW982" s="89" t="n"/>
      <c r="AX982" s="89" t="n">
        <v>43.99633</v>
      </c>
      <c r="AY982" s="89" t="n">
        <v>84.24316</v>
      </c>
    </row>
    <row r="983">
      <c r="A983" t="inlineStr">
        <is>
          <t>2000-10</t>
        </is>
      </c>
      <c r="B983" s="1" t="n">
        <v>36800</v>
      </c>
      <c r="C983" s="88" t="n">
        <v>983</v>
      </c>
      <c r="E983" s="1">
        <f>B983</f>
        <v/>
      </c>
      <c r="F983" s="2">
        <f>B983</f>
        <v/>
      </c>
      <c r="G983" s="88" t="n">
        <v>981</v>
      </c>
      <c r="H983" s="89" t="n"/>
      <c r="I983" s="89" t="n"/>
      <c r="J983" s="89" t="n">
        <v>74.3938</v>
      </c>
      <c r="K983" s="89" t="n">
        <v>98.24232000000001</v>
      </c>
      <c r="L983" s="89" t="n"/>
      <c r="M983" s="89" t="n">
        <v>65.3891</v>
      </c>
      <c r="N983" s="89" t="n">
        <v>81.49321</v>
      </c>
      <c r="O983" s="89" t="n">
        <v>110.9</v>
      </c>
      <c r="P983" s="89" t="n">
        <v>121.7751</v>
      </c>
      <c r="Q983" s="89" t="n"/>
      <c r="R983" s="89" t="n">
        <v>103.5</v>
      </c>
      <c r="S983" s="89" t="n">
        <v>110.7809</v>
      </c>
      <c r="T983" s="89" t="n">
        <v>110.1575</v>
      </c>
      <c r="U983" s="89" t="n">
        <v>149.6254</v>
      </c>
      <c r="V983" s="89" t="n">
        <v>60.20502</v>
      </c>
      <c r="W983" s="89" t="n">
        <v>48.35402</v>
      </c>
      <c r="X983" s="89" t="n">
        <v>29.46842</v>
      </c>
      <c r="Y983" s="89" t="n">
        <v>72.14252999999999</v>
      </c>
      <c r="Z983" s="89" t="n">
        <v>128.3893</v>
      </c>
      <c r="AA983" s="89" t="n">
        <v>107.3636</v>
      </c>
      <c r="AB983" s="89" t="n">
        <v>50.4128</v>
      </c>
      <c r="AC983" s="89" t="n">
        <v>89.29255999999999</v>
      </c>
      <c r="AD983" s="89" t="n">
        <v>61</v>
      </c>
      <c r="AE983" s="89" t="n">
        <v>92.51863</v>
      </c>
      <c r="AF983" s="89" t="n">
        <v>95.26913</v>
      </c>
      <c r="AG983" s="89" t="n">
        <v>123.2351</v>
      </c>
      <c r="AH983" s="89" t="n">
        <v>88.17094</v>
      </c>
      <c r="AI983" s="89" t="n">
        <v>47.8</v>
      </c>
      <c r="AJ983" s="89" t="n">
        <v>130.0304</v>
      </c>
      <c r="AK983" s="89" t="n">
        <v>41.20687</v>
      </c>
      <c r="AL983" s="89" t="n">
        <v>78.78376</v>
      </c>
      <c r="AM983" s="89" t="n">
        <v>103.3</v>
      </c>
      <c r="AN983" s="89" t="n"/>
      <c r="AO983" s="89" t="n">
        <v>91.62973</v>
      </c>
      <c r="AP983" s="89" t="n">
        <v>96.18397</v>
      </c>
      <c r="AQ983" s="89" t="n"/>
      <c r="AR983" s="89" t="n"/>
      <c r="AS983" s="89" t="n"/>
      <c r="AT983" s="89" t="n">
        <v>43.32673</v>
      </c>
      <c r="AU983" s="89" t="n"/>
      <c r="AV983" s="89" t="n">
        <v>57.65436</v>
      </c>
      <c r="AW983" s="89" t="n"/>
      <c r="AX983" s="89" t="n">
        <v>44.59628</v>
      </c>
      <c r="AY983" s="89" t="n">
        <v>86.069</v>
      </c>
    </row>
    <row r="984">
      <c r="A984" t="inlineStr">
        <is>
          <t>2000-11</t>
        </is>
      </c>
      <c r="B984" s="1" t="n">
        <v>36831</v>
      </c>
      <c r="C984" s="88" t="n">
        <v>984</v>
      </c>
      <c r="E984" s="1">
        <f>B984</f>
        <v/>
      </c>
      <c r="F984" s="2">
        <f>B984</f>
        <v/>
      </c>
      <c r="G984" s="88" t="n">
        <v>982</v>
      </c>
      <c r="H984" s="89" t="n"/>
      <c r="I984" s="89" t="n"/>
      <c r="J984" s="89" t="n">
        <v>75.09374</v>
      </c>
      <c r="K984" s="89" t="n">
        <v>98.23483</v>
      </c>
      <c r="L984" s="89" t="n"/>
      <c r="M984" s="89" t="n">
        <v>64.88918</v>
      </c>
      <c r="N984" s="89" t="n">
        <v>82.19315</v>
      </c>
      <c r="O984" s="89" t="n">
        <v>110.2</v>
      </c>
      <c r="P984" s="89" t="n">
        <v>125.6051</v>
      </c>
      <c r="Q984" s="89" t="n"/>
      <c r="R984" s="89" t="n">
        <v>103.2</v>
      </c>
      <c r="S984" s="89" t="n">
        <v>110.5809</v>
      </c>
      <c r="T984" s="89" t="n">
        <v>111.2995</v>
      </c>
      <c r="U984" s="89" t="n">
        <v>148.9263</v>
      </c>
      <c r="V984" s="89" t="n">
        <v>61.10509</v>
      </c>
      <c r="W984" s="89" t="n">
        <v>50.37372</v>
      </c>
      <c r="X984" s="89" t="n">
        <v>30.34293</v>
      </c>
      <c r="Y984" s="89" t="n">
        <v>70.74169999999999</v>
      </c>
      <c r="Z984" s="89" t="n">
        <v>129.9892</v>
      </c>
      <c r="AA984" s="89" t="n">
        <v>107.7888</v>
      </c>
      <c r="AB984" s="89" t="n">
        <v>49.39188</v>
      </c>
      <c r="AC984" s="89" t="n">
        <v>93.89216999999999</v>
      </c>
      <c r="AD984" s="89" t="n">
        <v>61.4</v>
      </c>
      <c r="AE984" s="89" t="n">
        <v>91.66013</v>
      </c>
      <c r="AF984" s="89" t="n">
        <v>94.70429</v>
      </c>
      <c r="AG984" s="89" t="n">
        <v>119.9767</v>
      </c>
      <c r="AH984" s="89" t="n">
        <v>88.47299</v>
      </c>
      <c r="AI984" s="89" t="n">
        <v>47.6</v>
      </c>
      <c r="AJ984" s="89" t="n">
        <v>131.4382</v>
      </c>
      <c r="AK984" s="89" t="n">
        <v>41.4069</v>
      </c>
      <c r="AL984" s="89" t="n">
        <v>80.27728999999999</v>
      </c>
      <c r="AM984" s="89" t="n">
        <v>106.7</v>
      </c>
      <c r="AN984" s="89" t="n"/>
      <c r="AO984" s="89" t="n">
        <v>91.6546</v>
      </c>
      <c r="AP984" s="89" t="n">
        <v>97.08382</v>
      </c>
      <c r="AQ984" s="89" t="n"/>
      <c r="AR984" s="89" t="n"/>
      <c r="AS984" s="89" t="n"/>
      <c r="AT984" s="89" t="n">
        <v>43.7641</v>
      </c>
      <c r="AU984" s="89" t="n"/>
      <c r="AV984" s="89" t="n">
        <v>57.65467</v>
      </c>
      <c r="AW984" s="89" t="n"/>
      <c r="AX984" s="89" t="n">
        <v>45.19623</v>
      </c>
      <c r="AY984" s="89" t="n">
        <v>85.3492</v>
      </c>
    </row>
    <row r="985">
      <c r="A985" t="inlineStr">
        <is>
          <t>2000-12</t>
        </is>
      </c>
      <c r="B985" s="1" t="n">
        <v>36861</v>
      </c>
      <c r="C985" s="88" t="n">
        <v>985</v>
      </c>
      <c r="E985" s="1">
        <f>B985</f>
        <v/>
      </c>
      <c r="F985" s="2">
        <f>B985</f>
        <v/>
      </c>
      <c r="G985" s="88" t="n">
        <v>983</v>
      </c>
      <c r="H985" s="89" t="n"/>
      <c r="I985" s="89" t="n"/>
      <c r="J985" s="89" t="n">
        <v>75.29371999999999</v>
      </c>
      <c r="K985" s="89" t="n">
        <v>98.33275</v>
      </c>
      <c r="L985" s="89" t="n"/>
      <c r="M985" s="89" t="n">
        <v>66.28895</v>
      </c>
      <c r="N985" s="89" t="n">
        <v>82.69311</v>
      </c>
      <c r="O985" s="89" t="n">
        <v>115.2</v>
      </c>
      <c r="P985" s="89" t="n">
        <v>126.7861</v>
      </c>
      <c r="Q985" s="89" t="n"/>
      <c r="R985" s="89" t="n">
        <v>102.6</v>
      </c>
      <c r="S985" s="89" t="n">
        <v>111.6009</v>
      </c>
      <c r="T985" s="89" t="n">
        <v>110.9881</v>
      </c>
      <c r="U985" s="89" t="n">
        <v>150.9239</v>
      </c>
      <c r="V985" s="89" t="n">
        <v>61.60513</v>
      </c>
      <c r="W985" s="89" t="n">
        <v>49.9579</v>
      </c>
      <c r="X985" s="89" t="n">
        <v>31.37744</v>
      </c>
      <c r="Y985" s="89" t="n">
        <v>70.74169999999999</v>
      </c>
      <c r="Z985" s="89" t="n">
        <v>131.789</v>
      </c>
      <c r="AA985" s="89" t="n">
        <v>108.8518</v>
      </c>
      <c r="AB985" s="89" t="n">
        <v>48.92692</v>
      </c>
      <c r="AC985" s="89" t="n">
        <v>100.0917</v>
      </c>
      <c r="AD985" s="89" t="n">
        <v>63</v>
      </c>
      <c r="AE985" s="89" t="n">
        <v>90.62526</v>
      </c>
      <c r="AF985" s="89" t="n">
        <v>93.66875</v>
      </c>
      <c r="AG985" s="89" t="n">
        <v>120.5586</v>
      </c>
      <c r="AH985" s="89" t="n">
        <v>88.61306999999999</v>
      </c>
      <c r="AI985" s="89" t="n">
        <v>51.6</v>
      </c>
      <c r="AJ985" s="89" t="n">
        <v>131.0543</v>
      </c>
      <c r="AK985" s="89" t="n">
        <v>42.6071</v>
      </c>
      <c r="AL985" s="89" t="n">
        <v>81.39744</v>
      </c>
      <c r="AM985" s="89" t="n">
        <v>101.1</v>
      </c>
      <c r="AN985" s="89" t="n"/>
      <c r="AO985" s="89" t="n">
        <v>91.39949</v>
      </c>
      <c r="AP985" s="89" t="n">
        <v>97.68371999999999</v>
      </c>
      <c r="AQ985" s="89" t="n"/>
      <c r="AR985" s="89" t="n"/>
      <c r="AS985" s="89" t="n"/>
      <c r="AT985" s="89" t="n">
        <v>43.70204</v>
      </c>
      <c r="AU985" s="89" t="n"/>
      <c r="AV985" s="89" t="n">
        <v>58.71763</v>
      </c>
      <c r="AW985" s="89" t="n"/>
      <c r="AX985" s="89" t="n">
        <v>43.29639</v>
      </c>
      <c r="AY985" s="89" t="n">
        <v>89.18521</v>
      </c>
    </row>
    <row r="986">
      <c r="A986" t="inlineStr">
        <is>
          <t>2001-01</t>
        </is>
      </c>
      <c r="B986" s="1" t="n">
        <v>36892</v>
      </c>
      <c r="C986" s="88" t="n">
        <v>986</v>
      </c>
      <c r="E986" s="1">
        <f>B986</f>
        <v/>
      </c>
      <c r="F986" s="2">
        <f>B986</f>
        <v/>
      </c>
      <c r="G986" s="88" t="n">
        <v>984</v>
      </c>
      <c r="H986" s="89" t="n"/>
      <c r="I986" s="89" t="n"/>
      <c r="J986" s="89" t="n">
        <v>76.7936</v>
      </c>
      <c r="K986" s="89" t="n">
        <v>95.81635</v>
      </c>
      <c r="L986" s="89" t="n"/>
      <c r="M986" s="89" t="n">
        <v>66.88885000000001</v>
      </c>
      <c r="N986" s="89" t="n">
        <v>82.49312999999999</v>
      </c>
      <c r="O986" s="89" t="n">
        <v>110.4</v>
      </c>
      <c r="P986" s="89" t="n">
        <v>122.8421</v>
      </c>
      <c r="Q986" s="89" t="n"/>
      <c r="R986" s="89" t="n">
        <v>103.4</v>
      </c>
      <c r="S986" s="89" t="n">
        <v>111.1009</v>
      </c>
      <c r="T986" s="89" t="n">
        <v>110.8842</v>
      </c>
      <c r="U986" s="89" t="n">
        <v>153.2212</v>
      </c>
      <c r="V986" s="89" t="n">
        <v>63.10526</v>
      </c>
      <c r="W986" s="89" t="n">
        <v>49.83909</v>
      </c>
      <c r="X986" s="89" t="n">
        <v>31.49953</v>
      </c>
      <c r="Y986" s="89" t="n">
        <v>71.44212</v>
      </c>
      <c r="Z986" s="89" t="n">
        <v>128.1893</v>
      </c>
      <c r="AA986" s="89" t="n">
        <v>104.8124</v>
      </c>
      <c r="AB986" s="89" t="n">
        <v>48.36597</v>
      </c>
      <c r="AC986" s="89" t="n">
        <v>93.69219</v>
      </c>
      <c r="AD986" s="89" t="n">
        <v>63.3</v>
      </c>
      <c r="AE986" s="89" t="n">
        <v>91.08179</v>
      </c>
      <c r="AF986" s="89" t="n">
        <v>92.75217000000001</v>
      </c>
      <c r="AG986" s="89" t="n">
        <v>122.886</v>
      </c>
      <c r="AH986" s="89" t="n">
        <v>87.44356000000001</v>
      </c>
      <c r="AI986" s="89" t="n">
        <v>48.1</v>
      </c>
      <c r="AJ986" s="89" t="n">
        <v>129.5185</v>
      </c>
      <c r="AK986" s="89" t="n">
        <v>42.6071</v>
      </c>
      <c r="AL986" s="89" t="n">
        <v>80.37063999999999</v>
      </c>
      <c r="AM986" s="89" t="n">
        <v>102.1</v>
      </c>
      <c r="AN986" s="89" t="n"/>
      <c r="AO986" s="89" t="n">
        <v>90.81117999999999</v>
      </c>
      <c r="AP986" s="89" t="n">
        <v>96.88385</v>
      </c>
      <c r="AQ986" s="89" t="n"/>
      <c r="AR986" s="89" t="n"/>
      <c r="AS986" s="89" t="n"/>
      <c r="AT986" s="89" t="n">
        <v>43.22868</v>
      </c>
      <c r="AU986" s="89" t="n"/>
      <c r="AV986" s="89" t="n">
        <v>57.77432</v>
      </c>
      <c r="AW986" s="89" t="n"/>
      <c r="AX986" s="89" t="n">
        <v>41.79652</v>
      </c>
      <c r="AY986" s="89" t="n">
        <v>87.02581000000001</v>
      </c>
    </row>
    <row r="987">
      <c r="A987" t="inlineStr">
        <is>
          <t>2001-02</t>
        </is>
      </c>
      <c r="B987" s="1" t="n">
        <v>36923</v>
      </c>
      <c r="C987" s="88" t="n">
        <v>987</v>
      </c>
      <c r="E987" s="1">
        <f>B987</f>
        <v/>
      </c>
      <c r="F987" s="2">
        <f>B987</f>
        <v/>
      </c>
      <c r="G987" s="88" t="n">
        <v>985</v>
      </c>
      <c r="H987" s="89" t="n"/>
      <c r="I987" s="89" t="n"/>
      <c r="J987" s="89" t="n">
        <v>76.19365000000001</v>
      </c>
      <c r="K987" s="89" t="n">
        <v>95.59108999999999</v>
      </c>
      <c r="L987" s="89" t="n"/>
      <c r="M987" s="89" t="n">
        <v>65.989</v>
      </c>
      <c r="N987" s="89" t="n">
        <v>83.39305</v>
      </c>
      <c r="O987" s="89" t="n">
        <v>115</v>
      </c>
      <c r="P987" s="89" t="n">
        <v>123.4541</v>
      </c>
      <c r="Q987" s="89" t="n"/>
      <c r="R987" s="89" t="n">
        <v>101.8</v>
      </c>
      <c r="S987" s="89" t="n">
        <v>111.8409</v>
      </c>
      <c r="T987" s="89" t="n">
        <v>110.0536</v>
      </c>
      <c r="U987" s="89" t="n">
        <v>150.4245</v>
      </c>
      <c r="V987" s="89" t="n">
        <v>62.10518</v>
      </c>
      <c r="W987" s="89" t="n">
        <v>53.9379</v>
      </c>
      <c r="X987" s="89" t="n">
        <v>32.2807</v>
      </c>
      <c r="Y987" s="89" t="n">
        <v>70.74169999999999</v>
      </c>
      <c r="Z987" s="89" t="n">
        <v>127.3894</v>
      </c>
      <c r="AA987" s="89" t="n">
        <v>105.7691</v>
      </c>
      <c r="AB987" s="89" t="n">
        <v>48.38297</v>
      </c>
      <c r="AC987" s="89" t="n">
        <v>96.19199</v>
      </c>
      <c r="AD987" s="89" t="n">
        <v>64.59999999999999</v>
      </c>
      <c r="AE987" s="89" t="n">
        <v>90.47902999999999</v>
      </c>
      <c r="AF987" s="89" t="n">
        <v>90.98171000000001</v>
      </c>
      <c r="AG987" s="89" t="n">
        <v>118.5803</v>
      </c>
      <c r="AH987" s="89" t="n">
        <v>87.36648</v>
      </c>
      <c r="AI987" s="89" t="n">
        <v>47.5</v>
      </c>
      <c r="AJ987" s="89" t="n">
        <v>130.4144</v>
      </c>
      <c r="AK987" s="89" t="n">
        <v>40.60677</v>
      </c>
      <c r="AL987" s="89" t="n">
        <v>80.93071</v>
      </c>
      <c r="AM987" s="89" t="n">
        <v>101</v>
      </c>
      <c r="AN987" s="89" t="n"/>
      <c r="AO987" s="89" t="n">
        <v>90.23007</v>
      </c>
      <c r="AP987" s="89" t="n">
        <v>97.28377999999999</v>
      </c>
      <c r="AQ987" s="89" t="n"/>
      <c r="AR987" s="89" t="n"/>
      <c r="AS987" s="89" t="n"/>
      <c r="AT987" s="89" t="n">
        <v>43.93528</v>
      </c>
      <c r="AU987" s="89" t="n"/>
      <c r="AV987" s="89" t="n">
        <v>58.47987</v>
      </c>
      <c r="AW987" s="89" t="n"/>
      <c r="AX987" s="89" t="n">
        <v>42.19648</v>
      </c>
      <c r="AY987" s="89" t="n">
        <v>87.92117</v>
      </c>
    </row>
    <row r="988">
      <c r="A988" t="inlineStr">
        <is>
          <t>2001-03</t>
        </is>
      </c>
      <c r="B988" s="1" t="n">
        <v>36951</v>
      </c>
      <c r="C988" s="88" t="n">
        <v>988</v>
      </c>
      <c r="E988" s="1">
        <f>B988</f>
        <v/>
      </c>
      <c r="F988" s="2">
        <f>B988</f>
        <v/>
      </c>
      <c r="G988" s="88" t="n">
        <v>986</v>
      </c>
      <c r="H988" s="89" t="n"/>
      <c r="I988" s="89" t="n"/>
      <c r="J988" s="89" t="n">
        <v>74.49379</v>
      </c>
      <c r="K988" s="89" t="n">
        <v>94.86742</v>
      </c>
      <c r="L988" s="89" t="n"/>
      <c r="M988" s="89" t="n">
        <v>66.48891999999999</v>
      </c>
      <c r="N988" s="89" t="n">
        <v>81.99316</v>
      </c>
      <c r="O988" s="89" t="n">
        <v>114.3</v>
      </c>
      <c r="P988" s="89" t="n">
        <v>122.9801</v>
      </c>
      <c r="Q988" s="89" t="n"/>
      <c r="R988" s="89" t="n">
        <v>102.6</v>
      </c>
      <c r="S988" s="89" t="n">
        <v>112.3009</v>
      </c>
      <c r="T988" s="89" t="n">
        <v>109.846</v>
      </c>
      <c r="U988" s="89" t="n">
        <v>142.2341</v>
      </c>
      <c r="V988" s="89" t="n">
        <v>59.00492</v>
      </c>
      <c r="W988" s="89" t="n">
        <v>50.67073</v>
      </c>
      <c r="X988" s="89" t="n">
        <v>32.45638</v>
      </c>
      <c r="Y988" s="89" t="n">
        <v>69.76112000000001</v>
      </c>
      <c r="Z988" s="89" t="n">
        <v>127.3894</v>
      </c>
      <c r="AA988" s="89" t="n">
        <v>103.962</v>
      </c>
      <c r="AB988" s="89" t="n">
        <v>48.72794</v>
      </c>
      <c r="AC988" s="89" t="n">
        <v>98.59178</v>
      </c>
      <c r="AD988" s="89" t="n">
        <v>65.3</v>
      </c>
      <c r="AE988" s="89" t="n">
        <v>90.65356</v>
      </c>
      <c r="AF988" s="89" t="n">
        <v>94.8177</v>
      </c>
      <c r="AG988" s="89" t="n">
        <v>120.3258</v>
      </c>
      <c r="AH988" s="89" t="n">
        <v>86.8802</v>
      </c>
      <c r="AI988" s="89" t="n">
        <v>48.2</v>
      </c>
      <c r="AJ988" s="89" t="n">
        <v>133.8699</v>
      </c>
      <c r="AK988" s="89" t="n">
        <v>42.20704</v>
      </c>
      <c r="AL988" s="89" t="n">
        <v>81.39744</v>
      </c>
      <c r="AM988" s="89" t="n">
        <v>101.4</v>
      </c>
      <c r="AN988" s="89" t="n"/>
      <c r="AO988" s="89" t="n">
        <v>90.01904999999999</v>
      </c>
      <c r="AP988" s="89" t="n">
        <v>96.68388</v>
      </c>
      <c r="AQ988" s="89" t="n"/>
      <c r="AR988" s="89" t="n"/>
      <c r="AS988" s="89" t="n"/>
      <c r="AT988" s="89" t="n">
        <v>43.80047</v>
      </c>
      <c r="AU988" s="89" t="n"/>
      <c r="AV988" s="89" t="n">
        <v>58.13024</v>
      </c>
      <c r="AW988" s="89" t="n"/>
      <c r="AX988" s="89" t="n">
        <v>39.79668</v>
      </c>
      <c r="AY988" s="89" t="n">
        <v>86.68346</v>
      </c>
    </row>
    <row r="989">
      <c r="A989" t="inlineStr">
        <is>
          <t>2001-04</t>
        </is>
      </c>
      <c r="B989" s="1" t="n">
        <v>36982</v>
      </c>
      <c r="C989" s="88" t="n">
        <v>989</v>
      </c>
      <c r="E989" s="1">
        <f>B989</f>
        <v/>
      </c>
      <c r="F989" s="2">
        <f>B989</f>
        <v/>
      </c>
      <c r="G989" s="88" t="n">
        <v>987</v>
      </c>
      <c r="H989" s="89" t="n"/>
      <c r="I989" s="89" t="n"/>
      <c r="J989" s="89" t="n">
        <v>73.09390999999999</v>
      </c>
      <c r="K989" s="89" t="n">
        <v>95.18792999999999</v>
      </c>
      <c r="L989" s="89" t="n"/>
      <c r="M989" s="89" t="n">
        <v>66.78887</v>
      </c>
      <c r="N989" s="89" t="n">
        <v>80.59327999999999</v>
      </c>
      <c r="O989" s="89" t="n">
        <v>113.6</v>
      </c>
      <c r="P989" s="89" t="n">
        <v>120.9811</v>
      </c>
      <c r="Q989" s="89" t="n"/>
      <c r="R989" s="89" t="n">
        <v>98.40000000000001</v>
      </c>
      <c r="S989" s="89" t="n">
        <v>110.4809</v>
      </c>
      <c r="T989" s="89" t="n">
        <v>109.0154</v>
      </c>
      <c r="U989" s="89" t="n">
        <v>140.1365</v>
      </c>
      <c r="V989" s="89" t="n">
        <v>61.00508</v>
      </c>
      <c r="W989" s="89" t="n">
        <v>50.78954</v>
      </c>
      <c r="X989" s="89" t="n">
        <v>32.98914</v>
      </c>
      <c r="Y989" s="89" t="n">
        <v>68.64046</v>
      </c>
      <c r="Z989" s="89" t="n">
        <v>126.2895</v>
      </c>
      <c r="AA989" s="89" t="n">
        <v>103.2178</v>
      </c>
      <c r="AB989" s="89" t="n">
        <v>49.1539</v>
      </c>
      <c r="AC989" s="89" t="n">
        <v>93.39221999999999</v>
      </c>
      <c r="AD989" s="89" t="n">
        <v>65</v>
      </c>
      <c r="AE989" s="89" t="n">
        <v>88.16262</v>
      </c>
      <c r="AF989" s="89" t="n">
        <v>95.70292999999999</v>
      </c>
      <c r="AG989" s="89" t="n">
        <v>120.9077</v>
      </c>
      <c r="AH989" s="89" t="n">
        <v>86.2286</v>
      </c>
      <c r="AI989" s="89" t="n">
        <v>47.6</v>
      </c>
      <c r="AJ989" s="89" t="n">
        <v>129.1346</v>
      </c>
      <c r="AK989" s="89" t="n">
        <v>41.20687</v>
      </c>
      <c r="AL989" s="89" t="n">
        <v>81.1174</v>
      </c>
      <c r="AM989" s="89" t="n">
        <v>96.5</v>
      </c>
      <c r="AN989" s="89" t="n"/>
      <c r="AO989" s="89" t="n">
        <v>89.75664</v>
      </c>
      <c r="AP989" s="89" t="n">
        <v>95.88402000000001</v>
      </c>
      <c r="AQ989" s="89" t="n"/>
      <c r="AR989" s="89" t="n"/>
      <c r="AS989" s="89" t="n"/>
      <c r="AT989" s="89" t="n">
        <v>43.93601</v>
      </c>
      <c r="AU989" s="89" t="n"/>
      <c r="AV989" s="89" t="n">
        <v>58.13923</v>
      </c>
      <c r="AW989" s="89" t="n"/>
      <c r="AX989" s="89" t="n">
        <v>39.49671</v>
      </c>
      <c r="AY989" s="89" t="n">
        <v>86.38500999999999</v>
      </c>
    </row>
    <row r="990">
      <c r="A990" t="inlineStr">
        <is>
          <t>2001-05</t>
        </is>
      </c>
      <c r="B990" s="1" t="n">
        <v>37012</v>
      </c>
      <c r="C990" s="88" t="n">
        <v>990</v>
      </c>
      <c r="E990" s="1">
        <f>B990</f>
        <v/>
      </c>
      <c r="F990" s="2">
        <f>B990</f>
        <v/>
      </c>
      <c r="G990" s="88" t="n">
        <v>988</v>
      </c>
      <c r="H990" s="89" t="n"/>
      <c r="I990" s="89" t="n"/>
      <c r="J990" s="89" t="n">
        <v>75.79369</v>
      </c>
      <c r="K990" s="89" t="n">
        <v>95.31527</v>
      </c>
      <c r="L990" s="89" t="n"/>
      <c r="M990" s="89" t="n">
        <v>66.88885000000001</v>
      </c>
      <c r="N990" s="89" t="n">
        <v>81.49321</v>
      </c>
      <c r="O990" s="89" t="n">
        <v>108.3</v>
      </c>
      <c r="P990" s="89" t="n">
        <v>123.5991</v>
      </c>
      <c r="Q990" s="89" t="n"/>
      <c r="R990" s="89" t="n">
        <v>99</v>
      </c>
      <c r="S990" s="89" t="n">
        <v>111.2909</v>
      </c>
      <c r="T990" s="89" t="n">
        <v>109.0154</v>
      </c>
      <c r="U990" s="89" t="n">
        <v>144.3316</v>
      </c>
      <c r="V990" s="89" t="n">
        <v>62.00517</v>
      </c>
      <c r="W990" s="89" t="n">
        <v>45.08685</v>
      </c>
      <c r="X990" s="89" t="n">
        <v>33.53066</v>
      </c>
      <c r="Y990" s="89" t="n">
        <v>67.23963999999999</v>
      </c>
      <c r="Z990" s="89" t="n">
        <v>126.0895</v>
      </c>
      <c r="AA990" s="89" t="n">
        <v>101.1981</v>
      </c>
      <c r="AB990" s="89" t="n">
        <v>49.71186</v>
      </c>
      <c r="AC990" s="89" t="n">
        <v>96.39197</v>
      </c>
      <c r="AD990" s="89" t="n">
        <v>65.59999999999999</v>
      </c>
      <c r="AE990" s="89" t="n">
        <v>89.44094</v>
      </c>
      <c r="AF990" s="89" t="n">
        <v>96.48979</v>
      </c>
      <c r="AG990" s="89" t="n">
        <v>115.5547</v>
      </c>
      <c r="AH990" s="89" t="n">
        <v>86.09944</v>
      </c>
      <c r="AI990" s="89" t="n">
        <v>47.9</v>
      </c>
      <c r="AJ990" s="89" t="n">
        <v>133.23</v>
      </c>
      <c r="AK990" s="89" t="n">
        <v>42.007</v>
      </c>
      <c r="AL990" s="89" t="n">
        <v>80.93071</v>
      </c>
      <c r="AM990" s="89" t="n">
        <v>100.4</v>
      </c>
      <c r="AN990" s="89" t="n"/>
      <c r="AO990" s="89" t="n">
        <v>89.20828</v>
      </c>
      <c r="AP990" s="89" t="n">
        <v>96.08398</v>
      </c>
      <c r="AQ990" s="89" t="n"/>
      <c r="AR990" s="89" t="n"/>
      <c r="AS990" s="89" t="n"/>
      <c r="AT990" s="89" t="n">
        <v>43.8127</v>
      </c>
      <c r="AU990" s="89" t="n"/>
      <c r="AV990" s="89" t="n">
        <v>60.5346</v>
      </c>
      <c r="AW990" s="89" t="n"/>
      <c r="AX990" s="89" t="n">
        <v>39.39672</v>
      </c>
      <c r="AY990" s="89" t="n">
        <v>87.05213999999999</v>
      </c>
    </row>
    <row r="991">
      <c r="A991" t="inlineStr">
        <is>
          <t>2001-06</t>
        </is>
      </c>
      <c r="B991" s="1" t="n">
        <v>37043</v>
      </c>
      <c r="C991" s="88" t="n">
        <v>991</v>
      </c>
      <c r="E991" s="1">
        <f>B991</f>
        <v/>
      </c>
      <c r="F991" s="2">
        <f>B991</f>
        <v/>
      </c>
      <c r="G991" s="88" t="n">
        <v>989</v>
      </c>
      <c r="H991" s="89" t="n"/>
      <c r="I991" s="89" t="n"/>
      <c r="J991" s="89" t="n">
        <v>76.7936</v>
      </c>
      <c r="K991" s="89" t="n">
        <v>94.37703999999999</v>
      </c>
      <c r="L991" s="89" t="n"/>
      <c r="M991" s="89" t="n">
        <v>66.78887</v>
      </c>
      <c r="N991" s="89" t="n">
        <v>81.89317</v>
      </c>
      <c r="O991" s="89" t="n">
        <v>108.9</v>
      </c>
      <c r="P991" s="89" t="n">
        <v>123.6091</v>
      </c>
      <c r="Q991" s="89" t="n"/>
      <c r="R991" s="89" t="n">
        <v>99</v>
      </c>
      <c r="S991" s="89" t="n">
        <v>111.3209</v>
      </c>
      <c r="T991" s="89" t="n">
        <v>108.9116</v>
      </c>
      <c r="U991" s="89" t="n">
        <v>141.7346</v>
      </c>
      <c r="V991" s="89" t="n">
        <v>59.20493</v>
      </c>
      <c r="W991" s="89" t="n">
        <v>49.60148</v>
      </c>
      <c r="X991" s="89" t="n">
        <v>33.56818</v>
      </c>
      <c r="Y991" s="89" t="n">
        <v>65.20844</v>
      </c>
      <c r="Z991" s="89" t="n">
        <v>126.3895</v>
      </c>
      <c r="AA991" s="89" t="n">
        <v>100.1351</v>
      </c>
      <c r="AB991" s="89" t="n">
        <v>49.83485</v>
      </c>
      <c r="AC991" s="89" t="n">
        <v>96.49196000000001</v>
      </c>
      <c r="AD991" s="89" t="n">
        <v>65.40000000000001</v>
      </c>
      <c r="AE991" s="89" t="n">
        <v>90.11404</v>
      </c>
      <c r="AF991" s="89" t="n">
        <v>93.83411</v>
      </c>
      <c r="AG991" s="89" t="n">
        <v>118.6967</v>
      </c>
      <c r="AH991" s="89" t="n">
        <v>85.86018</v>
      </c>
      <c r="AI991" s="89" t="n">
        <v>46.9</v>
      </c>
      <c r="AJ991" s="89" t="n">
        <v>132.974</v>
      </c>
      <c r="AK991" s="89" t="n">
        <v>43.40723</v>
      </c>
      <c r="AL991" s="89" t="n">
        <v>81.02406000000001</v>
      </c>
      <c r="AM991" s="89" t="n">
        <v>99.7</v>
      </c>
      <c r="AN991" s="89" t="n"/>
      <c r="AO991" s="89" t="n">
        <v>88.67501</v>
      </c>
      <c r="AP991" s="89" t="n">
        <v>96.18397</v>
      </c>
      <c r="AQ991" s="89" t="n"/>
      <c r="AR991" s="89" t="n"/>
      <c r="AS991" s="89" t="n"/>
      <c r="AT991" s="89" t="n">
        <v>44.04466</v>
      </c>
      <c r="AU991" s="89" t="n"/>
      <c r="AV991" s="89" t="n">
        <v>59.93974</v>
      </c>
      <c r="AW991" s="89" t="n"/>
      <c r="AX991" s="89" t="n">
        <v>39.69669</v>
      </c>
      <c r="AY991" s="89" t="n">
        <v>85.97243</v>
      </c>
    </row>
    <row r="992">
      <c r="A992" t="inlineStr">
        <is>
          <t>2001-07</t>
        </is>
      </c>
      <c r="B992" s="1" t="n">
        <v>37073</v>
      </c>
      <c r="C992" s="88" t="n">
        <v>992</v>
      </c>
      <c r="E992" s="1">
        <f>B992</f>
        <v/>
      </c>
      <c r="F992" s="2">
        <f>B992</f>
        <v/>
      </c>
      <c r="G992" s="88" t="n">
        <v>990</v>
      </c>
      <c r="H992" s="89" t="n"/>
      <c r="I992" s="89" t="n"/>
      <c r="J992" s="89" t="n">
        <v>72.49396</v>
      </c>
      <c r="K992" s="89" t="n">
        <v>93.06292999999999</v>
      </c>
      <c r="L992" s="89" t="n"/>
      <c r="M992" s="89" t="n">
        <v>65.58907000000001</v>
      </c>
      <c r="N992" s="89" t="n">
        <v>79.39339</v>
      </c>
      <c r="O992" s="89" t="n">
        <v>110.6</v>
      </c>
      <c r="P992" s="89" t="n">
        <v>120.9291</v>
      </c>
      <c r="Q992" s="89" t="n"/>
      <c r="R992" s="89" t="n">
        <v>96.90000000000001</v>
      </c>
      <c r="S992" s="89" t="n">
        <v>109.7909</v>
      </c>
      <c r="T992" s="89" t="n">
        <v>108.081</v>
      </c>
      <c r="U992" s="89" t="n">
        <v>141.1353</v>
      </c>
      <c r="V992" s="89" t="n">
        <v>59.00492</v>
      </c>
      <c r="W992" s="89" t="n">
        <v>46.98775</v>
      </c>
      <c r="X992" s="89" t="n">
        <v>35.89343</v>
      </c>
      <c r="Y992" s="89" t="n">
        <v>66.74935000000001</v>
      </c>
      <c r="Z992" s="89" t="n">
        <v>124.0897</v>
      </c>
      <c r="AA992" s="89" t="n">
        <v>98.75323</v>
      </c>
      <c r="AB992" s="89" t="n">
        <v>48.95992</v>
      </c>
      <c r="AC992" s="89" t="n">
        <v>97.79185</v>
      </c>
      <c r="AD992" s="89" t="n">
        <v>66.3</v>
      </c>
      <c r="AE992" s="89" t="n">
        <v>91.26211000000001</v>
      </c>
      <c r="AF992" s="89" t="n">
        <v>92.94888</v>
      </c>
      <c r="AG992" s="89" t="n">
        <v>118.5803</v>
      </c>
      <c r="AH992" s="89" t="n">
        <v>84.94708</v>
      </c>
      <c r="AI992" s="89" t="n">
        <v>47.2</v>
      </c>
      <c r="AJ992" s="89" t="n">
        <v>128.6226</v>
      </c>
      <c r="AK992" s="89" t="n">
        <v>42.10702</v>
      </c>
      <c r="AL992" s="89" t="n">
        <v>81.77082</v>
      </c>
      <c r="AM992" s="89" t="n">
        <v>99.40000000000001</v>
      </c>
      <c r="AN992" s="89" t="n"/>
      <c r="AO992" s="89" t="n">
        <v>88.16834</v>
      </c>
      <c r="AP992" s="89" t="n">
        <v>94.48425</v>
      </c>
      <c r="AQ992" s="89" t="n"/>
      <c r="AR992" s="89" t="n"/>
      <c r="AS992" s="89" t="n"/>
      <c r="AT992" s="89" t="n">
        <v>43.74736</v>
      </c>
      <c r="AU992" s="89" t="n"/>
      <c r="AV992" s="89" t="n">
        <v>59.84679</v>
      </c>
      <c r="AW992" s="89" t="n"/>
      <c r="AX992" s="89" t="n">
        <v>40.19665</v>
      </c>
      <c r="AY992" s="89" t="n">
        <v>85.76176</v>
      </c>
    </row>
    <row r="993">
      <c r="A993" t="inlineStr">
        <is>
          <t>2001-08</t>
        </is>
      </c>
      <c r="B993" s="1" t="n">
        <v>37104</v>
      </c>
      <c r="C993" s="88" t="n">
        <v>993</v>
      </c>
      <c r="E993" s="1">
        <f>B993</f>
        <v/>
      </c>
      <c r="F993" s="2">
        <f>B993</f>
        <v/>
      </c>
      <c r="G993" s="88" t="n">
        <v>991</v>
      </c>
      <c r="H993" s="89" t="n"/>
      <c r="I993" s="89" t="n"/>
      <c r="J993" s="89" t="n">
        <v>75.89368</v>
      </c>
      <c r="K993" s="89" t="n">
        <v>93.55573</v>
      </c>
      <c r="L993" s="89" t="n"/>
      <c r="M993" s="89" t="n">
        <v>66.98884</v>
      </c>
      <c r="N993" s="89" t="n">
        <v>81.5932</v>
      </c>
      <c r="O993" s="89" t="n">
        <v>114.6</v>
      </c>
      <c r="P993" s="89" t="n">
        <v>125.5761</v>
      </c>
      <c r="Q993" s="89" t="n"/>
      <c r="R993" s="89" t="n">
        <v>100.8</v>
      </c>
      <c r="S993" s="89" t="n">
        <v>112.5109</v>
      </c>
      <c r="T993" s="89" t="n">
        <v>109.9498</v>
      </c>
      <c r="U993" s="89" t="n">
        <v>143.2329</v>
      </c>
      <c r="V993" s="89" t="n">
        <v>62.10518</v>
      </c>
      <c r="W993" s="89" t="n">
        <v>49.60148</v>
      </c>
      <c r="X993" s="89" t="n">
        <v>38.08623</v>
      </c>
      <c r="Y993" s="89" t="n">
        <v>65.9789</v>
      </c>
      <c r="Z993" s="89" t="n">
        <v>126.2895</v>
      </c>
      <c r="AA993" s="89" t="n">
        <v>97.37132</v>
      </c>
      <c r="AB993" s="89" t="n">
        <v>50.19882</v>
      </c>
      <c r="AC993" s="89" t="n">
        <v>96.092</v>
      </c>
      <c r="AD993" s="89" t="n">
        <v>66.09999999999999</v>
      </c>
      <c r="AE993" s="89" t="n">
        <v>90.52122</v>
      </c>
      <c r="AF993" s="89" t="n">
        <v>96.09636</v>
      </c>
      <c r="AG993" s="89" t="n">
        <v>119.744</v>
      </c>
      <c r="AH993" s="89" t="n">
        <v>85.65891000000001</v>
      </c>
      <c r="AI993" s="89" t="n">
        <v>48.7</v>
      </c>
      <c r="AJ993" s="89" t="n">
        <v>131.8222</v>
      </c>
      <c r="AK993" s="89" t="n">
        <v>42.20704</v>
      </c>
      <c r="AL993" s="89" t="n">
        <v>81.58413</v>
      </c>
      <c r="AM993" s="89" t="n">
        <v>101.7</v>
      </c>
      <c r="AN993" s="89" t="n"/>
      <c r="AO993" s="89" t="n">
        <v>88.05904</v>
      </c>
      <c r="AP993" s="89" t="n">
        <v>96.78386999999999</v>
      </c>
      <c r="AQ993" s="89" t="n"/>
      <c r="AR993" s="89" t="n"/>
      <c r="AS993" s="89" t="n"/>
      <c r="AT993" s="89" t="n">
        <v>44.13658</v>
      </c>
      <c r="AU993" s="89" t="n"/>
      <c r="AV993" s="89" t="n">
        <v>59.52385</v>
      </c>
      <c r="AW993" s="89" t="n"/>
      <c r="AX993" s="89" t="n">
        <v>41.39655</v>
      </c>
      <c r="AY993" s="89" t="n">
        <v>85.77932</v>
      </c>
    </row>
    <row r="994">
      <c r="A994" t="inlineStr">
        <is>
          <t>2001-09</t>
        </is>
      </c>
      <c r="B994" s="1" t="n">
        <v>37135</v>
      </c>
      <c r="C994" s="88" t="n">
        <v>994</v>
      </c>
      <c r="E994" s="1">
        <f>B994</f>
        <v/>
      </c>
      <c r="F994" s="2">
        <f>B994</f>
        <v/>
      </c>
      <c r="G994" s="88" t="n">
        <v>992</v>
      </c>
      <c r="H994" s="89" t="n"/>
      <c r="I994" s="89" t="n"/>
      <c r="J994" s="89" t="n">
        <v>74.79376999999999</v>
      </c>
      <c r="K994" s="89" t="n">
        <v>92.12148999999999</v>
      </c>
      <c r="L994" s="89" t="n"/>
      <c r="M994" s="89" t="n">
        <v>66.28895</v>
      </c>
      <c r="N994" s="89" t="n">
        <v>80.49329</v>
      </c>
      <c r="O994" s="89" t="n">
        <v>112.6</v>
      </c>
      <c r="P994" s="89" t="n">
        <v>122.9001</v>
      </c>
      <c r="Q994" s="89" t="n"/>
      <c r="R994" s="89" t="n">
        <v>100.1</v>
      </c>
      <c r="S994" s="89" t="n">
        <v>110.7709</v>
      </c>
      <c r="T994" s="89" t="n">
        <v>108.3925</v>
      </c>
      <c r="U994" s="89" t="n">
        <v>141.3351</v>
      </c>
      <c r="V994" s="89" t="n">
        <v>58.40487</v>
      </c>
      <c r="W994" s="89" t="n">
        <v>48.82924</v>
      </c>
      <c r="X994" s="89" t="n">
        <v>37.34385</v>
      </c>
      <c r="Y994" s="89" t="n">
        <v>66.18902</v>
      </c>
      <c r="Z994" s="89" t="n">
        <v>124.2896</v>
      </c>
      <c r="AA994" s="89" t="n">
        <v>95.56421</v>
      </c>
      <c r="AB994" s="89" t="n">
        <v>50.59678</v>
      </c>
      <c r="AC994" s="89" t="n">
        <v>95.89201</v>
      </c>
      <c r="AD994" s="89" t="n">
        <v>66.2</v>
      </c>
      <c r="AE994" s="89" t="n">
        <v>90.66228</v>
      </c>
      <c r="AF994" s="89" t="n">
        <v>94.42426</v>
      </c>
      <c r="AG994" s="89" t="n">
        <v>123.2351</v>
      </c>
      <c r="AH994" s="89" t="n">
        <v>84.88861</v>
      </c>
      <c r="AI994" s="89" t="n">
        <v>47.5</v>
      </c>
      <c r="AJ994" s="89" t="n">
        <v>132.4621</v>
      </c>
      <c r="AK994" s="89" t="n">
        <v>42.50708</v>
      </c>
      <c r="AL994" s="89" t="n">
        <v>80.65067000000001</v>
      </c>
      <c r="AM994" s="89" t="n">
        <v>100.4</v>
      </c>
      <c r="AN994" s="89" t="n"/>
      <c r="AO994" s="89" t="n">
        <v>87.72228</v>
      </c>
      <c r="AP994" s="89" t="n">
        <v>95.3841</v>
      </c>
      <c r="AQ994" s="89" t="n"/>
      <c r="AR994" s="89" t="n"/>
      <c r="AS994" s="89" t="n"/>
      <c r="AT994" s="89" t="n">
        <v>44.28423</v>
      </c>
      <c r="AU994" s="89" t="n"/>
      <c r="AV994" s="89" t="n">
        <v>60.20914</v>
      </c>
      <c r="AW994" s="89" t="n"/>
      <c r="AX994" s="89" t="n">
        <v>41.19657</v>
      </c>
      <c r="AY994" s="89" t="n">
        <v>84.13782</v>
      </c>
    </row>
    <row r="995">
      <c r="A995" t="inlineStr">
        <is>
          <t>2001-10</t>
        </is>
      </c>
      <c r="B995" s="1" t="n">
        <v>37165</v>
      </c>
      <c r="C995" s="88" t="n">
        <v>995</v>
      </c>
      <c r="E995" s="1">
        <f>B995</f>
        <v/>
      </c>
      <c r="F995" s="2">
        <f>B995</f>
        <v/>
      </c>
      <c r="G995" s="88" t="n">
        <v>993</v>
      </c>
      <c r="H995" s="89" t="n"/>
      <c r="I995" s="89" t="n"/>
      <c r="J995" s="89" t="n">
        <v>73.1939</v>
      </c>
      <c r="K995" s="89" t="n">
        <v>92.39516999999999</v>
      </c>
      <c r="L995" s="89" t="n"/>
      <c r="M995" s="89" t="n">
        <v>66.68889</v>
      </c>
      <c r="N995" s="89" t="n">
        <v>79.09341000000001</v>
      </c>
      <c r="O995" s="89" t="n">
        <v>109.5</v>
      </c>
      <c r="P995" s="89" t="n">
        <v>121.7861</v>
      </c>
      <c r="Q995" s="89" t="n"/>
      <c r="R995" s="89" t="n">
        <v>99.2</v>
      </c>
      <c r="S995" s="89" t="n">
        <v>109.9809</v>
      </c>
      <c r="T995" s="89" t="n">
        <v>107.458</v>
      </c>
      <c r="U995" s="89" t="n">
        <v>142.7335</v>
      </c>
      <c r="V995" s="89" t="n">
        <v>61.70514</v>
      </c>
      <c r="W995" s="89" t="n">
        <v>46.92835</v>
      </c>
      <c r="X995" s="89" t="n">
        <v>36.88896</v>
      </c>
      <c r="Y995" s="89" t="n">
        <v>65.55865</v>
      </c>
      <c r="Z995" s="89" t="n">
        <v>123.5897</v>
      </c>
      <c r="AA995" s="89" t="n">
        <v>95.56421</v>
      </c>
      <c r="AB995" s="89" t="n">
        <v>50.70778</v>
      </c>
      <c r="AC995" s="89" t="n">
        <v>96.092</v>
      </c>
      <c r="AD995" s="89" t="n">
        <v>66.2</v>
      </c>
      <c r="AE995" s="89" t="n">
        <v>88.73286</v>
      </c>
      <c r="AF995" s="89" t="n">
        <v>90.98171000000001</v>
      </c>
      <c r="AG995" s="89" t="n">
        <v>120.9077</v>
      </c>
      <c r="AH995" s="89" t="n">
        <v>84.3141</v>
      </c>
      <c r="AI995" s="89" t="n">
        <v>47.6</v>
      </c>
      <c r="AJ995" s="89" t="n">
        <v>133.23</v>
      </c>
      <c r="AK995" s="89" t="n">
        <v>42.40707</v>
      </c>
      <c r="AL995" s="89" t="n">
        <v>82.05086</v>
      </c>
      <c r="AM995" s="89" t="n">
        <v>100.7</v>
      </c>
      <c r="AN995" s="89" t="n"/>
      <c r="AO995" s="89" t="n">
        <v>87.34058</v>
      </c>
      <c r="AP995" s="89" t="n">
        <v>94.18429999999999</v>
      </c>
      <c r="AQ995" s="89" t="n"/>
      <c r="AR995" s="89" t="n"/>
      <c r="AS995" s="89" t="n"/>
      <c r="AT995" s="89" t="n">
        <v>44.41259</v>
      </c>
      <c r="AU995" s="89" t="n"/>
      <c r="AV995" s="89" t="n">
        <v>60.78638</v>
      </c>
      <c r="AW995" s="89" t="n"/>
      <c r="AX995" s="89" t="n">
        <v>38.89676</v>
      </c>
      <c r="AY995" s="89" t="n">
        <v>82.20663999999999</v>
      </c>
    </row>
    <row r="996">
      <c r="A996" t="inlineStr">
        <is>
          <t>2001-11</t>
        </is>
      </c>
      <c r="B996" s="1" t="n">
        <v>37196</v>
      </c>
      <c r="C996" s="88" t="n">
        <v>996</v>
      </c>
      <c r="E996" s="1">
        <f>B996</f>
        <v/>
      </c>
      <c r="F996" s="2">
        <f>B996</f>
        <v/>
      </c>
      <c r="G996" s="88" t="n">
        <v>994</v>
      </c>
      <c r="H996" s="89" t="n"/>
      <c r="I996" s="89" t="n"/>
      <c r="J996" s="89" t="n">
        <v>73.09390999999999</v>
      </c>
      <c r="K996" s="89" t="n">
        <v>92.47891</v>
      </c>
      <c r="L996" s="89" t="n"/>
      <c r="M996" s="89" t="n">
        <v>67.1888</v>
      </c>
      <c r="N996" s="89" t="n">
        <v>78.09349</v>
      </c>
      <c r="O996" s="89" t="n">
        <v>117.8</v>
      </c>
      <c r="P996" s="89" t="n">
        <v>119.9531</v>
      </c>
      <c r="Q996" s="89" t="n"/>
      <c r="R996" s="89" t="n">
        <v>99.09999999999999</v>
      </c>
      <c r="S996" s="89" t="n">
        <v>108.7809</v>
      </c>
      <c r="T996" s="89" t="n">
        <v>107.0427</v>
      </c>
      <c r="U996" s="89" t="n">
        <v>144.7311</v>
      </c>
      <c r="V996" s="89" t="n">
        <v>59.80499</v>
      </c>
      <c r="W996" s="89" t="n">
        <v>47.81939</v>
      </c>
      <c r="X996" s="89" t="n">
        <v>36.26882</v>
      </c>
      <c r="Y996" s="89" t="n">
        <v>64.92828</v>
      </c>
      <c r="Z996" s="89" t="n">
        <v>121.7898</v>
      </c>
      <c r="AA996" s="89" t="n">
        <v>94.07599999999999</v>
      </c>
      <c r="AB996" s="89" t="n">
        <v>50.66578</v>
      </c>
      <c r="AC996" s="89" t="n">
        <v>96.69194</v>
      </c>
      <c r="AD996" s="89" t="n">
        <v>65.90000000000001</v>
      </c>
      <c r="AE996" s="89" t="n">
        <v>90.66701</v>
      </c>
      <c r="AF996" s="89" t="n">
        <v>94.03082999999999</v>
      </c>
      <c r="AG996" s="89" t="n">
        <v>122.3041</v>
      </c>
      <c r="AH996" s="89" t="n">
        <v>83.91207</v>
      </c>
      <c r="AI996" s="89" t="n">
        <v>47</v>
      </c>
      <c r="AJ996" s="89" t="n">
        <v>134.7658</v>
      </c>
      <c r="AK996" s="89" t="n">
        <v>41.4069</v>
      </c>
      <c r="AL996" s="89" t="n">
        <v>81.02406000000001</v>
      </c>
      <c r="AM996" s="89" t="n">
        <v>101.3</v>
      </c>
      <c r="AN996" s="89" t="n"/>
      <c r="AO996" s="89" t="n">
        <v>86.91267000000001</v>
      </c>
      <c r="AP996" s="89" t="n">
        <v>93.48442</v>
      </c>
      <c r="AQ996" s="89" t="n"/>
      <c r="AR996" s="89" t="n"/>
      <c r="AS996" s="89" t="n"/>
      <c r="AT996" s="89" t="n">
        <v>44.87156</v>
      </c>
      <c r="AU996" s="89" t="n"/>
      <c r="AV996" s="89" t="n">
        <v>61.36831</v>
      </c>
      <c r="AW996" s="89" t="n"/>
      <c r="AX996" s="89" t="n">
        <v>39.5967</v>
      </c>
      <c r="AY996" s="89" t="n">
        <v>83.16345</v>
      </c>
    </row>
    <row r="997">
      <c r="A997" t="inlineStr">
        <is>
          <t>2001-12</t>
        </is>
      </c>
      <c r="B997" s="1" t="n">
        <v>37226</v>
      </c>
      <c r="C997" s="88" t="n">
        <v>997</v>
      </c>
      <c r="E997" s="1">
        <f>B997</f>
        <v/>
      </c>
      <c r="F997" s="2">
        <f>B997</f>
        <v/>
      </c>
      <c r="G997" s="88" t="n">
        <v>995</v>
      </c>
      <c r="H997" s="89" t="n"/>
      <c r="I997" s="89" t="n"/>
      <c r="J997" s="89" t="n">
        <v>72.29398</v>
      </c>
      <c r="K997" s="89" t="n">
        <v>90.67709000000001</v>
      </c>
      <c r="L997" s="89" t="n"/>
      <c r="M997" s="89" t="n">
        <v>67.28879000000001</v>
      </c>
      <c r="N997" s="89" t="n">
        <v>78.59345</v>
      </c>
      <c r="O997" s="89" t="n">
        <v>113.7</v>
      </c>
      <c r="P997" s="89" t="n">
        <v>119.8041</v>
      </c>
      <c r="Q997" s="89" t="n"/>
      <c r="R997" s="89" t="n">
        <v>95.5</v>
      </c>
      <c r="S997" s="89" t="n">
        <v>109.4809</v>
      </c>
      <c r="T997" s="89" t="n">
        <v>107.1466</v>
      </c>
      <c r="U997" s="89" t="n">
        <v>132.7451</v>
      </c>
      <c r="V997" s="89" t="n">
        <v>59.40495</v>
      </c>
      <c r="W997" s="89" t="n">
        <v>52.51223</v>
      </c>
      <c r="X997" s="89" t="n">
        <v>35.80476</v>
      </c>
      <c r="Y997" s="89" t="n">
        <v>65.1384</v>
      </c>
      <c r="Z997" s="89" t="n">
        <v>123.3897</v>
      </c>
      <c r="AA997" s="89" t="n">
        <v>95.03270999999999</v>
      </c>
      <c r="AB997" s="89" t="n">
        <v>49.64886</v>
      </c>
      <c r="AC997" s="89" t="n">
        <v>98.3918</v>
      </c>
      <c r="AD997" s="89" t="n">
        <v>66.3</v>
      </c>
      <c r="AE997" s="89" t="n">
        <v>90.38336</v>
      </c>
      <c r="AF997" s="89" t="n">
        <v>95.80128000000001</v>
      </c>
      <c r="AG997" s="89" t="n">
        <v>126.4934</v>
      </c>
      <c r="AH997" s="89" t="n">
        <v>84.07589</v>
      </c>
      <c r="AI997" s="89" t="n">
        <v>49.1</v>
      </c>
      <c r="AJ997" s="89" t="n">
        <v>132.8461</v>
      </c>
      <c r="AK997" s="89" t="n">
        <v>41.00684</v>
      </c>
      <c r="AL997" s="89" t="n">
        <v>81.86417</v>
      </c>
      <c r="AM997" s="89" t="n">
        <v>100.7</v>
      </c>
      <c r="AN997" s="89" t="n"/>
      <c r="AO997" s="89" t="n">
        <v>86.93312</v>
      </c>
      <c r="AP997" s="89" t="n">
        <v>94.18429999999999</v>
      </c>
      <c r="AQ997" s="89" t="n"/>
      <c r="AR997" s="89" t="n"/>
      <c r="AS997" s="89" t="n"/>
      <c r="AT997" s="89" t="n">
        <v>44.93439</v>
      </c>
      <c r="AU997" s="89" t="n"/>
      <c r="AV997" s="89" t="n">
        <v>59.56734</v>
      </c>
      <c r="AW997" s="89" t="n"/>
      <c r="AX997" s="89" t="n">
        <v>39.49671</v>
      </c>
      <c r="AY997" s="89" t="n">
        <v>83.40924</v>
      </c>
    </row>
    <row r="998">
      <c r="A998" t="inlineStr">
        <is>
          <t>2002-01</t>
        </is>
      </c>
      <c r="B998" s="1" t="n">
        <v>37257</v>
      </c>
      <c r="C998" s="88" t="n">
        <v>998</v>
      </c>
      <c r="E998" s="1">
        <f>B998</f>
        <v/>
      </c>
      <c r="F998" s="2">
        <f>B998</f>
        <v/>
      </c>
      <c r="G998" s="88" t="n">
        <v>996</v>
      </c>
      <c r="H998" s="89" t="n"/>
      <c r="I998" s="89" t="n"/>
      <c r="J998" s="89" t="n">
        <v>73.69386</v>
      </c>
      <c r="K998" s="89" t="n">
        <v>93.86606</v>
      </c>
      <c r="L998" s="89" t="n"/>
      <c r="M998" s="89" t="n">
        <v>65.3891</v>
      </c>
      <c r="N998" s="89" t="n">
        <v>78.99342</v>
      </c>
      <c r="O998" s="89" t="n">
        <v>115.6</v>
      </c>
      <c r="P998" s="89" t="n">
        <v>121.4561</v>
      </c>
      <c r="Q998" s="89" t="n"/>
      <c r="R998" s="89" t="n">
        <v>98.5</v>
      </c>
      <c r="S998" s="89" t="n">
        <v>109.4509</v>
      </c>
      <c r="T998" s="89" t="n">
        <v>106.8351</v>
      </c>
      <c r="U998" s="89" t="n">
        <v>141.1353</v>
      </c>
      <c r="V998" s="89" t="n">
        <v>59.70498</v>
      </c>
      <c r="W998" s="89" t="n">
        <v>53.22506</v>
      </c>
      <c r="X998" s="89" t="n">
        <v>37.2173</v>
      </c>
      <c r="Y998" s="89" t="n">
        <v>64.78819</v>
      </c>
      <c r="Z998" s="89" t="n">
        <v>122.2898</v>
      </c>
      <c r="AA998" s="89" t="n">
        <v>94.50121</v>
      </c>
      <c r="AB998" s="89" t="n">
        <v>50.82877</v>
      </c>
      <c r="AC998" s="89" t="n">
        <v>97.99184</v>
      </c>
      <c r="AD998" s="89" t="n">
        <v>67.7</v>
      </c>
      <c r="AE998" s="89" t="n">
        <v>88.71823000000001</v>
      </c>
      <c r="AF998" s="89" t="n">
        <v>94.12918999999999</v>
      </c>
      <c r="AG998" s="89" t="n">
        <v>122.5368</v>
      </c>
      <c r="AH998" s="89" t="n">
        <v>84.31077000000001</v>
      </c>
      <c r="AI998" s="89" t="n">
        <v>47.9</v>
      </c>
      <c r="AJ998" s="89" t="n">
        <v>130.1584</v>
      </c>
      <c r="AK998" s="89" t="n">
        <v>41.50692</v>
      </c>
      <c r="AL998" s="89" t="n">
        <v>82.98430999999999</v>
      </c>
      <c r="AM998" s="89" t="n">
        <v>99.5</v>
      </c>
      <c r="AN998" s="89" t="n"/>
      <c r="AO998" s="89" t="n">
        <v>87.48264</v>
      </c>
      <c r="AP998" s="89" t="n">
        <v>94.18429999999999</v>
      </c>
      <c r="AQ998" s="89" t="n"/>
      <c r="AR998" s="89" t="n"/>
      <c r="AS998" s="89" t="n"/>
      <c r="AT998" s="89" t="n">
        <v>44.81569</v>
      </c>
      <c r="AU998" s="89" t="n"/>
      <c r="AV998" s="89" t="n">
        <v>60.35918</v>
      </c>
      <c r="AW998" s="89" t="n"/>
      <c r="AX998" s="89" t="n">
        <v>40.7966</v>
      </c>
      <c r="AY998" s="89" t="n">
        <v>85.54913000000001</v>
      </c>
    </row>
    <row r="999">
      <c r="A999" t="inlineStr">
        <is>
          <t>2002-02</t>
        </is>
      </c>
      <c r="B999" s="1" t="n">
        <v>37288</v>
      </c>
      <c r="C999" s="88" t="n">
        <v>999</v>
      </c>
      <c r="E999" s="1">
        <f>B999</f>
        <v/>
      </c>
      <c r="F999" s="2">
        <f>B999</f>
        <v/>
      </c>
      <c r="G999" s="88" t="n">
        <v>997</v>
      </c>
      <c r="H999" s="89" t="n"/>
      <c r="I999" s="89" t="n"/>
      <c r="J999" s="89" t="n">
        <v>73.49387</v>
      </c>
      <c r="K999" s="89" t="n">
        <v>95.13469000000001</v>
      </c>
      <c r="L999" s="89" t="n"/>
      <c r="M999" s="89" t="n">
        <v>66.88885000000001</v>
      </c>
      <c r="N999" s="89" t="n">
        <v>79.1934</v>
      </c>
      <c r="O999" s="89" t="n">
        <v>113.4</v>
      </c>
      <c r="P999" s="89" t="n">
        <v>121.8021</v>
      </c>
      <c r="Q999" s="89" t="n"/>
      <c r="R999" s="89" t="n">
        <v>97.5</v>
      </c>
      <c r="S999" s="89" t="n">
        <v>109.8409</v>
      </c>
      <c r="T999" s="89" t="n">
        <v>107.458</v>
      </c>
      <c r="U999" s="89" t="n">
        <v>144.9309</v>
      </c>
      <c r="V999" s="89" t="n">
        <v>63.30527</v>
      </c>
      <c r="W999" s="89" t="n">
        <v>50.78954</v>
      </c>
      <c r="X999" s="89" t="n">
        <v>39.44416</v>
      </c>
      <c r="Y999" s="89" t="n">
        <v>65.41856</v>
      </c>
      <c r="Z999" s="89" t="n">
        <v>123.8897</v>
      </c>
      <c r="AA999" s="89" t="n">
        <v>95.67050999999999</v>
      </c>
      <c r="AB999" s="89" t="n">
        <v>51.91167</v>
      </c>
      <c r="AC999" s="89" t="n">
        <v>99.19173000000001</v>
      </c>
      <c r="AD999" s="89" t="n">
        <v>66.59999999999999</v>
      </c>
      <c r="AE999" s="89" t="n">
        <v>87.69687999999999</v>
      </c>
      <c r="AF999" s="89" t="n">
        <v>90.2932</v>
      </c>
      <c r="AG999" s="89" t="n">
        <v>124.6315</v>
      </c>
      <c r="AH999" s="89" t="n">
        <v>84.7299</v>
      </c>
      <c r="AI999" s="89" t="n">
        <v>47.7</v>
      </c>
      <c r="AJ999" s="89" t="n">
        <v>128.1107</v>
      </c>
      <c r="AK999" s="89" t="n">
        <v>43.30722</v>
      </c>
      <c r="AL999" s="89" t="n">
        <v>82.70428</v>
      </c>
      <c r="AM999" s="89" t="n">
        <v>101.7</v>
      </c>
      <c r="AN999" s="89" t="n"/>
      <c r="AO999" s="89" t="n">
        <v>87.45948</v>
      </c>
      <c r="AP999" s="89" t="n">
        <v>94.48425</v>
      </c>
      <c r="AQ999" s="89" t="n"/>
      <c r="AR999" s="89" t="n"/>
      <c r="AS999" s="89" t="n"/>
      <c r="AT999" s="89" t="n">
        <v>45.09424</v>
      </c>
      <c r="AU999" s="89" t="n"/>
      <c r="AV999" s="89" t="n">
        <v>60.36749</v>
      </c>
      <c r="AW999" s="89" t="n"/>
      <c r="AX999" s="89" t="n">
        <v>43.1964</v>
      </c>
      <c r="AY999" s="89" t="n">
        <v>88.30168</v>
      </c>
    </row>
    <row r="1000">
      <c r="A1000" t="inlineStr">
        <is>
          <t>2002-03</t>
        </is>
      </c>
      <c r="B1000" s="1" t="n">
        <v>37316</v>
      </c>
      <c r="C1000" s="88" t="n">
        <v>1000</v>
      </c>
      <c r="E1000" s="1">
        <f>B1000</f>
        <v/>
      </c>
      <c r="F1000" s="2">
        <f>B1000</f>
        <v/>
      </c>
      <c r="G1000" s="88" t="n">
        <v>998</v>
      </c>
      <c r="H1000" s="89" t="n"/>
      <c r="I1000" s="89" t="n"/>
      <c r="J1000" s="89" t="n">
        <v>75.69370000000001</v>
      </c>
      <c r="K1000" s="89" t="n">
        <v>94.98005999999999</v>
      </c>
      <c r="L1000" s="89" t="n"/>
      <c r="M1000" s="89" t="n">
        <v>66.48891999999999</v>
      </c>
      <c r="N1000" s="89" t="n">
        <v>79.39339</v>
      </c>
      <c r="O1000" s="89" t="n">
        <v>111.7</v>
      </c>
      <c r="P1000" s="89" t="n">
        <v>121.1911</v>
      </c>
      <c r="Q1000" s="89" t="n"/>
      <c r="R1000" s="89" t="n">
        <v>102.5</v>
      </c>
      <c r="S1000" s="89" t="n">
        <v>110.3709</v>
      </c>
      <c r="T1000" s="89" t="n">
        <v>109.4307</v>
      </c>
      <c r="U1000" s="89" t="n">
        <v>142.5337</v>
      </c>
      <c r="V1000" s="89" t="n">
        <v>62.60522</v>
      </c>
      <c r="W1000" s="89" t="n">
        <v>55.66058</v>
      </c>
      <c r="X1000" s="89" t="n">
        <v>37.82626</v>
      </c>
      <c r="Y1000" s="89" t="n">
        <v>66.53922</v>
      </c>
      <c r="Z1000" s="89" t="n">
        <v>124.5896</v>
      </c>
      <c r="AA1000" s="89" t="n">
        <v>96.09571</v>
      </c>
      <c r="AB1000" s="89" t="n">
        <v>52.86959</v>
      </c>
      <c r="AC1000" s="89" t="n">
        <v>97.09191</v>
      </c>
      <c r="AD1000" s="89" t="n">
        <v>67.5</v>
      </c>
      <c r="AE1000" s="89" t="n">
        <v>88.3712</v>
      </c>
      <c r="AF1000" s="89" t="n">
        <v>94.03082999999999</v>
      </c>
      <c r="AG1000" s="89" t="n">
        <v>112.9946</v>
      </c>
      <c r="AH1000" s="89" t="n">
        <v>85.20276</v>
      </c>
      <c r="AI1000" s="89" t="n">
        <v>47.8</v>
      </c>
      <c r="AJ1000" s="89" t="n">
        <v>132.8461</v>
      </c>
      <c r="AK1000" s="89" t="n">
        <v>42.20704</v>
      </c>
      <c r="AL1000" s="89" t="n">
        <v>82.33089</v>
      </c>
      <c r="AM1000" s="89" t="n">
        <v>102</v>
      </c>
      <c r="AN1000" s="89" t="n"/>
      <c r="AO1000" s="89" t="n">
        <v>88.17285</v>
      </c>
      <c r="AP1000" s="89" t="n">
        <v>95.28412</v>
      </c>
      <c r="AQ1000" s="89" t="n"/>
      <c r="AR1000" s="89" t="n"/>
      <c r="AS1000" s="89" t="n"/>
      <c r="AT1000" s="89" t="n">
        <v>45.36998</v>
      </c>
      <c r="AU1000" s="89" t="n"/>
      <c r="AV1000" s="89" t="n">
        <v>60.3356</v>
      </c>
      <c r="AW1000" s="89" t="n"/>
      <c r="AX1000" s="89" t="n">
        <v>43.69636</v>
      </c>
      <c r="AY1000" s="89" t="n">
        <v>87.86127</v>
      </c>
    </row>
    <row r="1001">
      <c r="A1001" t="inlineStr">
        <is>
          <t>2002-04</t>
        </is>
      </c>
      <c r="B1001" s="1" t="n">
        <v>37347</v>
      </c>
      <c r="C1001" s="88" t="n">
        <v>1001</v>
      </c>
      <c r="E1001" s="1">
        <f>B1001</f>
        <v/>
      </c>
      <c r="F1001" s="2">
        <f>B1001</f>
        <v/>
      </c>
      <c r="G1001" s="88" t="n">
        <v>999</v>
      </c>
      <c r="H1001" s="89" t="n"/>
      <c r="I1001" s="89" t="n"/>
      <c r="J1001" s="89" t="n">
        <v>75.19373</v>
      </c>
      <c r="K1001" s="89" t="n">
        <v>96.33562999999999</v>
      </c>
      <c r="L1001" s="89" t="n"/>
      <c r="M1001" s="89" t="n">
        <v>67.08882</v>
      </c>
      <c r="N1001" s="89" t="n">
        <v>79.49338</v>
      </c>
      <c r="O1001" s="89" t="n">
        <v>115.5</v>
      </c>
      <c r="P1001" s="89" t="n">
        <v>122.7251</v>
      </c>
      <c r="Q1001" s="89" t="n"/>
      <c r="R1001" s="89" t="n">
        <v>100.3</v>
      </c>
      <c r="S1001" s="89" t="n">
        <v>111.0909</v>
      </c>
      <c r="T1001" s="89" t="n">
        <v>107.5619</v>
      </c>
      <c r="U1001" s="89" t="n">
        <v>144.7311</v>
      </c>
      <c r="V1001" s="89" t="n">
        <v>62.30519</v>
      </c>
      <c r="W1001" s="89" t="n">
        <v>52.51223</v>
      </c>
      <c r="X1001" s="89" t="n">
        <v>36.9316</v>
      </c>
      <c r="Y1001" s="89" t="n">
        <v>66.67931</v>
      </c>
      <c r="Z1001" s="89" t="n">
        <v>120.9899</v>
      </c>
      <c r="AA1001" s="89" t="n">
        <v>95.98941000000001</v>
      </c>
      <c r="AB1001" s="89" t="n">
        <v>53.55154</v>
      </c>
      <c r="AC1001" s="89" t="n">
        <v>99.99167</v>
      </c>
      <c r="AD1001" s="89" t="n">
        <v>68.7</v>
      </c>
      <c r="AE1001" s="89" t="n">
        <v>89.17979</v>
      </c>
      <c r="AF1001" s="89" t="n">
        <v>96.29308</v>
      </c>
      <c r="AG1001" s="89" t="n">
        <v>126.4934</v>
      </c>
      <c r="AH1001" s="89" t="n">
        <v>85.64456</v>
      </c>
      <c r="AI1001" s="89" t="n">
        <v>46.6</v>
      </c>
      <c r="AJ1001" s="89" t="n">
        <v>135.2777</v>
      </c>
      <c r="AK1001" s="89" t="n">
        <v>43.60727</v>
      </c>
      <c r="AL1001" s="89" t="n">
        <v>84.19781</v>
      </c>
      <c r="AM1001" s="89" t="n">
        <v>100.8</v>
      </c>
      <c r="AN1001" s="89" t="n"/>
      <c r="AO1001" s="89" t="n">
        <v>88.53698</v>
      </c>
      <c r="AP1001" s="89" t="n">
        <v>95.08414999999999</v>
      </c>
      <c r="AQ1001" s="89" t="n"/>
      <c r="AR1001" s="89" t="n"/>
      <c r="AS1001" s="89" t="n"/>
      <c r="AT1001" s="89" t="n">
        <v>45.88514</v>
      </c>
      <c r="AU1001" s="89" t="n"/>
      <c r="AV1001" s="89" t="n">
        <v>60.40162</v>
      </c>
      <c r="AW1001" s="89" t="n"/>
      <c r="AX1001" s="89" t="n">
        <v>44.49629</v>
      </c>
      <c r="AY1001" s="89" t="n">
        <v>87.53097</v>
      </c>
    </row>
    <row r="1002">
      <c r="A1002" t="inlineStr">
        <is>
          <t>2002-05</t>
        </is>
      </c>
      <c r="B1002" s="1" t="n">
        <v>37377</v>
      </c>
      <c r="C1002" s="88" t="n">
        <v>1002</v>
      </c>
      <c r="E1002" s="1">
        <f>B1002</f>
        <v/>
      </c>
      <c r="F1002" s="2">
        <f>B1002</f>
        <v/>
      </c>
      <c r="G1002" s="88" t="n">
        <v>1000</v>
      </c>
      <c r="H1002" s="89" t="n"/>
      <c r="I1002" s="89" t="n"/>
      <c r="J1002" s="89" t="n">
        <v>75.89368</v>
      </c>
      <c r="K1002" s="89" t="n">
        <v>96.27758</v>
      </c>
      <c r="L1002" s="89" t="n"/>
      <c r="M1002" s="89" t="n">
        <v>67.1888</v>
      </c>
      <c r="N1002" s="89" t="n">
        <v>78.69344</v>
      </c>
      <c r="O1002" s="89" t="n">
        <v>113.8</v>
      </c>
      <c r="P1002" s="89" t="n">
        <v>121.4791</v>
      </c>
      <c r="Q1002" s="89" t="n"/>
      <c r="R1002" s="89" t="n">
        <v>100.7</v>
      </c>
      <c r="S1002" s="89" t="n">
        <v>110.1309</v>
      </c>
      <c r="T1002" s="89" t="n">
        <v>108.8078</v>
      </c>
      <c r="U1002" s="89" t="n">
        <v>139.1377</v>
      </c>
      <c r="V1002" s="89" t="n">
        <v>61.30511</v>
      </c>
      <c r="W1002" s="89" t="n">
        <v>55.24476</v>
      </c>
      <c r="X1002" s="89" t="n">
        <v>35.96883</v>
      </c>
      <c r="Y1002" s="89" t="n">
        <v>66.11897999999999</v>
      </c>
      <c r="Z1002" s="89" t="n">
        <v>125.1896</v>
      </c>
      <c r="AA1002" s="89" t="n">
        <v>99.81623</v>
      </c>
      <c r="AB1002" s="89" t="n">
        <v>53.11757</v>
      </c>
      <c r="AC1002" s="89" t="n">
        <v>100.7916</v>
      </c>
      <c r="AD1002" s="89" t="n">
        <v>68.40000000000001</v>
      </c>
      <c r="AE1002" s="89" t="n">
        <v>89.47086</v>
      </c>
      <c r="AF1002" s="89" t="n">
        <v>97.07993999999999</v>
      </c>
      <c r="AG1002" s="89" t="n">
        <v>124.166</v>
      </c>
      <c r="AH1002" s="89" t="n">
        <v>86.12209</v>
      </c>
      <c r="AI1002" s="89" t="n">
        <v>47</v>
      </c>
      <c r="AJ1002" s="89" t="n">
        <v>131.9502</v>
      </c>
      <c r="AK1002" s="89" t="n">
        <v>44.4074</v>
      </c>
      <c r="AL1002" s="89" t="n">
        <v>81.86417</v>
      </c>
      <c r="AM1002" s="89" t="n">
        <v>100.9</v>
      </c>
      <c r="AN1002" s="89" t="n"/>
      <c r="AO1002" s="89" t="n">
        <v>88.91128999999999</v>
      </c>
      <c r="AP1002" s="89" t="n">
        <v>95.48408999999999</v>
      </c>
      <c r="AQ1002" s="89" t="n"/>
      <c r="AR1002" s="89" t="n"/>
      <c r="AS1002" s="89" t="n"/>
      <c r="AT1002" s="89" t="n">
        <v>45.69567</v>
      </c>
      <c r="AU1002" s="89" t="n"/>
      <c r="AV1002" s="89" t="n">
        <v>59.86753</v>
      </c>
      <c r="AW1002" s="89" t="n"/>
      <c r="AX1002" s="89" t="n">
        <v>43.09641</v>
      </c>
      <c r="AY1002" s="89" t="n">
        <v>87.09056</v>
      </c>
    </row>
    <row r="1003">
      <c r="A1003" t="inlineStr">
        <is>
          <t>2002-06</t>
        </is>
      </c>
      <c r="B1003" s="1" t="n">
        <v>37408</v>
      </c>
      <c r="C1003" s="88" t="n">
        <v>1003</v>
      </c>
      <c r="E1003" s="1">
        <f>B1003</f>
        <v/>
      </c>
      <c r="F1003" s="2">
        <f>B1003</f>
        <v/>
      </c>
      <c r="G1003" s="88" t="n">
        <v>1001</v>
      </c>
      <c r="H1003" s="89" t="n"/>
      <c r="I1003" s="89" t="n"/>
      <c r="J1003" s="89" t="n">
        <v>74.59378</v>
      </c>
      <c r="K1003" s="89" t="n">
        <v>95.59003</v>
      </c>
      <c r="L1003" s="89" t="n"/>
      <c r="M1003" s="89" t="n">
        <v>67.1888</v>
      </c>
      <c r="N1003" s="89" t="n">
        <v>80.89326</v>
      </c>
      <c r="O1003" s="89" t="n">
        <v>112.7</v>
      </c>
      <c r="P1003" s="89" t="n">
        <v>121.2251</v>
      </c>
      <c r="Q1003" s="89" t="n"/>
      <c r="R1003" s="89" t="n">
        <v>102.9</v>
      </c>
      <c r="S1003" s="89" t="n">
        <v>109.9409</v>
      </c>
      <c r="T1003" s="89" t="n">
        <v>105.1739</v>
      </c>
      <c r="U1003" s="89" t="n">
        <v>141.6348</v>
      </c>
      <c r="V1003" s="89" t="n">
        <v>62.10518</v>
      </c>
      <c r="W1003" s="89" t="n">
        <v>56.61103</v>
      </c>
      <c r="X1003" s="89" t="n">
        <v>34.52236</v>
      </c>
      <c r="Y1003" s="89" t="n">
        <v>65.9789</v>
      </c>
      <c r="Z1003" s="89" t="n">
        <v>123.9897</v>
      </c>
      <c r="AA1003" s="89" t="n">
        <v>98.64693</v>
      </c>
      <c r="AB1003" s="89" t="n">
        <v>52.49063</v>
      </c>
      <c r="AC1003" s="89" t="n">
        <v>101.3915</v>
      </c>
      <c r="AD1003" s="89" t="n">
        <v>70.5</v>
      </c>
      <c r="AE1003" s="89" t="n">
        <v>89.18980999999999</v>
      </c>
      <c r="AF1003" s="89" t="n">
        <v>96.19472</v>
      </c>
      <c r="AG1003" s="89" t="n">
        <v>124.166</v>
      </c>
      <c r="AH1003" s="89" t="n">
        <v>86.21211</v>
      </c>
      <c r="AI1003" s="89" t="n">
        <v>48</v>
      </c>
      <c r="AJ1003" s="89" t="n">
        <v>132.4621</v>
      </c>
      <c r="AK1003" s="89" t="n">
        <v>45.6076</v>
      </c>
      <c r="AL1003" s="89" t="n">
        <v>82.05086</v>
      </c>
      <c r="AM1003" s="89" t="n">
        <v>99.40000000000001</v>
      </c>
      <c r="AN1003" s="89" t="n"/>
      <c r="AO1003" s="89" t="n">
        <v>89.75731</v>
      </c>
      <c r="AP1003" s="89" t="n">
        <v>95.88402000000001</v>
      </c>
      <c r="AQ1003" s="89" t="n"/>
      <c r="AR1003" s="89" t="n"/>
      <c r="AS1003" s="89" t="n"/>
      <c r="AT1003" s="89" t="n">
        <v>46.12993</v>
      </c>
      <c r="AU1003" s="89" t="n"/>
      <c r="AV1003" s="89" t="n">
        <v>61.17619</v>
      </c>
      <c r="AW1003" s="89" t="n"/>
      <c r="AX1003" s="89" t="n">
        <v>43.49638</v>
      </c>
      <c r="AY1003" s="89" t="n">
        <v>87.42086999999999</v>
      </c>
    </row>
    <row r="1004">
      <c r="A1004" t="inlineStr">
        <is>
          <t>2002-07</t>
        </is>
      </c>
      <c r="B1004" s="1" t="n">
        <v>37438</v>
      </c>
      <c r="C1004" s="88" t="n">
        <v>1004</v>
      </c>
      <c r="E1004" s="1">
        <f>B1004</f>
        <v/>
      </c>
      <c r="F1004" s="2">
        <f>B1004</f>
        <v/>
      </c>
      <c r="G1004" s="88" t="n">
        <v>1002</v>
      </c>
      <c r="H1004" s="89" t="n"/>
      <c r="I1004" s="89" t="n"/>
      <c r="J1004" s="89" t="n">
        <v>74.09383</v>
      </c>
      <c r="K1004" s="89" t="n">
        <v>96.58176</v>
      </c>
      <c r="L1004" s="89" t="n"/>
      <c r="M1004" s="89" t="n">
        <v>68.68855000000001</v>
      </c>
      <c r="N1004" s="89" t="n">
        <v>79.39339</v>
      </c>
      <c r="O1004" s="89" t="n">
        <v>114.1</v>
      </c>
      <c r="P1004" s="89" t="n">
        <v>122.2231</v>
      </c>
      <c r="Q1004" s="89" t="n"/>
      <c r="R1004" s="89" t="n">
        <v>101.6</v>
      </c>
      <c r="S1004" s="89" t="n">
        <v>108.8109</v>
      </c>
      <c r="T1004" s="89" t="n">
        <v>106.316</v>
      </c>
      <c r="U1004" s="89" t="n">
        <v>141.7346</v>
      </c>
      <c r="V1004" s="89" t="n">
        <v>63.10526</v>
      </c>
      <c r="W1004" s="89" t="n">
        <v>53.40327</v>
      </c>
      <c r="X1004" s="89" t="n">
        <v>35.15178</v>
      </c>
      <c r="Y1004" s="89" t="n">
        <v>65.06836</v>
      </c>
      <c r="Z1004" s="89" t="n">
        <v>123.4897</v>
      </c>
      <c r="AA1004" s="89" t="n">
        <v>99.39103</v>
      </c>
      <c r="AB1004" s="89" t="n">
        <v>54.08449</v>
      </c>
      <c r="AC1004" s="89" t="n">
        <v>99.09174</v>
      </c>
      <c r="AD1004" s="89" t="n">
        <v>70.40000000000001</v>
      </c>
      <c r="AE1004" s="89" t="n">
        <v>89.68967000000001</v>
      </c>
      <c r="AF1004" s="89" t="n">
        <v>96.19472</v>
      </c>
      <c r="AG1004" s="89" t="n">
        <v>120.3258</v>
      </c>
      <c r="AH1004" s="89" t="n">
        <v>86.24875</v>
      </c>
      <c r="AI1004" s="89" t="n">
        <v>48.6</v>
      </c>
      <c r="AJ1004" s="89" t="n">
        <v>132.974</v>
      </c>
      <c r="AK1004" s="89" t="n">
        <v>45.6076</v>
      </c>
      <c r="AL1004" s="89" t="n">
        <v>83.26434999999999</v>
      </c>
      <c r="AM1004" s="89" t="n">
        <v>100</v>
      </c>
      <c r="AN1004" s="89" t="n"/>
      <c r="AO1004" s="89" t="n">
        <v>89.54225</v>
      </c>
      <c r="AP1004" s="89" t="n">
        <v>95.18414</v>
      </c>
      <c r="AQ1004" s="89" t="n"/>
      <c r="AR1004" s="89" t="n"/>
      <c r="AS1004" s="89" t="n"/>
      <c r="AT1004" s="89" t="n">
        <v>46.6476</v>
      </c>
      <c r="AU1004" s="89" t="n"/>
      <c r="AV1004" s="89" t="n">
        <v>62.1837</v>
      </c>
      <c r="AW1004" s="89" t="n"/>
      <c r="AX1004" s="89" t="n">
        <v>43.99633</v>
      </c>
      <c r="AY1004" s="89" t="n">
        <v>87.75117</v>
      </c>
    </row>
    <row r="1005">
      <c r="A1005" t="inlineStr">
        <is>
          <t>2002-08</t>
        </is>
      </c>
      <c r="B1005" s="1" t="n">
        <v>37469</v>
      </c>
      <c r="C1005" s="88" t="n">
        <v>1005</v>
      </c>
      <c r="E1005" s="1">
        <f>B1005</f>
        <v/>
      </c>
      <c r="F1005" s="2">
        <f>B1005</f>
        <v/>
      </c>
      <c r="G1005" s="88" t="n">
        <v>1003</v>
      </c>
      <c r="H1005" s="89" t="n"/>
      <c r="I1005" s="89" t="n"/>
      <c r="J1005" s="89" t="n">
        <v>75.39371</v>
      </c>
      <c r="K1005" s="89" t="n">
        <v>96.38245000000001</v>
      </c>
      <c r="L1005" s="89" t="n"/>
      <c r="M1005" s="89" t="n">
        <v>67.1888</v>
      </c>
      <c r="N1005" s="89" t="n">
        <v>81.29322999999999</v>
      </c>
      <c r="O1005" s="89" t="n">
        <v>112.9</v>
      </c>
      <c r="P1005" s="89" t="n">
        <v>122.7531</v>
      </c>
      <c r="Q1005" s="89" t="n"/>
      <c r="R1005" s="89" t="n">
        <v>101.2</v>
      </c>
      <c r="S1005" s="89" t="n">
        <v>110.8409</v>
      </c>
      <c r="T1005" s="89" t="n">
        <v>107.1466</v>
      </c>
      <c r="U1005" s="89" t="n">
        <v>139.4373</v>
      </c>
      <c r="V1005" s="89" t="n">
        <v>62.10518</v>
      </c>
      <c r="W1005" s="89" t="n">
        <v>52.92805</v>
      </c>
      <c r="X1005" s="89" t="n">
        <v>35.58879</v>
      </c>
      <c r="Y1005" s="89" t="n">
        <v>65.41856</v>
      </c>
      <c r="Z1005" s="89" t="n">
        <v>122.0898</v>
      </c>
      <c r="AA1005" s="89" t="n">
        <v>99.81623</v>
      </c>
      <c r="AB1005" s="89" t="n">
        <v>54.69044</v>
      </c>
      <c r="AC1005" s="89" t="n">
        <v>99.5917</v>
      </c>
      <c r="AD1005" s="89" t="n">
        <v>72.09999999999999</v>
      </c>
      <c r="AE1005" s="89" t="n">
        <v>89.88702000000001</v>
      </c>
      <c r="AF1005" s="89" t="n">
        <v>96.58815</v>
      </c>
      <c r="AG1005" s="89" t="n">
        <v>120.5586</v>
      </c>
      <c r="AH1005" s="89" t="n">
        <v>86.61593999999999</v>
      </c>
      <c r="AI1005" s="89" t="n">
        <v>49.3</v>
      </c>
      <c r="AJ1005" s="89" t="n">
        <v>129.6465</v>
      </c>
      <c r="AK1005" s="89" t="n">
        <v>46.00767</v>
      </c>
      <c r="AL1005" s="89" t="n">
        <v>83.17101</v>
      </c>
      <c r="AM1005" s="89" t="n">
        <v>99.7</v>
      </c>
      <c r="AN1005" s="89" t="n"/>
      <c r="AO1005" s="89" t="n">
        <v>89.55397000000001</v>
      </c>
      <c r="AP1005" s="89" t="n">
        <v>95.58407</v>
      </c>
      <c r="AQ1005" s="89" t="n"/>
      <c r="AR1005" s="89" t="n"/>
      <c r="AS1005" s="89" t="n"/>
      <c r="AT1005" s="89" t="n">
        <v>46.96331</v>
      </c>
      <c r="AU1005" s="89" t="n"/>
      <c r="AV1005" s="89" t="n">
        <v>62.88793</v>
      </c>
      <c r="AW1005" s="89" t="n"/>
      <c r="AX1005" s="89" t="n">
        <v>44.09632</v>
      </c>
      <c r="AY1005" s="89" t="n">
        <v>86.54004999999999</v>
      </c>
    </row>
    <row r="1006">
      <c r="A1006" t="inlineStr">
        <is>
          <t>2002-09</t>
        </is>
      </c>
      <c r="B1006" s="1" t="n">
        <v>37500</v>
      </c>
      <c r="C1006" s="88" t="n">
        <v>1006</v>
      </c>
      <c r="E1006" s="1">
        <f>B1006</f>
        <v/>
      </c>
      <c r="F1006" s="2">
        <f>B1006</f>
        <v/>
      </c>
      <c r="G1006" s="88" t="n">
        <v>1004</v>
      </c>
      <c r="H1006" s="89" t="n"/>
      <c r="I1006" s="89" t="n"/>
      <c r="J1006" s="89" t="n">
        <v>75.29371999999999</v>
      </c>
      <c r="K1006" s="89" t="n">
        <v>95.50494999999999</v>
      </c>
      <c r="L1006" s="89" t="n"/>
      <c r="M1006" s="89" t="n">
        <v>68.68855000000001</v>
      </c>
      <c r="N1006" s="89" t="n">
        <v>80.19331</v>
      </c>
      <c r="O1006" s="89" t="n">
        <v>113.8</v>
      </c>
      <c r="P1006" s="89" t="n">
        <v>122.9241</v>
      </c>
      <c r="Q1006" s="89" t="n"/>
      <c r="R1006" s="89" t="n">
        <v>100.9</v>
      </c>
      <c r="S1006" s="89" t="n">
        <v>109.4609</v>
      </c>
      <c r="T1006" s="89" t="n">
        <v>108.4963</v>
      </c>
      <c r="U1006" s="89" t="n">
        <v>139.4373</v>
      </c>
      <c r="V1006" s="89" t="n">
        <v>63.50529</v>
      </c>
      <c r="W1006" s="89" t="n">
        <v>54.82894</v>
      </c>
      <c r="X1006" s="89" t="n">
        <v>35.97872</v>
      </c>
      <c r="Y1006" s="89" t="n">
        <v>65.76877</v>
      </c>
      <c r="Z1006" s="89" t="n">
        <v>124.3896</v>
      </c>
      <c r="AA1006" s="89" t="n">
        <v>100.454</v>
      </c>
      <c r="AB1006" s="89" t="n">
        <v>54.30647</v>
      </c>
      <c r="AC1006" s="89" t="n">
        <v>100.9916</v>
      </c>
      <c r="AD1006" s="89" t="n">
        <v>71</v>
      </c>
      <c r="AE1006" s="89" t="n">
        <v>89.67798000000001</v>
      </c>
      <c r="AF1006" s="89" t="n">
        <v>96.09636</v>
      </c>
      <c r="AG1006" s="89" t="n">
        <v>115.6711</v>
      </c>
      <c r="AH1006" s="89" t="n">
        <v>86.70417999999999</v>
      </c>
      <c r="AI1006" s="89" t="n">
        <v>49.4</v>
      </c>
      <c r="AJ1006" s="89" t="n">
        <v>130.5424</v>
      </c>
      <c r="AK1006" s="89" t="n">
        <v>45.6076</v>
      </c>
      <c r="AL1006" s="89" t="n">
        <v>83.54439000000001</v>
      </c>
      <c r="AM1006" s="89" t="n">
        <v>99.7</v>
      </c>
      <c r="AN1006" s="89" t="n"/>
      <c r="AO1006" s="89" t="n">
        <v>89.67836</v>
      </c>
      <c r="AP1006" s="89" t="n">
        <v>95.88402000000001</v>
      </c>
      <c r="AQ1006" s="89" t="n"/>
      <c r="AR1006" s="89" t="n"/>
      <c r="AS1006" s="89" t="n"/>
      <c r="AT1006" s="89" t="n">
        <v>46.82911</v>
      </c>
      <c r="AU1006" s="89" t="n"/>
      <c r="AV1006" s="89" t="n">
        <v>62.46502</v>
      </c>
      <c r="AW1006" s="89" t="n"/>
      <c r="AX1006" s="89" t="n">
        <v>45.39622</v>
      </c>
      <c r="AY1006" s="89" t="n">
        <v>87.64107</v>
      </c>
    </row>
    <row r="1007">
      <c r="A1007" t="inlineStr">
        <is>
          <t>2002-10</t>
        </is>
      </c>
      <c r="B1007" s="1" t="n">
        <v>37530</v>
      </c>
      <c r="C1007" s="88" t="n">
        <v>1007</v>
      </c>
      <c r="E1007" s="1">
        <f>B1007</f>
        <v/>
      </c>
      <c r="F1007" s="2">
        <f>B1007</f>
        <v/>
      </c>
      <c r="G1007" s="88" t="n">
        <v>1005</v>
      </c>
      <c r="H1007" s="89" t="n"/>
      <c r="I1007" s="89" t="n"/>
      <c r="J1007" s="89" t="n">
        <v>76.39363</v>
      </c>
      <c r="K1007" s="89" t="n">
        <v>96.15184000000001</v>
      </c>
      <c r="L1007" s="89" t="n"/>
      <c r="M1007" s="89" t="n">
        <v>69.78837</v>
      </c>
      <c r="N1007" s="89" t="n">
        <v>79.59336999999999</v>
      </c>
      <c r="O1007" s="89" t="n">
        <v>117.6</v>
      </c>
      <c r="P1007" s="89" t="n">
        <v>124.0261</v>
      </c>
      <c r="Q1007" s="89" t="n"/>
      <c r="R1007" s="89" t="n">
        <v>102.5</v>
      </c>
      <c r="S1007" s="89" t="n">
        <v>108.6009</v>
      </c>
      <c r="T1007" s="89" t="n">
        <v>106.7313</v>
      </c>
      <c r="U1007" s="89" t="n">
        <v>143.133</v>
      </c>
      <c r="V1007" s="89" t="n">
        <v>61.10509</v>
      </c>
      <c r="W1007" s="89" t="n">
        <v>52.80924</v>
      </c>
      <c r="X1007" s="89" t="n">
        <v>36.67768</v>
      </c>
      <c r="Y1007" s="89" t="n">
        <v>65.20844</v>
      </c>
      <c r="Z1007" s="89" t="n">
        <v>122.8898</v>
      </c>
      <c r="AA1007" s="89" t="n">
        <v>100.454</v>
      </c>
      <c r="AB1007" s="89" t="n">
        <v>54.71444</v>
      </c>
      <c r="AC1007" s="89" t="n">
        <v>107.2911</v>
      </c>
      <c r="AD1007" s="89" t="n">
        <v>72.40000000000001</v>
      </c>
      <c r="AE1007" s="89" t="n">
        <v>90.32203</v>
      </c>
      <c r="AF1007" s="89" t="n">
        <v>97.07993999999999</v>
      </c>
      <c r="AG1007" s="89" t="n">
        <v>119.8604</v>
      </c>
      <c r="AH1007" s="89" t="n">
        <v>86.5744</v>
      </c>
      <c r="AI1007" s="89" t="n">
        <v>49</v>
      </c>
      <c r="AJ1007" s="89" t="n">
        <v>132.7181</v>
      </c>
      <c r="AK1007" s="89" t="n">
        <v>45.70762</v>
      </c>
      <c r="AL1007" s="89" t="n">
        <v>82.51759</v>
      </c>
      <c r="AM1007" s="89" t="n">
        <v>100.5</v>
      </c>
      <c r="AN1007" s="89" t="n"/>
      <c r="AO1007" s="89" t="n">
        <v>89.40749</v>
      </c>
      <c r="AP1007" s="89" t="n">
        <v>95.28412</v>
      </c>
      <c r="AQ1007" s="89" t="n"/>
      <c r="AR1007" s="89" t="n"/>
      <c r="AS1007" s="89" t="n"/>
      <c r="AT1007" s="89" t="n">
        <v>47.30338</v>
      </c>
      <c r="AU1007" s="89" t="n"/>
      <c r="AV1007" s="89" t="n">
        <v>62.8116</v>
      </c>
      <c r="AW1007" s="89" t="n"/>
      <c r="AX1007" s="89" t="n">
        <v>44.29631</v>
      </c>
      <c r="AY1007" s="89" t="n">
        <v>88.30168</v>
      </c>
    </row>
    <row r="1008">
      <c r="A1008" t="inlineStr">
        <is>
          <t>2002-11</t>
        </is>
      </c>
      <c r="B1008" s="1" t="n">
        <v>37561</v>
      </c>
      <c r="C1008" s="88" t="n">
        <v>1008</v>
      </c>
      <c r="E1008" s="1">
        <f>B1008</f>
        <v/>
      </c>
      <c r="F1008" s="2">
        <f>B1008</f>
        <v/>
      </c>
      <c r="G1008" s="88" t="n">
        <v>1006</v>
      </c>
      <c r="H1008" s="89" t="n"/>
      <c r="I1008" s="89" t="n"/>
      <c r="J1008" s="89" t="n">
        <v>77.19356999999999</v>
      </c>
      <c r="K1008" s="89" t="n">
        <v>95.54667999999999</v>
      </c>
      <c r="L1008" s="89" t="n"/>
      <c r="M1008" s="89" t="n">
        <v>70.88818000000001</v>
      </c>
      <c r="N1008" s="89" t="n">
        <v>80.99325</v>
      </c>
      <c r="O1008" s="89" t="n">
        <v>114.2</v>
      </c>
      <c r="P1008" s="89" t="n">
        <v>123.4681</v>
      </c>
      <c r="Q1008" s="89" t="n"/>
      <c r="R1008" s="89" t="n">
        <v>103.7</v>
      </c>
      <c r="S1008" s="89" t="n">
        <v>109.6509</v>
      </c>
      <c r="T1008" s="89" t="n">
        <v>106.4198</v>
      </c>
      <c r="U1008" s="89" t="n">
        <v>143.3328</v>
      </c>
      <c r="V1008" s="89" t="n">
        <v>63.80532</v>
      </c>
      <c r="W1008" s="89" t="n">
        <v>53.75969</v>
      </c>
      <c r="X1008" s="89" t="n">
        <v>35.98581</v>
      </c>
      <c r="Y1008" s="89" t="n">
        <v>64.57807</v>
      </c>
      <c r="Z1008" s="89" t="n">
        <v>124.9896</v>
      </c>
      <c r="AA1008" s="89" t="n">
        <v>100.3477</v>
      </c>
      <c r="AB1008" s="89" t="n">
        <v>55.27839</v>
      </c>
      <c r="AC1008" s="89" t="n">
        <v>105.2912</v>
      </c>
      <c r="AD1008" s="89" t="n">
        <v>74.5</v>
      </c>
      <c r="AE1008" s="89" t="n">
        <v>89.87291999999999</v>
      </c>
      <c r="AF1008" s="89" t="n">
        <v>94.42426</v>
      </c>
      <c r="AG1008" s="89" t="n">
        <v>118.6967</v>
      </c>
      <c r="AH1008" s="89" t="n">
        <v>86.90042</v>
      </c>
      <c r="AI1008" s="89" t="n">
        <v>50.7</v>
      </c>
      <c r="AJ1008" s="89" t="n">
        <v>128.4946</v>
      </c>
      <c r="AK1008" s="89" t="n">
        <v>47.70795</v>
      </c>
      <c r="AL1008" s="89" t="n">
        <v>82.42424</v>
      </c>
      <c r="AM1008" s="89" t="n">
        <v>101.4</v>
      </c>
      <c r="AN1008" s="89" t="n"/>
      <c r="AO1008" s="89" t="n">
        <v>89.87421000000001</v>
      </c>
      <c r="AP1008" s="89" t="n">
        <v>95.88402000000001</v>
      </c>
      <c r="AQ1008" s="89" t="n"/>
      <c r="AR1008" s="89" t="n"/>
      <c r="AS1008" s="89" t="n"/>
      <c r="AT1008" s="89" t="n">
        <v>46.97548</v>
      </c>
      <c r="AU1008" s="89" t="n"/>
      <c r="AV1008" s="89" t="n">
        <v>62.07892</v>
      </c>
      <c r="AW1008" s="89" t="n"/>
      <c r="AX1008" s="89" t="n">
        <v>43.39639</v>
      </c>
      <c r="AY1008" s="89" t="n">
        <v>88.41177999999999</v>
      </c>
    </row>
    <row r="1009">
      <c r="A1009" t="inlineStr">
        <is>
          <t>2002-12</t>
        </is>
      </c>
      <c r="B1009" s="1" t="n">
        <v>37591</v>
      </c>
      <c r="C1009" s="88" t="n">
        <v>1009</v>
      </c>
      <c r="E1009" s="1">
        <f>B1009</f>
        <v/>
      </c>
      <c r="F1009" s="2">
        <f>B1009</f>
        <v/>
      </c>
      <c r="G1009" s="88" t="n">
        <v>1007</v>
      </c>
      <c r="H1009" s="89" t="n"/>
      <c r="I1009" s="89" t="n"/>
      <c r="J1009" s="89" t="n">
        <v>73.49387</v>
      </c>
      <c r="K1009" s="89" t="n">
        <v>94.47977</v>
      </c>
      <c r="L1009" s="89" t="n"/>
      <c r="M1009" s="89" t="n">
        <v>70.38827000000001</v>
      </c>
      <c r="N1009" s="89" t="n">
        <v>79.59336999999999</v>
      </c>
      <c r="O1009" s="89" t="n">
        <v>112.7</v>
      </c>
      <c r="P1009" s="89" t="n">
        <v>122.5161</v>
      </c>
      <c r="Q1009" s="89" t="n"/>
      <c r="R1009" s="89" t="n">
        <v>100.2</v>
      </c>
      <c r="S1009" s="89" t="n">
        <v>107.0409</v>
      </c>
      <c r="T1009" s="89" t="n">
        <v>106.7313</v>
      </c>
      <c r="U1009" s="89" t="n">
        <v>143.133</v>
      </c>
      <c r="V1009" s="89" t="n">
        <v>64.80540000000001</v>
      </c>
      <c r="W1009" s="89" t="n">
        <v>48.94805</v>
      </c>
      <c r="X1009" s="89" t="n">
        <v>35.53693</v>
      </c>
      <c r="Y1009" s="89" t="n">
        <v>65.76877</v>
      </c>
      <c r="Z1009" s="89" t="n">
        <v>123.6897</v>
      </c>
      <c r="AA1009" s="89" t="n">
        <v>100.2414</v>
      </c>
      <c r="AB1009" s="89" t="n">
        <v>56.06433</v>
      </c>
      <c r="AC1009" s="89" t="n">
        <v>103.0914</v>
      </c>
      <c r="AD1009" s="89" t="n">
        <v>72.40000000000001</v>
      </c>
      <c r="AE1009" s="89" t="n">
        <v>90.0538</v>
      </c>
      <c r="AF1009" s="89" t="n">
        <v>93.04724</v>
      </c>
      <c r="AG1009" s="89" t="n">
        <v>117.4166</v>
      </c>
      <c r="AH1009" s="89" t="n">
        <v>86.53341</v>
      </c>
      <c r="AI1009" s="89" t="n">
        <v>50.4</v>
      </c>
      <c r="AJ1009" s="89" t="n">
        <v>130.4144</v>
      </c>
      <c r="AK1009" s="89" t="n">
        <v>47.90799</v>
      </c>
      <c r="AL1009" s="89" t="n">
        <v>82.23755</v>
      </c>
      <c r="AM1009" s="89" t="n">
        <v>102</v>
      </c>
      <c r="AN1009" s="89" t="n"/>
      <c r="AO1009" s="89" t="n">
        <v>89.43333</v>
      </c>
      <c r="AP1009" s="89" t="n">
        <v>94.38427</v>
      </c>
      <c r="AQ1009" s="89" t="n"/>
      <c r="AR1009" s="89" t="n"/>
      <c r="AS1009" s="89" t="n"/>
      <c r="AT1009" s="89" t="n">
        <v>47.51332</v>
      </c>
      <c r="AU1009" s="89" t="n"/>
      <c r="AV1009" s="89" t="n">
        <v>62.05572</v>
      </c>
      <c r="AW1009" s="89" t="n"/>
      <c r="AX1009" s="89" t="n">
        <v>45.99617</v>
      </c>
      <c r="AY1009" s="89" t="n">
        <v>87.53097</v>
      </c>
    </row>
    <row r="1010">
      <c r="A1010" t="inlineStr">
        <is>
          <t>2003-01</t>
        </is>
      </c>
      <c r="B1010" s="1" t="n">
        <v>37622</v>
      </c>
      <c r="C1010" s="88" t="n">
        <v>1010</v>
      </c>
      <c r="E1010" s="1">
        <f>B1010</f>
        <v/>
      </c>
      <c r="F1010" s="2">
        <f>B1010</f>
        <v/>
      </c>
      <c r="G1010" s="88" t="n">
        <v>1008</v>
      </c>
      <c r="H1010" s="89" t="n"/>
      <c r="I1010" s="89" t="n"/>
      <c r="J1010" s="89" t="n">
        <v>76.09366</v>
      </c>
      <c r="K1010" s="89" t="n">
        <v>95.51618999999999</v>
      </c>
      <c r="L1010" s="89" t="n"/>
      <c r="M1010" s="89" t="n">
        <v>69.18847</v>
      </c>
      <c r="N1010" s="89" t="n">
        <v>80.19331</v>
      </c>
      <c r="O1010" s="89" t="n">
        <v>113.7</v>
      </c>
      <c r="P1010" s="89" t="n">
        <v>123.8191</v>
      </c>
      <c r="Q1010" s="89" t="n"/>
      <c r="R1010" s="89" t="n">
        <v>100</v>
      </c>
      <c r="S1010" s="89" t="n">
        <v>109.2509</v>
      </c>
      <c r="T1010" s="89" t="n">
        <v>106.1083</v>
      </c>
      <c r="U1010" s="89" t="n">
        <v>142.1342</v>
      </c>
      <c r="V1010" s="89" t="n">
        <v>63.6053</v>
      </c>
      <c r="W1010" s="89" t="n">
        <v>53.10625</v>
      </c>
      <c r="X1010" s="89" t="n">
        <v>35.65804</v>
      </c>
      <c r="Y1010" s="89" t="n">
        <v>65.69873</v>
      </c>
      <c r="Z1010" s="89" t="n">
        <v>124.9896</v>
      </c>
      <c r="AA1010" s="89" t="n">
        <v>101.6233</v>
      </c>
      <c r="AB1010" s="89" t="n">
        <v>54.70744</v>
      </c>
      <c r="AC1010" s="89" t="n">
        <v>104.8913</v>
      </c>
      <c r="AD1010" s="89" t="n">
        <v>72.8</v>
      </c>
      <c r="AE1010" s="89" t="n">
        <v>89.9061</v>
      </c>
      <c r="AF1010" s="89" t="n">
        <v>96.78487</v>
      </c>
      <c r="AG1010" s="89" t="n">
        <v>119.744</v>
      </c>
      <c r="AH1010" s="89" t="n">
        <v>87.18838</v>
      </c>
      <c r="AI1010" s="89" t="n">
        <v>49.4</v>
      </c>
      <c r="AJ1010" s="89" t="n">
        <v>129.7745</v>
      </c>
      <c r="AK1010" s="89" t="n">
        <v>49.50825</v>
      </c>
      <c r="AL1010" s="89" t="n">
        <v>81.86417</v>
      </c>
      <c r="AM1010" s="89" t="n">
        <v>102.3</v>
      </c>
      <c r="AN1010" s="89" t="n"/>
      <c r="AO1010" s="89" t="n">
        <v>90.11481000000001</v>
      </c>
      <c r="AP1010" s="89" t="n">
        <v>95.98399999999999</v>
      </c>
      <c r="AQ1010" s="89" t="n"/>
      <c r="AR1010" s="89" t="n"/>
      <c r="AS1010" s="89" t="n"/>
      <c r="AT1010" s="89" t="n">
        <v>47.76501</v>
      </c>
      <c r="AU1010" s="89" t="n"/>
      <c r="AV1010" s="89" t="n">
        <v>63.84343</v>
      </c>
      <c r="AW1010" s="89" t="n"/>
      <c r="AX1010" s="89" t="n">
        <v>47.29606</v>
      </c>
      <c r="AY1010" s="89" t="n">
        <v>87.86127</v>
      </c>
    </row>
    <row r="1011">
      <c r="A1011" t="inlineStr">
        <is>
          <t>2003-02</t>
        </is>
      </c>
      <c r="B1011" s="1" t="n">
        <v>37653</v>
      </c>
      <c r="C1011" s="88" t="n">
        <v>1011</v>
      </c>
      <c r="E1011" s="1">
        <f>B1011</f>
        <v/>
      </c>
      <c r="F1011" s="2">
        <f>B1011</f>
        <v/>
      </c>
      <c r="G1011" s="88" t="n">
        <v>1009</v>
      </c>
      <c r="H1011" s="89" t="n"/>
      <c r="I1011" s="89" t="n"/>
      <c r="J1011" s="89" t="n">
        <v>75.99366999999999</v>
      </c>
      <c r="K1011" s="89" t="n">
        <v>95.66867999999999</v>
      </c>
      <c r="L1011" s="89" t="n"/>
      <c r="M1011" s="89" t="n">
        <v>68.68855000000001</v>
      </c>
      <c r="N1011" s="89" t="n">
        <v>80.19331</v>
      </c>
      <c r="O1011" s="89" t="n">
        <v>115.9</v>
      </c>
      <c r="P1011" s="89" t="n">
        <v>124.1751</v>
      </c>
      <c r="Q1011" s="89" t="n"/>
      <c r="R1011" s="89" t="n">
        <v>102.5</v>
      </c>
      <c r="S1011" s="89" t="n">
        <v>110.2309</v>
      </c>
      <c r="T1011" s="89" t="n">
        <v>106.8351</v>
      </c>
      <c r="U1011" s="89" t="n">
        <v>139.6371</v>
      </c>
      <c r="V1011" s="89" t="n">
        <v>63.40528</v>
      </c>
      <c r="W1011" s="89" t="n">
        <v>55.24476</v>
      </c>
      <c r="X1011" s="89" t="n">
        <v>36.13676</v>
      </c>
      <c r="Y1011" s="89" t="n">
        <v>65.34853</v>
      </c>
      <c r="Z1011" s="89" t="n">
        <v>122.4898</v>
      </c>
      <c r="AA1011" s="89" t="n">
        <v>101.1886</v>
      </c>
      <c r="AB1011" s="89" t="n">
        <v>54.71044</v>
      </c>
      <c r="AC1011" s="89" t="n">
        <v>106.0912</v>
      </c>
      <c r="AD1011" s="89" t="n">
        <v>72.8</v>
      </c>
      <c r="AE1011" s="89" t="n">
        <v>90.91808</v>
      </c>
      <c r="AF1011" s="89" t="n">
        <v>97.57174000000001</v>
      </c>
      <c r="AG1011" s="89" t="n">
        <v>119.1621</v>
      </c>
      <c r="AH1011" s="89" t="n">
        <v>87.19280000000001</v>
      </c>
      <c r="AI1011" s="89" t="n">
        <v>49.7</v>
      </c>
      <c r="AJ1011" s="89" t="n">
        <v>133.8699</v>
      </c>
      <c r="AK1011" s="89" t="n">
        <v>49.70829</v>
      </c>
      <c r="AL1011" s="89" t="n">
        <v>83.63773</v>
      </c>
      <c r="AM1011" s="89" t="n">
        <v>99.90000000000001</v>
      </c>
      <c r="AN1011" s="89" t="n"/>
      <c r="AO1011" s="89" t="n">
        <v>90.24294</v>
      </c>
      <c r="AP1011" s="89" t="n">
        <v>96.18397</v>
      </c>
      <c r="AQ1011" s="89" t="n"/>
      <c r="AR1011" s="89" t="n"/>
      <c r="AS1011" s="89" t="n"/>
      <c r="AT1011" s="89" t="n">
        <v>48.39834</v>
      </c>
      <c r="AU1011" s="89" t="n"/>
      <c r="AV1011" s="89" t="n">
        <v>65.4478</v>
      </c>
      <c r="AW1011" s="89" t="n"/>
      <c r="AX1011" s="89" t="n">
        <v>45.99617</v>
      </c>
      <c r="AY1011" s="89" t="n">
        <v>87.64107</v>
      </c>
    </row>
    <row r="1012">
      <c r="A1012" t="inlineStr">
        <is>
          <t>2003-03</t>
        </is>
      </c>
      <c r="B1012" s="1" t="n">
        <v>37681</v>
      </c>
      <c r="C1012" s="88" t="n">
        <v>1012</v>
      </c>
      <c r="E1012" s="1">
        <f>B1012</f>
        <v/>
      </c>
      <c r="F1012" s="2">
        <f>B1012</f>
        <v/>
      </c>
      <c r="G1012" s="88" t="n">
        <v>1010</v>
      </c>
      <c r="H1012" s="89" t="n"/>
      <c r="I1012" s="89" t="n"/>
      <c r="J1012" s="89" t="n">
        <v>74.99375000000001</v>
      </c>
      <c r="K1012" s="89" t="n">
        <v>95.31527</v>
      </c>
      <c r="L1012" s="89" t="n"/>
      <c r="M1012" s="89" t="n">
        <v>68.48859</v>
      </c>
      <c r="N1012" s="89" t="n">
        <v>79.99333</v>
      </c>
      <c r="O1012" s="89" t="n">
        <v>112.6</v>
      </c>
      <c r="P1012" s="89" t="n">
        <v>123.4481</v>
      </c>
      <c r="Q1012" s="89" t="n"/>
      <c r="R1012" s="89" t="n">
        <v>99.09999999999999</v>
      </c>
      <c r="S1012" s="89" t="n">
        <v>109.3709</v>
      </c>
      <c r="T1012" s="89" t="n">
        <v>106.6274</v>
      </c>
      <c r="U1012" s="89" t="n">
        <v>140.2364</v>
      </c>
      <c r="V1012" s="89" t="n">
        <v>64.90541</v>
      </c>
      <c r="W1012" s="89" t="n">
        <v>54.65073</v>
      </c>
      <c r="X1012" s="89" t="n">
        <v>35.07655</v>
      </c>
      <c r="Y1012" s="89" t="n">
        <v>64.64811</v>
      </c>
      <c r="Z1012" s="89" t="n">
        <v>122.5898</v>
      </c>
      <c r="AA1012" s="89" t="n">
        <v>101.9494</v>
      </c>
      <c r="AB1012" s="89" t="n">
        <v>55.66836</v>
      </c>
      <c r="AC1012" s="89" t="n">
        <v>105.5912</v>
      </c>
      <c r="AD1012" s="89" t="n">
        <v>73.09999999999999</v>
      </c>
      <c r="AE1012" s="89" t="n">
        <v>90.40231</v>
      </c>
      <c r="AF1012" s="89" t="n">
        <v>94.3259</v>
      </c>
      <c r="AG1012" s="89" t="n">
        <v>119.1621</v>
      </c>
      <c r="AH1012" s="89" t="n">
        <v>87.13094</v>
      </c>
      <c r="AI1012" s="89" t="n">
        <v>50.4</v>
      </c>
      <c r="AJ1012" s="89" t="n">
        <v>127.7267</v>
      </c>
      <c r="AK1012" s="89" t="n">
        <v>50.10835</v>
      </c>
      <c r="AL1012" s="89" t="n">
        <v>83.07765999999999</v>
      </c>
      <c r="AM1012" s="89" t="n">
        <v>100.1</v>
      </c>
      <c r="AN1012" s="89" t="n"/>
      <c r="AO1012" s="89" t="n">
        <v>90.03413</v>
      </c>
      <c r="AP1012" s="89" t="n">
        <v>95.3841</v>
      </c>
      <c r="AQ1012" s="89" t="n"/>
      <c r="AR1012" s="89" t="n"/>
      <c r="AS1012" s="89" t="n"/>
      <c r="AT1012" s="89" t="n">
        <v>47.99899</v>
      </c>
      <c r="AU1012" s="89" t="n"/>
      <c r="AV1012" s="89" t="n">
        <v>66.63136</v>
      </c>
      <c r="AW1012" s="89" t="n"/>
      <c r="AX1012" s="89" t="n">
        <v>46.69611</v>
      </c>
      <c r="AY1012" s="89" t="n">
        <v>87.86127</v>
      </c>
    </row>
    <row r="1013">
      <c r="A1013" t="inlineStr">
        <is>
          <t>2003-04</t>
        </is>
      </c>
      <c r="B1013" s="1" t="n">
        <v>37712</v>
      </c>
      <c r="C1013" s="88" t="n">
        <v>1013</v>
      </c>
      <c r="E1013" s="1">
        <f>B1013</f>
        <v/>
      </c>
      <c r="F1013" s="2">
        <f>B1013</f>
        <v/>
      </c>
      <c r="G1013" s="88" t="n">
        <v>1011</v>
      </c>
      <c r="H1013" s="89" t="n"/>
      <c r="I1013" s="89" t="n"/>
      <c r="J1013" s="89" t="n">
        <v>76.99357999999999</v>
      </c>
      <c r="K1013" s="89" t="n">
        <v>94.97176</v>
      </c>
      <c r="L1013" s="89" t="n"/>
      <c r="M1013" s="89" t="n">
        <v>70.1883</v>
      </c>
      <c r="N1013" s="89" t="n">
        <v>79.79335</v>
      </c>
      <c r="O1013" s="89" t="n">
        <v>114.6</v>
      </c>
      <c r="P1013" s="89" t="n">
        <v>124.1251</v>
      </c>
      <c r="Q1013" s="89" t="n"/>
      <c r="R1013" s="89" t="n">
        <v>102.9</v>
      </c>
      <c r="S1013" s="89" t="n">
        <v>109.3909</v>
      </c>
      <c r="T1013" s="89" t="n">
        <v>106.1083</v>
      </c>
      <c r="U1013" s="89" t="n">
        <v>142.4338</v>
      </c>
      <c r="V1013" s="89" t="n">
        <v>64.30535999999999</v>
      </c>
      <c r="W1013" s="89" t="n">
        <v>54.35372</v>
      </c>
      <c r="X1013" s="89" t="n">
        <v>34.4994</v>
      </c>
      <c r="Y1013" s="89" t="n">
        <v>65.20844</v>
      </c>
      <c r="Z1013" s="89" t="n">
        <v>124.3896</v>
      </c>
      <c r="AA1013" s="89" t="n">
        <v>100.5365</v>
      </c>
      <c r="AB1013" s="89" t="n">
        <v>54.89743</v>
      </c>
      <c r="AC1013" s="89" t="n">
        <v>107.791</v>
      </c>
      <c r="AD1013" s="89" t="n">
        <v>73.8</v>
      </c>
      <c r="AE1013" s="89" t="n">
        <v>90.15361</v>
      </c>
      <c r="AF1013" s="89" t="n">
        <v>93.53903</v>
      </c>
      <c r="AG1013" s="89" t="n">
        <v>116.4856</v>
      </c>
      <c r="AH1013" s="89" t="n">
        <v>86.74269</v>
      </c>
      <c r="AI1013" s="89" t="n">
        <v>50.5</v>
      </c>
      <c r="AJ1013" s="89" t="n">
        <v>131.3103</v>
      </c>
      <c r="AK1013" s="89" t="n">
        <v>50.60844</v>
      </c>
      <c r="AL1013" s="89" t="n">
        <v>82.33089</v>
      </c>
      <c r="AM1013" s="89" t="n">
        <v>103.6</v>
      </c>
      <c r="AN1013" s="89" t="n"/>
      <c r="AO1013" s="89" t="n">
        <v>89.3905</v>
      </c>
      <c r="AP1013" s="89" t="n">
        <v>95.78403</v>
      </c>
      <c r="AQ1013" s="89" t="n"/>
      <c r="AR1013" s="89" t="n"/>
      <c r="AS1013" s="89" t="n"/>
      <c r="AT1013" s="89" t="n">
        <v>48.07504</v>
      </c>
      <c r="AU1013" s="89" t="n"/>
      <c r="AV1013" s="89" t="n">
        <v>66.91306</v>
      </c>
      <c r="AW1013" s="89" t="n"/>
      <c r="AX1013" s="89" t="n">
        <v>45.29623</v>
      </c>
      <c r="AY1013" s="89" t="n">
        <v>87.53097</v>
      </c>
    </row>
    <row r="1014">
      <c r="A1014" t="inlineStr">
        <is>
          <t>2003-05</t>
        </is>
      </c>
      <c r="B1014" s="1" t="n">
        <v>37742</v>
      </c>
      <c r="C1014" s="88" t="n">
        <v>1014</v>
      </c>
      <c r="E1014" s="1">
        <f>B1014</f>
        <v/>
      </c>
      <c r="F1014" s="2">
        <f>B1014</f>
        <v/>
      </c>
      <c r="G1014" s="88" t="n">
        <v>1012</v>
      </c>
      <c r="H1014" s="89" t="n"/>
      <c r="I1014" s="89" t="n"/>
      <c r="J1014" s="89" t="n">
        <v>74.29380999999999</v>
      </c>
      <c r="K1014" s="89" t="n">
        <v>95.03249</v>
      </c>
      <c r="L1014" s="89" t="n"/>
      <c r="M1014" s="89" t="n">
        <v>68.68855000000001</v>
      </c>
      <c r="N1014" s="89" t="n">
        <v>79.09341000000001</v>
      </c>
      <c r="O1014" s="89" t="n">
        <v>112.8</v>
      </c>
      <c r="P1014" s="89" t="n">
        <v>122.8471</v>
      </c>
      <c r="Q1014" s="89" t="n"/>
      <c r="R1014" s="89" t="n">
        <v>99.40000000000001</v>
      </c>
      <c r="S1014" s="89" t="n">
        <v>106.7609</v>
      </c>
      <c r="T1014" s="89" t="n">
        <v>105.7969</v>
      </c>
      <c r="U1014" s="89" t="n">
        <v>142.8334</v>
      </c>
      <c r="V1014" s="89" t="n">
        <v>63.90533</v>
      </c>
      <c r="W1014" s="89" t="n">
        <v>54.94775</v>
      </c>
      <c r="X1014" s="89" t="n">
        <v>34.69416</v>
      </c>
      <c r="Y1014" s="89" t="n">
        <v>65.1384</v>
      </c>
      <c r="Z1014" s="89" t="n">
        <v>120.29</v>
      </c>
      <c r="AA1014" s="89" t="n">
        <v>101.8407</v>
      </c>
      <c r="AB1014" s="89" t="n">
        <v>54.68944</v>
      </c>
      <c r="AC1014" s="89" t="n">
        <v>105.1912</v>
      </c>
      <c r="AD1014" s="89" t="n">
        <v>75.09999999999999</v>
      </c>
      <c r="AE1014" s="89" t="n">
        <v>90.28400000000001</v>
      </c>
      <c r="AF1014" s="89" t="n">
        <v>92.75217000000001</v>
      </c>
      <c r="AG1014" s="89" t="n">
        <v>116.0202</v>
      </c>
      <c r="AH1014" s="89" t="n">
        <v>86.49115999999999</v>
      </c>
      <c r="AI1014" s="89" t="n">
        <v>51.4</v>
      </c>
      <c r="AJ1014" s="89" t="n">
        <v>130.7983</v>
      </c>
      <c r="AK1014" s="89" t="n">
        <v>50.4084</v>
      </c>
      <c r="AL1014" s="89" t="n">
        <v>83.07765999999999</v>
      </c>
      <c r="AM1014" s="89" t="n">
        <v>101.5</v>
      </c>
      <c r="AN1014" s="89" t="n"/>
      <c r="AO1014" s="89" t="n">
        <v>89.41556</v>
      </c>
      <c r="AP1014" s="89" t="n">
        <v>94.18429999999999</v>
      </c>
      <c r="AQ1014" s="89" t="n"/>
      <c r="AR1014" s="89" t="n"/>
      <c r="AS1014" s="89" t="n"/>
      <c r="AT1014" s="89" t="n">
        <v>48.79934</v>
      </c>
      <c r="AU1014" s="89" t="n"/>
      <c r="AV1014" s="89" t="n">
        <v>66.7889</v>
      </c>
      <c r="AW1014" s="89" t="n"/>
      <c r="AX1014" s="89" t="n">
        <v>45.39622</v>
      </c>
      <c r="AY1014" s="89" t="n">
        <v>85.65922999999999</v>
      </c>
    </row>
    <row r="1015">
      <c r="A1015" t="inlineStr">
        <is>
          <t>2003-06</t>
        </is>
      </c>
      <c r="B1015" s="1" t="n">
        <v>37773</v>
      </c>
      <c r="C1015" s="88" t="n">
        <v>1015</v>
      </c>
      <c r="E1015" s="1">
        <f>B1015</f>
        <v/>
      </c>
      <c r="F1015" s="2">
        <f>B1015</f>
        <v/>
      </c>
      <c r="G1015" s="88" t="n">
        <v>1013</v>
      </c>
      <c r="H1015" s="89" t="n"/>
      <c r="I1015" s="89" t="n"/>
      <c r="J1015" s="89" t="n">
        <v>75.5937</v>
      </c>
      <c r="K1015" s="89" t="n">
        <v>94.58571999999999</v>
      </c>
      <c r="L1015" s="89" t="n"/>
      <c r="M1015" s="89" t="n">
        <v>69.48842</v>
      </c>
      <c r="N1015" s="89" t="n">
        <v>78.69344</v>
      </c>
      <c r="O1015" s="89" t="n">
        <v>113.5</v>
      </c>
      <c r="P1015" s="89" t="n">
        <v>123.2011</v>
      </c>
      <c r="Q1015" s="89" t="n"/>
      <c r="R1015" s="89" t="n">
        <v>100.3</v>
      </c>
      <c r="S1015" s="89" t="n">
        <v>106.5009</v>
      </c>
      <c r="T1015" s="89" t="n">
        <v>106.5236</v>
      </c>
      <c r="U1015" s="89" t="n">
        <v>143.8322</v>
      </c>
      <c r="V1015" s="89" t="n">
        <v>66.0055</v>
      </c>
      <c r="W1015" s="89" t="n">
        <v>55.12596</v>
      </c>
      <c r="X1015" s="89" t="n">
        <v>34.48022</v>
      </c>
      <c r="Y1015" s="89" t="n">
        <v>64.57807</v>
      </c>
      <c r="Z1015" s="89" t="n">
        <v>121.7898</v>
      </c>
      <c r="AA1015" s="89" t="n">
        <v>100.9712</v>
      </c>
      <c r="AB1015" s="89" t="n">
        <v>56.3713</v>
      </c>
      <c r="AC1015" s="89" t="n">
        <v>101.6915</v>
      </c>
      <c r="AD1015" s="89" t="n">
        <v>75.09999999999999</v>
      </c>
      <c r="AE1015" s="89" t="n">
        <v>90.76600000000001</v>
      </c>
      <c r="AF1015" s="89" t="n">
        <v>91.08007000000001</v>
      </c>
      <c r="AG1015" s="89" t="n">
        <v>116.2529</v>
      </c>
      <c r="AH1015" s="89" t="n">
        <v>86.62642</v>
      </c>
      <c r="AI1015" s="89" t="n">
        <v>51.8</v>
      </c>
      <c r="AJ1015" s="89" t="n">
        <v>129.2625</v>
      </c>
      <c r="AK1015" s="89" t="n">
        <v>52.10868</v>
      </c>
      <c r="AL1015" s="89" t="n">
        <v>82.42424</v>
      </c>
      <c r="AM1015" s="89" t="n">
        <v>102.1</v>
      </c>
      <c r="AN1015" s="89" t="n"/>
      <c r="AO1015" s="89" t="n">
        <v>89.56520999999999</v>
      </c>
      <c r="AP1015" s="89" t="n">
        <v>94.18429999999999</v>
      </c>
      <c r="AQ1015" s="89" t="n"/>
      <c r="AR1015" s="89" t="n"/>
      <c r="AS1015" s="89" t="n"/>
      <c r="AT1015" s="89" t="n">
        <v>48.96805</v>
      </c>
      <c r="AU1015" s="89" t="n"/>
      <c r="AV1015" s="89" t="n">
        <v>66.74267999999999</v>
      </c>
      <c r="AW1015" s="89" t="n"/>
      <c r="AX1015" s="89" t="n">
        <v>47.19607</v>
      </c>
      <c r="AY1015" s="89" t="n">
        <v>86.09963999999999</v>
      </c>
    </row>
    <row r="1016">
      <c r="A1016" t="inlineStr">
        <is>
          <t>2003-07</t>
        </is>
      </c>
      <c r="B1016" s="1" t="n">
        <v>37803</v>
      </c>
      <c r="C1016" s="88" t="n">
        <v>1016</v>
      </c>
      <c r="E1016" s="1">
        <f>B1016</f>
        <v/>
      </c>
      <c r="F1016" s="2">
        <f>B1016</f>
        <v/>
      </c>
      <c r="G1016" s="88" t="n">
        <v>1014</v>
      </c>
      <c r="H1016" s="89" t="n"/>
      <c r="I1016" s="89" t="n"/>
      <c r="J1016" s="89" t="n">
        <v>77.79352</v>
      </c>
      <c r="K1016" s="89" t="n">
        <v>95.62079</v>
      </c>
      <c r="L1016" s="89" t="n"/>
      <c r="M1016" s="89" t="n">
        <v>69.58839999999999</v>
      </c>
      <c r="N1016" s="89" t="n">
        <v>80.59327999999999</v>
      </c>
      <c r="O1016" s="89" t="n">
        <v>113.5</v>
      </c>
      <c r="P1016" s="89" t="n">
        <v>124.0621</v>
      </c>
      <c r="Q1016" s="89" t="n"/>
      <c r="R1016" s="89" t="n">
        <v>101.7</v>
      </c>
      <c r="S1016" s="89" t="n">
        <v>108.4109</v>
      </c>
      <c r="T1016" s="89" t="n">
        <v>107.2504</v>
      </c>
      <c r="U1016" s="89" t="n">
        <v>143.6324</v>
      </c>
      <c r="V1016" s="89" t="n">
        <v>66.20552000000001</v>
      </c>
      <c r="W1016" s="89" t="n">
        <v>56.61103</v>
      </c>
      <c r="X1016" s="89" t="n">
        <v>34.7057</v>
      </c>
      <c r="Y1016" s="89" t="n">
        <v>65.34853</v>
      </c>
      <c r="Z1016" s="89" t="n">
        <v>123.4897</v>
      </c>
      <c r="AA1016" s="89" t="n">
        <v>101.406</v>
      </c>
      <c r="AB1016" s="89" t="n">
        <v>54.0165</v>
      </c>
      <c r="AC1016" s="89" t="n">
        <v>103.8913</v>
      </c>
      <c r="AD1016" s="89" t="n">
        <v>77</v>
      </c>
      <c r="AE1016" s="89" t="n">
        <v>90.75207</v>
      </c>
      <c r="AF1016" s="89" t="n">
        <v>92.35872999999999</v>
      </c>
      <c r="AG1016" s="89" t="n">
        <v>118.1148</v>
      </c>
      <c r="AH1016" s="89" t="n">
        <v>87.34014999999999</v>
      </c>
      <c r="AI1016" s="89" t="n">
        <v>53.7</v>
      </c>
      <c r="AJ1016" s="89" t="n">
        <v>131.6942</v>
      </c>
      <c r="AK1016" s="89" t="n">
        <v>52.70879</v>
      </c>
      <c r="AL1016" s="89" t="n">
        <v>83.17101</v>
      </c>
      <c r="AM1016" s="89" t="n">
        <v>103.4</v>
      </c>
      <c r="AN1016" s="89" t="n"/>
      <c r="AO1016" s="89" t="n">
        <v>89.95959000000001</v>
      </c>
      <c r="AP1016" s="89" t="n">
        <v>95.78403</v>
      </c>
      <c r="AQ1016" s="89" t="n"/>
      <c r="AR1016" s="89" t="n"/>
      <c r="AS1016" s="89" t="n"/>
      <c r="AT1016" s="89" t="n">
        <v>49.59429</v>
      </c>
      <c r="AU1016" s="89" t="n"/>
      <c r="AV1016" s="89" t="n">
        <v>67.39693</v>
      </c>
      <c r="AW1016" s="89" t="n"/>
      <c r="AX1016" s="89" t="n">
        <v>48.29597</v>
      </c>
      <c r="AY1016" s="89" t="n">
        <v>85.21883</v>
      </c>
    </row>
    <row r="1017">
      <c r="A1017" t="inlineStr">
        <is>
          <t>2003-08</t>
        </is>
      </c>
      <c r="B1017" s="1" t="n">
        <v>37834</v>
      </c>
      <c r="C1017" s="88" t="n">
        <v>1017</v>
      </c>
      <c r="E1017" s="1">
        <f>B1017</f>
        <v/>
      </c>
      <c r="F1017" s="2">
        <f>B1017</f>
        <v/>
      </c>
      <c r="G1017" s="88" t="n">
        <v>1015</v>
      </c>
      <c r="H1017" s="89" t="n"/>
      <c r="I1017" s="89" t="n"/>
      <c r="J1017" s="89" t="n">
        <v>75.69370000000001</v>
      </c>
      <c r="K1017" s="89" t="n">
        <v>94.33611000000001</v>
      </c>
      <c r="L1017" s="89" t="n"/>
      <c r="M1017" s="89" t="n">
        <v>71.08815</v>
      </c>
      <c r="N1017" s="89" t="n">
        <v>78.59345</v>
      </c>
      <c r="O1017" s="89" t="n">
        <v>115.4</v>
      </c>
      <c r="P1017" s="89" t="n">
        <v>123.7941</v>
      </c>
      <c r="Q1017" s="89" t="n"/>
      <c r="R1017" s="89" t="n">
        <v>101.2</v>
      </c>
      <c r="S1017" s="89" t="n">
        <v>107.9409</v>
      </c>
      <c r="T1017" s="89" t="n">
        <v>107.1466</v>
      </c>
      <c r="U1017" s="89" t="n">
        <v>137.2399</v>
      </c>
      <c r="V1017" s="89" t="n">
        <v>68.60572000000001</v>
      </c>
      <c r="W1017" s="89" t="n">
        <v>59.22476</v>
      </c>
      <c r="X1017" s="89" t="n">
        <v>34.92492</v>
      </c>
      <c r="Y1017" s="89" t="n">
        <v>64.50803000000001</v>
      </c>
      <c r="Z1017" s="89" t="n">
        <v>120.9899</v>
      </c>
      <c r="AA1017" s="89" t="n">
        <v>100.4278</v>
      </c>
      <c r="AB1017" s="89" t="n">
        <v>56.73327</v>
      </c>
      <c r="AC1017" s="89" t="n">
        <v>108.491</v>
      </c>
      <c r="AD1017" s="89" t="n">
        <v>76.5</v>
      </c>
      <c r="AE1017" s="89" t="n">
        <v>90.53870000000001</v>
      </c>
      <c r="AF1017" s="89" t="n">
        <v>93.34232</v>
      </c>
      <c r="AG1017" s="89" t="n">
        <v>116.8348</v>
      </c>
      <c r="AH1017" s="89" t="n">
        <v>87.0609</v>
      </c>
      <c r="AI1017" s="89" t="n">
        <v>53.8</v>
      </c>
      <c r="AJ1017" s="89" t="n">
        <v>129.9025</v>
      </c>
      <c r="AK1017" s="89" t="n">
        <v>52.50875</v>
      </c>
      <c r="AL1017" s="89" t="n">
        <v>83.26434999999999</v>
      </c>
      <c r="AM1017" s="89" t="n">
        <v>102.3</v>
      </c>
      <c r="AN1017" s="89" t="n"/>
      <c r="AO1017" s="89" t="n">
        <v>89.83127</v>
      </c>
      <c r="AP1017" s="89" t="n">
        <v>94.7842</v>
      </c>
      <c r="AQ1017" s="89" t="n"/>
      <c r="AR1017" s="89" t="n"/>
      <c r="AS1017" s="89" t="n"/>
      <c r="AT1017" s="89" t="n">
        <v>49.86923</v>
      </c>
      <c r="AU1017" s="89" t="n"/>
      <c r="AV1017" s="89" t="n">
        <v>67.25723000000001</v>
      </c>
      <c r="AW1017" s="89" t="n"/>
      <c r="AX1017" s="89" t="n">
        <v>49.49588</v>
      </c>
      <c r="AY1017" s="89" t="n">
        <v>86.54004999999999</v>
      </c>
    </row>
    <row r="1018">
      <c r="A1018" t="inlineStr">
        <is>
          <t>2003-09</t>
        </is>
      </c>
      <c r="B1018" s="1" t="n">
        <v>37865</v>
      </c>
      <c r="C1018" s="88" t="n">
        <v>1018</v>
      </c>
      <c r="E1018" s="1">
        <f>B1018</f>
        <v/>
      </c>
      <c r="F1018" s="2">
        <f>B1018</f>
        <v/>
      </c>
      <c r="G1018" s="88" t="n">
        <v>1016</v>
      </c>
      <c r="H1018" s="89" t="n"/>
      <c r="I1018" s="89" t="n"/>
      <c r="J1018" s="89" t="n">
        <v>75.89368</v>
      </c>
      <c r="K1018" s="89" t="n">
        <v>96.21364</v>
      </c>
      <c r="L1018" s="89" t="n"/>
      <c r="M1018" s="89" t="n">
        <v>71.38809999999999</v>
      </c>
      <c r="N1018" s="89" t="n">
        <v>78.39346999999999</v>
      </c>
      <c r="O1018" s="89" t="n">
        <v>117</v>
      </c>
      <c r="P1018" s="89" t="n">
        <v>122.8621</v>
      </c>
      <c r="Q1018" s="89" t="n"/>
      <c r="R1018" s="89" t="n">
        <v>101.6</v>
      </c>
      <c r="S1018" s="89" t="n">
        <v>107.5609</v>
      </c>
      <c r="T1018" s="89" t="n">
        <v>107.1466</v>
      </c>
      <c r="U1018" s="89" t="n">
        <v>145.73</v>
      </c>
      <c r="V1018" s="89" t="n">
        <v>67.40562</v>
      </c>
      <c r="W1018" s="89" t="n">
        <v>53.75969</v>
      </c>
      <c r="X1018" s="89" t="n">
        <v>35.29787</v>
      </c>
      <c r="Y1018" s="89" t="n">
        <v>64.71814999999999</v>
      </c>
      <c r="Z1018" s="89" t="n">
        <v>121.3899</v>
      </c>
      <c r="AA1018" s="89" t="n">
        <v>103.471</v>
      </c>
      <c r="AB1018" s="89" t="n">
        <v>58.31214</v>
      </c>
      <c r="AC1018" s="89" t="n">
        <v>109.1909</v>
      </c>
      <c r="AD1018" s="89" t="n">
        <v>78.09999999999999</v>
      </c>
      <c r="AE1018" s="89" t="n">
        <v>90.58448</v>
      </c>
      <c r="AF1018" s="89" t="n">
        <v>93.34232</v>
      </c>
      <c r="AG1018" s="89" t="n">
        <v>118.4639</v>
      </c>
      <c r="AH1018" s="89" t="n">
        <v>87.75185</v>
      </c>
      <c r="AI1018" s="89" t="n">
        <v>53.7</v>
      </c>
      <c r="AJ1018" s="89" t="n">
        <v>134.1259</v>
      </c>
      <c r="AK1018" s="89" t="n">
        <v>52.10868</v>
      </c>
      <c r="AL1018" s="89" t="n">
        <v>83.73108000000001</v>
      </c>
      <c r="AM1018" s="89" t="n">
        <v>103</v>
      </c>
      <c r="AN1018" s="89" t="n"/>
      <c r="AO1018" s="89" t="n">
        <v>90.36002999999999</v>
      </c>
      <c r="AP1018" s="89" t="n">
        <v>94.48425</v>
      </c>
      <c r="AQ1018" s="89" t="n"/>
      <c r="AR1018" s="89" t="n"/>
      <c r="AS1018" s="89" t="n"/>
      <c r="AT1018" s="89" t="n">
        <v>50.17299</v>
      </c>
      <c r="AU1018" s="89" t="n"/>
      <c r="AV1018" s="89" t="n">
        <v>68.53522</v>
      </c>
      <c r="AW1018" s="89" t="n"/>
      <c r="AX1018" s="89" t="n">
        <v>49.49588</v>
      </c>
      <c r="AY1018" s="89" t="n">
        <v>89.40269000000001</v>
      </c>
    </row>
    <row r="1019">
      <c r="A1019" t="inlineStr">
        <is>
          <t>2003-10</t>
        </is>
      </c>
      <c r="B1019" s="1" t="n">
        <v>37895</v>
      </c>
      <c r="C1019" s="88" t="n">
        <v>1019</v>
      </c>
      <c r="E1019" s="1">
        <f>B1019</f>
        <v/>
      </c>
      <c r="F1019" s="2">
        <f>B1019</f>
        <v/>
      </c>
      <c r="G1019" s="88" t="n">
        <v>1017</v>
      </c>
      <c r="H1019" s="89" t="n"/>
      <c r="I1019" s="89" t="n"/>
      <c r="J1019" s="89" t="n">
        <v>76.39363</v>
      </c>
      <c r="K1019" s="89" t="n">
        <v>96.75620000000001</v>
      </c>
      <c r="L1019" s="89" t="n"/>
      <c r="M1019" s="89" t="n">
        <v>71.78803000000001</v>
      </c>
      <c r="N1019" s="89" t="n">
        <v>80.79327000000001</v>
      </c>
      <c r="O1019" s="89" t="n">
        <v>114.8</v>
      </c>
      <c r="P1019" s="89" t="n">
        <v>125.5041</v>
      </c>
      <c r="Q1019" s="89" t="n"/>
      <c r="R1019" s="89" t="n">
        <v>101.4</v>
      </c>
      <c r="S1019" s="89" t="n">
        <v>110.1609</v>
      </c>
      <c r="T1019" s="89" t="n">
        <v>107.9772</v>
      </c>
      <c r="U1019" s="89" t="n">
        <v>144.7311</v>
      </c>
      <c r="V1019" s="89" t="n">
        <v>67.90566</v>
      </c>
      <c r="W1019" s="89" t="n">
        <v>61.42267</v>
      </c>
      <c r="X1019" s="89" t="n">
        <v>35.97672</v>
      </c>
      <c r="Y1019" s="89" t="n">
        <v>68.15018000000001</v>
      </c>
      <c r="Z1019" s="89" t="n">
        <v>122.6898</v>
      </c>
      <c r="AA1019" s="89" t="n">
        <v>104.6666</v>
      </c>
      <c r="AB1019" s="89" t="n">
        <v>59.15107</v>
      </c>
      <c r="AC1019" s="89" t="n">
        <v>108.591</v>
      </c>
      <c r="AD1019" s="89" t="n">
        <v>78.59999999999999</v>
      </c>
      <c r="AE1019" s="89" t="n">
        <v>91.04163</v>
      </c>
      <c r="AF1019" s="89" t="n">
        <v>96.88321999999999</v>
      </c>
      <c r="AG1019" s="89" t="n">
        <v>121.024</v>
      </c>
      <c r="AH1019" s="89" t="n">
        <v>88.64573</v>
      </c>
      <c r="AI1019" s="89" t="n">
        <v>55</v>
      </c>
      <c r="AJ1019" s="89" t="n">
        <v>131.0543</v>
      </c>
      <c r="AK1019" s="89" t="n">
        <v>52.8088</v>
      </c>
      <c r="AL1019" s="89" t="n">
        <v>85.59799</v>
      </c>
      <c r="AM1019" s="89" t="n">
        <v>102.6</v>
      </c>
      <c r="AN1019" s="89" t="n"/>
      <c r="AO1019" s="89" t="n">
        <v>90.48759</v>
      </c>
      <c r="AP1019" s="89" t="n">
        <v>96.88385</v>
      </c>
      <c r="AQ1019" s="89" t="n"/>
      <c r="AR1019" s="89" t="n"/>
      <c r="AS1019" s="89" t="n"/>
      <c r="AT1019" s="89" t="n">
        <v>49.97036</v>
      </c>
      <c r="AU1019" s="89" t="n"/>
      <c r="AV1019" s="89" t="n">
        <v>68.33544999999999</v>
      </c>
      <c r="AW1019" s="89" t="n"/>
      <c r="AX1019" s="89" t="n">
        <v>48.99592</v>
      </c>
      <c r="AY1019" s="89" t="n">
        <v>89.84310000000001</v>
      </c>
    </row>
    <row r="1020">
      <c r="A1020" t="inlineStr">
        <is>
          <t>2003-11</t>
        </is>
      </c>
      <c r="B1020" s="1" t="n">
        <v>37926</v>
      </c>
      <c r="C1020" s="88" t="n">
        <v>1020</v>
      </c>
      <c r="E1020" s="1">
        <f>B1020</f>
        <v/>
      </c>
      <c r="F1020" s="2">
        <f>B1020</f>
        <v/>
      </c>
      <c r="G1020" s="88" t="n">
        <v>1018</v>
      </c>
      <c r="H1020" s="89" t="n"/>
      <c r="I1020" s="89" t="n"/>
      <c r="J1020" s="89" t="n">
        <v>75.79369</v>
      </c>
      <c r="K1020" s="89" t="n">
        <v>96.83618</v>
      </c>
      <c r="L1020" s="89" t="n"/>
      <c r="M1020" s="89" t="n">
        <v>72.78787</v>
      </c>
      <c r="N1020" s="89" t="n">
        <v>81.5932</v>
      </c>
      <c r="O1020" s="89" t="n">
        <v>112.8</v>
      </c>
      <c r="P1020" s="89" t="n">
        <v>124.3961</v>
      </c>
      <c r="Q1020" s="89" t="n"/>
      <c r="R1020" s="89" t="n">
        <v>102.8</v>
      </c>
      <c r="S1020" s="89" t="n">
        <v>108.0109</v>
      </c>
      <c r="T1020" s="89" t="n">
        <v>107.5619</v>
      </c>
      <c r="U1020" s="89" t="n">
        <v>141.8345</v>
      </c>
      <c r="V1020" s="89" t="n">
        <v>69.00575000000001</v>
      </c>
      <c r="W1020" s="89" t="n">
        <v>61.42267</v>
      </c>
      <c r="X1020" s="89" t="n">
        <v>35.44579</v>
      </c>
      <c r="Y1020" s="89" t="n">
        <v>64.64811</v>
      </c>
      <c r="Z1020" s="89" t="n">
        <v>124.0897</v>
      </c>
      <c r="AA1020" s="89" t="n">
        <v>104.884</v>
      </c>
      <c r="AB1020" s="89" t="n">
        <v>58.99508</v>
      </c>
      <c r="AC1020" s="89" t="n">
        <v>107.491</v>
      </c>
      <c r="AD1020" s="89" t="n">
        <v>78.3</v>
      </c>
      <c r="AE1020" s="89" t="n">
        <v>91.34547000000001</v>
      </c>
      <c r="AF1020" s="89" t="n">
        <v>94.3259</v>
      </c>
      <c r="AG1020" s="89" t="n">
        <v>119.0458</v>
      </c>
      <c r="AH1020" s="89" t="n">
        <v>88.86758</v>
      </c>
      <c r="AI1020" s="89" t="n">
        <v>55.4</v>
      </c>
      <c r="AJ1020" s="89" t="n">
        <v>131.8222</v>
      </c>
      <c r="AK1020" s="89" t="n">
        <v>54.30905</v>
      </c>
      <c r="AL1020" s="89" t="n">
        <v>85.97136999999999</v>
      </c>
      <c r="AM1020" s="89" t="n">
        <v>102.3</v>
      </c>
      <c r="AN1020" s="89" t="n"/>
      <c r="AO1020" s="89" t="n">
        <v>91.18482</v>
      </c>
      <c r="AP1020" s="89" t="n">
        <v>96.48392</v>
      </c>
      <c r="AQ1020" s="89" t="n"/>
      <c r="AR1020" s="89" t="n"/>
      <c r="AS1020" s="89" t="n"/>
      <c r="AT1020" s="89" t="n">
        <v>51.17662</v>
      </c>
      <c r="AU1020" s="89" t="n"/>
      <c r="AV1020" s="89" t="n">
        <v>68.35131</v>
      </c>
      <c r="AW1020" s="89" t="n"/>
      <c r="AX1020" s="89" t="n">
        <v>48.79593</v>
      </c>
      <c r="AY1020" s="89" t="n">
        <v>90.94412</v>
      </c>
    </row>
    <row r="1021">
      <c r="A1021" t="inlineStr">
        <is>
          <t>2003-12</t>
        </is>
      </c>
      <c r="B1021" s="1" t="n">
        <v>37956</v>
      </c>
      <c r="C1021" s="88" t="n">
        <v>1021</v>
      </c>
      <c r="E1021" s="1">
        <f>B1021</f>
        <v/>
      </c>
      <c r="F1021" s="2">
        <f>B1021</f>
        <v/>
      </c>
      <c r="G1021" s="88" t="n">
        <v>1019</v>
      </c>
      <c r="H1021" s="89" t="n"/>
      <c r="I1021" s="89" t="n"/>
      <c r="J1021" s="89" t="n">
        <v>78.49346</v>
      </c>
      <c r="K1021" s="89" t="n">
        <v>97.03068</v>
      </c>
      <c r="L1021" s="89" t="n"/>
      <c r="M1021" s="89" t="n">
        <v>74.48759</v>
      </c>
      <c r="N1021" s="89" t="n">
        <v>81.99316</v>
      </c>
      <c r="O1021" s="89" t="n">
        <v>111.2</v>
      </c>
      <c r="P1021" s="89" t="n">
        <v>123.7151</v>
      </c>
      <c r="Q1021" s="89" t="n"/>
      <c r="R1021" s="89" t="n">
        <v>101.3</v>
      </c>
      <c r="S1021" s="89" t="n">
        <v>108.6409</v>
      </c>
      <c r="T1021" s="89" t="n">
        <v>108.2886</v>
      </c>
      <c r="U1021" s="89" t="n">
        <v>146.8287</v>
      </c>
      <c r="V1021" s="89" t="n">
        <v>72.20602</v>
      </c>
      <c r="W1021" s="89" t="n">
        <v>58.21491</v>
      </c>
      <c r="X1021" s="89" t="n">
        <v>35.23162</v>
      </c>
      <c r="Y1021" s="89" t="n">
        <v>66.25906000000001</v>
      </c>
      <c r="Z1021" s="89" t="n">
        <v>124.1897</v>
      </c>
      <c r="AA1021" s="89" t="n">
        <v>104.5579</v>
      </c>
      <c r="AB1021" s="89" t="n">
        <v>60.47396</v>
      </c>
      <c r="AC1021" s="89" t="n">
        <v>105.0912</v>
      </c>
      <c r="AD1021" s="89" t="n">
        <v>79.90000000000001</v>
      </c>
      <c r="AE1021" s="89" t="n">
        <v>92.66046</v>
      </c>
      <c r="AF1021" s="89" t="n">
        <v>92.26038</v>
      </c>
      <c r="AG1021" s="89" t="n">
        <v>120.0931</v>
      </c>
      <c r="AH1021" s="89" t="n">
        <v>89.20301000000001</v>
      </c>
      <c r="AI1021" s="89" t="n">
        <v>56.6</v>
      </c>
      <c r="AJ1021" s="89" t="n">
        <v>133.486</v>
      </c>
      <c r="AK1021" s="89" t="n">
        <v>55.8093</v>
      </c>
      <c r="AL1021" s="89" t="n">
        <v>84.75788</v>
      </c>
      <c r="AM1021" s="89" t="n">
        <v>104.9</v>
      </c>
      <c r="AN1021" s="89" t="n"/>
      <c r="AO1021" s="89" t="n">
        <v>91.11989</v>
      </c>
      <c r="AP1021" s="89" t="n">
        <v>96.78386999999999</v>
      </c>
      <c r="AQ1021" s="89" t="n"/>
      <c r="AR1021" s="89" t="n"/>
      <c r="AS1021" s="89" t="n"/>
      <c r="AT1021" s="89" t="n">
        <v>50.90885</v>
      </c>
      <c r="AU1021" s="89" t="n"/>
      <c r="AV1021" s="89" t="n">
        <v>69.99769000000001</v>
      </c>
      <c r="AW1021" s="89" t="n"/>
      <c r="AX1021" s="89" t="n">
        <v>49.69586</v>
      </c>
      <c r="AY1021" s="89" t="n">
        <v>89.5128</v>
      </c>
    </row>
    <row r="1022">
      <c r="A1022" t="inlineStr">
        <is>
          <t>2004-01</t>
        </is>
      </c>
      <c r="B1022" s="1" t="n">
        <v>37987</v>
      </c>
      <c r="C1022" s="88" t="n">
        <v>1022</v>
      </c>
      <c r="E1022" s="1">
        <f>B1022</f>
        <v/>
      </c>
      <c r="F1022" s="2">
        <f>B1022</f>
        <v/>
      </c>
      <c r="G1022" s="88" t="n">
        <v>1020</v>
      </c>
      <c r="H1022" s="89" t="n"/>
      <c r="I1022" s="89" t="n"/>
      <c r="J1022" s="89" t="n">
        <v>76.89359</v>
      </c>
      <c r="K1022" s="89" t="n">
        <v>96.62965</v>
      </c>
      <c r="L1022" s="89" t="n"/>
      <c r="M1022" s="89" t="n">
        <v>74.38760000000001</v>
      </c>
      <c r="N1022" s="89" t="n">
        <v>81.29322999999999</v>
      </c>
      <c r="O1022" s="89" t="n">
        <v>111.3</v>
      </c>
      <c r="P1022" s="89" t="n">
        <v>123.7901</v>
      </c>
      <c r="Q1022" s="89" t="n"/>
      <c r="R1022" s="89" t="n">
        <v>101.9</v>
      </c>
      <c r="S1022" s="89" t="n">
        <v>109.3609</v>
      </c>
      <c r="T1022" s="89" t="n">
        <v>107.6657</v>
      </c>
      <c r="U1022" s="89" t="n">
        <v>140.8357</v>
      </c>
      <c r="V1022" s="89" t="n">
        <v>69.90582000000001</v>
      </c>
      <c r="W1022" s="89" t="n">
        <v>55.71999</v>
      </c>
      <c r="X1022" s="89" t="n">
        <v>35.87313</v>
      </c>
      <c r="Y1022" s="89" t="n">
        <v>69.69555</v>
      </c>
      <c r="Z1022" s="89" t="n">
        <v>124.0897</v>
      </c>
      <c r="AA1022" s="89" t="n">
        <v>106.4056</v>
      </c>
      <c r="AB1022" s="89" t="n">
        <v>60.22098</v>
      </c>
      <c r="AC1022" s="89" t="n">
        <v>108.8909</v>
      </c>
      <c r="AD1022" s="89" t="n">
        <v>79.8</v>
      </c>
      <c r="AE1022" s="89" t="n">
        <v>93.23121999999999</v>
      </c>
      <c r="AF1022" s="89" t="n">
        <v>97.57174000000001</v>
      </c>
      <c r="AG1022" s="89" t="n">
        <v>118.4639</v>
      </c>
      <c r="AH1022" s="89" t="n">
        <v>89.4862</v>
      </c>
      <c r="AI1022" s="89" t="n">
        <v>57.8</v>
      </c>
      <c r="AJ1022" s="89" t="n">
        <v>129.843</v>
      </c>
      <c r="AK1022" s="89" t="n">
        <v>51.30855</v>
      </c>
      <c r="AL1022" s="89" t="n">
        <v>85.78467999999999</v>
      </c>
      <c r="AM1022" s="89" t="n">
        <v>106</v>
      </c>
      <c r="AN1022" s="89" t="n"/>
      <c r="AO1022" s="89" t="n">
        <v>91.35262</v>
      </c>
      <c r="AP1022" s="89" t="n">
        <v>96.68388</v>
      </c>
      <c r="AQ1022" s="89" t="n"/>
      <c r="AR1022" s="89" t="n"/>
      <c r="AS1022" s="89" t="n"/>
      <c r="AT1022" s="89" t="n">
        <v>51.66567</v>
      </c>
      <c r="AU1022" s="89" t="n"/>
      <c r="AV1022" s="89" t="n">
        <v>70.1127</v>
      </c>
      <c r="AW1022" s="89" t="n"/>
      <c r="AX1022" s="89" t="n">
        <v>50.49579</v>
      </c>
      <c r="AY1022" s="89" t="n">
        <v>91.05422</v>
      </c>
    </row>
    <row r="1023">
      <c r="A1023" t="inlineStr">
        <is>
          <t>2004-02</t>
        </is>
      </c>
      <c r="B1023" s="1" t="n">
        <v>38018</v>
      </c>
      <c r="C1023" s="88" t="n">
        <v>1023</v>
      </c>
      <c r="E1023" s="1">
        <f>B1023</f>
        <v/>
      </c>
      <c r="F1023" s="2">
        <f>B1023</f>
        <v/>
      </c>
      <c r="G1023" s="88" t="n">
        <v>1021</v>
      </c>
      <c r="H1023" s="89" t="n"/>
      <c r="I1023" s="89" t="n"/>
      <c r="J1023" s="89" t="n">
        <v>77.9935</v>
      </c>
      <c r="K1023" s="89" t="n">
        <v>96.29684</v>
      </c>
      <c r="L1023" s="89" t="n"/>
      <c r="M1023" s="89" t="n">
        <v>76.68722</v>
      </c>
      <c r="N1023" s="89" t="n">
        <v>81.69319</v>
      </c>
      <c r="O1023" s="89" t="n">
        <v>111.7</v>
      </c>
      <c r="P1023" s="89" t="n">
        <v>124.4391</v>
      </c>
      <c r="Q1023" s="89" t="n"/>
      <c r="R1023" s="89" t="n">
        <v>103.5</v>
      </c>
      <c r="S1023" s="89" t="n">
        <v>110.4709</v>
      </c>
      <c r="T1023" s="89" t="n">
        <v>107.3542</v>
      </c>
      <c r="U1023" s="89" t="n">
        <v>143.4327</v>
      </c>
      <c r="V1023" s="89" t="n">
        <v>70.70589</v>
      </c>
      <c r="W1023" s="89" t="n">
        <v>56.37342</v>
      </c>
      <c r="X1023" s="89" t="n">
        <v>36.68673</v>
      </c>
      <c r="Y1023" s="89" t="n">
        <v>68.75878</v>
      </c>
      <c r="Z1023" s="89" t="n">
        <v>123.6897</v>
      </c>
      <c r="AA1023" s="89" t="n">
        <v>106.0796</v>
      </c>
      <c r="AB1023" s="89" t="n">
        <v>62.57978</v>
      </c>
      <c r="AC1023" s="89" t="n">
        <v>109.4909</v>
      </c>
      <c r="AD1023" s="89" t="n">
        <v>80.59999999999999</v>
      </c>
      <c r="AE1023" s="89" t="n">
        <v>93.43998000000001</v>
      </c>
      <c r="AF1023" s="89" t="n">
        <v>97.96517</v>
      </c>
      <c r="AG1023" s="89" t="n">
        <v>117.8821</v>
      </c>
      <c r="AH1023" s="89" t="n">
        <v>89.95018</v>
      </c>
      <c r="AI1023" s="89" t="n">
        <v>58.1</v>
      </c>
      <c r="AJ1023" s="89" t="n">
        <v>126.8695</v>
      </c>
      <c r="AK1023" s="89" t="n">
        <v>54.90915</v>
      </c>
      <c r="AL1023" s="89" t="n">
        <v>85.69134</v>
      </c>
      <c r="AM1023" s="89" t="n">
        <v>106.3</v>
      </c>
      <c r="AN1023" s="89" t="n"/>
      <c r="AO1023" s="89" t="n">
        <v>91.90607</v>
      </c>
      <c r="AP1023" s="89" t="n">
        <v>97.08382</v>
      </c>
      <c r="AQ1023" s="89" t="n"/>
      <c r="AR1023" s="89" t="n"/>
      <c r="AS1023" s="89" t="n"/>
      <c r="AT1023" s="89" t="n">
        <v>50.87598</v>
      </c>
      <c r="AU1023" s="89" t="n"/>
      <c r="AV1023" s="89" t="n">
        <v>70.51878000000001</v>
      </c>
      <c r="AW1023" s="89" t="n"/>
      <c r="AX1023" s="89" t="n">
        <v>50.89576</v>
      </c>
      <c r="AY1023" s="89" t="n">
        <v>92.48555</v>
      </c>
    </row>
    <row r="1024">
      <c r="A1024" t="inlineStr">
        <is>
          <t>2004-03</t>
        </is>
      </c>
      <c r="B1024" s="1" t="n">
        <v>38047</v>
      </c>
      <c r="C1024" s="88" t="n">
        <v>1024</v>
      </c>
      <c r="E1024" s="1">
        <f>B1024</f>
        <v/>
      </c>
      <c r="F1024" s="2">
        <f>B1024</f>
        <v/>
      </c>
      <c r="G1024" s="88" t="n">
        <v>1022</v>
      </c>
      <c r="H1024" s="89" t="n"/>
      <c r="I1024" s="89" t="n"/>
      <c r="J1024" s="89" t="n">
        <v>78.59345</v>
      </c>
      <c r="K1024" s="89" t="n">
        <v>97.47398</v>
      </c>
      <c r="L1024" s="89" t="n"/>
      <c r="M1024" s="89" t="n">
        <v>76.08732000000001</v>
      </c>
      <c r="N1024" s="89" t="n">
        <v>81.19324</v>
      </c>
      <c r="O1024" s="89" t="n">
        <v>112.9</v>
      </c>
      <c r="P1024" s="89" t="n">
        <v>126.1631</v>
      </c>
      <c r="Q1024" s="89" t="n"/>
      <c r="R1024" s="89" t="n">
        <v>103.7</v>
      </c>
      <c r="S1024" s="89" t="n">
        <v>110.1009</v>
      </c>
      <c r="T1024" s="89" t="n">
        <v>109.5345</v>
      </c>
      <c r="U1024" s="89" t="n">
        <v>146.8287</v>
      </c>
      <c r="V1024" s="89" t="n">
        <v>70.50587</v>
      </c>
      <c r="W1024" s="89" t="n">
        <v>57.9179</v>
      </c>
      <c r="X1024" s="89" t="n">
        <v>38.09007</v>
      </c>
      <c r="Y1024" s="89" t="n">
        <v>70.16392999999999</v>
      </c>
      <c r="Z1024" s="89" t="n">
        <v>121.5899</v>
      </c>
      <c r="AA1024" s="89" t="n">
        <v>105.5361</v>
      </c>
      <c r="AB1024" s="89" t="n">
        <v>61.65286</v>
      </c>
      <c r="AC1024" s="89" t="n">
        <v>113.0906</v>
      </c>
      <c r="AD1024" s="89" t="n">
        <v>81.5</v>
      </c>
      <c r="AE1024" s="89" t="n">
        <v>95.0013</v>
      </c>
      <c r="AF1024" s="89" t="n">
        <v>97.57174000000001</v>
      </c>
      <c r="AG1024" s="89" t="n">
        <v>119.6276</v>
      </c>
      <c r="AH1024" s="89" t="n">
        <v>89.88996</v>
      </c>
      <c r="AI1024" s="89" t="n">
        <v>59.4</v>
      </c>
      <c r="AJ1024" s="89" t="n">
        <v>132.8165</v>
      </c>
      <c r="AK1024" s="89" t="n">
        <v>53.00883</v>
      </c>
      <c r="AL1024" s="89" t="n">
        <v>86.90483</v>
      </c>
      <c r="AM1024" s="89" t="n">
        <v>104.7</v>
      </c>
      <c r="AN1024" s="89" t="n"/>
      <c r="AO1024" s="89" t="n">
        <v>91.44896</v>
      </c>
      <c r="AP1024" s="89" t="n">
        <v>96.88385</v>
      </c>
      <c r="AQ1024" s="89" t="n"/>
      <c r="AR1024" s="89" t="n"/>
      <c r="AS1024" s="89" t="n"/>
      <c r="AT1024" s="89" t="n">
        <v>51.48199</v>
      </c>
      <c r="AU1024" s="89" t="n"/>
      <c r="AV1024" s="89" t="n">
        <v>71.03426</v>
      </c>
      <c r="AW1024" s="89" t="n"/>
      <c r="AX1024" s="89" t="n">
        <v>51.19573</v>
      </c>
      <c r="AY1024" s="89" t="n">
        <v>93.03606000000001</v>
      </c>
    </row>
    <row r="1025">
      <c r="A1025" t="inlineStr">
        <is>
          <t>2004-04</t>
        </is>
      </c>
      <c r="B1025" s="1" t="n">
        <v>38078</v>
      </c>
      <c r="C1025" s="88" t="n">
        <v>1025</v>
      </c>
      <c r="E1025" s="1">
        <f>B1025</f>
        <v/>
      </c>
      <c r="F1025" s="2">
        <f>B1025</f>
        <v/>
      </c>
      <c r="G1025" s="88" t="n">
        <v>1023</v>
      </c>
      <c r="H1025" s="89" t="n"/>
      <c r="I1025" s="89" t="n"/>
      <c r="J1025" s="89" t="n">
        <v>80.49329</v>
      </c>
      <c r="K1025" s="89" t="n">
        <v>97.29607</v>
      </c>
      <c r="L1025" s="89" t="n"/>
      <c r="M1025" s="89" t="n">
        <v>77.18713</v>
      </c>
      <c r="N1025" s="89" t="n">
        <v>82.39314</v>
      </c>
      <c r="O1025" s="89" t="n">
        <v>114.3</v>
      </c>
      <c r="P1025" s="89" t="n">
        <v>125.4591</v>
      </c>
      <c r="Q1025" s="89" t="n"/>
      <c r="R1025" s="89" t="n">
        <v>104.5</v>
      </c>
      <c r="S1025" s="89" t="n">
        <v>110.1309</v>
      </c>
      <c r="T1025" s="89" t="n">
        <v>108.9116</v>
      </c>
      <c r="U1025" s="89" t="n">
        <v>147.428</v>
      </c>
      <c r="V1025" s="89" t="n">
        <v>70.80589999999999</v>
      </c>
      <c r="W1025" s="89" t="n">
        <v>58.74954</v>
      </c>
      <c r="X1025" s="89" t="n">
        <v>39.33401</v>
      </c>
      <c r="Y1025" s="89" t="n">
        <v>69.03981</v>
      </c>
      <c r="Z1025" s="89" t="n">
        <v>123.7897</v>
      </c>
      <c r="AA1025" s="89" t="n">
        <v>107.3838</v>
      </c>
      <c r="AB1025" s="89" t="n">
        <v>62.31581</v>
      </c>
      <c r="AC1025" s="89" t="n">
        <v>109.8908</v>
      </c>
      <c r="AD1025" s="89" t="n">
        <v>82.5</v>
      </c>
      <c r="AE1025" s="89" t="n">
        <v>94.40833000000001</v>
      </c>
      <c r="AF1025" s="89" t="n">
        <v>96.88321999999999</v>
      </c>
      <c r="AG1025" s="89" t="n">
        <v>117.4166</v>
      </c>
      <c r="AH1025" s="89" t="n">
        <v>90.52394</v>
      </c>
      <c r="AI1025" s="89" t="n">
        <v>61.5</v>
      </c>
      <c r="AJ1025" s="89" t="n">
        <v>131.9492</v>
      </c>
      <c r="AK1025" s="89" t="n">
        <v>52.50875</v>
      </c>
      <c r="AL1025" s="89" t="n">
        <v>87.55825</v>
      </c>
      <c r="AM1025" s="89" t="n">
        <v>108</v>
      </c>
      <c r="AN1025" s="89" t="n"/>
      <c r="AO1025" s="89" t="n">
        <v>91.86169</v>
      </c>
      <c r="AP1025" s="89" t="n">
        <v>97.7837</v>
      </c>
      <c r="AQ1025" s="89" t="n"/>
      <c r="AR1025" s="89" t="n"/>
      <c r="AS1025" s="89" t="n"/>
      <c r="AT1025" s="89" t="n">
        <v>53.98023</v>
      </c>
      <c r="AU1025" s="89" t="n"/>
      <c r="AV1025" s="89" t="n">
        <v>71.75385</v>
      </c>
      <c r="AW1025" s="89" t="n"/>
      <c r="AX1025" s="89" t="n">
        <v>52.09566</v>
      </c>
      <c r="AY1025" s="89" t="n">
        <v>93.69667</v>
      </c>
    </row>
    <row r="1026">
      <c r="A1026" t="inlineStr">
        <is>
          <t>2004-05</t>
        </is>
      </c>
      <c r="B1026" s="1" t="n">
        <v>38108</v>
      </c>
      <c r="C1026" s="88" t="n">
        <v>1026</v>
      </c>
      <c r="E1026" s="1">
        <f>B1026</f>
        <v/>
      </c>
      <c r="F1026" s="2">
        <f>B1026</f>
        <v/>
      </c>
      <c r="G1026" s="88" t="n">
        <v>1024</v>
      </c>
      <c r="H1026" s="89" t="n"/>
      <c r="I1026" s="89" t="n"/>
      <c r="J1026" s="89" t="n">
        <v>79.1934</v>
      </c>
      <c r="K1026" s="89" t="n">
        <v>96.87926</v>
      </c>
      <c r="L1026" s="89" t="n"/>
      <c r="M1026" s="89" t="n">
        <v>76.68722</v>
      </c>
      <c r="N1026" s="89" t="n">
        <v>83.29306</v>
      </c>
      <c r="O1026" s="89" t="n">
        <v>114.1</v>
      </c>
      <c r="P1026" s="89" t="n">
        <v>126.1161</v>
      </c>
      <c r="Q1026" s="89" t="n"/>
      <c r="R1026" s="89" t="n">
        <v>107</v>
      </c>
      <c r="S1026" s="89" t="n">
        <v>109.5409</v>
      </c>
      <c r="T1026" s="89" t="n">
        <v>108.3925</v>
      </c>
      <c r="U1026" s="89" t="n">
        <v>146.8287</v>
      </c>
      <c r="V1026" s="89" t="n">
        <v>70.60588</v>
      </c>
      <c r="W1026" s="89" t="n">
        <v>55.77939</v>
      </c>
      <c r="X1026" s="89" t="n">
        <v>39.05936</v>
      </c>
      <c r="Y1026" s="89" t="n">
        <v>69.03981</v>
      </c>
      <c r="Z1026" s="89" t="n">
        <v>123.5897</v>
      </c>
      <c r="AA1026" s="89" t="n">
        <v>107.4925</v>
      </c>
      <c r="AB1026" s="89" t="n">
        <v>63.28273</v>
      </c>
      <c r="AC1026" s="89" t="n">
        <v>108.491</v>
      </c>
      <c r="AD1026" s="89" t="n">
        <v>80.7</v>
      </c>
      <c r="AE1026" s="89" t="n">
        <v>94.1292</v>
      </c>
      <c r="AF1026" s="89" t="n">
        <v>97.96517</v>
      </c>
      <c r="AG1026" s="89" t="n">
        <v>118.4639</v>
      </c>
      <c r="AH1026" s="89" t="n">
        <v>90.81886</v>
      </c>
      <c r="AI1026" s="89" t="n">
        <v>59.2</v>
      </c>
      <c r="AJ1026" s="89" t="n">
        <v>130.3386</v>
      </c>
      <c r="AK1026" s="89" t="n">
        <v>54.50909</v>
      </c>
      <c r="AL1026" s="89" t="n">
        <v>85.31796</v>
      </c>
      <c r="AM1026" s="89" t="n">
        <v>106.8</v>
      </c>
      <c r="AN1026" s="89" t="n"/>
      <c r="AO1026" s="89" t="n">
        <v>92.58985</v>
      </c>
      <c r="AP1026" s="89" t="n">
        <v>97.88368</v>
      </c>
      <c r="AQ1026" s="89" t="n"/>
      <c r="AR1026" s="89" t="n"/>
      <c r="AS1026" s="89" t="n"/>
      <c r="AT1026" s="89" t="n">
        <v>53.63792</v>
      </c>
      <c r="AU1026" s="89" t="n"/>
      <c r="AV1026" s="89" t="n">
        <v>72.19105999999999</v>
      </c>
      <c r="AW1026" s="89" t="n"/>
      <c r="AX1026" s="89" t="n">
        <v>53.59554</v>
      </c>
      <c r="AY1026" s="89" t="n">
        <v>94.57747999999999</v>
      </c>
    </row>
    <row r="1027">
      <c r="A1027" t="inlineStr">
        <is>
          <t>2004-06</t>
        </is>
      </c>
      <c r="B1027" s="1" t="n">
        <v>38139</v>
      </c>
      <c r="C1027" s="88" t="n">
        <v>1027</v>
      </c>
      <c r="E1027" s="1">
        <f>B1027</f>
        <v/>
      </c>
      <c r="F1027" s="2">
        <f>B1027</f>
        <v/>
      </c>
      <c r="G1027" s="88" t="n">
        <v>1025</v>
      </c>
      <c r="H1027" s="89" t="n"/>
      <c r="I1027" s="89" t="n"/>
      <c r="J1027" s="89" t="n">
        <v>80.69328</v>
      </c>
      <c r="K1027" s="89" t="n">
        <v>98.2953</v>
      </c>
      <c r="L1027" s="89" t="n"/>
      <c r="M1027" s="89" t="n">
        <v>76.48725</v>
      </c>
      <c r="N1027" s="89" t="n">
        <v>82.69311</v>
      </c>
      <c r="O1027" s="89" t="n">
        <v>114.3</v>
      </c>
      <c r="P1027" s="89" t="n">
        <v>126.7481</v>
      </c>
      <c r="Q1027" s="89" t="n"/>
      <c r="R1027" s="89" t="n">
        <v>108.4</v>
      </c>
      <c r="S1027" s="89" t="n">
        <v>110.5909</v>
      </c>
      <c r="T1027" s="89" t="n">
        <v>108.6001</v>
      </c>
      <c r="U1027" s="89" t="n">
        <v>144.2317</v>
      </c>
      <c r="V1027" s="89" t="n">
        <v>71.20593</v>
      </c>
      <c r="W1027" s="89" t="n">
        <v>57.20506</v>
      </c>
      <c r="X1027" s="89" t="n">
        <v>38.5275</v>
      </c>
      <c r="Y1027" s="89" t="n">
        <v>70.25761</v>
      </c>
      <c r="Z1027" s="89" t="n">
        <v>122.8898</v>
      </c>
      <c r="AA1027" s="89" t="n">
        <v>107.8186</v>
      </c>
      <c r="AB1027" s="89" t="n">
        <v>61.74886</v>
      </c>
      <c r="AC1027" s="89" t="n">
        <v>115.8903</v>
      </c>
      <c r="AD1027" s="89" t="n">
        <v>80</v>
      </c>
      <c r="AE1027" s="89" t="n">
        <v>94.23952</v>
      </c>
      <c r="AF1027" s="89" t="n">
        <v>98.06353</v>
      </c>
      <c r="AG1027" s="89" t="n">
        <v>125.6788</v>
      </c>
      <c r="AH1027" s="89" t="n">
        <v>90.63746</v>
      </c>
      <c r="AI1027" s="89" t="n">
        <v>58.6</v>
      </c>
      <c r="AJ1027" s="89" t="n">
        <v>129.9669</v>
      </c>
      <c r="AK1027" s="89" t="n">
        <v>53.00883</v>
      </c>
      <c r="AL1027" s="89" t="n">
        <v>86.34475999999999</v>
      </c>
      <c r="AM1027" s="89" t="n">
        <v>106.5</v>
      </c>
      <c r="AN1027" s="89" t="n"/>
      <c r="AO1027" s="89" t="n">
        <v>91.82653999999999</v>
      </c>
      <c r="AP1027" s="89" t="n">
        <v>97.88368</v>
      </c>
      <c r="AQ1027" s="89" t="n"/>
      <c r="AR1027" s="89" t="n"/>
      <c r="AS1027" s="89" t="n"/>
      <c r="AT1027" s="89" t="n">
        <v>53.72165</v>
      </c>
      <c r="AU1027" s="89" t="n"/>
      <c r="AV1027" s="89" t="n">
        <v>72.78255</v>
      </c>
      <c r="AW1027" s="89" t="n"/>
      <c r="AX1027" s="89" t="n">
        <v>53.09558</v>
      </c>
      <c r="AY1027" s="89" t="n">
        <v>94.79769</v>
      </c>
    </row>
    <row r="1028">
      <c r="A1028" t="inlineStr">
        <is>
          <t>2004-07</t>
        </is>
      </c>
      <c r="B1028" s="1" t="n">
        <v>38169</v>
      </c>
      <c r="C1028" s="88" t="n">
        <v>1028</v>
      </c>
      <c r="E1028" s="1">
        <f>B1028</f>
        <v/>
      </c>
      <c r="F1028" s="2">
        <f>B1028</f>
        <v/>
      </c>
      <c r="G1028" s="88" t="n">
        <v>1026</v>
      </c>
      <c r="H1028" s="89" t="n"/>
      <c r="I1028" s="89" t="n"/>
      <c r="J1028" s="89" t="n">
        <v>82.59312</v>
      </c>
      <c r="K1028" s="89" t="n">
        <v>97.63048000000001</v>
      </c>
      <c r="L1028" s="89" t="n"/>
      <c r="M1028" s="89" t="n">
        <v>77.68705</v>
      </c>
      <c r="N1028" s="89" t="n">
        <v>83.69302</v>
      </c>
      <c r="O1028" s="89" t="n">
        <v>111.9</v>
      </c>
      <c r="P1028" s="89" t="n">
        <v>126.7381</v>
      </c>
      <c r="Q1028" s="89" t="n"/>
      <c r="R1028" s="89" t="n">
        <v>105.1</v>
      </c>
      <c r="S1028" s="89" t="n">
        <v>111.0409</v>
      </c>
      <c r="T1028" s="89" t="n">
        <v>106.8351</v>
      </c>
      <c r="U1028" s="89" t="n">
        <v>146.6289</v>
      </c>
      <c r="V1028" s="89" t="n">
        <v>71.00592</v>
      </c>
      <c r="W1028" s="89" t="n">
        <v>63.62058</v>
      </c>
      <c r="X1028" s="89" t="n">
        <v>37.90901</v>
      </c>
      <c r="Y1028" s="89" t="n">
        <v>69.22717</v>
      </c>
      <c r="Z1028" s="89" t="n">
        <v>123.0897</v>
      </c>
      <c r="AA1028" s="89" t="n">
        <v>109.3402</v>
      </c>
      <c r="AB1028" s="89" t="n">
        <v>61.07491</v>
      </c>
      <c r="AC1028" s="89" t="n">
        <v>112.2906</v>
      </c>
      <c r="AD1028" s="89" t="n">
        <v>80.8</v>
      </c>
      <c r="AE1028" s="89" t="n">
        <v>94.05959</v>
      </c>
      <c r="AF1028" s="89" t="n">
        <v>100.4241</v>
      </c>
      <c r="AG1028" s="89" t="n">
        <v>115.4383</v>
      </c>
      <c r="AH1028" s="89" t="n">
        <v>91.07914</v>
      </c>
      <c r="AI1028" s="89" t="n">
        <v>58.5</v>
      </c>
      <c r="AJ1028" s="89" t="n">
        <v>129.5952</v>
      </c>
      <c r="AK1028" s="89" t="n">
        <v>52.8088</v>
      </c>
      <c r="AL1028" s="89" t="n">
        <v>86.81149000000001</v>
      </c>
      <c r="AM1028" s="89" t="n">
        <v>105.1</v>
      </c>
      <c r="AN1028" s="89" t="n"/>
      <c r="AO1028" s="89" t="n">
        <v>92.53404999999999</v>
      </c>
      <c r="AP1028" s="89" t="n">
        <v>98.68356</v>
      </c>
      <c r="AQ1028" s="89" t="n"/>
      <c r="AR1028" s="89" t="n"/>
      <c r="AS1028" s="89" t="n"/>
      <c r="AT1028" s="89" t="n">
        <v>55.46298</v>
      </c>
      <c r="AU1028" s="89" t="n"/>
      <c r="AV1028" s="89" t="n">
        <v>72.61002000000001</v>
      </c>
      <c r="AW1028" s="89" t="n"/>
      <c r="AX1028" s="89" t="n">
        <v>53.89551</v>
      </c>
      <c r="AY1028" s="89" t="n">
        <v>95.45829999999999</v>
      </c>
    </row>
    <row r="1029">
      <c r="A1029" t="inlineStr">
        <is>
          <t>2004-08</t>
        </is>
      </c>
      <c r="B1029" s="1" t="n">
        <v>38200</v>
      </c>
      <c r="C1029" s="88" t="n">
        <v>1029</v>
      </c>
      <c r="E1029" s="1">
        <f>B1029</f>
        <v/>
      </c>
      <c r="F1029" s="2">
        <f>B1029</f>
        <v/>
      </c>
      <c r="G1029" s="88" t="n">
        <v>1027</v>
      </c>
      <c r="H1029" s="89" t="n"/>
      <c r="I1029" s="89" t="n"/>
      <c r="J1029" s="89" t="n">
        <v>80.49329</v>
      </c>
      <c r="K1029" s="89" t="n">
        <v>98.15672000000001</v>
      </c>
      <c r="L1029" s="89" t="n"/>
      <c r="M1029" s="89" t="n">
        <v>77.78703</v>
      </c>
      <c r="N1029" s="89" t="n">
        <v>82.89309</v>
      </c>
      <c r="O1029" s="89" t="n">
        <v>111.5</v>
      </c>
      <c r="P1029" s="89" t="n">
        <v>124.8621</v>
      </c>
      <c r="Q1029" s="89" t="n"/>
      <c r="R1029" s="89" t="n">
        <v>108.1</v>
      </c>
      <c r="S1029" s="89" t="n">
        <v>107.1109</v>
      </c>
      <c r="T1029" s="89" t="n">
        <v>106.6274</v>
      </c>
      <c r="U1029" s="89" t="n">
        <v>135.6418</v>
      </c>
      <c r="V1029" s="89" t="n">
        <v>70.80589999999999</v>
      </c>
      <c r="W1029" s="89" t="n">
        <v>50.96775</v>
      </c>
      <c r="X1029" s="89" t="n">
        <v>37.47639</v>
      </c>
      <c r="Y1029" s="89" t="n">
        <v>70.726</v>
      </c>
      <c r="Z1029" s="89" t="n">
        <v>120.59</v>
      </c>
      <c r="AA1029" s="89" t="n">
        <v>107.8186</v>
      </c>
      <c r="AB1029" s="89" t="n">
        <v>61.90784</v>
      </c>
      <c r="AC1029" s="89" t="n">
        <v>111.0907</v>
      </c>
      <c r="AD1029" s="89" t="n">
        <v>79.7</v>
      </c>
      <c r="AE1029" s="89" t="n">
        <v>93.92982000000001</v>
      </c>
      <c r="AF1029" s="89" t="n">
        <v>96.78487</v>
      </c>
      <c r="AG1029" s="89" t="n">
        <v>106.0124</v>
      </c>
      <c r="AH1029" s="89" t="n">
        <v>90.35314</v>
      </c>
      <c r="AI1029" s="89" t="n">
        <v>58.8</v>
      </c>
      <c r="AJ1029" s="89" t="n">
        <v>124.0199</v>
      </c>
      <c r="AK1029" s="89" t="n">
        <v>53.4089</v>
      </c>
      <c r="AL1029" s="89" t="n">
        <v>87.6516</v>
      </c>
      <c r="AM1029" s="89" t="n">
        <v>108.1</v>
      </c>
      <c r="AN1029" s="89" t="n"/>
      <c r="AO1029" s="89" t="n">
        <v>92.60223999999999</v>
      </c>
      <c r="AP1029" s="89" t="n">
        <v>96.68388</v>
      </c>
      <c r="AQ1029" s="89" t="n"/>
      <c r="AR1029" s="89" t="n"/>
      <c r="AS1029" s="89" t="n"/>
      <c r="AT1029" s="89" t="n">
        <v>55.80923</v>
      </c>
      <c r="AU1029" s="89" t="n"/>
      <c r="AV1029" s="89" t="n">
        <v>74.13594000000001</v>
      </c>
      <c r="AW1029" s="89" t="n"/>
      <c r="AX1029" s="89" t="n">
        <v>53.49554</v>
      </c>
      <c r="AY1029" s="89" t="n">
        <v>96.44922</v>
      </c>
    </row>
    <row r="1030">
      <c r="A1030" t="inlineStr">
        <is>
          <t>2004-09</t>
        </is>
      </c>
      <c r="B1030" s="1" t="n">
        <v>38231</v>
      </c>
      <c r="C1030" s="88" t="n">
        <v>1030</v>
      </c>
      <c r="E1030" s="1">
        <f>B1030</f>
        <v/>
      </c>
      <c r="F1030" s="2">
        <f>B1030</f>
        <v/>
      </c>
      <c r="G1030" s="88" t="n">
        <v>1028</v>
      </c>
      <c r="H1030" s="89" t="n"/>
      <c r="I1030" s="89" t="n"/>
      <c r="J1030" s="89" t="n">
        <v>82.29313999999999</v>
      </c>
      <c r="K1030" s="89" t="n">
        <v>98.65192</v>
      </c>
      <c r="L1030" s="89" t="n"/>
      <c r="M1030" s="89" t="n">
        <v>77.48708000000001</v>
      </c>
      <c r="N1030" s="89" t="n">
        <v>82.69311</v>
      </c>
      <c r="O1030" s="89" t="n">
        <v>112.1</v>
      </c>
      <c r="P1030" s="89" t="n">
        <v>127.0911</v>
      </c>
      <c r="Q1030" s="89" t="n"/>
      <c r="R1030" s="89" t="n">
        <v>107.7</v>
      </c>
      <c r="S1030" s="89" t="n">
        <v>110.8609</v>
      </c>
      <c r="T1030" s="89" t="n">
        <v>107.1466</v>
      </c>
      <c r="U1030" s="89" t="n">
        <v>144.7311</v>
      </c>
      <c r="V1030" s="89" t="n">
        <v>71.20593</v>
      </c>
      <c r="W1030" s="89" t="n">
        <v>57.08625</v>
      </c>
      <c r="X1030" s="89" t="n">
        <v>38.07981</v>
      </c>
      <c r="Y1030" s="89" t="n">
        <v>70.25761</v>
      </c>
      <c r="Z1030" s="89" t="n">
        <v>122.2898</v>
      </c>
      <c r="AA1030" s="89" t="n">
        <v>108.1446</v>
      </c>
      <c r="AB1030" s="89" t="n">
        <v>63.40972</v>
      </c>
      <c r="AC1030" s="89" t="n">
        <v>112.2906</v>
      </c>
      <c r="AD1030" s="89" t="n">
        <v>81.40000000000001</v>
      </c>
      <c r="AE1030" s="89" t="n">
        <v>94.47748</v>
      </c>
      <c r="AF1030" s="89" t="n">
        <v>99.04712000000001</v>
      </c>
      <c r="AG1030" s="89" t="n">
        <v>114.8565</v>
      </c>
      <c r="AH1030" s="89" t="n">
        <v>90.96996</v>
      </c>
      <c r="AI1030" s="89" t="n">
        <v>59</v>
      </c>
      <c r="AJ1030" s="89" t="n">
        <v>123.2765</v>
      </c>
      <c r="AK1030" s="89" t="n">
        <v>53.60894</v>
      </c>
      <c r="AL1030" s="89" t="n">
        <v>87.74494</v>
      </c>
      <c r="AM1030" s="89" t="n">
        <v>108.6</v>
      </c>
      <c r="AN1030" s="89" t="n"/>
      <c r="AO1030" s="89" t="n">
        <v>92.68024</v>
      </c>
      <c r="AP1030" s="89" t="n">
        <v>98.08365999999999</v>
      </c>
      <c r="AQ1030" s="89" t="n"/>
      <c r="AR1030" s="89" t="n"/>
      <c r="AS1030" s="89" t="n"/>
      <c r="AT1030" s="89" t="n">
        <v>56.72507</v>
      </c>
      <c r="AU1030" s="89" t="n"/>
      <c r="AV1030" s="89" t="n">
        <v>72.38254999999999</v>
      </c>
      <c r="AW1030" s="89" t="n"/>
      <c r="AX1030" s="89" t="n">
        <v>52.39563</v>
      </c>
      <c r="AY1030" s="89" t="n">
        <v>97.10983</v>
      </c>
    </row>
    <row r="1031">
      <c r="A1031" t="inlineStr">
        <is>
          <t>2004-10</t>
        </is>
      </c>
      <c r="B1031" s="1" t="n">
        <v>38261</v>
      </c>
      <c r="C1031" s="88" t="n">
        <v>1031</v>
      </c>
      <c r="E1031" s="1">
        <f>B1031</f>
        <v/>
      </c>
      <c r="F1031" s="2">
        <f>B1031</f>
        <v/>
      </c>
      <c r="G1031" s="88" t="n">
        <v>1029</v>
      </c>
      <c r="H1031" s="89" t="n"/>
      <c r="I1031" s="89" t="n"/>
      <c r="J1031" s="89" t="n">
        <v>84.39297000000001</v>
      </c>
      <c r="K1031" s="89" t="n">
        <v>98.55774</v>
      </c>
      <c r="L1031" s="89" t="n"/>
      <c r="M1031" s="89" t="n">
        <v>78.28695</v>
      </c>
      <c r="N1031" s="89" t="n">
        <v>83.69302</v>
      </c>
      <c r="O1031" s="89" t="n">
        <v>110.3</v>
      </c>
      <c r="P1031" s="89" t="n">
        <v>125.9111</v>
      </c>
      <c r="Q1031" s="89" t="n"/>
      <c r="R1031" s="89" t="n">
        <v>108</v>
      </c>
      <c r="S1031" s="89" t="n">
        <v>111.6809</v>
      </c>
      <c r="T1031" s="89" t="n">
        <v>107.5619</v>
      </c>
      <c r="U1031" s="89" t="n">
        <v>138.5384</v>
      </c>
      <c r="V1031" s="89" t="n">
        <v>72.80607000000001</v>
      </c>
      <c r="W1031" s="89" t="n">
        <v>57.56148</v>
      </c>
      <c r="X1031" s="89" t="n">
        <v>38.9861</v>
      </c>
      <c r="Y1031" s="89" t="n">
        <v>73.81733</v>
      </c>
      <c r="Z1031" s="89" t="n">
        <v>123.1897</v>
      </c>
      <c r="AA1031" s="89" t="n">
        <v>106.0796</v>
      </c>
      <c r="AB1031" s="89" t="n">
        <v>62.74477</v>
      </c>
      <c r="AC1031" s="89" t="n">
        <v>110.7908</v>
      </c>
      <c r="AD1031" s="89" t="n">
        <v>80.8</v>
      </c>
      <c r="AE1031" s="89" t="n">
        <v>95.15325</v>
      </c>
      <c r="AF1031" s="89" t="n">
        <v>98.26025</v>
      </c>
      <c r="AG1031" s="89" t="n">
        <v>119.8604</v>
      </c>
      <c r="AH1031" s="89" t="n">
        <v>91.17867</v>
      </c>
      <c r="AI1031" s="89" t="n">
        <v>59.7</v>
      </c>
      <c r="AJ1031" s="89" t="n">
        <v>125.7544</v>
      </c>
      <c r="AK1031" s="89" t="n">
        <v>54.30905</v>
      </c>
      <c r="AL1031" s="89" t="n">
        <v>87.37156</v>
      </c>
      <c r="AM1031" s="89" t="n">
        <v>108.3</v>
      </c>
      <c r="AN1031" s="89" t="n"/>
      <c r="AO1031" s="89" t="n">
        <v>93.56265999999999</v>
      </c>
      <c r="AP1031" s="89" t="n">
        <v>98.58356999999999</v>
      </c>
      <c r="AQ1031" s="89" t="n"/>
      <c r="AR1031" s="89" t="n"/>
      <c r="AS1031" s="89" t="n"/>
      <c r="AT1031" s="89" t="n">
        <v>56.8927</v>
      </c>
      <c r="AU1031" s="89" t="n"/>
      <c r="AV1031" s="89" t="n">
        <v>72.74412</v>
      </c>
      <c r="AW1031" s="89" t="n"/>
      <c r="AX1031" s="89" t="n">
        <v>50.59578</v>
      </c>
      <c r="AY1031" s="89" t="n">
        <v>96.44922</v>
      </c>
    </row>
    <row r="1032">
      <c r="A1032" t="inlineStr">
        <is>
          <t>2004-11</t>
        </is>
      </c>
      <c r="B1032" s="1" t="n">
        <v>38292</v>
      </c>
      <c r="C1032" s="88" t="n">
        <v>1032</v>
      </c>
      <c r="E1032" s="1">
        <f>B1032</f>
        <v/>
      </c>
      <c r="F1032" s="2">
        <f>B1032</f>
        <v/>
      </c>
      <c r="G1032" s="88" t="n">
        <v>1030</v>
      </c>
      <c r="H1032" s="89" t="n"/>
      <c r="I1032" s="89" t="n"/>
      <c r="J1032" s="89" t="n">
        <v>83.59303</v>
      </c>
      <c r="K1032" s="89" t="n">
        <v>98.56844</v>
      </c>
      <c r="L1032" s="89" t="n"/>
      <c r="M1032" s="89" t="n">
        <v>78.38693000000001</v>
      </c>
      <c r="N1032" s="89" t="n">
        <v>82.29313999999999</v>
      </c>
      <c r="O1032" s="89" t="n">
        <v>112.8</v>
      </c>
      <c r="P1032" s="89" t="n">
        <v>126.9421</v>
      </c>
      <c r="Q1032" s="89" t="n"/>
      <c r="R1032" s="89" t="n">
        <v>106.6</v>
      </c>
      <c r="S1032" s="89" t="n">
        <v>109.8209</v>
      </c>
      <c r="T1032" s="89" t="n">
        <v>108.081</v>
      </c>
      <c r="U1032" s="89" t="n">
        <v>143.6324</v>
      </c>
      <c r="V1032" s="89" t="n">
        <v>73.20610000000001</v>
      </c>
      <c r="W1032" s="89" t="n">
        <v>56.90805</v>
      </c>
      <c r="X1032" s="89" t="n">
        <v>39.35255</v>
      </c>
      <c r="Y1032" s="89" t="n">
        <v>71.1007</v>
      </c>
      <c r="Z1032" s="89" t="n">
        <v>121.2899</v>
      </c>
      <c r="AA1032" s="89" t="n">
        <v>107.3838</v>
      </c>
      <c r="AB1032" s="89" t="n">
        <v>63.6277</v>
      </c>
      <c r="AC1032" s="89" t="n">
        <v>111.9907</v>
      </c>
      <c r="AD1032" s="89" t="n">
        <v>81.3</v>
      </c>
      <c r="AE1032" s="89" t="n">
        <v>95.2719</v>
      </c>
      <c r="AF1032" s="89" t="n">
        <v>97.86681</v>
      </c>
      <c r="AG1032" s="89" t="n">
        <v>116.7184</v>
      </c>
      <c r="AH1032" s="89" t="n">
        <v>91.24921999999999</v>
      </c>
      <c r="AI1032" s="89" t="n">
        <v>60.2</v>
      </c>
      <c r="AJ1032" s="89" t="n">
        <v>127.8607</v>
      </c>
      <c r="AK1032" s="89" t="n">
        <v>52.2087</v>
      </c>
      <c r="AL1032" s="89" t="n">
        <v>87.09152</v>
      </c>
      <c r="AM1032" s="89" t="n">
        <v>108.9</v>
      </c>
      <c r="AN1032" s="89" t="n"/>
      <c r="AO1032" s="89" t="n">
        <v>93.75888999999999</v>
      </c>
      <c r="AP1032" s="89" t="n">
        <v>97.48375</v>
      </c>
      <c r="AQ1032" s="89" t="n"/>
      <c r="AR1032" s="89" t="n"/>
      <c r="AS1032" s="89" t="n"/>
      <c r="AT1032" s="89" t="n">
        <v>56.81532</v>
      </c>
      <c r="AU1032" s="89" t="n"/>
      <c r="AV1032" s="89" t="n">
        <v>74.04949999999999</v>
      </c>
      <c r="AW1032" s="89" t="n"/>
      <c r="AX1032" s="89" t="n">
        <v>50.89576</v>
      </c>
      <c r="AY1032" s="89" t="n">
        <v>96.22901</v>
      </c>
    </row>
    <row r="1033">
      <c r="A1033" t="inlineStr">
        <is>
          <t>2004-12</t>
        </is>
      </c>
      <c r="B1033" s="1" t="n">
        <v>38322</v>
      </c>
      <c r="C1033" s="88" t="n">
        <v>1033</v>
      </c>
      <c r="E1033" s="1">
        <f>B1033</f>
        <v/>
      </c>
      <c r="F1033" s="2">
        <f>B1033</f>
        <v/>
      </c>
      <c r="G1033" s="88" t="n">
        <v>1031</v>
      </c>
      <c r="H1033" s="89" t="n"/>
      <c r="I1033" s="89" t="n"/>
      <c r="J1033" s="89" t="n">
        <v>83.79301</v>
      </c>
      <c r="K1033" s="89" t="n">
        <v>98.62275</v>
      </c>
      <c r="L1033" s="89" t="n"/>
      <c r="M1033" s="89" t="n">
        <v>77.58707</v>
      </c>
      <c r="N1033" s="89" t="n">
        <v>81.89317</v>
      </c>
      <c r="O1033" s="89" t="n">
        <v>111.3</v>
      </c>
      <c r="P1033" s="89" t="n">
        <v>124.3641</v>
      </c>
      <c r="Q1033" s="89" t="n"/>
      <c r="R1033" s="89" t="n">
        <v>111.6</v>
      </c>
      <c r="S1033" s="89" t="n">
        <v>110.0509</v>
      </c>
      <c r="T1033" s="89" t="n">
        <v>108.081</v>
      </c>
      <c r="U1033" s="89" t="n">
        <v>141.9344</v>
      </c>
      <c r="V1033" s="89" t="n">
        <v>71.10593</v>
      </c>
      <c r="W1033" s="89" t="n">
        <v>58.92775</v>
      </c>
      <c r="X1033" s="89" t="n">
        <v>40.11208</v>
      </c>
      <c r="Y1033" s="89" t="n">
        <v>69.60187999999999</v>
      </c>
      <c r="Z1033" s="89" t="n">
        <v>120.39</v>
      </c>
      <c r="AA1033" s="89" t="n">
        <v>105.9709</v>
      </c>
      <c r="AB1033" s="89" t="n">
        <v>63.02175</v>
      </c>
      <c r="AC1033" s="89" t="n">
        <v>110.0908</v>
      </c>
      <c r="AD1033" s="89" t="n">
        <v>81.5</v>
      </c>
      <c r="AE1033" s="89" t="n">
        <v>94.80398</v>
      </c>
      <c r="AF1033" s="89" t="n">
        <v>97.76846</v>
      </c>
      <c r="AG1033" s="89" t="n">
        <v>113.1109</v>
      </c>
      <c r="AH1033" s="89" t="n">
        <v>91.01969</v>
      </c>
      <c r="AI1033" s="89" t="n">
        <v>57.8</v>
      </c>
      <c r="AJ1033" s="89" t="n">
        <v>126.3739</v>
      </c>
      <c r="AK1033" s="89" t="n">
        <v>59.60994</v>
      </c>
      <c r="AL1033" s="89" t="n">
        <v>86.34475999999999</v>
      </c>
      <c r="AM1033" s="89" t="n">
        <v>105.2</v>
      </c>
      <c r="AN1033" s="89" t="n"/>
      <c r="AO1033" s="89" t="n">
        <v>94.44862999999999</v>
      </c>
      <c r="AP1033" s="89" t="n">
        <v>97.48375</v>
      </c>
      <c r="AQ1033" s="89" t="n"/>
      <c r="AR1033" s="89" t="n"/>
      <c r="AS1033" s="89" t="n"/>
      <c r="AT1033" s="89" t="n">
        <v>57.2272</v>
      </c>
      <c r="AU1033" s="89" t="n"/>
      <c r="AV1033" s="89" t="n">
        <v>74.53082000000001</v>
      </c>
      <c r="AW1033" s="89" t="n"/>
      <c r="AX1033" s="89" t="n">
        <v>51.79568</v>
      </c>
      <c r="AY1033" s="89" t="n">
        <v>97.21992</v>
      </c>
    </row>
    <row r="1034">
      <c r="A1034" t="inlineStr">
        <is>
          <t>2005-01</t>
        </is>
      </c>
      <c r="B1034" s="1" t="n">
        <v>38353</v>
      </c>
      <c r="C1034" s="88" t="n">
        <v>1034</v>
      </c>
      <c r="E1034" s="1">
        <f>B1034</f>
        <v/>
      </c>
      <c r="F1034" s="2">
        <f>B1034</f>
        <v/>
      </c>
      <c r="G1034" s="88" t="n">
        <v>1032</v>
      </c>
      <c r="H1034" s="89" t="n"/>
      <c r="I1034" s="89" t="n"/>
      <c r="J1034" s="89" t="n">
        <v>85.39288000000001</v>
      </c>
      <c r="K1034" s="89" t="n">
        <v>99.89058</v>
      </c>
      <c r="L1034" s="89" t="n"/>
      <c r="M1034" s="89" t="n">
        <v>77.28712</v>
      </c>
      <c r="N1034" s="89" t="n">
        <v>84.39297000000001</v>
      </c>
      <c r="O1034" s="89" t="n">
        <v>113.7</v>
      </c>
      <c r="P1034" s="89" t="n">
        <v>124.8571</v>
      </c>
      <c r="Q1034" s="89" t="n"/>
      <c r="R1034" s="89" t="n">
        <v>105.9</v>
      </c>
      <c r="S1034" s="89" t="n">
        <v>111.8709</v>
      </c>
      <c r="T1034" s="89" t="n">
        <v>107.458</v>
      </c>
      <c r="U1034" s="89" t="n">
        <v>143.133</v>
      </c>
      <c r="V1034" s="89" t="n">
        <v>72.70605999999999</v>
      </c>
      <c r="W1034" s="89" t="n">
        <v>57.50208</v>
      </c>
      <c r="X1034" s="89" t="n">
        <v>39.81207</v>
      </c>
      <c r="Y1034" s="89" t="n">
        <v>73.25527</v>
      </c>
      <c r="Z1034" s="89" t="n">
        <v>120.39</v>
      </c>
      <c r="AA1034" s="89" t="n">
        <v>108.4707</v>
      </c>
      <c r="AB1034" s="89" t="n">
        <v>64.58960999999999</v>
      </c>
      <c r="AC1034" s="89" t="n">
        <v>112.5906</v>
      </c>
      <c r="AD1034" s="89" t="n">
        <v>81.90000000000001</v>
      </c>
      <c r="AE1034" s="89" t="n">
        <v>95.98582</v>
      </c>
      <c r="AF1034" s="89" t="n">
        <v>96.39197</v>
      </c>
      <c r="AG1034" s="89" t="n">
        <v>112.7618</v>
      </c>
      <c r="AH1034" s="89" t="n">
        <v>92.23435000000001</v>
      </c>
      <c r="AI1034" s="89" t="n">
        <v>60.4</v>
      </c>
      <c r="AJ1034" s="89" t="n">
        <v>125.6905</v>
      </c>
      <c r="AK1034" s="89" t="n">
        <v>52.30872</v>
      </c>
      <c r="AL1034" s="89" t="n">
        <v>88.00733</v>
      </c>
      <c r="AM1034" s="89" t="n">
        <v>105.3</v>
      </c>
      <c r="AN1034" s="89" t="n"/>
      <c r="AO1034" s="89" t="n">
        <v>94.88345</v>
      </c>
      <c r="AP1034" s="89" t="n">
        <v>98.28362</v>
      </c>
      <c r="AQ1034" s="89" t="n"/>
      <c r="AR1034" s="89" t="n"/>
      <c r="AS1034" s="89" t="n"/>
      <c r="AT1034" s="89" t="n">
        <v>57.19193</v>
      </c>
      <c r="AU1034" s="89" t="n"/>
      <c r="AV1034" s="89" t="n">
        <v>73.56052</v>
      </c>
      <c r="AW1034" s="89" t="n"/>
      <c r="AX1034" s="89" t="n">
        <v>60.19498</v>
      </c>
      <c r="AY1034" s="89" t="n">
        <v>97.66034000000001</v>
      </c>
    </row>
    <row r="1035">
      <c r="A1035" t="inlineStr">
        <is>
          <t>2005-02</t>
        </is>
      </c>
      <c r="B1035" s="1" t="n">
        <v>38384</v>
      </c>
      <c r="C1035" s="88" t="n">
        <v>1035</v>
      </c>
      <c r="E1035" s="1">
        <f>B1035</f>
        <v/>
      </c>
      <c r="F1035" s="2">
        <f>B1035</f>
        <v/>
      </c>
      <c r="G1035" s="88" t="n">
        <v>1033</v>
      </c>
      <c r="H1035" s="89" t="n"/>
      <c r="I1035" s="89" t="n"/>
      <c r="J1035" s="89" t="n">
        <v>82.99308000000001</v>
      </c>
      <c r="K1035" s="89" t="n">
        <v>98.88226</v>
      </c>
      <c r="L1035" s="89" t="n"/>
      <c r="M1035" s="89" t="n">
        <v>77.28712</v>
      </c>
      <c r="N1035" s="89" t="n">
        <v>83.09308</v>
      </c>
      <c r="O1035" s="89" t="n">
        <v>113</v>
      </c>
      <c r="P1035" s="89" t="n">
        <v>125.5811</v>
      </c>
      <c r="Q1035" s="89" t="n"/>
      <c r="R1035" s="89" t="n">
        <v>104.9</v>
      </c>
      <c r="S1035" s="89" t="n">
        <v>110.5709</v>
      </c>
      <c r="T1035" s="89" t="n">
        <v>107.6657</v>
      </c>
      <c r="U1035" s="89" t="n">
        <v>142.7335</v>
      </c>
      <c r="V1035" s="89" t="n">
        <v>72.006</v>
      </c>
      <c r="W1035" s="89" t="n">
        <v>59.28416</v>
      </c>
      <c r="X1035" s="89" t="n">
        <v>39.06887</v>
      </c>
      <c r="Y1035" s="89" t="n">
        <v>73.06792</v>
      </c>
      <c r="Z1035" s="89" t="n">
        <v>120.9899</v>
      </c>
      <c r="AA1035" s="89" t="n">
        <v>108.4707</v>
      </c>
      <c r="AB1035" s="89" t="n">
        <v>63.33372</v>
      </c>
      <c r="AC1035" s="89" t="n">
        <v>106.5911</v>
      </c>
      <c r="AD1035" s="89" t="n">
        <v>82.8</v>
      </c>
      <c r="AE1035" s="89" t="n">
        <v>95.72135</v>
      </c>
      <c r="AF1035" s="89" t="n">
        <v>98.09183</v>
      </c>
      <c r="AG1035" s="89" t="n">
        <v>115.5547</v>
      </c>
      <c r="AH1035" s="89" t="n">
        <v>92.14554</v>
      </c>
      <c r="AI1035" s="89" t="n">
        <v>60.2</v>
      </c>
      <c r="AJ1035" s="89" t="n">
        <v>128.4623</v>
      </c>
      <c r="AK1035" s="89" t="n">
        <v>51.80864</v>
      </c>
      <c r="AL1035" s="89" t="n">
        <v>86.30719000000001</v>
      </c>
      <c r="AM1035" s="89" t="n">
        <v>110.2</v>
      </c>
      <c r="AN1035" s="89" t="n"/>
      <c r="AO1035" s="89" t="n">
        <v>95.53603</v>
      </c>
      <c r="AP1035" s="89" t="n">
        <v>98.08365999999999</v>
      </c>
      <c r="AQ1035" s="89" t="n"/>
      <c r="AR1035" s="89" t="n"/>
      <c r="AS1035" s="89" t="n"/>
      <c r="AT1035" s="89" t="n">
        <v>57.88836</v>
      </c>
      <c r="AU1035" s="89" t="n"/>
      <c r="AV1035" s="89" t="n">
        <v>77.66682</v>
      </c>
      <c r="AW1035" s="89" t="n"/>
      <c r="AX1035" s="89" t="n">
        <v>57.69519</v>
      </c>
      <c r="AY1035" s="89" t="n">
        <v>96.22901</v>
      </c>
    </row>
    <row r="1036">
      <c r="A1036" t="inlineStr">
        <is>
          <t>2005-03</t>
        </is>
      </c>
      <c r="B1036" s="1" t="n">
        <v>38412</v>
      </c>
      <c r="C1036" s="88" t="n">
        <v>1036</v>
      </c>
      <c r="E1036" s="1">
        <f>B1036</f>
        <v/>
      </c>
      <c r="F1036" s="2">
        <f>B1036</f>
        <v/>
      </c>
      <c r="G1036" s="88" t="n">
        <v>1034</v>
      </c>
      <c r="H1036" s="89" t="n"/>
      <c r="I1036" s="89" t="n"/>
      <c r="J1036" s="89" t="n">
        <v>83.29306</v>
      </c>
      <c r="K1036" s="89" t="n">
        <v>97.85333</v>
      </c>
      <c r="L1036" s="89" t="n"/>
      <c r="M1036" s="89" t="n">
        <v>77.3871</v>
      </c>
      <c r="N1036" s="89" t="n">
        <v>84.19298999999999</v>
      </c>
      <c r="O1036" s="89" t="n">
        <v>117</v>
      </c>
      <c r="P1036" s="89" t="n">
        <v>126.2231</v>
      </c>
      <c r="Q1036" s="89" t="n"/>
      <c r="R1036" s="89" t="n">
        <v>105.9</v>
      </c>
      <c r="S1036" s="89" t="n">
        <v>108.1909</v>
      </c>
      <c r="T1036" s="89" t="n">
        <v>105.7969</v>
      </c>
      <c r="U1036" s="89" t="n">
        <v>138.4385</v>
      </c>
      <c r="V1036" s="89" t="n">
        <v>73.70614</v>
      </c>
      <c r="W1036" s="89" t="n">
        <v>56.96745</v>
      </c>
      <c r="X1036" s="89" t="n">
        <v>39.53672</v>
      </c>
      <c r="Y1036" s="89" t="n">
        <v>72.22481999999999</v>
      </c>
      <c r="Z1036" s="89" t="n">
        <v>121.0899</v>
      </c>
      <c r="AA1036" s="89" t="n">
        <v>108.7968</v>
      </c>
      <c r="AB1036" s="89" t="n">
        <v>65.16557</v>
      </c>
      <c r="AC1036" s="89" t="n">
        <v>108.7909</v>
      </c>
      <c r="AD1036" s="89" t="n">
        <v>83.40000000000001</v>
      </c>
      <c r="AE1036" s="89" t="n">
        <v>95.84303</v>
      </c>
      <c r="AF1036" s="89" t="n">
        <v>97.59187</v>
      </c>
      <c r="AG1036" s="89" t="n">
        <v>114.0419</v>
      </c>
      <c r="AH1036" s="89" t="n">
        <v>92.08792</v>
      </c>
      <c r="AI1036" s="89" t="n">
        <v>58.7</v>
      </c>
      <c r="AJ1036" s="89" t="n">
        <v>125.0338</v>
      </c>
      <c r="AK1036" s="89" t="n">
        <v>51.30855</v>
      </c>
      <c r="AL1036" s="89" t="n">
        <v>88.20735000000001</v>
      </c>
      <c r="AM1036" s="89" t="n">
        <v>109.9</v>
      </c>
      <c r="AN1036" s="89" t="n"/>
      <c r="AO1036" s="89" t="n">
        <v>95.38445</v>
      </c>
      <c r="AP1036" s="89" t="n">
        <v>97.98367</v>
      </c>
      <c r="AQ1036" s="89" t="n"/>
      <c r="AR1036" s="89" t="n"/>
      <c r="AS1036" s="89" t="n"/>
      <c r="AT1036" s="89" t="n">
        <v>58.82203</v>
      </c>
      <c r="AU1036" s="89" t="n"/>
      <c r="AV1036" s="89" t="n">
        <v>74.91828</v>
      </c>
      <c r="AW1036" s="89" t="n"/>
      <c r="AX1036" s="89" t="n">
        <v>57.09524</v>
      </c>
      <c r="AY1036" s="89" t="n">
        <v>97.10983</v>
      </c>
    </row>
    <row r="1037">
      <c r="A1037" t="inlineStr">
        <is>
          <t>2005-04</t>
        </is>
      </c>
      <c r="B1037" s="1" t="n">
        <v>38443</v>
      </c>
      <c r="C1037" s="88" t="n">
        <v>1037</v>
      </c>
      <c r="E1037" s="1">
        <f>B1037</f>
        <v/>
      </c>
      <c r="F1037" s="2">
        <f>B1037</f>
        <v/>
      </c>
      <c r="G1037" s="88" t="n">
        <v>1035</v>
      </c>
      <c r="H1037" s="89" t="n"/>
      <c r="I1037" s="89" t="n"/>
      <c r="J1037" s="89" t="n">
        <v>83.89301</v>
      </c>
      <c r="K1037" s="89" t="n">
        <v>99.09227</v>
      </c>
      <c r="L1037" s="89" t="n"/>
      <c r="M1037" s="89" t="n">
        <v>78.98684</v>
      </c>
      <c r="N1037" s="89" t="n">
        <v>84.79293</v>
      </c>
      <c r="O1037" s="89" t="n">
        <v>119.8</v>
      </c>
      <c r="P1037" s="89" t="n">
        <v>127.5711</v>
      </c>
      <c r="Q1037" s="89" t="n"/>
      <c r="R1037" s="89" t="n">
        <v>107.4</v>
      </c>
      <c r="S1037" s="89" t="n">
        <v>110.9609</v>
      </c>
      <c r="T1037" s="89" t="n">
        <v>107.6657</v>
      </c>
      <c r="U1037" s="89" t="n">
        <v>138.5384</v>
      </c>
      <c r="V1037" s="89" t="n">
        <v>76.40636000000001</v>
      </c>
      <c r="W1037" s="89" t="n">
        <v>59.52178</v>
      </c>
      <c r="X1037" s="89" t="n">
        <v>39.73177</v>
      </c>
      <c r="Y1037" s="89" t="n">
        <v>74.00467999999999</v>
      </c>
      <c r="Z1037" s="89" t="n">
        <v>123.4897</v>
      </c>
      <c r="AA1037" s="89" t="n">
        <v>109.2315</v>
      </c>
      <c r="AB1037" s="89" t="n">
        <v>64.47562000000001</v>
      </c>
      <c r="AC1037" s="89" t="n">
        <v>110.3908</v>
      </c>
      <c r="AD1037" s="89" t="n">
        <v>85.5</v>
      </c>
      <c r="AE1037" s="89" t="n">
        <v>96.13975000000001</v>
      </c>
      <c r="AF1037" s="89" t="n">
        <v>99.89167999999999</v>
      </c>
      <c r="AG1037" s="89" t="n">
        <v>122.5368</v>
      </c>
      <c r="AH1037" s="89" t="n">
        <v>92.96785</v>
      </c>
      <c r="AI1037" s="89" t="n">
        <v>60.7</v>
      </c>
      <c r="AJ1037" s="89" t="n">
        <v>127.6602</v>
      </c>
      <c r="AK1037" s="89" t="n">
        <v>53.10885</v>
      </c>
      <c r="AL1037" s="89" t="n">
        <v>88.70739</v>
      </c>
      <c r="AM1037" s="89" t="n">
        <v>107</v>
      </c>
      <c r="AN1037" s="89" t="n"/>
      <c r="AO1037" s="89" t="n">
        <v>95.54515000000001</v>
      </c>
      <c r="AP1037" s="89" t="n">
        <v>99.38343999999999</v>
      </c>
      <c r="AQ1037" s="89" t="n"/>
      <c r="AR1037" s="89" t="n"/>
      <c r="AS1037" s="89" t="n"/>
      <c r="AT1037" s="89" t="n">
        <v>56.3466</v>
      </c>
      <c r="AU1037" s="89" t="n"/>
      <c r="AV1037" s="89" t="n">
        <v>75.87586</v>
      </c>
      <c r="AW1037" s="89" t="n"/>
      <c r="AX1037" s="89" t="n">
        <v>57.69519</v>
      </c>
      <c r="AY1037" s="89" t="n">
        <v>97.21992</v>
      </c>
    </row>
    <row r="1038">
      <c r="A1038" t="inlineStr">
        <is>
          <t>2005-05</t>
        </is>
      </c>
      <c r="B1038" s="1" t="n">
        <v>38473</v>
      </c>
      <c r="C1038" s="88" t="n">
        <v>1038</v>
      </c>
      <c r="E1038" s="1">
        <f>B1038</f>
        <v/>
      </c>
      <c r="F1038" s="2">
        <f>B1038</f>
        <v/>
      </c>
      <c r="G1038" s="88" t="n">
        <v>1036</v>
      </c>
      <c r="H1038" s="89" t="n"/>
      <c r="I1038" s="89" t="n"/>
      <c r="J1038" s="89" t="n">
        <v>81.39322</v>
      </c>
      <c r="K1038" s="89" t="n">
        <v>99.93151</v>
      </c>
      <c r="L1038" s="89" t="n"/>
      <c r="M1038" s="89" t="n">
        <v>77.98699999999999</v>
      </c>
      <c r="N1038" s="89" t="n">
        <v>83.69302</v>
      </c>
      <c r="O1038" s="89" t="n">
        <v>117.6</v>
      </c>
      <c r="P1038" s="89" t="n">
        <v>126.3151</v>
      </c>
      <c r="Q1038" s="89" t="n"/>
      <c r="R1038" s="89" t="n">
        <v>100.3</v>
      </c>
      <c r="S1038" s="89" t="n">
        <v>109.7309</v>
      </c>
      <c r="T1038" s="89" t="n">
        <v>107.9772</v>
      </c>
      <c r="U1038" s="89" t="n">
        <v>141.5349</v>
      </c>
      <c r="V1038" s="89" t="n">
        <v>77.30643999999999</v>
      </c>
      <c r="W1038" s="89" t="n">
        <v>59.34357</v>
      </c>
      <c r="X1038" s="89" t="n">
        <v>40.6778</v>
      </c>
      <c r="Y1038" s="89" t="n">
        <v>73.5363</v>
      </c>
      <c r="Z1038" s="89" t="n">
        <v>120.7899</v>
      </c>
      <c r="AA1038" s="89" t="n">
        <v>108.362</v>
      </c>
      <c r="AB1038" s="89" t="n">
        <v>64.47462</v>
      </c>
      <c r="AC1038" s="89" t="n">
        <v>111.5907</v>
      </c>
      <c r="AD1038" s="89" t="n">
        <v>86.3</v>
      </c>
      <c r="AE1038" s="89" t="n">
        <v>97.79536</v>
      </c>
      <c r="AF1038" s="89" t="n">
        <v>98.49178999999999</v>
      </c>
      <c r="AG1038" s="89" t="n">
        <v>119.6276</v>
      </c>
      <c r="AH1038" s="89" t="n">
        <v>92.50716</v>
      </c>
      <c r="AI1038" s="89" t="n">
        <v>59.8</v>
      </c>
      <c r="AJ1038" s="89" t="n">
        <v>121.3617</v>
      </c>
      <c r="AK1038" s="89" t="n">
        <v>52.70879</v>
      </c>
      <c r="AL1038" s="89" t="n">
        <v>90.40752999999999</v>
      </c>
      <c r="AM1038" s="89" t="n">
        <v>107.5</v>
      </c>
      <c r="AN1038" s="89" t="n"/>
      <c r="AO1038" s="89" t="n">
        <v>95.66992</v>
      </c>
      <c r="AP1038" s="89" t="n">
        <v>98.08365999999999</v>
      </c>
      <c r="AQ1038" s="89" t="n"/>
      <c r="AR1038" s="89" t="n"/>
      <c r="AS1038" s="89" t="n"/>
      <c r="AT1038" s="89" t="n">
        <v>56.70428</v>
      </c>
      <c r="AU1038" s="89" t="n"/>
      <c r="AV1038" s="89" t="n">
        <v>74.17554</v>
      </c>
      <c r="AW1038" s="89" t="n"/>
      <c r="AX1038" s="89" t="n">
        <v>58.19515</v>
      </c>
      <c r="AY1038" s="89" t="n">
        <v>100.523</v>
      </c>
    </row>
    <row r="1039">
      <c r="A1039" t="inlineStr">
        <is>
          <t>2005-06</t>
        </is>
      </c>
      <c r="B1039" s="1" t="n">
        <v>38504</v>
      </c>
      <c r="C1039" s="88" t="n">
        <v>1039</v>
      </c>
      <c r="E1039" s="1">
        <f>B1039</f>
        <v/>
      </c>
      <c r="F1039" s="2">
        <f>B1039</f>
        <v/>
      </c>
      <c r="G1039" s="88" t="n">
        <v>1037</v>
      </c>
      <c r="H1039" s="89" t="n"/>
      <c r="I1039" s="89" t="n"/>
      <c r="J1039" s="89" t="n">
        <v>83.09308</v>
      </c>
      <c r="K1039" s="89" t="n">
        <v>99.27124999999999</v>
      </c>
      <c r="L1039" s="89" t="n"/>
      <c r="M1039" s="89" t="n">
        <v>79.28679</v>
      </c>
      <c r="N1039" s="89" t="n">
        <v>85.49287</v>
      </c>
      <c r="O1039" s="89" t="n">
        <v>116.8</v>
      </c>
      <c r="P1039" s="89" t="n">
        <v>126.8871</v>
      </c>
      <c r="Q1039" s="89" t="n"/>
      <c r="R1039" s="89" t="n">
        <v>97.7</v>
      </c>
      <c r="S1039" s="89" t="n">
        <v>109.6709</v>
      </c>
      <c r="T1039" s="89" t="n">
        <v>108.081</v>
      </c>
      <c r="U1039" s="89" t="n">
        <v>137.9391</v>
      </c>
      <c r="V1039" s="89" t="n">
        <v>75.6063</v>
      </c>
      <c r="W1039" s="89" t="n">
        <v>59.9376</v>
      </c>
      <c r="X1039" s="89" t="n">
        <v>41.48428</v>
      </c>
      <c r="Y1039" s="89" t="n">
        <v>73.06792</v>
      </c>
      <c r="Z1039" s="89" t="n">
        <v>120.7899</v>
      </c>
      <c r="AA1039" s="89" t="n">
        <v>108.7968</v>
      </c>
      <c r="AB1039" s="89" t="n">
        <v>65.31656</v>
      </c>
      <c r="AC1039" s="89" t="n">
        <v>113.3905</v>
      </c>
      <c r="AD1039" s="89" t="n">
        <v>87.59999999999999</v>
      </c>
      <c r="AE1039" s="89" t="n">
        <v>95.97571000000001</v>
      </c>
      <c r="AF1039" s="89" t="n">
        <v>100.6916</v>
      </c>
      <c r="AG1039" s="89" t="n">
        <v>113.9255</v>
      </c>
      <c r="AH1039" s="89" t="n">
        <v>92.91024</v>
      </c>
      <c r="AI1039" s="89" t="n">
        <v>61.1</v>
      </c>
      <c r="AJ1039" s="89" t="n">
        <v>126.2502</v>
      </c>
      <c r="AK1039" s="89" t="n">
        <v>52.8088</v>
      </c>
      <c r="AL1039" s="89" t="n">
        <v>91.40761999999999</v>
      </c>
      <c r="AM1039" s="89" t="n">
        <v>111.2</v>
      </c>
      <c r="AN1039" s="89" t="n"/>
      <c r="AO1039" s="89" t="n">
        <v>96.03682999999999</v>
      </c>
      <c r="AP1039" s="89" t="n">
        <v>98.98351</v>
      </c>
      <c r="AQ1039" s="89" t="n"/>
      <c r="AR1039" s="89" t="n"/>
      <c r="AS1039" s="89" t="n"/>
      <c r="AT1039" s="89" t="n">
        <v>57.67903</v>
      </c>
      <c r="AU1039" s="89" t="n"/>
      <c r="AV1039" s="89" t="n">
        <v>76.73408999999999</v>
      </c>
      <c r="AW1039" s="89" t="n"/>
      <c r="AX1039" s="89" t="n">
        <v>57.99517</v>
      </c>
      <c r="AY1039" s="89" t="n">
        <v>98.54115</v>
      </c>
    </row>
    <row r="1040">
      <c r="A1040" t="inlineStr">
        <is>
          <t>2005-07</t>
        </is>
      </c>
      <c r="B1040" s="1" t="n">
        <v>38534</v>
      </c>
      <c r="C1040" s="88" t="n">
        <v>1040</v>
      </c>
      <c r="E1040" s="1">
        <f>B1040</f>
        <v/>
      </c>
      <c r="F1040" s="2">
        <f>B1040</f>
        <v/>
      </c>
      <c r="G1040" s="88" t="n">
        <v>1038</v>
      </c>
      <c r="H1040" s="89" t="n"/>
      <c r="I1040" s="89" t="n"/>
      <c r="J1040" s="89" t="n">
        <v>82.19315</v>
      </c>
      <c r="K1040" s="89" t="n">
        <v>99.55857</v>
      </c>
      <c r="L1040" s="89" t="n"/>
      <c r="M1040" s="89" t="n">
        <v>79.38677</v>
      </c>
      <c r="N1040" s="89" t="n">
        <v>86.79277</v>
      </c>
      <c r="O1040" s="89" t="n">
        <v>110.5</v>
      </c>
      <c r="P1040" s="89" t="n">
        <v>127.1131</v>
      </c>
      <c r="Q1040" s="89" t="n"/>
      <c r="R1040" s="89" t="n">
        <v>105.4</v>
      </c>
      <c r="S1040" s="89" t="n">
        <v>109.3209</v>
      </c>
      <c r="T1040" s="89" t="n">
        <v>107.5619</v>
      </c>
      <c r="U1040" s="89" t="n">
        <v>138.5384</v>
      </c>
      <c r="V1040" s="89" t="n">
        <v>76.30636</v>
      </c>
      <c r="W1040" s="89" t="n">
        <v>57.79909</v>
      </c>
      <c r="X1040" s="89" t="n">
        <v>41.97353</v>
      </c>
      <c r="Y1040" s="89" t="n">
        <v>73.16159</v>
      </c>
      <c r="Z1040" s="89" t="n">
        <v>122.4898</v>
      </c>
      <c r="AA1040" s="89" t="n">
        <v>108.1446</v>
      </c>
      <c r="AB1040" s="89" t="n">
        <v>65.77152</v>
      </c>
      <c r="AC1040" s="89" t="n">
        <v>123.0897</v>
      </c>
      <c r="AD1040" s="89" t="n">
        <v>88.3</v>
      </c>
      <c r="AE1040" s="89" t="n">
        <v>94.36192</v>
      </c>
      <c r="AF1040" s="89" t="n">
        <v>98.99175</v>
      </c>
      <c r="AG1040" s="89" t="n">
        <v>113.9255</v>
      </c>
      <c r="AH1040" s="89" t="n">
        <v>92.87725</v>
      </c>
      <c r="AI1040" s="89" t="n">
        <v>61.5</v>
      </c>
      <c r="AJ1040" s="89" t="n">
        <v>123.1249</v>
      </c>
      <c r="AK1040" s="89" t="n">
        <v>54.10902</v>
      </c>
      <c r="AL1040" s="89" t="n">
        <v>94.30786000000001</v>
      </c>
      <c r="AM1040" s="89" t="n">
        <v>111.9</v>
      </c>
      <c r="AN1040" s="89" t="n"/>
      <c r="AO1040" s="89" t="n">
        <v>95.73322</v>
      </c>
      <c r="AP1040" s="89" t="n">
        <v>99.48342</v>
      </c>
      <c r="AQ1040" s="89" t="n"/>
      <c r="AR1040" s="89" t="n"/>
      <c r="AS1040" s="89" t="n"/>
      <c r="AT1040" s="89" t="n">
        <v>56.62709</v>
      </c>
      <c r="AU1040" s="89" t="n"/>
      <c r="AV1040" s="89" t="n">
        <v>76.53149000000001</v>
      </c>
      <c r="AW1040" s="89" t="n"/>
      <c r="AX1040" s="89" t="n">
        <v>59.29506</v>
      </c>
      <c r="AY1040" s="89" t="n">
        <v>97.88054</v>
      </c>
    </row>
    <row r="1041">
      <c r="A1041" t="inlineStr">
        <is>
          <t>2005-08</t>
        </is>
      </c>
      <c r="B1041" s="1" t="n">
        <v>38565</v>
      </c>
      <c r="C1041" s="88" t="n">
        <v>1041</v>
      </c>
      <c r="E1041" s="1">
        <f>B1041</f>
        <v/>
      </c>
      <c r="F1041" s="2">
        <f>B1041</f>
        <v/>
      </c>
      <c r="G1041" s="88" t="n">
        <v>1039</v>
      </c>
      <c r="H1041" s="89" t="n"/>
      <c r="I1041" s="89" t="n"/>
      <c r="J1041" s="89" t="n">
        <v>81.69319</v>
      </c>
      <c r="K1041" s="89" t="n">
        <v>100.4174</v>
      </c>
      <c r="L1041" s="89" t="n"/>
      <c r="M1041" s="89" t="n">
        <v>80.18664</v>
      </c>
      <c r="N1041" s="89" t="n">
        <v>84.29298</v>
      </c>
      <c r="O1041" s="89" t="n">
        <v>116.6</v>
      </c>
      <c r="P1041" s="89" t="n">
        <v>128.3921</v>
      </c>
      <c r="Q1041" s="89" t="n"/>
      <c r="R1041" s="89" t="n">
        <v>106.3</v>
      </c>
      <c r="S1041" s="89" t="n">
        <v>108.7109</v>
      </c>
      <c r="T1041" s="89" t="n">
        <v>106.7313</v>
      </c>
      <c r="U1041" s="89" t="n">
        <v>140.536</v>
      </c>
      <c r="V1041" s="89" t="n">
        <v>75.70631</v>
      </c>
      <c r="W1041" s="89" t="n">
        <v>59.81879</v>
      </c>
      <c r="X1041" s="89" t="n">
        <v>43.06573</v>
      </c>
      <c r="Y1041" s="89" t="n">
        <v>73.44262000000001</v>
      </c>
      <c r="Z1041" s="89" t="n">
        <v>121.5899</v>
      </c>
      <c r="AA1041" s="89" t="n">
        <v>108.1446</v>
      </c>
      <c r="AB1041" s="89" t="n">
        <v>65.83551</v>
      </c>
      <c r="AC1041" s="89" t="n">
        <v>117.1902</v>
      </c>
      <c r="AD1041" s="89" t="n">
        <v>87.09999999999999</v>
      </c>
      <c r="AE1041" s="89" t="n">
        <v>97.0522</v>
      </c>
      <c r="AF1041" s="89" t="n">
        <v>97.39188</v>
      </c>
      <c r="AG1041" s="89" t="n">
        <v>117.7657</v>
      </c>
      <c r="AH1041" s="89" t="n">
        <v>92.93285</v>
      </c>
      <c r="AI1041" s="89" t="n">
        <v>62</v>
      </c>
      <c r="AJ1041" s="89" t="n">
        <v>116.4388</v>
      </c>
      <c r="AK1041" s="89" t="n">
        <v>52.8088</v>
      </c>
      <c r="AL1041" s="89" t="n">
        <v>88.00733</v>
      </c>
      <c r="AM1041" s="89" t="n">
        <v>107.2</v>
      </c>
      <c r="AN1041" s="89" t="n"/>
      <c r="AO1041" s="89" t="n">
        <v>95.99668</v>
      </c>
      <c r="AP1041" s="89" t="n">
        <v>98.38361</v>
      </c>
      <c r="AQ1041" s="89" t="n"/>
      <c r="AR1041" s="89" t="n"/>
      <c r="AS1041" s="89" t="n"/>
      <c r="AT1041" s="89" t="n">
        <v>58.05697</v>
      </c>
      <c r="AU1041" s="89" t="n"/>
      <c r="AV1041" s="89" t="n">
        <v>76.54465</v>
      </c>
      <c r="AW1041" s="89" t="n"/>
      <c r="AX1041" s="89" t="n">
        <v>60.29498</v>
      </c>
      <c r="AY1041" s="89" t="n">
        <v>98.10075000000001</v>
      </c>
    </row>
    <row r="1042">
      <c r="A1042" t="inlineStr">
        <is>
          <t>2005-09</t>
        </is>
      </c>
      <c r="B1042" s="1" t="n">
        <v>38596</v>
      </c>
      <c r="C1042" s="88" t="n">
        <v>1042</v>
      </c>
      <c r="E1042" s="1">
        <f>B1042</f>
        <v/>
      </c>
      <c r="F1042" s="2">
        <f>B1042</f>
        <v/>
      </c>
      <c r="G1042" s="88" t="n">
        <v>1040</v>
      </c>
      <c r="H1042" s="89" t="n"/>
      <c r="I1042" s="89" t="n"/>
      <c r="J1042" s="89" t="n">
        <v>83.89301</v>
      </c>
      <c r="K1042" s="89" t="n">
        <v>100.5942</v>
      </c>
      <c r="L1042" s="89" t="n"/>
      <c r="M1042" s="89" t="n">
        <v>80.3866</v>
      </c>
      <c r="N1042" s="89" t="n">
        <v>86.69277</v>
      </c>
      <c r="O1042" s="89" t="n">
        <v>119.5</v>
      </c>
      <c r="P1042" s="89" t="n">
        <v>127.6831</v>
      </c>
      <c r="Q1042" s="89" t="n"/>
      <c r="R1042" s="89" t="n">
        <v>107</v>
      </c>
      <c r="S1042" s="89" t="n">
        <v>111.4909</v>
      </c>
      <c r="T1042" s="89" t="n">
        <v>106.2122</v>
      </c>
      <c r="U1042" s="89" t="n">
        <v>143.133</v>
      </c>
      <c r="V1042" s="89" t="n">
        <v>77.50646</v>
      </c>
      <c r="W1042" s="89" t="n">
        <v>59.04655</v>
      </c>
      <c r="X1042" s="89" t="n">
        <v>44.07486</v>
      </c>
      <c r="Y1042" s="89" t="n">
        <v>73.91101</v>
      </c>
      <c r="Z1042" s="89" t="n">
        <v>122.0898</v>
      </c>
      <c r="AA1042" s="89" t="n">
        <v>109.0141</v>
      </c>
      <c r="AB1042" s="89" t="n">
        <v>66.74144</v>
      </c>
      <c r="AC1042" s="89" t="n">
        <v>118.9901</v>
      </c>
      <c r="AD1042" s="89" t="n">
        <v>88.5</v>
      </c>
      <c r="AE1042" s="89" t="n">
        <v>97.03554</v>
      </c>
      <c r="AF1042" s="89" t="n">
        <v>97.39188</v>
      </c>
      <c r="AG1042" s="89" t="n">
        <v>120.2095</v>
      </c>
      <c r="AH1042" s="89" t="n">
        <v>93.0294</v>
      </c>
      <c r="AI1042" s="89" t="n">
        <v>62.6</v>
      </c>
      <c r="AJ1042" s="89" t="n">
        <v>122.7792</v>
      </c>
      <c r="AK1042" s="89" t="n">
        <v>53.00883</v>
      </c>
      <c r="AL1042" s="89" t="n">
        <v>91.30761</v>
      </c>
      <c r="AM1042" s="89" t="n">
        <v>111</v>
      </c>
      <c r="AN1042" s="89" t="n"/>
      <c r="AO1042" s="89" t="n">
        <v>94.20475999999999</v>
      </c>
      <c r="AP1042" s="89" t="n">
        <v>99.68339</v>
      </c>
      <c r="AQ1042" s="89" t="n"/>
      <c r="AR1042" s="89" t="n"/>
      <c r="AS1042" s="89" t="n"/>
      <c r="AT1042" s="89" t="n">
        <v>57.78986</v>
      </c>
      <c r="AU1042" s="89" t="n"/>
      <c r="AV1042" s="89" t="n">
        <v>77.26273999999999</v>
      </c>
      <c r="AW1042" s="89" t="n"/>
      <c r="AX1042" s="89" t="n">
        <v>60.99492</v>
      </c>
      <c r="AY1042" s="89" t="n">
        <v>97.10983</v>
      </c>
    </row>
    <row r="1043">
      <c r="A1043" t="inlineStr">
        <is>
          <t>2005-10</t>
        </is>
      </c>
      <c r="B1043" s="1" t="n">
        <v>38626</v>
      </c>
      <c r="C1043" s="88" t="n">
        <v>1043</v>
      </c>
      <c r="E1043" s="1">
        <f>B1043</f>
        <v/>
      </c>
      <c r="F1043" s="2">
        <f>B1043</f>
        <v/>
      </c>
      <c r="G1043" s="88" t="n">
        <v>1041</v>
      </c>
      <c r="H1043" s="89" t="n"/>
      <c r="I1043" s="89" t="n"/>
      <c r="J1043" s="89" t="n">
        <v>82.7931</v>
      </c>
      <c r="K1043" s="89" t="n">
        <v>100.6774</v>
      </c>
      <c r="L1043" s="89" t="n"/>
      <c r="M1043" s="89" t="n">
        <v>81.18647</v>
      </c>
      <c r="N1043" s="89" t="n">
        <v>88.39263</v>
      </c>
      <c r="O1043" s="89" t="n">
        <v>113.8</v>
      </c>
      <c r="P1043" s="89" t="n">
        <v>126.6821</v>
      </c>
      <c r="Q1043" s="89" t="n"/>
      <c r="R1043" s="89" t="n">
        <v>110.7</v>
      </c>
      <c r="S1043" s="89" t="n">
        <v>108.2109</v>
      </c>
      <c r="T1043" s="89" t="n">
        <v>106.1083</v>
      </c>
      <c r="U1043" s="89" t="n">
        <v>141.435</v>
      </c>
      <c r="V1043" s="89" t="n">
        <v>78.90658000000001</v>
      </c>
      <c r="W1043" s="89" t="n">
        <v>60.0564</v>
      </c>
      <c r="X1043" s="89" t="n">
        <v>45.34583</v>
      </c>
      <c r="Y1043" s="89" t="n">
        <v>74.00467999999999</v>
      </c>
      <c r="Z1043" s="89" t="n">
        <v>122.2898</v>
      </c>
      <c r="AA1043" s="89" t="n">
        <v>108.0359</v>
      </c>
      <c r="AB1043" s="89" t="n">
        <v>67.38239</v>
      </c>
      <c r="AC1043" s="89" t="n">
        <v>116.7903</v>
      </c>
      <c r="AD1043" s="89" t="n">
        <v>89.5</v>
      </c>
      <c r="AE1043" s="89" t="n">
        <v>96.90156</v>
      </c>
      <c r="AF1043" s="89" t="n">
        <v>95.49204</v>
      </c>
      <c r="AG1043" s="89" t="n">
        <v>116.1365</v>
      </c>
      <c r="AH1043" s="89" t="n">
        <v>93.43810999999999</v>
      </c>
      <c r="AI1043" s="89" t="n">
        <v>64.3</v>
      </c>
      <c r="AJ1043" s="89" t="n">
        <v>121.4611</v>
      </c>
      <c r="AK1043" s="89" t="n">
        <v>54.20903</v>
      </c>
      <c r="AL1043" s="89" t="n">
        <v>93.00775</v>
      </c>
      <c r="AM1043" s="89" t="n">
        <v>111.8</v>
      </c>
      <c r="AN1043" s="89" t="n"/>
      <c r="AO1043" s="89" t="n">
        <v>95.39291</v>
      </c>
      <c r="AP1043" s="89" t="n">
        <v>99.88334999999999</v>
      </c>
      <c r="AQ1043" s="89" t="n"/>
      <c r="AR1043" s="89" t="n"/>
      <c r="AS1043" s="89" t="n"/>
      <c r="AT1043" s="89" t="n">
        <v>59.03214</v>
      </c>
      <c r="AU1043" s="89" t="n"/>
      <c r="AV1043" s="89" t="n">
        <v>77.11536</v>
      </c>
      <c r="AW1043" s="89" t="n"/>
      <c r="AX1043" s="89" t="n">
        <v>61.99483</v>
      </c>
      <c r="AY1043" s="89" t="n">
        <v>96.55932</v>
      </c>
    </row>
    <row r="1044">
      <c r="A1044" t="inlineStr">
        <is>
          <t>2005-11</t>
        </is>
      </c>
      <c r="B1044" s="1" t="n">
        <v>38657</v>
      </c>
      <c r="C1044" s="88" t="n">
        <v>1044</v>
      </c>
      <c r="E1044" s="1">
        <f>B1044</f>
        <v/>
      </c>
      <c r="F1044" s="2">
        <f>B1044</f>
        <v/>
      </c>
      <c r="G1044" s="88" t="n">
        <v>1042</v>
      </c>
      <c r="H1044" s="89" t="n"/>
      <c r="I1044" s="89" t="n"/>
      <c r="J1044" s="89" t="n">
        <v>87.79268999999999</v>
      </c>
      <c r="K1044" s="89" t="n">
        <v>101.4479</v>
      </c>
      <c r="L1044" s="89" t="n"/>
      <c r="M1044" s="89" t="n">
        <v>82.38627</v>
      </c>
      <c r="N1044" s="89" t="n">
        <v>87.39272</v>
      </c>
      <c r="O1044" s="89" t="n">
        <v>112.9</v>
      </c>
      <c r="P1044" s="89" t="n">
        <v>128.5691</v>
      </c>
      <c r="Q1044" s="89" t="n"/>
      <c r="R1044" s="89" t="n">
        <v>108.2</v>
      </c>
      <c r="S1044" s="89" t="n">
        <v>112.5509</v>
      </c>
      <c r="T1044" s="89" t="n">
        <v>107.3542</v>
      </c>
      <c r="U1044" s="89" t="n">
        <v>141.7346</v>
      </c>
      <c r="V1044" s="89" t="n">
        <v>78.60655</v>
      </c>
      <c r="W1044" s="89" t="n">
        <v>68.25400999999999</v>
      </c>
      <c r="X1044" s="89" t="n">
        <v>48.71699</v>
      </c>
      <c r="Y1044" s="89" t="n">
        <v>75.69086</v>
      </c>
      <c r="Z1044" s="89" t="n">
        <v>123.5897</v>
      </c>
      <c r="AA1044" s="89" t="n">
        <v>110.2097</v>
      </c>
      <c r="AB1044" s="89" t="n">
        <v>70.30114</v>
      </c>
      <c r="AC1044" s="89" t="n">
        <v>115.4904</v>
      </c>
      <c r="AD1044" s="89" t="n">
        <v>90.09999999999999</v>
      </c>
      <c r="AE1044" s="89" t="n">
        <v>98.74594</v>
      </c>
      <c r="AF1044" s="89" t="n">
        <v>99.89167999999999</v>
      </c>
      <c r="AG1044" s="89" t="n">
        <v>117.4166</v>
      </c>
      <c r="AH1044" s="89" t="n">
        <v>94.7205</v>
      </c>
      <c r="AI1044" s="89" t="n">
        <v>65.7</v>
      </c>
      <c r="AJ1044" s="89" t="n">
        <v>125.3209</v>
      </c>
      <c r="AK1044" s="89" t="n">
        <v>54.90915</v>
      </c>
      <c r="AL1044" s="89" t="n">
        <v>93.6078</v>
      </c>
      <c r="AM1044" s="89" t="n">
        <v>109.7</v>
      </c>
      <c r="AN1044" s="89" t="n"/>
      <c r="AO1044" s="89" t="n">
        <v>96.35986</v>
      </c>
      <c r="AP1044" s="89" t="n">
        <v>101.5831</v>
      </c>
      <c r="AQ1044" s="89" t="n"/>
      <c r="AR1044" s="89" t="n"/>
      <c r="AS1044" s="89" t="n"/>
      <c r="AT1044" s="89" t="n">
        <v>58.13843</v>
      </c>
      <c r="AU1044" s="89" t="n"/>
      <c r="AV1044" s="89" t="n">
        <v>78.26729</v>
      </c>
      <c r="AW1044" s="89" t="n"/>
      <c r="AX1044" s="89" t="n">
        <v>62.19482</v>
      </c>
      <c r="AY1044" s="89" t="n">
        <v>97.55023</v>
      </c>
    </row>
    <row r="1045">
      <c r="A1045" t="inlineStr">
        <is>
          <t>2005-12</t>
        </is>
      </c>
      <c r="B1045" s="1" t="n">
        <v>38687</v>
      </c>
      <c r="C1045" s="88" t="n">
        <v>1045</v>
      </c>
      <c r="E1045" s="1">
        <f>B1045</f>
        <v/>
      </c>
      <c r="F1045" s="2">
        <f>B1045</f>
        <v/>
      </c>
      <c r="G1045" s="88" t="n">
        <v>1043</v>
      </c>
      <c r="H1045" s="89" t="n"/>
      <c r="I1045" s="89" t="n"/>
      <c r="J1045" s="89" t="n">
        <v>90.39246</v>
      </c>
      <c r="K1045" s="89" t="n">
        <v>102.1277</v>
      </c>
      <c r="L1045" s="89" t="n"/>
      <c r="M1045" s="89" t="n">
        <v>82.28628999999999</v>
      </c>
      <c r="N1045" s="89" t="n">
        <v>87.19273</v>
      </c>
      <c r="O1045" s="89" t="n">
        <v>117</v>
      </c>
      <c r="P1045" s="89" t="n">
        <v>129.9161</v>
      </c>
      <c r="Q1045" s="89" t="n"/>
      <c r="R1045" s="89" t="n">
        <v>111</v>
      </c>
      <c r="S1045" s="89" t="n">
        <v>111.2309</v>
      </c>
      <c r="T1045" s="89" t="n">
        <v>108.2886</v>
      </c>
      <c r="U1045" s="89" t="n">
        <v>139.0378</v>
      </c>
      <c r="V1045" s="89" t="n">
        <v>78.70656</v>
      </c>
      <c r="W1045" s="89" t="n">
        <v>56.0764</v>
      </c>
      <c r="X1045" s="89" t="n">
        <v>52.2677</v>
      </c>
      <c r="Y1045" s="89" t="n">
        <v>75.40984</v>
      </c>
      <c r="Z1045" s="89" t="n">
        <v>121.7898</v>
      </c>
      <c r="AA1045" s="89" t="n">
        <v>110.6444</v>
      </c>
      <c r="AB1045" s="89" t="n">
        <v>68.77727</v>
      </c>
      <c r="AC1045" s="89" t="n">
        <v>115.7904</v>
      </c>
      <c r="AD1045" s="89" t="n">
        <v>90.2</v>
      </c>
      <c r="AE1045" s="89" t="n">
        <v>99.84226</v>
      </c>
      <c r="AF1045" s="89" t="n">
        <v>100.0917</v>
      </c>
      <c r="AG1045" s="89" t="n">
        <v>116.602</v>
      </c>
      <c r="AH1045" s="89" t="n">
        <v>94.83553000000001</v>
      </c>
      <c r="AI1045" s="89" t="n">
        <v>66.90000000000001</v>
      </c>
      <c r="AJ1045" s="89" t="n">
        <v>122.9208</v>
      </c>
      <c r="AK1045" s="89" t="n">
        <v>58.2097</v>
      </c>
      <c r="AL1045" s="89" t="n">
        <v>95.40795</v>
      </c>
      <c r="AM1045" s="89" t="n">
        <v>109.4</v>
      </c>
      <c r="AN1045" s="89" t="n"/>
      <c r="AO1045" s="89" t="n">
        <v>96.95738</v>
      </c>
      <c r="AP1045" s="89" t="n">
        <v>100.4833</v>
      </c>
      <c r="AQ1045" s="89" t="n"/>
      <c r="AR1045" s="89" t="n"/>
      <c r="AS1045" s="89" t="n"/>
      <c r="AT1045" s="89" t="n">
        <v>60.2672</v>
      </c>
      <c r="AU1045" s="89" t="n"/>
      <c r="AV1045" s="89" t="n">
        <v>78.77666000000001</v>
      </c>
      <c r="AW1045" s="89" t="n"/>
      <c r="AX1045" s="89" t="n">
        <v>61.59487</v>
      </c>
      <c r="AY1045" s="89" t="n">
        <v>99.53207</v>
      </c>
    </row>
    <row r="1046">
      <c r="A1046" t="inlineStr">
        <is>
          <t>2006-01</t>
        </is>
      </c>
      <c r="B1046" s="1" t="n">
        <v>38718</v>
      </c>
      <c r="C1046" s="88" t="n">
        <v>1046</v>
      </c>
      <c r="E1046" s="1">
        <f>B1046</f>
        <v/>
      </c>
      <c r="F1046" s="2">
        <f>B1046</f>
        <v/>
      </c>
      <c r="G1046" s="88" t="n">
        <v>1044</v>
      </c>
      <c r="H1046" s="89" t="n"/>
      <c r="I1046" s="89" t="n"/>
      <c r="J1046" s="89" t="n">
        <v>86.19282</v>
      </c>
      <c r="K1046" s="89" t="n">
        <v>101.6975</v>
      </c>
      <c r="L1046" s="89" t="n"/>
      <c r="M1046" s="89" t="n">
        <v>83.88602</v>
      </c>
      <c r="N1046" s="89" t="n">
        <v>87.6927</v>
      </c>
      <c r="O1046" s="89" t="n">
        <v>118.8</v>
      </c>
      <c r="P1046" s="89" t="n">
        <v>130.4601</v>
      </c>
      <c r="Q1046" s="89" t="n"/>
      <c r="R1046" s="89" t="n">
        <v>119.7</v>
      </c>
      <c r="S1046" s="89" t="n">
        <v>110.5209</v>
      </c>
      <c r="T1046" s="89" t="n">
        <v>108.7039</v>
      </c>
      <c r="U1046" s="89" t="n">
        <v>137.6394</v>
      </c>
      <c r="V1046" s="89" t="n">
        <v>79.20659999999999</v>
      </c>
      <c r="W1046" s="89" t="n">
        <v>62.96715</v>
      </c>
      <c r="X1046" s="89" t="n">
        <v>48.14148</v>
      </c>
      <c r="Y1046" s="89" t="n">
        <v>75.22248</v>
      </c>
      <c r="Z1046" s="89" t="n">
        <v>122.2898</v>
      </c>
      <c r="AA1046" s="89" t="n">
        <v>110.9705</v>
      </c>
      <c r="AB1046" s="89" t="n">
        <v>71.16507</v>
      </c>
      <c r="AC1046" s="89" t="n">
        <v>116.7903</v>
      </c>
      <c r="AD1046" s="89" t="n">
        <v>90.3</v>
      </c>
      <c r="AE1046" s="89" t="n">
        <v>99.99448</v>
      </c>
      <c r="AF1046" s="89" t="n">
        <v>99.6917</v>
      </c>
      <c r="AG1046" s="89" t="n">
        <v>115.9038</v>
      </c>
      <c r="AH1046" s="89" t="n">
        <v>95.15197999999999</v>
      </c>
      <c r="AI1046" s="89" t="n">
        <v>65.09999999999999</v>
      </c>
      <c r="AJ1046" s="89" t="n">
        <v>119.6206</v>
      </c>
      <c r="AK1046" s="89" t="n">
        <v>57.70962</v>
      </c>
      <c r="AL1046" s="89" t="n">
        <v>93.90783</v>
      </c>
      <c r="AM1046" s="89" t="n">
        <v>112.7</v>
      </c>
      <c r="AN1046" s="89" t="n"/>
      <c r="AO1046" s="89" t="n">
        <v>97.07169</v>
      </c>
      <c r="AP1046" s="89" t="n">
        <v>101.2831</v>
      </c>
      <c r="AQ1046" s="89" t="n"/>
      <c r="AR1046" s="89" t="n"/>
      <c r="AS1046" s="89" t="n"/>
      <c r="AT1046" s="89" t="n">
        <v>61.25964</v>
      </c>
      <c r="AU1046" s="89" t="n"/>
      <c r="AV1046" s="89" t="n">
        <v>78.2</v>
      </c>
      <c r="AW1046" s="89" t="n"/>
      <c r="AX1046" s="89" t="n">
        <v>62.09483</v>
      </c>
      <c r="AY1046" s="89" t="n">
        <v>99.97247</v>
      </c>
    </row>
    <row r="1047">
      <c r="A1047" t="inlineStr">
        <is>
          <t>2006-02</t>
        </is>
      </c>
      <c r="B1047" s="1" t="n">
        <v>38749</v>
      </c>
      <c r="C1047" s="88" t="n">
        <v>1047</v>
      </c>
      <c r="E1047" s="1">
        <f>B1047</f>
        <v/>
      </c>
      <c r="F1047" s="2">
        <f>B1047</f>
        <v/>
      </c>
      <c r="G1047" s="88" t="n">
        <v>1045</v>
      </c>
      <c r="H1047" s="89" t="n"/>
      <c r="I1047" s="89" t="n"/>
      <c r="J1047" s="89" t="n">
        <v>88.09266</v>
      </c>
      <c r="K1047" s="89" t="n">
        <v>101.4588</v>
      </c>
      <c r="L1047" s="89" t="n"/>
      <c r="M1047" s="89" t="n">
        <v>82.48625</v>
      </c>
      <c r="N1047" s="89" t="n">
        <v>88.19265</v>
      </c>
      <c r="O1047" s="89" t="n">
        <v>120.7</v>
      </c>
      <c r="P1047" s="89" t="n">
        <v>130.4701</v>
      </c>
      <c r="Q1047" s="89" t="n"/>
      <c r="R1047" s="89" t="n">
        <v>117.4</v>
      </c>
      <c r="S1047" s="89" t="n">
        <v>109.7609</v>
      </c>
      <c r="T1047" s="89" t="n">
        <v>108.081</v>
      </c>
      <c r="U1047" s="89" t="n">
        <v>141.6348</v>
      </c>
      <c r="V1047" s="89" t="n">
        <v>79.90666</v>
      </c>
      <c r="W1047" s="89" t="n">
        <v>53.9379</v>
      </c>
      <c r="X1047" s="89" t="n">
        <v>41.92538</v>
      </c>
      <c r="Y1047" s="89" t="n">
        <v>76.62763</v>
      </c>
      <c r="Z1047" s="89" t="n">
        <v>124.5896</v>
      </c>
      <c r="AA1047" s="89" t="n">
        <v>110.7531</v>
      </c>
      <c r="AB1047" s="89" t="n">
        <v>70.09916</v>
      </c>
      <c r="AC1047" s="89" t="n">
        <v>113.9905</v>
      </c>
      <c r="AD1047" s="89" t="n">
        <v>91.7</v>
      </c>
      <c r="AE1047" s="89" t="n">
        <v>99.09557</v>
      </c>
      <c r="AF1047" s="89" t="n">
        <v>101.0916</v>
      </c>
      <c r="AG1047" s="89" t="n">
        <v>115.4383</v>
      </c>
      <c r="AH1047" s="89" t="n">
        <v>95.07288</v>
      </c>
      <c r="AI1047" s="89" t="n">
        <v>66.2</v>
      </c>
      <c r="AJ1047" s="89" t="n">
        <v>118.8112</v>
      </c>
      <c r="AK1047" s="89" t="n">
        <v>56.30938</v>
      </c>
      <c r="AL1047" s="89" t="n">
        <v>92.90774999999999</v>
      </c>
      <c r="AM1047" s="89" t="n">
        <v>110.6</v>
      </c>
      <c r="AN1047" s="89" t="n"/>
      <c r="AO1047" s="89" t="n">
        <v>97.07572</v>
      </c>
      <c r="AP1047" s="89" t="n">
        <v>101.2831</v>
      </c>
      <c r="AQ1047" s="89" t="n"/>
      <c r="AR1047" s="89" t="n"/>
      <c r="AS1047" s="89" t="n"/>
      <c r="AT1047" s="89" t="n">
        <v>61.55954</v>
      </c>
      <c r="AU1047" s="89" t="n"/>
      <c r="AV1047" s="89" t="n">
        <v>78.90000000000001</v>
      </c>
      <c r="AW1047" s="89" t="n"/>
      <c r="AX1047" s="89" t="n">
        <v>62.49479</v>
      </c>
      <c r="AY1047" s="89" t="n">
        <v>100.6331</v>
      </c>
    </row>
    <row r="1048">
      <c r="A1048" t="inlineStr">
        <is>
          <t>2006-03</t>
        </is>
      </c>
      <c r="B1048" s="1" t="n">
        <v>38777</v>
      </c>
      <c r="C1048" s="88" t="n">
        <v>1048</v>
      </c>
      <c r="E1048" s="1">
        <f>B1048</f>
        <v/>
      </c>
      <c r="F1048" s="2">
        <f>B1048</f>
        <v/>
      </c>
      <c r="G1048" s="88" t="n">
        <v>1046</v>
      </c>
      <c r="H1048" s="89" t="n"/>
      <c r="I1048" s="89" t="n"/>
      <c r="J1048" s="89" t="n">
        <v>87.59269999999999</v>
      </c>
      <c r="K1048" s="89" t="n">
        <v>101.6113</v>
      </c>
      <c r="L1048" s="89" t="n"/>
      <c r="M1048" s="89" t="n">
        <v>83.986</v>
      </c>
      <c r="N1048" s="89" t="n">
        <v>87.39272</v>
      </c>
      <c r="O1048" s="89" t="n">
        <v>118.6</v>
      </c>
      <c r="P1048" s="89" t="n">
        <v>131.1501</v>
      </c>
      <c r="Q1048" s="89" t="n"/>
      <c r="R1048" s="89" t="n">
        <v>115.4</v>
      </c>
      <c r="S1048" s="89" t="n">
        <v>111.7909</v>
      </c>
      <c r="T1048" s="89" t="n">
        <v>108.4963</v>
      </c>
      <c r="U1048" s="89" t="n">
        <v>145.1307</v>
      </c>
      <c r="V1048" s="89" t="n">
        <v>82.8069</v>
      </c>
      <c r="W1048" s="89" t="n">
        <v>59.81879</v>
      </c>
      <c r="X1048" s="89" t="n">
        <v>45.91892</v>
      </c>
      <c r="Y1048" s="89" t="n">
        <v>76.06556999999999</v>
      </c>
      <c r="Z1048" s="89" t="n">
        <v>125.1896</v>
      </c>
      <c r="AA1048" s="89" t="n">
        <v>111.514</v>
      </c>
      <c r="AB1048" s="89" t="n">
        <v>70.92309</v>
      </c>
      <c r="AC1048" s="89" t="n">
        <v>114.1905</v>
      </c>
      <c r="AD1048" s="89" t="n">
        <v>91.59999999999999</v>
      </c>
      <c r="AE1048" s="89" t="n">
        <v>100.5759</v>
      </c>
      <c r="AF1048" s="89" t="n">
        <v>104.0913</v>
      </c>
      <c r="AG1048" s="89" t="n">
        <v>115.5547</v>
      </c>
      <c r="AH1048" s="89" t="n">
        <v>95.63202</v>
      </c>
      <c r="AI1048" s="89" t="n">
        <v>66.7</v>
      </c>
      <c r="AJ1048" s="89" t="n">
        <v>123.9926</v>
      </c>
      <c r="AK1048" s="89" t="n">
        <v>59.4099</v>
      </c>
      <c r="AL1048" s="89" t="n">
        <v>91.40761999999999</v>
      </c>
      <c r="AM1048" s="89" t="n">
        <v>111.3</v>
      </c>
      <c r="AN1048" s="89" t="n"/>
      <c r="AO1048" s="89" t="n">
        <v>97.2757</v>
      </c>
      <c r="AP1048" s="89" t="n">
        <v>101.983</v>
      </c>
      <c r="AQ1048" s="89" t="n"/>
      <c r="AR1048" s="89" t="n"/>
      <c r="AS1048" s="89" t="n"/>
      <c r="AT1048" s="89" t="n">
        <v>62.68866</v>
      </c>
      <c r="AU1048" s="89" t="n"/>
      <c r="AV1048" s="89" t="n">
        <v>80.09999999999999</v>
      </c>
      <c r="AW1048" s="89" t="n"/>
      <c r="AX1048" s="89" t="n">
        <v>64.09466</v>
      </c>
      <c r="AY1048" s="89" t="n">
        <v>99.86237</v>
      </c>
    </row>
    <row r="1049">
      <c r="A1049" t="inlineStr">
        <is>
          <t>2006-04</t>
        </is>
      </c>
      <c r="B1049" s="1" t="n">
        <v>38808</v>
      </c>
      <c r="C1049" s="88" t="n">
        <v>1049</v>
      </c>
      <c r="E1049" s="1">
        <f>B1049</f>
        <v/>
      </c>
      <c r="F1049" s="2">
        <f>B1049</f>
        <v/>
      </c>
      <c r="G1049" s="88" t="n">
        <v>1047</v>
      </c>
      <c r="H1049" s="89" t="n"/>
      <c r="I1049" s="89" t="n"/>
      <c r="J1049" s="89" t="n">
        <v>88.39263</v>
      </c>
      <c r="K1049" s="89" t="n">
        <v>100.9594</v>
      </c>
      <c r="L1049" s="89" t="n"/>
      <c r="M1049" s="89" t="n">
        <v>82.88618</v>
      </c>
      <c r="N1049" s="89" t="n">
        <v>89.39255</v>
      </c>
      <c r="O1049" s="89" t="n">
        <v>118</v>
      </c>
      <c r="P1049" s="89" t="n">
        <v>129.9611</v>
      </c>
      <c r="Q1049" s="89" t="n"/>
      <c r="R1049" s="89" t="n">
        <v>116.9</v>
      </c>
      <c r="S1049" s="89" t="n">
        <v>111.2209</v>
      </c>
      <c r="T1049" s="89" t="n">
        <v>107.9772</v>
      </c>
      <c r="U1049" s="89" t="n">
        <v>142.4338</v>
      </c>
      <c r="V1049" s="89" t="n">
        <v>82.70689</v>
      </c>
      <c r="W1049" s="89" t="n">
        <v>62.0761</v>
      </c>
      <c r="X1049" s="89" t="n">
        <v>48.68441</v>
      </c>
      <c r="Y1049" s="89" t="n">
        <v>75.97189</v>
      </c>
      <c r="Z1049" s="89" t="n">
        <v>124.0897</v>
      </c>
      <c r="AA1049" s="89" t="n">
        <v>113.579</v>
      </c>
      <c r="AB1049" s="89" t="n">
        <v>70.69211</v>
      </c>
      <c r="AC1049" s="89" t="n">
        <v>112.7906</v>
      </c>
      <c r="AD1049" s="89" t="n">
        <v>91.7</v>
      </c>
      <c r="AE1049" s="89" t="n">
        <v>100.7448</v>
      </c>
      <c r="AF1049" s="89" t="n">
        <v>102.7914</v>
      </c>
      <c r="AG1049" s="89" t="n">
        <v>113.8092</v>
      </c>
      <c r="AH1049" s="89" t="n">
        <v>96.05414</v>
      </c>
      <c r="AI1049" s="89" t="n">
        <v>67.7</v>
      </c>
      <c r="AJ1049" s="89" t="n">
        <v>116.8616</v>
      </c>
      <c r="AK1049" s="89" t="n">
        <v>58.90982</v>
      </c>
      <c r="AL1049" s="89" t="n">
        <v>93.40778</v>
      </c>
      <c r="AM1049" s="89" t="n">
        <v>112</v>
      </c>
      <c r="AN1049" s="89" t="n"/>
      <c r="AO1049" s="89" t="n">
        <v>97.66586</v>
      </c>
      <c r="AP1049" s="89" t="n">
        <v>102.283</v>
      </c>
      <c r="AQ1049" s="89" t="n"/>
      <c r="AR1049" s="89" t="n"/>
      <c r="AS1049" s="89" t="n"/>
      <c r="AT1049" s="89" t="n">
        <v>62.04946</v>
      </c>
      <c r="AU1049" s="89" t="n"/>
      <c r="AV1049" s="89" t="n">
        <v>80.3</v>
      </c>
      <c r="AW1049" s="89" t="n"/>
      <c r="AX1049" s="89" t="n">
        <v>63.5947</v>
      </c>
      <c r="AY1049" s="89" t="n">
        <v>100.6331</v>
      </c>
    </row>
    <row r="1050">
      <c r="A1050" t="inlineStr">
        <is>
          <t>2006-05</t>
        </is>
      </c>
      <c r="B1050" s="1" t="n">
        <v>38838</v>
      </c>
      <c r="C1050" s="88" t="n">
        <v>1050</v>
      </c>
      <c r="E1050" s="1">
        <f>B1050</f>
        <v/>
      </c>
      <c r="F1050" s="2">
        <f>B1050</f>
        <v/>
      </c>
      <c r="G1050" s="88" t="n">
        <v>1048</v>
      </c>
      <c r="H1050" s="89" t="n"/>
      <c r="I1050" s="89" t="n"/>
      <c r="J1050" s="89" t="n">
        <v>89.59254</v>
      </c>
      <c r="K1050" s="89" t="n">
        <v>100.6126</v>
      </c>
      <c r="L1050" s="89" t="n"/>
      <c r="M1050" s="89" t="n">
        <v>86.3856</v>
      </c>
      <c r="N1050" s="89" t="n">
        <v>90.69244</v>
      </c>
      <c r="O1050" s="89" t="n">
        <v>122</v>
      </c>
      <c r="P1050" s="89" t="n">
        <v>131.8201</v>
      </c>
      <c r="Q1050" s="89" t="n"/>
      <c r="R1050" s="89" t="n">
        <v>114.5</v>
      </c>
      <c r="S1050" s="89" t="n">
        <v>113.0109</v>
      </c>
      <c r="T1050" s="89" t="n">
        <v>107.9772</v>
      </c>
      <c r="U1050" s="89" t="n">
        <v>144.5314</v>
      </c>
      <c r="V1050" s="89" t="n">
        <v>83.20693</v>
      </c>
      <c r="W1050" s="89" t="n">
        <v>65.93729</v>
      </c>
      <c r="X1050" s="89" t="n">
        <v>50.93728</v>
      </c>
      <c r="Y1050" s="89" t="n">
        <v>77.75175</v>
      </c>
      <c r="Z1050" s="89" t="n">
        <v>126.9894</v>
      </c>
      <c r="AA1050" s="89" t="n">
        <v>111.84</v>
      </c>
      <c r="AB1050" s="89" t="n">
        <v>71.85201000000001</v>
      </c>
      <c r="AC1050" s="89" t="n">
        <v>118.0902</v>
      </c>
      <c r="AD1050" s="89" t="n">
        <v>91.09999999999999</v>
      </c>
      <c r="AE1050" s="89" t="n">
        <v>101.7845</v>
      </c>
      <c r="AF1050" s="89" t="n">
        <v>99.6917</v>
      </c>
      <c r="AG1050" s="89" t="n">
        <v>115.4383</v>
      </c>
      <c r="AH1050" s="89" t="n">
        <v>96.48187</v>
      </c>
      <c r="AI1050" s="89" t="n">
        <v>69.59999999999999</v>
      </c>
      <c r="AJ1050" s="89" t="n">
        <v>124.3406</v>
      </c>
      <c r="AK1050" s="89" t="n">
        <v>60.21003</v>
      </c>
      <c r="AL1050" s="89" t="n">
        <v>97.40812</v>
      </c>
      <c r="AM1050" s="89" t="n">
        <v>114.2</v>
      </c>
      <c r="AN1050" s="89" t="n"/>
      <c r="AO1050" s="89" t="n">
        <v>97.5676</v>
      </c>
      <c r="AP1050" s="89" t="n">
        <v>103.7827</v>
      </c>
      <c r="AQ1050" s="89" t="n"/>
      <c r="AR1050" s="89" t="n"/>
      <c r="AS1050" s="89" t="n"/>
      <c r="AT1050" s="89" t="n">
        <v>62.77037</v>
      </c>
      <c r="AU1050" s="89" t="n"/>
      <c r="AV1050" s="89" t="n">
        <v>80.8</v>
      </c>
      <c r="AW1050" s="89" t="n"/>
      <c r="AX1050" s="89" t="n">
        <v>64.09466</v>
      </c>
      <c r="AY1050" s="89" t="n">
        <v>101.5139</v>
      </c>
    </row>
    <row r="1051">
      <c r="A1051" t="inlineStr">
        <is>
          <t>2006-06</t>
        </is>
      </c>
      <c r="B1051" s="1" t="n">
        <v>38869</v>
      </c>
      <c r="C1051" s="88" t="n">
        <v>1051</v>
      </c>
      <c r="E1051" s="1">
        <f>B1051</f>
        <v/>
      </c>
      <c r="F1051" s="2">
        <f>B1051</f>
        <v/>
      </c>
      <c r="G1051" s="88" t="n">
        <v>1049</v>
      </c>
      <c r="H1051" s="89" t="n"/>
      <c r="I1051" s="89" t="n"/>
      <c r="J1051" s="89" t="n">
        <v>89.69253</v>
      </c>
      <c r="K1051" s="89" t="n">
        <v>100.0768</v>
      </c>
      <c r="L1051" s="89" t="n"/>
      <c r="M1051" s="89" t="n">
        <v>86.08566</v>
      </c>
      <c r="N1051" s="89" t="n">
        <v>90.19248</v>
      </c>
      <c r="O1051" s="89" t="n">
        <v>121.3</v>
      </c>
      <c r="P1051" s="89" t="n">
        <v>132.4921</v>
      </c>
      <c r="Q1051" s="89" t="n"/>
      <c r="R1051" s="89" t="n">
        <v>120.4</v>
      </c>
      <c r="S1051" s="89" t="n">
        <v>112.8209</v>
      </c>
      <c r="T1051" s="89" t="n">
        <v>108.8078</v>
      </c>
      <c r="U1051" s="89" t="n">
        <v>142.9332</v>
      </c>
      <c r="V1051" s="89" t="n">
        <v>85.00709000000001</v>
      </c>
      <c r="W1051" s="89" t="n">
        <v>62.49192</v>
      </c>
      <c r="X1051" s="89" t="n">
        <v>53.1697</v>
      </c>
      <c r="Y1051" s="89" t="n">
        <v>79.62529000000001</v>
      </c>
      <c r="Z1051" s="89" t="n">
        <v>127.3894</v>
      </c>
      <c r="AA1051" s="89" t="n">
        <v>113.3616</v>
      </c>
      <c r="AB1051" s="89" t="n">
        <v>71.19907000000001</v>
      </c>
      <c r="AC1051" s="89" t="n">
        <v>115.4904</v>
      </c>
      <c r="AD1051" s="89" t="n">
        <v>92.5</v>
      </c>
      <c r="AE1051" s="89" t="n">
        <v>101.6048</v>
      </c>
      <c r="AF1051" s="89" t="n">
        <v>102.0915</v>
      </c>
      <c r="AG1051" s="89" t="n">
        <v>116.2529</v>
      </c>
      <c r="AH1051" s="89" t="n">
        <v>96.76528</v>
      </c>
      <c r="AI1051" s="89" t="n">
        <v>70.09999999999999</v>
      </c>
      <c r="AJ1051" s="89" t="n">
        <v>123.9045</v>
      </c>
      <c r="AK1051" s="89" t="n">
        <v>61.8103</v>
      </c>
      <c r="AL1051" s="89" t="n">
        <v>93.6078</v>
      </c>
      <c r="AM1051" s="89" t="n">
        <v>112</v>
      </c>
      <c r="AN1051" s="89" t="n"/>
      <c r="AO1051" s="89" t="n">
        <v>97.94248</v>
      </c>
      <c r="AP1051" s="89" t="n">
        <v>103.6827</v>
      </c>
      <c r="AQ1051" s="89" t="n"/>
      <c r="AR1051" s="89" t="n"/>
      <c r="AS1051" s="89" t="n"/>
      <c r="AT1051" s="89" t="n">
        <v>62.88755</v>
      </c>
      <c r="AU1051" s="89" t="n"/>
      <c r="AV1051" s="89" t="n">
        <v>80.90000000000001</v>
      </c>
      <c r="AW1051" s="89" t="n"/>
      <c r="AX1051" s="89" t="n">
        <v>64.49463</v>
      </c>
      <c r="AY1051" s="89" t="n">
        <v>99.75227</v>
      </c>
    </row>
    <row r="1052">
      <c r="A1052" t="inlineStr">
        <is>
          <t>2006-07</t>
        </is>
      </c>
      <c r="B1052" s="1" t="n">
        <v>38899</v>
      </c>
      <c r="C1052" s="88" t="n">
        <v>1052</v>
      </c>
      <c r="E1052" s="1">
        <f>B1052</f>
        <v/>
      </c>
      <c r="F1052" s="2">
        <f>B1052</f>
        <v/>
      </c>
      <c r="G1052" s="88" t="n">
        <v>1050</v>
      </c>
      <c r="H1052" s="89" t="n"/>
      <c r="I1052" s="89" t="n"/>
      <c r="J1052" s="89" t="n">
        <v>88.09266</v>
      </c>
      <c r="K1052" s="89" t="n">
        <v>100.1166</v>
      </c>
      <c r="L1052" s="89" t="n"/>
      <c r="M1052" s="89" t="n">
        <v>85.98567</v>
      </c>
      <c r="N1052" s="89" t="n">
        <v>91.79235</v>
      </c>
      <c r="O1052" s="89" t="n">
        <v>118.6</v>
      </c>
      <c r="P1052" s="89" t="n">
        <v>131.6881</v>
      </c>
      <c r="Q1052" s="89" t="n"/>
      <c r="R1052" s="89" t="n">
        <v>119</v>
      </c>
      <c r="S1052" s="89" t="n">
        <v>111.2609</v>
      </c>
      <c r="T1052" s="89" t="n">
        <v>107.8733</v>
      </c>
      <c r="U1052" s="89" t="n">
        <v>138.838</v>
      </c>
      <c r="V1052" s="89" t="n">
        <v>85.50713</v>
      </c>
      <c r="W1052" s="89" t="n">
        <v>61.83849</v>
      </c>
      <c r="X1052" s="89" t="n">
        <v>55.20665</v>
      </c>
      <c r="Y1052" s="89" t="n">
        <v>78.31382000000001</v>
      </c>
      <c r="Z1052" s="89" t="n">
        <v>125.5895</v>
      </c>
      <c r="AA1052" s="89" t="n">
        <v>113.7964</v>
      </c>
      <c r="AB1052" s="89" t="n">
        <v>67.57537000000001</v>
      </c>
      <c r="AC1052" s="89" t="n">
        <v>118.4901</v>
      </c>
      <c r="AD1052" s="89" t="n">
        <v>92.09999999999999</v>
      </c>
      <c r="AE1052" s="89" t="n">
        <v>101.2221</v>
      </c>
      <c r="AF1052" s="89" t="n">
        <v>99.49171</v>
      </c>
      <c r="AG1052" s="89" t="n">
        <v>114.2746</v>
      </c>
      <c r="AH1052" s="89" t="n">
        <v>96.60590999999999</v>
      </c>
      <c r="AI1052" s="89" t="n">
        <v>70.7</v>
      </c>
      <c r="AJ1052" s="89" t="n">
        <v>125.2501</v>
      </c>
      <c r="AK1052" s="89" t="n">
        <v>63.11052</v>
      </c>
      <c r="AL1052" s="89" t="n">
        <v>98.90824000000001</v>
      </c>
      <c r="AM1052" s="89" t="n">
        <v>109.5</v>
      </c>
      <c r="AN1052" s="89" t="n"/>
      <c r="AO1052" s="89" t="n">
        <v>97.90656</v>
      </c>
      <c r="AP1052" s="89" t="n">
        <v>103.4827</v>
      </c>
      <c r="AQ1052" s="89" t="n"/>
      <c r="AR1052" s="89" t="n"/>
      <c r="AS1052" s="89" t="n"/>
      <c r="AT1052" s="89" t="n">
        <v>65.03919</v>
      </c>
      <c r="AU1052" s="89" t="n"/>
      <c r="AV1052" s="89" t="n">
        <v>81.40000000000001</v>
      </c>
      <c r="AW1052" s="89" t="n"/>
      <c r="AX1052" s="89" t="n">
        <v>64.39463000000001</v>
      </c>
      <c r="AY1052" s="89" t="n">
        <v>100.8533</v>
      </c>
    </row>
    <row r="1053">
      <c r="A1053" t="inlineStr">
        <is>
          <t>2006-08</t>
        </is>
      </c>
      <c r="B1053" s="1" t="n">
        <v>38930</v>
      </c>
      <c r="C1053" s="88" t="n">
        <v>1053</v>
      </c>
      <c r="E1053" s="1">
        <f>B1053</f>
        <v/>
      </c>
      <c r="F1053" s="2">
        <f>B1053</f>
        <v/>
      </c>
      <c r="G1053" s="88" t="n">
        <v>1051</v>
      </c>
      <c r="H1053" s="89" t="n"/>
      <c r="I1053" s="89" t="n"/>
      <c r="J1053" s="89" t="n">
        <v>87.49271</v>
      </c>
      <c r="K1053" s="89" t="n">
        <v>99.40501</v>
      </c>
      <c r="L1053" s="89" t="n"/>
      <c r="M1053" s="89" t="n">
        <v>85.68572</v>
      </c>
      <c r="N1053" s="89" t="n">
        <v>92.39230000000001</v>
      </c>
      <c r="O1053" s="89" t="n">
        <v>119.6</v>
      </c>
      <c r="P1053" s="89" t="n">
        <v>131.6611</v>
      </c>
      <c r="Q1053" s="89" t="n"/>
      <c r="R1053" s="89" t="n">
        <v>116</v>
      </c>
      <c r="S1053" s="89" t="n">
        <v>110.5109</v>
      </c>
      <c r="T1053" s="89" t="n">
        <v>108.7039</v>
      </c>
      <c r="U1053" s="89" t="n">
        <v>142.5337</v>
      </c>
      <c r="V1053" s="89" t="n">
        <v>82.00684</v>
      </c>
      <c r="W1053" s="89" t="n">
        <v>61.66028</v>
      </c>
      <c r="X1053" s="89" t="n">
        <v>58.29879</v>
      </c>
      <c r="Y1053" s="89" t="n">
        <v>80.56206</v>
      </c>
      <c r="Z1053" s="89" t="n">
        <v>127.1894</v>
      </c>
      <c r="AA1053" s="89" t="n">
        <v>114.1225</v>
      </c>
      <c r="AB1053" s="89" t="n">
        <v>72.41495999999999</v>
      </c>
      <c r="AC1053" s="89" t="n">
        <v>116.6903</v>
      </c>
      <c r="AD1053" s="89" t="n">
        <v>93.7</v>
      </c>
      <c r="AE1053" s="89" t="n">
        <v>102.0511</v>
      </c>
      <c r="AF1053" s="89" t="n">
        <v>99.09174</v>
      </c>
      <c r="AG1053" s="89" t="n">
        <v>113.8092</v>
      </c>
      <c r="AH1053" s="89" t="n">
        <v>97.19014</v>
      </c>
      <c r="AI1053" s="89" t="n">
        <v>70.3</v>
      </c>
      <c r="AJ1053" s="89" t="n">
        <v>125.2076</v>
      </c>
      <c r="AK1053" s="89" t="n">
        <v>64.61077</v>
      </c>
      <c r="AL1053" s="89" t="n">
        <v>96.20802</v>
      </c>
      <c r="AM1053" s="89" t="n">
        <v>111.7</v>
      </c>
      <c r="AN1053" s="89" t="n"/>
      <c r="AO1053" s="89" t="n">
        <v>98.29152999999999</v>
      </c>
      <c r="AP1053" s="89" t="n">
        <v>103.7827</v>
      </c>
      <c r="AQ1053" s="89" t="n"/>
      <c r="AR1053" s="89" t="n"/>
      <c r="AS1053" s="89" t="n"/>
      <c r="AT1053" s="89" t="n">
        <v>63.901</v>
      </c>
      <c r="AU1053" s="89" t="n"/>
      <c r="AV1053" s="89" t="n">
        <v>82.8</v>
      </c>
      <c r="AW1053" s="89" t="n"/>
      <c r="AX1053" s="89" t="n">
        <v>64.19465</v>
      </c>
      <c r="AY1053" s="89" t="n">
        <v>100.6331</v>
      </c>
    </row>
    <row r="1054">
      <c r="A1054" t="inlineStr">
        <is>
          <t>2006-09</t>
        </is>
      </c>
      <c r="B1054" s="1" t="n">
        <v>38961</v>
      </c>
      <c r="C1054" s="88" t="n">
        <v>1054</v>
      </c>
      <c r="E1054" s="1">
        <f>B1054</f>
        <v/>
      </c>
      <c r="F1054" s="2">
        <f>B1054</f>
        <v/>
      </c>
      <c r="G1054" s="88" t="n">
        <v>1052</v>
      </c>
      <c r="H1054" s="89" t="n"/>
      <c r="I1054" s="89" t="n"/>
      <c r="J1054" s="89" t="n">
        <v>89.69253</v>
      </c>
      <c r="K1054" s="89" t="n">
        <v>97.77441</v>
      </c>
      <c r="L1054" s="89" t="n"/>
      <c r="M1054" s="89" t="n">
        <v>87.58540000000001</v>
      </c>
      <c r="N1054" s="89" t="n">
        <v>92.29231</v>
      </c>
      <c r="O1054" s="89" t="n">
        <v>115</v>
      </c>
      <c r="P1054" s="89" t="n">
        <v>132.8301</v>
      </c>
      <c r="Q1054" s="89" t="n"/>
      <c r="R1054" s="89" t="n">
        <v>116.1</v>
      </c>
      <c r="S1054" s="89" t="n">
        <v>112.2109</v>
      </c>
      <c r="T1054" s="89" t="n">
        <v>108.9116</v>
      </c>
      <c r="U1054" s="89" t="n">
        <v>139.5372</v>
      </c>
      <c r="V1054" s="89" t="n">
        <v>85.30710999999999</v>
      </c>
      <c r="W1054" s="89" t="n">
        <v>62.0167</v>
      </c>
      <c r="X1054" s="89" t="n">
        <v>53.31069</v>
      </c>
      <c r="Y1054" s="89" t="n">
        <v>80.93677</v>
      </c>
      <c r="Z1054" s="89" t="n">
        <v>126.9894</v>
      </c>
      <c r="AA1054" s="89" t="n">
        <v>114.0138</v>
      </c>
      <c r="AB1054" s="89" t="n">
        <v>73.88184</v>
      </c>
      <c r="AC1054" s="89" t="n">
        <v>120.8899</v>
      </c>
      <c r="AD1054" s="89" t="n">
        <v>93.90000000000001</v>
      </c>
      <c r="AE1054" s="89" t="n">
        <v>101.8977</v>
      </c>
      <c r="AF1054" s="89" t="n">
        <v>97.09191</v>
      </c>
      <c r="AG1054" s="89" t="n">
        <v>112.9946</v>
      </c>
      <c r="AH1054" s="89" t="n">
        <v>97.29507</v>
      </c>
      <c r="AI1054" s="89" t="n">
        <v>71.40000000000001</v>
      </c>
      <c r="AJ1054" s="89" t="n">
        <v>124.35</v>
      </c>
      <c r="AK1054" s="89" t="n">
        <v>64.11069000000001</v>
      </c>
      <c r="AL1054" s="89" t="n">
        <v>97.50812999999999</v>
      </c>
      <c r="AM1054" s="89" t="n">
        <v>113.9</v>
      </c>
      <c r="AN1054" s="89" t="n"/>
      <c r="AO1054" s="89" t="n">
        <v>98.09223</v>
      </c>
      <c r="AP1054" s="89" t="n">
        <v>103.8827</v>
      </c>
      <c r="AQ1054" s="89" t="n"/>
      <c r="AR1054" s="89" t="n"/>
      <c r="AS1054" s="89" t="n"/>
      <c r="AT1054" s="89" t="n">
        <v>65.57821</v>
      </c>
      <c r="AU1054" s="89" t="n"/>
      <c r="AV1054" s="89" t="n">
        <v>83.09999999999999</v>
      </c>
      <c r="AW1054" s="89" t="n"/>
      <c r="AX1054" s="89" t="n">
        <v>64.19465</v>
      </c>
      <c r="AY1054" s="89" t="n">
        <v>99.42197</v>
      </c>
    </row>
    <row r="1055">
      <c r="A1055" t="inlineStr">
        <is>
          <t>2006-10</t>
        </is>
      </c>
      <c r="B1055" s="1" t="n">
        <v>38991</v>
      </c>
      <c r="C1055" s="88" t="n">
        <v>1055</v>
      </c>
      <c r="E1055" s="1">
        <f>B1055</f>
        <v/>
      </c>
      <c r="F1055" s="2">
        <f>B1055</f>
        <v/>
      </c>
      <c r="G1055" s="88" t="n">
        <v>1053</v>
      </c>
      <c r="H1055" s="89" t="n"/>
      <c r="I1055" s="89" t="n"/>
      <c r="J1055" s="89" t="n">
        <v>91.59237</v>
      </c>
      <c r="K1055" s="89" t="n">
        <v>97.58125</v>
      </c>
      <c r="L1055" s="89" t="n"/>
      <c r="M1055" s="89" t="n">
        <v>87.18547</v>
      </c>
      <c r="N1055" s="89" t="n">
        <v>92.09232</v>
      </c>
      <c r="O1055" s="89" t="n">
        <v>121</v>
      </c>
      <c r="P1055" s="89" t="n">
        <v>131.8171</v>
      </c>
      <c r="Q1055" s="89" t="n"/>
      <c r="R1055" s="89" t="n">
        <v>115.3</v>
      </c>
      <c r="S1055" s="89" t="n">
        <v>111.3109</v>
      </c>
      <c r="T1055" s="89" t="n">
        <v>108.4963</v>
      </c>
      <c r="U1055" s="89" t="n">
        <v>142.2341</v>
      </c>
      <c r="V1055" s="89" t="n">
        <v>87.40729</v>
      </c>
      <c r="W1055" s="89" t="n">
        <v>59.87819</v>
      </c>
      <c r="X1055" s="89" t="n">
        <v>48.92491</v>
      </c>
      <c r="Y1055" s="89" t="n">
        <v>81.87354000000001</v>
      </c>
      <c r="Z1055" s="89" t="n">
        <v>127.1894</v>
      </c>
      <c r="AA1055" s="89" t="n">
        <v>114.4485</v>
      </c>
      <c r="AB1055" s="89" t="n">
        <v>76.31864</v>
      </c>
      <c r="AC1055" s="89" t="n">
        <v>117.6902</v>
      </c>
      <c r="AD1055" s="89" t="n">
        <v>93.2</v>
      </c>
      <c r="AE1055" s="89" t="n">
        <v>101.1599</v>
      </c>
      <c r="AF1055" s="89" t="n">
        <v>97.09191</v>
      </c>
      <c r="AG1055" s="89" t="n">
        <v>110.8999</v>
      </c>
      <c r="AH1055" s="89" t="n">
        <v>97.51836</v>
      </c>
      <c r="AI1055" s="89" t="n">
        <v>71.7</v>
      </c>
      <c r="AJ1055" s="89" t="n">
        <v>123.9894</v>
      </c>
      <c r="AK1055" s="89" t="n">
        <v>64.11069000000001</v>
      </c>
      <c r="AL1055" s="89" t="n">
        <v>98.80824</v>
      </c>
      <c r="AM1055" s="89" t="n">
        <v>114.9</v>
      </c>
      <c r="AN1055" s="89" t="n"/>
      <c r="AO1055" s="89" t="n">
        <v>98.03613</v>
      </c>
      <c r="AP1055" s="89" t="n">
        <v>103.5827</v>
      </c>
      <c r="AQ1055" s="89" t="n"/>
      <c r="AR1055" s="89" t="n"/>
      <c r="AS1055" s="89" t="n"/>
      <c r="AT1055" s="89" t="n">
        <v>64.42594</v>
      </c>
      <c r="AU1055" s="89" t="n"/>
      <c r="AV1055" s="89" t="n">
        <v>83.8</v>
      </c>
      <c r="AW1055" s="89" t="n"/>
      <c r="AX1055" s="89" t="n">
        <v>64.59462000000001</v>
      </c>
      <c r="AY1055" s="89" t="n">
        <v>99.97247</v>
      </c>
    </row>
    <row r="1056">
      <c r="A1056" t="inlineStr">
        <is>
          <t>2006-11</t>
        </is>
      </c>
      <c r="B1056" s="1" t="n">
        <v>39022</v>
      </c>
      <c r="C1056" s="88" t="n">
        <v>1056</v>
      </c>
      <c r="E1056" s="1">
        <f>B1056</f>
        <v/>
      </c>
      <c r="F1056" s="2">
        <f>B1056</f>
        <v/>
      </c>
      <c r="G1056" s="88" t="n">
        <v>1054</v>
      </c>
      <c r="H1056" s="89" t="n"/>
      <c r="I1056" s="89" t="n"/>
      <c r="J1056" s="89" t="n">
        <v>90.89243</v>
      </c>
      <c r="K1056" s="89" t="n">
        <v>97.50367</v>
      </c>
      <c r="L1056" s="89" t="n"/>
      <c r="M1056" s="89" t="n">
        <v>88.98517</v>
      </c>
      <c r="N1056" s="89" t="n">
        <v>93.69219</v>
      </c>
      <c r="O1056" s="89" t="n">
        <v>120</v>
      </c>
      <c r="P1056" s="89" t="n">
        <v>133.6241</v>
      </c>
      <c r="Q1056" s="89" t="n"/>
      <c r="R1056" s="89" t="n">
        <v>116.3</v>
      </c>
      <c r="S1056" s="89" t="n">
        <v>110.6809</v>
      </c>
      <c r="T1056" s="89" t="n">
        <v>108.9116</v>
      </c>
      <c r="U1056" s="89" t="n">
        <v>137.7393</v>
      </c>
      <c r="V1056" s="89" t="n">
        <v>87.70731000000001</v>
      </c>
      <c r="W1056" s="89" t="n">
        <v>59.81879</v>
      </c>
      <c r="X1056" s="89" t="n">
        <v>49.06241</v>
      </c>
      <c r="Y1056" s="89" t="n">
        <v>84.40281</v>
      </c>
      <c r="Z1056" s="89" t="n">
        <v>127.3894</v>
      </c>
      <c r="AA1056" s="89" t="n">
        <v>115.5354</v>
      </c>
      <c r="AB1056" s="89" t="n">
        <v>75.36672</v>
      </c>
      <c r="AC1056" s="89" t="n">
        <v>120.7899</v>
      </c>
      <c r="AD1056" s="89" t="n">
        <v>92.2</v>
      </c>
      <c r="AE1056" s="89" t="n">
        <v>101.1641</v>
      </c>
      <c r="AF1056" s="89" t="n">
        <v>100.8916</v>
      </c>
      <c r="AG1056" s="89" t="n">
        <v>110.6672</v>
      </c>
      <c r="AH1056" s="89" t="n">
        <v>97.83575999999999</v>
      </c>
      <c r="AI1056" s="89" t="n">
        <v>71.59999999999999</v>
      </c>
      <c r="AJ1056" s="89" t="n">
        <v>125.9869</v>
      </c>
      <c r="AK1056" s="89" t="n">
        <v>65.11086</v>
      </c>
      <c r="AL1056" s="89" t="n">
        <v>100.8084</v>
      </c>
      <c r="AM1056" s="89" t="n">
        <v>115.3</v>
      </c>
      <c r="AN1056" s="89" t="n"/>
      <c r="AO1056" s="89" t="n">
        <v>97.94199999999999</v>
      </c>
      <c r="AP1056" s="89" t="n">
        <v>104.5826</v>
      </c>
      <c r="AQ1056" s="89" t="n"/>
      <c r="AR1056" s="89" t="n"/>
      <c r="AS1056" s="89" t="n"/>
      <c r="AT1056" s="89" t="n">
        <v>70.02255</v>
      </c>
      <c r="AU1056" s="89" t="n"/>
      <c r="AV1056" s="89" t="n">
        <v>83.40000000000001</v>
      </c>
      <c r="AW1056" s="89" t="n"/>
      <c r="AX1056" s="89" t="n">
        <v>64.29464</v>
      </c>
      <c r="AY1056" s="89" t="n">
        <v>101.4038</v>
      </c>
    </row>
    <row r="1057">
      <c r="A1057" t="inlineStr">
        <is>
          <t>2006-12</t>
        </is>
      </c>
      <c r="B1057" s="1" t="n">
        <v>39052</v>
      </c>
      <c r="C1057" s="88" t="n">
        <v>1057</v>
      </c>
      <c r="E1057" s="1">
        <f>B1057</f>
        <v/>
      </c>
      <c r="F1057" s="2">
        <f>B1057</f>
        <v/>
      </c>
      <c r="G1057" s="88" t="n">
        <v>1055</v>
      </c>
      <c r="H1057" s="89" t="n"/>
      <c r="I1057" s="89" t="n"/>
      <c r="J1057" s="89" t="n">
        <v>94.89209</v>
      </c>
      <c r="K1057" s="89" t="n">
        <v>98.50476999999999</v>
      </c>
      <c r="L1057" s="89" t="n"/>
      <c r="M1057" s="89" t="n">
        <v>90.08498</v>
      </c>
      <c r="N1057" s="89" t="n">
        <v>94.59211999999999</v>
      </c>
      <c r="O1057" s="89" t="n">
        <v>122.1</v>
      </c>
      <c r="P1057" s="89" t="n">
        <v>136.3391</v>
      </c>
      <c r="Q1057" s="89" t="n"/>
      <c r="R1057" s="89" t="n">
        <v>113.9</v>
      </c>
      <c r="S1057" s="89" t="n">
        <v>112.5309</v>
      </c>
      <c r="T1057" s="89" t="n">
        <v>108.1848</v>
      </c>
      <c r="U1057" s="89" t="n">
        <v>142.3339</v>
      </c>
      <c r="V1057" s="89" t="n">
        <v>90.10751</v>
      </c>
      <c r="W1057" s="89" t="n">
        <v>63.67999</v>
      </c>
      <c r="X1057" s="89" t="n">
        <v>49.14557</v>
      </c>
      <c r="Y1057" s="89" t="n">
        <v>82.99766</v>
      </c>
      <c r="Z1057" s="89" t="n">
        <v>129.3892</v>
      </c>
      <c r="AA1057" s="89" t="n">
        <v>115.6441</v>
      </c>
      <c r="AB1057" s="89" t="n">
        <v>72.63395</v>
      </c>
      <c r="AC1057" s="89" t="n">
        <v>118.1901</v>
      </c>
      <c r="AD1057" s="89" t="n">
        <v>95.59999999999999</v>
      </c>
      <c r="AE1057" s="89" t="n">
        <v>100.7298</v>
      </c>
      <c r="AF1057" s="89" t="n">
        <v>101.5915</v>
      </c>
      <c r="AG1057" s="89" t="n">
        <v>114.6237</v>
      </c>
      <c r="AH1057" s="89" t="n">
        <v>98.58614</v>
      </c>
      <c r="AI1057" s="89" t="n">
        <v>75</v>
      </c>
      <c r="AJ1057" s="89" t="n">
        <v>130.0419</v>
      </c>
      <c r="AK1057" s="89" t="n">
        <v>65.91099</v>
      </c>
      <c r="AL1057" s="89" t="n">
        <v>103.7086</v>
      </c>
      <c r="AM1057" s="89" t="n">
        <v>119.4</v>
      </c>
      <c r="AN1057" s="89" t="n"/>
      <c r="AO1057" s="89" t="n">
        <v>98.96053000000001</v>
      </c>
      <c r="AP1057" s="89" t="n">
        <v>106.0823</v>
      </c>
      <c r="AQ1057" s="89" t="n"/>
      <c r="AR1057" s="89" t="n"/>
      <c r="AS1057" s="89" t="n"/>
      <c r="AT1057" s="89" t="n">
        <v>68.87399000000001</v>
      </c>
      <c r="AU1057" s="89" t="n"/>
      <c r="AV1057" s="89" t="n">
        <v>84</v>
      </c>
      <c r="AW1057" s="89" t="n"/>
      <c r="AX1057" s="89" t="n">
        <v>66.69444</v>
      </c>
      <c r="AY1057" s="89" t="n">
        <v>102.725</v>
      </c>
    </row>
    <row r="1058">
      <c r="A1058" t="inlineStr">
        <is>
          <t>2007-01</t>
        </is>
      </c>
      <c r="B1058" s="1" t="n">
        <v>39083</v>
      </c>
      <c r="C1058" s="88" t="n">
        <v>1058</v>
      </c>
      <c r="E1058" s="1">
        <f>B1058</f>
        <v/>
      </c>
      <c r="F1058" s="2">
        <f>B1058</f>
        <v/>
      </c>
      <c r="G1058" s="88" t="n">
        <v>1056</v>
      </c>
      <c r="H1058" s="89" t="n"/>
      <c r="I1058" s="89" t="n"/>
      <c r="J1058" s="89" t="n">
        <v>93.99216</v>
      </c>
      <c r="K1058" s="89" t="n">
        <v>98.07752000000001</v>
      </c>
      <c r="L1058" s="89" t="n"/>
      <c r="M1058" s="89" t="n">
        <v>93.98434</v>
      </c>
      <c r="N1058" s="89" t="n">
        <v>95.09208</v>
      </c>
      <c r="O1058" s="89" t="n">
        <v>116.5</v>
      </c>
      <c r="P1058" s="89" t="n">
        <v>134.5641</v>
      </c>
      <c r="Q1058" s="89" t="n"/>
      <c r="R1058" s="89" t="n">
        <v>119.7</v>
      </c>
      <c r="S1058" s="89" t="n">
        <v>111.3009</v>
      </c>
      <c r="T1058" s="89" t="n">
        <v>109.7422</v>
      </c>
      <c r="U1058" s="89" t="n">
        <v>149.6254</v>
      </c>
      <c r="V1058" s="89" t="n">
        <v>88.00733</v>
      </c>
      <c r="W1058" s="89" t="n">
        <v>63.50178</v>
      </c>
      <c r="X1058" s="89" t="n">
        <v>52.02827</v>
      </c>
      <c r="Y1058" s="89" t="n">
        <v>82.43559999999999</v>
      </c>
      <c r="Z1058" s="89" t="n">
        <v>128.1893</v>
      </c>
      <c r="AA1058" s="89" t="n">
        <v>114.4485</v>
      </c>
      <c r="AB1058" s="89" t="n">
        <v>73.12991</v>
      </c>
      <c r="AC1058" s="89" t="n">
        <v>120.9899</v>
      </c>
      <c r="AD1058" s="89" t="n">
        <v>94.3</v>
      </c>
      <c r="AE1058" s="89" t="n">
        <v>101.0669</v>
      </c>
      <c r="AF1058" s="89" t="n">
        <v>101.2916</v>
      </c>
      <c r="AG1058" s="89" t="n">
        <v>112.8782</v>
      </c>
      <c r="AH1058" s="89" t="n">
        <v>98.3502</v>
      </c>
      <c r="AI1058" s="89" t="n">
        <v>74.40000000000001</v>
      </c>
      <c r="AJ1058" s="89" t="n">
        <v>126.0536</v>
      </c>
      <c r="AK1058" s="89" t="n">
        <v>68.91148</v>
      </c>
      <c r="AL1058" s="89" t="n">
        <v>102.4085</v>
      </c>
      <c r="AM1058" s="89" t="n">
        <v>116.5</v>
      </c>
      <c r="AN1058" s="89" t="n"/>
      <c r="AO1058" s="89" t="n">
        <v>98.44579</v>
      </c>
      <c r="AP1058" s="89" t="n">
        <v>105.6824</v>
      </c>
      <c r="AQ1058" s="89" t="n"/>
      <c r="AR1058" s="89" t="n"/>
      <c r="AS1058" s="89" t="n"/>
      <c r="AT1058" s="89" t="n">
        <v>69.78814</v>
      </c>
      <c r="AU1058" s="89" t="n"/>
      <c r="AV1058" s="89" t="n">
        <v>85.59999999999999</v>
      </c>
      <c r="AW1058" s="89" t="n"/>
      <c r="AX1058" s="89" t="n">
        <v>69.39422</v>
      </c>
      <c r="AY1058" s="89" t="n">
        <v>102.0644</v>
      </c>
    </row>
    <row r="1059">
      <c r="A1059" t="inlineStr">
        <is>
          <t>2007-02</t>
        </is>
      </c>
      <c r="B1059" s="1" t="n">
        <v>39114</v>
      </c>
      <c r="C1059" s="88" t="n">
        <v>1059</v>
      </c>
      <c r="E1059" s="1">
        <f>B1059</f>
        <v/>
      </c>
      <c r="F1059" s="2">
        <f>B1059</f>
        <v/>
      </c>
      <c r="G1059" s="88" t="n">
        <v>1057</v>
      </c>
      <c r="H1059" s="89" t="n"/>
      <c r="I1059" s="89" t="n"/>
      <c r="J1059" s="89" t="n">
        <v>93.79218</v>
      </c>
      <c r="K1059" s="89" t="n">
        <v>99.13132</v>
      </c>
      <c r="L1059" s="89" t="n"/>
      <c r="M1059" s="89" t="n">
        <v>93.5844</v>
      </c>
      <c r="N1059" s="89" t="n">
        <v>95.49204</v>
      </c>
      <c r="O1059" s="89" t="n">
        <v>118.6</v>
      </c>
      <c r="P1059" s="89" t="n">
        <v>134.2981</v>
      </c>
      <c r="Q1059" s="89" t="n"/>
      <c r="R1059" s="89" t="n">
        <v>121.1</v>
      </c>
      <c r="S1059" s="89" t="n">
        <v>112.3109</v>
      </c>
      <c r="T1059" s="89" t="n">
        <v>108.9116</v>
      </c>
      <c r="U1059" s="89" t="n">
        <v>148.2271</v>
      </c>
      <c r="V1059" s="89" t="n">
        <v>88.50738</v>
      </c>
      <c r="W1059" s="89" t="n">
        <v>64.86803999999999</v>
      </c>
      <c r="X1059" s="89" t="n">
        <v>53.79016</v>
      </c>
      <c r="Y1059" s="89" t="n">
        <v>82.90398</v>
      </c>
      <c r="Z1059" s="89" t="n">
        <v>128.9893</v>
      </c>
      <c r="AA1059" s="89" t="n">
        <v>115.1007</v>
      </c>
      <c r="AB1059" s="89" t="n">
        <v>74.31180999999999</v>
      </c>
      <c r="AC1059" s="89" t="n">
        <v>120.29</v>
      </c>
      <c r="AD1059" s="89" t="n">
        <v>94.40000000000001</v>
      </c>
      <c r="AE1059" s="89" t="n">
        <v>101.6069</v>
      </c>
      <c r="AF1059" s="89" t="n">
        <v>102.5915</v>
      </c>
      <c r="AG1059" s="89" t="n">
        <v>112.2964</v>
      </c>
      <c r="AH1059" s="89" t="n">
        <v>98.92008</v>
      </c>
      <c r="AI1059" s="89" t="n">
        <v>74.2</v>
      </c>
      <c r="AJ1059" s="89" t="n">
        <v>122.1445</v>
      </c>
      <c r="AK1059" s="89" t="n">
        <v>67.71129000000001</v>
      </c>
      <c r="AL1059" s="89" t="n">
        <v>101.2084</v>
      </c>
      <c r="AM1059" s="89" t="n">
        <v>117.7</v>
      </c>
      <c r="AN1059" s="89" t="n"/>
      <c r="AO1059" s="89" t="n">
        <v>99.43810000000001</v>
      </c>
      <c r="AP1059" s="89" t="n">
        <v>106.2823</v>
      </c>
      <c r="AQ1059" s="89" t="n"/>
      <c r="AR1059" s="89" t="n"/>
      <c r="AS1059" s="89" t="n"/>
      <c r="AT1059" s="89" t="n">
        <v>70.20905</v>
      </c>
      <c r="AU1059" s="89" t="n"/>
      <c r="AV1059" s="89" t="n">
        <v>85</v>
      </c>
      <c r="AW1059" s="89" t="n"/>
      <c r="AX1059" s="89" t="n">
        <v>67.79434999999999</v>
      </c>
      <c r="AY1059" s="89" t="n">
        <v>103.3856</v>
      </c>
    </row>
    <row r="1060">
      <c r="A1060" t="inlineStr">
        <is>
          <t>2007-03</t>
        </is>
      </c>
      <c r="B1060" s="1" t="n">
        <v>39142</v>
      </c>
      <c r="C1060" s="88" t="n">
        <v>1060</v>
      </c>
      <c r="E1060" s="1">
        <f>B1060</f>
        <v/>
      </c>
      <c r="F1060" s="2">
        <f>B1060</f>
        <v/>
      </c>
      <c r="G1060" s="88" t="n">
        <v>1058</v>
      </c>
      <c r="H1060" s="89" t="n"/>
      <c r="I1060" s="89" t="n"/>
      <c r="J1060" s="89" t="n">
        <v>94.19215</v>
      </c>
      <c r="K1060" s="89" t="n">
        <v>99.31486</v>
      </c>
      <c r="L1060" s="89" t="n"/>
      <c r="M1060" s="89" t="n">
        <v>94.58423999999999</v>
      </c>
      <c r="N1060" s="89" t="n">
        <v>95.992</v>
      </c>
      <c r="O1060" s="89" t="n">
        <v>114.6</v>
      </c>
      <c r="P1060" s="89" t="n">
        <v>136.3381</v>
      </c>
      <c r="Q1060" s="89" t="n"/>
      <c r="R1060" s="89" t="n">
        <v>122.3</v>
      </c>
      <c r="S1060" s="89" t="n">
        <v>113.1509</v>
      </c>
      <c r="T1060" s="89" t="n">
        <v>108.9116</v>
      </c>
      <c r="U1060" s="89" t="n">
        <v>141.7346</v>
      </c>
      <c r="V1060" s="89" t="n">
        <v>88.20735000000001</v>
      </c>
      <c r="W1060" s="89" t="n">
        <v>64.68983</v>
      </c>
      <c r="X1060" s="89" t="n">
        <v>53.36667</v>
      </c>
      <c r="Y1060" s="89" t="n">
        <v>84.68384</v>
      </c>
      <c r="Z1060" s="89" t="n">
        <v>129.7892</v>
      </c>
      <c r="AA1060" s="89" t="n">
        <v>115.1007</v>
      </c>
      <c r="AB1060" s="89" t="n">
        <v>73.50188</v>
      </c>
      <c r="AC1060" s="89" t="n">
        <v>119.0901</v>
      </c>
      <c r="AD1060" s="89" t="n">
        <v>97.09999999999999</v>
      </c>
      <c r="AE1060" s="89" t="n">
        <v>103.0061</v>
      </c>
      <c r="AF1060" s="89" t="n">
        <v>102.6914</v>
      </c>
      <c r="AG1060" s="89" t="n">
        <v>111.1327</v>
      </c>
      <c r="AH1060" s="89" t="n">
        <v>99.26678</v>
      </c>
      <c r="AI1060" s="89" t="n">
        <v>75.59999999999999</v>
      </c>
      <c r="AJ1060" s="89" t="n">
        <v>124.0149</v>
      </c>
      <c r="AK1060" s="89" t="n">
        <v>70.41173999999999</v>
      </c>
      <c r="AL1060" s="89" t="n">
        <v>100.7084</v>
      </c>
      <c r="AM1060" s="89" t="n">
        <v>119.1</v>
      </c>
      <c r="AN1060" s="89" t="n"/>
      <c r="AO1060" s="89" t="n">
        <v>99.65488000000001</v>
      </c>
      <c r="AP1060" s="89" t="n">
        <v>106.7822</v>
      </c>
      <c r="AQ1060" s="89" t="n"/>
      <c r="AR1060" s="89" t="n"/>
      <c r="AS1060" s="89" t="n"/>
      <c r="AT1060" s="89" t="n">
        <v>71.69779</v>
      </c>
      <c r="AU1060" s="89" t="n"/>
      <c r="AV1060" s="89" t="n">
        <v>86.2</v>
      </c>
      <c r="AW1060" s="89" t="n"/>
      <c r="AX1060" s="89" t="n">
        <v>68.89426</v>
      </c>
      <c r="AY1060" s="89" t="n">
        <v>104.4866</v>
      </c>
    </row>
    <row r="1061">
      <c r="A1061" t="inlineStr">
        <is>
          <t>2007-04</t>
        </is>
      </c>
      <c r="B1061" s="1" t="n">
        <v>39173</v>
      </c>
      <c r="C1061" s="88" t="n">
        <v>1061</v>
      </c>
      <c r="E1061" s="1">
        <f>B1061</f>
        <v/>
      </c>
      <c r="F1061" s="2">
        <f>B1061</f>
        <v/>
      </c>
      <c r="G1061" s="88" t="n">
        <v>1059</v>
      </c>
      <c r="H1061" s="89" t="n"/>
      <c r="I1061" s="89" t="n"/>
      <c r="J1061" s="89" t="n">
        <v>93.79218</v>
      </c>
      <c r="K1061" s="89" t="n">
        <v>98.87475999999999</v>
      </c>
      <c r="L1061" s="89" t="n"/>
      <c r="M1061" s="89" t="n">
        <v>93.28445000000001</v>
      </c>
      <c r="N1061" s="89" t="n">
        <v>95.09208</v>
      </c>
      <c r="O1061" s="89" t="n">
        <v>113.9</v>
      </c>
      <c r="P1061" s="89" t="n">
        <v>132.6131</v>
      </c>
      <c r="Q1061" s="89" t="n"/>
      <c r="R1061" s="89" t="n">
        <v>119.1</v>
      </c>
      <c r="S1061" s="89" t="n">
        <v>111.2709</v>
      </c>
      <c r="T1061" s="89" t="n">
        <v>108.6001</v>
      </c>
      <c r="U1061" s="89" t="n">
        <v>142.5337</v>
      </c>
      <c r="V1061" s="89" t="n">
        <v>89.50745999999999</v>
      </c>
      <c r="W1061" s="89" t="n">
        <v>64.0958</v>
      </c>
      <c r="X1061" s="89" t="n">
        <v>52.14326</v>
      </c>
      <c r="Y1061" s="89" t="n">
        <v>83.27869</v>
      </c>
      <c r="Z1061" s="89" t="n">
        <v>127.4894</v>
      </c>
      <c r="AA1061" s="89" t="n">
        <v>114.7746</v>
      </c>
      <c r="AB1061" s="89" t="n">
        <v>75.17773</v>
      </c>
      <c r="AC1061" s="89" t="n">
        <v>115.7904</v>
      </c>
      <c r="AD1061" s="89" t="n">
        <v>91.7</v>
      </c>
      <c r="AE1061" s="89" t="n">
        <v>102.5505</v>
      </c>
      <c r="AF1061" s="89" t="n">
        <v>101.0916</v>
      </c>
      <c r="AG1061" s="89" t="n">
        <v>117.9985</v>
      </c>
      <c r="AH1061" s="89" t="n">
        <v>99.16495999999999</v>
      </c>
      <c r="AI1061" s="89" t="n">
        <v>74.5</v>
      </c>
      <c r="AJ1061" s="89" t="n">
        <v>119.7231</v>
      </c>
      <c r="AK1061" s="89" t="n">
        <v>68.81147</v>
      </c>
      <c r="AL1061" s="89" t="n">
        <v>102.8086</v>
      </c>
      <c r="AM1061" s="89" t="n">
        <v>117.6</v>
      </c>
      <c r="AN1061" s="89" t="n"/>
      <c r="AO1061" s="89" t="n">
        <v>100.3554</v>
      </c>
      <c r="AP1061" s="89" t="n">
        <v>105.4824</v>
      </c>
      <c r="AQ1061" s="89" t="n"/>
      <c r="AR1061" s="89" t="n"/>
      <c r="AS1061" s="89" t="n"/>
      <c r="AT1061" s="89" t="n">
        <v>72.57726</v>
      </c>
      <c r="AU1061" s="89" t="n"/>
      <c r="AV1061" s="89" t="n">
        <v>85.8</v>
      </c>
      <c r="AW1061" s="89" t="n"/>
      <c r="AX1061" s="89" t="n">
        <v>69.29423</v>
      </c>
      <c r="AY1061" s="89" t="n">
        <v>105.6978</v>
      </c>
    </row>
    <row r="1062">
      <c r="A1062" t="inlineStr">
        <is>
          <t>2007-05</t>
        </is>
      </c>
      <c r="B1062" s="1" t="n">
        <v>39203</v>
      </c>
      <c r="C1062" s="88" t="n">
        <v>1062</v>
      </c>
      <c r="E1062" s="1">
        <f>B1062</f>
        <v/>
      </c>
      <c r="F1062" s="2">
        <f>B1062</f>
        <v/>
      </c>
      <c r="G1062" s="88" t="n">
        <v>1060</v>
      </c>
      <c r="H1062" s="89" t="n"/>
      <c r="I1062" s="89" t="n"/>
      <c r="J1062" s="89" t="n">
        <v>96.19199</v>
      </c>
      <c r="K1062" s="89" t="n">
        <v>99.09520999999999</v>
      </c>
      <c r="L1062" s="89" t="n"/>
      <c r="M1062" s="89" t="n">
        <v>93.78437</v>
      </c>
      <c r="N1062" s="89" t="n">
        <v>96.79192999999999</v>
      </c>
      <c r="O1062" s="89" t="n">
        <v>112.7</v>
      </c>
      <c r="P1062" s="89" t="n">
        <v>136.4601</v>
      </c>
      <c r="Q1062" s="89" t="n"/>
      <c r="R1062" s="89" t="n">
        <v>119.1</v>
      </c>
      <c r="S1062" s="89" t="n">
        <v>113.9409</v>
      </c>
      <c r="T1062" s="89" t="n">
        <v>110.3651</v>
      </c>
      <c r="U1062" s="89" t="n">
        <v>146.5291</v>
      </c>
      <c r="V1062" s="89" t="n">
        <v>88.30736</v>
      </c>
      <c r="W1062" s="89" t="n">
        <v>61.06625</v>
      </c>
      <c r="X1062" s="89" t="n">
        <v>51.36079</v>
      </c>
      <c r="Y1062" s="89" t="n">
        <v>85.24590000000001</v>
      </c>
      <c r="Z1062" s="89" t="n">
        <v>130.1891</v>
      </c>
      <c r="AA1062" s="89" t="n">
        <v>116.0788</v>
      </c>
      <c r="AB1062" s="89" t="n">
        <v>75.90568</v>
      </c>
      <c r="AC1062" s="89" t="n">
        <v>115.6904</v>
      </c>
      <c r="AD1062" s="89" t="n">
        <v>94.59999999999999</v>
      </c>
      <c r="AE1062" s="89" t="n">
        <v>102.3682</v>
      </c>
      <c r="AF1062" s="89" t="n">
        <v>101.6915</v>
      </c>
      <c r="AG1062" s="89" t="n">
        <v>111.5981</v>
      </c>
      <c r="AH1062" s="89" t="n">
        <v>99.92912</v>
      </c>
      <c r="AI1062" s="89" t="n">
        <v>75.3</v>
      </c>
      <c r="AJ1062" s="89" t="n">
        <v>123.2256</v>
      </c>
      <c r="AK1062" s="89" t="n">
        <v>72.71212</v>
      </c>
      <c r="AL1062" s="89" t="n">
        <v>101.4084</v>
      </c>
      <c r="AM1062" s="89" t="n">
        <v>117.9</v>
      </c>
      <c r="AN1062" s="89" t="n"/>
      <c r="AO1062" s="89" t="n">
        <v>100.4042</v>
      </c>
      <c r="AP1062" s="89" t="n">
        <v>107.3821</v>
      </c>
      <c r="AQ1062" s="89" t="n"/>
      <c r="AR1062" s="89" t="n"/>
      <c r="AS1062" s="89" t="n"/>
      <c r="AT1062" s="89" t="n">
        <v>74.67453</v>
      </c>
      <c r="AU1062" s="89" t="n"/>
      <c r="AV1062" s="89" t="n">
        <v>86.3</v>
      </c>
      <c r="AW1062" s="89" t="n"/>
      <c r="AX1062" s="89" t="n">
        <v>70.39413</v>
      </c>
      <c r="AY1062" s="89" t="n">
        <v>106.0281</v>
      </c>
    </row>
    <row r="1063">
      <c r="A1063" t="inlineStr">
        <is>
          <t>2007-06</t>
        </is>
      </c>
      <c r="B1063" s="1" t="n">
        <v>39234</v>
      </c>
      <c r="C1063" s="88" t="n">
        <v>1063</v>
      </c>
      <c r="E1063" s="1">
        <f>B1063</f>
        <v/>
      </c>
      <c r="F1063" s="2">
        <f>B1063</f>
        <v/>
      </c>
      <c r="G1063" s="88" t="n">
        <v>1061</v>
      </c>
      <c r="H1063" s="89" t="n"/>
      <c r="I1063" s="89" t="n"/>
      <c r="J1063" s="89" t="n">
        <v>96.39197</v>
      </c>
      <c r="K1063" s="89" t="n">
        <v>99.3689</v>
      </c>
      <c r="L1063" s="89" t="n"/>
      <c r="M1063" s="89" t="n">
        <v>93.78437</v>
      </c>
      <c r="N1063" s="89" t="n">
        <v>96.69194</v>
      </c>
      <c r="O1063" s="89" t="n">
        <v>115.4</v>
      </c>
      <c r="P1063" s="89" t="n">
        <v>136.7471</v>
      </c>
      <c r="Q1063" s="89" t="n"/>
      <c r="R1063" s="89" t="n">
        <v>124</v>
      </c>
      <c r="S1063" s="89" t="n">
        <v>113.5109</v>
      </c>
      <c r="T1063" s="89" t="n">
        <v>109.223</v>
      </c>
      <c r="U1063" s="89" t="n">
        <v>145.0308</v>
      </c>
      <c r="V1063" s="89" t="n">
        <v>90.50754999999999</v>
      </c>
      <c r="W1063" s="89" t="n">
        <v>60.94745</v>
      </c>
      <c r="X1063" s="89" t="n">
        <v>50.63762</v>
      </c>
      <c r="Y1063" s="89" t="n">
        <v>82.90398</v>
      </c>
      <c r="Z1063" s="89" t="n">
        <v>129.3892</v>
      </c>
      <c r="AA1063" s="89" t="n">
        <v>116.0788</v>
      </c>
      <c r="AB1063" s="89" t="n">
        <v>75.71268999999999</v>
      </c>
      <c r="AC1063" s="89" t="n">
        <v>119.49</v>
      </c>
      <c r="AD1063" s="89" t="n">
        <v>92.7</v>
      </c>
      <c r="AE1063" s="89" t="n">
        <v>102.5936</v>
      </c>
      <c r="AF1063" s="89" t="n">
        <v>103.8913</v>
      </c>
      <c r="AG1063" s="89" t="n">
        <v>107.2925</v>
      </c>
      <c r="AH1063" s="89" t="n">
        <v>99.87038</v>
      </c>
      <c r="AI1063" s="89" t="n">
        <v>75.7</v>
      </c>
      <c r="AJ1063" s="89" t="n">
        <v>122.2186</v>
      </c>
      <c r="AK1063" s="89" t="n">
        <v>71.31188</v>
      </c>
      <c r="AL1063" s="89" t="n">
        <v>104.5087</v>
      </c>
      <c r="AM1063" s="89" t="n">
        <v>117.7</v>
      </c>
      <c r="AN1063" s="89" t="n"/>
      <c r="AO1063" s="89" t="n">
        <v>100.4325</v>
      </c>
      <c r="AP1063" s="89" t="n">
        <v>107.3821</v>
      </c>
      <c r="AQ1063" s="89" t="n"/>
      <c r="AR1063" s="89" t="n"/>
      <c r="AS1063" s="89" t="n"/>
      <c r="AT1063" s="89" t="n">
        <v>75.17097</v>
      </c>
      <c r="AU1063" s="89" t="n"/>
      <c r="AV1063" s="89" t="n">
        <v>87.3</v>
      </c>
      <c r="AW1063" s="89" t="n"/>
      <c r="AX1063" s="89" t="n">
        <v>68.89426</v>
      </c>
      <c r="AY1063" s="89" t="n">
        <v>106.7988</v>
      </c>
    </row>
    <row r="1064">
      <c r="A1064" t="inlineStr">
        <is>
          <t>2007-07</t>
        </is>
      </c>
      <c r="B1064" s="1" t="n">
        <v>39264</v>
      </c>
      <c r="C1064" s="88" t="n">
        <v>1064</v>
      </c>
      <c r="E1064" s="1">
        <f>B1064</f>
        <v/>
      </c>
      <c r="F1064" s="2">
        <f>B1064</f>
        <v/>
      </c>
      <c r="G1064" s="88" t="n">
        <v>1062</v>
      </c>
      <c r="H1064" s="89" t="n"/>
      <c r="I1064" s="89" t="n"/>
      <c r="J1064" s="89" t="n">
        <v>95.09208</v>
      </c>
      <c r="K1064" s="89" t="n">
        <v>98.32365</v>
      </c>
      <c r="L1064" s="89" t="n"/>
      <c r="M1064" s="89" t="n">
        <v>95.08414999999999</v>
      </c>
      <c r="N1064" s="89" t="n">
        <v>97.39188</v>
      </c>
      <c r="O1064" s="89" t="n">
        <v>114</v>
      </c>
      <c r="P1064" s="89" t="n">
        <v>133.2051</v>
      </c>
      <c r="Q1064" s="89" t="n"/>
      <c r="R1064" s="89" t="n">
        <v>122.4</v>
      </c>
      <c r="S1064" s="89" t="n">
        <v>113.6609</v>
      </c>
      <c r="T1064" s="89" t="n">
        <v>108.9116</v>
      </c>
      <c r="U1064" s="89" t="n">
        <v>145.4303</v>
      </c>
      <c r="V1064" s="89" t="n">
        <v>93.00775</v>
      </c>
      <c r="W1064" s="89" t="n">
        <v>67.54118</v>
      </c>
      <c r="X1064" s="89" t="n">
        <v>49.7829</v>
      </c>
      <c r="Y1064" s="89" t="n">
        <v>85.15222</v>
      </c>
      <c r="Z1064" s="89" t="n">
        <v>128.5893</v>
      </c>
      <c r="AA1064" s="89" t="n">
        <v>116.1875</v>
      </c>
      <c r="AB1064" s="89" t="n">
        <v>76.39163000000001</v>
      </c>
      <c r="AC1064" s="89" t="n">
        <v>115.9903</v>
      </c>
      <c r="AD1064" s="89" t="n">
        <v>92.40000000000001</v>
      </c>
      <c r="AE1064" s="89" t="n">
        <v>103.1376</v>
      </c>
      <c r="AF1064" s="89" t="n">
        <v>104.1913</v>
      </c>
      <c r="AG1064" s="89" t="n">
        <v>114.1583</v>
      </c>
      <c r="AH1064" s="89" t="n">
        <v>100.0521</v>
      </c>
      <c r="AI1064" s="89" t="n">
        <v>76.40000000000001</v>
      </c>
      <c r="AJ1064" s="89" t="n">
        <v>118.1826</v>
      </c>
      <c r="AK1064" s="89" t="n">
        <v>72.21204</v>
      </c>
      <c r="AL1064" s="89" t="n">
        <v>106.1088</v>
      </c>
      <c r="AM1064" s="89" t="n">
        <v>115.9</v>
      </c>
      <c r="AN1064" s="89" t="n"/>
      <c r="AO1064" s="89" t="n">
        <v>100.3951</v>
      </c>
      <c r="AP1064" s="89" t="n">
        <v>107.5821</v>
      </c>
      <c r="AQ1064" s="89" t="n"/>
      <c r="AR1064" s="89" t="n"/>
      <c r="AS1064" s="89" t="n"/>
      <c r="AT1064" s="89" t="n">
        <v>75.28671</v>
      </c>
      <c r="AU1064" s="89" t="n"/>
      <c r="AV1064" s="89" t="n">
        <v>88.40000000000001</v>
      </c>
      <c r="AW1064" s="89" t="n"/>
      <c r="AX1064" s="89" t="n">
        <v>68.59428</v>
      </c>
      <c r="AY1064" s="89" t="n">
        <v>106.2483</v>
      </c>
    </row>
    <row r="1065">
      <c r="A1065" t="inlineStr">
        <is>
          <t>2007-08</t>
        </is>
      </c>
      <c r="B1065" s="1" t="n">
        <v>39295</v>
      </c>
      <c r="C1065" s="88" t="n">
        <v>1065</v>
      </c>
      <c r="E1065" s="1">
        <f>B1065</f>
        <v/>
      </c>
      <c r="F1065" s="2">
        <f>B1065</f>
        <v/>
      </c>
      <c r="G1065" s="88" t="n">
        <v>1063</v>
      </c>
      <c r="H1065" s="89" t="n"/>
      <c r="I1065" s="89" t="n"/>
      <c r="J1065" s="89" t="n">
        <v>96.39197</v>
      </c>
      <c r="K1065" s="89" t="n">
        <v>98.93817</v>
      </c>
      <c r="L1065" s="89" t="n"/>
      <c r="M1065" s="89" t="n">
        <v>93.5844</v>
      </c>
      <c r="N1065" s="89" t="n">
        <v>97.69186000000001</v>
      </c>
      <c r="O1065" s="89" t="n">
        <v>115.7</v>
      </c>
      <c r="P1065" s="89" t="n">
        <v>133.7551</v>
      </c>
      <c r="Q1065" s="89" t="n"/>
      <c r="R1065" s="89" t="n">
        <v>120.7</v>
      </c>
      <c r="S1065" s="89" t="n">
        <v>114.351</v>
      </c>
      <c r="T1065" s="89" t="n">
        <v>109.7422</v>
      </c>
      <c r="U1065" s="89" t="n">
        <v>143.0331</v>
      </c>
      <c r="V1065" s="89" t="n">
        <v>92.70773</v>
      </c>
      <c r="W1065" s="89" t="n">
        <v>63.26416</v>
      </c>
      <c r="X1065" s="89" t="n">
        <v>49.74282</v>
      </c>
      <c r="Y1065" s="89" t="n">
        <v>84.40281</v>
      </c>
      <c r="Z1065" s="89" t="n">
        <v>133.2889</v>
      </c>
      <c r="AA1065" s="89" t="n">
        <v>119.1221</v>
      </c>
      <c r="AB1065" s="89" t="n">
        <v>78.88442999999999</v>
      </c>
      <c r="AC1065" s="89" t="n">
        <v>113.2906</v>
      </c>
      <c r="AD1065" s="89" t="n">
        <v>94</v>
      </c>
      <c r="AE1065" s="89" t="n">
        <v>101.9953</v>
      </c>
      <c r="AF1065" s="89" t="n">
        <v>104.3913</v>
      </c>
      <c r="AG1065" s="89" t="n">
        <v>113.5764</v>
      </c>
      <c r="AH1065" s="89" t="n">
        <v>100.8543</v>
      </c>
      <c r="AI1065" s="89" t="n">
        <v>76.59999999999999</v>
      </c>
      <c r="AJ1065" s="89" t="n">
        <v>116.7393</v>
      </c>
      <c r="AK1065" s="89" t="n">
        <v>70.71178</v>
      </c>
      <c r="AL1065" s="89" t="n">
        <v>105.8088</v>
      </c>
      <c r="AM1065" s="89" t="n">
        <v>117.4</v>
      </c>
      <c r="AN1065" s="89" t="n"/>
      <c r="AO1065" s="89" t="n">
        <v>100.6188</v>
      </c>
      <c r="AP1065" s="89" t="n">
        <v>108.282</v>
      </c>
      <c r="AQ1065" s="89" t="n"/>
      <c r="AR1065" s="89" t="n"/>
      <c r="AS1065" s="89" t="n"/>
      <c r="AT1065" s="89" t="n">
        <v>75.47492</v>
      </c>
      <c r="AU1065" s="89" t="n"/>
      <c r="AV1065" s="89" t="n">
        <v>88.09999999999999</v>
      </c>
      <c r="AW1065" s="89" t="n"/>
      <c r="AX1065" s="89" t="n">
        <v>69.69419000000001</v>
      </c>
      <c r="AY1065" s="89" t="n">
        <v>107.7897</v>
      </c>
    </row>
    <row r="1066">
      <c r="A1066" t="inlineStr">
        <is>
          <t>2007-09</t>
        </is>
      </c>
      <c r="B1066" s="1" t="n">
        <v>39326</v>
      </c>
      <c r="C1066" s="88" t="n">
        <v>1066</v>
      </c>
      <c r="E1066" s="1">
        <f>B1066</f>
        <v/>
      </c>
      <c r="F1066" s="2">
        <f>B1066</f>
        <v/>
      </c>
      <c r="G1066" s="88" t="n">
        <v>1064</v>
      </c>
      <c r="H1066" s="89" t="n"/>
      <c r="I1066" s="89" t="n"/>
      <c r="J1066" s="89" t="n">
        <v>96.99191999999999</v>
      </c>
      <c r="K1066" s="89" t="n">
        <v>98.40819999999999</v>
      </c>
      <c r="L1066" s="89" t="n"/>
      <c r="M1066" s="89" t="n">
        <v>93.88435</v>
      </c>
      <c r="N1066" s="89" t="n">
        <v>98.69177000000001</v>
      </c>
      <c r="O1066" s="89" t="n">
        <v>113.1</v>
      </c>
      <c r="P1066" s="89" t="n">
        <v>134.3931</v>
      </c>
      <c r="Q1066" s="89" t="n"/>
      <c r="R1066" s="89" t="n">
        <v>121.9</v>
      </c>
      <c r="S1066" s="89" t="n">
        <v>111.7209</v>
      </c>
      <c r="T1066" s="89" t="n">
        <v>108.6001</v>
      </c>
      <c r="U1066" s="89" t="n">
        <v>143.3328</v>
      </c>
      <c r="V1066" s="89" t="n">
        <v>92.90774999999999</v>
      </c>
      <c r="W1066" s="89" t="n">
        <v>62.61073</v>
      </c>
      <c r="X1066" s="89" t="n">
        <v>49.30881</v>
      </c>
      <c r="Y1066" s="89" t="n">
        <v>86.65105</v>
      </c>
      <c r="Z1066" s="89" t="n">
        <v>129.7892</v>
      </c>
      <c r="AA1066" s="89" t="n">
        <v>117.3831</v>
      </c>
      <c r="AB1066" s="89" t="n">
        <v>78.42747</v>
      </c>
      <c r="AC1066" s="89" t="n">
        <v>112.2906</v>
      </c>
      <c r="AD1066" s="89" t="n">
        <v>92.2</v>
      </c>
      <c r="AE1066" s="89" t="n">
        <v>103.0958</v>
      </c>
      <c r="AF1066" s="89" t="n">
        <v>106.1912</v>
      </c>
      <c r="AG1066" s="89" t="n">
        <v>115.0892</v>
      </c>
      <c r="AH1066" s="89" t="n">
        <v>100.6902</v>
      </c>
      <c r="AI1066" s="89" t="n">
        <v>77</v>
      </c>
      <c r="AJ1066" s="89" t="n">
        <v>117.8954</v>
      </c>
      <c r="AK1066" s="89" t="n">
        <v>73.81229999999999</v>
      </c>
      <c r="AL1066" s="89" t="n">
        <v>103.8086</v>
      </c>
      <c r="AM1066" s="89" t="n">
        <v>115.2</v>
      </c>
      <c r="AN1066" s="89" t="n"/>
      <c r="AO1066" s="89" t="n">
        <v>101.0082</v>
      </c>
      <c r="AP1066" s="89" t="n">
        <v>107.782</v>
      </c>
      <c r="AQ1066" s="89" t="n"/>
      <c r="AR1066" s="89" t="n"/>
      <c r="AS1066" s="89" t="n"/>
      <c r="AT1066" s="89" t="n">
        <v>74.49741</v>
      </c>
      <c r="AU1066" s="89" t="n"/>
      <c r="AV1066" s="89" t="n">
        <v>87.59999999999999</v>
      </c>
      <c r="AW1066" s="89" t="n"/>
      <c r="AX1066" s="89" t="n">
        <v>70.19414999999999</v>
      </c>
      <c r="AY1066" s="89" t="n">
        <v>106.9089</v>
      </c>
    </row>
    <row r="1067">
      <c r="A1067" t="inlineStr">
        <is>
          <t>2007-10</t>
        </is>
      </c>
      <c r="B1067" s="1" t="n">
        <v>39356</v>
      </c>
      <c r="C1067" s="88" t="n">
        <v>1067</v>
      </c>
      <c r="E1067" s="1">
        <f>B1067</f>
        <v/>
      </c>
      <c r="F1067" s="2">
        <f>B1067</f>
        <v/>
      </c>
      <c r="G1067" s="88" t="n">
        <v>1065</v>
      </c>
      <c r="H1067" s="89" t="n"/>
      <c r="I1067" s="89" t="n"/>
      <c r="J1067" s="89" t="n">
        <v>100.5916</v>
      </c>
      <c r="K1067" s="89" t="n">
        <v>97.71608999999999</v>
      </c>
      <c r="L1067" s="89" t="n"/>
      <c r="M1067" s="89" t="n">
        <v>95.08414999999999</v>
      </c>
      <c r="N1067" s="89" t="n">
        <v>98.79177</v>
      </c>
      <c r="O1067" s="89" t="n">
        <v>118.8</v>
      </c>
      <c r="P1067" s="89" t="n">
        <v>134.0901</v>
      </c>
      <c r="Q1067" s="89" t="n"/>
      <c r="R1067" s="89" t="n">
        <v>120.8</v>
      </c>
      <c r="S1067" s="89" t="n">
        <v>114.251</v>
      </c>
      <c r="T1067" s="89" t="n">
        <v>109.0154</v>
      </c>
      <c r="U1067" s="89" t="n">
        <v>142.5337</v>
      </c>
      <c r="V1067" s="89" t="n">
        <v>92.50771</v>
      </c>
      <c r="W1067" s="89" t="n">
        <v>67.95699999999999</v>
      </c>
      <c r="X1067" s="89" t="n">
        <v>49.22979</v>
      </c>
      <c r="Y1067" s="89" t="n">
        <v>86.18267</v>
      </c>
      <c r="Z1067" s="89" t="n">
        <v>128.4893</v>
      </c>
      <c r="AA1067" s="89" t="n">
        <v>118.9047</v>
      </c>
      <c r="AB1067" s="89" t="n">
        <v>81.23023000000001</v>
      </c>
      <c r="AC1067" s="89" t="n">
        <v>114.7904</v>
      </c>
      <c r="AD1067" s="89" t="n">
        <v>91.8</v>
      </c>
      <c r="AE1067" s="89" t="n">
        <v>102.6829</v>
      </c>
      <c r="AF1067" s="89" t="n">
        <v>106.7911</v>
      </c>
      <c r="AG1067" s="89" t="n">
        <v>114.391</v>
      </c>
      <c r="AH1067" s="89" t="n">
        <v>101.0983</v>
      </c>
      <c r="AI1067" s="89" t="n">
        <v>77.8</v>
      </c>
      <c r="AJ1067" s="89" t="n">
        <v>124.4817</v>
      </c>
      <c r="AK1067" s="89" t="n">
        <v>73.71229</v>
      </c>
      <c r="AL1067" s="89" t="n">
        <v>106.3089</v>
      </c>
      <c r="AM1067" s="89" t="n">
        <v>116.7</v>
      </c>
      <c r="AN1067" s="89" t="n"/>
      <c r="AO1067" s="89" t="n">
        <v>100.5818</v>
      </c>
      <c r="AP1067" s="89" t="n">
        <v>108.6819</v>
      </c>
      <c r="AQ1067" s="89" t="n"/>
      <c r="AR1067" s="89" t="n"/>
      <c r="AS1067" s="89" t="n"/>
      <c r="AT1067" s="89" t="n">
        <v>76.67905</v>
      </c>
      <c r="AU1067" s="89" t="n"/>
      <c r="AV1067" s="89" t="n">
        <v>88.2</v>
      </c>
      <c r="AW1067" s="89" t="n"/>
      <c r="AX1067" s="89" t="n">
        <v>69.69419000000001</v>
      </c>
      <c r="AY1067" s="89" t="n">
        <v>109.6614</v>
      </c>
    </row>
    <row r="1068">
      <c r="A1068" t="inlineStr">
        <is>
          <t>2007-11</t>
        </is>
      </c>
      <c r="B1068" s="1" t="n">
        <v>39387</v>
      </c>
      <c r="C1068" s="88" t="n">
        <v>1068</v>
      </c>
      <c r="E1068" s="1">
        <f>B1068</f>
        <v/>
      </c>
      <c r="F1068" s="2">
        <f>B1068</f>
        <v/>
      </c>
      <c r="G1068" s="88" t="n">
        <v>1066</v>
      </c>
      <c r="H1068" s="89" t="n"/>
      <c r="I1068" s="89" t="n"/>
      <c r="J1068" s="89" t="n">
        <v>97.49187000000001</v>
      </c>
      <c r="K1068" s="89" t="n">
        <v>97.38141</v>
      </c>
      <c r="L1068" s="89" t="n"/>
      <c r="M1068" s="89" t="n">
        <v>95.68405</v>
      </c>
      <c r="N1068" s="89" t="n">
        <v>98.59178</v>
      </c>
      <c r="O1068" s="89" t="n">
        <v>117.4</v>
      </c>
      <c r="P1068" s="89" t="n">
        <v>132.7321</v>
      </c>
      <c r="Q1068" s="89" t="n"/>
      <c r="R1068" s="89" t="n">
        <v>128.3</v>
      </c>
      <c r="S1068" s="89" t="n">
        <v>112.2709</v>
      </c>
      <c r="T1068" s="89" t="n">
        <v>109.5345</v>
      </c>
      <c r="U1068" s="89" t="n">
        <v>143.8322</v>
      </c>
      <c r="V1068" s="89" t="n">
        <v>92.50771</v>
      </c>
      <c r="W1068" s="89" t="n">
        <v>67.24415999999999</v>
      </c>
      <c r="X1068" s="89" t="n">
        <v>49.12283</v>
      </c>
      <c r="Y1068" s="89" t="n">
        <v>87.40047</v>
      </c>
      <c r="Z1068" s="89" t="n">
        <v>127.1894</v>
      </c>
      <c r="AA1068" s="89" t="n">
        <v>117.7092</v>
      </c>
      <c r="AB1068" s="89" t="n">
        <v>81.32022000000001</v>
      </c>
      <c r="AC1068" s="89" t="n">
        <v>116.5903</v>
      </c>
      <c r="AD1068" s="89" t="n">
        <v>94.7</v>
      </c>
      <c r="AE1068" s="89" t="n">
        <v>101.5239</v>
      </c>
      <c r="AF1068" s="89" t="n">
        <v>109.3909</v>
      </c>
      <c r="AG1068" s="89" t="n">
        <v>112.18</v>
      </c>
      <c r="AH1068" s="89" t="n">
        <v>100.9756</v>
      </c>
      <c r="AI1068" s="89" t="n">
        <v>77.8</v>
      </c>
      <c r="AJ1068" s="89" t="n">
        <v>120.5788</v>
      </c>
      <c r="AK1068" s="89" t="n">
        <v>78.71312</v>
      </c>
      <c r="AL1068" s="89" t="n">
        <v>104.4087</v>
      </c>
      <c r="AM1068" s="89" t="n">
        <v>119.9</v>
      </c>
      <c r="AN1068" s="89" t="n"/>
      <c r="AO1068" s="89" t="n">
        <v>101.1741</v>
      </c>
      <c r="AP1068" s="89" t="n">
        <v>107.982</v>
      </c>
      <c r="AQ1068" s="89" t="n"/>
      <c r="AR1068" s="89" t="n"/>
      <c r="AS1068" s="89" t="n"/>
      <c r="AT1068" s="89" t="n">
        <v>77.25966</v>
      </c>
      <c r="AU1068" s="89" t="n"/>
      <c r="AV1068" s="89" t="n">
        <v>88.40000000000001</v>
      </c>
      <c r="AW1068" s="89" t="n"/>
      <c r="AX1068" s="89" t="n">
        <v>69.89417</v>
      </c>
      <c r="AY1068" s="89" t="n">
        <v>108.4503</v>
      </c>
    </row>
    <row r="1069">
      <c r="A1069" t="inlineStr">
        <is>
          <t>2007-12</t>
        </is>
      </c>
      <c r="B1069" s="1" t="n">
        <v>39417</v>
      </c>
      <c r="C1069" s="88" t="n">
        <v>1069</v>
      </c>
      <c r="E1069" s="1">
        <f>B1069</f>
        <v/>
      </c>
      <c r="F1069" s="2">
        <f>B1069</f>
        <v/>
      </c>
      <c r="G1069" s="88" t="n">
        <v>1067</v>
      </c>
      <c r="H1069" s="89" t="n"/>
      <c r="I1069" s="89" t="n"/>
      <c r="J1069" s="89" t="n">
        <v>99.99167</v>
      </c>
      <c r="K1069" s="89" t="n">
        <v>95.61785</v>
      </c>
      <c r="L1069" s="89" t="n"/>
      <c r="M1069" s="89" t="n">
        <v>97.18380000000001</v>
      </c>
      <c r="N1069" s="89" t="n">
        <v>99.5917</v>
      </c>
      <c r="O1069" s="89" t="n">
        <v>114.5</v>
      </c>
      <c r="P1069" s="89" t="n">
        <v>133.6621</v>
      </c>
      <c r="Q1069" s="89" t="n"/>
      <c r="R1069" s="89" t="n">
        <v>121.8</v>
      </c>
      <c r="S1069" s="89" t="n">
        <v>112.4509</v>
      </c>
      <c r="T1069" s="89" t="n">
        <v>109.3269</v>
      </c>
      <c r="U1069" s="89" t="n">
        <v>143.4327</v>
      </c>
      <c r="V1069" s="89" t="n">
        <v>97.00809</v>
      </c>
      <c r="W1069" s="89" t="n">
        <v>67.48177</v>
      </c>
      <c r="X1069" s="89" t="n">
        <v>48.63313</v>
      </c>
      <c r="Y1069" s="89" t="n">
        <v>87.58781999999999</v>
      </c>
      <c r="Z1069" s="89" t="n">
        <v>128.0893</v>
      </c>
      <c r="AA1069" s="89" t="n">
        <v>118.3613</v>
      </c>
      <c r="AB1069" s="89" t="n">
        <v>80.82426</v>
      </c>
      <c r="AC1069" s="89" t="n">
        <v>115.2904</v>
      </c>
      <c r="AD1069" s="89" t="n">
        <v>94.09999999999999</v>
      </c>
      <c r="AE1069" s="89" t="n">
        <v>103.2743</v>
      </c>
      <c r="AF1069" s="89" t="n">
        <v>108.8909</v>
      </c>
      <c r="AG1069" s="89" t="n">
        <v>110.3181</v>
      </c>
      <c r="AH1069" s="89" t="n">
        <v>101.314</v>
      </c>
      <c r="AI1069" s="89" t="n">
        <v>79.90000000000001</v>
      </c>
      <c r="AJ1069" s="89" t="n">
        <v>119.2072</v>
      </c>
      <c r="AK1069" s="89" t="n">
        <v>75.0125</v>
      </c>
      <c r="AL1069" s="89" t="n">
        <v>104.1087</v>
      </c>
      <c r="AM1069" s="89" t="n">
        <v>120.4</v>
      </c>
      <c r="AN1069" s="89" t="n"/>
      <c r="AO1069" s="89" t="n">
        <v>101.1855</v>
      </c>
      <c r="AP1069" s="89" t="n">
        <v>108.5819</v>
      </c>
      <c r="AQ1069" s="89" t="n"/>
      <c r="AR1069" s="89" t="n"/>
      <c r="AS1069" s="89" t="n"/>
      <c r="AT1069" s="89" t="n">
        <v>78.43143000000001</v>
      </c>
      <c r="AU1069" s="89" t="n"/>
      <c r="AV1069" s="89" t="n">
        <v>88.40000000000001</v>
      </c>
      <c r="AW1069" s="89" t="n"/>
      <c r="AX1069" s="89" t="n">
        <v>71.79401</v>
      </c>
      <c r="AY1069" s="89" t="n">
        <v>108.8907</v>
      </c>
    </row>
    <row r="1070">
      <c r="A1070" t="inlineStr">
        <is>
          <t>2008-01</t>
        </is>
      </c>
      <c r="B1070" s="1" t="n">
        <v>39448</v>
      </c>
      <c r="C1070" s="88" t="n">
        <v>1070</v>
      </c>
      <c r="E1070" s="1">
        <f>B1070</f>
        <v/>
      </c>
      <c r="F1070" s="2">
        <f>B1070</f>
        <v/>
      </c>
      <c r="G1070" s="88" t="n">
        <v>1068</v>
      </c>
      <c r="H1070" s="89" t="n"/>
      <c r="I1070" s="89" t="n"/>
      <c r="J1070" s="89" t="n">
        <v>102.5915</v>
      </c>
      <c r="K1070" s="89" t="n">
        <v>95.38001</v>
      </c>
      <c r="L1070" s="89" t="n"/>
      <c r="M1070" s="89" t="n">
        <v>97.18380000000001</v>
      </c>
      <c r="N1070" s="89" t="n">
        <v>101.0916</v>
      </c>
      <c r="O1070" s="89" t="n">
        <v>117.4</v>
      </c>
      <c r="P1070" s="89" t="n">
        <v>134.7051</v>
      </c>
      <c r="Q1070" s="89" t="n"/>
      <c r="R1070" s="89" t="n">
        <v>128.1</v>
      </c>
      <c r="S1070" s="89" t="n">
        <v>113.4209</v>
      </c>
      <c r="T1070" s="89" t="n">
        <v>109.7422</v>
      </c>
      <c r="U1070" s="89" t="n">
        <v>147.6278</v>
      </c>
      <c r="V1070" s="89" t="n">
        <v>94.30786000000001</v>
      </c>
      <c r="W1070" s="89" t="n">
        <v>63.38297</v>
      </c>
      <c r="X1070" s="89" t="n">
        <v>54.08878</v>
      </c>
      <c r="Y1070" s="89" t="n">
        <v>89.83607000000001</v>
      </c>
      <c r="Z1070" s="89" t="n">
        <v>130.6891</v>
      </c>
      <c r="AA1070" s="89" t="n">
        <v>119.1653</v>
      </c>
      <c r="AB1070" s="89" t="n">
        <v>82.23914000000001</v>
      </c>
      <c r="AC1070" s="89" t="n">
        <v>115.1904</v>
      </c>
      <c r="AD1070" s="89" t="n">
        <v>97.40000000000001</v>
      </c>
      <c r="AE1070" s="89" t="n">
        <v>103.202</v>
      </c>
      <c r="AF1070" s="89" t="n">
        <v>104.7913</v>
      </c>
      <c r="AG1070" s="89" t="n">
        <v>112.4127</v>
      </c>
      <c r="AH1070" s="89" t="n">
        <v>101.7942</v>
      </c>
      <c r="AI1070" s="89" t="n">
        <v>82.3</v>
      </c>
      <c r="AJ1070" s="89" t="n">
        <v>123.1759</v>
      </c>
      <c r="AK1070" s="89" t="n">
        <v>91.11519</v>
      </c>
      <c r="AL1070" s="89" t="n">
        <v>107.609</v>
      </c>
      <c r="AM1070" s="89" t="n">
        <v>120.3</v>
      </c>
      <c r="AN1070" s="89" t="n"/>
      <c r="AO1070" s="89" t="n">
        <v>100.913</v>
      </c>
      <c r="AP1070" s="89" t="n">
        <v>109.4818</v>
      </c>
      <c r="AQ1070" s="89" t="n"/>
      <c r="AR1070" s="89" t="n"/>
      <c r="AS1070" s="89" t="n"/>
      <c r="AT1070" s="89" t="n">
        <v>79.2517</v>
      </c>
      <c r="AU1070" s="89" t="n"/>
      <c r="AV1070" s="89" t="n">
        <v>91.40000000000001</v>
      </c>
      <c r="AW1070" s="89" t="n"/>
      <c r="AX1070" s="89" t="n">
        <v>70.7941</v>
      </c>
      <c r="AY1070" s="89" t="n">
        <v>110.7625</v>
      </c>
    </row>
    <row r="1071">
      <c r="A1071" t="inlineStr">
        <is>
          <t>2008-02</t>
        </is>
      </c>
      <c r="B1071" s="1" t="n">
        <v>39479</v>
      </c>
      <c r="C1071" s="88" t="n">
        <v>1071</v>
      </c>
      <c r="E1071" s="1">
        <f>B1071</f>
        <v/>
      </c>
      <c r="F1071" s="2">
        <f>B1071</f>
        <v/>
      </c>
      <c r="G1071" s="88" t="n">
        <v>1069</v>
      </c>
      <c r="H1071" s="89" t="n"/>
      <c r="I1071" s="89" t="n"/>
      <c r="J1071" s="89" t="n">
        <v>101.4915</v>
      </c>
      <c r="K1071" s="89" t="n">
        <v>95.53224</v>
      </c>
      <c r="L1071" s="89" t="n"/>
      <c r="M1071" s="89" t="n">
        <v>98.38361</v>
      </c>
      <c r="N1071" s="89" t="n">
        <v>100.7916</v>
      </c>
      <c r="O1071" s="89" t="n">
        <v>114.2</v>
      </c>
      <c r="P1071" s="89" t="n">
        <v>133.7561</v>
      </c>
      <c r="Q1071" s="89" t="n"/>
      <c r="R1071" s="89" t="n">
        <v>124.9</v>
      </c>
      <c r="S1071" s="89" t="n">
        <v>114.451</v>
      </c>
      <c r="T1071" s="89" t="n">
        <v>109.4307</v>
      </c>
      <c r="U1071" s="89" t="n">
        <v>139.0378</v>
      </c>
      <c r="V1071" s="89" t="n">
        <v>96.80807</v>
      </c>
      <c r="W1071" s="89" t="n">
        <v>63.62058</v>
      </c>
      <c r="X1071" s="89" t="n">
        <v>58.7315</v>
      </c>
      <c r="Y1071" s="89" t="n">
        <v>89.74239</v>
      </c>
      <c r="Z1071" s="89" t="n">
        <v>129.6892</v>
      </c>
      <c r="AA1071" s="89" t="n">
        <v>119.4732</v>
      </c>
      <c r="AB1071" s="89" t="n">
        <v>82.35614</v>
      </c>
      <c r="AC1071" s="89" t="n">
        <v>117.0902</v>
      </c>
      <c r="AD1071" s="89" t="n">
        <v>99.7</v>
      </c>
      <c r="AE1071" s="89" t="n">
        <v>103.7359</v>
      </c>
      <c r="AF1071" s="89" t="n">
        <v>106.5911</v>
      </c>
      <c r="AG1071" s="89" t="n">
        <v>110.5508</v>
      </c>
      <c r="AH1071" s="89" t="n">
        <v>101.7645</v>
      </c>
      <c r="AI1071" s="89" t="n">
        <v>82.09999999999999</v>
      </c>
      <c r="AJ1071" s="89" t="n">
        <v>123.0871</v>
      </c>
      <c r="AK1071" s="89" t="n">
        <v>91.61527</v>
      </c>
      <c r="AL1071" s="89" t="n">
        <v>109.1091</v>
      </c>
      <c r="AM1071" s="89" t="n">
        <v>119.7</v>
      </c>
      <c r="AN1071" s="89" t="n"/>
      <c r="AO1071" s="89" t="n">
        <v>100.5744</v>
      </c>
      <c r="AP1071" s="89" t="n">
        <v>109.2818</v>
      </c>
      <c r="AQ1071" s="89" t="n"/>
      <c r="AR1071" s="89" t="n"/>
      <c r="AS1071" s="89" t="n"/>
      <c r="AT1071" s="89" t="n">
        <v>79.26012</v>
      </c>
      <c r="AU1071" s="89" t="n"/>
      <c r="AV1071" s="89" t="n">
        <v>89.59999999999999</v>
      </c>
      <c r="AW1071" s="89" t="n"/>
      <c r="AX1071" s="89" t="n">
        <v>72.19398</v>
      </c>
      <c r="AY1071" s="89" t="n">
        <v>110.322</v>
      </c>
    </row>
    <row r="1072">
      <c r="A1072" t="inlineStr">
        <is>
          <t>2008-03</t>
        </is>
      </c>
      <c r="B1072" s="1" t="n">
        <v>39508</v>
      </c>
      <c r="C1072" s="88" t="n">
        <v>1072</v>
      </c>
      <c r="E1072" s="1">
        <f>B1072</f>
        <v/>
      </c>
      <c r="F1072" s="2">
        <f>B1072</f>
        <v/>
      </c>
      <c r="G1072" s="88" t="n">
        <v>1070</v>
      </c>
      <c r="H1072" s="89" t="n"/>
      <c r="I1072" s="89" t="n"/>
      <c r="J1072" s="89" t="n">
        <v>101.3915</v>
      </c>
      <c r="K1072" s="89" t="n">
        <v>94.66758</v>
      </c>
      <c r="L1072" s="89" t="n"/>
      <c r="M1072" s="89" t="n">
        <v>94.68422</v>
      </c>
      <c r="N1072" s="89" t="n">
        <v>100.0917</v>
      </c>
      <c r="O1072" s="89" t="n">
        <v>116.2</v>
      </c>
      <c r="P1072" s="89" t="n">
        <v>130.8671</v>
      </c>
      <c r="Q1072" s="89" t="n"/>
      <c r="R1072" s="89" t="n">
        <v>123.5</v>
      </c>
      <c r="S1072" s="89" t="n">
        <v>113.1209</v>
      </c>
      <c r="T1072" s="89" t="n">
        <v>107.9772</v>
      </c>
      <c r="U1072" s="89" t="n">
        <v>136.7405</v>
      </c>
      <c r="V1072" s="89" t="n">
        <v>94.30786000000001</v>
      </c>
      <c r="W1072" s="89" t="n">
        <v>63.20476</v>
      </c>
      <c r="X1072" s="89" t="n">
        <v>63.4321</v>
      </c>
      <c r="Y1072" s="89" t="n">
        <v>93.20843000000001</v>
      </c>
      <c r="Z1072" s="89" t="n">
        <v>130.4891</v>
      </c>
      <c r="AA1072" s="89" t="n">
        <v>118.2415</v>
      </c>
      <c r="AB1072" s="89" t="n">
        <v>82.72411</v>
      </c>
      <c r="AC1072" s="89" t="n">
        <v>117.1902</v>
      </c>
      <c r="AD1072" s="89" t="n">
        <v>96.8</v>
      </c>
      <c r="AE1072" s="89" t="n">
        <v>103.0056</v>
      </c>
      <c r="AF1072" s="89" t="n">
        <v>107.3911</v>
      </c>
      <c r="AG1072" s="89" t="n">
        <v>112.6455</v>
      </c>
      <c r="AH1072" s="89" t="n">
        <v>101.0923</v>
      </c>
      <c r="AI1072" s="89" t="n">
        <v>79.59999999999999</v>
      </c>
      <c r="AJ1072" s="89" t="n">
        <v>114.6483</v>
      </c>
      <c r="AK1072" s="89" t="n">
        <v>88.01467</v>
      </c>
      <c r="AL1072" s="89" t="n">
        <v>108.009</v>
      </c>
      <c r="AM1072" s="89" t="n">
        <v>118.9</v>
      </c>
      <c r="AN1072" s="89" t="n"/>
      <c r="AO1072" s="89" t="n">
        <v>100.3364</v>
      </c>
      <c r="AP1072" s="89" t="n">
        <v>108.7819</v>
      </c>
      <c r="AQ1072" s="89" t="n"/>
      <c r="AR1072" s="89" t="n"/>
      <c r="AS1072" s="89" t="n"/>
      <c r="AT1072" s="89" t="n">
        <v>80.18333</v>
      </c>
      <c r="AU1072" s="89" t="n"/>
      <c r="AV1072" s="89" t="n">
        <v>89.5</v>
      </c>
      <c r="AW1072" s="89" t="n"/>
      <c r="AX1072" s="89" t="n">
        <v>72.19398</v>
      </c>
      <c r="AY1072" s="89" t="n">
        <v>110.6524</v>
      </c>
    </row>
    <row r="1073">
      <c r="A1073" t="inlineStr">
        <is>
          <t>2008-04</t>
        </is>
      </c>
      <c r="B1073" s="1" t="n">
        <v>39539</v>
      </c>
      <c r="C1073" s="88" t="n">
        <v>1073</v>
      </c>
      <c r="E1073" s="1">
        <f>B1073</f>
        <v/>
      </c>
      <c r="F1073" s="2">
        <f>B1073</f>
        <v/>
      </c>
      <c r="G1073" s="88" t="n">
        <v>1071</v>
      </c>
      <c r="H1073" s="89" t="n"/>
      <c r="I1073" s="89" t="n"/>
      <c r="J1073" s="89" t="n">
        <v>102.5915</v>
      </c>
      <c r="K1073" s="89" t="n">
        <v>95.67216000000001</v>
      </c>
      <c r="L1073" s="89" t="n"/>
      <c r="M1073" s="89" t="n">
        <v>96.68388</v>
      </c>
      <c r="N1073" s="89" t="n">
        <v>100.2916</v>
      </c>
      <c r="O1073" s="89" t="n">
        <v>115</v>
      </c>
      <c r="P1073" s="89" t="n">
        <v>132.9521</v>
      </c>
      <c r="Q1073" s="89" t="n"/>
      <c r="R1073" s="89" t="n">
        <v>127.5</v>
      </c>
      <c r="S1073" s="89" t="n">
        <v>115.571</v>
      </c>
      <c r="T1073" s="89" t="n">
        <v>109.223</v>
      </c>
      <c r="U1073" s="89" t="n">
        <v>144.2317</v>
      </c>
      <c r="V1073" s="89" t="n">
        <v>95.10793</v>
      </c>
      <c r="W1073" s="89" t="n">
        <v>60.82864</v>
      </c>
      <c r="X1073" s="89" t="n">
        <v>66.3009</v>
      </c>
      <c r="Y1073" s="89" t="n">
        <v>92.74003999999999</v>
      </c>
      <c r="Z1073" s="89" t="n">
        <v>131.789</v>
      </c>
      <c r="AA1073" s="89" t="n">
        <v>117.7283</v>
      </c>
      <c r="AB1073" s="89" t="n">
        <v>83.54604</v>
      </c>
      <c r="AC1073" s="89" t="n">
        <v>120.09</v>
      </c>
      <c r="AD1073" s="89" t="n">
        <v>95</v>
      </c>
      <c r="AE1073" s="89" t="n">
        <v>102.3618</v>
      </c>
      <c r="AF1073" s="89" t="n">
        <v>113.1906</v>
      </c>
      <c r="AG1073" s="89" t="n">
        <v>114.2746</v>
      </c>
      <c r="AH1073" s="89" t="n">
        <v>101.4179</v>
      </c>
      <c r="AI1073" s="89" t="n">
        <v>81.3</v>
      </c>
      <c r="AJ1073" s="89" t="n">
        <v>121.3822</v>
      </c>
      <c r="AK1073" s="89" t="n">
        <v>87.91464999999999</v>
      </c>
      <c r="AL1073" s="89" t="n">
        <v>108.509</v>
      </c>
      <c r="AM1073" s="89" t="n">
        <v>118.7</v>
      </c>
      <c r="AN1073" s="89" t="n"/>
      <c r="AO1073" s="89" t="n">
        <v>99.57641</v>
      </c>
      <c r="AP1073" s="89" t="n">
        <v>110.0816</v>
      </c>
      <c r="AQ1073" s="89" t="n"/>
      <c r="AR1073" s="89" t="n"/>
      <c r="AS1073" s="89" t="n"/>
      <c r="AT1073" s="89" t="n">
        <v>79.92646000000001</v>
      </c>
      <c r="AU1073" s="89" t="n"/>
      <c r="AV1073" s="89" t="n">
        <v>90.3</v>
      </c>
      <c r="AW1073" s="89" t="n"/>
      <c r="AX1073" s="89" t="n">
        <v>71.29406</v>
      </c>
      <c r="AY1073" s="89" t="n">
        <v>110.5423</v>
      </c>
    </row>
    <row r="1074">
      <c r="A1074" t="inlineStr">
        <is>
          <t>2008-05</t>
        </is>
      </c>
      <c r="B1074" s="1" t="n">
        <v>39569</v>
      </c>
      <c r="C1074" s="88" t="n">
        <v>1074</v>
      </c>
      <c r="E1074" s="1">
        <f>B1074</f>
        <v/>
      </c>
      <c r="F1074" s="2">
        <f>B1074</f>
        <v/>
      </c>
      <c r="G1074" s="88" t="n">
        <v>1072</v>
      </c>
      <c r="H1074" s="89" t="n"/>
      <c r="I1074" s="89" t="n"/>
      <c r="J1074" s="89" t="n">
        <v>100.1917</v>
      </c>
      <c r="K1074" s="89" t="n">
        <v>95.39579999999999</v>
      </c>
      <c r="L1074" s="89" t="n"/>
      <c r="M1074" s="89" t="n">
        <v>95.48408999999999</v>
      </c>
      <c r="N1074" s="89" t="n">
        <v>98.29181</v>
      </c>
      <c r="O1074" s="89" t="n">
        <v>114.6</v>
      </c>
      <c r="P1074" s="89" t="n">
        <v>128.7111</v>
      </c>
      <c r="Q1074" s="89" t="n"/>
      <c r="R1074" s="89" t="n">
        <v>126.8</v>
      </c>
      <c r="S1074" s="89" t="n">
        <v>110.1209</v>
      </c>
      <c r="T1074" s="89" t="n">
        <v>108.081</v>
      </c>
      <c r="U1074" s="89" t="n">
        <v>136.5407</v>
      </c>
      <c r="V1074" s="89" t="n">
        <v>93.50779</v>
      </c>
      <c r="W1074" s="89" t="n">
        <v>64.45222</v>
      </c>
      <c r="X1074" s="89" t="n">
        <v>66.36686</v>
      </c>
      <c r="Y1074" s="89" t="n">
        <v>88.99297</v>
      </c>
      <c r="Z1074" s="89" t="n">
        <v>127.1894</v>
      </c>
      <c r="AA1074" s="89" t="n">
        <v>118.3442</v>
      </c>
      <c r="AB1074" s="89" t="n">
        <v>82.84209</v>
      </c>
      <c r="AC1074" s="89" t="n">
        <v>114.1905</v>
      </c>
      <c r="AD1074" s="89" t="n">
        <v>93.59999999999999</v>
      </c>
      <c r="AE1074" s="89" t="n">
        <v>102.6342</v>
      </c>
      <c r="AF1074" s="89" t="n">
        <v>103.7914</v>
      </c>
      <c r="AG1074" s="89" t="n">
        <v>114.9728</v>
      </c>
      <c r="AH1074" s="89" t="n">
        <v>100.1962</v>
      </c>
      <c r="AI1074" s="89" t="n">
        <v>77.90000000000001</v>
      </c>
      <c r="AJ1074" s="89" t="n">
        <v>114.632</v>
      </c>
      <c r="AK1074" s="89" t="n">
        <v>88.21469999999999</v>
      </c>
      <c r="AL1074" s="89" t="n">
        <v>107.409</v>
      </c>
      <c r="AM1074" s="89" t="n">
        <v>117.6</v>
      </c>
      <c r="AN1074" s="89" t="n"/>
      <c r="AO1074" s="89" t="n">
        <v>99.01537</v>
      </c>
      <c r="AP1074" s="89" t="n">
        <v>106.8822</v>
      </c>
      <c r="AQ1074" s="89" t="n"/>
      <c r="AR1074" s="89" t="n"/>
      <c r="AS1074" s="89" t="n"/>
      <c r="AT1074" s="89" t="n">
        <v>80.18626</v>
      </c>
      <c r="AU1074" s="89" t="n"/>
      <c r="AV1074" s="89" t="n">
        <v>90.90000000000001</v>
      </c>
      <c r="AW1074" s="89" t="n"/>
      <c r="AX1074" s="89" t="n">
        <v>71.09408000000001</v>
      </c>
      <c r="AY1074" s="89" t="n">
        <v>111.313</v>
      </c>
    </row>
    <row r="1075">
      <c r="A1075" t="inlineStr">
        <is>
          <t>2008-06</t>
        </is>
      </c>
      <c r="B1075" s="1" t="n">
        <v>39600</v>
      </c>
      <c r="C1075" s="88" t="n">
        <v>1075</v>
      </c>
      <c r="E1075" s="1">
        <f>B1075</f>
        <v/>
      </c>
      <c r="F1075" s="2">
        <f>B1075</f>
        <v/>
      </c>
      <c r="G1075" s="88" t="n">
        <v>1073</v>
      </c>
      <c r="H1075" s="89" t="n"/>
      <c r="I1075" s="89" t="n"/>
      <c r="J1075" s="89" t="n">
        <v>100.2916</v>
      </c>
      <c r="K1075" s="89" t="n">
        <v>96.07987</v>
      </c>
      <c r="L1075" s="89" t="n"/>
      <c r="M1075" s="89" t="n">
        <v>94.48425</v>
      </c>
      <c r="N1075" s="89" t="n">
        <v>99.39172000000001</v>
      </c>
      <c r="O1075" s="89" t="n">
        <v>113.1</v>
      </c>
      <c r="P1075" s="89" t="n">
        <v>123.9411</v>
      </c>
      <c r="Q1075" s="89" t="n"/>
      <c r="R1075" s="89" t="n">
        <v>123.4</v>
      </c>
      <c r="S1075" s="89" t="n">
        <v>109.8009</v>
      </c>
      <c r="T1075" s="89" t="n">
        <v>107.1466</v>
      </c>
      <c r="U1075" s="89" t="n">
        <v>143.7323</v>
      </c>
      <c r="V1075" s="89" t="n">
        <v>91.80765</v>
      </c>
      <c r="W1075" s="89" t="n">
        <v>62.0761</v>
      </c>
      <c r="X1075" s="89" t="n">
        <v>66.75436000000001</v>
      </c>
      <c r="Y1075" s="89" t="n">
        <v>92.64637</v>
      </c>
      <c r="Z1075" s="89" t="n">
        <v>128.5893</v>
      </c>
      <c r="AA1075" s="89" t="n">
        <v>115.1623</v>
      </c>
      <c r="AB1075" s="89" t="n">
        <v>82.21415</v>
      </c>
      <c r="AC1075" s="89" t="n">
        <v>111.6907</v>
      </c>
      <c r="AD1075" s="89" t="n">
        <v>91.59999999999999</v>
      </c>
      <c r="AE1075" s="89" t="n">
        <v>103.0176</v>
      </c>
      <c r="AF1075" s="89" t="n">
        <v>105.2912</v>
      </c>
      <c r="AG1075" s="89" t="n">
        <v>114.5074</v>
      </c>
      <c r="AH1075" s="89" t="n">
        <v>99.76954000000001</v>
      </c>
      <c r="AI1075" s="89" t="n">
        <v>78.40000000000001</v>
      </c>
      <c r="AJ1075" s="89" t="n">
        <v>115.2668</v>
      </c>
      <c r="AK1075" s="89" t="n">
        <v>86.01434</v>
      </c>
      <c r="AL1075" s="89" t="n">
        <v>111.7093</v>
      </c>
      <c r="AM1075" s="89" t="n">
        <v>116.3</v>
      </c>
      <c r="AN1075" s="89" t="n"/>
      <c r="AO1075" s="89" t="n">
        <v>98.78312</v>
      </c>
      <c r="AP1075" s="89" t="n">
        <v>107.0822</v>
      </c>
      <c r="AQ1075" s="89" t="n"/>
      <c r="AR1075" s="89" t="n"/>
      <c r="AS1075" s="89" t="n"/>
      <c r="AT1075" s="89" t="n">
        <v>81.28489999999999</v>
      </c>
      <c r="AU1075" s="89" t="n"/>
      <c r="AV1075" s="89" t="n">
        <v>89.7</v>
      </c>
      <c r="AW1075" s="89" t="n"/>
      <c r="AX1075" s="89" t="n">
        <v>71.39404999999999</v>
      </c>
      <c r="AY1075" s="89" t="n">
        <v>113.2948</v>
      </c>
    </row>
    <row r="1076">
      <c r="A1076" t="inlineStr">
        <is>
          <t>2008-07</t>
        </is>
      </c>
      <c r="B1076" s="1" t="n">
        <v>39630</v>
      </c>
      <c r="C1076" s="88" t="n">
        <v>1076</v>
      </c>
      <c r="E1076" s="1">
        <f>B1076</f>
        <v/>
      </c>
      <c r="F1076" s="2">
        <f>B1076</f>
        <v/>
      </c>
      <c r="G1076" s="88" t="n">
        <v>1074</v>
      </c>
      <c r="H1076" s="89" t="n"/>
      <c r="I1076" s="89" t="n"/>
      <c r="J1076" s="89" t="n">
        <v>103.1914</v>
      </c>
      <c r="K1076" s="89" t="n">
        <v>97.60185</v>
      </c>
      <c r="L1076" s="89" t="n"/>
      <c r="M1076" s="89" t="n">
        <v>91.78471</v>
      </c>
      <c r="N1076" s="89" t="n">
        <v>97.69186000000001</v>
      </c>
      <c r="O1076" s="89" t="n">
        <v>112.8</v>
      </c>
      <c r="P1076" s="89" t="n">
        <v>127.2151</v>
      </c>
      <c r="Q1076" s="89" t="n"/>
      <c r="R1076" s="89" t="n">
        <v>126.4</v>
      </c>
      <c r="S1076" s="89" t="n">
        <v>110.6609</v>
      </c>
      <c r="T1076" s="89" t="n">
        <v>106.8351</v>
      </c>
      <c r="U1076" s="89" t="n">
        <v>140.2364</v>
      </c>
      <c r="V1076" s="89" t="n">
        <v>91.50763000000001</v>
      </c>
      <c r="W1076" s="89" t="n">
        <v>61.36327</v>
      </c>
      <c r="X1076" s="89" t="n">
        <v>68.65705</v>
      </c>
      <c r="Y1076" s="89" t="n">
        <v>92.08431</v>
      </c>
      <c r="Z1076" s="89" t="n">
        <v>124.5896</v>
      </c>
      <c r="AA1076" s="89" t="n">
        <v>115.1623</v>
      </c>
      <c r="AB1076" s="89" t="n">
        <v>81.72319</v>
      </c>
      <c r="AC1076" s="89" t="n">
        <v>116.9902</v>
      </c>
      <c r="AD1076" s="89" t="n">
        <v>90.09999999999999</v>
      </c>
      <c r="AE1076" s="89" t="n">
        <v>102.3946</v>
      </c>
      <c r="AF1076" s="89" t="n">
        <v>105.2912</v>
      </c>
      <c r="AG1076" s="89" t="n">
        <v>115.5547</v>
      </c>
      <c r="AH1076" s="89" t="n">
        <v>99.36879</v>
      </c>
      <c r="AI1076" s="89" t="n">
        <v>78</v>
      </c>
      <c r="AJ1076" s="89" t="n">
        <v>114.7549</v>
      </c>
      <c r="AK1076" s="89" t="n">
        <v>85.41424000000001</v>
      </c>
      <c r="AL1076" s="89" t="n">
        <v>105.2088</v>
      </c>
      <c r="AM1076" s="89" t="n">
        <v>116.1</v>
      </c>
      <c r="AN1076" s="89" t="n"/>
      <c r="AO1076" s="89" t="n">
        <v>98.26031</v>
      </c>
      <c r="AP1076" s="89" t="n">
        <v>105.9823</v>
      </c>
      <c r="AQ1076" s="89" t="n"/>
      <c r="AR1076" s="89" t="n"/>
      <c r="AS1076" s="89" t="n"/>
      <c r="AT1076" s="89" t="n">
        <v>79.19014</v>
      </c>
      <c r="AU1076" s="89" t="n"/>
      <c r="AV1076" s="89" t="n">
        <v>89.5</v>
      </c>
      <c r="AW1076" s="89" t="n"/>
      <c r="AX1076" s="89" t="n">
        <v>69.89417</v>
      </c>
      <c r="AY1076" s="89" t="n">
        <v>113.6251</v>
      </c>
    </row>
    <row r="1077">
      <c r="A1077" t="inlineStr">
        <is>
          <t>2008-08</t>
        </is>
      </c>
      <c r="B1077" s="1" t="n">
        <v>39661</v>
      </c>
      <c r="C1077" s="88" t="n">
        <v>1077</v>
      </c>
      <c r="E1077" s="1">
        <f>B1077</f>
        <v/>
      </c>
      <c r="F1077" s="2">
        <f>B1077</f>
        <v/>
      </c>
      <c r="G1077" s="88" t="n">
        <v>1075</v>
      </c>
      <c r="H1077" s="89" t="n"/>
      <c r="I1077" s="89" t="n"/>
      <c r="J1077" s="89" t="n">
        <v>100.4916</v>
      </c>
      <c r="K1077" s="89" t="n">
        <v>96.46137</v>
      </c>
      <c r="L1077" s="89" t="n"/>
      <c r="M1077" s="89" t="n">
        <v>89.78503000000001</v>
      </c>
      <c r="N1077" s="89" t="n">
        <v>99.6917</v>
      </c>
      <c r="O1077" s="89" t="n">
        <v>112.5</v>
      </c>
      <c r="P1077" s="89" t="n">
        <v>122.6981</v>
      </c>
      <c r="Q1077" s="89" t="n"/>
      <c r="R1077" s="89" t="n">
        <v>122.1</v>
      </c>
      <c r="S1077" s="89" t="n">
        <v>109.1009</v>
      </c>
      <c r="T1077" s="89" t="n">
        <v>107.6657</v>
      </c>
      <c r="U1077" s="89" t="n">
        <v>136.5407</v>
      </c>
      <c r="V1077" s="89" t="n">
        <v>92.30768999999999</v>
      </c>
      <c r="W1077" s="89" t="n">
        <v>65.40267</v>
      </c>
      <c r="X1077" s="89" t="n">
        <v>71.78942000000001</v>
      </c>
      <c r="Y1077" s="89" t="n">
        <v>92.92740000000001</v>
      </c>
      <c r="Z1077" s="89" t="n">
        <v>121.1899</v>
      </c>
      <c r="AA1077" s="89" t="n">
        <v>110.9541</v>
      </c>
      <c r="AB1077" s="89" t="n">
        <v>81.85017999999999</v>
      </c>
      <c r="AC1077" s="89" t="n">
        <v>115.5904</v>
      </c>
      <c r="AD1077" s="89" t="n">
        <v>86.8</v>
      </c>
      <c r="AE1077" s="89" t="n">
        <v>102.1986</v>
      </c>
      <c r="AF1077" s="89" t="n">
        <v>103.7914</v>
      </c>
      <c r="AG1077" s="89" t="n">
        <v>107.7579</v>
      </c>
      <c r="AH1077" s="89" t="n">
        <v>98.06922</v>
      </c>
      <c r="AI1077" s="89" t="n">
        <v>76.7</v>
      </c>
      <c r="AJ1077" s="89" t="n">
        <v>111.9679</v>
      </c>
      <c r="AK1077" s="89" t="n">
        <v>82.31372</v>
      </c>
      <c r="AL1077" s="89" t="n">
        <v>108.409</v>
      </c>
      <c r="AM1077" s="89" t="n">
        <v>116.2</v>
      </c>
      <c r="AN1077" s="89" t="n"/>
      <c r="AO1077" s="89" t="n">
        <v>96.75722</v>
      </c>
      <c r="AP1077" s="89" t="n">
        <v>105.5824</v>
      </c>
      <c r="AQ1077" s="89" t="n"/>
      <c r="AR1077" s="89" t="n"/>
      <c r="AS1077" s="89" t="n"/>
      <c r="AT1077" s="89" t="n">
        <v>80.17265</v>
      </c>
      <c r="AU1077" s="89" t="n"/>
      <c r="AV1077" s="89" t="n">
        <v>90</v>
      </c>
      <c r="AW1077" s="89" t="n"/>
      <c r="AX1077" s="89" t="n">
        <v>68.99424999999999</v>
      </c>
      <c r="AY1077" s="89" t="n">
        <v>112.1938</v>
      </c>
    </row>
    <row r="1078">
      <c r="A1078" t="inlineStr">
        <is>
          <t>2008-09</t>
        </is>
      </c>
      <c r="B1078" s="1" t="n">
        <v>39692</v>
      </c>
      <c r="C1078" s="88" t="n">
        <v>1078</v>
      </c>
      <c r="E1078" s="1">
        <f>B1078</f>
        <v/>
      </c>
      <c r="F1078" s="2">
        <f>B1078</f>
        <v/>
      </c>
      <c r="G1078" s="88" t="n">
        <v>1076</v>
      </c>
      <c r="H1078" s="89" t="n"/>
      <c r="I1078" s="89" t="n"/>
      <c r="J1078" s="89" t="n">
        <v>100.8916</v>
      </c>
      <c r="K1078" s="89" t="n">
        <v>95.50575000000001</v>
      </c>
      <c r="L1078" s="89" t="n"/>
      <c r="M1078" s="89" t="n">
        <v>90.48492</v>
      </c>
      <c r="N1078" s="89" t="n">
        <v>97.39188</v>
      </c>
      <c r="O1078" s="89" t="n">
        <v>111.1</v>
      </c>
      <c r="P1078" s="89" t="n">
        <v>121.8311</v>
      </c>
      <c r="Q1078" s="89" t="n"/>
      <c r="R1078" s="89" t="n">
        <v>125.3</v>
      </c>
      <c r="S1078" s="89" t="n">
        <v>108.6309</v>
      </c>
      <c r="T1078" s="89" t="n">
        <v>106.1083</v>
      </c>
      <c r="U1078" s="89" t="n">
        <v>136.4408</v>
      </c>
      <c r="V1078" s="89" t="n">
        <v>89.30744</v>
      </c>
      <c r="W1078" s="89" t="n">
        <v>63.50178</v>
      </c>
      <c r="X1078" s="89" t="n">
        <v>74.64579999999999</v>
      </c>
      <c r="Y1078" s="89" t="n">
        <v>87.11944</v>
      </c>
      <c r="Z1078" s="89" t="n">
        <v>120.39</v>
      </c>
      <c r="AA1078" s="89" t="n">
        <v>112.391</v>
      </c>
      <c r="AB1078" s="89" t="n">
        <v>81.20823</v>
      </c>
      <c r="AC1078" s="89" t="n">
        <v>115.6904</v>
      </c>
      <c r="AD1078" s="89" t="n">
        <v>87.90000000000001</v>
      </c>
      <c r="AE1078" s="89" t="n">
        <v>100.7514</v>
      </c>
      <c r="AF1078" s="89" t="n">
        <v>106.6911</v>
      </c>
      <c r="AG1078" s="89" t="n">
        <v>111.249</v>
      </c>
      <c r="AH1078" s="89" t="n">
        <v>96.53707</v>
      </c>
      <c r="AI1078" s="89" t="n">
        <v>77.2</v>
      </c>
      <c r="AJ1078" s="89" t="n">
        <v>111.8455</v>
      </c>
      <c r="AK1078" s="89" t="n">
        <v>81.41357000000001</v>
      </c>
      <c r="AL1078" s="89" t="n">
        <v>107.509</v>
      </c>
      <c r="AM1078" s="89" t="n">
        <v>113</v>
      </c>
      <c r="AN1078" s="89" t="n"/>
      <c r="AO1078" s="89" t="n">
        <v>92.56104000000001</v>
      </c>
      <c r="AP1078" s="89" t="n">
        <v>104.7825</v>
      </c>
      <c r="AQ1078" s="89" t="n"/>
      <c r="AR1078" s="89" t="n"/>
      <c r="AS1078" s="89" t="n"/>
      <c r="AT1078" s="89" t="n">
        <v>82.17245</v>
      </c>
      <c r="AU1078" s="89" t="n"/>
      <c r="AV1078" s="89" t="n">
        <v>89.09999999999999</v>
      </c>
      <c r="AW1078" s="89" t="n"/>
      <c r="AX1078" s="89" t="n">
        <v>68.79427</v>
      </c>
      <c r="AY1078" s="89" t="n">
        <v>113.7352</v>
      </c>
    </row>
    <row r="1079">
      <c r="A1079" t="inlineStr">
        <is>
          <t>2008-10</t>
        </is>
      </c>
      <c r="B1079" s="1" t="n">
        <v>39722</v>
      </c>
      <c r="C1079" s="88" t="n">
        <v>1079</v>
      </c>
      <c r="E1079" s="1">
        <f>B1079</f>
        <v/>
      </c>
      <c r="F1079" s="2">
        <f>B1079</f>
        <v/>
      </c>
      <c r="G1079" s="88" t="n">
        <v>1077</v>
      </c>
      <c r="H1079" s="89" t="n"/>
      <c r="I1079" s="89" t="n"/>
      <c r="J1079" s="89" t="n">
        <v>98.79177</v>
      </c>
      <c r="K1079" s="89" t="n">
        <v>95.12773</v>
      </c>
      <c r="L1079" s="89" t="n"/>
      <c r="M1079" s="89" t="n">
        <v>88.08532</v>
      </c>
      <c r="N1079" s="89" t="n">
        <v>95.29206000000001</v>
      </c>
      <c r="O1079" s="89" t="n">
        <v>110.3</v>
      </c>
      <c r="P1079" s="89" t="n">
        <v>114.6391</v>
      </c>
      <c r="Q1079" s="89" t="n"/>
      <c r="R1079" s="89" t="n">
        <v>124</v>
      </c>
      <c r="S1079" s="89" t="n">
        <v>106.6009</v>
      </c>
      <c r="T1079" s="89" t="n">
        <v>105.1739</v>
      </c>
      <c r="U1079" s="89" t="n">
        <v>135.0424</v>
      </c>
      <c r="V1079" s="89" t="n">
        <v>87.50729</v>
      </c>
      <c r="W1079" s="89" t="n">
        <v>61.24446</v>
      </c>
      <c r="X1079" s="89" t="n">
        <v>77.90244</v>
      </c>
      <c r="Y1079" s="89" t="n">
        <v>89.74239</v>
      </c>
      <c r="Z1079" s="89" t="n">
        <v>117.8902</v>
      </c>
      <c r="AA1079" s="89" t="n">
        <v>109.9277</v>
      </c>
      <c r="AB1079" s="89" t="n">
        <v>80.05533</v>
      </c>
      <c r="AC1079" s="89" t="n">
        <v>102.6914</v>
      </c>
      <c r="AD1079" s="89" t="n">
        <v>86</v>
      </c>
      <c r="AE1079" s="89" t="n">
        <v>100.7695</v>
      </c>
      <c r="AF1079" s="89" t="n">
        <v>106.8911</v>
      </c>
      <c r="AG1079" s="89" t="n">
        <v>114.0419</v>
      </c>
      <c r="AH1079" s="89" t="n">
        <v>95.46149</v>
      </c>
      <c r="AI1079" s="89" t="n">
        <v>76</v>
      </c>
      <c r="AJ1079" s="89" t="n">
        <v>111.4002</v>
      </c>
      <c r="AK1079" s="89" t="n">
        <v>79.11318</v>
      </c>
      <c r="AL1079" s="89" t="n">
        <v>107.3089</v>
      </c>
      <c r="AM1079" s="89" t="n">
        <v>110.1</v>
      </c>
      <c r="AN1079" s="89" t="n"/>
      <c r="AO1079" s="89" t="n">
        <v>93.44144</v>
      </c>
      <c r="AP1079" s="89" t="n">
        <v>102.083</v>
      </c>
      <c r="AQ1079" s="89" t="n"/>
      <c r="AR1079" s="89" t="n"/>
      <c r="AS1079" s="89" t="n"/>
      <c r="AT1079" s="89" t="n">
        <v>79.66721</v>
      </c>
      <c r="AU1079" s="89" t="n"/>
      <c r="AV1079" s="89" t="n">
        <v>86.7</v>
      </c>
      <c r="AW1079" s="89" t="n"/>
      <c r="AX1079" s="89" t="n">
        <v>65.39455</v>
      </c>
      <c r="AY1079" s="89" t="n">
        <v>110.4322</v>
      </c>
    </row>
    <row r="1080">
      <c r="A1080" t="inlineStr">
        <is>
          <t>2008-11</t>
        </is>
      </c>
      <c r="B1080" s="1" t="n">
        <v>39753</v>
      </c>
      <c r="C1080" s="88" t="n">
        <v>1080</v>
      </c>
      <c r="E1080" s="1">
        <f>B1080</f>
        <v/>
      </c>
      <c r="F1080" s="2">
        <f>B1080</f>
        <v/>
      </c>
      <c r="G1080" s="88" t="n">
        <v>1078</v>
      </c>
      <c r="H1080" s="89" t="n"/>
      <c r="I1080" s="89" t="n"/>
      <c r="J1080" s="89" t="n">
        <v>93.79218</v>
      </c>
      <c r="K1080" s="89" t="n">
        <v>93.35267</v>
      </c>
      <c r="L1080" s="89" t="n"/>
      <c r="M1080" s="89" t="n">
        <v>84.98583000000001</v>
      </c>
      <c r="N1080" s="89" t="n">
        <v>91.09241</v>
      </c>
      <c r="O1080" s="89" t="n">
        <v>108</v>
      </c>
      <c r="P1080" s="89" t="n">
        <v>110.9341</v>
      </c>
      <c r="Q1080" s="89" t="n"/>
      <c r="R1080" s="89" t="n">
        <v>119.5</v>
      </c>
      <c r="S1080" s="89" t="n">
        <v>101.2508</v>
      </c>
      <c r="T1080" s="89" t="n">
        <v>101.8515</v>
      </c>
      <c r="U1080" s="89" t="n">
        <v>130.248</v>
      </c>
      <c r="V1080" s="89" t="n">
        <v>84.90707</v>
      </c>
      <c r="W1080" s="89" t="n">
        <v>67.54118</v>
      </c>
      <c r="X1080" s="89" t="n">
        <v>77.23141</v>
      </c>
      <c r="Y1080" s="89" t="n">
        <v>88.61826000000001</v>
      </c>
      <c r="Z1080" s="89" t="n">
        <v>113.8905</v>
      </c>
      <c r="AA1080" s="89" t="n">
        <v>102.8455</v>
      </c>
      <c r="AB1080" s="89" t="n">
        <v>71.61103</v>
      </c>
      <c r="AC1080" s="89" t="n">
        <v>95.39205</v>
      </c>
      <c r="AD1080" s="89" t="n">
        <v>82</v>
      </c>
      <c r="AE1080" s="89" t="n">
        <v>99.33257</v>
      </c>
      <c r="AF1080" s="89" t="n">
        <v>101.5915</v>
      </c>
      <c r="AG1080" s="89" t="n">
        <v>113.2273</v>
      </c>
      <c r="AH1080" s="89" t="n">
        <v>92.29826</v>
      </c>
      <c r="AI1080" s="89" t="n">
        <v>72.8</v>
      </c>
      <c r="AJ1080" s="89" t="n">
        <v>108.4112</v>
      </c>
      <c r="AK1080" s="89" t="n">
        <v>76.81281</v>
      </c>
      <c r="AL1080" s="89" t="n">
        <v>94.40787</v>
      </c>
      <c r="AM1080" s="89" t="n">
        <v>105.8</v>
      </c>
      <c r="AN1080" s="89" t="n"/>
      <c r="AO1080" s="89" t="n">
        <v>92.26703000000001</v>
      </c>
      <c r="AP1080" s="89" t="n">
        <v>98.38361</v>
      </c>
      <c r="AQ1080" s="89" t="n"/>
      <c r="AR1080" s="89" t="n"/>
      <c r="AS1080" s="89" t="n"/>
      <c r="AT1080" s="89" t="n">
        <v>78.98032000000001</v>
      </c>
      <c r="AU1080" s="89" t="n"/>
      <c r="AV1080" s="89" t="n">
        <v>78.3</v>
      </c>
      <c r="AW1080" s="89" t="n"/>
      <c r="AX1080" s="89" t="n">
        <v>62.89476</v>
      </c>
      <c r="AY1080" s="89" t="n">
        <v>103.9361</v>
      </c>
    </row>
    <row r="1081">
      <c r="A1081" t="inlineStr">
        <is>
          <t>2008-12</t>
        </is>
      </c>
      <c r="B1081" s="1" t="n">
        <v>39783</v>
      </c>
      <c r="C1081" s="88" t="n">
        <v>1081</v>
      </c>
      <c r="E1081" s="1">
        <f>B1081</f>
        <v/>
      </c>
      <c r="F1081" s="2">
        <f>B1081</f>
        <v/>
      </c>
      <c r="G1081" s="88" t="n">
        <v>1079</v>
      </c>
      <c r="H1081" s="89" t="n"/>
      <c r="I1081" s="89" t="n"/>
      <c r="J1081" s="89" t="n">
        <v>93.19223</v>
      </c>
      <c r="K1081" s="89" t="n">
        <v>90.39084</v>
      </c>
      <c r="L1081" s="89" t="n"/>
      <c r="M1081" s="89" t="n">
        <v>82.68622000000001</v>
      </c>
      <c r="N1081" s="89" t="n">
        <v>87.6927</v>
      </c>
      <c r="O1081" s="89" t="n">
        <v>108</v>
      </c>
      <c r="P1081" s="89" t="n">
        <v>107.1911</v>
      </c>
      <c r="Q1081" s="89" t="n"/>
      <c r="R1081" s="89" t="n">
        <v>104</v>
      </c>
      <c r="S1081" s="89" t="n">
        <v>99.85083</v>
      </c>
      <c r="T1081" s="89" t="n">
        <v>100.5018</v>
      </c>
      <c r="U1081" s="89" t="n">
        <v>129.3491</v>
      </c>
      <c r="V1081" s="89" t="n">
        <v>74.60621999999999</v>
      </c>
      <c r="W1081" s="89" t="n">
        <v>60.35342</v>
      </c>
      <c r="X1081" s="89" t="n">
        <v>75.75259</v>
      </c>
      <c r="Y1081" s="89" t="n">
        <v>89.36767999999999</v>
      </c>
      <c r="Z1081" s="89" t="n">
        <v>109.2909</v>
      </c>
      <c r="AA1081" s="89" t="n">
        <v>94.53165</v>
      </c>
      <c r="AB1081" s="89" t="n">
        <v>64.09966</v>
      </c>
      <c r="AC1081" s="89" t="n">
        <v>86.19282</v>
      </c>
      <c r="AD1081" s="89" t="n">
        <v>81</v>
      </c>
      <c r="AE1081" s="89" t="n">
        <v>98.20206</v>
      </c>
      <c r="AF1081" s="89" t="n">
        <v>97.59187</v>
      </c>
      <c r="AG1081" s="89" t="n">
        <v>113.6928</v>
      </c>
      <c r="AH1081" s="89" t="n">
        <v>88.8287</v>
      </c>
      <c r="AI1081" s="89" t="n">
        <v>72.40000000000001</v>
      </c>
      <c r="AJ1081" s="89" t="n">
        <v>104.7744</v>
      </c>
      <c r="AK1081" s="89" t="n">
        <v>74.21237000000001</v>
      </c>
      <c r="AL1081" s="89" t="n">
        <v>85.30710999999999</v>
      </c>
      <c r="AM1081" s="89" t="n">
        <v>99.3</v>
      </c>
      <c r="AN1081" s="89" t="n"/>
      <c r="AO1081" s="89" t="n">
        <v>89.56953</v>
      </c>
      <c r="AP1081" s="89" t="n">
        <v>94.98417000000001</v>
      </c>
      <c r="AQ1081" s="89" t="n"/>
      <c r="AR1081" s="89" t="n"/>
      <c r="AS1081" s="89" t="n"/>
      <c r="AT1081" s="89" t="n">
        <v>76.86218</v>
      </c>
      <c r="AU1081" s="89" t="n"/>
      <c r="AV1081" s="89" t="n">
        <v>76</v>
      </c>
      <c r="AW1081" s="89" t="n"/>
      <c r="AX1081" s="89" t="n">
        <v>61.09491</v>
      </c>
      <c r="AY1081" s="89" t="n">
        <v>92.26533999999999</v>
      </c>
    </row>
    <row r="1082">
      <c r="A1082" t="inlineStr">
        <is>
          <t>2009-01</t>
        </is>
      </c>
      <c r="B1082" s="1" t="n">
        <v>39814</v>
      </c>
      <c r="C1082" s="88" t="n">
        <v>1082</v>
      </c>
      <c r="E1082" s="1">
        <f>B1082</f>
        <v/>
      </c>
      <c r="F1082" s="2">
        <f>B1082</f>
        <v/>
      </c>
      <c r="G1082" s="88" t="n">
        <v>1080</v>
      </c>
      <c r="H1082" s="89" t="n"/>
      <c r="I1082" s="89" t="n"/>
      <c r="J1082" s="89" t="n">
        <v>88.09266</v>
      </c>
      <c r="K1082" s="89" t="n">
        <v>88.64574</v>
      </c>
      <c r="L1082" s="89" t="n"/>
      <c r="M1082" s="89" t="n">
        <v>78.28695</v>
      </c>
      <c r="N1082" s="89" t="n">
        <v>80.69328</v>
      </c>
      <c r="O1082" s="89" t="n">
        <v>104.7</v>
      </c>
      <c r="P1082" s="89" t="n">
        <v>106.6271</v>
      </c>
      <c r="Q1082" s="89" t="n"/>
      <c r="R1082" s="89" t="n">
        <v>99.8</v>
      </c>
      <c r="S1082" s="89" t="n">
        <v>96.1808</v>
      </c>
      <c r="T1082" s="89" t="n">
        <v>98.01003</v>
      </c>
      <c r="U1082" s="89" t="n">
        <v>123.6557</v>
      </c>
      <c r="V1082" s="89" t="n">
        <v>74.20618</v>
      </c>
      <c r="W1082" s="89" t="n">
        <v>62.78894</v>
      </c>
      <c r="X1082" s="89" t="n">
        <v>70.5742</v>
      </c>
      <c r="Y1082" s="89" t="n">
        <v>86.08899</v>
      </c>
      <c r="Z1082" s="89" t="n">
        <v>104.9912</v>
      </c>
      <c r="AA1082" s="89" t="n">
        <v>86.93626999999999</v>
      </c>
      <c r="AB1082" s="89" t="n">
        <v>65.43255000000001</v>
      </c>
      <c r="AC1082" s="89" t="n">
        <v>90.09249</v>
      </c>
      <c r="AD1082" s="89" t="n">
        <v>75.90000000000001</v>
      </c>
      <c r="AE1082" s="89" t="n">
        <v>95.41579</v>
      </c>
      <c r="AF1082" s="89" t="n">
        <v>100.4916</v>
      </c>
      <c r="AG1082" s="89" t="n">
        <v>111.4818</v>
      </c>
      <c r="AH1082" s="89" t="n">
        <v>85.71626999999999</v>
      </c>
      <c r="AI1082" s="89" t="n">
        <v>71.40000000000001</v>
      </c>
      <c r="AJ1082" s="89" t="n">
        <v>100.7772</v>
      </c>
      <c r="AK1082" s="89" t="n">
        <v>69.91164999999999</v>
      </c>
      <c r="AL1082" s="89" t="n">
        <v>91.10759</v>
      </c>
      <c r="AM1082" s="89" t="n">
        <v>95.8</v>
      </c>
      <c r="AN1082" s="89" t="n"/>
      <c r="AO1082" s="89" t="n">
        <v>87.44219</v>
      </c>
      <c r="AP1082" s="89" t="n">
        <v>91.08481999999999</v>
      </c>
      <c r="AQ1082" s="89" t="n"/>
      <c r="AR1082" s="89" t="n"/>
      <c r="AS1082" s="89" t="n"/>
      <c r="AT1082" s="89" t="n">
        <v>75.37025</v>
      </c>
      <c r="AU1082" s="89" t="n"/>
      <c r="AV1082" s="89" t="n">
        <v>75.40000000000001</v>
      </c>
      <c r="AW1082" s="89" t="n"/>
      <c r="AX1082" s="89" t="n">
        <v>56.99525</v>
      </c>
      <c r="AY1082" s="89" t="n">
        <v>94.24718</v>
      </c>
    </row>
    <row r="1083">
      <c r="A1083" t="inlineStr">
        <is>
          <t>2009-02</t>
        </is>
      </c>
      <c r="B1083" s="1" t="n">
        <v>39845</v>
      </c>
      <c r="C1083" s="88" t="n">
        <v>1083</v>
      </c>
      <c r="E1083" s="1">
        <f>B1083</f>
        <v/>
      </c>
      <c r="F1083" s="2">
        <f>B1083</f>
        <v/>
      </c>
      <c r="G1083" s="88" t="n">
        <v>1081</v>
      </c>
      <c r="H1083" s="89" t="n"/>
      <c r="I1083" s="89" t="n"/>
      <c r="J1083" s="89" t="n">
        <v>87.59269999999999</v>
      </c>
      <c r="K1083" s="89" t="n">
        <v>87.56704999999999</v>
      </c>
      <c r="L1083" s="89" t="n"/>
      <c r="M1083" s="89" t="n">
        <v>78.5869</v>
      </c>
      <c r="N1083" s="89" t="n">
        <v>78.19347999999999</v>
      </c>
      <c r="O1083" s="89" t="n">
        <v>101.8</v>
      </c>
      <c r="P1083" s="89" t="n">
        <v>105.9551</v>
      </c>
      <c r="Q1083" s="89" t="n"/>
      <c r="R1083" s="89" t="n">
        <v>104.1</v>
      </c>
      <c r="S1083" s="89" t="n">
        <v>94.84079</v>
      </c>
      <c r="T1083" s="89" t="n">
        <v>98.01003</v>
      </c>
      <c r="U1083" s="89" t="n">
        <v>129.1493</v>
      </c>
      <c r="V1083" s="89" t="n">
        <v>71.70598</v>
      </c>
      <c r="W1083" s="89" t="n">
        <v>61.9573</v>
      </c>
      <c r="X1083" s="89" t="n">
        <v>61.89636</v>
      </c>
      <c r="Y1083" s="89" t="n">
        <v>85.80795999999999</v>
      </c>
      <c r="Z1083" s="89" t="n">
        <v>101.2916</v>
      </c>
      <c r="AA1083" s="89" t="n">
        <v>79.64881</v>
      </c>
      <c r="AB1083" s="89" t="n">
        <v>70.18615</v>
      </c>
      <c r="AC1083" s="89" t="n">
        <v>87.09274000000001</v>
      </c>
      <c r="AD1083" s="89" t="n">
        <v>75.90000000000001</v>
      </c>
      <c r="AE1083" s="89" t="n">
        <v>95.86924</v>
      </c>
      <c r="AF1083" s="89" t="n">
        <v>96.69194</v>
      </c>
      <c r="AG1083" s="89" t="n">
        <v>114.5074</v>
      </c>
      <c r="AH1083" s="89" t="n">
        <v>84.50382</v>
      </c>
      <c r="AI1083" s="89" t="n">
        <v>72.59999999999999</v>
      </c>
      <c r="AJ1083" s="89" t="n">
        <v>100.7105</v>
      </c>
      <c r="AK1083" s="89" t="n">
        <v>72.41207</v>
      </c>
      <c r="AL1083" s="89" t="n">
        <v>87.00725</v>
      </c>
      <c r="AM1083" s="89" t="n">
        <v>96.3</v>
      </c>
      <c r="AN1083" s="89" t="n"/>
      <c r="AO1083" s="89" t="n">
        <v>86.87828</v>
      </c>
      <c r="AP1083" s="89" t="n">
        <v>88.98517</v>
      </c>
      <c r="AQ1083" s="89" t="n"/>
      <c r="AR1083" s="89" t="n"/>
      <c r="AS1083" s="89" t="n"/>
      <c r="AT1083" s="89" t="n">
        <v>76.24026000000001</v>
      </c>
      <c r="AU1083" s="89" t="n"/>
      <c r="AV1083" s="89" t="n">
        <v>76.5</v>
      </c>
      <c r="AW1083" s="89" t="n"/>
      <c r="AX1083" s="89" t="n">
        <v>58.19515</v>
      </c>
      <c r="AY1083" s="89" t="n">
        <v>96.44922</v>
      </c>
    </row>
    <row r="1084">
      <c r="A1084" t="inlineStr">
        <is>
          <t>2009-03</t>
        </is>
      </c>
      <c r="B1084" s="1" t="n">
        <v>39873</v>
      </c>
      <c r="C1084" s="88" t="n">
        <v>1084</v>
      </c>
      <c r="E1084" s="1">
        <f>B1084</f>
        <v/>
      </c>
      <c r="F1084" s="2">
        <f>B1084</f>
        <v/>
      </c>
      <c r="G1084" s="88" t="n">
        <v>1082</v>
      </c>
      <c r="H1084" s="89" t="n"/>
      <c r="I1084" s="89" t="n"/>
      <c r="J1084" s="89" t="n">
        <v>85.79285</v>
      </c>
      <c r="K1084" s="89" t="n">
        <v>85.79172</v>
      </c>
      <c r="L1084" s="89" t="n"/>
      <c r="M1084" s="89" t="n">
        <v>79.98667</v>
      </c>
      <c r="N1084" s="89" t="n">
        <v>78.49346</v>
      </c>
      <c r="O1084" s="89" t="n">
        <v>98.3</v>
      </c>
      <c r="P1084" s="89" t="n">
        <v>102.8391</v>
      </c>
      <c r="Q1084" s="89" t="n"/>
      <c r="R1084" s="89" t="n">
        <v>102.2</v>
      </c>
      <c r="S1084" s="89" t="n">
        <v>93.10078</v>
      </c>
      <c r="T1084" s="89" t="n">
        <v>97.69856</v>
      </c>
      <c r="U1084" s="89" t="n">
        <v>125.0541</v>
      </c>
      <c r="V1084" s="89" t="n">
        <v>75.10626000000001</v>
      </c>
      <c r="W1084" s="89" t="n">
        <v>63.50178</v>
      </c>
      <c r="X1084" s="89" t="n">
        <v>63.97116</v>
      </c>
      <c r="Y1084" s="89" t="n">
        <v>81.40515000000001</v>
      </c>
      <c r="Z1084" s="89" t="n">
        <v>97.29189</v>
      </c>
      <c r="AA1084" s="89" t="n">
        <v>80.36729</v>
      </c>
      <c r="AB1084" s="89" t="n">
        <v>73.2539</v>
      </c>
      <c r="AC1084" s="89" t="n">
        <v>82.39314</v>
      </c>
      <c r="AD1084" s="89" t="n">
        <v>73.09999999999999</v>
      </c>
      <c r="AE1084" s="89" t="n">
        <v>94.95346000000001</v>
      </c>
      <c r="AF1084" s="89" t="n">
        <v>94.7921</v>
      </c>
      <c r="AG1084" s="89" t="n">
        <v>110.8999</v>
      </c>
      <c r="AH1084" s="89" t="n">
        <v>83.90147</v>
      </c>
      <c r="AI1084" s="89" t="n">
        <v>74.40000000000001</v>
      </c>
      <c r="AJ1084" s="89" t="n">
        <v>101.3188</v>
      </c>
      <c r="AK1084" s="89" t="n">
        <v>71.71195</v>
      </c>
      <c r="AL1084" s="89" t="n">
        <v>86.00716</v>
      </c>
      <c r="AM1084" s="89" t="n">
        <v>93.7</v>
      </c>
      <c r="AN1084" s="89" t="n"/>
      <c r="AO1084" s="89" t="n">
        <v>85.50072</v>
      </c>
      <c r="AP1084" s="89" t="n">
        <v>87.88535</v>
      </c>
      <c r="AQ1084" s="89" t="n"/>
      <c r="AR1084" s="89" t="n"/>
      <c r="AS1084" s="89" t="n"/>
      <c r="AT1084" s="89" t="n">
        <v>75.68189</v>
      </c>
      <c r="AU1084" s="89" t="n"/>
      <c r="AV1084" s="89" t="n">
        <v>76.40000000000001</v>
      </c>
      <c r="AW1084" s="89" t="n"/>
      <c r="AX1084" s="89" t="n">
        <v>57.5952</v>
      </c>
      <c r="AY1084" s="89" t="n">
        <v>96.88963</v>
      </c>
    </row>
    <row r="1085">
      <c r="A1085" t="inlineStr">
        <is>
          <t>2009-04</t>
        </is>
      </c>
      <c r="B1085" s="1" t="n">
        <v>39904</v>
      </c>
      <c r="C1085" s="88" t="n">
        <v>1085</v>
      </c>
      <c r="E1085" s="1">
        <f>B1085</f>
        <v/>
      </c>
      <c r="F1085" s="2">
        <f>B1085</f>
        <v/>
      </c>
      <c r="G1085" s="88" t="n">
        <v>1083</v>
      </c>
      <c r="H1085" s="89" t="n"/>
      <c r="I1085" s="89" t="n"/>
      <c r="J1085" s="89" t="n">
        <v>85.79285</v>
      </c>
      <c r="K1085" s="89" t="n">
        <v>84.17717</v>
      </c>
      <c r="L1085" s="89" t="n"/>
      <c r="M1085" s="89" t="n">
        <v>78.38693000000001</v>
      </c>
      <c r="N1085" s="89" t="n">
        <v>76.19365000000001</v>
      </c>
      <c r="O1085" s="89" t="n">
        <v>96.5</v>
      </c>
      <c r="P1085" s="89" t="n">
        <v>103.9871</v>
      </c>
      <c r="Q1085" s="89" t="n"/>
      <c r="R1085" s="89" t="n">
        <v>99.2</v>
      </c>
      <c r="S1085" s="89" t="n">
        <v>93.06077999999999</v>
      </c>
      <c r="T1085" s="89" t="n">
        <v>99.25593000000001</v>
      </c>
      <c r="U1085" s="89" t="n">
        <v>123.456</v>
      </c>
      <c r="V1085" s="89" t="n">
        <v>71.70598</v>
      </c>
      <c r="W1085" s="89" t="n">
        <v>62.90775</v>
      </c>
      <c r="X1085" s="89" t="n">
        <v>65.09604</v>
      </c>
      <c r="Y1085" s="89" t="n">
        <v>82.34192</v>
      </c>
      <c r="Z1085" s="89" t="n">
        <v>97.79185</v>
      </c>
      <c r="AA1085" s="89" t="n">
        <v>83.85706</v>
      </c>
      <c r="AB1085" s="89" t="n">
        <v>76.18965</v>
      </c>
      <c r="AC1085" s="89" t="n">
        <v>88.49262</v>
      </c>
      <c r="AD1085" s="89" t="n">
        <v>75</v>
      </c>
      <c r="AE1085" s="89" t="n">
        <v>95.01282999999999</v>
      </c>
      <c r="AF1085" s="89" t="n">
        <v>91.39239000000001</v>
      </c>
      <c r="AG1085" s="89" t="n">
        <v>109.7362</v>
      </c>
      <c r="AH1085" s="89" t="n">
        <v>83.99791</v>
      </c>
      <c r="AI1085" s="89" t="n">
        <v>73.09999999999999</v>
      </c>
      <c r="AJ1085" s="89" t="n">
        <v>102.5824</v>
      </c>
      <c r="AK1085" s="89" t="n">
        <v>69.91164999999999</v>
      </c>
      <c r="AL1085" s="89" t="n">
        <v>81.20676</v>
      </c>
      <c r="AM1085" s="89" t="n">
        <v>93.3</v>
      </c>
      <c r="AN1085" s="89" t="n"/>
      <c r="AO1085" s="89" t="n">
        <v>84.81837</v>
      </c>
      <c r="AP1085" s="89" t="n">
        <v>86.68555000000001</v>
      </c>
      <c r="AQ1085" s="89" t="n"/>
      <c r="AR1085" s="89" t="n"/>
      <c r="AS1085" s="89" t="n"/>
      <c r="AT1085" s="89" t="n">
        <v>78.04049000000001</v>
      </c>
      <c r="AU1085" s="89" t="n"/>
      <c r="AV1085" s="89" t="n">
        <v>76.90000000000001</v>
      </c>
      <c r="AW1085" s="89" t="n"/>
      <c r="AX1085" s="89" t="n">
        <v>58.49512</v>
      </c>
      <c r="AY1085" s="89" t="n">
        <v>98.10075000000001</v>
      </c>
    </row>
    <row r="1086">
      <c r="A1086" t="inlineStr">
        <is>
          <t>2009-05</t>
        </is>
      </c>
      <c r="B1086" s="1" t="n">
        <v>39934</v>
      </c>
      <c r="C1086" s="88" t="n">
        <v>1086</v>
      </c>
      <c r="E1086" s="1">
        <f>B1086</f>
        <v/>
      </c>
      <c r="F1086" s="2">
        <f>B1086</f>
        <v/>
      </c>
      <c r="G1086" s="88" t="n">
        <v>1084</v>
      </c>
      <c r="H1086" s="89" t="n"/>
      <c r="I1086" s="89" t="n"/>
      <c r="J1086" s="89" t="n">
        <v>95.79201999999999</v>
      </c>
      <c r="K1086" s="89" t="n">
        <v>83.43076000000001</v>
      </c>
      <c r="L1086" s="89" t="n"/>
      <c r="M1086" s="89" t="n">
        <v>78.28695</v>
      </c>
      <c r="N1086" s="89" t="n">
        <v>79.69336</v>
      </c>
      <c r="O1086" s="89" t="n">
        <v>94.5</v>
      </c>
      <c r="P1086" s="89" t="n">
        <v>103.0791</v>
      </c>
      <c r="Q1086" s="89" t="n"/>
      <c r="R1086" s="89" t="n">
        <v>97.40000000000001</v>
      </c>
      <c r="S1086" s="89" t="n">
        <v>94.16078</v>
      </c>
      <c r="T1086" s="89" t="n">
        <v>97.69856</v>
      </c>
      <c r="U1086" s="89" t="n">
        <v>124.255</v>
      </c>
      <c r="V1086" s="89" t="n">
        <v>72.50604</v>
      </c>
      <c r="W1086" s="89" t="n">
        <v>60.53163</v>
      </c>
      <c r="X1086" s="89" t="n">
        <v>66.51826</v>
      </c>
      <c r="Y1086" s="89" t="n">
        <v>81.96722</v>
      </c>
      <c r="Z1086" s="89" t="n">
        <v>99.49171</v>
      </c>
      <c r="AA1086" s="89" t="n">
        <v>86.93626999999999</v>
      </c>
      <c r="AB1086" s="89" t="n">
        <v>77.14157</v>
      </c>
      <c r="AC1086" s="89" t="n">
        <v>89.59254</v>
      </c>
      <c r="AD1086" s="89" t="n">
        <v>73.40000000000001</v>
      </c>
      <c r="AE1086" s="89" t="n">
        <v>94.50194</v>
      </c>
      <c r="AF1086" s="89" t="n">
        <v>96.092</v>
      </c>
      <c r="AG1086" s="89" t="n">
        <v>105.3142</v>
      </c>
      <c r="AH1086" s="89" t="n">
        <v>84.63678</v>
      </c>
      <c r="AI1086" s="89" t="n">
        <v>73.7</v>
      </c>
      <c r="AJ1086" s="89" t="n">
        <v>100.1518</v>
      </c>
      <c r="AK1086" s="89" t="n">
        <v>69.81164</v>
      </c>
      <c r="AL1086" s="89" t="n">
        <v>84.30701999999999</v>
      </c>
      <c r="AM1086" s="89" t="n">
        <v>90.5</v>
      </c>
      <c r="AN1086" s="89" t="n"/>
      <c r="AO1086" s="89" t="n">
        <v>83.96342</v>
      </c>
      <c r="AP1086" s="89" t="n">
        <v>88.68522</v>
      </c>
      <c r="AQ1086" s="89" t="n"/>
      <c r="AR1086" s="89" t="n"/>
      <c r="AS1086" s="89" t="n"/>
      <c r="AT1086" s="89" t="n">
        <v>79.00766</v>
      </c>
      <c r="AU1086" s="89" t="n"/>
      <c r="AV1086" s="89" t="n">
        <v>76.8</v>
      </c>
      <c r="AW1086" s="89" t="n"/>
      <c r="AX1086" s="89" t="n">
        <v>60.39497</v>
      </c>
      <c r="AY1086" s="89" t="n">
        <v>99.42197</v>
      </c>
    </row>
    <row r="1087">
      <c r="A1087" t="inlineStr">
        <is>
          <t>2009-06</t>
        </is>
      </c>
      <c r="B1087" s="1" t="n">
        <v>39965</v>
      </c>
      <c r="C1087" s="88" t="n">
        <v>1087</v>
      </c>
      <c r="E1087" s="1">
        <f>B1087</f>
        <v/>
      </c>
      <c r="F1087" s="2">
        <f>B1087</f>
        <v/>
      </c>
      <c r="G1087" s="88" t="n">
        <v>1085</v>
      </c>
      <c r="H1087" s="89" t="n"/>
      <c r="I1087" s="89" t="n"/>
      <c r="J1087" s="89" t="n">
        <v>86.99275</v>
      </c>
      <c r="K1087" s="89" t="n">
        <v>83.06879000000001</v>
      </c>
      <c r="L1087" s="89" t="n"/>
      <c r="M1087" s="89" t="n">
        <v>80.68655</v>
      </c>
      <c r="N1087" s="89" t="n">
        <v>80.29331000000001</v>
      </c>
      <c r="O1087" s="89" t="n">
        <v>97.3</v>
      </c>
      <c r="P1087" s="89" t="n">
        <v>103.8681</v>
      </c>
      <c r="Q1087" s="89" t="n"/>
      <c r="R1087" s="89" t="n">
        <v>100</v>
      </c>
      <c r="S1087" s="89" t="n">
        <v>95.39079</v>
      </c>
      <c r="T1087" s="89" t="n">
        <v>98.21768</v>
      </c>
      <c r="U1087" s="89" t="n">
        <v>123.3561</v>
      </c>
      <c r="V1087" s="89" t="n">
        <v>74.30619</v>
      </c>
      <c r="W1087" s="89" t="n">
        <v>61.48207</v>
      </c>
      <c r="X1087" s="89" t="n">
        <v>68.64302000000001</v>
      </c>
      <c r="Y1087" s="89" t="n">
        <v>84.12178</v>
      </c>
      <c r="Z1087" s="89" t="n">
        <v>98.79177</v>
      </c>
      <c r="AA1087" s="89" t="n">
        <v>88.37324</v>
      </c>
      <c r="AB1087" s="89" t="n">
        <v>80.24930999999999</v>
      </c>
      <c r="AC1087" s="89" t="n">
        <v>91.39239000000001</v>
      </c>
      <c r="AD1087" s="89" t="n">
        <v>74.3</v>
      </c>
      <c r="AE1087" s="89" t="n">
        <v>94.60437</v>
      </c>
      <c r="AF1087" s="89" t="n">
        <v>97.09191</v>
      </c>
      <c r="AG1087" s="89" t="n">
        <v>106.7106</v>
      </c>
      <c r="AH1087" s="89" t="n">
        <v>85.17104</v>
      </c>
      <c r="AI1087" s="89" t="n">
        <v>74.7</v>
      </c>
      <c r="AJ1087" s="89" t="n">
        <v>100.3541</v>
      </c>
      <c r="AK1087" s="89" t="n">
        <v>70.81180999999999</v>
      </c>
      <c r="AL1087" s="89" t="n">
        <v>84.80707</v>
      </c>
      <c r="AM1087" s="89" t="n">
        <v>92.7</v>
      </c>
      <c r="AN1087" s="89" t="n"/>
      <c r="AO1087" s="89" t="n">
        <v>83.6356</v>
      </c>
      <c r="AP1087" s="89" t="n">
        <v>89.28512000000001</v>
      </c>
      <c r="AQ1087" s="89" t="n"/>
      <c r="AR1087" s="89" t="n"/>
      <c r="AS1087" s="89" t="n"/>
      <c r="AT1087" s="89" t="n">
        <v>79.56994</v>
      </c>
      <c r="AU1087" s="89" t="n"/>
      <c r="AV1087" s="89" t="n">
        <v>77.8</v>
      </c>
      <c r="AW1087" s="89" t="n"/>
      <c r="AX1087" s="89" t="n">
        <v>62.09483</v>
      </c>
      <c r="AY1087" s="89" t="n">
        <v>100.7432</v>
      </c>
    </row>
    <row r="1088">
      <c r="A1088" t="inlineStr">
        <is>
          <t>2009-07</t>
        </is>
      </c>
      <c r="B1088" s="1" t="n">
        <v>39995</v>
      </c>
      <c r="C1088" s="88" t="n">
        <v>1088</v>
      </c>
      <c r="E1088" s="1">
        <f>B1088</f>
        <v/>
      </c>
      <c r="F1088" s="2">
        <f>B1088</f>
        <v/>
      </c>
      <c r="G1088" s="88" t="n">
        <v>1086</v>
      </c>
      <c r="H1088" s="89" t="n"/>
      <c r="I1088" s="89" t="n"/>
      <c r="J1088" s="89" t="n">
        <v>86.49279</v>
      </c>
      <c r="K1088" s="89" t="n">
        <v>83.16055</v>
      </c>
      <c r="L1088" s="89" t="n"/>
      <c r="M1088" s="89" t="n">
        <v>78.78686999999999</v>
      </c>
      <c r="N1088" s="89" t="n">
        <v>79.49338</v>
      </c>
      <c r="O1088" s="89" t="n">
        <v>96.40000000000001</v>
      </c>
      <c r="P1088" s="89" t="n">
        <v>104.7851</v>
      </c>
      <c r="Q1088" s="89" t="n"/>
      <c r="R1088" s="89" t="n">
        <v>101.1</v>
      </c>
      <c r="S1088" s="89" t="n">
        <v>95.01079</v>
      </c>
      <c r="T1088" s="89" t="n">
        <v>99.46357999999999</v>
      </c>
      <c r="U1088" s="89" t="n">
        <v>124.4548</v>
      </c>
      <c r="V1088" s="89" t="n">
        <v>74.00615999999999</v>
      </c>
      <c r="W1088" s="89" t="n">
        <v>60.88805</v>
      </c>
      <c r="X1088" s="89" t="n">
        <v>72.10715999999999</v>
      </c>
      <c r="Y1088" s="89" t="n">
        <v>79.62529000000001</v>
      </c>
      <c r="Z1088" s="89" t="n">
        <v>100.8916</v>
      </c>
      <c r="AA1088" s="89" t="n">
        <v>89.39964000000001</v>
      </c>
      <c r="AB1088" s="89" t="n">
        <v>82.15215000000001</v>
      </c>
      <c r="AC1088" s="89" t="n">
        <v>92.49229</v>
      </c>
      <c r="AD1088" s="89" t="n">
        <v>72.40000000000001</v>
      </c>
      <c r="AE1088" s="89" t="n">
        <v>95.86393</v>
      </c>
      <c r="AF1088" s="89" t="n">
        <v>99.19173000000001</v>
      </c>
      <c r="AG1088" s="89" t="n">
        <v>107.4088</v>
      </c>
      <c r="AH1088" s="89" t="n">
        <v>85.95312</v>
      </c>
      <c r="AI1088" s="89" t="n">
        <v>74.59999999999999</v>
      </c>
      <c r="AJ1088" s="89" t="n">
        <v>104.3655</v>
      </c>
      <c r="AK1088" s="89" t="n">
        <v>72.21204</v>
      </c>
      <c r="AL1088" s="89" t="n">
        <v>84.00700000000001</v>
      </c>
      <c r="AM1088" s="89" t="n">
        <v>92.3</v>
      </c>
      <c r="AN1088" s="89" t="n"/>
      <c r="AO1088" s="89" t="n">
        <v>84.55586</v>
      </c>
      <c r="AP1088" s="89" t="n">
        <v>89.38509999999999</v>
      </c>
      <c r="AQ1088" s="89" t="n"/>
      <c r="AR1088" s="89" t="n"/>
      <c r="AS1088" s="89" t="n"/>
      <c r="AT1088" s="89" t="n">
        <v>80.43243</v>
      </c>
      <c r="AU1088" s="89" t="n"/>
      <c r="AV1088" s="89" t="n">
        <v>79</v>
      </c>
      <c r="AW1088" s="89" t="n"/>
      <c r="AX1088" s="89" t="n">
        <v>63.19473</v>
      </c>
      <c r="AY1088" s="89" t="n">
        <v>101.9543</v>
      </c>
    </row>
    <row r="1089">
      <c r="A1089" t="inlineStr">
        <is>
          <t>2009-08</t>
        </is>
      </c>
      <c r="B1089" s="1" t="n">
        <v>40026</v>
      </c>
      <c r="C1089" s="88" t="n">
        <v>1089</v>
      </c>
      <c r="E1089" s="1">
        <f>B1089</f>
        <v/>
      </c>
      <c r="F1089" s="2">
        <f>B1089</f>
        <v/>
      </c>
      <c r="G1089" s="88" t="n">
        <v>1087</v>
      </c>
      <c r="H1089" s="89" t="n"/>
      <c r="I1089" s="89" t="n"/>
      <c r="J1089" s="89" t="n">
        <v>90.69244</v>
      </c>
      <c r="K1089" s="89" t="n">
        <v>82.91202</v>
      </c>
      <c r="L1089" s="89" t="n"/>
      <c r="M1089" s="89" t="n">
        <v>81.38643999999999</v>
      </c>
      <c r="N1089" s="89" t="n">
        <v>80.49329</v>
      </c>
      <c r="O1089" s="89" t="n">
        <v>97</v>
      </c>
      <c r="P1089" s="89" t="n">
        <v>104.9461</v>
      </c>
      <c r="Q1089" s="89" t="n"/>
      <c r="R1089" s="89" t="n">
        <v>101.7</v>
      </c>
      <c r="S1089" s="89" t="n">
        <v>96.60081</v>
      </c>
      <c r="T1089" s="89" t="n">
        <v>96.97179</v>
      </c>
      <c r="U1089" s="89" t="n">
        <v>119.0611</v>
      </c>
      <c r="V1089" s="89" t="n">
        <v>73.70614</v>
      </c>
      <c r="W1089" s="89" t="n">
        <v>54.35372</v>
      </c>
      <c r="X1089" s="89" t="n">
        <v>76.86978999999999</v>
      </c>
      <c r="Y1089" s="89" t="n">
        <v>85.71429000000001</v>
      </c>
      <c r="Z1089" s="89" t="n">
        <v>98.59178</v>
      </c>
      <c r="AA1089" s="89" t="n">
        <v>90.73396</v>
      </c>
      <c r="AB1089" s="89" t="n">
        <v>83.02007999999999</v>
      </c>
      <c r="AC1089" s="89" t="n">
        <v>95.09208</v>
      </c>
      <c r="AD1089" s="89" t="n">
        <v>73.40000000000001</v>
      </c>
      <c r="AE1089" s="89" t="n">
        <v>94.91397000000001</v>
      </c>
      <c r="AF1089" s="89" t="n">
        <v>98.29181</v>
      </c>
      <c r="AG1089" s="89" t="n">
        <v>107.6416</v>
      </c>
      <c r="AH1089" s="89" t="n">
        <v>86.46669</v>
      </c>
      <c r="AI1089" s="89" t="n">
        <v>75.09999999999999</v>
      </c>
      <c r="AJ1089" s="89" t="n">
        <v>102.0861</v>
      </c>
      <c r="AK1089" s="89" t="n">
        <v>76.71278</v>
      </c>
      <c r="AL1089" s="89" t="n">
        <v>87.40729</v>
      </c>
      <c r="AM1089" s="89" t="n">
        <v>93.59999999999999</v>
      </c>
      <c r="AN1089" s="89" t="n"/>
      <c r="AO1089" s="89" t="n">
        <v>85.50360000000001</v>
      </c>
      <c r="AP1089" s="89" t="n">
        <v>89.38509999999999</v>
      </c>
      <c r="AQ1089" s="89" t="n"/>
      <c r="AR1089" s="89" t="n"/>
      <c r="AS1089" s="89" t="n"/>
      <c r="AT1089" s="89" t="n">
        <v>84.56417</v>
      </c>
      <c r="AU1089" s="89" t="n"/>
      <c r="AV1089" s="89" t="n">
        <v>78.5</v>
      </c>
      <c r="AW1089" s="89" t="n"/>
      <c r="AX1089" s="89" t="n">
        <v>62.3948</v>
      </c>
      <c r="AY1089" s="89" t="n">
        <v>103.4957</v>
      </c>
    </row>
    <row r="1090">
      <c r="A1090" t="inlineStr">
        <is>
          <t>2009-09</t>
        </is>
      </c>
      <c r="B1090" s="1" t="n">
        <v>40057</v>
      </c>
      <c r="C1090" s="88" t="n">
        <v>1090</v>
      </c>
      <c r="E1090" s="1">
        <f>B1090</f>
        <v/>
      </c>
      <c r="F1090" s="2">
        <f>B1090</f>
        <v/>
      </c>
      <c r="G1090" s="88" t="n">
        <v>1088</v>
      </c>
      <c r="H1090" s="89" t="n"/>
      <c r="I1090" s="89" t="n"/>
      <c r="J1090" s="89" t="n">
        <v>89.09258</v>
      </c>
      <c r="K1090" s="89" t="n">
        <v>84.33475</v>
      </c>
      <c r="L1090" s="89" t="n"/>
      <c r="M1090" s="89" t="n">
        <v>81.48642</v>
      </c>
      <c r="N1090" s="89" t="n">
        <v>84.09299</v>
      </c>
      <c r="O1090" s="89" t="n">
        <v>93.7</v>
      </c>
      <c r="P1090" s="89" t="n">
        <v>106.0161</v>
      </c>
      <c r="Q1090" s="89" t="n"/>
      <c r="R1090" s="89" t="n">
        <v>99.90000000000001</v>
      </c>
      <c r="S1090" s="89" t="n">
        <v>97.09081</v>
      </c>
      <c r="T1090" s="89" t="n">
        <v>98.11386</v>
      </c>
      <c r="U1090" s="89" t="n">
        <v>123.2562</v>
      </c>
      <c r="V1090" s="89" t="n">
        <v>75.70631</v>
      </c>
      <c r="W1090" s="89" t="n">
        <v>59.52178</v>
      </c>
      <c r="X1090" s="89" t="n">
        <v>76.00539000000001</v>
      </c>
      <c r="Y1090" s="89" t="n">
        <v>86.27634</v>
      </c>
      <c r="Z1090" s="89" t="n">
        <v>101.5915</v>
      </c>
      <c r="AA1090" s="89" t="n">
        <v>93.50525</v>
      </c>
      <c r="AB1090" s="89" t="n">
        <v>86.10683</v>
      </c>
      <c r="AC1090" s="89" t="n">
        <v>105.3912</v>
      </c>
      <c r="AD1090" s="89" t="n">
        <v>72.5</v>
      </c>
      <c r="AE1090" s="89" t="n">
        <v>95.21437</v>
      </c>
      <c r="AF1090" s="89" t="n">
        <v>97.69186000000001</v>
      </c>
      <c r="AG1090" s="89" t="n">
        <v>110.2017</v>
      </c>
      <c r="AH1090" s="89" t="n">
        <v>87.89306999999999</v>
      </c>
      <c r="AI1090" s="89" t="n">
        <v>76</v>
      </c>
      <c r="AJ1090" s="89" t="n">
        <v>105.5098</v>
      </c>
      <c r="AK1090" s="89" t="n">
        <v>75.91265</v>
      </c>
      <c r="AL1090" s="89" t="n">
        <v>89.60747000000001</v>
      </c>
      <c r="AM1090" s="89" t="n">
        <v>95</v>
      </c>
      <c r="AN1090" s="89" t="n"/>
      <c r="AO1090" s="89" t="n">
        <v>86.1506</v>
      </c>
      <c r="AP1090" s="89" t="n">
        <v>91.58474</v>
      </c>
      <c r="AQ1090" s="89" t="n"/>
      <c r="AR1090" s="89" t="n"/>
      <c r="AS1090" s="89" t="n"/>
      <c r="AT1090" s="89" t="n">
        <v>83.59209</v>
      </c>
      <c r="AU1090" s="89" t="n"/>
      <c r="AV1090" s="89" t="n">
        <v>79.59999999999999</v>
      </c>
      <c r="AW1090" s="89" t="n"/>
      <c r="AX1090" s="89" t="n">
        <v>63.09474</v>
      </c>
      <c r="AY1090" s="89" t="n">
        <v>105.2574</v>
      </c>
    </row>
    <row r="1091">
      <c r="A1091" t="inlineStr">
        <is>
          <t>2009-10</t>
        </is>
      </c>
      <c r="B1091" s="1" t="n">
        <v>40087</v>
      </c>
      <c r="C1091" s="88" t="n">
        <v>1091</v>
      </c>
      <c r="E1091" s="1">
        <f>B1091</f>
        <v/>
      </c>
      <c r="F1091" s="2">
        <f>B1091</f>
        <v/>
      </c>
      <c r="G1091" s="88" t="n">
        <v>1089</v>
      </c>
      <c r="H1091" s="89" t="n"/>
      <c r="I1091" s="89" t="n"/>
      <c r="J1091" s="89" t="n">
        <v>89.89251</v>
      </c>
      <c r="K1091" s="89" t="n">
        <v>84.33848999999999</v>
      </c>
      <c r="L1091" s="89" t="n"/>
      <c r="M1091" s="89" t="n">
        <v>82.38627</v>
      </c>
      <c r="N1091" s="89" t="n">
        <v>82.29313999999999</v>
      </c>
      <c r="O1091" s="89" t="n">
        <v>93.59999999999999</v>
      </c>
      <c r="P1091" s="89" t="n">
        <v>105.1631</v>
      </c>
      <c r="Q1091" s="89" t="n"/>
      <c r="R1091" s="89" t="n">
        <v>101.2</v>
      </c>
      <c r="S1091" s="89" t="n">
        <v>96.4408</v>
      </c>
      <c r="T1091" s="89" t="n">
        <v>98.52916</v>
      </c>
      <c r="U1091" s="89" t="n">
        <v>120.4595</v>
      </c>
      <c r="V1091" s="89" t="n">
        <v>77.80647999999999</v>
      </c>
      <c r="W1091" s="89" t="n">
        <v>59.64058</v>
      </c>
      <c r="X1091" s="89" t="n">
        <v>75.8806</v>
      </c>
      <c r="Y1091" s="89" t="n">
        <v>88.43092</v>
      </c>
      <c r="Z1091" s="89" t="n">
        <v>103.1914</v>
      </c>
      <c r="AA1091" s="89" t="n">
        <v>96.07125000000001</v>
      </c>
      <c r="AB1091" s="89" t="n">
        <v>84.60495</v>
      </c>
      <c r="AC1091" s="89" t="n">
        <v>97.79185</v>
      </c>
      <c r="AD1091" s="89" t="n">
        <v>73.7</v>
      </c>
      <c r="AE1091" s="89" t="n">
        <v>96.10172</v>
      </c>
      <c r="AF1091" s="89" t="n">
        <v>99.6917</v>
      </c>
      <c r="AG1091" s="89" t="n">
        <v>107.8743</v>
      </c>
      <c r="AH1091" s="89" t="n">
        <v>88.32644000000001</v>
      </c>
      <c r="AI1091" s="89" t="n">
        <v>76.8</v>
      </c>
      <c r="AJ1091" s="89" t="n">
        <v>105.8902</v>
      </c>
      <c r="AK1091" s="89" t="n">
        <v>74.51242000000001</v>
      </c>
      <c r="AL1091" s="89" t="n">
        <v>86.80723999999999</v>
      </c>
      <c r="AM1091" s="89" t="n">
        <v>94.59999999999999</v>
      </c>
      <c r="AN1091" s="89" t="n"/>
      <c r="AO1091" s="89" t="n">
        <v>86.42636</v>
      </c>
      <c r="AP1091" s="89" t="n">
        <v>91.1848</v>
      </c>
      <c r="AQ1091" s="89" t="n"/>
      <c r="AR1091" s="89" t="n"/>
      <c r="AS1091" s="89" t="n"/>
      <c r="AT1091" s="89" t="n">
        <v>81.67028999999999</v>
      </c>
      <c r="AU1091" s="89" t="n"/>
      <c r="AV1091" s="89" t="n">
        <v>80.3</v>
      </c>
      <c r="AW1091" s="89" t="n"/>
      <c r="AX1091" s="89" t="n">
        <v>64.29464</v>
      </c>
      <c r="AY1091" s="89" t="n">
        <v>107.2392</v>
      </c>
    </row>
    <row r="1092">
      <c r="A1092" t="inlineStr">
        <is>
          <t>2009-11</t>
        </is>
      </c>
      <c r="B1092" s="1" t="n">
        <v>40118</v>
      </c>
      <c r="C1092" s="88" t="n">
        <v>1092</v>
      </c>
      <c r="E1092" s="1">
        <f>B1092</f>
        <v/>
      </c>
      <c r="F1092" s="2">
        <f>B1092</f>
        <v/>
      </c>
      <c r="G1092" s="88" t="n">
        <v>1090</v>
      </c>
      <c r="H1092" s="89" t="n"/>
      <c r="I1092" s="89" t="n"/>
      <c r="J1092" s="89" t="n">
        <v>91.49238</v>
      </c>
      <c r="K1092" s="89" t="n">
        <v>85.64645</v>
      </c>
      <c r="L1092" s="89" t="n"/>
      <c r="M1092" s="89" t="n">
        <v>81.08649</v>
      </c>
      <c r="N1092" s="89" t="n">
        <v>83.29306</v>
      </c>
      <c r="O1092" s="89" t="n">
        <v>95.2</v>
      </c>
      <c r="P1092" s="89" t="n">
        <v>104.6491</v>
      </c>
      <c r="Q1092" s="89" t="n"/>
      <c r="R1092" s="89" t="n">
        <v>101</v>
      </c>
      <c r="S1092" s="89" t="n">
        <v>97.38081</v>
      </c>
      <c r="T1092" s="89" t="n">
        <v>99.25593000000001</v>
      </c>
      <c r="U1092" s="89" t="n">
        <v>122.7568</v>
      </c>
      <c r="V1092" s="89" t="n">
        <v>76.50637999999999</v>
      </c>
      <c r="W1092" s="89" t="n">
        <v>56.78924</v>
      </c>
      <c r="X1092" s="89" t="n">
        <v>77.70114</v>
      </c>
      <c r="Y1092" s="89" t="n">
        <v>87.96253</v>
      </c>
      <c r="Z1092" s="89" t="n">
        <v>103.4914</v>
      </c>
      <c r="AA1092" s="89" t="n">
        <v>98.02142000000001</v>
      </c>
      <c r="AB1092" s="89" t="n">
        <v>85.08591</v>
      </c>
      <c r="AC1092" s="89" t="n">
        <v>97.1919</v>
      </c>
      <c r="AD1092" s="89" t="n">
        <v>76.7</v>
      </c>
      <c r="AE1092" s="89" t="n">
        <v>97.70049</v>
      </c>
      <c r="AF1092" s="89" t="n">
        <v>99.29173</v>
      </c>
      <c r="AG1092" s="89" t="n">
        <v>107.8743</v>
      </c>
      <c r="AH1092" s="89" t="n">
        <v>89.07040000000001</v>
      </c>
      <c r="AI1092" s="89" t="n">
        <v>77.90000000000001</v>
      </c>
      <c r="AJ1092" s="89" t="n">
        <v>102.8568</v>
      </c>
      <c r="AK1092" s="89" t="n">
        <v>77.01282999999999</v>
      </c>
      <c r="AL1092" s="89" t="n">
        <v>89.90749</v>
      </c>
      <c r="AM1092" s="89" t="n">
        <v>93.59999999999999</v>
      </c>
      <c r="AN1092" s="89" t="n"/>
      <c r="AO1092" s="89" t="n">
        <v>86.77003000000001</v>
      </c>
      <c r="AP1092" s="89" t="n">
        <v>91.38477</v>
      </c>
      <c r="AQ1092" s="89" t="n"/>
      <c r="AR1092" s="89" t="n"/>
      <c r="AS1092" s="89" t="n"/>
      <c r="AT1092" s="89" t="n">
        <v>84.06004</v>
      </c>
      <c r="AU1092" s="89" t="n"/>
      <c r="AV1092" s="89" t="n">
        <v>80.3</v>
      </c>
      <c r="AW1092" s="89" t="n"/>
      <c r="AX1092" s="89" t="n">
        <v>66.99442000000001</v>
      </c>
      <c r="AY1092" s="89" t="n">
        <v>108.8907</v>
      </c>
    </row>
    <row r="1093">
      <c r="A1093" t="inlineStr">
        <is>
          <t>2009-12</t>
        </is>
      </c>
      <c r="B1093" s="1" t="n">
        <v>40148</v>
      </c>
      <c r="C1093" s="88" t="n">
        <v>1093</v>
      </c>
      <c r="E1093" s="1">
        <f>B1093</f>
        <v/>
      </c>
      <c r="F1093" s="2">
        <f>B1093</f>
        <v/>
      </c>
      <c r="G1093" s="88" t="n">
        <v>1091</v>
      </c>
      <c r="H1093" s="89" t="n"/>
      <c r="I1093" s="89" t="n"/>
      <c r="J1093" s="89" t="n">
        <v>90.39246</v>
      </c>
      <c r="K1093" s="89" t="n">
        <v>85.14615999999999</v>
      </c>
      <c r="L1093" s="89" t="n"/>
      <c r="M1093" s="89" t="n">
        <v>82.68622000000001</v>
      </c>
      <c r="N1093" s="89" t="n">
        <v>83.29306</v>
      </c>
      <c r="O1093" s="89" t="n">
        <v>89.8</v>
      </c>
      <c r="P1093" s="89" t="n">
        <v>105.6591</v>
      </c>
      <c r="Q1093" s="89" t="n"/>
      <c r="R1093" s="89" t="n">
        <v>102.8</v>
      </c>
      <c r="S1093" s="89" t="n">
        <v>97.08081</v>
      </c>
      <c r="T1093" s="89" t="n">
        <v>99.04828000000001</v>
      </c>
      <c r="U1093" s="89" t="n">
        <v>119.96</v>
      </c>
      <c r="V1093" s="89" t="n">
        <v>75.30627</v>
      </c>
      <c r="W1093" s="89" t="n">
        <v>57.85849</v>
      </c>
      <c r="X1093" s="89" t="n">
        <v>78.44248</v>
      </c>
      <c r="Y1093" s="89" t="n">
        <v>85.15222</v>
      </c>
      <c r="Z1093" s="89" t="n">
        <v>102.0915</v>
      </c>
      <c r="AA1093" s="89" t="n">
        <v>98.84254</v>
      </c>
      <c r="AB1093" s="89" t="n">
        <v>86.3768</v>
      </c>
      <c r="AC1093" s="89" t="n">
        <v>97.89185000000001</v>
      </c>
      <c r="AD1093" s="89" t="n">
        <v>75.8</v>
      </c>
      <c r="AE1093" s="89" t="n">
        <v>97.33547</v>
      </c>
      <c r="AF1093" s="89" t="n">
        <v>100.4916</v>
      </c>
      <c r="AG1093" s="89" t="n">
        <v>107.0597</v>
      </c>
      <c r="AH1093" s="89" t="n">
        <v>89.14632</v>
      </c>
      <c r="AI1093" s="89" t="n">
        <v>76.2</v>
      </c>
      <c r="AJ1093" s="89" t="n">
        <v>105.5476</v>
      </c>
      <c r="AK1093" s="89" t="n">
        <v>81.11351999999999</v>
      </c>
      <c r="AL1093" s="89" t="n">
        <v>87.70731000000001</v>
      </c>
      <c r="AM1093" s="89" t="n">
        <v>94.40000000000001</v>
      </c>
      <c r="AN1093" s="89" t="n"/>
      <c r="AO1093" s="89" t="n">
        <v>87.03484</v>
      </c>
      <c r="AP1093" s="89" t="n">
        <v>91.48475000000001</v>
      </c>
      <c r="AQ1093" s="89" t="n"/>
      <c r="AR1093" s="89" t="n"/>
      <c r="AS1093" s="89" t="n"/>
      <c r="AT1093" s="89" t="n">
        <v>84.24294999999999</v>
      </c>
      <c r="AU1093" s="89" t="n"/>
      <c r="AV1093" s="89" t="n">
        <v>81</v>
      </c>
      <c r="AW1093" s="89" t="n"/>
      <c r="AX1093" s="89" t="n">
        <v>64.19465</v>
      </c>
      <c r="AY1093" s="89" t="n">
        <v>109.1109</v>
      </c>
    </row>
    <row r="1094">
      <c r="A1094" t="inlineStr">
        <is>
          <t>2010-01</t>
        </is>
      </c>
      <c r="B1094" s="1" t="n">
        <v>40179</v>
      </c>
      <c r="C1094" s="88" t="n">
        <v>1094</v>
      </c>
      <c r="E1094" s="1">
        <f>B1094</f>
        <v/>
      </c>
      <c r="F1094" s="2">
        <f>B1094</f>
        <v/>
      </c>
      <c r="G1094" s="88" t="n">
        <v>1092</v>
      </c>
      <c r="H1094" s="89" t="n"/>
      <c r="I1094" s="89" t="n"/>
      <c r="J1094" s="89" t="n">
        <v>93.59220000000001</v>
      </c>
      <c r="K1094" s="89" t="n">
        <v>86.08466</v>
      </c>
      <c r="L1094" s="89" t="n"/>
      <c r="M1094" s="89" t="n">
        <v>81.98634</v>
      </c>
      <c r="N1094" s="89" t="n">
        <v>84.09299</v>
      </c>
      <c r="O1094" s="89" t="n">
        <v>95.3</v>
      </c>
      <c r="P1094" s="89" t="n">
        <v>104.3121</v>
      </c>
      <c r="Q1094" s="89" t="n"/>
      <c r="R1094" s="89" t="n">
        <v>102.4</v>
      </c>
      <c r="S1094" s="89" t="n">
        <v>98.12081999999999</v>
      </c>
      <c r="T1094" s="89" t="n">
        <v>99.46357999999999</v>
      </c>
      <c r="U1094" s="89" t="n">
        <v>115.9647</v>
      </c>
      <c r="V1094" s="89" t="n">
        <v>78.70656</v>
      </c>
      <c r="W1094" s="89" t="n">
        <v>63.26539</v>
      </c>
      <c r="X1094" s="89" t="n">
        <v>80.40537999999999</v>
      </c>
      <c r="Y1094" s="89" t="n">
        <v>90.39812000000001</v>
      </c>
      <c r="Z1094" s="89" t="n">
        <v>105.6912</v>
      </c>
      <c r="AA1094" s="89" t="n">
        <v>101.1006</v>
      </c>
      <c r="AB1094" s="89" t="n">
        <v>86.60378</v>
      </c>
      <c r="AC1094" s="89" t="n">
        <v>98.19182000000001</v>
      </c>
      <c r="AD1094" s="89" t="n">
        <v>80.40000000000001</v>
      </c>
      <c r="AE1094" s="89" t="n">
        <v>97.95094</v>
      </c>
      <c r="AF1094" s="89" t="n">
        <v>104.5913</v>
      </c>
      <c r="AG1094" s="89" t="n">
        <v>107.1761</v>
      </c>
      <c r="AH1094" s="89" t="n">
        <v>90.2111</v>
      </c>
      <c r="AI1094" s="89" t="n">
        <v>79.40000000000001</v>
      </c>
      <c r="AJ1094" s="89" t="n">
        <v>103.1693</v>
      </c>
      <c r="AK1094" s="89" t="n">
        <v>80.21337</v>
      </c>
      <c r="AL1094" s="89" t="n">
        <v>86.30719000000001</v>
      </c>
      <c r="AM1094" s="89" t="n">
        <v>96.7</v>
      </c>
      <c r="AN1094" s="89" t="n"/>
      <c r="AO1094" s="89" t="n">
        <v>88.04433</v>
      </c>
      <c r="AP1094" s="89" t="n">
        <v>93.08449</v>
      </c>
      <c r="AQ1094" s="89" t="n"/>
      <c r="AR1094" s="89" t="n"/>
      <c r="AS1094" s="89" t="n"/>
      <c r="AT1094" s="89" t="n">
        <v>85.82536</v>
      </c>
      <c r="AU1094" s="89" t="n"/>
      <c r="AV1094" s="89" t="n">
        <v>82</v>
      </c>
      <c r="AW1094" s="89" t="n"/>
      <c r="AX1094" s="89" t="n">
        <v>63.5947</v>
      </c>
      <c r="AY1094" s="89" t="n">
        <v>110.8726</v>
      </c>
    </row>
    <row r="1095">
      <c r="A1095" t="inlineStr">
        <is>
          <t>2010-02</t>
        </is>
      </c>
      <c r="B1095" s="1" t="n">
        <v>40210</v>
      </c>
      <c r="C1095" s="88" t="n">
        <v>1095</v>
      </c>
      <c r="E1095" s="1">
        <f>B1095</f>
        <v/>
      </c>
      <c r="F1095" s="2">
        <f>B1095</f>
        <v/>
      </c>
      <c r="G1095" s="88" t="n">
        <v>1093</v>
      </c>
      <c r="H1095" s="89" t="n"/>
      <c r="I1095" s="89" t="n"/>
      <c r="J1095" s="89" t="n">
        <v>94.99208</v>
      </c>
      <c r="K1095" s="89" t="n">
        <v>87.21765000000001</v>
      </c>
      <c r="L1095" s="89" t="n"/>
      <c r="M1095" s="89" t="n">
        <v>81.88634999999999</v>
      </c>
      <c r="N1095" s="89" t="n">
        <v>83.29306</v>
      </c>
      <c r="O1095" s="89" t="n">
        <v>96.40000000000001</v>
      </c>
      <c r="P1095" s="89" t="n">
        <v>104.1621</v>
      </c>
      <c r="Q1095" s="89" t="n"/>
      <c r="R1095" s="89" t="n">
        <v>102</v>
      </c>
      <c r="S1095" s="89" t="n">
        <v>97.50081</v>
      </c>
      <c r="T1095" s="89" t="n">
        <v>100.6056</v>
      </c>
      <c r="U1095" s="89" t="n">
        <v>115.8648</v>
      </c>
      <c r="V1095" s="89" t="n">
        <v>77.50646</v>
      </c>
      <c r="W1095" s="89" t="n">
        <v>63.58046</v>
      </c>
      <c r="X1095" s="89" t="n">
        <v>78.94364</v>
      </c>
      <c r="Y1095" s="89" t="n">
        <v>90.11709999999999</v>
      </c>
      <c r="Z1095" s="89" t="n">
        <v>104.6913</v>
      </c>
      <c r="AA1095" s="89" t="n">
        <v>101.4085</v>
      </c>
      <c r="AB1095" s="89" t="n">
        <v>88.85259000000001</v>
      </c>
      <c r="AC1095" s="89" t="n">
        <v>96.79192999999999</v>
      </c>
      <c r="AD1095" s="89" t="n">
        <v>79.3</v>
      </c>
      <c r="AE1095" s="89" t="n">
        <v>98.16974</v>
      </c>
      <c r="AF1095" s="89" t="n">
        <v>103.1914</v>
      </c>
      <c r="AG1095" s="89" t="n">
        <v>106.827</v>
      </c>
      <c r="AH1095" s="89" t="n">
        <v>90.48547000000001</v>
      </c>
      <c r="AI1095" s="89" t="n">
        <v>79.40000000000001</v>
      </c>
      <c r="AJ1095" s="89" t="n">
        <v>102.8657</v>
      </c>
      <c r="AK1095" s="89" t="n">
        <v>77.41289999999999</v>
      </c>
      <c r="AL1095" s="89" t="n">
        <v>89.10742</v>
      </c>
      <c r="AM1095" s="89" t="n">
        <v>95.40000000000001</v>
      </c>
      <c r="AN1095" s="89" t="n"/>
      <c r="AO1095" s="89" t="n">
        <v>88.36111</v>
      </c>
      <c r="AP1095" s="89" t="n">
        <v>92.58457</v>
      </c>
      <c r="AQ1095" s="89" t="n"/>
      <c r="AR1095" s="89" t="n"/>
      <c r="AS1095" s="89" t="n"/>
      <c r="AT1095" s="89" t="n">
        <v>86.7017</v>
      </c>
      <c r="AU1095" s="89" t="n"/>
      <c r="AV1095" s="89" t="n">
        <v>82.2</v>
      </c>
      <c r="AW1095" s="89" t="n"/>
      <c r="AX1095" s="89" t="n">
        <v>65.09457</v>
      </c>
      <c r="AY1095" s="89" t="n">
        <v>110.6524</v>
      </c>
    </row>
    <row r="1096">
      <c r="A1096" t="inlineStr">
        <is>
          <t>2010-03</t>
        </is>
      </c>
      <c r="B1096" s="1" t="n">
        <v>40238</v>
      </c>
      <c r="C1096" s="88" t="n">
        <v>1096</v>
      </c>
      <c r="E1096" s="1">
        <f>B1096</f>
        <v/>
      </c>
      <c r="F1096" s="2">
        <f>B1096</f>
        <v/>
      </c>
      <c r="G1096" s="88" t="n">
        <v>1094</v>
      </c>
      <c r="H1096" s="89" t="n"/>
      <c r="I1096" s="89" t="n"/>
      <c r="J1096" s="89" t="n">
        <v>94.89209</v>
      </c>
      <c r="K1096" s="89" t="n">
        <v>88.33540000000001</v>
      </c>
      <c r="L1096" s="89" t="n"/>
      <c r="M1096" s="89" t="n">
        <v>84.78587</v>
      </c>
      <c r="N1096" s="89" t="n">
        <v>86.09283000000001</v>
      </c>
      <c r="O1096" s="89" t="n">
        <v>98.2</v>
      </c>
      <c r="P1096" s="89" t="n">
        <v>106.8911</v>
      </c>
      <c r="Q1096" s="89" t="n"/>
      <c r="R1096" s="89" t="n">
        <v>103.2</v>
      </c>
      <c r="S1096" s="89" t="n">
        <v>99.42083</v>
      </c>
      <c r="T1096" s="89" t="n">
        <v>102.163</v>
      </c>
      <c r="U1096" s="89" t="n">
        <v>117.8625</v>
      </c>
      <c r="V1096" s="89" t="n">
        <v>77.90649000000001</v>
      </c>
      <c r="W1096" s="89" t="n">
        <v>65.53386999999999</v>
      </c>
      <c r="X1096" s="89" t="n">
        <v>81.31588000000001</v>
      </c>
      <c r="Y1096" s="89" t="n">
        <v>91.99063</v>
      </c>
      <c r="Z1096" s="89" t="n">
        <v>105.2912</v>
      </c>
      <c r="AA1096" s="89" t="n">
        <v>101.7165</v>
      </c>
      <c r="AB1096" s="89" t="n">
        <v>89.85352</v>
      </c>
      <c r="AC1096" s="89" t="n">
        <v>102.3915</v>
      </c>
      <c r="AD1096" s="89" t="n">
        <v>80</v>
      </c>
      <c r="AE1096" s="89" t="n">
        <v>98.98398</v>
      </c>
      <c r="AF1096" s="89" t="n">
        <v>104.8913</v>
      </c>
      <c r="AG1096" s="89" t="n">
        <v>105.6633</v>
      </c>
      <c r="AH1096" s="89" t="n">
        <v>91.48889</v>
      </c>
      <c r="AI1096" s="89" t="n">
        <v>81.8</v>
      </c>
      <c r="AJ1096" s="89" t="n">
        <v>105.1655</v>
      </c>
      <c r="AK1096" s="89" t="n">
        <v>81.51358999999999</v>
      </c>
      <c r="AL1096" s="89" t="n">
        <v>90.70756</v>
      </c>
      <c r="AM1096" s="89" t="n">
        <v>98.40000000000001</v>
      </c>
      <c r="AN1096" s="89" t="n"/>
      <c r="AO1096" s="89" t="n">
        <v>88.94251</v>
      </c>
      <c r="AP1096" s="89" t="n">
        <v>94.28429</v>
      </c>
      <c r="AQ1096" s="89" t="n"/>
      <c r="AR1096" s="89" t="n"/>
      <c r="AS1096" s="89" t="n"/>
      <c r="AT1096" s="89" t="n">
        <v>86.59909</v>
      </c>
      <c r="AU1096" s="89" t="n"/>
      <c r="AV1096" s="89" t="n">
        <v>83.3</v>
      </c>
      <c r="AW1096" s="89" t="n"/>
      <c r="AX1096" s="89" t="n">
        <v>66.29447</v>
      </c>
      <c r="AY1096" s="89" t="n">
        <v>113.4049</v>
      </c>
    </row>
    <row r="1097">
      <c r="A1097" t="inlineStr">
        <is>
          <t>2010-04</t>
        </is>
      </c>
      <c r="B1097" s="1" t="n">
        <v>40269</v>
      </c>
      <c r="C1097" s="88" t="n">
        <v>1097</v>
      </c>
      <c r="E1097" s="1">
        <f>B1097</f>
        <v/>
      </c>
      <c r="F1097" s="2">
        <f>B1097</f>
        <v/>
      </c>
      <c r="G1097" s="88" t="n">
        <v>1095</v>
      </c>
      <c r="H1097" s="89" t="n"/>
      <c r="I1097" s="89" t="n"/>
      <c r="J1097" s="89" t="n">
        <v>94.39214</v>
      </c>
      <c r="K1097" s="89" t="n">
        <v>88.16204</v>
      </c>
      <c r="L1097" s="89" t="n"/>
      <c r="M1097" s="89" t="n">
        <v>85.78570999999999</v>
      </c>
      <c r="N1097" s="89" t="n">
        <v>87.6927</v>
      </c>
      <c r="O1097" s="89" t="n">
        <v>100</v>
      </c>
      <c r="P1097" s="89" t="n">
        <v>106.8481</v>
      </c>
      <c r="Q1097" s="89" t="n"/>
      <c r="R1097" s="89" t="n">
        <v>102.3</v>
      </c>
      <c r="S1097" s="89" t="n">
        <v>99.04082</v>
      </c>
      <c r="T1097" s="89" t="n">
        <v>102.163</v>
      </c>
      <c r="U1097" s="89" t="n">
        <v>114.3666</v>
      </c>
      <c r="V1097" s="89" t="n">
        <v>79.30661000000001</v>
      </c>
      <c r="W1097" s="89" t="n">
        <v>61.05993</v>
      </c>
      <c r="X1097" s="89" t="n">
        <v>83.64945</v>
      </c>
      <c r="Y1097" s="89" t="n">
        <v>94.80092999999999</v>
      </c>
      <c r="Z1097" s="89" t="n">
        <v>106.0912</v>
      </c>
      <c r="AA1097" s="89" t="n">
        <v>102.9481</v>
      </c>
      <c r="AB1097" s="89" t="n">
        <v>91.52837</v>
      </c>
      <c r="AC1097" s="89" t="n">
        <v>101.8915</v>
      </c>
      <c r="AD1097" s="89" t="n">
        <v>82.40000000000001</v>
      </c>
      <c r="AE1097" s="89" t="n">
        <v>99.78957</v>
      </c>
      <c r="AF1097" s="89" t="n">
        <v>104.8913</v>
      </c>
      <c r="AG1097" s="89" t="n">
        <v>104.8487</v>
      </c>
      <c r="AH1097" s="89" t="n">
        <v>92.0243</v>
      </c>
      <c r="AI1097" s="89" t="n">
        <v>80.3</v>
      </c>
      <c r="AJ1097" s="89" t="n">
        <v>102.9721</v>
      </c>
      <c r="AK1097" s="89" t="n">
        <v>82.2137</v>
      </c>
      <c r="AL1097" s="89" t="n">
        <v>90.00749999999999</v>
      </c>
      <c r="AM1097" s="89" t="n">
        <v>99.90000000000001</v>
      </c>
      <c r="AN1097" s="89" t="n"/>
      <c r="AO1097" s="89" t="n">
        <v>89.27321999999999</v>
      </c>
      <c r="AP1097" s="89" t="n">
        <v>94.7842</v>
      </c>
      <c r="AQ1097" s="89" t="n"/>
      <c r="AR1097" s="89" t="n"/>
      <c r="AS1097" s="89" t="n"/>
      <c r="AT1097" s="89" t="n">
        <v>88.01034</v>
      </c>
      <c r="AU1097" s="89" t="n"/>
      <c r="AV1097" s="89" t="n">
        <v>82.59999999999999</v>
      </c>
      <c r="AW1097" s="89" t="n"/>
      <c r="AX1097" s="89" t="n">
        <v>66.99442000000001</v>
      </c>
      <c r="AY1097" s="89" t="n">
        <v>113.515</v>
      </c>
    </row>
    <row r="1098">
      <c r="A1098" t="inlineStr">
        <is>
          <t>2010-05</t>
        </is>
      </c>
      <c r="B1098" s="1" t="n">
        <v>40299</v>
      </c>
      <c r="C1098" s="88" t="n">
        <v>1098</v>
      </c>
      <c r="E1098" s="1">
        <f>B1098</f>
        <v/>
      </c>
      <c r="F1098" s="2">
        <f>B1098</f>
        <v/>
      </c>
      <c r="G1098" s="88" t="n">
        <v>1096</v>
      </c>
      <c r="H1098" s="89" t="n"/>
      <c r="I1098" s="89" t="n"/>
      <c r="J1098" s="89" t="n">
        <v>96.59195</v>
      </c>
      <c r="K1098" s="89" t="n">
        <v>90.34723</v>
      </c>
      <c r="L1098" s="89" t="n"/>
      <c r="M1098" s="89" t="n">
        <v>84.78587</v>
      </c>
      <c r="N1098" s="89" t="n">
        <v>90.39246</v>
      </c>
      <c r="O1098" s="89" t="n">
        <v>99.8</v>
      </c>
      <c r="P1098" s="89" t="n">
        <v>106.0281</v>
      </c>
      <c r="Q1098" s="89" t="n"/>
      <c r="R1098" s="89" t="n">
        <v>105.9</v>
      </c>
      <c r="S1098" s="89" t="n">
        <v>99.84084</v>
      </c>
      <c r="T1098" s="89" t="n">
        <v>102.0592</v>
      </c>
      <c r="U1098" s="89" t="n">
        <v>116.1645</v>
      </c>
      <c r="V1098" s="89" t="n">
        <v>83.50696000000001</v>
      </c>
      <c r="W1098" s="89" t="n">
        <v>62.06814</v>
      </c>
      <c r="X1098" s="89" t="n">
        <v>82.26067999999999</v>
      </c>
      <c r="Y1098" s="89" t="n">
        <v>95.64403</v>
      </c>
      <c r="Z1098" s="89" t="n">
        <v>106.5911</v>
      </c>
      <c r="AA1098" s="89" t="n">
        <v>102.5376</v>
      </c>
      <c r="AB1098" s="89" t="n">
        <v>92.63827999999999</v>
      </c>
      <c r="AC1098" s="89" t="n">
        <v>102.4915</v>
      </c>
      <c r="AD1098" s="89" t="n">
        <v>82.3</v>
      </c>
      <c r="AE1098" s="89" t="n">
        <v>99.70415</v>
      </c>
      <c r="AF1098" s="89" t="n">
        <v>109.7908</v>
      </c>
      <c r="AG1098" s="89" t="n">
        <v>104.8487</v>
      </c>
      <c r="AH1098" s="89" t="n">
        <v>93.08118</v>
      </c>
      <c r="AI1098" s="89" t="n">
        <v>83.5</v>
      </c>
      <c r="AJ1098" s="89" t="n">
        <v>103.6229</v>
      </c>
      <c r="AK1098" s="89" t="n">
        <v>81.91365</v>
      </c>
      <c r="AL1098" s="89" t="n">
        <v>93.10776</v>
      </c>
      <c r="AM1098" s="89" t="n">
        <v>102.4</v>
      </c>
      <c r="AN1098" s="89" t="n"/>
      <c r="AO1098" s="89" t="n">
        <v>90.57576</v>
      </c>
      <c r="AP1098" s="89" t="n">
        <v>96.48392</v>
      </c>
      <c r="AQ1098" s="89" t="n"/>
      <c r="AR1098" s="89" t="n"/>
      <c r="AS1098" s="89" t="n"/>
      <c r="AT1098" s="89" t="n">
        <v>85.62409</v>
      </c>
      <c r="AU1098" s="89" t="n"/>
      <c r="AV1098" s="89" t="n">
        <v>82.7</v>
      </c>
      <c r="AW1098" s="89" t="n"/>
      <c r="AX1098" s="89" t="n">
        <v>68.89426</v>
      </c>
      <c r="AY1098" s="89" t="n">
        <v>113.4049</v>
      </c>
    </row>
    <row r="1099">
      <c r="A1099" t="inlineStr">
        <is>
          <t>2010-06</t>
        </is>
      </c>
      <c r="B1099" s="1" t="n">
        <v>40330</v>
      </c>
      <c r="C1099" s="88" t="n">
        <v>1099</v>
      </c>
      <c r="E1099" s="1">
        <f>B1099</f>
        <v/>
      </c>
      <c r="F1099" s="2">
        <f>B1099</f>
        <v/>
      </c>
      <c r="G1099" s="88" t="n">
        <v>1097</v>
      </c>
      <c r="H1099" s="89" t="n"/>
      <c r="I1099" s="89" t="n"/>
      <c r="J1099" s="89" t="n">
        <v>97.59187</v>
      </c>
      <c r="K1099" s="89" t="n">
        <v>90.92831</v>
      </c>
      <c r="L1099" s="89" t="n"/>
      <c r="M1099" s="89" t="n">
        <v>86.68555000000001</v>
      </c>
      <c r="N1099" s="89" t="n">
        <v>90.09249</v>
      </c>
      <c r="O1099" s="89" t="n">
        <v>99.5</v>
      </c>
      <c r="P1099" s="89" t="n">
        <v>106.5191</v>
      </c>
      <c r="Q1099" s="89" t="n"/>
      <c r="R1099" s="89" t="n">
        <v>114.5</v>
      </c>
      <c r="S1099" s="89" t="n">
        <v>99.42083</v>
      </c>
      <c r="T1099" s="89" t="n">
        <v>101.0209</v>
      </c>
      <c r="U1099" s="89" t="n">
        <v>116.1645</v>
      </c>
      <c r="V1099" s="89" t="n">
        <v>83.40694999999999</v>
      </c>
      <c r="W1099" s="89" t="n">
        <v>64.08456</v>
      </c>
      <c r="X1099" s="89" t="n">
        <v>82.46643</v>
      </c>
      <c r="Y1099" s="89" t="n">
        <v>96.01873999999999</v>
      </c>
      <c r="Z1099" s="89" t="n">
        <v>109.0909</v>
      </c>
      <c r="AA1099" s="89" t="n">
        <v>101.9217</v>
      </c>
      <c r="AB1099" s="89" t="n">
        <v>92.99424999999999</v>
      </c>
      <c r="AC1099" s="89" t="n">
        <v>104.2913</v>
      </c>
      <c r="AD1099" s="89" t="n">
        <v>83.3</v>
      </c>
      <c r="AE1099" s="89" t="n">
        <v>99.73921</v>
      </c>
      <c r="AF1099" s="89" t="n">
        <v>103.3914</v>
      </c>
      <c r="AG1099" s="89" t="n">
        <v>102.0559</v>
      </c>
      <c r="AH1099" s="89" t="n">
        <v>93.24720000000001</v>
      </c>
      <c r="AI1099" s="89" t="n">
        <v>85.3</v>
      </c>
      <c r="AJ1099" s="89" t="n">
        <v>104.0528</v>
      </c>
      <c r="AK1099" s="89" t="n">
        <v>81.61360000000001</v>
      </c>
      <c r="AL1099" s="89" t="n">
        <v>93.00775</v>
      </c>
      <c r="AM1099" s="89" t="n">
        <v>104.6</v>
      </c>
      <c r="AN1099" s="89" t="n"/>
      <c r="AO1099" s="89" t="n">
        <v>90.71024</v>
      </c>
      <c r="AP1099" s="89" t="n">
        <v>96.5839</v>
      </c>
      <c r="AQ1099" s="89" t="n"/>
      <c r="AR1099" s="89" t="n"/>
      <c r="AS1099" s="89" t="n"/>
      <c r="AT1099" s="89" t="n">
        <v>85.45618</v>
      </c>
      <c r="AU1099" s="89" t="n"/>
      <c r="AV1099" s="89" t="n">
        <v>83.09999999999999</v>
      </c>
      <c r="AW1099" s="89" t="n"/>
      <c r="AX1099" s="89" t="n">
        <v>69.29423</v>
      </c>
      <c r="AY1099" s="89" t="n">
        <v>112.7443</v>
      </c>
    </row>
    <row r="1100">
      <c r="A1100" t="inlineStr">
        <is>
          <t>2010-07</t>
        </is>
      </c>
      <c r="B1100" s="1" t="n">
        <v>40360</v>
      </c>
      <c r="C1100" s="88" t="n">
        <v>1100</v>
      </c>
      <c r="E1100" s="1">
        <f>B1100</f>
        <v/>
      </c>
      <c r="F1100" s="2">
        <f>B1100</f>
        <v/>
      </c>
      <c r="G1100" s="88" t="n">
        <v>1098</v>
      </c>
      <c r="H1100" s="89" t="n"/>
      <c r="I1100" s="89" t="n"/>
      <c r="J1100" s="89" t="n">
        <v>97.99184</v>
      </c>
      <c r="K1100" s="89" t="n">
        <v>90.95827</v>
      </c>
      <c r="L1100" s="89" t="n"/>
      <c r="M1100" s="89" t="n">
        <v>87.08548999999999</v>
      </c>
      <c r="N1100" s="89" t="n">
        <v>89.49254999999999</v>
      </c>
      <c r="O1100" s="89" t="n">
        <v>99.59999999999999</v>
      </c>
      <c r="P1100" s="89" t="n">
        <v>105.1951</v>
      </c>
      <c r="Q1100" s="89" t="n"/>
      <c r="R1100" s="89" t="n">
        <v>103.9</v>
      </c>
      <c r="S1100" s="89" t="n">
        <v>100.1008</v>
      </c>
      <c r="T1100" s="89" t="n">
        <v>101.2286</v>
      </c>
      <c r="U1100" s="89" t="n">
        <v>109.1726</v>
      </c>
      <c r="V1100" s="89" t="n">
        <v>83.10693000000001</v>
      </c>
      <c r="W1100" s="89" t="n">
        <v>63.39142</v>
      </c>
      <c r="X1100" s="89" t="n">
        <v>79.29638</v>
      </c>
      <c r="Y1100" s="89" t="n">
        <v>96.95551</v>
      </c>
      <c r="Z1100" s="89" t="n">
        <v>108.7909</v>
      </c>
      <c r="AA1100" s="89" t="n">
        <v>103.1534</v>
      </c>
      <c r="AB1100" s="89" t="n">
        <v>93.5022</v>
      </c>
      <c r="AC1100" s="89" t="n">
        <v>97.79185</v>
      </c>
      <c r="AD1100" s="89" t="n">
        <v>86.59999999999999</v>
      </c>
      <c r="AE1100" s="89" t="n">
        <v>100.089</v>
      </c>
      <c r="AF1100" s="89" t="n">
        <v>101.8915</v>
      </c>
      <c r="AG1100" s="89" t="n">
        <v>100.5431</v>
      </c>
      <c r="AH1100" s="89" t="n">
        <v>93.41793</v>
      </c>
      <c r="AI1100" s="89" t="n">
        <v>84.40000000000001</v>
      </c>
      <c r="AJ1100" s="89" t="n">
        <v>102.7301</v>
      </c>
      <c r="AK1100" s="89" t="n">
        <v>82.71378</v>
      </c>
      <c r="AL1100" s="89" t="n">
        <v>92.10767</v>
      </c>
      <c r="AM1100" s="89" t="n">
        <v>104.7</v>
      </c>
      <c r="AN1100" s="89" t="n"/>
      <c r="AO1100" s="89" t="n">
        <v>91.10778999999999</v>
      </c>
      <c r="AP1100" s="89" t="n">
        <v>96.18397</v>
      </c>
      <c r="AQ1100" s="89" t="n"/>
      <c r="AR1100" s="89" t="n"/>
      <c r="AS1100" s="89" t="n"/>
      <c r="AT1100" s="89" t="n">
        <v>88.68832</v>
      </c>
      <c r="AU1100" s="89" t="n"/>
      <c r="AV1100" s="89" t="n">
        <v>83.2</v>
      </c>
      <c r="AW1100" s="89" t="n"/>
      <c r="AX1100" s="89" t="n">
        <v>69.79418</v>
      </c>
      <c r="AY1100" s="89" t="n">
        <v>112.0837</v>
      </c>
    </row>
    <row r="1101">
      <c r="A1101" t="inlineStr">
        <is>
          <t>2010-08</t>
        </is>
      </c>
      <c r="B1101" s="1" t="n">
        <v>40391</v>
      </c>
      <c r="C1101" s="88" t="n">
        <v>1101</v>
      </c>
      <c r="E1101" s="1">
        <f>B1101</f>
        <v/>
      </c>
      <c r="F1101" s="2">
        <f>B1101</f>
        <v/>
      </c>
      <c r="G1101" s="88" t="n">
        <v>1099</v>
      </c>
      <c r="H1101" s="89" t="n"/>
      <c r="I1101" s="89" t="n"/>
      <c r="J1101" s="89" t="n">
        <v>95.992</v>
      </c>
      <c r="K1101" s="89" t="n">
        <v>90.98235</v>
      </c>
      <c r="L1101" s="89" t="n"/>
      <c r="M1101" s="89" t="n">
        <v>89.08515</v>
      </c>
      <c r="N1101" s="89" t="n">
        <v>90.99242</v>
      </c>
      <c r="O1101" s="89" t="n">
        <v>93.5</v>
      </c>
      <c r="P1101" s="89" t="n">
        <v>104.2471</v>
      </c>
      <c r="Q1101" s="89" t="n"/>
      <c r="R1101" s="89" t="n">
        <v>107.3</v>
      </c>
      <c r="S1101" s="89" t="n">
        <v>99.08083000000001</v>
      </c>
      <c r="T1101" s="89" t="n">
        <v>101.9554</v>
      </c>
      <c r="U1101" s="89" t="n">
        <v>116.9635</v>
      </c>
      <c r="V1101" s="89" t="n">
        <v>85.40712000000001</v>
      </c>
      <c r="W1101" s="89" t="n">
        <v>58.85446</v>
      </c>
      <c r="X1101" s="89" t="n">
        <v>77.0154</v>
      </c>
      <c r="Y1101" s="89" t="n">
        <v>90.96019</v>
      </c>
      <c r="Z1101" s="89" t="n">
        <v>112.3906</v>
      </c>
      <c r="AA1101" s="89" t="n">
        <v>103.6666</v>
      </c>
      <c r="AB1101" s="89" t="n">
        <v>93.29523</v>
      </c>
      <c r="AC1101" s="89" t="n">
        <v>99.79169</v>
      </c>
      <c r="AD1101" s="89" t="n">
        <v>87.7</v>
      </c>
      <c r="AE1101" s="89" t="n">
        <v>101.445</v>
      </c>
      <c r="AF1101" s="89" t="n">
        <v>104.1913</v>
      </c>
      <c r="AG1101" s="89" t="n">
        <v>93.67726999999999</v>
      </c>
      <c r="AH1101" s="89" t="n">
        <v>93.86344</v>
      </c>
      <c r="AI1101" s="89" t="n">
        <v>83.40000000000001</v>
      </c>
      <c r="AJ1101" s="89" t="n">
        <v>103.2163</v>
      </c>
      <c r="AK1101" s="89" t="n">
        <v>83.11385</v>
      </c>
      <c r="AL1101" s="89" t="n">
        <v>95.00792</v>
      </c>
      <c r="AM1101" s="89" t="n">
        <v>103.2</v>
      </c>
      <c r="AN1101" s="89" t="n"/>
      <c r="AO1101" s="89" t="n">
        <v>91.38749</v>
      </c>
      <c r="AP1101" s="89" t="n">
        <v>96.98383</v>
      </c>
      <c r="AQ1101" s="89" t="n"/>
      <c r="AR1101" s="89" t="n"/>
      <c r="AS1101" s="89" t="n"/>
      <c r="AT1101" s="89" t="n">
        <v>88.04586999999999</v>
      </c>
      <c r="AU1101" s="89" t="n"/>
      <c r="AV1101" s="89" t="n">
        <v>83.7</v>
      </c>
      <c r="AW1101" s="89" t="n"/>
      <c r="AX1101" s="89" t="n">
        <v>71.49404</v>
      </c>
      <c r="AY1101" s="89" t="n">
        <v>111.6433</v>
      </c>
    </row>
    <row r="1102">
      <c r="A1102" t="inlineStr">
        <is>
          <t>2010-09</t>
        </is>
      </c>
      <c r="B1102" s="1" t="n">
        <v>40422</v>
      </c>
      <c r="C1102" s="88" t="n">
        <v>1102</v>
      </c>
      <c r="E1102" s="1">
        <f>B1102</f>
        <v/>
      </c>
      <c r="F1102" s="2">
        <f>B1102</f>
        <v/>
      </c>
      <c r="G1102" s="88" t="n">
        <v>1100</v>
      </c>
      <c r="H1102" s="89" t="n"/>
      <c r="I1102" s="89" t="n"/>
      <c r="J1102" s="89" t="n">
        <v>97.69186000000001</v>
      </c>
      <c r="K1102" s="89" t="n">
        <v>90.54653999999999</v>
      </c>
      <c r="L1102" s="89" t="n"/>
      <c r="M1102" s="89" t="n">
        <v>90.78487</v>
      </c>
      <c r="N1102" s="89" t="n">
        <v>92.39230000000001</v>
      </c>
      <c r="O1102" s="89" t="n">
        <v>102.4</v>
      </c>
      <c r="P1102" s="89" t="n">
        <v>104.6011</v>
      </c>
      <c r="Q1102" s="89" t="n"/>
      <c r="R1102" s="89" t="n">
        <v>108.3</v>
      </c>
      <c r="S1102" s="89" t="n">
        <v>100.2908</v>
      </c>
      <c r="T1102" s="89" t="n">
        <v>102.163</v>
      </c>
      <c r="U1102" s="89" t="n">
        <v>108.1738</v>
      </c>
      <c r="V1102" s="89" t="n">
        <v>84.30701999999999</v>
      </c>
      <c r="W1102" s="89" t="n">
        <v>64.46265</v>
      </c>
      <c r="X1102" s="89" t="n">
        <v>76.49811</v>
      </c>
      <c r="Y1102" s="89" t="n">
        <v>88.14988</v>
      </c>
      <c r="Z1102" s="89" t="n">
        <v>108.091</v>
      </c>
      <c r="AA1102" s="89" t="n">
        <v>105.001</v>
      </c>
      <c r="AB1102" s="89" t="n">
        <v>94.08216</v>
      </c>
      <c r="AC1102" s="89" t="n">
        <v>101.7915</v>
      </c>
      <c r="AD1102" s="89" t="n">
        <v>87.3</v>
      </c>
      <c r="AE1102" s="89" t="n">
        <v>101.0119</v>
      </c>
      <c r="AF1102" s="89" t="n">
        <v>102.9914</v>
      </c>
      <c r="AG1102" s="89" t="n">
        <v>97.51746</v>
      </c>
      <c r="AH1102" s="89" t="n">
        <v>94.21532999999999</v>
      </c>
      <c r="AI1102" s="89" t="n">
        <v>84.90000000000001</v>
      </c>
      <c r="AJ1102" s="89" t="n">
        <v>103.4301</v>
      </c>
      <c r="AK1102" s="89" t="n">
        <v>82.91382</v>
      </c>
      <c r="AL1102" s="89" t="n">
        <v>94.10784</v>
      </c>
      <c r="AM1102" s="89" t="n">
        <v>103.6</v>
      </c>
      <c r="AN1102" s="89" t="n"/>
      <c r="AO1102" s="89" t="n">
        <v>91.59774</v>
      </c>
      <c r="AP1102" s="89" t="n">
        <v>97.18380000000001</v>
      </c>
      <c r="AQ1102" s="89" t="n"/>
      <c r="AR1102" s="89" t="n"/>
      <c r="AS1102" s="89" t="n"/>
      <c r="AT1102" s="89" t="n">
        <v>88.79093</v>
      </c>
      <c r="AU1102" s="89" t="n"/>
      <c r="AV1102" s="89" t="n">
        <v>84.5</v>
      </c>
      <c r="AW1102" s="89" t="n"/>
      <c r="AX1102" s="89" t="n">
        <v>71.59403</v>
      </c>
      <c r="AY1102" s="89" t="n">
        <v>111.8635</v>
      </c>
    </row>
    <row r="1103">
      <c r="A1103" t="inlineStr">
        <is>
          <t>2010-10</t>
        </is>
      </c>
      <c r="B1103" s="1" t="n">
        <v>40452</v>
      </c>
      <c r="C1103" s="88" t="n">
        <v>1103</v>
      </c>
      <c r="E1103" s="1">
        <f>B1103</f>
        <v/>
      </c>
      <c r="F1103" s="2">
        <f>B1103</f>
        <v/>
      </c>
      <c r="G1103" s="88" t="n">
        <v>1101</v>
      </c>
      <c r="H1103" s="89" t="n"/>
      <c r="I1103" s="89" t="n"/>
      <c r="J1103" s="89" t="n">
        <v>100.3916</v>
      </c>
      <c r="K1103" s="89" t="n">
        <v>91.31007</v>
      </c>
      <c r="L1103" s="89" t="n"/>
      <c r="M1103" s="89" t="n">
        <v>90.78487</v>
      </c>
      <c r="N1103" s="89" t="n">
        <v>94.39214</v>
      </c>
      <c r="O1103" s="89" t="n">
        <v>100.7</v>
      </c>
      <c r="P1103" s="89" t="n">
        <v>105.1641</v>
      </c>
      <c r="Q1103" s="89" t="n"/>
      <c r="R1103" s="89" t="n">
        <v>108.9</v>
      </c>
      <c r="S1103" s="89" t="n">
        <v>100.1408</v>
      </c>
      <c r="T1103" s="89" t="n">
        <v>102.7859</v>
      </c>
      <c r="U1103" s="89" t="n">
        <v>115.4653</v>
      </c>
      <c r="V1103" s="89" t="n">
        <v>85.2071</v>
      </c>
      <c r="W1103" s="89" t="n">
        <v>59.73664</v>
      </c>
      <c r="X1103" s="89" t="n">
        <v>76.90987</v>
      </c>
      <c r="Y1103" s="89" t="n">
        <v>89.36767999999999</v>
      </c>
      <c r="Z1103" s="89" t="n">
        <v>108.491</v>
      </c>
      <c r="AA1103" s="89" t="n">
        <v>102.0244</v>
      </c>
      <c r="AB1103" s="89" t="n">
        <v>93.25923</v>
      </c>
      <c r="AC1103" s="89" t="n">
        <v>102.3915</v>
      </c>
      <c r="AD1103" s="89" t="n">
        <v>89.8</v>
      </c>
      <c r="AE1103" s="89" t="n">
        <v>100.7467</v>
      </c>
      <c r="AF1103" s="89" t="n">
        <v>105.6912</v>
      </c>
      <c r="AG1103" s="89" t="n">
        <v>104.9651</v>
      </c>
      <c r="AH1103" s="89" t="n">
        <v>94.18661</v>
      </c>
      <c r="AI1103" s="89" t="n">
        <v>85</v>
      </c>
      <c r="AJ1103" s="89" t="n">
        <v>101.9112</v>
      </c>
      <c r="AK1103" s="89" t="n">
        <v>84.11402</v>
      </c>
      <c r="AL1103" s="89" t="n">
        <v>94.30786000000001</v>
      </c>
      <c r="AM1103" s="89" t="n">
        <v>103.1</v>
      </c>
      <c r="AN1103" s="89" t="n"/>
      <c r="AO1103" s="89" t="n">
        <v>91.35493</v>
      </c>
      <c r="AP1103" s="89" t="n">
        <v>97.98367</v>
      </c>
      <c r="AQ1103" s="89" t="n"/>
      <c r="AR1103" s="89" t="n"/>
      <c r="AS1103" s="89" t="n"/>
      <c r="AT1103" s="89" t="n">
        <v>91.22092000000001</v>
      </c>
      <c r="AU1103" s="89" t="n"/>
      <c r="AV1103" s="89" t="n">
        <v>86.09999999999999</v>
      </c>
      <c r="AW1103" s="89" t="n"/>
      <c r="AX1103" s="89" t="n">
        <v>72.29398</v>
      </c>
      <c r="AY1103" s="89" t="n">
        <v>111.5332</v>
      </c>
    </row>
    <row r="1104">
      <c r="A1104" t="inlineStr">
        <is>
          <t>2010-11</t>
        </is>
      </c>
      <c r="B1104" s="1" t="n">
        <v>40483</v>
      </c>
      <c r="C1104" s="88" t="n">
        <v>1104</v>
      </c>
      <c r="E1104" s="1">
        <f>B1104</f>
        <v/>
      </c>
      <c r="F1104" s="2">
        <f>B1104</f>
        <v/>
      </c>
      <c r="G1104" s="88" t="n">
        <v>1102</v>
      </c>
      <c r="H1104" s="89" t="n"/>
      <c r="I1104" s="89" t="n"/>
      <c r="J1104" s="89" t="n">
        <v>101.3915</v>
      </c>
      <c r="K1104" s="89" t="n">
        <v>91.33816</v>
      </c>
      <c r="L1104" s="89" t="n"/>
      <c r="M1104" s="89" t="n">
        <v>90.28494999999999</v>
      </c>
      <c r="N1104" s="89" t="n">
        <v>93.89216999999999</v>
      </c>
      <c r="O1104" s="89" t="n">
        <v>99.40000000000001</v>
      </c>
      <c r="P1104" s="89" t="n">
        <v>108.1271</v>
      </c>
      <c r="Q1104" s="89" t="n"/>
      <c r="R1104" s="89" t="n">
        <v>108.9</v>
      </c>
      <c r="S1104" s="89" t="n">
        <v>101.4108</v>
      </c>
      <c r="T1104" s="89" t="n">
        <v>102.9936</v>
      </c>
      <c r="U1104" s="89" t="n">
        <v>113.967</v>
      </c>
      <c r="V1104" s="89" t="n">
        <v>87.40729</v>
      </c>
      <c r="W1104" s="89" t="n">
        <v>65.72292</v>
      </c>
      <c r="X1104" s="89" t="n">
        <v>81.41695</v>
      </c>
      <c r="Y1104" s="89" t="n">
        <v>88.99297</v>
      </c>
      <c r="Z1104" s="89" t="n">
        <v>109.0909</v>
      </c>
      <c r="AA1104" s="89" t="n">
        <v>103.7693</v>
      </c>
      <c r="AB1104" s="89" t="n">
        <v>94.17915000000001</v>
      </c>
      <c r="AC1104" s="89" t="n">
        <v>102.6914</v>
      </c>
      <c r="AD1104" s="89" t="n">
        <v>87.7</v>
      </c>
      <c r="AE1104" s="89" t="n">
        <v>100.7909</v>
      </c>
      <c r="AF1104" s="89" t="n">
        <v>106.8911</v>
      </c>
      <c r="AG1104" s="89" t="n">
        <v>102.5213</v>
      </c>
      <c r="AH1104" s="89" t="n">
        <v>94.75633999999999</v>
      </c>
      <c r="AI1104" s="89" t="n">
        <v>85.40000000000001</v>
      </c>
      <c r="AJ1104" s="89" t="n">
        <v>104.192</v>
      </c>
      <c r="AK1104" s="89" t="n">
        <v>84.91415000000001</v>
      </c>
      <c r="AL1104" s="89" t="n">
        <v>95.10793</v>
      </c>
      <c r="AM1104" s="89" t="n">
        <v>106.9</v>
      </c>
      <c r="AN1104" s="89" t="n"/>
      <c r="AO1104" s="89" t="n">
        <v>91.38124000000001</v>
      </c>
      <c r="AP1104" s="89" t="n">
        <v>98.88352</v>
      </c>
      <c r="AQ1104" s="89" t="n"/>
      <c r="AR1104" s="89" t="n"/>
      <c r="AS1104" s="89" t="n"/>
      <c r="AT1104" s="89" t="n">
        <v>89.50514</v>
      </c>
      <c r="AU1104" s="89" t="n"/>
      <c r="AV1104" s="89" t="n">
        <v>85.7</v>
      </c>
      <c r="AW1104" s="89" t="n"/>
      <c r="AX1104" s="89" t="n">
        <v>74.59378</v>
      </c>
      <c r="AY1104" s="89" t="n">
        <v>112.414</v>
      </c>
    </row>
    <row r="1105">
      <c r="A1105" t="inlineStr">
        <is>
          <t>2010-12</t>
        </is>
      </c>
      <c r="B1105" s="1" t="n">
        <v>40513</v>
      </c>
      <c r="C1105" s="88" t="n">
        <v>1105</v>
      </c>
      <c r="E1105" s="1">
        <f>B1105</f>
        <v/>
      </c>
      <c r="F1105" s="2">
        <f>B1105</f>
        <v/>
      </c>
      <c r="G1105" s="88" t="n">
        <v>1103</v>
      </c>
      <c r="H1105" s="89" t="n"/>
      <c r="I1105" s="89" t="n"/>
      <c r="J1105" s="89" t="n">
        <v>98.69177000000001</v>
      </c>
      <c r="K1105" s="89" t="n">
        <v>93.06641</v>
      </c>
      <c r="L1105" s="89" t="n"/>
      <c r="M1105" s="89" t="n">
        <v>89.08515</v>
      </c>
      <c r="N1105" s="89" t="n">
        <v>95.39205</v>
      </c>
      <c r="O1105" s="89" t="n">
        <v>99.09999999999999</v>
      </c>
      <c r="P1105" s="89" t="n">
        <v>105.1821</v>
      </c>
      <c r="Q1105" s="89" t="n"/>
      <c r="R1105" s="89" t="n">
        <v>110</v>
      </c>
      <c r="S1105" s="89" t="n">
        <v>102.7409</v>
      </c>
      <c r="T1105" s="89" t="n">
        <v>103.3051</v>
      </c>
      <c r="U1105" s="89" t="n">
        <v>114.1668</v>
      </c>
      <c r="V1105" s="89" t="n">
        <v>79.90666</v>
      </c>
      <c r="W1105" s="89" t="n">
        <v>65.15579</v>
      </c>
      <c r="X1105" s="89" t="n">
        <v>85.02856</v>
      </c>
      <c r="Y1105" s="89" t="n">
        <v>90.02342</v>
      </c>
      <c r="Z1105" s="89" t="n">
        <v>109.9908</v>
      </c>
      <c r="AA1105" s="89" t="n">
        <v>104.0772</v>
      </c>
      <c r="AB1105" s="89" t="n">
        <v>95.82601</v>
      </c>
      <c r="AC1105" s="89" t="n">
        <v>100.8916</v>
      </c>
      <c r="AD1105" s="89" t="n">
        <v>89.3</v>
      </c>
      <c r="AE1105" s="89" t="n">
        <v>101.5192</v>
      </c>
      <c r="AF1105" s="89" t="n">
        <v>107.2911</v>
      </c>
      <c r="AG1105" s="89" t="n">
        <v>103.5687</v>
      </c>
      <c r="AH1105" s="89" t="n">
        <v>95.28345</v>
      </c>
      <c r="AI1105" s="89" t="n">
        <v>83.09999999999999</v>
      </c>
      <c r="AJ1105" s="89" t="n">
        <v>106.4027</v>
      </c>
      <c r="AK1105" s="89" t="n">
        <v>83.71395</v>
      </c>
      <c r="AL1105" s="89" t="n">
        <v>97.30811</v>
      </c>
      <c r="AM1105" s="89" t="n">
        <v>105.6</v>
      </c>
      <c r="AN1105" s="89" t="n"/>
      <c r="AO1105" s="89" t="n">
        <v>92.26645000000001</v>
      </c>
      <c r="AP1105" s="89" t="n">
        <v>99.68339</v>
      </c>
      <c r="AQ1105" s="89" t="n"/>
      <c r="AR1105" s="89" t="n"/>
      <c r="AS1105" s="89" t="n"/>
      <c r="AT1105" s="89" t="n">
        <v>91.14054</v>
      </c>
      <c r="AU1105" s="89" t="n"/>
      <c r="AV1105" s="89" t="n">
        <v>86.09999999999999</v>
      </c>
      <c r="AW1105" s="89" t="n"/>
      <c r="AX1105" s="89" t="n">
        <v>75.79369</v>
      </c>
      <c r="AY1105" s="89" t="n">
        <v>113.0746</v>
      </c>
    </row>
    <row r="1106">
      <c r="A1106" t="inlineStr">
        <is>
          <t>2011-01</t>
        </is>
      </c>
      <c r="B1106" s="1" t="n">
        <v>40544</v>
      </c>
      <c r="C1106" s="88" t="n">
        <v>1106</v>
      </c>
      <c r="E1106" s="1">
        <f>B1106</f>
        <v/>
      </c>
      <c r="F1106" s="2">
        <f>B1106</f>
        <v/>
      </c>
      <c r="G1106" s="88" t="n">
        <v>1104</v>
      </c>
      <c r="H1106" s="89" t="n"/>
      <c r="I1106" s="89" t="n"/>
      <c r="J1106" s="89" t="n">
        <v>100.7916</v>
      </c>
      <c r="K1106" s="89" t="n">
        <v>92.85159</v>
      </c>
      <c r="L1106" s="89" t="n"/>
      <c r="M1106" s="89" t="n">
        <v>92.18464</v>
      </c>
      <c r="N1106" s="89" t="n">
        <v>95.19207</v>
      </c>
      <c r="O1106" s="89" t="n">
        <v>100.3</v>
      </c>
      <c r="P1106" s="89" t="n">
        <v>105.7541</v>
      </c>
      <c r="Q1106" s="89" t="n"/>
      <c r="R1106" s="89" t="n">
        <v>111.7</v>
      </c>
      <c r="S1106" s="89" t="n">
        <v>103.9709</v>
      </c>
      <c r="T1106" s="89" t="n">
        <v>103.6165</v>
      </c>
      <c r="U1106" s="89" t="n">
        <v>111.6697</v>
      </c>
      <c r="V1106" s="89" t="n">
        <v>87.6073</v>
      </c>
      <c r="W1106" s="89" t="n">
        <v>62.57225</v>
      </c>
      <c r="X1106" s="89" t="n">
        <v>85.85281999999999</v>
      </c>
      <c r="Y1106" s="89" t="n">
        <v>97.61124</v>
      </c>
      <c r="Z1106" s="89" t="n">
        <v>107.991</v>
      </c>
      <c r="AA1106" s="89" t="n">
        <v>104.7957</v>
      </c>
      <c r="AB1106" s="89" t="n">
        <v>97.84885</v>
      </c>
      <c r="AC1106" s="89" t="n">
        <v>103.6914</v>
      </c>
      <c r="AD1106" s="89" t="n">
        <v>87.7</v>
      </c>
      <c r="AE1106" s="89" t="n">
        <v>101.7577</v>
      </c>
      <c r="AF1106" s="89" t="n">
        <v>105.7912</v>
      </c>
      <c r="AG1106" s="89" t="n">
        <v>99.96120999999999</v>
      </c>
      <c r="AH1106" s="89" t="n">
        <v>95.72392000000001</v>
      </c>
      <c r="AI1106" s="89" t="n">
        <v>85.7</v>
      </c>
      <c r="AJ1106" s="89" t="n">
        <v>102.885</v>
      </c>
      <c r="AK1106" s="89" t="n">
        <v>87.91464999999999</v>
      </c>
      <c r="AL1106" s="89" t="n">
        <v>94.40787</v>
      </c>
      <c r="AM1106" s="89" t="n">
        <v>106.2</v>
      </c>
      <c r="AN1106" s="89" t="n"/>
      <c r="AO1106" s="89" t="n">
        <v>92.14783</v>
      </c>
      <c r="AP1106" s="89" t="n">
        <v>99.18347</v>
      </c>
      <c r="AQ1106" s="89" t="n"/>
      <c r="AR1106" s="89" t="n"/>
      <c r="AS1106" s="89" t="n"/>
      <c r="AT1106" s="89" t="n">
        <v>92.26312</v>
      </c>
      <c r="AU1106" s="89" t="n"/>
      <c r="AV1106" s="89" t="n">
        <v>86.8</v>
      </c>
      <c r="AW1106" s="89" t="n"/>
      <c r="AX1106" s="89" t="n">
        <v>78.99342</v>
      </c>
      <c r="AY1106" s="89" t="n">
        <v>113.1847</v>
      </c>
    </row>
    <row r="1107">
      <c r="A1107" t="inlineStr">
        <is>
          <t>2011-02</t>
        </is>
      </c>
      <c r="B1107" s="1" t="n">
        <v>40575</v>
      </c>
      <c r="C1107" s="88" t="n">
        <v>1107</v>
      </c>
      <c r="E1107" s="1">
        <f>B1107</f>
        <v/>
      </c>
      <c r="F1107" s="2">
        <f>B1107</f>
        <v/>
      </c>
      <c r="G1107" s="88" t="n">
        <v>1105</v>
      </c>
      <c r="H1107" s="89" t="n"/>
      <c r="I1107" s="89" t="n"/>
      <c r="J1107" s="89" t="n">
        <v>102.5915</v>
      </c>
      <c r="K1107" s="89" t="n">
        <v>92.4757</v>
      </c>
      <c r="L1107" s="89" t="n"/>
      <c r="M1107" s="89" t="n">
        <v>90.98483</v>
      </c>
      <c r="N1107" s="89" t="n">
        <v>96.29198</v>
      </c>
      <c r="O1107" s="89" t="n">
        <v>97.90000000000001</v>
      </c>
      <c r="P1107" s="89" t="n">
        <v>106.8121</v>
      </c>
      <c r="Q1107" s="89" t="n"/>
      <c r="R1107" s="89" t="n">
        <v>109.3</v>
      </c>
      <c r="S1107" s="89" t="n">
        <v>104.3009</v>
      </c>
      <c r="T1107" s="89" t="n">
        <v>102.2668</v>
      </c>
      <c r="U1107" s="89" t="n">
        <v>110.9705</v>
      </c>
      <c r="V1107" s="89" t="n">
        <v>88.90741</v>
      </c>
      <c r="W1107" s="89" t="n">
        <v>63.01334</v>
      </c>
      <c r="X1107" s="89" t="n">
        <v>85.62896000000001</v>
      </c>
      <c r="Y1107" s="89" t="n">
        <v>94.23887999999999</v>
      </c>
      <c r="Z1107" s="89" t="n">
        <v>110.6908</v>
      </c>
      <c r="AA1107" s="89" t="n">
        <v>105.2062</v>
      </c>
      <c r="AB1107" s="89" t="n">
        <v>95.27906</v>
      </c>
      <c r="AC1107" s="89" t="n">
        <v>106.9911</v>
      </c>
      <c r="AD1107" s="89" t="n">
        <v>89.09999999999999</v>
      </c>
      <c r="AE1107" s="89" t="n">
        <v>101.9216</v>
      </c>
      <c r="AF1107" s="89" t="n">
        <v>106.7911</v>
      </c>
      <c r="AG1107" s="89" t="n">
        <v>100.1939</v>
      </c>
      <c r="AH1107" s="89" t="n">
        <v>95.62833000000001</v>
      </c>
      <c r="AI1107" s="89" t="n">
        <v>87.8</v>
      </c>
      <c r="AJ1107" s="89" t="n">
        <v>104.1852</v>
      </c>
      <c r="AK1107" s="89" t="n">
        <v>87.11452</v>
      </c>
      <c r="AL1107" s="89" t="n">
        <v>93.50779</v>
      </c>
      <c r="AM1107" s="89" t="n">
        <v>107.5</v>
      </c>
      <c r="AN1107" s="89" t="n"/>
      <c r="AO1107" s="89" t="n">
        <v>91.74345</v>
      </c>
      <c r="AP1107" s="89" t="n">
        <v>100.0833</v>
      </c>
      <c r="AQ1107" s="89" t="n"/>
      <c r="AR1107" s="89" t="n"/>
      <c r="AS1107" s="89" t="n"/>
      <c r="AT1107" s="89" t="n">
        <v>92.42175</v>
      </c>
      <c r="AU1107" s="89" t="n"/>
      <c r="AV1107" s="89" t="n">
        <v>86.59999999999999</v>
      </c>
      <c r="AW1107" s="89" t="n"/>
      <c r="AX1107" s="89" t="n">
        <v>77.79352</v>
      </c>
      <c r="AY1107" s="89" t="n">
        <v>114.616</v>
      </c>
    </row>
    <row r="1108">
      <c r="A1108" t="inlineStr">
        <is>
          <t>2011-03</t>
        </is>
      </c>
      <c r="B1108" s="1" t="n">
        <v>40603</v>
      </c>
      <c r="C1108" s="88" t="n">
        <v>1108</v>
      </c>
      <c r="E1108" s="1">
        <f>B1108</f>
        <v/>
      </c>
      <c r="F1108" s="2">
        <f>B1108</f>
        <v/>
      </c>
      <c r="G1108" s="88" t="n">
        <v>1106</v>
      </c>
      <c r="H1108" s="89" t="n"/>
      <c r="I1108" s="89" t="n"/>
      <c r="J1108" s="89" t="n">
        <v>105.3912</v>
      </c>
      <c r="K1108" s="89" t="n">
        <v>93.52817</v>
      </c>
      <c r="L1108" s="89" t="n"/>
      <c r="M1108" s="89" t="n">
        <v>90.5849</v>
      </c>
      <c r="N1108" s="89" t="n">
        <v>96.89192</v>
      </c>
      <c r="O1108" s="89" t="n">
        <v>100.3</v>
      </c>
      <c r="P1108" s="89" t="n">
        <v>105.5041</v>
      </c>
      <c r="Q1108" s="89" t="n"/>
      <c r="R1108" s="89" t="n">
        <v>108.3</v>
      </c>
      <c r="S1108" s="89" t="n">
        <v>102.9909</v>
      </c>
      <c r="T1108" s="89" t="n">
        <v>102.2668</v>
      </c>
      <c r="U1108" s="89" t="n">
        <v>110.9705</v>
      </c>
      <c r="V1108" s="89" t="n">
        <v>85.80714999999999</v>
      </c>
      <c r="W1108" s="89" t="n">
        <v>62.44622</v>
      </c>
      <c r="X1108" s="89" t="n">
        <v>84.7834</v>
      </c>
      <c r="Y1108" s="89" t="n">
        <v>95.17564</v>
      </c>
      <c r="Z1108" s="89" t="n">
        <v>110.8908</v>
      </c>
      <c r="AA1108" s="89" t="n">
        <v>88.57850999999999</v>
      </c>
      <c r="AB1108" s="89" t="n">
        <v>97.62987</v>
      </c>
      <c r="AC1108" s="89" t="n">
        <v>106.1912</v>
      </c>
      <c r="AD1108" s="89" t="n">
        <v>90.40000000000001</v>
      </c>
      <c r="AE1108" s="89" t="n">
        <v>102.5674</v>
      </c>
      <c r="AF1108" s="89" t="n">
        <v>106.1912</v>
      </c>
      <c r="AG1108" s="89" t="n">
        <v>99.26299</v>
      </c>
      <c r="AH1108" s="89" t="n">
        <v>94.16931</v>
      </c>
      <c r="AI1108" s="89" t="n">
        <v>87</v>
      </c>
      <c r="AJ1108" s="89" t="n">
        <v>108.1154</v>
      </c>
      <c r="AK1108" s="89" t="n">
        <v>85.31422000000001</v>
      </c>
      <c r="AL1108" s="89" t="n">
        <v>95.30795000000001</v>
      </c>
      <c r="AM1108" s="89" t="n">
        <v>106.2</v>
      </c>
      <c r="AN1108" s="89" t="n"/>
      <c r="AO1108" s="89" t="n">
        <v>92.65488000000001</v>
      </c>
      <c r="AP1108" s="89" t="n">
        <v>100.1833</v>
      </c>
      <c r="AQ1108" s="89" t="n"/>
      <c r="AR1108" s="89" t="n"/>
      <c r="AS1108" s="89" t="n"/>
      <c r="AT1108" s="89" t="n">
        <v>94.64789</v>
      </c>
      <c r="AU1108" s="89" t="n"/>
      <c r="AV1108" s="89" t="n">
        <v>86.5</v>
      </c>
      <c r="AW1108" s="89" t="n"/>
      <c r="AX1108" s="89" t="n">
        <v>77.49355</v>
      </c>
      <c r="AY1108" s="89" t="n">
        <v>115.4968</v>
      </c>
    </row>
    <row r="1109">
      <c r="A1109" t="inlineStr">
        <is>
          <t>2011-04</t>
        </is>
      </c>
      <c r="B1109" s="1" t="n">
        <v>40634</v>
      </c>
      <c r="C1109" s="88" t="n">
        <v>1109</v>
      </c>
      <c r="E1109" s="1">
        <f>B1109</f>
        <v/>
      </c>
      <c r="F1109" s="2">
        <f>B1109</f>
        <v/>
      </c>
      <c r="G1109" s="88" t="n">
        <v>1107</v>
      </c>
      <c r="H1109" s="89" t="n"/>
      <c r="I1109" s="89" t="n"/>
      <c r="J1109" s="89" t="n">
        <v>102.7914</v>
      </c>
      <c r="K1109" s="89" t="n">
        <v>93.89147</v>
      </c>
      <c r="L1109" s="89" t="n"/>
      <c r="M1109" s="89" t="n">
        <v>90.98483</v>
      </c>
      <c r="N1109" s="89" t="n">
        <v>97.49187000000001</v>
      </c>
      <c r="O1109" s="89" t="n">
        <v>100.8</v>
      </c>
      <c r="P1109" s="89" t="n">
        <v>104.9621</v>
      </c>
      <c r="Q1109" s="89" t="n"/>
      <c r="R1109" s="89" t="n">
        <v>109.3</v>
      </c>
      <c r="S1109" s="89" t="n">
        <v>101.2508</v>
      </c>
      <c r="T1109" s="89" t="n">
        <v>101.1248</v>
      </c>
      <c r="U1109" s="89" t="n">
        <v>107.3747</v>
      </c>
      <c r="V1109" s="89" t="n">
        <v>86.30719000000001</v>
      </c>
      <c r="W1109" s="89" t="n">
        <v>63.39142</v>
      </c>
      <c r="X1109" s="89" t="n">
        <v>85.59549</v>
      </c>
      <c r="Y1109" s="89" t="n">
        <v>95.7377</v>
      </c>
      <c r="Z1109" s="89" t="n">
        <v>111.8907</v>
      </c>
      <c r="AA1109" s="89" t="n">
        <v>90.22076</v>
      </c>
      <c r="AB1109" s="89" t="n">
        <v>96.65495</v>
      </c>
      <c r="AC1109" s="89" t="n">
        <v>106.2911</v>
      </c>
      <c r="AD1109" s="89" t="n">
        <v>92.3</v>
      </c>
      <c r="AE1109" s="89" t="n">
        <v>102.5753</v>
      </c>
      <c r="AF1109" s="89" t="n">
        <v>102.7914</v>
      </c>
      <c r="AG1109" s="89" t="n">
        <v>96.12103</v>
      </c>
      <c r="AH1109" s="89" t="n">
        <v>94.11651999999999</v>
      </c>
      <c r="AI1109" s="89" t="n">
        <v>87.8</v>
      </c>
      <c r="AJ1109" s="89" t="n">
        <v>105.1914</v>
      </c>
      <c r="AK1109" s="89" t="n">
        <v>86.71445</v>
      </c>
      <c r="AL1109" s="89" t="n">
        <v>94.00784</v>
      </c>
      <c r="AM1109" s="89" t="n">
        <v>105.4</v>
      </c>
      <c r="AN1109" s="89" t="n"/>
      <c r="AO1109" s="89" t="n">
        <v>92.32293</v>
      </c>
      <c r="AP1109" s="89" t="n">
        <v>99.78337000000001</v>
      </c>
      <c r="AQ1109" s="89" t="n"/>
      <c r="AR1109" s="89" t="n"/>
      <c r="AS1109" s="89" t="n"/>
      <c r="AT1109" s="89" t="n">
        <v>92.85899999999999</v>
      </c>
      <c r="AU1109" s="89" t="n"/>
      <c r="AV1109" s="89" t="n">
        <v>87.5</v>
      </c>
      <c r="AW1109" s="89" t="n"/>
      <c r="AX1109" s="89" t="n">
        <v>77.39355</v>
      </c>
      <c r="AY1109" s="89" t="n">
        <v>112.414</v>
      </c>
    </row>
    <row r="1110">
      <c r="A1110" t="inlineStr">
        <is>
          <t>2011-05</t>
        </is>
      </c>
      <c r="B1110" s="1" t="n">
        <v>40664</v>
      </c>
      <c r="C1110" s="88" t="n">
        <v>1110</v>
      </c>
      <c r="E1110" s="1">
        <f>B1110</f>
        <v/>
      </c>
      <c r="F1110" s="2">
        <f>B1110</f>
        <v/>
      </c>
      <c r="G1110" s="88" t="n">
        <v>1108</v>
      </c>
      <c r="H1110" s="89" t="n"/>
      <c r="I1110" s="89" t="n"/>
      <c r="J1110" s="89" t="n">
        <v>102.3915</v>
      </c>
      <c r="K1110" s="89" t="n">
        <v>92.24723</v>
      </c>
      <c r="L1110" s="89" t="n"/>
      <c r="M1110" s="89" t="n">
        <v>92.88451999999999</v>
      </c>
      <c r="N1110" s="89" t="n">
        <v>98.69177000000001</v>
      </c>
      <c r="O1110" s="89" t="n">
        <v>105.7</v>
      </c>
      <c r="P1110" s="89" t="n">
        <v>104.1491</v>
      </c>
      <c r="Q1110" s="89" t="n"/>
      <c r="R1110" s="89" t="n">
        <v>110.2</v>
      </c>
      <c r="S1110" s="89" t="n">
        <v>104.5609</v>
      </c>
      <c r="T1110" s="89" t="n">
        <v>102.0592</v>
      </c>
      <c r="U1110" s="89" t="n">
        <v>108.4734</v>
      </c>
      <c r="V1110" s="89" t="n">
        <v>84.70706</v>
      </c>
      <c r="W1110" s="89" t="n">
        <v>63.39142</v>
      </c>
      <c r="X1110" s="89" t="n">
        <v>89.99001</v>
      </c>
      <c r="Y1110" s="89" t="n">
        <v>96.11241</v>
      </c>
      <c r="Z1110" s="89" t="n">
        <v>109.7908</v>
      </c>
      <c r="AA1110" s="89" t="n">
        <v>96.17389</v>
      </c>
      <c r="AB1110" s="89" t="n">
        <v>97.85684000000001</v>
      </c>
      <c r="AC1110" s="89" t="n">
        <v>105.4912</v>
      </c>
      <c r="AD1110" s="89" t="n">
        <v>92</v>
      </c>
      <c r="AE1110" s="89" t="n">
        <v>103.4123</v>
      </c>
      <c r="AF1110" s="89" t="n">
        <v>104.1913</v>
      </c>
      <c r="AG1110" s="89" t="n">
        <v>91.81536</v>
      </c>
      <c r="AH1110" s="89" t="n">
        <v>95.13937</v>
      </c>
      <c r="AI1110" s="89" t="n">
        <v>87.90000000000001</v>
      </c>
      <c r="AJ1110" s="89" t="n">
        <v>103.5183</v>
      </c>
      <c r="AK1110" s="89" t="n">
        <v>85.71429000000001</v>
      </c>
      <c r="AL1110" s="89" t="n">
        <v>96.30803</v>
      </c>
      <c r="AM1110" s="89" t="n">
        <v>106.1</v>
      </c>
      <c r="AN1110" s="89" t="n"/>
      <c r="AO1110" s="89" t="n">
        <v>92.53328</v>
      </c>
      <c r="AP1110" s="89" t="n">
        <v>100.3833</v>
      </c>
      <c r="AQ1110" s="89" t="n"/>
      <c r="AR1110" s="89" t="n"/>
      <c r="AS1110" s="89" t="n"/>
      <c r="AT1110" s="89" t="n">
        <v>90.51544</v>
      </c>
      <c r="AU1110" s="89" t="n"/>
      <c r="AV1110" s="89" t="n">
        <v>87.59999999999999</v>
      </c>
      <c r="AW1110" s="89" t="n"/>
      <c r="AX1110" s="89" t="n">
        <v>78.19347999999999</v>
      </c>
      <c r="AY1110" s="89" t="n">
        <v>115.717</v>
      </c>
    </row>
    <row r="1111">
      <c r="A1111" t="inlineStr">
        <is>
          <t>2011-06</t>
        </is>
      </c>
      <c r="B1111" s="1" t="n">
        <v>40695</v>
      </c>
      <c r="C1111" s="88" t="n">
        <v>1111</v>
      </c>
      <c r="E1111" s="1">
        <f>B1111</f>
        <v/>
      </c>
      <c r="F1111" s="2">
        <f>B1111</f>
        <v/>
      </c>
      <c r="G1111" s="88" t="n">
        <v>1109</v>
      </c>
      <c r="H1111" s="89" t="n"/>
      <c r="I1111" s="89" t="n"/>
      <c r="J1111" s="89" t="n">
        <v>100.3916</v>
      </c>
      <c r="K1111" s="89" t="n">
        <v>92.82107999999999</v>
      </c>
      <c r="L1111" s="89" t="n"/>
      <c r="M1111" s="89" t="n">
        <v>92.18464</v>
      </c>
      <c r="N1111" s="89" t="n">
        <v>97.09191</v>
      </c>
      <c r="O1111" s="89" t="n">
        <v>102.1</v>
      </c>
      <c r="P1111" s="89" t="n">
        <v>104.4151</v>
      </c>
      <c r="Q1111" s="89" t="n"/>
      <c r="R1111" s="89" t="n">
        <v>107.2</v>
      </c>
      <c r="S1111" s="89" t="n">
        <v>101.6908</v>
      </c>
      <c r="T1111" s="89" t="n">
        <v>102.0592</v>
      </c>
      <c r="U1111" s="89" t="n">
        <v>103.9787</v>
      </c>
      <c r="V1111" s="89" t="n">
        <v>85.00709000000001</v>
      </c>
      <c r="W1111" s="89" t="n">
        <v>62.13115</v>
      </c>
      <c r="X1111" s="89" t="n">
        <v>96.351</v>
      </c>
      <c r="Y1111" s="89" t="n">
        <v>93.86417</v>
      </c>
      <c r="Z1111" s="89" t="n">
        <v>108.8909</v>
      </c>
      <c r="AA1111" s="89" t="n">
        <v>100.0742</v>
      </c>
      <c r="AB1111" s="89" t="n">
        <v>98.51379</v>
      </c>
      <c r="AC1111" s="89" t="n">
        <v>100.9916</v>
      </c>
      <c r="AD1111" s="89" t="n">
        <v>93.5</v>
      </c>
      <c r="AE1111" s="89" t="n">
        <v>103.0284</v>
      </c>
      <c r="AF1111" s="89" t="n">
        <v>103.3914</v>
      </c>
      <c r="AG1111" s="89" t="n">
        <v>97.28471</v>
      </c>
      <c r="AH1111" s="89" t="n">
        <v>95.38420000000001</v>
      </c>
      <c r="AI1111" s="89" t="n">
        <v>87.40000000000001</v>
      </c>
      <c r="AJ1111" s="89" t="n">
        <v>100.8257</v>
      </c>
      <c r="AK1111" s="89" t="n">
        <v>88.31471999999999</v>
      </c>
      <c r="AL1111" s="89" t="n">
        <v>92.70773</v>
      </c>
      <c r="AM1111" s="89" t="n">
        <v>102.7</v>
      </c>
      <c r="AN1111" s="89" t="n"/>
      <c r="AO1111" s="89" t="n">
        <v>92.80001</v>
      </c>
      <c r="AP1111" s="89" t="n">
        <v>98.98351</v>
      </c>
      <c r="AQ1111" s="89" t="n"/>
      <c r="AR1111" s="89" t="n"/>
      <c r="AS1111" s="89" t="n"/>
      <c r="AT1111" s="89" t="n">
        <v>93.72784</v>
      </c>
      <c r="AU1111" s="89" t="n"/>
      <c r="AV1111" s="89" t="n">
        <v>88.40000000000001</v>
      </c>
      <c r="AW1111" s="89" t="n"/>
      <c r="AX1111" s="89" t="n">
        <v>79.69336</v>
      </c>
      <c r="AY1111" s="89" t="n">
        <v>113.1847</v>
      </c>
    </row>
    <row r="1112">
      <c r="A1112" t="inlineStr">
        <is>
          <t>2011-07</t>
        </is>
      </c>
      <c r="B1112" s="1" t="n">
        <v>40725</v>
      </c>
      <c r="C1112" s="88" t="n">
        <v>1112</v>
      </c>
      <c r="E1112" s="1">
        <f>B1112</f>
        <v/>
      </c>
      <c r="F1112" s="2">
        <f>B1112</f>
        <v/>
      </c>
      <c r="G1112" s="88" t="n">
        <v>1110</v>
      </c>
      <c r="H1112" s="89" t="n"/>
      <c r="I1112" s="89" t="n"/>
      <c r="J1112" s="89" t="n">
        <v>101.1916</v>
      </c>
      <c r="K1112" s="89" t="n">
        <v>94.46639999999999</v>
      </c>
      <c r="L1112" s="89" t="n"/>
      <c r="M1112" s="89" t="n">
        <v>90.78487</v>
      </c>
      <c r="N1112" s="89" t="n">
        <v>100.0917</v>
      </c>
      <c r="O1112" s="89" t="n">
        <v>97.09999999999999</v>
      </c>
      <c r="P1112" s="89" t="n">
        <v>104.5511</v>
      </c>
      <c r="Q1112" s="89" t="n"/>
      <c r="R1112" s="89" t="n">
        <v>104.7</v>
      </c>
      <c r="S1112" s="89" t="n">
        <v>102.8409</v>
      </c>
      <c r="T1112" s="89" t="n">
        <v>101.8515</v>
      </c>
      <c r="U1112" s="89" t="n">
        <v>110.8707</v>
      </c>
      <c r="V1112" s="89" t="n">
        <v>86.30719000000001</v>
      </c>
      <c r="W1112" s="89" t="n">
        <v>58.41336</v>
      </c>
      <c r="X1112" s="89" t="n">
        <v>94.36375</v>
      </c>
      <c r="Y1112" s="89" t="n">
        <v>94.80092999999999</v>
      </c>
      <c r="Z1112" s="89" t="n">
        <v>108.491</v>
      </c>
      <c r="AA1112" s="89" t="n">
        <v>100.998</v>
      </c>
      <c r="AB1112" s="89" t="n">
        <v>98.3308</v>
      </c>
      <c r="AC1112" s="89" t="n">
        <v>102.4915</v>
      </c>
      <c r="AD1112" s="89" t="n">
        <v>93.09999999999999</v>
      </c>
      <c r="AE1112" s="89" t="n">
        <v>103.3698</v>
      </c>
      <c r="AF1112" s="89" t="n">
        <v>105.9912</v>
      </c>
      <c r="AG1112" s="89" t="n">
        <v>96.81923999999999</v>
      </c>
      <c r="AH1112" s="89" t="n">
        <v>96.09144999999999</v>
      </c>
      <c r="AI1112" s="89" t="n">
        <v>87.90000000000001</v>
      </c>
      <c r="AJ1112" s="89" t="n">
        <v>100.8667</v>
      </c>
      <c r="AK1112" s="89" t="n">
        <v>87.21454</v>
      </c>
      <c r="AL1112" s="89" t="n">
        <v>93.70780999999999</v>
      </c>
      <c r="AM1112" s="89" t="n">
        <v>104.3</v>
      </c>
      <c r="AN1112" s="89" t="n"/>
      <c r="AO1112" s="89" t="n">
        <v>93.29353</v>
      </c>
      <c r="AP1112" s="89" t="n">
        <v>99.98334</v>
      </c>
      <c r="AQ1112" s="89" t="n"/>
      <c r="AR1112" s="89" t="n"/>
      <c r="AS1112" s="89" t="n"/>
      <c r="AT1112" s="89" t="n">
        <v>92.125</v>
      </c>
      <c r="AU1112" s="89" t="n"/>
      <c r="AV1112" s="89" t="n">
        <v>88.5</v>
      </c>
      <c r="AW1112" s="89" t="n"/>
      <c r="AX1112" s="89" t="n">
        <v>81.19324</v>
      </c>
      <c r="AY1112" s="89" t="n">
        <v>113.515</v>
      </c>
    </row>
    <row r="1113">
      <c r="A1113" t="inlineStr">
        <is>
          <t>2011-08</t>
        </is>
      </c>
      <c r="B1113" s="1" t="n">
        <v>40756</v>
      </c>
      <c r="C1113" s="88" t="n">
        <v>1113</v>
      </c>
      <c r="E1113" s="1">
        <f>B1113</f>
        <v/>
      </c>
      <c r="F1113" s="2">
        <f>B1113</f>
        <v/>
      </c>
      <c r="G1113" s="88" t="n">
        <v>1111</v>
      </c>
      <c r="H1113" s="89" t="n"/>
      <c r="I1113" s="89" t="n"/>
      <c r="J1113" s="89" t="n">
        <v>104.6913</v>
      </c>
      <c r="K1113" s="89" t="n">
        <v>95.46535</v>
      </c>
      <c r="L1113" s="89" t="n"/>
      <c r="M1113" s="89" t="n">
        <v>91.48475000000001</v>
      </c>
      <c r="N1113" s="89" t="n">
        <v>99.29173</v>
      </c>
      <c r="O1113" s="89" t="n">
        <v>99</v>
      </c>
      <c r="P1113" s="89" t="n">
        <v>104.5221</v>
      </c>
      <c r="Q1113" s="89" t="n"/>
      <c r="R1113" s="89" t="n">
        <v>107.1</v>
      </c>
      <c r="S1113" s="89" t="n">
        <v>101.9809</v>
      </c>
      <c r="T1113" s="89" t="n">
        <v>101.4362</v>
      </c>
      <c r="U1113" s="89" t="n">
        <v>105.7766</v>
      </c>
      <c r="V1113" s="89" t="n">
        <v>85.70715</v>
      </c>
      <c r="W1113" s="89" t="n">
        <v>63.95854</v>
      </c>
      <c r="X1113" s="89" t="n">
        <v>93.48566</v>
      </c>
      <c r="Y1113" s="89" t="n">
        <v>91.70959999999999</v>
      </c>
      <c r="Z1113" s="89" t="n">
        <v>107.891</v>
      </c>
      <c r="AA1113" s="89" t="n">
        <v>102.5376</v>
      </c>
      <c r="AB1113" s="89" t="n">
        <v>98.31681</v>
      </c>
      <c r="AC1113" s="89" t="n">
        <v>105.1912</v>
      </c>
      <c r="AD1113" s="89" t="n">
        <v>92.7</v>
      </c>
      <c r="AE1113" s="89" t="n">
        <v>103.534</v>
      </c>
      <c r="AF1113" s="89" t="n">
        <v>106.2911</v>
      </c>
      <c r="AG1113" s="89" t="n">
        <v>100.0776</v>
      </c>
      <c r="AH1113" s="89" t="n">
        <v>96.6863</v>
      </c>
      <c r="AI1113" s="89" t="n">
        <v>89.90000000000001</v>
      </c>
      <c r="AJ1113" s="89" t="n">
        <v>103.56</v>
      </c>
      <c r="AK1113" s="89" t="n">
        <v>86.01434</v>
      </c>
      <c r="AL1113" s="89" t="n">
        <v>92.60772</v>
      </c>
      <c r="AM1113" s="89" t="n">
        <v>102.7</v>
      </c>
      <c r="AN1113" s="89" t="n"/>
      <c r="AO1113" s="89" t="n">
        <v>93.81594</v>
      </c>
      <c r="AP1113" s="89" t="n">
        <v>100.0833</v>
      </c>
      <c r="AQ1113" s="89" t="n"/>
      <c r="AR1113" s="89" t="n"/>
      <c r="AS1113" s="89" t="n"/>
      <c r="AT1113" s="89" t="n">
        <v>90.62609999999999</v>
      </c>
      <c r="AU1113" s="89" t="n"/>
      <c r="AV1113" s="89" t="n">
        <v>88.40000000000001</v>
      </c>
      <c r="AW1113" s="89" t="n"/>
      <c r="AX1113" s="89" t="n">
        <v>83.59303</v>
      </c>
      <c r="AY1113" s="89" t="n">
        <v>112.414</v>
      </c>
    </row>
    <row r="1114">
      <c r="A1114" t="inlineStr">
        <is>
          <t>2011-09</t>
        </is>
      </c>
      <c r="B1114" s="1" t="n">
        <v>40787</v>
      </c>
      <c r="C1114" s="88" t="n">
        <v>1114</v>
      </c>
      <c r="E1114" s="1">
        <f>B1114</f>
        <v/>
      </c>
      <c r="F1114" s="2">
        <f>B1114</f>
        <v/>
      </c>
      <c r="G1114" s="88" t="n">
        <v>1112</v>
      </c>
      <c r="H1114" s="89" t="n"/>
      <c r="I1114" s="89" t="n"/>
      <c r="J1114" s="89" t="n">
        <v>102.0915</v>
      </c>
      <c r="K1114" s="89" t="n">
        <v>96.10769999999999</v>
      </c>
      <c r="L1114" s="89" t="n"/>
      <c r="M1114" s="89" t="n">
        <v>91.28478</v>
      </c>
      <c r="N1114" s="89" t="n">
        <v>97.79185</v>
      </c>
      <c r="O1114" s="89" t="n">
        <v>98.7</v>
      </c>
      <c r="P1114" s="89" t="n">
        <v>103.2771</v>
      </c>
      <c r="Q1114" s="89" t="n"/>
      <c r="R1114" s="89" t="n">
        <v>107.2</v>
      </c>
      <c r="S1114" s="89" t="n">
        <v>101.2108</v>
      </c>
      <c r="T1114" s="89" t="n">
        <v>101.1248</v>
      </c>
      <c r="U1114" s="89" t="n">
        <v>111.47</v>
      </c>
      <c r="V1114" s="89" t="n">
        <v>86.90724</v>
      </c>
      <c r="W1114" s="89" t="n">
        <v>65.65989999999999</v>
      </c>
      <c r="X1114" s="89" t="n">
        <v>91.75507</v>
      </c>
      <c r="Y1114" s="89" t="n">
        <v>93.86417</v>
      </c>
      <c r="Z1114" s="89" t="n">
        <v>107.3911</v>
      </c>
      <c r="AA1114" s="89" t="n">
        <v>101.9217</v>
      </c>
      <c r="AB1114" s="89" t="n">
        <v>99.30972</v>
      </c>
      <c r="AC1114" s="89" t="n">
        <v>99.99167</v>
      </c>
      <c r="AD1114" s="89" t="n">
        <v>95.09999999999999</v>
      </c>
      <c r="AE1114" s="89" t="n">
        <v>104.1581</v>
      </c>
      <c r="AF1114" s="89" t="n">
        <v>104.1913</v>
      </c>
      <c r="AG1114" s="89" t="n">
        <v>101.9395</v>
      </c>
      <c r="AH1114" s="89" t="n">
        <v>96.34999000000001</v>
      </c>
      <c r="AI1114" s="89" t="n">
        <v>90.8</v>
      </c>
      <c r="AJ1114" s="89" t="n">
        <v>101.277</v>
      </c>
      <c r="AK1114" s="89" t="n">
        <v>85.8143</v>
      </c>
      <c r="AL1114" s="89" t="n">
        <v>95.50796</v>
      </c>
      <c r="AM1114" s="89" t="n">
        <v>105.8</v>
      </c>
      <c r="AN1114" s="89" t="n"/>
      <c r="AO1114" s="89" t="n">
        <v>93.79318000000001</v>
      </c>
      <c r="AP1114" s="89" t="n">
        <v>99.08349</v>
      </c>
      <c r="AQ1114" s="89" t="n"/>
      <c r="AR1114" s="89" t="n"/>
      <c r="AS1114" s="89" t="n"/>
      <c r="AT1114" s="89" t="n">
        <v>91.01685000000001</v>
      </c>
      <c r="AU1114" s="89" t="n"/>
      <c r="AV1114" s="89" t="n">
        <v>88.59999999999999</v>
      </c>
      <c r="AW1114" s="89" t="n"/>
      <c r="AX1114" s="89" t="n">
        <v>79.1934</v>
      </c>
      <c r="AY1114" s="89" t="n">
        <v>110.2119</v>
      </c>
    </row>
    <row r="1115">
      <c r="A1115" t="inlineStr">
        <is>
          <t>2011-10</t>
        </is>
      </c>
      <c r="B1115" s="1" t="n">
        <v>40817</v>
      </c>
      <c r="C1115" s="88" t="n">
        <v>1115</v>
      </c>
      <c r="E1115" s="1">
        <f>B1115</f>
        <v/>
      </c>
      <c r="F1115" s="2">
        <f>B1115</f>
        <v/>
      </c>
      <c r="G1115" s="88" t="n">
        <v>1113</v>
      </c>
      <c r="H1115" s="89" t="n"/>
      <c r="I1115" s="89" t="n"/>
      <c r="J1115" s="89" t="n">
        <v>99.79169</v>
      </c>
      <c r="K1115" s="89" t="n">
        <v>95.47098</v>
      </c>
      <c r="L1115" s="89" t="n"/>
      <c r="M1115" s="89" t="n">
        <v>91.88469000000001</v>
      </c>
      <c r="N1115" s="89" t="n">
        <v>98.89176</v>
      </c>
      <c r="O1115" s="89" t="n">
        <v>98.7</v>
      </c>
      <c r="P1115" s="89" t="n">
        <v>101.2951</v>
      </c>
      <c r="Q1115" s="89" t="n"/>
      <c r="R1115" s="89" t="n">
        <v>106.9</v>
      </c>
      <c r="S1115" s="89" t="n">
        <v>101.4508</v>
      </c>
      <c r="T1115" s="89" t="n">
        <v>101.1248</v>
      </c>
      <c r="U1115" s="89" t="n">
        <v>101.981</v>
      </c>
      <c r="V1115" s="89" t="n">
        <v>87.6073</v>
      </c>
      <c r="W1115" s="89" t="n">
        <v>64.58866999999999</v>
      </c>
      <c r="X1115" s="89" t="n">
        <v>91.46886000000001</v>
      </c>
      <c r="Y1115" s="89" t="n">
        <v>93.11475</v>
      </c>
      <c r="Z1115" s="89" t="n">
        <v>106.0912</v>
      </c>
      <c r="AA1115" s="89" t="n">
        <v>103.564</v>
      </c>
      <c r="AB1115" s="89" t="n">
        <v>99.02175</v>
      </c>
      <c r="AC1115" s="89" t="n">
        <v>97.39188</v>
      </c>
      <c r="AD1115" s="89" t="n">
        <v>94.2</v>
      </c>
      <c r="AE1115" s="89" t="n">
        <v>104.7774</v>
      </c>
      <c r="AF1115" s="89" t="n">
        <v>102.2915</v>
      </c>
      <c r="AG1115" s="89" t="n">
        <v>98.44841</v>
      </c>
      <c r="AH1115" s="89" t="n">
        <v>96.83311</v>
      </c>
      <c r="AI1115" s="89" t="n">
        <v>90.40000000000001</v>
      </c>
      <c r="AJ1115" s="89" t="n">
        <v>99.06529</v>
      </c>
      <c r="AK1115" s="89" t="n">
        <v>88.31471999999999</v>
      </c>
      <c r="AL1115" s="89" t="n">
        <v>94.8079</v>
      </c>
      <c r="AM1115" s="89" t="n">
        <v>105.2</v>
      </c>
      <c r="AN1115" s="89" t="n"/>
      <c r="AO1115" s="89" t="n">
        <v>94.43941</v>
      </c>
      <c r="AP1115" s="89" t="n">
        <v>98.78354</v>
      </c>
      <c r="AQ1115" s="89" t="n"/>
      <c r="AR1115" s="89" t="n"/>
      <c r="AS1115" s="89" t="n"/>
      <c r="AT1115" s="89" t="n">
        <v>86.63441</v>
      </c>
      <c r="AU1115" s="89" t="n"/>
      <c r="AV1115" s="89" t="n">
        <v>89.09999999999999</v>
      </c>
      <c r="AW1115" s="89" t="n"/>
      <c r="AX1115" s="89" t="n">
        <v>83.69302</v>
      </c>
      <c r="AY1115" s="89" t="n">
        <v>109.3311</v>
      </c>
    </row>
    <row r="1116">
      <c r="A1116" t="inlineStr">
        <is>
          <t>2011-11</t>
        </is>
      </c>
      <c r="B1116" s="1" t="n">
        <v>40848</v>
      </c>
      <c r="C1116" s="88" t="n">
        <v>1116</v>
      </c>
      <c r="E1116" s="1">
        <f>B1116</f>
        <v/>
      </c>
      <c r="F1116" s="2">
        <f>B1116</f>
        <v/>
      </c>
      <c r="G1116" s="88" t="n">
        <v>1114</v>
      </c>
      <c r="H1116" s="89" t="n"/>
      <c r="I1116" s="89" t="n"/>
      <c r="J1116" s="89" t="n">
        <v>99.6917</v>
      </c>
      <c r="K1116" s="89" t="n">
        <v>95.22565</v>
      </c>
      <c r="L1116" s="89" t="n"/>
      <c r="M1116" s="89" t="n">
        <v>94.48425</v>
      </c>
      <c r="N1116" s="89" t="n">
        <v>98.19182000000001</v>
      </c>
      <c r="O1116" s="89" t="n">
        <v>98.90000000000001</v>
      </c>
      <c r="P1116" s="89" t="n">
        <v>100.8791</v>
      </c>
      <c r="Q1116" s="89" t="n"/>
      <c r="R1116" s="89" t="n">
        <v>109.6</v>
      </c>
      <c r="S1116" s="89" t="n">
        <v>103.6209</v>
      </c>
      <c r="T1116" s="89" t="n">
        <v>100.8133</v>
      </c>
      <c r="U1116" s="89" t="n">
        <v>105.3771</v>
      </c>
      <c r="V1116" s="89" t="n">
        <v>90.30753</v>
      </c>
      <c r="W1116" s="89" t="n">
        <v>62.00513</v>
      </c>
      <c r="X1116" s="89" t="n">
        <v>91.32899</v>
      </c>
      <c r="Y1116" s="89" t="n">
        <v>91.89696000000001</v>
      </c>
      <c r="Z1116" s="89" t="n">
        <v>106.8911</v>
      </c>
      <c r="AA1116" s="89" t="n">
        <v>101.5112</v>
      </c>
      <c r="AB1116" s="89" t="n">
        <v>97.65886</v>
      </c>
      <c r="AC1116" s="89" t="n">
        <v>101.9915</v>
      </c>
      <c r="AD1116" s="89" t="n">
        <v>95.09999999999999</v>
      </c>
      <c r="AE1116" s="89" t="n">
        <v>104.9192</v>
      </c>
      <c r="AF1116" s="89" t="n">
        <v>102.5915</v>
      </c>
      <c r="AG1116" s="89" t="n">
        <v>101.2413</v>
      </c>
      <c r="AH1116" s="89" t="n">
        <v>96.58938999999999</v>
      </c>
      <c r="AI1116" s="89" t="n">
        <v>92</v>
      </c>
      <c r="AJ1116" s="89" t="n">
        <v>99.15902</v>
      </c>
      <c r="AK1116" s="89" t="n">
        <v>87.71462</v>
      </c>
      <c r="AL1116" s="89" t="n">
        <v>95.80798</v>
      </c>
      <c r="AM1116" s="89" t="n">
        <v>102.1</v>
      </c>
      <c r="AN1116" s="89" t="n"/>
      <c r="AO1116" s="89" t="n">
        <v>94.36362</v>
      </c>
      <c r="AP1116" s="89" t="n">
        <v>99.08349</v>
      </c>
      <c r="AQ1116" s="89" t="n"/>
      <c r="AR1116" s="89" t="n"/>
      <c r="AS1116" s="89" t="n"/>
      <c r="AT1116" s="89" t="n">
        <v>95.10889</v>
      </c>
      <c r="AU1116" s="89" t="n"/>
      <c r="AV1116" s="89" t="n">
        <v>89.09999999999999</v>
      </c>
      <c r="AW1116" s="89" t="n"/>
      <c r="AX1116" s="89" t="n">
        <v>82.89309</v>
      </c>
      <c r="AY1116" s="89" t="n">
        <v>109.9917</v>
      </c>
    </row>
    <row r="1117">
      <c r="A1117" t="inlineStr">
        <is>
          <t>2011-12</t>
        </is>
      </c>
      <c r="B1117" s="1" t="n">
        <v>40878</v>
      </c>
      <c r="C1117" s="88" t="n">
        <v>1117</v>
      </c>
      <c r="E1117" s="1">
        <f>B1117</f>
        <v/>
      </c>
      <c r="F1117" s="2">
        <f>B1117</f>
        <v/>
      </c>
      <c r="G1117" s="88" t="n">
        <v>1115</v>
      </c>
      <c r="H1117" s="89" t="n"/>
      <c r="I1117" s="89" t="n"/>
      <c r="J1117" s="89" t="n">
        <v>99.39172000000001</v>
      </c>
      <c r="K1117" s="89" t="n">
        <v>96.13873</v>
      </c>
      <c r="L1117" s="89" t="n"/>
      <c r="M1117" s="89" t="n">
        <v>93.28445000000001</v>
      </c>
      <c r="N1117" s="89" t="n">
        <v>96.79192999999999</v>
      </c>
      <c r="O1117" s="89" t="n">
        <v>97.59999999999999</v>
      </c>
      <c r="P1117" s="89" t="n">
        <v>102.6071</v>
      </c>
      <c r="Q1117" s="89" t="n"/>
      <c r="R1117" s="89" t="n">
        <v>111.2</v>
      </c>
      <c r="S1117" s="89" t="n">
        <v>101.4408</v>
      </c>
      <c r="T1117" s="89" t="n">
        <v>100.7095</v>
      </c>
      <c r="U1117" s="89" t="n">
        <v>99.6837</v>
      </c>
      <c r="V1117" s="89" t="n">
        <v>85.90716</v>
      </c>
      <c r="W1117" s="89" t="n">
        <v>62.06814</v>
      </c>
      <c r="X1117" s="89" t="n">
        <v>90.47320000000001</v>
      </c>
      <c r="Y1117" s="89" t="n">
        <v>92.92740000000001</v>
      </c>
      <c r="Z1117" s="89" t="n">
        <v>107.691</v>
      </c>
      <c r="AA1117" s="89" t="n">
        <v>103.564</v>
      </c>
      <c r="AB1117" s="89" t="n">
        <v>96.17899</v>
      </c>
      <c r="AC1117" s="89" t="n">
        <v>95.49204</v>
      </c>
      <c r="AD1117" s="89" t="n">
        <v>92.40000000000001</v>
      </c>
      <c r="AE1117" s="89" t="n">
        <v>105.4416</v>
      </c>
      <c r="AF1117" s="89" t="n">
        <v>102.4915</v>
      </c>
      <c r="AG1117" s="89" t="n">
        <v>98.21567</v>
      </c>
      <c r="AH1117" s="89" t="n">
        <v>96.80045</v>
      </c>
      <c r="AI1117" s="89" t="n">
        <v>93.90000000000001</v>
      </c>
      <c r="AJ1117" s="89" t="n">
        <v>97.62127</v>
      </c>
      <c r="AK1117" s="89" t="n">
        <v>89.91499</v>
      </c>
      <c r="AL1117" s="89" t="n">
        <v>93.6078</v>
      </c>
      <c r="AM1117" s="89" t="n">
        <v>101.5</v>
      </c>
      <c r="AN1117" s="89" t="n"/>
      <c r="AO1117" s="89" t="n">
        <v>94.88643</v>
      </c>
      <c r="AP1117" s="89" t="n">
        <v>98.48359000000001</v>
      </c>
      <c r="AQ1117" s="89" t="n"/>
      <c r="AR1117" s="89" t="n"/>
      <c r="AS1117" s="89" t="n"/>
      <c r="AT1117" s="89" t="n">
        <v>93.92654</v>
      </c>
      <c r="AU1117" s="89" t="n"/>
      <c r="AV1117" s="89" t="n">
        <v>89.59999999999999</v>
      </c>
      <c r="AW1117" s="89" t="n"/>
      <c r="AX1117" s="89" t="n">
        <v>82.89309</v>
      </c>
      <c r="AY1117" s="89" t="n">
        <v>112.7443</v>
      </c>
    </row>
    <row r="1118">
      <c r="A1118" t="inlineStr">
        <is>
          <t>2012-01</t>
        </is>
      </c>
      <c r="B1118" s="1" t="n">
        <v>40909</v>
      </c>
      <c r="C1118" s="88" t="n">
        <v>1118</v>
      </c>
      <c r="E1118" s="1">
        <f>B1118</f>
        <v/>
      </c>
      <c r="F1118" s="2">
        <f>B1118</f>
        <v/>
      </c>
      <c r="G1118" s="88" t="n">
        <v>1116</v>
      </c>
      <c r="H1118" s="89" t="n"/>
      <c r="I1118" s="89" t="n"/>
      <c r="J1118" s="89" t="n">
        <v>100.5916</v>
      </c>
      <c r="K1118" s="89" t="n">
        <v>96.1497</v>
      </c>
      <c r="L1118" s="89" t="n"/>
      <c r="M1118" s="89" t="n">
        <v>92.18464</v>
      </c>
      <c r="N1118" s="89" t="n">
        <v>97.29189</v>
      </c>
      <c r="O1118" s="89" t="n">
        <v>98.09999999999999</v>
      </c>
      <c r="P1118" s="89" t="n">
        <v>100.6901</v>
      </c>
      <c r="Q1118" s="89" t="n"/>
      <c r="R1118" s="89" t="n">
        <v>106.4</v>
      </c>
      <c r="S1118" s="89" t="n">
        <v>100.8508</v>
      </c>
      <c r="T1118" s="89" t="n">
        <v>100.8133</v>
      </c>
      <c r="U1118" s="89" t="n">
        <v>103.7789</v>
      </c>
      <c r="V1118" s="89" t="n">
        <v>86.10718</v>
      </c>
      <c r="W1118" s="89" t="n">
        <v>62.38321</v>
      </c>
      <c r="X1118" s="89" t="n">
        <v>94.24214000000001</v>
      </c>
      <c r="Y1118" s="89" t="n">
        <v>94.89462</v>
      </c>
      <c r="Z1118" s="89" t="n">
        <v>103.6914</v>
      </c>
      <c r="AA1118" s="89" t="n">
        <v>103.8719</v>
      </c>
      <c r="AB1118" s="89" t="n">
        <v>98.50179</v>
      </c>
      <c r="AC1118" s="89" t="n">
        <v>98.3918</v>
      </c>
      <c r="AD1118" s="89" t="n">
        <v>96.59999999999999</v>
      </c>
      <c r="AE1118" s="89" t="n">
        <v>105.4678</v>
      </c>
      <c r="AF1118" s="89" t="n">
        <v>102.8914</v>
      </c>
      <c r="AG1118" s="89" t="n">
        <v>102.9868</v>
      </c>
      <c r="AH1118" s="89" t="n">
        <v>96.91379999999999</v>
      </c>
      <c r="AI1118" s="89" t="n">
        <v>90.8</v>
      </c>
      <c r="AJ1118" s="89" t="n">
        <v>97.04264000000001</v>
      </c>
      <c r="AK1118" s="89" t="n">
        <v>89.61494</v>
      </c>
      <c r="AL1118" s="89" t="n">
        <v>94.50787</v>
      </c>
      <c r="AM1118" s="89" t="n">
        <v>107.5</v>
      </c>
      <c r="AN1118" s="89" t="n"/>
      <c r="AO1118" s="89" t="n">
        <v>95.46745</v>
      </c>
      <c r="AP1118" s="89" t="n">
        <v>97.7837</v>
      </c>
      <c r="AQ1118" s="89" t="n"/>
      <c r="AR1118" s="89" t="n"/>
      <c r="AS1118" s="89" t="n"/>
      <c r="AT1118" s="89" t="n">
        <v>92.94326</v>
      </c>
      <c r="AU1118" s="89" t="n"/>
      <c r="AV1118" s="89" t="n">
        <v>89.8</v>
      </c>
      <c r="AW1118" s="89" t="n"/>
      <c r="AX1118" s="89" t="n">
        <v>81.99316</v>
      </c>
      <c r="AY1118" s="89" t="n">
        <v>107.8998</v>
      </c>
    </row>
    <row r="1119">
      <c r="A1119" t="inlineStr">
        <is>
          <t>2012-02</t>
        </is>
      </c>
      <c r="B1119" s="1" t="n">
        <v>40940</v>
      </c>
      <c r="C1119" s="88" t="n">
        <v>1119</v>
      </c>
      <c r="E1119" s="1">
        <f>B1119</f>
        <v/>
      </c>
      <c r="F1119" s="2">
        <f>B1119</f>
        <v/>
      </c>
      <c r="G1119" s="88" t="n">
        <v>1117</v>
      </c>
      <c r="H1119" s="89" t="n"/>
      <c r="I1119" s="89" t="n"/>
      <c r="J1119" s="89" t="n">
        <v>102.3915</v>
      </c>
      <c r="K1119" s="89" t="n">
        <v>94.06108999999999</v>
      </c>
      <c r="L1119" s="89" t="n"/>
      <c r="M1119" s="89" t="n">
        <v>93.28445000000001</v>
      </c>
      <c r="N1119" s="89" t="n">
        <v>97.1919</v>
      </c>
      <c r="O1119" s="89" t="n">
        <v>100.5</v>
      </c>
      <c r="P1119" s="89" t="n">
        <v>99.31807999999999</v>
      </c>
      <c r="Q1119" s="89" t="n"/>
      <c r="R1119" s="89" t="n">
        <v>106.4</v>
      </c>
      <c r="S1119" s="89" t="n">
        <v>101.8109</v>
      </c>
      <c r="T1119" s="89" t="n">
        <v>100.5018</v>
      </c>
      <c r="U1119" s="89" t="n">
        <v>102.2807</v>
      </c>
      <c r="V1119" s="89" t="n">
        <v>86.30719000000001</v>
      </c>
      <c r="W1119" s="89" t="n">
        <v>62.32019</v>
      </c>
      <c r="X1119" s="89" t="n">
        <v>98.19540000000001</v>
      </c>
      <c r="Y1119" s="89" t="n">
        <v>92.92740000000001</v>
      </c>
      <c r="Z1119" s="89" t="n">
        <v>103.8913</v>
      </c>
      <c r="AA1119" s="89" t="n">
        <v>103.6666</v>
      </c>
      <c r="AB1119" s="89" t="n">
        <v>100.6916</v>
      </c>
      <c r="AC1119" s="89" t="n">
        <v>95.79201999999999</v>
      </c>
      <c r="AD1119" s="89" t="n">
        <v>98.40000000000001</v>
      </c>
      <c r="AE1119" s="89" t="n">
        <v>105.7319</v>
      </c>
      <c r="AF1119" s="89" t="n">
        <v>106.8911</v>
      </c>
      <c r="AG1119" s="89" t="n">
        <v>103.4523</v>
      </c>
      <c r="AH1119" s="89" t="n">
        <v>96.95055000000001</v>
      </c>
      <c r="AI1119" s="89" t="n">
        <v>88.59999999999999</v>
      </c>
      <c r="AJ1119" s="89" t="n">
        <v>97.23788999999999</v>
      </c>
      <c r="AK1119" s="89" t="n">
        <v>90.015</v>
      </c>
      <c r="AL1119" s="89" t="n">
        <v>95.30795000000001</v>
      </c>
      <c r="AM1119" s="89" t="n">
        <v>101.4</v>
      </c>
      <c r="AN1119" s="89" t="n"/>
      <c r="AO1119" s="89" t="n">
        <v>95.68625</v>
      </c>
      <c r="AP1119" s="89" t="n">
        <v>98.38361</v>
      </c>
      <c r="AQ1119" s="89" t="n"/>
      <c r="AR1119" s="89" t="n"/>
      <c r="AS1119" s="89" t="n"/>
      <c r="AT1119" s="89" t="n">
        <v>93.0444</v>
      </c>
      <c r="AU1119" s="89" t="n"/>
      <c r="AV1119" s="89" t="n">
        <v>90.40000000000001</v>
      </c>
      <c r="AW1119" s="89" t="n"/>
      <c r="AX1119" s="89" t="n">
        <v>80.89326</v>
      </c>
      <c r="AY1119" s="89" t="n">
        <v>109.1109</v>
      </c>
    </row>
    <row r="1120">
      <c r="A1120" t="inlineStr">
        <is>
          <t>2012-03</t>
        </is>
      </c>
      <c r="B1120" s="1" t="n">
        <v>40969</v>
      </c>
      <c r="C1120" s="88" t="n">
        <v>1120</v>
      </c>
      <c r="E1120" s="1">
        <f>B1120</f>
        <v/>
      </c>
      <c r="F1120" s="2">
        <f>B1120</f>
        <v/>
      </c>
      <c r="G1120" s="88" t="n">
        <v>1118</v>
      </c>
      <c r="H1120" s="89" t="n"/>
      <c r="I1120" s="89" t="n"/>
      <c r="J1120" s="89" t="n">
        <v>103.0914</v>
      </c>
      <c r="K1120" s="89" t="n">
        <v>94.22588</v>
      </c>
      <c r="L1120" s="89" t="n"/>
      <c r="M1120" s="89" t="n">
        <v>92.38461</v>
      </c>
      <c r="N1120" s="89" t="n">
        <v>98.3918</v>
      </c>
      <c r="O1120" s="89" t="n">
        <v>98.40000000000001</v>
      </c>
      <c r="P1120" s="89" t="n">
        <v>98.03008</v>
      </c>
      <c r="Q1120" s="89" t="n"/>
      <c r="R1120" s="89" t="n">
        <v>107</v>
      </c>
      <c r="S1120" s="89" t="n">
        <v>101.0008</v>
      </c>
      <c r="T1120" s="89" t="n">
        <v>99.56740000000001</v>
      </c>
      <c r="U1120" s="89" t="n">
        <v>101.8811</v>
      </c>
      <c r="V1120" s="89" t="n">
        <v>86.20717999999999</v>
      </c>
      <c r="W1120" s="89" t="n">
        <v>63.07635</v>
      </c>
      <c r="X1120" s="89" t="n">
        <v>99.93847</v>
      </c>
      <c r="Y1120" s="89" t="n">
        <v>96.86181999999999</v>
      </c>
      <c r="Z1120" s="89" t="n">
        <v>104.3913</v>
      </c>
      <c r="AA1120" s="89" t="n">
        <v>103.4613</v>
      </c>
      <c r="AB1120" s="89" t="n">
        <v>98.50579</v>
      </c>
      <c r="AC1120" s="89" t="n">
        <v>98.69177000000001</v>
      </c>
      <c r="AD1120" s="89" t="n">
        <v>98.2</v>
      </c>
      <c r="AE1120" s="89" t="n">
        <v>105.8926</v>
      </c>
      <c r="AF1120" s="89" t="n">
        <v>103.7914</v>
      </c>
      <c r="AG1120" s="89" t="n">
        <v>102.0559</v>
      </c>
      <c r="AH1120" s="89" t="n">
        <v>96.81688</v>
      </c>
      <c r="AI1120" s="89" t="n">
        <v>89.90000000000001</v>
      </c>
      <c r="AJ1120" s="89" t="n">
        <v>97.51017</v>
      </c>
      <c r="AK1120" s="89" t="n">
        <v>90.81513</v>
      </c>
      <c r="AL1120" s="89" t="n">
        <v>94.60789</v>
      </c>
      <c r="AM1120" s="89" t="n">
        <v>101.8</v>
      </c>
      <c r="AN1120" s="89" t="n"/>
      <c r="AO1120" s="89" t="n">
        <v>95.23942</v>
      </c>
      <c r="AP1120" s="89" t="n">
        <v>98.28362</v>
      </c>
      <c r="AQ1120" s="89" t="n"/>
      <c r="AR1120" s="89" t="n"/>
      <c r="AS1120" s="89" t="n"/>
      <c r="AT1120" s="89" t="n">
        <v>92.24213</v>
      </c>
      <c r="AU1120" s="89" t="n"/>
      <c r="AV1120" s="89" t="n">
        <v>89.90000000000001</v>
      </c>
      <c r="AW1120" s="89" t="n"/>
      <c r="AX1120" s="89" t="n">
        <v>82.69311</v>
      </c>
      <c r="AY1120" s="89" t="n">
        <v>108.12</v>
      </c>
    </row>
    <row r="1121">
      <c r="A1121" t="inlineStr">
        <is>
          <t>2012-04</t>
        </is>
      </c>
      <c r="B1121" s="1" t="n">
        <v>41000</v>
      </c>
      <c r="C1121" s="88" t="n">
        <v>1121</v>
      </c>
      <c r="E1121" s="1">
        <f>B1121</f>
        <v/>
      </c>
      <c r="F1121" s="2">
        <f>B1121</f>
        <v/>
      </c>
      <c r="G1121" s="88" t="n">
        <v>1119</v>
      </c>
      <c r="H1121" s="89" t="n"/>
      <c r="I1121" s="89" t="n"/>
      <c r="J1121" s="89" t="n">
        <v>99.19173000000001</v>
      </c>
      <c r="K1121" s="89" t="n">
        <v>95.07208</v>
      </c>
      <c r="L1121" s="89" t="n"/>
      <c r="M1121" s="89" t="n">
        <v>92.28462</v>
      </c>
      <c r="N1121" s="89" t="n">
        <v>96.59195</v>
      </c>
      <c r="O1121" s="89" t="n">
        <v>97</v>
      </c>
      <c r="P1121" s="89" t="n">
        <v>97.11308</v>
      </c>
      <c r="Q1121" s="89" t="n"/>
      <c r="R1121" s="89" t="n">
        <v>107.9</v>
      </c>
      <c r="S1121" s="89" t="n">
        <v>101.2308</v>
      </c>
      <c r="T1121" s="89" t="n">
        <v>99.77504999999999</v>
      </c>
      <c r="U1121" s="89" t="n">
        <v>102.6802</v>
      </c>
      <c r="V1121" s="89" t="n">
        <v>84.00700000000001</v>
      </c>
      <c r="W1121" s="89" t="n">
        <v>61.05993</v>
      </c>
      <c r="X1121" s="89" t="n">
        <v>104.2717</v>
      </c>
      <c r="Y1121" s="89" t="n">
        <v>98.64169</v>
      </c>
      <c r="Z1121" s="89" t="n">
        <v>102.8914</v>
      </c>
      <c r="AA1121" s="89" t="n">
        <v>102.9481</v>
      </c>
      <c r="AB1121" s="89" t="n">
        <v>99.76768</v>
      </c>
      <c r="AC1121" s="89" t="n">
        <v>98.29181</v>
      </c>
      <c r="AD1121" s="89" t="n">
        <v>96.40000000000001</v>
      </c>
      <c r="AE1121" s="89" t="n">
        <v>106.4709</v>
      </c>
      <c r="AF1121" s="89" t="n">
        <v>106.7911</v>
      </c>
      <c r="AG1121" s="89" t="n">
        <v>103.1032</v>
      </c>
      <c r="AH1121" s="89" t="n">
        <v>96.78995999999999</v>
      </c>
      <c r="AI1121" s="89" t="n">
        <v>90.09999999999999</v>
      </c>
      <c r="AJ1121" s="89" t="n">
        <v>92.75963</v>
      </c>
      <c r="AK1121" s="89" t="n">
        <v>91.2152</v>
      </c>
      <c r="AL1121" s="89" t="n">
        <v>96.10800999999999</v>
      </c>
      <c r="AM1121" s="89" t="n">
        <v>102.1</v>
      </c>
      <c r="AN1121" s="89" t="n"/>
      <c r="AO1121" s="89" t="n">
        <v>95.95547000000001</v>
      </c>
      <c r="AP1121" s="89" t="n">
        <v>97.48375</v>
      </c>
      <c r="AQ1121" s="89" t="n"/>
      <c r="AR1121" s="89" t="n"/>
      <c r="AS1121" s="89" t="n"/>
      <c r="AT1121" s="89" t="n">
        <v>90.61752</v>
      </c>
      <c r="AU1121" s="89" t="n"/>
      <c r="AV1121" s="89" t="n">
        <v>89.90000000000001</v>
      </c>
      <c r="AW1121" s="89" t="n"/>
      <c r="AX1121" s="89" t="n">
        <v>83.69302</v>
      </c>
      <c r="AY1121" s="89" t="n">
        <v>108.4503</v>
      </c>
    </row>
    <row r="1122">
      <c r="A1122" t="inlineStr">
        <is>
          <t>2012-05</t>
        </is>
      </c>
      <c r="B1122" s="1" t="n">
        <v>41030</v>
      </c>
      <c r="C1122" s="88" t="n">
        <v>1122</v>
      </c>
      <c r="E1122" s="1">
        <f>B1122</f>
        <v/>
      </c>
      <c r="F1122" s="2">
        <f>B1122</f>
        <v/>
      </c>
      <c r="G1122" s="88" t="n">
        <v>1120</v>
      </c>
      <c r="H1122" s="89" t="n"/>
      <c r="I1122" s="89" t="n"/>
      <c r="J1122" s="89" t="n">
        <v>100.5916</v>
      </c>
      <c r="K1122" s="89" t="n">
        <v>95.01804</v>
      </c>
      <c r="L1122" s="89" t="n"/>
      <c r="M1122" s="89" t="n">
        <v>92.48459</v>
      </c>
      <c r="N1122" s="89" t="n">
        <v>98.49178999999999</v>
      </c>
      <c r="O1122" s="89" t="n">
        <v>100</v>
      </c>
      <c r="P1122" s="89" t="n">
        <v>98.01408000000001</v>
      </c>
      <c r="Q1122" s="89" t="n"/>
      <c r="R1122" s="89" t="n">
        <v>107</v>
      </c>
      <c r="S1122" s="89" t="n">
        <v>99.78082999999999</v>
      </c>
      <c r="T1122" s="89" t="n">
        <v>100.2942</v>
      </c>
      <c r="U1122" s="89" t="n">
        <v>105.3771</v>
      </c>
      <c r="V1122" s="89" t="n">
        <v>87.00725</v>
      </c>
      <c r="W1122" s="89" t="n">
        <v>63.70649</v>
      </c>
      <c r="X1122" s="89" t="n">
        <v>97.54897</v>
      </c>
      <c r="Y1122" s="89" t="n">
        <v>99.57845</v>
      </c>
      <c r="Z1122" s="89" t="n">
        <v>104.2913</v>
      </c>
      <c r="AA1122" s="89" t="n">
        <v>101.1006</v>
      </c>
      <c r="AB1122" s="89" t="n">
        <v>101.2986</v>
      </c>
      <c r="AC1122" s="89" t="n">
        <v>96.89192</v>
      </c>
      <c r="AD1122" s="89" t="n">
        <v>97.2</v>
      </c>
      <c r="AE1122" s="89" t="n">
        <v>106.5756</v>
      </c>
      <c r="AF1122" s="89" t="n">
        <v>105.3912</v>
      </c>
      <c r="AG1122" s="89" t="n">
        <v>103.9178</v>
      </c>
      <c r="AH1122" s="89" t="n">
        <v>97.1477</v>
      </c>
      <c r="AI1122" s="89" t="n">
        <v>91.59999999999999</v>
      </c>
      <c r="AJ1122" s="89" t="n">
        <v>96.50615999999999</v>
      </c>
      <c r="AK1122" s="89" t="n">
        <v>90.91515</v>
      </c>
      <c r="AL1122" s="89" t="n">
        <v>93.30777999999999</v>
      </c>
      <c r="AM1122" s="89" t="n">
        <v>106.8</v>
      </c>
      <c r="AN1122" s="89" t="n"/>
      <c r="AO1122" s="89" t="n">
        <v>96.1397</v>
      </c>
      <c r="AP1122" s="89" t="n">
        <v>98.18364</v>
      </c>
      <c r="AQ1122" s="89" t="n"/>
      <c r="AR1122" s="89" t="n"/>
      <c r="AS1122" s="89" t="n"/>
      <c r="AT1122" s="89" t="n">
        <v>92.72802</v>
      </c>
      <c r="AU1122" s="89" t="n"/>
      <c r="AV1122" s="89" t="n">
        <v>90.59999999999999</v>
      </c>
      <c r="AW1122" s="89" t="n"/>
      <c r="AX1122" s="89" t="n">
        <v>83.99299999999999</v>
      </c>
      <c r="AY1122" s="89" t="n">
        <v>108.7806</v>
      </c>
    </row>
    <row r="1123">
      <c r="A1123" t="inlineStr">
        <is>
          <t>2012-06</t>
        </is>
      </c>
      <c r="B1123" s="1" t="n">
        <v>41061</v>
      </c>
      <c r="C1123" s="88" t="n">
        <v>1123</v>
      </c>
      <c r="E1123" s="1">
        <f>B1123</f>
        <v/>
      </c>
      <c r="F1123" s="2">
        <f>B1123</f>
        <v/>
      </c>
      <c r="G1123" s="88" t="n">
        <v>1121</v>
      </c>
      <c r="H1123" s="89" t="n"/>
      <c r="I1123" s="89" t="n"/>
      <c r="J1123" s="89" t="n">
        <v>99.99167</v>
      </c>
      <c r="K1123" s="89" t="n">
        <v>94.47175</v>
      </c>
      <c r="L1123" s="89" t="n"/>
      <c r="M1123" s="89" t="n">
        <v>92.28462</v>
      </c>
      <c r="N1123" s="89" t="n">
        <v>97.29189</v>
      </c>
      <c r="O1123" s="89" t="n">
        <v>98.5</v>
      </c>
      <c r="P1123" s="89" t="n">
        <v>97.52708</v>
      </c>
      <c r="Q1123" s="89" t="n"/>
      <c r="R1123" s="89" t="n">
        <v>108.3</v>
      </c>
      <c r="S1123" s="89" t="n">
        <v>99.18082</v>
      </c>
      <c r="T1123" s="89" t="n">
        <v>98.21768</v>
      </c>
      <c r="U1123" s="89" t="n">
        <v>103.7789</v>
      </c>
      <c r="V1123" s="89" t="n">
        <v>84.60705</v>
      </c>
      <c r="W1123" s="89" t="n">
        <v>62.63526</v>
      </c>
      <c r="X1123" s="89" t="n">
        <v>93.30495000000001</v>
      </c>
      <c r="Y1123" s="89" t="n">
        <v>97.70492</v>
      </c>
      <c r="Z1123" s="89" t="n">
        <v>102.1915</v>
      </c>
      <c r="AA1123" s="89" t="n">
        <v>100.3821</v>
      </c>
      <c r="AB1123" s="89" t="n">
        <v>99.26173</v>
      </c>
      <c r="AC1123" s="89" t="n">
        <v>101.3915</v>
      </c>
      <c r="AD1123" s="89" t="n">
        <v>98.3</v>
      </c>
      <c r="AE1123" s="89" t="n">
        <v>107.1992</v>
      </c>
      <c r="AF1123" s="89" t="n">
        <v>105.3912</v>
      </c>
      <c r="AG1123" s="89" t="n">
        <v>103.4523</v>
      </c>
      <c r="AH1123" s="89" t="n">
        <v>96.61136999999999</v>
      </c>
      <c r="AI1123" s="89" t="n">
        <v>90.40000000000001</v>
      </c>
      <c r="AJ1123" s="89" t="n">
        <v>96.43713</v>
      </c>
      <c r="AK1123" s="89" t="n">
        <v>88.91482000000001</v>
      </c>
      <c r="AL1123" s="89" t="n">
        <v>95.20793</v>
      </c>
      <c r="AM1123" s="89" t="n">
        <v>104.7</v>
      </c>
      <c r="AN1123" s="89" t="n"/>
      <c r="AO1123" s="89" t="n">
        <v>96.12088</v>
      </c>
      <c r="AP1123" s="89" t="n">
        <v>97.38377</v>
      </c>
      <c r="AQ1123" s="89" t="n"/>
      <c r="AR1123" s="89" t="n"/>
      <c r="AS1123" s="89" t="n"/>
      <c r="AT1123" s="89" t="n">
        <v>91.56520999999999</v>
      </c>
      <c r="AU1123" s="89" t="n"/>
      <c r="AV1123" s="89" t="n">
        <v>90.8</v>
      </c>
      <c r="AW1123" s="89" t="n"/>
      <c r="AX1123" s="89" t="n">
        <v>83.39305</v>
      </c>
      <c r="AY1123" s="89" t="n">
        <v>109.0008</v>
      </c>
    </row>
    <row r="1124">
      <c r="A1124" t="inlineStr">
        <is>
          <t>2012-07</t>
        </is>
      </c>
      <c r="B1124" s="1" t="n">
        <v>41091</v>
      </c>
      <c r="C1124" s="88" t="n">
        <v>1124</v>
      </c>
      <c r="E1124" s="1">
        <f>B1124</f>
        <v/>
      </c>
      <c r="F1124" s="2">
        <f>B1124</f>
        <v/>
      </c>
      <c r="G1124" s="88" t="n">
        <v>1122</v>
      </c>
      <c r="H1124" s="89" t="n"/>
      <c r="I1124" s="89" t="n"/>
      <c r="J1124" s="89" t="n">
        <v>99.89167999999999</v>
      </c>
      <c r="K1124" s="89" t="n">
        <v>94.11485999999999</v>
      </c>
      <c r="L1124" s="89" t="n"/>
      <c r="M1124" s="89" t="n">
        <v>92.38461</v>
      </c>
      <c r="N1124" s="89" t="n">
        <v>98.3918</v>
      </c>
      <c r="O1124" s="89" t="n">
        <v>101.6</v>
      </c>
      <c r="P1124" s="89" t="n">
        <v>96.73108000000001</v>
      </c>
      <c r="Q1124" s="89" t="n"/>
      <c r="R1124" s="89" t="n">
        <v>107.4</v>
      </c>
      <c r="S1124" s="89" t="n">
        <v>99.75082999999999</v>
      </c>
      <c r="T1124" s="89" t="n">
        <v>101.0209</v>
      </c>
      <c r="U1124" s="89" t="n">
        <v>106.3759</v>
      </c>
      <c r="V1124" s="89" t="n">
        <v>85.00709000000001</v>
      </c>
      <c r="W1124" s="89" t="n">
        <v>61.75307</v>
      </c>
      <c r="X1124" s="89" t="n">
        <v>91.75529</v>
      </c>
      <c r="Y1124" s="89" t="n">
        <v>100.5152</v>
      </c>
      <c r="Z1124" s="89" t="n">
        <v>103.1914</v>
      </c>
      <c r="AA1124" s="89" t="n">
        <v>99.86893999999999</v>
      </c>
      <c r="AB1124" s="89" t="n">
        <v>98.3458</v>
      </c>
      <c r="AC1124" s="89" t="n">
        <v>100.7916</v>
      </c>
      <c r="AD1124" s="89" t="n">
        <v>97.3</v>
      </c>
      <c r="AE1124" s="89" t="n">
        <v>106.8239</v>
      </c>
      <c r="AF1124" s="89" t="n">
        <v>101.6915</v>
      </c>
      <c r="AG1124" s="89" t="n">
        <v>99.96120999999999</v>
      </c>
      <c r="AH1124" s="89" t="n">
        <v>96.82259999999999</v>
      </c>
      <c r="AI1124" s="89" t="n">
        <v>90.40000000000001</v>
      </c>
      <c r="AJ1124" s="89" t="n">
        <v>97.80061000000001</v>
      </c>
      <c r="AK1124" s="89" t="n">
        <v>92.21536999999999</v>
      </c>
      <c r="AL1124" s="89" t="n">
        <v>93.90783</v>
      </c>
      <c r="AM1124" s="89" t="n">
        <v>104.3</v>
      </c>
      <c r="AN1124" s="89" t="n"/>
      <c r="AO1124" s="89" t="n">
        <v>96.37311</v>
      </c>
      <c r="AP1124" s="89" t="n">
        <v>97.68371999999999</v>
      </c>
      <c r="AQ1124" s="89" t="n"/>
      <c r="AR1124" s="89" t="n"/>
      <c r="AS1124" s="89" t="n"/>
      <c r="AT1124" s="89" t="n">
        <v>90.96144</v>
      </c>
      <c r="AU1124" s="89" t="n"/>
      <c r="AV1124" s="89" t="n">
        <v>91.40000000000001</v>
      </c>
      <c r="AW1124" s="89" t="n"/>
      <c r="AX1124" s="89" t="n">
        <v>84.19298999999999</v>
      </c>
      <c r="AY1124" s="89" t="n">
        <v>110.6524</v>
      </c>
    </row>
    <row r="1125">
      <c r="A1125" t="inlineStr">
        <is>
          <t>2012-08</t>
        </is>
      </c>
      <c r="B1125" s="1" t="n">
        <v>41122</v>
      </c>
      <c r="C1125" s="88" t="n">
        <v>1125</v>
      </c>
      <c r="E1125" s="1">
        <f>B1125</f>
        <v/>
      </c>
      <c r="F1125" s="2">
        <f>B1125</f>
        <v/>
      </c>
      <c r="G1125" s="88" t="n">
        <v>1123</v>
      </c>
      <c r="H1125" s="89" t="n"/>
      <c r="I1125" s="89" t="n"/>
      <c r="J1125" s="89" t="n">
        <v>100.8916</v>
      </c>
      <c r="K1125" s="89" t="n">
        <v>93.16833</v>
      </c>
      <c r="L1125" s="89" t="n"/>
      <c r="M1125" s="89" t="n">
        <v>89.68505</v>
      </c>
      <c r="N1125" s="89" t="n">
        <v>98.3918</v>
      </c>
      <c r="O1125" s="89" t="n">
        <v>99.2</v>
      </c>
      <c r="P1125" s="89" t="n">
        <v>98.98408999999999</v>
      </c>
      <c r="Q1125" s="89" t="n"/>
      <c r="R1125" s="89" t="n">
        <v>105.3</v>
      </c>
      <c r="S1125" s="89" t="n">
        <v>101.7408</v>
      </c>
      <c r="T1125" s="89" t="n">
        <v>100.398</v>
      </c>
      <c r="U1125" s="89" t="n">
        <v>106.3759</v>
      </c>
      <c r="V1125" s="89" t="n">
        <v>87.80732</v>
      </c>
      <c r="W1125" s="89" t="n">
        <v>64.96675</v>
      </c>
      <c r="X1125" s="89" t="n">
        <v>91.20411</v>
      </c>
      <c r="Y1125" s="89" t="n">
        <v>102.6698</v>
      </c>
      <c r="Z1125" s="89" t="n">
        <v>102.6914</v>
      </c>
      <c r="AA1125" s="89" t="n">
        <v>98.63726</v>
      </c>
      <c r="AB1125" s="89" t="n">
        <v>97.08591</v>
      </c>
      <c r="AC1125" s="89" t="n">
        <v>97.79185</v>
      </c>
      <c r="AD1125" s="89" t="n">
        <v>100.4</v>
      </c>
      <c r="AE1125" s="89" t="n">
        <v>105.992</v>
      </c>
      <c r="AF1125" s="89" t="n">
        <v>103.2914</v>
      </c>
      <c r="AG1125" s="89" t="n">
        <v>101.2413</v>
      </c>
      <c r="AH1125" s="89" t="n">
        <v>96.56668000000001</v>
      </c>
      <c r="AI1125" s="89" t="n">
        <v>90.2</v>
      </c>
      <c r="AJ1125" s="89" t="n">
        <v>99.97373</v>
      </c>
      <c r="AK1125" s="89" t="n">
        <v>88.51476</v>
      </c>
      <c r="AL1125" s="89" t="n">
        <v>96.008</v>
      </c>
      <c r="AM1125" s="89" t="n">
        <v>106.5</v>
      </c>
      <c r="AN1125" s="89" t="n"/>
      <c r="AO1125" s="89" t="n">
        <v>95.91264</v>
      </c>
      <c r="AP1125" s="89" t="n">
        <v>98.38361</v>
      </c>
      <c r="AQ1125" s="89" t="n"/>
      <c r="AR1125" s="89" t="n"/>
      <c r="AS1125" s="89" t="n"/>
      <c r="AT1125" s="89" t="n">
        <v>91.17377</v>
      </c>
      <c r="AU1125" s="89" t="n"/>
      <c r="AV1125" s="89" t="n">
        <v>92.5</v>
      </c>
      <c r="AW1125" s="89" t="n"/>
      <c r="AX1125" s="89" t="n">
        <v>82.99308000000001</v>
      </c>
      <c r="AY1125" s="89" t="n">
        <v>112.9645</v>
      </c>
    </row>
    <row r="1126">
      <c r="A1126" t="inlineStr">
        <is>
          <t>2012-09</t>
        </is>
      </c>
      <c r="B1126" s="1" t="n">
        <v>41153</v>
      </c>
      <c r="C1126" s="88" t="n">
        <v>1126</v>
      </c>
      <c r="E1126" s="1">
        <f>B1126</f>
        <v/>
      </c>
      <c r="F1126" s="2">
        <f>B1126</f>
        <v/>
      </c>
      <c r="G1126" s="88" t="n">
        <v>1124</v>
      </c>
      <c r="H1126" s="89" t="n"/>
      <c r="I1126" s="89" t="n"/>
      <c r="J1126" s="89" t="n">
        <v>101.1916</v>
      </c>
      <c r="K1126" s="89" t="n">
        <v>92.85505999999999</v>
      </c>
      <c r="L1126" s="89" t="n"/>
      <c r="M1126" s="89" t="n">
        <v>90.18497000000001</v>
      </c>
      <c r="N1126" s="89" t="n">
        <v>97.09191</v>
      </c>
      <c r="O1126" s="89" t="n">
        <v>100.2</v>
      </c>
      <c r="P1126" s="89" t="n">
        <v>95.50408</v>
      </c>
      <c r="Q1126" s="89" t="n"/>
      <c r="R1126" s="89" t="n">
        <v>105.5</v>
      </c>
      <c r="S1126" s="89" t="n">
        <v>99.96083</v>
      </c>
      <c r="T1126" s="89" t="n">
        <v>97.17944</v>
      </c>
      <c r="U1126" s="89" t="n">
        <v>103.8788</v>
      </c>
      <c r="V1126" s="89" t="n">
        <v>87.20726999999999</v>
      </c>
      <c r="W1126" s="89" t="n">
        <v>56.52296</v>
      </c>
      <c r="X1126" s="89" t="n">
        <v>93.77197</v>
      </c>
      <c r="Y1126" s="89" t="n">
        <v>101.6393</v>
      </c>
      <c r="Z1126" s="89" t="n">
        <v>102.3915</v>
      </c>
      <c r="AA1126" s="89" t="n">
        <v>96.48181</v>
      </c>
      <c r="AB1126" s="89" t="n">
        <v>98.24181</v>
      </c>
      <c r="AC1126" s="89" t="n">
        <v>100.2916</v>
      </c>
      <c r="AD1126" s="89" t="n">
        <v>97.5</v>
      </c>
      <c r="AE1126" s="89" t="n">
        <v>107.2761</v>
      </c>
      <c r="AF1126" s="89" t="n">
        <v>102.4915</v>
      </c>
      <c r="AG1126" s="89" t="n">
        <v>95.53918</v>
      </c>
      <c r="AH1126" s="89" t="n">
        <v>95.95241</v>
      </c>
      <c r="AI1126" s="89" t="n">
        <v>90.7</v>
      </c>
      <c r="AJ1126" s="89" t="n">
        <v>96.13030000000001</v>
      </c>
      <c r="AK1126" s="89" t="n">
        <v>89.4149</v>
      </c>
      <c r="AL1126" s="89" t="n">
        <v>94.40787</v>
      </c>
      <c r="AM1126" s="89" t="n">
        <v>101.2</v>
      </c>
      <c r="AN1126" s="89" t="n"/>
      <c r="AO1126" s="89" t="n">
        <v>95.95961</v>
      </c>
      <c r="AP1126" s="89" t="n">
        <v>96.48392</v>
      </c>
      <c r="AQ1126" s="89" t="n"/>
      <c r="AR1126" s="89" t="n"/>
      <c r="AS1126" s="89" t="n"/>
      <c r="AT1126" s="89" t="n">
        <v>89.87418</v>
      </c>
      <c r="AU1126" s="89" t="n"/>
      <c r="AV1126" s="89" t="n">
        <v>91.59999999999999</v>
      </c>
      <c r="AW1126" s="89" t="n"/>
      <c r="AX1126" s="89" t="n">
        <v>84.89293000000001</v>
      </c>
      <c r="AY1126" s="89" t="n">
        <v>110.7625</v>
      </c>
    </row>
    <row r="1127">
      <c r="A1127" t="inlineStr">
        <is>
          <t>2012-10</t>
        </is>
      </c>
      <c r="B1127" s="1" t="n">
        <v>41183</v>
      </c>
      <c r="C1127" s="88" t="n">
        <v>1127</v>
      </c>
      <c r="E1127" s="1">
        <f>B1127</f>
        <v/>
      </c>
      <c r="F1127" s="2">
        <f>B1127</f>
        <v/>
      </c>
      <c r="G1127" s="88" t="n">
        <v>1125</v>
      </c>
      <c r="H1127" s="89" t="n"/>
      <c r="I1127" s="89" t="n"/>
      <c r="J1127" s="89" t="n">
        <v>96.89192</v>
      </c>
      <c r="K1127" s="89" t="n">
        <v>92.83179</v>
      </c>
      <c r="L1127" s="89" t="n"/>
      <c r="M1127" s="89" t="n">
        <v>88.7852</v>
      </c>
      <c r="N1127" s="89" t="n">
        <v>95.79201999999999</v>
      </c>
      <c r="O1127" s="89" t="n">
        <v>99.59999999999999</v>
      </c>
      <c r="P1127" s="89" t="n">
        <v>96.34308</v>
      </c>
      <c r="Q1127" s="89" t="n"/>
      <c r="R1127" s="89" t="n">
        <v>104.6</v>
      </c>
      <c r="S1127" s="89" t="n">
        <v>98.19082</v>
      </c>
      <c r="T1127" s="89" t="n">
        <v>97.07561</v>
      </c>
      <c r="U1127" s="89" t="n">
        <v>105.2772</v>
      </c>
      <c r="V1127" s="89" t="n">
        <v>84.50704</v>
      </c>
      <c r="W1127" s="89" t="n">
        <v>61.50102</v>
      </c>
      <c r="X1127" s="89" t="n">
        <v>97.52485</v>
      </c>
      <c r="Y1127" s="89" t="n">
        <v>100.7026</v>
      </c>
      <c r="Z1127" s="89" t="n">
        <v>100.5916</v>
      </c>
      <c r="AA1127" s="89" t="n">
        <v>96.78973000000001</v>
      </c>
      <c r="AB1127" s="89" t="n">
        <v>99.64870000000001</v>
      </c>
      <c r="AC1127" s="89" t="n">
        <v>98.49178999999999</v>
      </c>
      <c r="AD1127" s="89" t="n">
        <v>97.2</v>
      </c>
      <c r="AE1127" s="89" t="n">
        <v>105.5472</v>
      </c>
      <c r="AF1127" s="89" t="n">
        <v>102.3915</v>
      </c>
      <c r="AG1127" s="89" t="n">
        <v>100.5431</v>
      </c>
      <c r="AH1127" s="89" t="n">
        <v>95.85386</v>
      </c>
      <c r="AI1127" s="89" t="n">
        <v>90.3</v>
      </c>
      <c r="AJ1127" s="89" t="n">
        <v>94.77343999999999</v>
      </c>
      <c r="AK1127" s="89" t="n">
        <v>89.11485</v>
      </c>
      <c r="AL1127" s="89" t="n">
        <v>93.70780999999999</v>
      </c>
      <c r="AM1127" s="89" t="n">
        <v>102.5</v>
      </c>
      <c r="AN1127" s="89" t="n"/>
      <c r="AO1127" s="89" t="n">
        <v>96.16305</v>
      </c>
      <c r="AP1127" s="89" t="n">
        <v>95.78403</v>
      </c>
      <c r="AQ1127" s="89" t="n"/>
      <c r="AR1127" s="89" t="n"/>
      <c r="AS1127" s="89" t="n"/>
      <c r="AT1127" s="89" t="n">
        <v>92.22176</v>
      </c>
      <c r="AU1127" s="89" t="n"/>
      <c r="AV1127" s="89" t="n">
        <v>91.3</v>
      </c>
      <c r="AW1127" s="89" t="n"/>
      <c r="AX1127" s="89" t="n">
        <v>84.99292</v>
      </c>
      <c r="AY1127" s="89" t="n">
        <v>112.414</v>
      </c>
    </row>
    <row r="1128">
      <c r="A1128" t="inlineStr">
        <is>
          <t>2012-11</t>
        </is>
      </c>
      <c r="B1128" s="1" t="n">
        <v>41214</v>
      </c>
      <c r="C1128" s="88" t="n">
        <v>1128</v>
      </c>
      <c r="E1128" s="1">
        <f>B1128</f>
        <v/>
      </c>
      <c r="F1128" s="2">
        <f>B1128</f>
        <v/>
      </c>
      <c r="G1128" s="88" t="n">
        <v>1126</v>
      </c>
      <c r="H1128" s="89" t="n"/>
      <c r="I1128" s="89" t="n"/>
      <c r="J1128" s="89" t="n">
        <v>96.19199</v>
      </c>
      <c r="K1128" s="89" t="n">
        <v>93.78018</v>
      </c>
      <c r="L1128" s="89" t="n"/>
      <c r="M1128" s="89" t="n">
        <v>88.08532</v>
      </c>
      <c r="N1128" s="89" t="n">
        <v>95.09208</v>
      </c>
      <c r="O1128" s="89" t="n">
        <v>101.8</v>
      </c>
      <c r="P1128" s="89" t="n">
        <v>93.98208</v>
      </c>
      <c r="Q1128" s="89" t="n"/>
      <c r="R1128" s="89" t="n">
        <v>103.7</v>
      </c>
      <c r="S1128" s="89" t="n">
        <v>98.18082</v>
      </c>
      <c r="T1128" s="89" t="n">
        <v>97.69856</v>
      </c>
      <c r="U1128" s="89" t="n">
        <v>102.0809</v>
      </c>
      <c r="V1128" s="89" t="n">
        <v>84.20702</v>
      </c>
      <c r="W1128" s="89" t="n">
        <v>60.11472</v>
      </c>
      <c r="X1128" s="89" t="n">
        <v>89.14941</v>
      </c>
      <c r="Y1128" s="89" t="n">
        <v>98.1733</v>
      </c>
      <c r="Z1128" s="89" t="n">
        <v>99.19173000000001</v>
      </c>
      <c r="AA1128" s="89" t="n">
        <v>96.07125000000001</v>
      </c>
      <c r="AB1128" s="89" t="n">
        <v>100.5166</v>
      </c>
      <c r="AC1128" s="89" t="n">
        <v>89.99250000000001</v>
      </c>
      <c r="AD1128" s="89" t="n">
        <v>98.2</v>
      </c>
      <c r="AE1128" s="89" t="n">
        <v>107.168</v>
      </c>
      <c r="AF1128" s="89" t="n">
        <v>103.6914</v>
      </c>
      <c r="AG1128" s="89" t="n">
        <v>98.0993</v>
      </c>
      <c r="AH1128" s="89" t="n">
        <v>95.69907000000001</v>
      </c>
      <c r="AI1128" s="89" t="n">
        <v>89.2</v>
      </c>
      <c r="AJ1128" s="89" t="n">
        <v>94.7961</v>
      </c>
      <c r="AK1128" s="89" t="n">
        <v>86.51442</v>
      </c>
      <c r="AL1128" s="89" t="n">
        <v>91.60764</v>
      </c>
      <c r="AM1128" s="89" t="n">
        <v>100.4</v>
      </c>
      <c r="AN1128" s="89" t="n"/>
      <c r="AO1128" s="89" t="n">
        <v>96.6264</v>
      </c>
      <c r="AP1128" s="89" t="n">
        <v>95.08414999999999</v>
      </c>
      <c r="AQ1128" s="89" t="n"/>
      <c r="AR1128" s="89" t="n"/>
      <c r="AS1128" s="89" t="n"/>
      <c r="AT1128" s="89" t="n">
        <v>91.10496000000001</v>
      </c>
      <c r="AU1128" s="89" t="n"/>
      <c r="AV1128" s="89" t="n">
        <v>91.5</v>
      </c>
      <c r="AW1128" s="89" t="n"/>
      <c r="AX1128" s="89" t="n">
        <v>83.79301</v>
      </c>
      <c r="AY1128" s="89" t="n">
        <v>110.6524</v>
      </c>
    </row>
    <row r="1129">
      <c r="A1129" t="inlineStr">
        <is>
          <t>2012-12</t>
        </is>
      </c>
      <c r="B1129" s="1" t="n">
        <v>41244</v>
      </c>
      <c r="C1129" s="88" t="n">
        <v>1129</v>
      </c>
      <c r="E1129" s="1">
        <f>B1129</f>
        <v/>
      </c>
      <c r="F1129" s="2">
        <f>B1129</f>
        <v/>
      </c>
      <c r="G1129" s="88" t="n">
        <v>1127</v>
      </c>
      <c r="H1129" s="89" t="n"/>
      <c r="I1129" s="89" t="n"/>
      <c r="J1129" s="89" t="n">
        <v>97.79185</v>
      </c>
      <c r="K1129" s="89" t="n">
        <v>93.37273</v>
      </c>
      <c r="L1129" s="89" t="n"/>
      <c r="M1129" s="89" t="n">
        <v>89.18513</v>
      </c>
      <c r="N1129" s="89" t="n">
        <v>95.89201</v>
      </c>
      <c r="O1129" s="89" t="n">
        <v>99.8</v>
      </c>
      <c r="P1129" s="89" t="n">
        <v>94.35408</v>
      </c>
      <c r="Q1129" s="89" t="n"/>
      <c r="R1129" s="89" t="n">
        <v>104.4</v>
      </c>
      <c r="S1129" s="89" t="n">
        <v>99.49083</v>
      </c>
      <c r="T1129" s="89" t="n">
        <v>98.42533</v>
      </c>
      <c r="U1129" s="89" t="n">
        <v>100.5827</v>
      </c>
      <c r="V1129" s="89" t="n">
        <v>84.90707</v>
      </c>
      <c r="W1129" s="89" t="n">
        <v>61.438</v>
      </c>
      <c r="X1129" s="89" t="n">
        <v>80.45629</v>
      </c>
      <c r="Y1129" s="89" t="n">
        <v>95.55034999999999</v>
      </c>
      <c r="Z1129" s="89" t="n">
        <v>99.89167999999999</v>
      </c>
      <c r="AA1129" s="89" t="n">
        <v>97.40557</v>
      </c>
      <c r="AB1129" s="89" t="n">
        <v>100.4506</v>
      </c>
      <c r="AC1129" s="89" t="n">
        <v>94.19215</v>
      </c>
      <c r="AD1129" s="89" t="n">
        <v>101.2</v>
      </c>
      <c r="AE1129" s="89" t="n">
        <v>105.8489</v>
      </c>
      <c r="AF1129" s="89" t="n">
        <v>102.5915</v>
      </c>
      <c r="AG1129" s="89" t="n">
        <v>99.26299</v>
      </c>
      <c r="AH1129" s="89" t="n">
        <v>96.13</v>
      </c>
      <c r="AI1129" s="89" t="n">
        <v>88.90000000000001</v>
      </c>
      <c r="AJ1129" s="89" t="n">
        <v>93.97554</v>
      </c>
      <c r="AK1129" s="89" t="n">
        <v>88.21469999999999</v>
      </c>
      <c r="AL1129" s="89" t="n">
        <v>91.90766000000001</v>
      </c>
      <c r="AM1129" s="89" t="n">
        <v>102.1</v>
      </c>
      <c r="AN1129" s="89" t="n"/>
      <c r="AO1129" s="89" t="n">
        <v>96.96747000000001</v>
      </c>
      <c r="AP1129" s="89" t="n">
        <v>95.58407</v>
      </c>
      <c r="AQ1129" s="89" t="n"/>
      <c r="AR1129" s="89" t="n"/>
      <c r="AS1129" s="89" t="n"/>
      <c r="AT1129" s="89" t="n">
        <v>91.40273000000001</v>
      </c>
      <c r="AU1129" s="89" t="n"/>
      <c r="AV1129" s="89" t="n">
        <v>91.7</v>
      </c>
      <c r="AW1129" s="89" t="n"/>
      <c r="AX1129" s="89" t="n">
        <v>84.99292</v>
      </c>
      <c r="AY1129" s="89" t="n">
        <v>111.5332</v>
      </c>
    </row>
    <row r="1130">
      <c r="A1130" t="inlineStr">
        <is>
          <t>2013-01</t>
        </is>
      </c>
      <c r="B1130" s="1" t="n">
        <v>41275</v>
      </c>
      <c r="C1130" s="88" t="n">
        <v>1130</v>
      </c>
      <c r="E1130" s="1">
        <f>B1130</f>
        <v/>
      </c>
      <c r="F1130" s="2">
        <f>B1130</f>
        <v/>
      </c>
      <c r="G1130" s="88" t="n">
        <v>1128</v>
      </c>
      <c r="H1130" s="89" t="n"/>
      <c r="I1130" s="89" t="n"/>
      <c r="J1130" s="89" t="n">
        <v>96.39197</v>
      </c>
      <c r="K1130" s="89" t="n">
        <v>94.0956</v>
      </c>
      <c r="L1130" s="89" t="n"/>
      <c r="M1130" s="89" t="n">
        <v>88.68522</v>
      </c>
      <c r="N1130" s="89" t="n">
        <v>94.69211</v>
      </c>
      <c r="O1130" s="89" t="n">
        <v>101.2</v>
      </c>
      <c r="P1130" s="89" t="n">
        <v>95.38208</v>
      </c>
      <c r="Q1130" s="89" t="n"/>
      <c r="R1130" s="89" t="n">
        <v>104.5</v>
      </c>
      <c r="S1130" s="89" t="n">
        <v>98.56082000000001</v>
      </c>
      <c r="T1130" s="89" t="n">
        <v>97.49091</v>
      </c>
      <c r="U1130" s="89" t="n">
        <v>100.5827</v>
      </c>
      <c r="V1130" s="89" t="n">
        <v>84.80707</v>
      </c>
      <c r="W1130" s="89" t="n">
        <v>59.61062</v>
      </c>
      <c r="X1130" s="89" t="n">
        <v>90.14709000000001</v>
      </c>
      <c r="Y1130" s="89" t="n">
        <v>96.48712</v>
      </c>
      <c r="Z1130" s="89" t="n">
        <v>99.99167</v>
      </c>
      <c r="AA1130" s="89" t="n">
        <v>95.39205</v>
      </c>
      <c r="AB1130" s="89" t="n">
        <v>100.6006</v>
      </c>
      <c r="AC1130" s="89" t="n">
        <v>91.89234</v>
      </c>
      <c r="AD1130" s="89" t="n">
        <v>99.5</v>
      </c>
      <c r="AE1130" s="89" t="n">
        <v>105.333</v>
      </c>
      <c r="AF1130" s="89" t="n">
        <v>104.2913</v>
      </c>
      <c r="AG1130" s="89" t="n">
        <v>95.30643999999999</v>
      </c>
      <c r="AH1130" s="89" t="n">
        <v>95.70144000000001</v>
      </c>
      <c r="AI1130" s="89" t="n">
        <v>88.90000000000001</v>
      </c>
      <c r="AJ1130" s="89" t="n">
        <v>96.07362000000001</v>
      </c>
      <c r="AK1130" s="89" t="n">
        <v>88.31471999999999</v>
      </c>
      <c r="AL1130" s="89" t="n">
        <v>93.50779</v>
      </c>
      <c r="AM1130" s="89" t="n">
        <v>99.90000000000001</v>
      </c>
      <c r="AN1130" s="89" t="n"/>
      <c r="AO1130" s="89" t="n">
        <v>96.83896</v>
      </c>
      <c r="AP1130" s="89" t="n">
        <v>95.18414</v>
      </c>
      <c r="AQ1130" s="89" t="n"/>
      <c r="AR1130" s="89" t="n"/>
      <c r="AS1130" s="89" t="n"/>
      <c r="AT1130" s="89" t="n">
        <v>91.32375</v>
      </c>
      <c r="AU1130" s="89" t="n"/>
      <c r="AV1130" s="89" t="n">
        <v>89.3</v>
      </c>
      <c r="AW1130" s="89" t="n"/>
      <c r="AX1130" s="89" t="n">
        <v>85.39288000000001</v>
      </c>
      <c r="AY1130" s="89" t="n">
        <v>112.414</v>
      </c>
    </row>
    <row r="1131">
      <c r="A1131" t="inlineStr">
        <is>
          <t>2013-02</t>
        </is>
      </c>
      <c r="B1131" s="1" t="n">
        <v>41306</v>
      </c>
      <c r="C1131" s="88" t="n">
        <v>1131</v>
      </c>
      <c r="E1131" s="1">
        <f>B1131</f>
        <v/>
      </c>
      <c r="F1131" s="2">
        <f>B1131</f>
        <v/>
      </c>
      <c r="G1131" s="88" t="n">
        <v>1129</v>
      </c>
      <c r="H1131" s="89" t="n"/>
      <c r="I1131" s="89" t="n"/>
      <c r="J1131" s="89" t="n">
        <v>96.19199</v>
      </c>
      <c r="K1131" s="89" t="n">
        <v>95.0975</v>
      </c>
      <c r="L1131" s="89" t="n"/>
      <c r="M1131" s="89" t="n">
        <v>88.98517</v>
      </c>
      <c r="N1131" s="89" t="n">
        <v>95.49204</v>
      </c>
      <c r="O1131" s="89" t="n">
        <v>98.7</v>
      </c>
      <c r="P1131" s="89" t="n">
        <v>94.61908</v>
      </c>
      <c r="Q1131" s="89" t="n"/>
      <c r="R1131" s="89" t="n">
        <v>103.8</v>
      </c>
      <c r="S1131" s="89" t="n">
        <v>99.68083</v>
      </c>
      <c r="T1131" s="89" t="n">
        <v>97.38709</v>
      </c>
      <c r="U1131" s="89" t="n">
        <v>99.0844</v>
      </c>
      <c r="V1131" s="89" t="n">
        <v>84.70706</v>
      </c>
      <c r="W1131" s="89" t="n">
        <v>59.29555</v>
      </c>
      <c r="X1131" s="89" t="n">
        <v>101.7262</v>
      </c>
      <c r="Y1131" s="89" t="n">
        <v>98.82904000000001</v>
      </c>
      <c r="Z1131" s="89" t="n">
        <v>99.39172000000001</v>
      </c>
      <c r="AA1131" s="89" t="n">
        <v>96.99191999999999</v>
      </c>
      <c r="AB1131" s="89" t="n">
        <v>100.0757</v>
      </c>
      <c r="AC1131" s="89" t="n">
        <v>93.19223</v>
      </c>
      <c r="AD1131" s="89" t="n">
        <v>96.8</v>
      </c>
      <c r="AE1131" s="89" t="n">
        <v>105.8798</v>
      </c>
      <c r="AF1131" s="89" t="n">
        <v>105.2912</v>
      </c>
      <c r="AG1131" s="89" t="n">
        <v>93.21178999999999</v>
      </c>
      <c r="AH1131" s="89" t="n">
        <v>96.14744</v>
      </c>
      <c r="AI1131" s="89" t="n">
        <v>89.90000000000001</v>
      </c>
      <c r="AJ1131" s="89" t="n">
        <v>95.30958</v>
      </c>
      <c r="AK1131" s="89" t="n">
        <v>88.31471999999999</v>
      </c>
      <c r="AL1131" s="89" t="n">
        <v>95.10793</v>
      </c>
      <c r="AM1131" s="89" t="n">
        <v>99.09999999999999</v>
      </c>
      <c r="AN1131" s="89" t="n"/>
      <c r="AO1131" s="89" t="n">
        <v>97.39519</v>
      </c>
      <c r="AP1131" s="89" t="n">
        <v>95.3841</v>
      </c>
      <c r="AQ1131" s="89" t="n"/>
      <c r="AR1131" s="89" t="n"/>
      <c r="AS1131" s="89" t="n"/>
      <c r="AT1131" s="89" t="n">
        <v>91.14263</v>
      </c>
      <c r="AU1131" s="89" t="n"/>
      <c r="AV1131" s="89" t="n">
        <v>90</v>
      </c>
      <c r="AW1131" s="89" t="n"/>
      <c r="AX1131" s="89" t="n">
        <v>87.29272</v>
      </c>
      <c r="AY1131" s="89" t="n">
        <v>109.7715</v>
      </c>
    </row>
    <row r="1132">
      <c r="A1132" t="inlineStr">
        <is>
          <t>2013-03</t>
        </is>
      </c>
      <c r="B1132" s="1" t="n">
        <v>41334</v>
      </c>
      <c r="C1132" s="88" t="n">
        <v>1132</v>
      </c>
      <c r="E1132" s="1">
        <f>B1132</f>
        <v/>
      </c>
      <c r="F1132" s="2">
        <f>B1132</f>
        <v/>
      </c>
      <c r="G1132" s="88" t="n">
        <v>1130</v>
      </c>
      <c r="H1132" s="89" t="n"/>
      <c r="I1132" s="89" t="n"/>
      <c r="J1132" s="89" t="n">
        <v>98.99175</v>
      </c>
      <c r="K1132" s="89" t="n">
        <v>95.68821</v>
      </c>
      <c r="L1132" s="89" t="n"/>
      <c r="M1132" s="89" t="n">
        <v>88.58524</v>
      </c>
      <c r="N1132" s="89" t="n">
        <v>96.79192999999999</v>
      </c>
      <c r="O1132" s="89" t="n">
        <v>98.3</v>
      </c>
      <c r="P1132" s="89" t="n">
        <v>95.57308</v>
      </c>
      <c r="Q1132" s="89" t="n"/>
      <c r="R1132" s="89" t="n">
        <v>105.4</v>
      </c>
      <c r="S1132" s="89" t="n">
        <v>99.81083</v>
      </c>
      <c r="T1132" s="89" t="n">
        <v>97.90621</v>
      </c>
      <c r="U1132" s="89" t="n">
        <v>101.3817</v>
      </c>
      <c r="V1132" s="89" t="n">
        <v>85.00709000000001</v>
      </c>
      <c r="W1132" s="89" t="n">
        <v>60.42979</v>
      </c>
      <c r="X1132" s="89" t="n">
        <v>93.60290999999999</v>
      </c>
      <c r="Y1132" s="89" t="n">
        <v>97.51756</v>
      </c>
      <c r="Z1132" s="89" t="n">
        <v>98.89176</v>
      </c>
      <c r="AA1132" s="89" t="n">
        <v>97.89185000000001</v>
      </c>
      <c r="AB1132" s="89" t="n">
        <v>98.28480999999999</v>
      </c>
      <c r="AC1132" s="89" t="n">
        <v>91.79235</v>
      </c>
      <c r="AD1132" s="89" t="n">
        <v>96</v>
      </c>
      <c r="AE1132" s="89" t="n">
        <v>106.3103</v>
      </c>
      <c r="AF1132" s="89" t="n">
        <v>107.1911</v>
      </c>
      <c r="AG1132" s="89" t="n">
        <v>93.21178999999999</v>
      </c>
      <c r="AH1132" s="89" t="n">
        <v>96.46838</v>
      </c>
      <c r="AI1132" s="89" t="n">
        <v>89.40000000000001</v>
      </c>
      <c r="AJ1132" s="89" t="n">
        <v>98.24287</v>
      </c>
      <c r="AK1132" s="89" t="n">
        <v>90.11502</v>
      </c>
      <c r="AL1132" s="89" t="n">
        <v>91.30761</v>
      </c>
      <c r="AM1132" s="89" t="n">
        <v>100.9</v>
      </c>
      <c r="AN1132" s="89" t="n"/>
      <c r="AO1132" s="89" t="n">
        <v>97.79082</v>
      </c>
      <c r="AP1132" s="89" t="n">
        <v>96.38393000000001</v>
      </c>
      <c r="AQ1132" s="89" t="n"/>
      <c r="AR1132" s="89" t="n"/>
      <c r="AS1132" s="89" t="n"/>
      <c r="AT1132" s="89" t="n">
        <v>92.90837999999999</v>
      </c>
      <c r="AU1132" s="89" t="n"/>
      <c r="AV1132" s="89" t="n">
        <v>92.90000000000001</v>
      </c>
      <c r="AW1132" s="89" t="n"/>
      <c r="AX1132" s="89" t="n">
        <v>86.99275</v>
      </c>
      <c r="AY1132" s="89" t="n">
        <v>111.4231</v>
      </c>
    </row>
    <row r="1133">
      <c r="A1133" t="inlineStr">
        <is>
          <t>2013-04</t>
        </is>
      </c>
      <c r="B1133" s="1" t="n">
        <v>41365</v>
      </c>
      <c r="C1133" s="88" t="n">
        <v>1133</v>
      </c>
      <c r="E1133" s="1">
        <f>B1133</f>
        <v/>
      </c>
      <c r="F1133" s="2">
        <f>B1133</f>
        <v/>
      </c>
      <c r="G1133" s="88" t="n">
        <v>1131</v>
      </c>
      <c r="H1133" s="89" t="n"/>
      <c r="I1133" s="89" t="n"/>
      <c r="J1133" s="89" t="n">
        <v>99.5917</v>
      </c>
      <c r="K1133" s="89" t="n">
        <v>95.02446999999999</v>
      </c>
      <c r="L1133" s="89" t="n"/>
      <c r="M1133" s="89" t="n">
        <v>89.68505</v>
      </c>
      <c r="N1133" s="89" t="n">
        <v>97.09191</v>
      </c>
      <c r="O1133" s="89" t="n">
        <v>100.2</v>
      </c>
      <c r="P1133" s="89" t="n">
        <v>94.34708000000001</v>
      </c>
      <c r="Q1133" s="89" t="n"/>
      <c r="R1133" s="89" t="n">
        <v>101.3</v>
      </c>
      <c r="S1133" s="89" t="n">
        <v>101.4008</v>
      </c>
      <c r="T1133" s="89" t="n">
        <v>97.17944</v>
      </c>
      <c r="U1133" s="89" t="n">
        <v>102.9799</v>
      </c>
      <c r="V1133" s="89" t="n">
        <v>85.30710999999999</v>
      </c>
      <c r="W1133" s="89" t="n">
        <v>61.12294</v>
      </c>
      <c r="X1133" s="89" t="n">
        <v>89.32742</v>
      </c>
      <c r="Y1133" s="89" t="n">
        <v>97.79859</v>
      </c>
      <c r="Z1133" s="89" t="n">
        <v>98.09183</v>
      </c>
      <c r="AA1133" s="89" t="n">
        <v>98.09183</v>
      </c>
      <c r="AB1133" s="89" t="n">
        <v>99.43272</v>
      </c>
      <c r="AC1133" s="89" t="n">
        <v>91.69235999999999</v>
      </c>
      <c r="AD1133" s="89" t="n">
        <v>95.8</v>
      </c>
      <c r="AE1133" s="89" t="n">
        <v>105.1999</v>
      </c>
      <c r="AF1133" s="89" t="n">
        <v>107.2911</v>
      </c>
      <c r="AG1133" s="89" t="n">
        <v>96.70287</v>
      </c>
      <c r="AH1133" s="89" t="n">
        <v>96.64524</v>
      </c>
      <c r="AI1133" s="89" t="n">
        <v>90.5</v>
      </c>
      <c r="AJ1133" s="89" t="n">
        <v>96.87918999999999</v>
      </c>
      <c r="AK1133" s="89" t="n">
        <v>89.91499</v>
      </c>
      <c r="AL1133" s="89" t="n">
        <v>93.10776</v>
      </c>
      <c r="AM1133" s="89" t="n">
        <v>98.3</v>
      </c>
      <c r="AN1133" s="89" t="n"/>
      <c r="AO1133" s="89" t="n">
        <v>97.62273</v>
      </c>
      <c r="AP1133" s="89" t="n">
        <v>96.5839</v>
      </c>
      <c r="AQ1133" s="89" t="n"/>
      <c r="AR1133" s="89" t="n"/>
      <c r="AS1133" s="89" t="n"/>
      <c r="AT1133" s="89" t="n">
        <v>93.60535</v>
      </c>
      <c r="AU1133" s="89" t="n"/>
      <c r="AV1133" s="89" t="n">
        <v>92.2</v>
      </c>
      <c r="AW1133" s="89" t="n"/>
      <c r="AX1133" s="89" t="n">
        <v>87.6927</v>
      </c>
      <c r="AY1133" s="89" t="n">
        <v>113.2948</v>
      </c>
    </row>
    <row r="1134">
      <c r="A1134" t="inlineStr">
        <is>
          <t>2013-05</t>
        </is>
      </c>
      <c r="B1134" s="1" t="n">
        <v>41395</v>
      </c>
      <c r="C1134" s="88" t="n">
        <v>1134</v>
      </c>
      <c r="E1134" s="1">
        <f>B1134</f>
        <v/>
      </c>
      <c r="F1134" s="2">
        <f>B1134</f>
        <v/>
      </c>
      <c r="G1134" s="88" t="n">
        <v>1132</v>
      </c>
      <c r="H1134" s="89" t="n"/>
      <c r="I1134" s="89" t="n"/>
      <c r="J1134" s="89" t="n">
        <v>100.5916</v>
      </c>
      <c r="K1134" s="89" t="n">
        <v>94.82462</v>
      </c>
      <c r="L1134" s="89" t="n"/>
      <c r="M1134" s="89" t="n">
        <v>90.5849</v>
      </c>
      <c r="N1134" s="89" t="n">
        <v>96.49196000000001</v>
      </c>
      <c r="O1134" s="89" t="n">
        <v>98.2</v>
      </c>
      <c r="P1134" s="89" t="n">
        <v>94.94708</v>
      </c>
      <c r="Q1134" s="89" t="n"/>
      <c r="R1134" s="89" t="n">
        <v>102.5</v>
      </c>
      <c r="S1134" s="89" t="n">
        <v>101.0608</v>
      </c>
      <c r="T1134" s="89" t="n">
        <v>97.80239</v>
      </c>
      <c r="U1134" s="89" t="n">
        <v>101.0821</v>
      </c>
      <c r="V1134" s="89" t="n">
        <v>84.80707</v>
      </c>
      <c r="W1134" s="89" t="n">
        <v>63.45443</v>
      </c>
      <c r="X1134" s="89" t="n">
        <v>87.60363</v>
      </c>
      <c r="Y1134" s="89" t="n">
        <v>95.92506</v>
      </c>
      <c r="Z1134" s="89" t="n">
        <v>99.89167999999999</v>
      </c>
      <c r="AA1134" s="89" t="n">
        <v>99.5917</v>
      </c>
      <c r="AB1134" s="89" t="n">
        <v>99.82868000000001</v>
      </c>
      <c r="AC1134" s="89" t="n">
        <v>93.79218</v>
      </c>
      <c r="AD1134" s="89" t="n">
        <v>97.59999999999999</v>
      </c>
      <c r="AE1134" s="89" t="n">
        <v>105.2716</v>
      </c>
      <c r="AF1134" s="89" t="n">
        <v>107.0911</v>
      </c>
      <c r="AG1134" s="89" t="n">
        <v>99.03026</v>
      </c>
      <c r="AH1134" s="89" t="n">
        <v>96.88930999999999</v>
      </c>
      <c r="AI1134" s="89" t="n">
        <v>92</v>
      </c>
      <c r="AJ1134" s="89" t="n">
        <v>96.6563</v>
      </c>
      <c r="AK1134" s="89" t="n">
        <v>90.51508</v>
      </c>
      <c r="AL1134" s="89" t="n">
        <v>91.10759</v>
      </c>
      <c r="AM1134" s="89" t="n">
        <v>96.8</v>
      </c>
      <c r="AN1134" s="89" t="n"/>
      <c r="AO1134" s="89" t="n">
        <v>97.72954</v>
      </c>
      <c r="AP1134" s="89" t="n">
        <v>96.78386999999999</v>
      </c>
      <c r="AQ1134" s="89" t="n"/>
      <c r="AR1134" s="89" t="n"/>
      <c r="AS1134" s="89" t="n"/>
      <c r="AT1134" s="89" t="n">
        <v>93.13808</v>
      </c>
      <c r="AU1134" s="89" t="n"/>
      <c r="AV1134" s="89" t="n">
        <v>93.90000000000001</v>
      </c>
      <c r="AW1134" s="89" t="n"/>
      <c r="AX1134" s="89" t="n">
        <v>87.89268</v>
      </c>
      <c r="AY1134" s="89" t="n">
        <v>112.8544</v>
      </c>
    </row>
    <row r="1135">
      <c r="A1135" t="inlineStr">
        <is>
          <t>2013-06</t>
        </is>
      </c>
      <c r="B1135" s="1" t="n">
        <v>41426</v>
      </c>
      <c r="C1135" s="88" t="n">
        <v>1135</v>
      </c>
      <c r="E1135" s="1">
        <f>B1135</f>
        <v/>
      </c>
      <c r="F1135" s="2">
        <f>B1135</f>
        <v/>
      </c>
      <c r="G1135" s="88" t="n">
        <v>1133</v>
      </c>
      <c r="H1135" s="89" t="n"/>
      <c r="I1135" s="89" t="n"/>
      <c r="J1135" s="89" t="n">
        <v>100.6916</v>
      </c>
      <c r="K1135" s="89" t="n">
        <v>94.53408</v>
      </c>
      <c r="L1135" s="89" t="n"/>
      <c r="M1135" s="89" t="n">
        <v>90.5849</v>
      </c>
      <c r="N1135" s="89" t="n">
        <v>98.19182000000001</v>
      </c>
      <c r="O1135" s="89" t="n">
        <v>98</v>
      </c>
      <c r="P1135" s="89" t="n">
        <v>95.91808</v>
      </c>
      <c r="Q1135" s="89" t="n"/>
      <c r="R1135" s="89" t="n">
        <v>103.4</v>
      </c>
      <c r="S1135" s="89" t="n">
        <v>99.86083000000001</v>
      </c>
      <c r="T1135" s="89" t="n">
        <v>98.32151</v>
      </c>
      <c r="U1135" s="89" t="n">
        <v>106.1761</v>
      </c>
      <c r="V1135" s="89" t="n">
        <v>85.40712000000001</v>
      </c>
      <c r="W1135" s="89" t="n">
        <v>61.12294</v>
      </c>
      <c r="X1135" s="89" t="n">
        <v>87.68064</v>
      </c>
      <c r="Y1135" s="89" t="n">
        <v>97.23653</v>
      </c>
      <c r="Z1135" s="89" t="n">
        <v>99.6917</v>
      </c>
      <c r="AA1135" s="89" t="n">
        <v>98.59178</v>
      </c>
      <c r="AB1135" s="89" t="n">
        <v>99.5817</v>
      </c>
      <c r="AC1135" s="89" t="n">
        <v>91.09241</v>
      </c>
      <c r="AD1135" s="89" t="n">
        <v>97.8</v>
      </c>
      <c r="AE1135" s="89" t="n">
        <v>105.5548</v>
      </c>
      <c r="AF1135" s="89" t="n">
        <v>103.1914</v>
      </c>
      <c r="AG1135" s="89" t="n">
        <v>97.40107999999999</v>
      </c>
      <c r="AH1135" s="89" t="n">
        <v>97.08423999999999</v>
      </c>
      <c r="AI1135" s="89" t="n">
        <v>92.90000000000001</v>
      </c>
      <c r="AJ1135" s="89" t="n">
        <v>95.18532</v>
      </c>
      <c r="AK1135" s="89" t="n">
        <v>89.71495</v>
      </c>
      <c r="AL1135" s="89" t="n">
        <v>93.00775</v>
      </c>
      <c r="AM1135" s="89" t="n">
        <v>97.5</v>
      </c>
      <c r="AN1135" s="89" t="n"/>
      <c r="AO1135" s="89" t="n">
        <v>97.92865</v>
      </c>
      <c r="AP1135" s="89" t="n">
        <v>96.78386999999999</v>
      </c>
      <c r="AQ1135" s="89" t="n"/>
      <c r="AR1135" s="89" t="n"/>
      <c r="AS1135" s="89" t="n"/>
      <c r="AT1135" s="89" t="n">
        <v>90.94877</v>
      </c>
      <c r="AU1135" s="89" t="n"/>
      <c r="AV1135" s="89" t="n">
        <v>92.40000000000001</v>
      </c>
      <c r="AW1135" s="89" t="n"/>
      <c r="AX1135" s="89" t="n">
        <v>90.59245</v>
      </c>
      <c r="AY1135" s="89" t="n">
        <v>113.6251</v>
      </c>
    </row>
    <row r="1136">
      <c r="A1136" t="inlineStr">
        <is>
          <t>2013-07</t>
        </is>
      </c>
      <c r="B1136" s="1" t="n">
        <v>41456</v>
      </c>
      <c r="C1136" s="88" t="n">
        <v>1136</v>
      </c>
      <c r="E1136" s="1">
        <f>B1136</f>
        <v/>
      </c>
      <c r="F1136" s="2">
        <f>B1136</f>
        <v/>
      </c>
      <c r="G1136" s="88" t="n">
        <v>1134</v>
      </c>
      <c r="H1136" s="89" t="n"/>
      <c r="I1136" s="89" t="n"/>
      <c r="J1136" s="89" t="n">
        <v>102.0915</v>
      </c>
      <c r="K1136" s="89" t="n">
        <v>94.91772</v>
      </c>
      <c r="L1136" s="89" t="n"/>
      <c r="M1136" s="89" t="n">
        <v>92.18464</v>
      </c>
      <c r="N1136" s="89" t="n">
        <v>96.49196000000001</v>
      </c>
      <c r="O1136" s="89" t="n">
        <v>100.1</v>
      </c>
      <c r="P1136" s="89" t="n">
        <v>95.66007999999999</v>
      </c>
      <c r="Q1136" s="89" t="n"/>
      <c r="R1136" s="89" t="n">
        <v>102.8</v>
      </c>
      <c r="S1136" s="89" t="n">
        <v>99.09083</v>
      </c>
      <c r="T1136" s="89" t="n">
        <v>98.52916</v>
      </c>
      <c r="U1136" s="89" t="n">
        <v>98.68487</v>
      </c>
      <c r="V1136" s="89" t="n">
        <v>86.70722000000001</v>
      </c>
      <c r="W1136" s="89" t="n">
        <v>60.05171</v>
      </c>
      <c r="X1136" s="89" t="n">
        <v>87.91201</v>
      </c>
      <c r="Y1136" s="89" t="n">
        <v>97.79859</v>
      </c>
      <c r="Z1136" s="89" t="n">
        <v>99.49171</v>
      </c>
      <c r="AA1136" s="89" t="n">
        <v>100.0917</v>
      </c>
      <c r="AB1136" s="89" t="n">
        <v>98.69378</v>
      </c>
      <c r="AC1136" s="89" t="n">
        <v>95.59202999999999</v>
      </c>
      <c r="AD1136" s="89" t="n">
        <v>98.90000000000001</v>
      </c>
      <c r="AE1136" s="89" t="n">
        <v>105.7836</v>
      </c>
      <c r="AF1136" s="89" t="n">
        <v>100.6916</v>
      </c>
      <c r="AG1136" s="89" t="n">
        <v>100.5431</v>
      </c>
      <c r="AH1136" s="89" t="n">
        <v>97.11208999999999</v>
      </c>
      <c r="AI1136" s="89" t="n">
        <v>93.90000000000001</v>
      </c>
      <c r="AJ1136" s="89" t="n">
        <v>93.56147</v>
      </c>
      <c r="AK1136" s="89" t="n">
        <v>91.01517</v>
      </c>
      <c r="AL1136" s="89" t="n">
        <v>91.60764</v>
      </c>
      <c r="AM1136" s="89" t="n">
        <v>100.2</v>
      </c>
      <c r="AN1136" s="89" t="n"/>
      <c r="AO1136" s="89" t="n">
        <v>97.51130999999999</v>
      </c>
      <c r="AP1136" s="89" t="n">
        <v>95.98399999999999</v>
      </c>
      <c r="AQ1136" s="89" t="n"/>
      <c r="AR1136" s="89" t="n"/>
      <c r="AS1136" s="89" t="n"/>
      <c r="AT1136" s="89" t="n">
        <v>93.60021999999999</v>
      </c>
      <c r="AU1136" s="89" t="n"/>
      <c r="AV1136" s="89" t="n">
        <v>92.09999999999999</v>
      </c>
      <c r="AW1136" s="89" t="n"/>
      <c r="AX1136" s="89" t="n">
        <v>90.09249</v>
      </c>
      <c r="AY1136" s="89" t="n">
        <v>112.7443</v>
      </c>
    </row>
    <row r="1137">
      <c r="A1137" t="inlineStr">
        <is>
          <t>2013-08</t>
        </is>
      </c>
      <c r="B1137" s="1" t="n">
        <v>41487</v>
      </c>
      <c r="C1137" s="88" t="n">
        <v>1137</v>
      </c>
      <c r="E1137" s="1">
        <f>B1137</f>
        <v/>
      </c>
      <c r="F1137" s="2">
        <f>B1137</f>
        <v/>
      </c>
      <c r="G1137" s="88" t="n">
        <v>1135</v>
      </c>
      <c r="H1137" s="89" t="n"/>
      <c r="I1137" s="89" t="n"/>
      <c r="J1137" s="89" t="n">
        <v>99.5917</v>
      </c>
      <c r="K1137" s="89" t="n">
        <v>95.74466</v>
      </c>
      <c r="L1137" s="89" t="n"/>
      <c r="M1137" s="89" t="n">
        <v>93.38444</v>
      </c>
      <c r="N1137" s="89" t="n">
        <v>98.69177000000001</v>
      </c>
      <c r="O1137" s="89" t="n">
        <v>96.2</v>
      </c>
      <c r="P1137" s="89" t="n">
        <v>96.63608000000001</v>
      </c>
      <c r="Q1137" s="89" t="n"/>
      <c r="R1137" s="89" t="n">
        <v>104.3</v>
      </c>
      <c r="S1137" s="89" t="n">
        <v>98.58082</v>
      </c>
      <c r="T1137" s="89" t="n">
        <v>98.01003</v>
      </c>
      <c r="U1137" s="89" t="n">
        <v>100.1831</v>
      </c>
      <c r="V1137" s="89" t="n">
        <v>88.60738000000001</v>
      </c>
      <c r="W1137" s="89" t="n">
        <v>59.86267</v>
      </c>
      <c r="X1137" s="89" t="n">
        <v>89.14848000000001</v>
      </c>
      <c r="Y1137" s="89" t="n">
        <v>94.89462</v>
      </c>
      <c r="Z1137" s="89" t="n">
        <v>97.99184</v>
      </c>
      <c r="AA1137" s="89" t="n">
        <v>100.3916</v>
      </c>
      <c r="AB1137" s="89" t="n">
        <v>100.4706</v>
      </c>
      <c r="AC1137" s="89" t="n">
        <v>97.69186000000001</v>
      </c>
      <c r="AD1137" s="89" t="n">
        <v>97.90000000000001</v>
      </c>
      <c r="AE1137" s="89" t="n">
        <v>106.0601</v>
      </c>
      <c r="AF1137" s="89" t="n">
        <v>103.0914</v>
      </c>
      <c r="AG1137" s="89" t="n">
        <v>96.93561</v>
      </c>
      <c r="AH1137" s="89" t="n">
        <v>97.48005999999999</v>
      </c>
      <c r="AI1137" s="89" t="n">
        <v>94.59999999999999</v>
      </c>
      <c r="AJ1137" s="89" t="n">
        <v>96.01205</v>
      </c>
      <c r="AK1137" s="89" t="n">
        <v>91.71529</v>
      </c>
      <c r="AL1137" s="89" t="n">
        <v>92.90774999999999</v>
      </c>
      <c r="AM1137" s="89" t="n">
        <v>97.59999999999999</v>
      </c>
      <c r="AN1137" s="89" t="n"/>
      <c r="AO1137" s="89" t="n">
        <v>98.15514</v>
      </c>
      <c r="AP1137" s="89" t="n">
        <v>96.48392</v>
      </c>
      <c r="AQ1137" s="89" t="n"/>
      <c r="AR1137" s="89" t="n"/>
      <c r="AS1137" s="89" t="n"/>
      <c r="AT1137" s="89" t="n">
        <v>95.00095</v>
      </c>
      <c r="AU1137" s="89" t="n"/>
      <c r="AV1137" s="89" t="n">
        <v>91.59999999999999</v>
      </c>
      <c r="AW1137" s="89" t="n"/>
      <c r="AX1137" s="89" t="n">
        <v>87.59269999999999</v>
      </c>
      <c r="AY1137" s="89" t="n">
        <v>113.2948</v>
      </c>
    </row>
    <row r="1138">
      <c r="A1138" t="inlineStr">
        <is>
          <t>2013-09</t>
        </is>
      </c>
      <c r="B1138" s="1" t="n">
        <v>41518</v>
      </c>
      <c r="C1138" s="88" t="n">
        <v>1138</v>
      </c>
      <c r="E1138" s="1">
        <f>B1138</f>
        <v/>
      </c>
      <c r="F1138" s="2">
        <f>B1138</f>
        <v/>
      </c>
      <c r="G1138" s="88" t="n">
        <v>1136</v>
      </c>
      <c r="H1138" s="89" t="n"/>
      <c r="I1138" s="89" t="n"/>
      <c r="J1138" s="89" t="n">
        <v>98.59178</v>
      </c>
      <c r="K1138" s="89" t="n">
        <v>96.53334</v>
      </c>
      <c r="L1138" s="89" t="n"/>
      <c r="M1138" s="89" t="n">
        <v>91.28478</v>
      </c>
      <c r="N1138" s="89" t="n">
        <v>98.19182000000001</v>
      </c>
      <c r="O1138" s="89" t="n">
        <v>95.8</v>
      </c>
      <c r="P1138" s="89" t="n">
        <v>96.37608</v>
      </c>
      <c r="Q1138" s="89" t="n"/>
      <c r="R1138" s="89" t="n">
        <v>101.7</v>
      </c>
      <c r="S1138" s="89" t="n">
        <v>98.90083</v>
      </c>
      <c r="T1138" s="89" t="n">
        <v>99.1521</v>
      </c>
      <c r="U1138" s="89" t="n">
        <v>101.0821</v>
      </c>
      <c r="V1138" s="89" t="n">
        <v>89.60747000000001</v>
      </c>
      <c r="W1138" s="89" t="n">
        <v>60.9339</v>
      </c>
      <c r="X1138" s="89" t="n">
        <v>89.22353</v>
      </c>
      <c r="Y1138" s="89" t="n">
        <v>95.55034999999999</v>
      </c>
      <c r="Z1138" s="89" t="n">
        <v>99.6917</v>
      </c>
      <c r="AA1138" s="89" t="n">
        <v>101.1916</v>
      </c>
      <c r="AB1138" s="89" t="n">
        <v>99.04375</v>
      </c>
      <c r="AC1138" s="89" t="n">
        <v>96.59195</v>
      </c>
      <c r="AD1138" s="89" t="n">
        <v>97.8</v>
      </c>
      <c r="AE1138" s="89" t="n">
        <v>105.7868</v>
      </c>
      <c r="AF1138" s="89" t="n">
        <v>104.7913</v>
      </c>
      <c r="AG1138" s="89" t="n">
        <v>95.30643999999999</v>
      </c>
      <c r="AH1138" s="89" t="n">
        <v>97.90873000000001</v>
      </c>
      <c r="AI1138" s="89" t="n">
        <v>94.2</v>
      </c>
      <c r="AJ1138" s="89" t="n">
        <v>97.38551</v>
      </c>
      <c r="AK1138" s="89" t="n">
        <v>92.51542000000001</v>
      </c>
      <c r="AL1138" s="89" t="n">
        <v>92.70773</v>
      </c>
      <c r="AM1138" s="89" t="n">
        <v>98.7</v>
      </c>
      <c r="AN1138" s="89" t="n"/>
      <c r="AO1138" s="89" t="n">
        <v>98.66065999999999</v>
      </c>
      <c r="AP1138" s="89" t="n">
        <v>96.5839</v>
      </c>
      <c r="AQ1138" s="89" t="n"/>
      <c r="AR1138" s="89" t="n"/>
      <c r="AS1138" s="89" t="n"/>
      <c r="AT1138" s="89" t="n">
        <v>95.49123</v>
      </c>
      <c r="AU1138" s="89" t="n"/>
      <c r="AV1138" s="89" t="n">
        <v>93.09999999999999</v>
      </c>
      <c r="AW1138" s="89" t="n"/>
      <c r="AX1138" s="89" t="n">
        <v>92.69228</v>
      </c>
      <c r="AY1138" s="89" t="n">
        <v>113.9554</v>
      </c>
    </row>
    <row r="1139">
      <c r="A1139" t="inlineStr">
        <is>
          <t>2013-10</t>
        </is>
      </c>
      <c r="B1139" s="1" t="n">
        <v>41548</v>
      </c>
      <c r="C1139" s="88" t="n">
        <v>1139</v>
      </c>
      <c r="E1139" s="1">
        <f>B1139</f>
        <v/>
      </c>
      <c r="F1139" s="2">
        <f>B1139</f>
        <v/>
      </c>
      <c r="G1139" s="88" t="n">
        <v>1137</v>
      </c>
      <c r="H1139" s="89" t="n"/>
      <c r="I1139" s="89" t="n"/>
      <c r="J1139" s="89" t="n">
        <v>100.8916</v>
      </c>
      <c r="K1139" s="89" t="n">
        <v>97.87714</v>
      </c>
      <c r="L1139" s="89" t="n"/>
      <c r="M1139" s="89" t="n">
        <v>93.28445000000001</v>
      </c>
      <c r="N1139" s="89" t="n">
        <v>97.49187000000001</v>
      </c>
      <c r="O1139" s="89" t="n">
        <v>102.7</v>
      </c>
      <c r="P1139" s="89" t="n">
        <v>95.42108</v>
      </c>
      <c r="Q1139" s="89" t="n"/>
      <c r="R1139" s="89" t="n">
        <v>102.4</v>
      </c>
      <c r="S1139" s="89" t="n">
        <v>99.01083</v>
      </c>
      <c r="T1139" s="89" t="n">
        <v>98.94445</v>
      </c>
      <c r="U1139" s="89" t="n">
        <v>99.6837</v>
      </c>
      <c r="V1139" s="89" t="n">
        <v>89.40745</v>
      </c>
      <c r="W1139" s="89" t="n">
        <v>56.83803</v>
      </c>
      <c r="X1139" s="89" t="n">
        <v>90.76049999999999</v>
      </c>
      <c r="Y1139" s="89" t="n">
        <v>96.76815000000001</v>
      </c>
      <c r="Z1139" s="89" t="n">
        <v>100.1917</v>
      </c>
      <c r="AA1139" s="89" t="n">
        <v>101.4915</v>
      </c>
      <c r="AB1139" s="89" t="n">
        <v>100.8746</v>
      </c>
      <c r="AC1139" s="89" t="n">
        <v>98.29181</v>
      </c>
      <c r="AD1139" s="89" t="n">
        <v>98.09999999999999</v>
      </c>
      <c r="AE1139" s="89" t="n">
        <v>106.1086</v>
      </c>
      <c r="AF1139" s="89" t="n">
        <v>102.2915</v>
      </c>
      <c r="AG1139" s="89" t="n">
        <v>92.74632</v>
      </c>
      <c r="AH1139" s="89" t="n">
        <v>97.92364999999999</v>
      </c>
      <c r="AI1139" s="89" t="n">
        <v>94.40000000000001</v>
      </c>
      <c r="AJ1139" s="89" t="n">
        <v>97.92062</v>
      </c>
      <c r="AK1139" s="89" t="n">
        <v>92.41540999999999</v>
      </c>
      <c r="AL1139" s="89" t="n">
        <v>92.70773</v>
      </c>
      <c r="AM1139" s="89" t="n">
        <v>95</v>
      </c>
      <c r="AN1139" s="89" t="n"/>
      <c r="AO1139" s="89" t="n">
        <v>98.48786</v>
      </c>
      <c r="AP1139" s="89" t="n">
        <v>96.08398</v>
      </c>
      <c r="AQ1139" s="89" t="n"/>
      <c r="AR1139" s="89" t="n"/>
      <c r="AS1139" s="89" t="n"/>
      <c r="AT1139" s="89" t="n">
        <v>94.06516999999999</v>
      </c>
      <c r="AU1139" s="89" t="n"/>
      <c r="AV1139" s="89" t="n">
        <v>93</v>
      </c>
      <c r="AW1139" s="89" t="n"/>
      <c r="AX1139" s="89" t="n">
        <v>91.69235999999999</v>
      </c>
      <c r="AY1139" s="89" t="n">
        <v>112.7443</v>
      </c>
    </row>
    <row r="1140">
      <c r="A1140" t="inlineStr">
        <is>
          <t>2013-11</t>
        </is>
      </c>
      <c r="B1140" s="1" t="n">
        <v>41579</v>
      </c>
      <c r="C1140" s="88" t="n">
        <v>1140</v>
      </c>
      <c r="E1140" s="1">
        <f>B1140</f>
        <v/>
      </c>
      <c r="F1140" s="2">
        <f>B1140</f>
        <v/>
      </c>
      <c r="G1140" s="88" t="n">
        <v>1138</v>
      </c>
      <c r="H1140" s="89" t="n"/>
      <c r="I1140" s="89" t="n"/>
      <c r="J1140" s="89" t="n">
        <v>103.4914</v>
      </c>
      <c r="K1140" s="89" t="n">
        <v>97.54112000000001</v>
      </c>
      <c r="L1140" s="89" t="n"/>
      <c r="M1140" s="89" t="n">
        <v>93.28445000000001</v>
      </c>
      <c r="N1140" s="89" t="n">
        <v>99.6917</v>
      </c>
      <c r="O1140" s="89" t="n">
        <v>100.3</v>
      </c>
      <c r="P1140" s="89" t="n">
        <v>96.58108</v>
      </c>
      <c r="Q1140" s="89" t="n"/>
      <c r="R1140" s="89" t="n">
        <v>103.6</v>
      </c>
      <c r="S1140" s="89" t="n">
        <v>100.7908</v>
      </c>
      <c r="T1140" s="89" t="n">
        <v>98.94445</v>
      </c>
      <c r="U1140" s="89" t="n">
        <v>96.48743</v>
      </c>
      <c r="V1140" s="89" t="n">
        <v>89.30744</v>
      </c>
      <c r="W1140" s="89" t="n">
        <v>60.24075</v>
      </c>
      <c r="X1140" s="89" t="n">
        <v>89.84508</v>
      </c>
      <c r="Y1140" s="89" t="n">
        <v>97.51756</v>
      </c>
      <c r="Z1140" s="89" t="n">
        <v>99.79169</v>
      </c>
      <c r="AA1140" s="89" t="n">
        <v>101.8915</v>
      </c>
      <c r="AB1140" s="89" t="n">
        <v>100.0097</v>
      </c>
      <c r="AC1140" s="89" t="n">
        <v>94.7921</v>
      </c>
      <c r="AD1140" s="89" t="n">
        <v>98.40000000000001</v>
      </c>
      <c r="AE1140" s="89" t="n">
        <v>106.5794</v>
      </c>
      <c r="AF1140" s="89" t="n">
        <v>104.9912</v>
      </c>
      <c r="AG1140" s="89" t="n">
        <v>96.47013</v>
      </c>
      <c r="AH1140" s="89" t="n">
        <v>98.52892</v>
      </c>
      <c r="AI1140" s="89" t="n">
        <v>96.09999999999999</v>
      </c>
      <c r="AJ1140" s="89" t="n">
        <v>98.16279</v>
      </c>
      <c r="AK1140" s="89" t="n">
        <v>94.01567</v>
      </c>
      <c r="AL1140" s="89" t="n">
        <v>93.6078</v>
      </c>
      <c r="AM1140" s="89" t="n">
        <v>99.90000000000001</v>
      </c>
      <c r="AN1140" s="89" t="n"/>
      <c r="AO1140" s="89" t="n">
        <v>98.77679000000001</v>
      </c>
      <c r="AP1140" s="89" t="n">
        <v>97.38377</v>
      </c>
      <c r="AQ1140" s="89" t="n"/>
      <c r="AR1140" s="89" t="n"/>
      <c r="AS1140" s="89" t="n"/>
      <c r="AT1140" s="89" t="n">
        <v>94.51662</v>
      </c>
      <c r="AU1140" s="89" t="n"/>
      <c r="AV1140" s="89" t="n">
        <v>95.59999999999999</v>
      </c>
      <c r="AW1140" s="89" t="n"/>
      <c r="AX1140" s="89" t="n">
        <v>92.29231</v>
      </c>
      <c r="AY1140" s="89" t="n">
        <v>113.4049</v>
      </c>
    </row>
    <row r="1141">
      <c r="A1141" t="inlineStr">
        <is>
          <t>2013-12</t>
        </is>
      </c>
      <c r="B1141" s="1" t="n">
        <v>41609</v>
      </c>
      <c r="C1141" s="88" t="n">
        <v>1141</v>
      </c>
      <c r="E1141" s="1">
        <f>B1141</f>
        <v/>
      </c>
      <c r="F1141" s="2">
        <f>B1141</f>
        <v/>
      </c>
      <c r="G1141" s="88" t="n">
        <v>1139</v>
      </c>
      <c r="H1141" s="89" t="n"/>
      <c r="I1141" s="89" t="n"/>
      <c r="J1141" s="89" t="n">
        <v>101.9915</v>
      </c>
      <c r="K1141" s="89" t="n">
        <v>96.69786999999999</v>
      </c>
      <c r="L1141" s="89" t="n"/>
      <c r="M1141" s="89" t="n">
        <v>94.38427</v>
      </c>
      <c r="N1141" s="89" t="n">
        <v>99.79169</v>
      </c>
      <c r="O1141" s="89" t="n">
        <v>101.5</v>
      </c>
      <c r="P1141" s="89" t="n">
        <v>96.75408</v>
      </c>
      <c r="Q1141" s="89" t="n"/>
      <c r="R1141" s="89" t="n">
        <v>98.8</v>
      </c>
      <c r="S1141" s="89" t="n">
        <v>99.52083</v>
      </c>
      <c r="T1141" s="89" t="n">
        <v>98.94445</v>
      </c>
      <c r="U1141" s="89" t="n">
        <v>99.48393</v>
      </c>
      <c r="V1141" s="89" t="n">
        <v>89.00742</v>
      </c>
      <c r="W1141" s="89" t="n">
        <v>62.19416</v>
      </c>
      <c r="X1141" s="89" t="n">
        <v>88.84514</v>
      </c>
      <c r="Y1141" s="89" t="n">
        <v>97.89227</v>
      </c>
      <c r="Z1141" s="89" t="n">
        <v>98.69177000000001</v>
      </c>
      <c r="AA1141" s="89" t="n">
        <v>101.8915</v>
      </c>
      <c r="AB1141" s="89" t="n">
        <v>101.4545</v>
      </c>
      <c r="AC1141" s="89" t="n">
        <v>99.89167999999999</v>
      </c>
      <c r="AD1141" s="89" t="n">
        <v>97.2</v>
      </c>
      <c r="AE1141" s="89" t="n">
        <v>106.7508</v>
      </c>
      <c r="AF1141" s="89" t="n">
        <v>103.6914</v>
      </c>
      <c r="AG1141" s="89" t="n">
        <v>96.93561</v>
      </c>
      <c r="AH1141" s="89" t="n">
        <v>98.45412</v>
      </c>
      <c r="AI1141" s="89" t="n">
        <v>92.59999999999999</v>
      </c>
      <c r="AJ1141" s="89" t="n">
        <v>98.70322</v>
      </c>
      <c r="AK1141" s="89" t="n">
        <v>92.91549000000001</v>
      </c>
      <c r="AL1141" s="89" t="n">
        <v>96.20802</v>
      </c>
      <c r="AM1141" s="89" t="n">
        <v>99.7</v>
      </c>
      <c r="AN1141" s="89" t="n"/>
      <c r="AO1141" s="89" t="n">
        <v>99.07693999999999</v>
      </c>
      <c r="AP1141" s="89" t="n">
        <v>97.18380000000001</v>
      </c>
      <c r="AQ1141" s="89" t="n"/>
      <c r="AR1141" s="89" t="n"/>
      <c r="AS1141" s="89" t="n"/>
      <c r="AT1141" s="89" t="n">
        <v>94.73331</v>
      </c>
      <c r="AU1141" s="89" t="n"/>
      <c r="AV1141" s="89" t="n">
        <v>96.3</v>
      </c>
      <c r="AW1141" s="89" t="n"/>
      <c r="AX1141" s="89" t="n">
        <v>91.79235</v>
      </c>
      <c r="AY1141" s="89" t="n">
        <v>109.0008</v>
      </c>
    </row>
    <row r="1142">
      <c r="A1142" t="inlineStr">
        <is>
          <t>2014-01</t>
        </is>
      </c>
      <c r="B1142" s="1" t="n">
        <v>41640</v>
      </c>
      <c r="C1142" s="88" t="n">
        <v>1142</v>
      </c>
      <c r="E1142" s="1">
        <f>B1142</f>
        <v/>
      </c>
      <c r="F1142" s="2">
        <f>B1142</f>
        <v/>
      </c>
      <c r="G1142" s="88" t="n">
        <v>1140</v>
      </c>
      <c r="H1142" s="89" t="n"/>
      <c r="I1142" s="89" t="n"/>
      <c r="J1142" s="89" t="n">
        <v>100.0917</v>
      </c>
      <c r="K1142" s="89" t="n">
        <v>97.05235</v>
      </c>
      <c r="L1142" s="89" t="n"/>
      <c r="M1142" s="89" t="n">
        <v>93.28445000000001</v>
      </c>
      <c r="N1142" s="89" t="n">
        <v>99.29173</v>
      </c>
      <c r="O1142" s="89" t="n">
        <v>100.7</v>
      </c>
      <c r="P1142" s="89" t="n">
        <v>96.53207999999999</v>
      </c>
      <c r="Q1142" s="89" t="n"/>
      <c r="R1142" s="89" t="n">
        <v>101.2</v>
      </c>
      <c r="S1142" s="89" t="n">
        <v>97.92081</v>
      </c>
      <c r="T1142" s="89" t="n">
        <v>99.25593000000001</v>
      </c>
      <c r="U1142" s="89" t="n">
        <v>97.38638</v>
      </c>
      <c r="V1142" s="89" t="n">
        <v>90.10751</v>
      </c>
      <c r="W1142" s="89" t="n">
        <v>65.28182</v>
      </c>
      <c r="X1142" s="89" t="n">
        <v>87.93819999999999</v>
      </c>
      <c r="Y1142" s="89" t="n">
        <v>98.64169</v>
      </c>
      <c r="Z1142" s="89" t="n">
        <v>100.3916</v>
      </c>
      <c r="AA1142" s="89" t="n">
        <v>103.5914</v>
      </c>
      <c r="AB1142" s="89" t="n">
        <v>101.4815</v>
      </c>
      <c r="AC1142" s="89" t="n">
        <v>96.19199</v>
      </c>
      <c r="AD1142" s="89" t="n">
        <v>97.2</v>
      </c>
      <c r="AE1142" s="89" t="n">
        <v>107.2732</v>
      </c>
      <c r="AF1142" s="89" t="n">
        <v>101.0916</v>
      </c>
      <c r="AG1142" s="89" t="n">
        <v>98.68114</v>
      </c>
      <c r="AH1142" s="89" t="n">
        <v>98.73166000000001</v>
      </c>
      <c r="AI1142" s="89" t="n">
        <v>94.7</v>
      </c>
      <c r="AJ1142" s="89" t="n">
        <v>100.3288</v>
      </c>
      <c r="AK1142" s="89" t="n">
        <v>92.31538</v>
      </c>
      <c r="AL1142" s="89" t="n">
        <v>93.10776</v>
      </c>
      <c r="AM1142" s="89" t="n">
        <v>99.5</v>
      </c>
      <c r="AN1142" s="89" t="n"/>
      <c r="AO1142" s="89" t="n">
        <v>98.66508</v>
      </c>
      <c r="AP1142" s="89" t="n">
        <v>96.88385</v>
      </c>
      <c r="AQ1142" s="89" t="n"/>
      <c r="AR1142" s="89" t="n"/>
      <c r="AS1142" s="89" t="n"/>
      <c r="AT1142" s="89" t="n">
        <v>95.92692</v>
      </c>
      <c r="AU1142" s="89" t="n"/>
      <c r="AV1142" s="89" t="n">
        <v>89.90000000000001</v>
      </c>
      <c r="AW1142" s="89" t="n"/>
      <c r="AX1142" s="89" t="n">
        <v>95.19207</v>
      </c>
      <c r="AY1142" s="89" t="n">
        <v>110.7625</v>
      </c>
    </row>
    <row r="1143">
      <c r="A1143" t="inlineStr">
        <is>
          <t>2014-02</t>
        </is>
      </c>
      <c r="B1143" s="1" t="n">
        <v>41671</v>
      </c>
      <c r="C1143" s="88" t="n">
        <v>1143</v>
      </c>
      <c r="E1143" s="1">
        <f>B1143</f>
        <v/>
      </c>
      <c r="F1143" s="2">
        <f>B1143</f>
        <v/>
      </c>
      <c r="G1143" s="88" t="n">
        <v>1141</v>
      </c>
      <c r="H1143" s="89" t="n"/>
      <c r="I1143" s="89" t="n"/>
      <c r="J1143" s="89" t="n">
        <v>104.6913</v>
      </c>
      <c r="K1143" s="89" t="n">
        <v>98.85577000000001</v>
      </c>
      <c r="L1143" s="89" t="n"/>
      <c r="M1143" s="89" t="n">
        <v>94.38427</v>
      </c>
      <c r="N1143" s="89" t="n">
        <v>99.39172000000001</v>
      </c>
      <c r="O1143" s="89" t="n">
        <v>102</v>
      </c>
      <c r="P1143" s="89" t="n">
        <v>97.23608</v>
      </c>
      <c r="Q1143" s="89" t="n"/>
      <c r="R1143" s="89" t="n">
        <v>101.8</v>
      </c>
      <c r="S1143" s="89" t="n">
        <v>99.45083</v>
      </c>
      <c r="T1143" s="89" t="n">
        <v>99.67122999999999</v>
      </c>
      <c r="U1143" s="89" t="n">
        <v>99.6837</v>
      </c>
      <c r="V1143" s="89" t="n">
        <v>91.40761999999999</v>
      </c>
      <c r="W1143" s="89" t="n">
        <v>68.81056</v>
      </c>
      <c r="X1143" s="89" t="n">
        <v>87.46317000000001</v>
      </c>
      <c r="Y1143" s="89" t="n">
        <v>102.7635</v>
      </c>
      <c r="Z1143" s="89" t="n">
        <v>99.5917</v>
      </c>
      <c r="AA1143" s="89" t="n">
        <v>102.8914</v>
      </c>
      <c r="AB1143" s="89" t="n">
        <v>100.4516</v>
      </c>
      <c r="AC1143" s="89" t="n">
        <v>99.5917</v>
      </c>
      <c r="AD1143" s="89" t="n">
        <v>97.40000000000001</v>
      </c>
      <c r="AE1143" s="89" t="n">
        <v>107.4031</v>
      </c>
      <c r="AF1143" s="89" t="n">
        <v>100.0917</v>
      </c>
      <c r="AG1143" s="89" t="n">
        <v>98.79752000000001</v>
      </c>
      <c r="AH1143" s="89" t="n">
        <v>99.07874</v>
      </c>
      <c r="AI1143" s="89" t="n">
        <v>94.40000000000001</v>
      </c>
      <c r="AJ1143" s="89" t="n">
        <v>99.94627</v>
      </c>
      <c r="AK1143" s="89" t="n">
        <v>93.0155</v>
      </c>
      <c r="AL1143" s="89" t="n">
        <v>91.30761</v>
      </c>
      <c r="AM1143" s="89" t="n">
        <v>99.90000000000001</v>
      </c>
      <c r="AN1143" s="89" t="n"/>
      <c r="AO1143" s="89" t="n">
        <v>99.50082</v>
      </c>
      <c r="AP1143" s="89" t="n">
        <v>97.58373</v>
      </c>
      <c r="AQ1143" s="89" t="n"/>
      <c r="AR1143" s="89" t="n"/>
      <c r="AS1143" s="89" t="n"/>
      <c r="AT1143" s="89" t="n">
        <v>96.02331</v>
      </c>
      <c r="AU1143" s="89" t="n"/>
      <c r="AV1143" s="89" t="n">
        <v>92.59999999999999</v>
      </c>
      <c r="AW1143" s="89" t="n"/>
      <c r="AX1143" s="89" t="n">
        <v>94.29214</v>
      </c>
      <c r="AY1143" s="89" t="n">
        <v>111.5332</v>
      </c>
    </row>
    <row r="1144">
      <c r="A1144" t="inlineStr">
        <is>
          <t>2014-03</t>
        </is>
      </c>
      <c r="B1144" s="1" t="n">
        <v>41699</v>
      </c>
      <c r="C1144" s="88" t="n">
        <v>1144</v>
      </c>
      <c r="E1144" s="1">
        <f>B1144</f>
        <v/>
      </c>
      <c r="F1144" s="2">
        <f>B1144</f>
        <v/>
      </c>
      <c r="G1144" s="88" t="n">
        <v>1142</v>
      </c>
      <c r="H1144" s="89" t="n"/>
      <c r="I1144" s="89" t="n"/>
      <c r="J1144" s="89" t="n">
        <v>101.0916</v>
      </c>
      <c r="K1144" s="89" t="n">
        <v>99.16959</v>
      </c>
      <c r="L1144" s="89" t="n"/>
      <c r="M1144" s="89" t="n">
        <v>95.3841</v>
      </c>
      <c r="N1144" s="89" t="n">
        <v>99.79169</v>
      </c>
      <c r="O1144" s="89" t="n">
        <v>98.90000000000001</v>
      </c>
      <c r="P1144" s="89" t="n">
        <v>96.28608</v>
      </c>
      <c r="Q1144" s="89" t="n"/>
      <c r="R1144" s="89" t="n">
        <v>101</v>
      </c>
      <c r="S1144" s="89" t="n">
        <v>98.72083000000001</v>
      </c>
      <c r="T1144" s="89" t="n">
        <v>99.35975000000001</v>
      </c>
      <c r="U1144" s="89" t="n">
        <v>97.58615</v>
      </c>
      <c r="V1144" s="89" t="n">
        <v>92.20769</v>
      </c>
      <c r="W1144" s="89" t="n">
        <v>70.32288</v>
      </c>
      <c r="X1144" s="89" t="n">
        <v>84.49992</v>
      </c>
      <c r="Y1144" s="89" t="n">
        <v>95.17564</v>
      </c>
      <c r="Z1144" s="89" t="n">
        <v>98.49178999999999</v>
      </c>
      <c r="AA1144" s="89" t="n">
        <v>104.2913</v>
      </c>
      <c r="AB1144" s="89" t="n">
        <v>101.4375</v>
      </c>
      <c r="AC1144" s="89" t="n">
        <v>96.69194</v>
      </c>
      <c r="AD1144" s="89" t="n">
        <v>94.59999999999999</v>
      </c>
      <c r="AE1144" s="89" t="n">
        <v>107.7716</v>
      </c>
      <c r="AF1144" s="89" t="n">
        <v>98.79177</v>
      </c>
      <c r="AG1144" s="89" t="n">
        <v>100.0776</v>
      </c>
      <c r="AH1144" s="89" t="n">
        <v>99.3927</v>
      </c>
      <c r="AI1144" s="89" t="n">
        <v>94.2</v>
      </c>
      <c r="AJ1144" s="89" t="n">
        <v>96.22403</v>
      </c>
      <c r="AK1144" s="89" t="n">
        <v>92.31538</v>
      </c>
      <c r="AL1144" s="89" t="n">
        <v>94.20784999999999</v>
      </c>
      <c r="AM1144" s="89" t="n">
        <v>97.2</v>
      </c>
      <c r="AN1144" s="89" t="n"/>
      <c r="AO1144" s="89" t="n">
        <v>100.4586</v>
      </c>
      <c r="AP1144" s="89" t="n">
        <v>96.98383</v>
      </c>
      <c r="AQ1144" s="89" t="n"/>
      <c r="AR1144" s="89" t="n"/>
      <c r="AS1144" s="89" t="n"/>
      <c r="AT1144" s="89" t="n">
        <v>95.8861</v>
      </c>
      <c r="AU1144" s="89" t="n"/>
      <c r="AV1144" s="89" t="n">
        <v>91.8</v>
      </c>
      <c r="AW1144" s="89" t="n"/>
      <c r="AX1144" s="89" t="n">
        <v>94.49213</v>
      </c>
      <c r="AY1144" s="89" t="n">
        <v>111.313</v>
      </c>
    </row>
    <row r="1145">
      <c r="A1145" t="inlineStr">
        <is>
          <t>2014-04</t>
        </is>
      </c>
      <c r="B1145" s="1" t="n">
        <v>41730</v>
      </c>
      <c r="C1145" s="88" t="n">
        <v>1145</v>
      </c>
      <c r="E1145" s="1">
        <f>B1145</f>
        <v/>
      </c>
      <c r="F1145" s="2">
        <f>B1145</f>
        <v/>
      </c>
      <c r="G1145" s="88" t="n">
        <v>1143</v>
      </c>
      <c r="H1145" s="89" t="n"/>
      <c r="I1145" s="89" t="n"/>
      <c r="J1145" s="89" t="n">
        <v>104.1913</v>
      </c>
      <c r="K1145" s="89" t="n">
        <v>100.4639</v>
      </c>
      <c r="L1145" s="89" t="n"/>
      <c r="M1145" s="89" t="n">
        <v>95.28412</v>
      </c>
      <c r="N1145" s="89" t="n">
        <v>99.39172000000001</v>
      </c>
      <c r="O1145" s="89" t="n">
        <v>99.59999999999999</v>
      </c>
      <c r="P1145" s="89" t="n">
        <v>97.58508</v>
      </c>
      <c r="Q1145" s="89" t="n"/>
      <c r="R1145" s="89" t="n">
        <v>102.6</v>
      </c>
      <c r="S1145" s="89" t="n">
        <v>99.07082</v>
      </c>
      <c r="T1145" s="89" t="n">
        <v>99.77504999999999</v>
      </c>
      <c r="U1145" s="89" t="n">
        <v>99.98335</v>
      </c>
      <c r="V1145" s="89" t="n">
        <v>92.90774999999999</v>
      </c>
      <c r="W1145" s="89" t="n">
        <v>81.85432</v>
      </c>
      <c r="X1145" s="89" t="n">
        <v>84.13187000000001</v>
      </c>
      <c r="Y1145" s="89" t="n">
        <v>93.11475</v>
      </c>
      <c r="Z1145" s="89" t="n">
        <v>99.49171</v>
      </c>
      <c r="AA1145" s="89" t="n">
        <v>99.79169</v>
      </c>
      <c r="AB1145" s="89" t="n">
        <v>102.2015</v>
      </c>
      <c r="AC1145" s="89" t="n">
        <v>98.69177000000001</v>
      </c>
      <c r="AD1145" s="89" t="n">
        <v>96.40000000000001</v>
      </c>
      <c r="AE1145" s="89" t="n">
        <v>108.5088</v>
      </c>
      <c r="AF1145" s="89" t="n">
        <v>104.0913</v>
      </c>
      <c r="AG1145" s="89" t="n">
        <v>99.14662</v>
      </c>
      <c r="AH1145" s="89" t="n">
        <v>99.3548</v>
      </c>
      <c r="AI1145" s="89" t="n">
        <v>95.5</v>
      </c>
      <c r="AJ1145" s="89" t="n">
        <v>98.73795</v>
      </c>
      <c r="AK1145" s="89" t="n">
        <v>93.81564</v>
      </c>
      <c r="AL1145" s="89" t="n">
        <v>93.50779</v>
      </c>
      <c r="AM1145" s="89" t="n">
        <v>97.7</v>
      </c>
      <c r="AN1145" s="89" t="n"/>
      <c r="AO1145" s="89" t="n">
        <v>100.5049</v>
      </c>
      <c r="AP1145" s="89" t="n">
        <v>98.58356999999999</v>
      </c>
      <c r="AQ1145" s="89" t="n"/>
      <c r="AR1145" s="89" t="n"/>
      <c r="AS1145" s="89" t="n"/>
      <c r="AT1145" s="89" t="n">
        <v>97.37034</v>
      </c>
      <c r="AU1145" s="89" t="n"/>
      <c r="AV1145" s="89" t="n">
        <v>94.2</v>
      </c>
      <c r="AW1145" s="89" t="n"/>
      <c r="AX1145" s="89" t="n">
        <v>93.59220000000001</v>
      </c>
      <c r="AY1145" s="89" t="n">
        <v>110.322</v>
      </c>
    </row>
    <row r="1146">
      <c r="A1146" t="inlineStr">
        <is>
          <t>2014-05</t>
        </is>
      </c>
      <c r="B1146" s="1" t="n">
        <v>41760</v>
      </c>
      <c r="C1146" s="88" t="n">
        <v>1146</v>
      </c>
      <c r="E1146" s="1">
        <f>B1146</f>
        <v/>
      </c>
      <c r="F1146" s="2">
        <f>B1146</f>
        <v/>
      </c>
      <c r="G1146" s="88" t="n">
        <v>1144</v>
      </c>
      <c r="H1146" s="89" t="n"/>
      <c r="I1146" s="89" t="n"/>
      <c r="J1146" s="89" t="n">
        <v>101.2916</v>
      </c>
      <c r="K1146" s="89" t="n">
        <v>100.7293</v>
      </c>
      <c r="L1146" s="89" t="n"/>
      <c r="M1146" s="89" t="n">
        <v>95.18414</v>
      </c>
      <c r="N1146" s="89" t="n">
        <v>98.69177000000001</v>
      </c>
      <c r="O1146" s="89" t="n">
        <v>98.2</v>
      </c>
      <c r="P1146" s="89" t="n">
        <v>97.23008</v>
      </c>
      <c r="Q1146" s="89" t="n"/>
      <c r="R1146" s="89" t="n">
        <v>101.9</v>
      </c>
      <c r="S1146" s="89" t="n">
        <v>96.86081</v>
      </c>
      <c r="T1146" s="89" t="n">
        <v>99.46357999999999</v>
      </c>
      <c r="U1146" s="89" t="n">
        <v>105.3771</v>
      </c>
      <c r="V1146" s="89" t="n">
        <v>92.30768999999999</v>
      </c>
      <c r="W1146" s="89" t="n">
        <v>84.18582000000001</v>
      </c>
      <c r="X1146" s="89" t="n">
        <v>84.74117</v>
      </c>
      <c r="Y1146" s="89" t="n">
        <v>96.29977</v>
      </c>
      <c r="Z1146" s="89" t="n">
        <v>97.99184</v>
      </c>
      <c r="AA1146" s="89" t="n">
        <v>101.8915</v>
      </c>
      <c r="AB1146" s="89" t="n">
        <v>99.56171000000001</v>
      </c>
      <c r="AC1146" s="89" t="n">
        <v>97.69186000000001</v>
      </c>
      <c r="AD1146" s="89" t="n">
        <v>96.59999999999999</v>
      </c>
      <c r="AE1146" s="89" t="n">
        <v>108.9781</v>
      </c>
      <c r="AF1146" s="89" t="n">
        <v>103.6914</v>
      </c>
      <c r="AG1146" s="89" t="n">
        <v>94.60822</v>
      </c>
      <c r="AH1146" s="89" t="n">
        <v>99.22836</v>
      </c>
      <c r="AI1146" s="89" t="n">
        <v>93.90000000000001</v>
      </c>
      <c r="AJ1146" s="89" t="n">
        <v>97.36971</v>
      </c>
      <c r="AK1146" s="89" t="n">
        <v>93.91565</v>
      </c>
      <c r="AL1146" s="89" t="n">
        <v>93.40778</v>
      </c>
      <c r="AM1146" s="89" t="n">
        <v>95</v>
      </c>
      <c r="AN1146" s="89" t="n"/>
      <c r="AO1146" s="89" t="n">
        <v>100.8681</v>
      </c>
      <c r="AP1146" s="89" t="n">
        <v>97.7837</v>
      </c>
      <c r="AQ1146" s="89" t="n"/>
      <c r="AR1146" s="89" t="n"/>
      <c r="AS1146" s="89" t="n"/>
      <c r="AT1146" s="89" t="n">
        <v>97.26206999999999</v>
      </c>
      <c r="AU1146" s="89" t="n"/>
      <c r="AV1146" s="89" t="n">
        <v>93.7</v>
      </c>
      <c r="AW1146" s="89" t="n"/>
      <c r="AX1146" s="89" t="n">
        <v>92.39230000000001</v>
      </c>
      <c r="AY1146" s="89" t="n">
        <v>108.7806</v>
      </c>
    </row>
    <row r="1147">
      <c r="A1147" t="inlineStr">
        <is>
          <t>2014-06</t>
        </is>
      </c>
      <c r="B1147" s="1" t="n">
        <v>41791</v>
      </c>
      <c r="C1147" s="88" t="n">
        <v>1147</v>
      </c>
      <c r="E1147" s="1">
        <f>B1147</f>
        <v/>
      </c>
      <c r="F1147" s="2">
        <f>B1147</f>
        <v/>
      </c>
      <c r="G1147" s="88" t="n">
        <v>1145</v>
      </c>
      <c r="H1147" s="89" t="n"/>
      <c r="I1147" s="89" t="n"/>
      <c r="J1147" s="89" t="n">
        <v>103.0914</v>
      </c>
      <c r="K1147" s="89" t="n">
        <v>101.5771</v>
      </c>
      <c r="L1147" s="89" t="n"/>
      <c r="M1147" s="89" t="n">
        <v>95.28412</v>
      </c>
      <c r="N1147" s="89" t="n">
        <v>98.79177</v>
      </c>
      <c r="O1147" s="89" t="n">
        <v>97.40000000000001</v>
      </c>
      <c r="P1147" s="89" t="n">
        <v>96.51708000000001</v>
      </c>
      <c r="Q1147" s="89" t="n"/>
      <c r="R1147" s="89" t="n">
        <v>99.8</v>
      </c>
      <c r="S1147" s="89" t="n">
        <v>99.10082</v>
      </c>
      <c r="T1147" s="89" t="n">
        <v>99.67122999999999</v>
      </c>
      <c r="U1147" s="89" t="n">
        <v>98.18545</v>
      </c>
      <c r="V1147" s="89" t="n">
        <v>95.70798000000001</v>
      </c>
      <c r="W1147" s="89" t="n">
        <v>63.95854</v>
      </c>
      <c r="X1147" s="89" t="n">
        <v>86.40221</v>
      </c>
      <c r="Y1147" s="89" t="n">
        <v>95.17564</v>
      </c>
      <c r="Z1147" s="89" t="n">
        <v>99.89167999999999</v>
      </c>
      <c r="AA1147" s="89" t="n">
        <v>100.5916</v>
      </c>
      <c r="AB1147" s="89" t="n">
        <v>101.9665</v>
      </c>
      <c r="AC1147" s="89" t="n">
        <v>98.09183</v>
      </c>
      <c r="AD1147" s="89" t="n">
        <v>95.90000000000001</v>
      </c>
      <c r="AE1147" s="89" t="n">
        <v>108.7625</v>
      </c>
      <c r="AF1147" s="89" t="n">
        <v>101.9915</v>
      </c>
      <c r="AG1147" s="89" t="n">
        <v>99.26299</v>
      </c>
      <c r="AH1147" s="89" t="n">
        <v>99.37961</v>
      </c>
      <c r="AI1147" s="89" t="n">
        <v>94.59999999999999</v>
      </c>
      <c r="AJ1147" s="89" t="n">
        <v>96.8485</v>
      </c>
      <c r="AK1147" s="89" t="n">
        <v>95.81596999999999</v>
      </c>
      <c r="AL1147" s="89" t="n">
        <v>95.80798</v>
      </c>
      <c r="AM1147" s="89" t="n">
        <v>96.8</v>
      </c>
      <c r="AN1147" s="89" t="n"/>
      <c r="AO1147" s="89" t="n">
        <v>101.2455</v>
      </c>
      <c r="AP1147" s="89" t="n">
        <v>97.28377999999999</v>
      </c>
      <c r="AQ1147" s="89" t="n"/>
      <c r="AR1147" s="89" t="n"/>
      <c r="AS1147" s="89" t="n"/>
      <c r="AT1147" s="89" t="n">
        <v>98.32169</v>
      </c>
      <c r="AU1147" s="89" t="n"/>
      <c r="AV1147" s="89" t="n">
        <v>94.90000000000001</v>
      </c>
      <c r="AW1147" s="89" t="n"/>
      <c r="AX1147" s="89" t="n">
        <v>94.19215</v>
      </c>
      <c r="AY1147" s="89" t="n">
        <v>105.8079</v>
      </c>
    </row>
    <row r="1148">
      <c r="A1148" t="inlineStr">
        <is>
          <t>2014-07</t>
        </is>
      </c>
      <c r="B1148" s="1" t="n">
        <v>41821</v>
      </c>
      <c r="C1148" s="88" t="n">
        <v>1148</v>
      </c>
      <c r="E1148" s="1">
        <f>B1148</f>
        <v/>
      </c>
      <c r="F1148" s="2">
        <f>B1148</f>
        <v/>
      </c>
      <c r="G1148" s="88" t="n">
        <v>1146</v>
      </c>
      <c r="H1148" s="89" t="n"/>
      <c r="I1148" s="89" t="n"/>
      <c r="J1148" s="89" t="n">
        <v>101.1916</v>
      </c>
      <c r="K1148" s="89" t="n">
        <v>100.9872</v>
      </c>
      <c r="L1148" s="89" t="n"/>
      <c r="M1148" s="89" t="n">
        <v>95.48408999999999</v>
      </c>
      <c r="N1148" s="89" t="n">
        <v>100.8916</v>
      </c>
      <c r="O1148" s="89" t="n">
        <v>97.5</v>
      </c>
      <c r="P1148" s="89" t="n">
        <v>96.51508</v>
      </c>
      <c r="Q1148" s="89" t="n"/>
      <c r="R1148" s="89" t="n">
        <v>101.3</v>
      </c>
      <c r="S1148" s="89" t="n">
        <v>100.3308</v>
      </c>
      <c r="T1148" s="89" t="n">
        <v>100.1903</v>
      </c>
      <c r="U1148" s="89" t="n">
        <v>97.78592</v>
      </c>
      <c r="V1148" s="89" t="n">
        <v>97.60813</v>
      </c>
      <c r="W1148" s="89" t="n">
        <v>71.20507000000001</v>
      </c>
      <c r="X1148" s="89" t="n">
        <v>89.43813</v>
      </c>
      <c r="Y1148" s="89" t="n">
        <v>97.89227</v>
      </c>
      <c r="Z1148" s="89" t="n">
        <v>98.49178999999999</v>
      </c>
      <c r="AA1148" s="89" t="n">
        <v>100.3916</v>
      </c>
      <c r="AB1148" s="89" t="n">
        <v>102.8264</v>
      </c>
      <c r="AC1148" s="89" t="n">
        <v>100.1917</v>
      </c>
      <c r="AD1148" s="89" t="n">
        <v>96.59999999999999</v>
      </c>
      <c r="AE1148" s="89" t="n">
        <v>108.9113</v>
      </c>
      <c r="AF1148" s="89" t="n">
        <v>102.6914</v>
      </c>
      <c r="AG1148" s="89" t="n">
        <v>97.86656000000001</v>
      </c>
      <c r="AH1148" s="89" t="n">
        <v>99.96986</v>
      </c>
      <c r="AI1148" s="89" t="n">
        <v>96.3</v>
      </c>
      <c r="AJ1148" s="89" t="n">
        <v>98.43776</v>
      </c>
      <c r="AK1148" s="89" t="n">
        <v>92.81547</v>
      </c>
      <c r="AL1148" s="89" t="n">
        <v>96.60805000000001</v>
      </c>
      <c r="AM1148" s="89" t="n">
        <v>96</v>
      </c>
      <c r="AN1148" s="89" t="n"/>
      <c r="AO1148" s="89" t="n">
        <v>101.4449</v>
      </c>
      <c r="AP1148" s="89" t="n">
        <v>98.08365999999999</v>
      </c>
      <c r="AQ1148" s="89" t="n"/>
      <c r="AR1148" s="89" t="n"/>
      <c r="AS1148" s="89" t="n"/>
      <c r="AT1148" s="89" t="n">
        <v>98.77539</v>
      </c>
      <c r="AU1148" s="89" t="n"/>
      <c r="AV1148" s="89" t="n">
        <v>94.7</v>
      </c>
      <c r="AW1148" s="89" t="n"/>
      <c r="AX1148" s="89" t="n">
        <v>96.49196000000001</v>
      </c>
      <c r="AY1148" s="89" t="n">
        <v>108.2301</v>
      </c>
    </row>
    <row r="1149">
      <c r="A1149" t="inlineStr">
        <is>
          <t>2014-08</t>
        </is>
      </c>
      <c r="B1149" s="1" t="n">
        <v>41852</v>
      </c>
      <c r="C1149" s="88" t="n">
        <v>1149</v>
      </c>
      <c r="E1149" s="1">
        <f>B1149</f>
        <v/>
      </c>
      <c r="F1149" s="2">
        <f>B1149</f>
        <v/>
      </c>
      <c r="G1149" s="88" t="n">
        <v>1147</v>
      </c>
      <c r="H1149" s="89" t="n"/>
      <c r="I1149" s="89" t="n"/>
      <c r="J1149" s="89" t="n">
        <v>97.99184</v>
      </c>
      <c r="K1149" s="89" t="n">
        <v>99.3079</v>
      </c>
      <c r="L1149" s="89" t="n"/>
      <c r="M1149" s="89" t="n">
        <v>95.88402000000001</v>
      </c>
      <c r="N1149" s="89" t="n">
        <v>96.69194</v>
      </c>
      <c r="O1149" s="89" t="n">
        <v>102.8</v>
      </c>
      <c r="P1149" s="89" t="n">
        <v>97.01308</v>
      </c>
      <c r="Q1149" s="89" t="n"/>
      <c r="R1149" s="89" t="n">
        <v>101.9</v>
      </c>
      <c r="S1149" s="89" t="n">
        <v>98.36082</v>
      </c>
      <c r="T1149" s="89" t="n">
        <v>99.46357999999999</v>
      </c>
      <c r="U1149" s="89" t="n">
        <v>96.0879</v>
      </c>
      <c r="V1149" s="89" t="n">
        <v>91.90766000000001</v>
      </c>
      <c r="W1149" s="89" t="n">
        <v>74.92286</v>
      </c>
      <c r="X1149" s="89" t="n">
        <v>93.64669000000001</v>
      </c>
      <c r="Y1149" s="89" t="n">
        <v>98.07962999999999</v>
      </c>
      <c r="Z1149" s="89" t="n">
        <v>97.39188</v>
      </c>
      <c r="AA1149" s="89" t="n">
        <v>99.49171</v>
      </c>
      <c r="AB1149" s="89" t="n">
        <v>99.19073</v>
      </c>
      <c r="AC1149" s="89" t="n">
        <v>98.49178999999999</v>
      </c>
      <c r="AD1149" s="89" t="n">
        <v>97</v>
      </c>
      <c r="AE1149" s="89" t="n">
        <v>109.0474</v>
      </c>
      <c r="AF1149" s="89" t="n">
        <v>102.9914</v>
      </c>
      <c r="AG1149" s="89" t="n">
        <v>98.68114</v>
      </c>
      <c r="AH1149" s="89" t="n">
        <v>98.82173</v>
      </c>
      <c r="AI1149" s="89" t="n">
        <v>95.2</v>
      </c>
      <c r="AJ1149" s="89" t="n">
        <v>96.91792</v>
      </c>
      <c r="AK1149" s="89" t="n">
        <v>94.51575</v>
      </c>
      <c r="AL1149" s="89" t="n">
        <v>95.00792</v>
      </c>
      <c r="AM1149" s="89" t="n">
        <v>96.7</v>
      </c>
      <c r="AN1149" s="89" t="n"/>
      <c r="AO1149" s="89" t="n">
        <v>101.3324</v>
      </c>
      <c r="AP1149" s="89" t="n">
        <v>96.38393000000001</v>
      </c>
      <c r="AQ1149" s="89" t="n"/>
      <c r="AR1149" s="89" t="n"/>
      <c r="AS1149" s="89" t="n"/>
      <c r="AT1149" s="89" t="n">
        <v>98.1233</v>
      </c>
      <c r="AU1149" s="89" t="n"/>
      <c r="AV1149" s="89" t="n">
        <v>94.8</v>
      </c>
      <c r="AW1149" s="89" t="n"/>
      <c r="AX1149" s="89" t="n">
        <v>91.79235</v>
      </c>
      <c r="AY1149" s="89" t="n">
        <v>109.221</v>
      </c>
    </row>
    <row r="1150">
      <c r="A1150" t="inlineStr">
        <is>
          <t>2014-09</t>
        </is>
      </c>
      <c r="B1150" s="1" t="n">
        <v>41883</v>
      </c>
      <c r="C1150" s="88" t="n">
        <v>1150</v>
      </c>
      <c r="E1150" s="1">
        <f>B1150</f>
        <v/>
      </c>
      <c r="F1150" s="2">
        <f>B1150</f>
        <v/>
      </c>
      <c r="G1150" s="88" t="n">
        <v>1148</v>
      </c>
      <c r="H1150" s="89" t="n"/>
      <c r="I1150" s="89" t="n"/>
      <c r="J1150" s="89" t="n">
        <v>102.6914</v>
      </c>
      <c r="K1150" s="89" t="n">
        <v>101.213</v>
      </c>
      <c r="L1150" s="89" t="n"/>
      <c r="M1150" s="89" t="n">
        <v>97.38377</v>
      </c>
      <c r="N1150" s="89" t="n">
        <v>99.09174</v>
      </c>
      <c r="O1150" s="89" t="n">
        <v>101.3</v>
      </c>
      <c r="P1150" s="89" t="n">
        <v>97.34008</v>
      </c>
      <c r="Q1150" s="89" t="n"/>
      <c r="R1150" s="89" t="n">
        <v>100</v>
      </c>
      <c r="S1150" s="89" t="n">
        <v>99.12083</v>
      </c>
      <c r="T1150" s="89" t="n">
        <v>99.98269999999999</v>
      </c>
      <c r="U1150" s="89" t="n">
        <v>97.18661</v>
      </c>
      <c r="V1150" s="89" t="n">
        <v>94.10784</v>
      </c>
      <c r="W1150" s="89" t="n">
        <v>73.41054</v>
      </c>
      <c r="X1150" s="89" t="n">
        <v>96.76832</v>
      </c>
      <c r="Y1150" s="89" t="n">
        <v>99.95316</v>
      </c>
      <c r="Z1150" s="89" t="n">
        <v>97.99184</v>
      </c>
      <c r="AA1150" s="89" t="n">
        <v>100.5916</v>
      </c>
      <c r="AB1150" s="89" t="n">
        <v>99.34472</v>
      </c>
      <c r="AC1150" s="89" t="n">
        <v>99.89167999999999</v>
      </c>
      <c r="AD1150" s="89" t="n">
        <v>98.40000000000001</v>
      </c>
      <c r="AE1150" s="89" t="n">
        <v>109.2971</v>
      </c>
      <c r="AF1150" s="89" t="n">
        <v>101.2916</v>
      </c>
      <c r="AG1150" s="89" t="n">
        <v>102.5213</v>
      </c>
      <c r="AH1150" s="89" t="n">
        <v>99.68128</v>
      </c>
      <c r="AI1150" s="89" t="n">
        <v>96.09999999999999</v>
      </c>
      <c r="AJ1150" s="89" t="n">
        <v>96.95988</v>
      </c>
      <c r="AK1150" s="89" t="n">
        <v>93.6156</v>
      </c>
      <c r="AL1150" s="89" t="n">
        <v>94.00784</v>
      </c>
      <c r="AM1150" s="89" t="n">
        <v>95.09999999999999</v>
      </c>
      <c r="AN1150" s="89" t="n"/>
      <c r="AO1150" s="89" t="n">
        <v>101.6352</v>
      </c>
      <c r="AP1150" s="89" t="n">
        <v>97.38377</v>
      </c>
      <c r="AQ1150" s="89" t="n"/>
      <c r="AR1150" s="89" t="n"/>
      <c r="AS1150" s="89" t="n"/>
      <c r="AT1150" s="89" t="n">
        <v>98.88744</v>
      </c>
      <c r="AU1150" s="89" t="n"/>
      <c r="AV1150" s="89" t="n">
        <v>96.40000000000001</v>
      </c>
      <c r="AW1150" s="89" t="n"/>
      <c r="AX1150" s="89" t="n">
        <v>96.092</v>
      </c>
      <c r="AY1150" s="89" t="n">
        <v>109.3311</v>
      </c>
    </row>
    <row r="1151">
      <c r="A1151" t="inlineStr">
        <is>
          <t>2014-10</t>
        </is>
      </c>
      <c r="B1151" s="1" t="n">
        <v>41913</v>
      </c>
      <c r="C1151" s="88" t="n">
        <v>1151</v>
      </c>
      <c r="E1151" s="1">
        <f>B1151</f>
        <v/>
      </c>
      <c r="F1151" s="2">
        <f>B1151</f>
        <v/>
      </c>
      <c r="G1151" s="88" t="n">
        <v>1149</v>
      </c>
      <c r="H1151" s="89" t="n"/>
      <c r="I1151" s="89" t="n"/>
      <c r="J1151" s="89" t="n">
        <v>99.79169</v>
      </c>
      <c r="K1151" s="89" t="n">
        <v>102.0271</v>
      </c>
      <c r="L1151" s="89" t="n"/>
      <c r="M1151" s="89" t="n">
        <v>96.5839</v>
      </c>
      <c r="N1151" s="89" t="n">
        <v>99.29173</v>
      </c>
      <c r="O1151" s="89" t="n">
        <v>100.4</v>
      </c>
      <c r="P1151" s="89" t="n">
        <v>96.84508</v>
      </c>
      <c r="Q1151" s="89" t="n"/>
      <c r="R1151" s="89" t="n">
        <v>101.3</v>
      </c>
      <c r="S1151" s="89" t="n">
        <v>97.59081</v>
      </c>
      <c r="T1151" s="89" t="n">
        <v>99.56740000000001</v>
      </c>
      <c r="U1151" s="89" t="n">
        <v>99.78358</v>
      </c>
      <c r="V1151" s="89" t="n">
        <v>91.10759</v>
      </c>
      <c r="W1151" s="89" t="n">
        <v>76.49818999999999</v>
      </c>
      <c r="X1151" s="89" t="n">
        <v>101.1724</v>
      </c>
      <c r="Y1151" s="89" t="n">
        <v>101.3583</v>
      </c>
      <c r="Z1151" s="89" t="n">
        <v>97.79185</v>
      </c>
      <c r="AA1151" s="89" t="n">
        <v>100.5916</v>
      </c>
      <c r="AB1151" s="89" t="n">
        <v>97.96084</v>
      </c>
      <c r="AC1151" s="89" t="n">
        <v>100.0917</v>
      </c>
      <c r="AD1151" s="89" t="n">
        <v>98.5</v>
      </c>
      <c r="AE1151" s="89" t="n">
        <v>109.3604</v>
      </c>
      <c r="AF1151" s="89" t="n">
        <v>100.1917</v>
      </c>
      <c r="AG1151" s="89" t="n">
        <v>103.1032</v>
      </c>
      <c r="AH1151" s="89" t="n">
        <v>99.54598</v>
      </c>
      <c r="AI1151" s="89" t="n">
        <v>96.2</v>
      </c>
      <c r="AJ1151" s="89" t="n">
        <v>98.86192</v>
      </c>
      <c r="AK1151" s="89" t="n">
        <v>94.11568</v>
      </c>
      <c r="AL1151" s="89" t="n">
        <v>95.80798</v>
      </c>
      <c r="AM1151" s="89" t="n">
        <v>95.8</v>
      </c>
      <c r="AN1151" s="89" t="n"/>
      <c r="AO1151" s="89" t="n">
        <v>101.6562</v>
      </c>
      <c r="AP1151" s="89" t="n">
        <v>97.08382</v>
      </c>
      <c r="AQ1151" s="89" t="n"/>
      <c r="AR1151" s="89" t="n"/>
      <c r="AS1151" s="89" t="n"/>
      <c r="AT1151" s="89" t="n">
        <v>94.64855</v>
      </c>
      <c r="AU1151" s="89" t="n"/>
      <c r="AV1151" s="89" t="n">
        <v>97.59999999999999</v>
      </c>
      <c r="AW1151" s="89" t="n"/>
      <c r="AX1151" s="89" t="n">
        <v>94.89209</v>
      </c>
      <c r="AY1151" s="89" t="n">
        <v>109.7715</v>
      </c>
    </row>
    <row r="1152">
      <c r="A1152" t="inlineStr">
        <is>
          <t>2014-11</t>
        </is>
      </c>
      <c r="B1152" s="1" t="n">
        <v>41944</v>
      </c>
      <c r="C1152" s="88" t="n">
        <v>1152</v>
      </c>
      <c r="E1152" s="1">
        <f>B1152</f>
        <v/>
      </c>
      <c r="F1152" s="2">
        <f>B1152</f>
        <v/>
      </c>
      <c r="G1152" s="88" t="n">
        <v>1150</v>
      </c>
      <c r="H1152" s="89" t="n"/>
      <c r="I1152" s="89" t="n"/>
      <c r="J1152" s="89" t="n">
        <v>98.99175</v>
      </c>
      <c r="K1152" s="89" t="n">
        <v>101.6582</v>
      </c>
      <c r="L1152" s="89" t="n"/>
      <c r="M1152" s="89" t="n">
        <v>97.68371999999999</v>
      </c>
      <c r="N1152" s="89" t="n">
        <v>99.39172000000001</v>
      </c>
      <c r="O1152" s="89" t="n">
        <v>100.1</v>
      </c>
      <c r="P1152" s="89" t="n">
        <v>96.49508</v>
      </c>
      <c r="Q1152" s="89" t="n"/>
      <c r="R1152" s="89" t="n">
        <v>100.5</v>
      </c>
      <c r="S1152" s="89" t="n">
        <v>96.67081</v>
      </c>
      <c r="T1152" s="89" t="n">
        <v>99.67122999999999</v>
      </c>
      <c r="U1152" s="89" t="n">
        <v>99.38405</v>
      </c>
      <c r="V1152" s="89" t="n">
        <v>95.40795</v>
      </c>
      <c r="W1152" s="89" t="n">
        <v>75.99409</v>
      </c>
      <c r="X1152" s="89" t="n">
        <v>99.58835999999999</v>
      </c>
      <c r="Y1152" s="89" t="n">
        <v>100.9836</v>
      </c>
      <c r="Z1152" s="89" t="n">
        <v>97.79185</v>
      </c>
      <c r="AA1152" s="89" t="n">
        <v>100.5916</v>
      </c>
      <c r="AB1152" s="89" t="n">
        <v>98.29680999999999</v>
      </c>
      <c r="AC1152" s="89" t="n">
        <v>99.79169</v>
      </c>
      <c r="AD1152" s="89" t="n">
        <v>96.3</v>
      </c>
      <c r="AE1152" s="89" t="n">
        <v>109.5572</v>
      </c>
      <c r="AF1152" s="89" t="n">
        <v>100.6916</v>
      </c>
      <c r="AG1152" s="89" t="n">
        <v>100.6594</v>
      </c>
      <c r="AH1152" s="89" t="n">
        <v>99.77294999999999</v>
      </c>
      <c r="AI1152" s="89" t="n">
        <v>96.3</v>
      </c>
      <c r="AJ1152" s="89" t="n">
        <v>97.75134</v>
      </c>
      <c r="AK1152" s="89" t="n">
        <v>94.21571</v>
      </c>
      <c r="AL1152" s="89" t="n">
        <v>96.008</v>
      </c>
      <c r="AM1152" s="89" t="n">
        <v>95.3</v>
      </c>
      <c r="AN1152" s="89" t="n"/>
      <c r="AO1152" s="89" t="n">
        <v>102.4512</v>
      </c>
      <c r="AP1152" s="89" t="n">
        <v>96.78386999999999</v>
      </c>
      <c r="AQ1152" s="89" t="n"/>
      <c r="AR1152" s="89" t="n"/>
      <c r="AS1152" s="89" t="n"/>
      <c r="AT1152" s="89" t="n">
        <v>101.4331</v>
      </c>
      <c r="AU1152" s="89" t="n"/>
      <c r="AV1152" s="89" t="n">
        <v>97.7</v>
      </c>
      <c r="AW1152" s="89" t="n"/>
      <c r="AX1152" s="89" t="n">
        <v>95.69202</v>
      </c>
      <c r="AY1152" s="89" t="n">
        <v>108.5604</v>
      </c>
    </row>
    <row r="1153">
      <c r="A1153" t="inlineStr">
        <is>
          <t>2014-12</t>
        </is>
      </c>
      <c r="B1153" s="1" t="n">
        <v>41974</v>
      </c>
      <c r="C1153" s="88" t="n">
        <v>1153</v>
      </c>
      <c r="E1153" s="1">
        <f>B1153</f>
        <v/>
      </c>
      <c r="F1153" s="2">
        <f>B1153</f>
        <v/>
      </c>
      <c r="G1153" s="88" t="n">
        <v>1151</v>
      </c>
      <c r="H1153" s="89" t="n"/>
      <c r="I1153" s="89" t="n"/>
      <c r="J1153" s="89" t="n">
        <v>99.39172000000001</v>
      </c>
      <c r="K1153" s="89" t="n">
        <v>102.0696</v>
      </c>
      <c r="L1153" s="89" t="n"/>
      <c r="M1153" s="89" t="n">
        <v>99.08349</v>
      </c>
      <c r="N1153" s="89" t="n">
        <v>101.0916</v>
      </c>
      <c r="O1153" s="89" t="n">
        <v>100.2</v>
      </c>
      <c r="P1153" s="89" t="n">
        <v>96.83208</v>
      </c>
      <c r="Q1153" s="89" t="n"/>
      <c r="R1153" s="89" t="n">
        <v>98.59999999999999</v>
      </c>
      <c r="S1153" s="89" t="n">
        <v>99.35083</v>
      </c>
      <c r="T1153" s="89" t="n">
        <v>99.87887000000001</v>
      </c>
      <c r="U1153" s="89" t="n">
        <v>96.68719</v>
      </c>
      <c r="V1153" s="89" t="n">
        <v>93.30777999999999</v>
      </c>
      <c r="W1153" s="89" t="n">
        <v>70.13384000000001</v>
      </c>
      <c r="X1153" s="89" t="n">
        <v>98.47759000000001</v>
      </c>
      <c r="Y1153" s="89" t="n">
        <v>99.0164</v>
      </c>
      <c r="Z1153" s="89" t="n">
        <v>98.79177</v>
      </c>
      <c r="AA1153" s="89" t="n">
        <v>100.1917</v>
      </c>
      <c r="AB1153" s="89" t="n">
        <v>101.2256</v>
      </c>
      <c r="AC1153" s="89" t="n">
        <v>100.8916</v>
      </c>
      <c r="AD1153" s="89" t="n">
        <v>97.2</v>
      </c>
      <c r="AE1153" s="89" t="n">
        <v>109.5996</v>
      </c>
      <c r="AF1153" s="89" t="n">
        <v>100.7916</v>
      </c>
      <c r="AG1153" s="89" t="n">
        <v>101.3576</v>
      </c>
      <c r="AH1153" s="89" t="n">
        <v>100.2133</v>
      </c>
      <c r="AI1153" s="89" t="n">
        <v>97.8</v>
      </c>
      <c r="AJ1153" s="89" t="n">
        <v>97.35671000000001</v>
      </c>
      <c r="AK1153" s="89" t="n">
        <v>96.51608</v>
      </c>
      <c r="AL1153" s="89" t="n">
        <v>96.50803999999999</v>
      </c>
      <c r="AM1153" s="89" t="n">
        <v>98.7</v>
      </c>
      <c r="AN1153" s="89" t="n"/>
      <c r="AO1153" s="89" t="n">
        <v>102.3024</v>
      </c>
      <c r="AP1153" s="89" t="n">
        <v>98.08365999999999</v>
      </c>
      <c r="AQ1153" s="89" t="n"/>
      <c r="AR1153" s="89" t="n"/>
      <c r="AS1153" s="89" t="n"/>
      <c r="AT1153" s="89" t="n">
        <v>98.65322999999999</v>
      </c>
      <c r="AU1153" s="89" t="n"/>
      <c r="AV1153" s="89" t="n">
        <v>100.6</v>
      </c>
      <c r="AW1153" s="89" t="n"/>
      <c r="AX1153" s="89" t="n">
        <v>95.59202999999999</v>
      </c>
      <c r="AY1153" s="89" t="n">
        <v>105.0372</v>
      </c>
    </row>
    <row r="1154">
      <c r="A1154" t="inlineStr">
        <is>
          <t>2015-01</t>
        </is>
      </c>
      <c r="B1154" s="1" t="n">
        <v>42005</v>
      </c>
      <c r="C1154" s="88" t="n">
        <v>1154</v>
      </c>
      <c r="E1154" s="1">
        <f>B1154</f>
        <v/>
      </c>
      <c r="F1154" s="2">
        <f>B1154</f>
        <v/>
      </c>
      <c r="G1154" s="88" t="n">
        <v>1152</v>
      </c>
      <c r="H1154" s="89" t="n"/>
      <c r="I1154" s="89" t="n"/>
      <c r="J1154" s="89" t="n">
        <v>101.2916</v>
      </c>
      <c r="K1154" s="89" t="n">
        <v>101.3863</v>
      </c>
      <c r="L1154" s="89" t="n"/>
      <c r="M1154" s="89" t="n">
        <v>98.28362</v>
      </c>
      <c r="N1154" s="89" t="n">
        <v>98.89176</v>
      </c>
      <c r="O1154" s="89" t="n">
        <v>97.3</v>
      </c>
      <c r="P1154" s="89" t="n">
        <v>96.85108</v>
      </c>
      <c r="Q1154" s="89" t="n"/>
      <c r="R1154" s="89" t="n">
        <v>97.40000000000001</v>
      </c>
      <c r="S1154" s="89" t="n">
        <v>99.51083</v>
      </c>
      <c r="T1154" s="89" t="n">
        <v>99.35975000000001</v>
      </c>
      <c r="U1154" s="89" t="n">
        <v>97.98568</v>
      </c>
      <c r="V1154" s="89" t="n">
        <v>97.60813</v>
      </c>
      <c r="W1154" s="89" t="n">
        <v>78.20652</v>
      </c>
      <c r="X1154" s="89" t="n">
        <v>99.28055999999999</v>
      </c>
      <c r="Y1154" s="89" t="n">
        <v>98.64169</v>
      </c>
      <c r="Z1154" s="89" t="n">
        <v>98.29181</v>
      </c>
      <c r="AA1154" s="89" t="n">
        <v>102.6914</v>
      </c>
      <c r="AB1154" s="89" t="n">
        <v>97.49187000000001</v>
      </c>
      <c r="AC1154" s="89" t="n">
        <v>100.0917</v>
      </c>
      <c r="AD1154" s="89" t="n">
        <v>96.59999999999999</v>
      </c>
      <c r="AE1154" s="89" t="n">
        <v>109.2765</v>
      </c>
      <c r="AF1154" s="89" t="n">
        <v>102.8914</v>
      </c>
      <c r="AG1154" s="89" t="n">
        <v>98.44841</v>
      </c>
      <c r="AH1154" s="89" t="n">
        <v>99.88723</v>
      </c>
      <c r="AI1154" s="89" t="n">
        <v>98.59999999999999</v>
      </c>
      <c r="AJ1154" s="89" t="n">
        <v>95.8792</v>
      </c>
      <c r="AK1154" s="89" t="n">
        <v>97.91632</v>
      </c>
      <c r="AL1154" s="89" t="n">
        <v>98.40819999999999</v>
      </c>
      <c r="AM1154" s="89" t="n">
        <v>94.7</v>
      </c>
      <c r="AN1154" s="89" t="n"/>
      <c r="AO1154" s="89" t="n">
        <v>101.7954</v>
      </c>
      <c r="AP1154" s="89" t="n">
        <v>97.7837</v>
      </c>
      <c r="AQ1154" s="89" t="n"/>
      <c r="AR1154" s="89" t="n"/>
      <c r="AS1154" s="89" t="n"/>
      <c r="AT1154" s="89" t="n">
        <v>98.10278</v>
      </c>
      <c r="AU1154" s="89" t="n"/>
      <c r="AV1154" s="89" t="n">
        <v>100.7</v>
      </c>
      <c r="AW1154" s="89" t="n"/>
      <c r="AX1154" s="89" t="n">
        <v>95.19207</v>
      </c>
      <c r="AY1154" s="89" t="n">
        <v>105.6978</v>
      </c>
    </row>
    <row r="1155">
      <c r="A1155" t="inlineStr">
        <is>
          <t>2015-02</t>
        </is>
      </c>
      <c r="B1155" s="1" t="n">
        <v>42036</v>
      </c>
      <c r="C1155" s="88" t="n">
        <v>1155</v>
      </c>
      <c r="E1155" s="1">
        <f>B1155</f>
        <v/>
      </c>
      <c r="F1155" s="2">
        <f>B1155</f>
        <v/>
      </c>
      <c r="G1155" s="88" t="n">
        <v>1153</v>
      </c>
      <c r="H1155" s="89" t="n"/>
      <c r="I1155" s="89" t="n"/>
      <c r="J1155" s="89" t="n">
        <v>97.09191</v>
      </c>
      <c r="K1155" s="89" t="n">
        <v>100.7461</v>
      </c>
      <c r="L1155" s="89" t="n"/>
      <c r="M1155" s="89" t="n">
        <v>98.88352</v>
      </c>
      <c r="N1155" s="89" t="n">
        <v>99.39172000000001</v>
      </c>
      <c r="O1155" s="89" t="n">
        <v>98.5</v>
      </c>
      <c r="P1155" s="89" t="n">
        <v>98.27208</v>
      </c>
      <c r="Q1155" s="89" t="n"/>
      <c r="R1155" s="89" t="n">
        <v>98.8</v>
      </c>
      <c r="S1155" s="89" t="n">
        <v>100.0708</v>
      </c>
      <c r="T1155" s="89" t="n">
        <v>99.98269999999999</v>
      </c>
      <c r="U1155" s="89" t="n">
        <v>101.6814</v>
      </c>
      <c r="V1155" s="89" t="n">
        <v>96.50803999999999</v>
      </c>
      <c r="W1155" s="89" t="n">
        <v>109.1091</v>
      </c>
      <c r="X1155" s="89" t="n">
        <v>101.417</v>
      </c>
      <c r="Y1155" s="89" t="n">
        <v>100.9836</v>
      </c>
      <c r="Z1155" s="89" t="n">
        <v>99.19173000000001</v>
      </c>
      <c r="AA1155" s="89" t="n">
        <v>99.79169</v>
      </c>
      <c r="AB1155" s="89" t="n">
        <v>100.4916</v>
      </c>
      <c r="AC1155" s="89" t="n">
        <v>100.2916</v>
      </c>
      <c r="AD1155" s="89" t="n">
        <v>97</v>
      </c>
      <c r="AE1155" s="89" t="n">
        <v>109.5905</v>
      </c>
      <c r="AF1155" s="89" t="n">
        <v>103.4914</v>
      </c>
      <c r="AG1155" s="89" t="n">
        <v>100.7758</v>
      </c>
      <c r="AH1155" s="89" t="n">
        <v>100.0238</v>
      </c>
      <c r="AI1155" s="89" t="n">
        <v>99.2</v>
      </c>
      <c r="AJ1155" s="89" t="n">
        <v>97.79919</v>
      </c>
      <c r="AK1155" s="89" t="n">
        <v>95.91598999999999</v>
      </c>
      <c r="AL1155" s="89" t="n">
        <v>97.00809</v>
      </c>
      <c r="AM1155" s="89" t="n">
        <v>95.8</v>
      </c>
      <c r="AN1155" s="89" t="n"/>
      <c r="AO1155" s="89" t="n">
        <v>101.2785</v>
      </c>
      <c r="AP1155" s="89" t="n">
        <v>100.1833</v>
      </c>
      <c r="AQ1155" s="89" t="n"/>
      <c r="AR1155" s="89" t="n"/>
      <c r="AS1155" s="89" t="n"/>
      <c r="AT1155" s="89" t="n">
        <v>98.94358</v>
      </c>
      <c r="AU1155" s="89" t="n"/>
      <c r="AV1155" s="89" t="n">
        <v>99.8</v>
      </c>
      <c r="AW1155" s="89" t="n"/>
      <c r="AX1155" s="89" t="n">
        <v>95.19207</v>
      </c>
      <c r="AY1155" s="89" t="n">
        <v>105.2574</v>
      </c>
    </row>
    <row r="1156">
      <c r="A1156" t="inlineStr">
        <is>
          <t>2015-03</t>
        </is>
      </c>
      <c r="B1156" s="1" t="n">
        <v>42064</v>
      </c>
      <c r="C1156" s="88" t="n">
        <v>1156</v>
      </c>
      <c r="E1156" s="1">
        <f>B1156</f>
        <v/>
      </c>
      <c r="F1156" s="2">
        <f>B1156</f>
        <v/>
      </c>
      <c r="G1156" s="88" t="n">
        <v>1154</v>
      </c>
      <c r="H1156" s="89" t="n"/>
      <c r="I1156" s="89" t="n"/>
      <c r="J1156" s="89" t="n">
        <v>100.2916</v>
      </c>
      <c r="K1156" s="89" t="n">
        <v>100.1431</v>
      </c>
      <c r="L1156" s="89" t="n"/>
      <c r="M1156" s="89" t="n">
        <v>99.18347</v>
      </c>
      <c r="N1156" s="89" t="n">
        <v>99.39172000000001</v>
      </c>
      <c r="O1156" s="89" t="n">
        <v>102.1</v>
      </c>
      <c r="P1156" s="89" t="n">
        <v>98.79707999999999</v>
      </c>
      <c r="Q1156" s="89" t="n"/>
      <c r="R1156" s="89" t="n">
        <v>100.8</v>
      </c>
      <c r="S1156" s="89" t="n">
        <v>99.82083</v>
      </c>
      <c r="T1156" s="89" t="n">
        <v>100.5018</v>
      </c>
      <c r="U1156" s="89" t="n">
        <v>101.5815</v>
      </c>
      <c r="V1156" s="89" t="n">
        <v>99.50829</v>
      </c>
      <c r="W1156" s="89" t="n">
        <v>114.8096</v>
      </c>
      <c r="X1156" s="89" t="n">
        <v>103.5515</v>
      </c>
      <c r="Y1156" s="89" t="n">
        <v>99.95316</v>
      </c>
      <c r="Z1156" s="89" t="n">
        <v>99.49171</v>
      </c>
      <c r="AA1156" s="89" t="n">
        <v>99.29173</v>
      </c>
      <c r="AB1156" s="89" t="n">
        <v>98.69177000000001</v>
      </c>
      <c r="AC1156" s="89" t="n">
        <v>99.6917</v>
      </c>
      <c r="AD1156" s="89" t="n">
        <v>101.1</v>
      </c>
      <c r="AE1156" s="89" t="n">
        <v>109.6938</v>
      </c>
      <c r="AF1156" s="89" t="n">
        <v>100.7916</v>
      </c>
      <c r="AG1156" s="89" t="n">
        <v>102.1722</v>
      </c>
      <c r="AH1156" s="89" t="n">
        <v>100.0739</v>
      </c>
      <c r="AI1156" s="89" t="n">
        <v>100.3</v>
      </c>
      <c r="AJ1156" s="89" t="n">
        <v>98.15918000000001</v>
      </c>
      <c r="AK1156" s="89" t="n">
        <v>99.01649999999999</v>
      </c>
      <c r="AL1156" s="89" t="n">
        <v>99.40828999999999</v>
      </c>
      <c r="AM1156" s="89" t="n">
        <v>96.3</v>
      </c>
      <c r="AN1156" s="89" t="n"/>
      <c r="AO1156" s="89" t="n">
        <v>100.9941</v>
      </c>
      <c r="AP1156" s="89" t="n">
        <v>100.6832</v>
      </c>
      <c r="AQ1156" s="89" t="n"/>
      <c r="AR1156" s="89" t="n"/>
      <c r="AS1156" s="89" t="n"/>
      <c r="AT1156" s="89" t="n">
        <v>98.17247</v>
      </c>
      <c r="AU1156" s="89" t="n"/>
      <c r="AV1156" s="89" t="n">
        <v>99.59999999999999</v>
      </c>
      <c r="AW1156" s="89" t="n"/>
      <c r="AX1156" s="89" t="n">
        <v>99.09174</v>
      </c>
      <c r="AY1156" s="89" t="n">
        <v>104.4866</v>
      </c>
    </row>
    <row r="1157">
      <c r="A1157" t="inlineStr">
        <is>
          <t>2015-04</t>
        </is>
      </c>
      <c r="B1157" s="1" t="n">
        <v>42095</v>
      </c>
      <c r="C1157" s="88" t="n">
        <v>1157</v>
      </c>
      <c r="E1157" s="1">
        <f>B1157</f>
        <v/>
      </c>
      <c r="F1157" s="2">
        <f>B1157</f>
        <v/>
      </c>
      <c r="G1157" s="88" t="n">
        <v>1155</v>
      </c>
      <c r="H1157" s="89" t="n"/>
      <c r="I1157" s="89" t="n"/>
      <c r="J1157" s="89" t="n">
        <v>101.6915</v>
      </c>
      <c r="K1157" s="89" t="n">
        <v>99.27606</v>
      </c>
      <c r="L1157" s="89" t="n"/>
      <c r="M1157" s="89" t="n">
        <v>99.68339</v>
      </c>
      <c r="N1157" s="89" t="n">
        <v>99.99167</v>
      </c>
      <c r="O1157" s="89" t="n">
        <v>101.1</v>
      </c>
      <c r="P1157" s="89" t="n">
        <v>99.71608000000001</v>
      </c>
      <c r="Q1157" s="89" t="n"/>
      <c r="R1157" s="89" t="n">
        <v>100.2</v>
      </c>
      <c r="S1157" s="89" t="n">
        <v>99.36082</v>
      </c>
      <c r="T1157" s="89" t="n">
        <v>100.7095</v>
      </c>
      <c r="U1157" s="89" t="n">
        <v>100.6825</v>
      </c>
      <c r="V1157" s="89" t="n">
        <v>98.80824</v>
      </c>
      <c r="W1157" s="89" t="n">
        <v>97.2081</v>
      </c>
      <c r="X1157" s="89" t="n">
        <v>107.1663</v>
      </c>
      <c r="Y1157" s="89" t="n">
        <v>98.36066</v>
      </c>
      <c r="Z1157" s="89" t="n">
        <v>99.6917</v>
      </c>
      <c r="AA1157" s="89" t="n">
        <v>99.6917</v>
      </c>
      <c r="AB1157" s="89" t="n">
        <v>99.89167999999999</v>
      </c>
      <c r="AC1157" s="89" t="n">
        <v>100.1917</v>
      </c>
      <c r="AD1157" s="89" t="n">
        <v>102.5</v>
      </c>
      <c r="AE1157" s="89" t="n">
        <v>110.4537</v>
      </c>
      <c r="AF1157" s="89" t="n">
        <v>98.59178</v>
      </c>
      <c r="AG1157" s="89" t="n">
        <v>95.30643999999999</v>
      </c>
      <c r="AH1157" s="89" t="n">
        <v>99.83271999999999</v>
      </c>
      <c r="AI1157" s="89" t="n">
        <v>97.90000000000001</v>
      </c>
      <c r="AJ1157" s="89" t="n">
        <v>99.84917</v>
      </c>
      <c r="AK1157" s="89" t="n">
        <v>97.91632</v>
      </c>
      <c r="AL1157" s="89" t="n">
        <v>98.30819</v>
      </c>
      <c r="AM1157" s="89" t="n">
        <v>100.5</v>
      </c>
      <c r="AN1157" s="89" t="n"/>
      <c r="AO1157" s="89" t="n">
        <v>100.3994</v>
      </c>
      <c r="AP1157" s="89" t="n">
        <v>99.78337000000001</v>
      </c>
      <c r="AQ1157" s="89" t="n"/>
      <c r="AR1157" s="89" t="n"/>
      <c r="AS1157" s="89" t="n"/>
      <c r="AT1157" s="89" t="n">
        <v>97.9949</v>
      </c>
      <c r="AU1157" s="89" t="n"/>
      <c r="AV1157" s="89" t="n">
        <v>99.3</v>
      </c>
      <c r="AW1157" s="89" t="n"/>
      <c r="AX1157" s="89" t="n">
        <v>99.39172000000001</v>
      </c>
      <c r="AY1157" s="89" t="n">
        <v>102.3947</v>
      </c>
    </row>
    <row r="1158">
      <c r="A1158" t="inlineStr">
        <is>
          <t>2015-05</t>
        </is>
      </c>
      <c r="B1158" s="1" t="n">
        <v>42125</v>
      </c>
      <c r="C1158" s="88" t="n">
        <v>1158</v>
      </c>
      <c r="E1158" s="1">
        <f>B1158</f>
        <v/>
      </c>
      <c r="F1158" s="2">
        <f>B1158</f>
        <v/>
      </c>
      <c r="G1158" s="88" t="n">
        <v>1156</v>
      </c>
      <c r="H1158" s="89" t="n"/>
      <c r="I1158" s="89" t="n"/>
      <c r="J1158" s="89" t="n">
        <v>101.7915</v>
      </c>
      <c r="K1158" s="89" t="n">
        <v>98.35496000000001</v>
      </c>
      <c r="L1158" s="89" t="n"/>
      <c r="M1158" s="89" t="n">
        <v>99.88334999999999</v>
      </c>
      <c r="N1158" s="89" t="n">
        <v>100.0917</v>
      </c>
      <c r="O1158" s="89" t="n">
        <v>100.8</v>
      </c>
      <c r="P1158" s="89" t="n">
        <v>100.6871</v>
      </c>
      <c r="Q1158" s="89" t="n"/>
      <c r="R1158" s="89" t="n">
        <v>99.5</v>
      </c>
      <c r="S1158" s="89" t="n">
        <v>100.2808</v>
      </c>
      <c r="T1158" s="89" t="n">
        <v>100.6056</v>
      </c>
      <c r="U1158" s="89" t="n">
        <v>95.98801</v>
      </c>
      <c r="V1158" s="89" t="n">
        <v>98.30819</v>
      </c>
      <c r="W1158" s="89" t="n">
        <v>97.10809</v>
      </c>
      <c r="X1158" s="89" t="n">
        <v>105.7428</v>
      </c>
      <c r="Y1158" s="89" t="n">
        <v>97.70492</v>
      </c>
      <c r="Z1158" s="89" t="n">
        <v>100.4916</v>
      </c>
      <c r="AA1158" s="89" t="n">
        <v>99.6917</v>
      </c>
      <c r="AB1158" s="89" t="n">
        <v>97.99184</v>
      </c>
      <c r="AC1158" s="89" t="n">
        <v>100.5916</v>
      </c>
      <c r="AD1158" s="89" t="n">
        <v>99.59999999999999</v>
      </c>
      <c r="AE1158" s="89" t="n">
        <v>108.9681</v>
      </c>
      <c r="AF1158" s="89" t="n">
        <v>97.89185000000001</v>
      </c>
      <c r="AG1158" s="89" t="n">
        <v>99.03026</v>
      </c>
      <c r="AH1158" s="89" t="n">
        <v>99.6767</v>
      </c>
      <c r="AI1158" s="89" t="n">
        <v>99.09999999999999</v>
      </c>
      <c r="AJ1158" s="89" t="n">
        <v>100.0892</v>
      </c>
      <c r="AK1158" s="89" t="n">
        <v>99.81664000000001</v>
      </c>
      <c r="AL1158" s="89" t="n">
        <v>99.70831</v>
      </c>
      <c r="AM1158" s="89" t="n">
        <v>100.9</v>
      </c>
      <c r="AN1158" s="89" t="n"/>
      <c r="AO1158" s="89" t="n">
        <v>99.96426</v>
      </c>
      <c r="AP1158" s="89" t="n">
        <v>99.98334</v>
      </c>
      <c r="AQ1158" s="89" t="n"/>
      <c r="AR1158" s="89" t="n"/>
      <c r="AS1158" s="89" t="n"/>
      <c r="AT1158" s="89" t="n">
        <v>98.89909</v>
      </c>
      <c r="AU1158" s="89" t="n"/>
      <c r="AV1158" s="89" t="n">
        <v>99.7</v>
      </c>
      <c r="AW1158" s="89" t="n"/>
      <c r="AX1158" s="89" t="n">
        <v>99.49171</v>
      </c>
      <c r="AY1158" s="89" t="n">
        <v>101.5139</v>
      </c>
    </row>
    <row r="1159">
      <c r="A1159" t="inlineStr">
        <is>
          <t>2015-06</t>
        </is>
      </c>
      <c r="B1159" s="1" t="n">
        <v>42156</v>
      </c>
      <c r="C1159" s="88" t="n">
        <v>1159</v>
      </c>
      <c r="E1159" s="1">
        <f>B1159</f>
        <v/>
      </c>
      <c r="F1159" s="2">
        <f>B1159</f>
        <v/>
      </c>
      <c r="G1159" s="88" t="n">
        <v>1157</v>
      </c>
      <c r="H1159" s="89" t="n"/>
      <c r="I1159" s="89" t="n"/>
      <c r="J1159" s="89" t="n">
        <v>98.09183</v>
      </c>
      <c r="K1159" s="89" t="n">
        <v>99.15648</v>
      </c>
      <c r="L1159" s="89" t="n"/>
      <c r="M1159" s="89" t="n">
        <v>99.98334</v>
      </c>
      <c r="N1159" s="89" t="n">
        <v>99.99167</v>
      </c>
      <c r="O1159" s="89" t="n">
        <v>105.2</v>
      </c>
      <c r="P1159" s="89" t="n">
        <v>101.1891</v>
      </c>
      <c r="Q1159" s="89" t="n"/>
      <c r="R1159" s="89" t="n">
        <v>101.4</v>
      </c>
      <c r="S1159" s="89" t="n">
        <v>100.1508</v>
      </c>
      <c r="T1159" s="89" t="n">
        <v>100.7095</v>
      </c>
      <c r="U1159" s="89" t="n">
        <v>95.08907000000001</v>
      </c>
      <c r="V1159" s="89" t="n">
        <v>100.2084</v>
      </c>
      <c r="W1159" s="89" t="n">
        <v>101.8085</v>
      </c>
      <c r="X1159" s="89" t="n">
        <v>105.0269</v>
      </c>
      <c r="Y1159" s="89" t="n">
        <v>99.95316</v>
      </c>
      <c r="Z1159" s="89" t="n">
        <v>99.99167</v>
      </c>
      <c r="AA1159" s="89" t="n">
        <v>100.4916</v>
      </c>
      <c r="AB1159" s="89" t="n">
        <v>99.99167</v>
      </c>
      <c r="AC1159" s="89" t="n">
        <v>99.09174</v>
      </c>
      <c r="AD1159" s="89" t="n">
        <v>98.90000000000001</v>
      </c>
      <c r="AE1159" s="89" t="n">
        <v>109.4337</v>
      </c>
      <c r="AF1159" s="89" t="n">
        <v>100.6916</v>
      </c>
      <c r="AG1159" s="89" t="n">
        <v>102.5213</v>
      </c>
      <c r="AH1159" s="89" t="n">
        <v>100.0079</v>
      </c>
      <c r="AI1159" s="89" t="n">
        <v>99.59999999999999</v>
      </c>
      <c r="AJ1159" s="89" t="n">
        <v>100.5992</v>
      </c>
      <c r="AK1159" s="89" t="n">
        <v>99.91665999999999</v>
      </c>
      <c r="AL1159" s="89" t="n">
        <v>100.4084</v>
      </c>
      <c r="AM1159" s="89" t="n">
        <v>100.6</v>
      </c>
      <c r="AN1159" s="89" t="n"/>
      <c r="AO1159" s="89" t="n">
        <v>99.62155</v>
      </c>
      <c r="AP1159" s="89" t="n">
        <v>100.2833</v>
      </c>
      <c r="AQ1159" s="89" t="n"/>
      <c r="AR1159" s="89" t="n"/>
      <c r="AS1159" s="89" t="n"/>
      <c r="AT1159" s="89" t="n">
        <v>99.19999</v>
      </c>
      <c r="AU1159" s="89" t="n"/>
      <c r="AV1159" s="89" t="n">
        <v>99.8</v>
      </c>
      <c r="AW1159" s="89" t="n"/>
      <c r="AX1159" s="89" t="n">
        <v>100.3916</v>
      </c>
      <c r="AY1159" s="89" t="n">
        <v>100.4129</v>
      </c>
    </row>
    <row r="1160">
      <c r="A1160" t="inlineStr">
        <is>
          <t>2015-07</t>
        </is>
      </c>
      <c r="B1160" s="1" t="n">
        <v>42186</v>
      </c>
      <c r="C1160" s="88" t="n">
        <v>1160</v>
      </c>
      <c r="E1160" s="1">
        <f>B1160</f>
        <v/>
      </c>
      <c r="F1160" s="2">
        <f>B1160</f>
        <v/>
      </c>
      <c r="G1160" s="88" t="n">
        <v>1158</v>
      </c>
      <c r="H1160" s="89" t="n"/>
      <c r="I1160" s="89" t="n"/>
      <c r="J1160" s="89" t="n">
        <v>98.79177</v>
      </c>
      <c r="K1160" s="89" t="n">
        <v>100.6175</v>
      </c>
      <c r="L1160" s="89" t="n"/>
      <c r="M1160" s="89" t="n">
        <v>102.8829</v>
      </c>
      <c r="N1160" s="89" t="n">
        <v>101.3915</v>
      </c>
      <c r="O1160" s="89" t="n">
        <v>100.1</v>
      </c>
      <c r="P1160" s="89" t="n">
        <v>102.3001</v>
      </c>
      <c r="Q1160" s="89" t="n"/>
      <c r="R1160" s="89" t="n">
        <v>99.3</v>
      </c>
      <c r="S1160" s="89" t="n">
        <v>99.14082000000001</v>
      </c>
      <c r="T1160" s="89" t="n">
        <v>99.56740000000001</v>
      </c>
      <c r="U1160" s="89" t="n">
        <v>97.48627</v>
      </c>
      <c r="V1160" s="89" t="n">
        <v>101.3084</v>
      </c>
      <c r="W1160" s="89" t="n">
        <v>101.1084</v>
      </c>
      <c r="X1160" s="89" t="n">
        <v>100.2263</v>
      </c>
      <c r="Y1160" s="89" t="n">
        <v>96.95551</v>
      </c>
      <c r="Z1160" s="89" t="n">
        <v>100.9916</v>
      </c>
      <c r="AA1160" s="89" t="n">
        <v>100.3916</v>
      </c>
      <c r="AB1160" s="89" t="n">
        <v>98.99175</v>
      </c>
      <c r="AC1160" s="89" t="n">
        <v>98.69177000000001</v>
      </c>
      <c r="AD1160" s="89" t="n">
        <v>101.5</v>
      </c>
      <c r="AE1160" s="89" t="n">
        <v>109.8766</v>
      </c>
      <c r="AF1160" s="89" t="n">
        <v>100.4916</v>
      </c>
      <c r="AG1160" s="89" t="n">
        <v>99.26299</v>
      </c>
      <c r="AH1160" s="89" t="n">
        <v>100.3694</v>
      </c>
      <c r="AI1160" s="89" t="n">
        <v>100.7</v>
      </c>
      <c r="AJ1160" s="89" t="n">
        <v>103.4991</v>
      </c>
      <c r="AK1160" s="89" t="n">
        <v>103.7173</v>
      </c>
      <c r="AL1160" s="89" t="n">
        <v>99.30826999999999</v>
      </c>
      <c r="AM1160" s="89" t="n">
        <v>97.90000000000001</v>
      </c>
      <c r="AN1160" s="89" t="n"/>
      <c r="AO1160" s="89" t="n">
        <v>100.2045</v>
      </c>
      <c r="AP1160" s="89" t="n">
        <v>100.8832</v>
      </c>
      <c r="AQ1160" s="89" t="n"/>
      <c r="AR1160" s="89" t="n"/>
      <c r="AS1160" s="89" t="n"/>
      <c r="AT1160" s="89" t="n">
        <v>100.0337</v>
      </c>
      <c r="AU1160" s="89" t="n"/>
      <c r="AV1160" s="89" t="n">
        <v>100.2</v>
      </c>
      <c r="AW1160" s="89" t="n"/>
      <c r="AX1160" s="89" t="n">
        <v>99.79169</v>
      </c>
      <c r="AY1160" s="89" t="n">
        <v>98.54115</v>
      </c>
    </row>
    <row r="1161">
      <c r="A1161" t="inlineStr">
        <is>
          <t>2015-08</t>
        </is>
      </c>
      <c r="B1161" s="1" t="n">
        <v>42217</v>
      </c>
      <c r="C1161" s="88" t="n">
        <v>1161</v>
      </c>
      <c r="E1161" s="1">
        <f>B1161</f>
        <v/>
      </c>
      <c r="F1161" s="2">
        <f>B1161</f>
        <v/>
      </c>
      <c r="G1161" s="88" t="n">
        <v>1159</v>
      </c>
      <c r="H1161" s="89" t="n"/>
      <c r="I1161" s="89" t="n"/>
      <c r="J1161" s="89" t="n">
        <v>97.99184</v>
      </c>
      <c r="K1161" s="89" t="n">
        <v>101.7066</v>
      </c>
      <c r="L1161" s="89" t="n"/>
      <c r="M1161" s="89" t="n">
        <v>100.6832</v>
      </c>
      <c r="N1161" s="89" t="n">
        <v>98.69177000000001</v>
      </c>
      <c r="O1161" s="89" t="n">
        <v>103.5</v>
      </c>
      <c r="P1161" s="89" t="n">
        <v>99.45208</v>
      </c>
      <c r="Q1161" s="89" t="n"/>
      <c r="R1161" s="89" t="n">
        <v>100</v>
      </c>
      <c r="S1161" s="89" t="n">
        <v>99.96083</v>
      </c>
      <c r="T1161" s="89" t="n">
        <v>99.87887000000001</v>
      </c>
      <c r="U1161" s="89" t="n">
        <v>100.7824</v>
      </c>
      <c r="V1161" s="89" t="n">
        <v>97.60813</v>
      </c>
      <c r="W1161" s="89" t="n">
        <v>110.7092</v>
      </c>
      <c r="X1161" s="89" t="n">
        <v>96.24937</v>
      </c>
      <c r="Y1161" s="89" t="n">
        <v>99.11006999999999</v>
      </c>
      <c r="Z1161" s="89" t="n">
        <v>98.89176</v>
      </c>
      <c r="AA1161" s="89" t="n">
        <v>98.79177</v>
      </c>
      <c r="AB1161" s="89" t="n">
        <v>101.5915</v>
      </c>
      <c r="AC1161" s="89" t="n">
        <v>101.3915</v>
      </c>
      <c r="AD1161" s="89" t="n">
        <v>101.5</v>
      </c>
      <c r="AE1161" s="89" t="n">
        <v>110.3098</v>
      </c>
      <c r="AF1161" s="89" t="n">
        <v>96.99191999999999</v>
      </c>
      <c r="AG1161" s="89" t="n">
        <v>102.0559</v>
      </c>
      <c r="AH1161" s="89" t="n">
        <v>100.0796</v>
      </c>
      <c r="AI1161" s="89" t="n">
        <v>98.5</v>
      </c>
      <c r="AJ1161" s="89" t="n">
        <v>98.25918</v>
      </c>
      <c r="AK1161" s="89" t="n">
        <v>96.71612</v>
      </c>
      <c r="AL1161" s="89" t="n">
        <v>99.80831999999999</v>
      </c>
      <c r="AM1161" s="89" t="n">
        <v>104</v>
      </c>
      <c r="AN1161" s="89" t="n"/>
      <c r="AO1161" s="89" t="n">
        <v>100.0487</v>
      </c>
      <c r="AP1161" s="89" t="n">
        <v>99.88334999999999</v>
      </c>
      <c r="AQ1161" s="89" t="n"/>
      <c r="AR1161" s="89" t="n"/>
      <c r="AS1161" s="89" t="n"/>
      <c r="AT1161" s="89" t="n">
        <v>101.4412</v>
      </c>
      <c r="AU1161" s="89" t="n"/>
      <c r="AV1161" s="89" t="n">
        <v>100.8</v>
      </c>
      <c r="AW1161" s="89" t="n"/>
      <c r="AX1161" s="89" t="n">
        <v>102.5915</v>
      </c>
      <c r="AY1161" s="89" t="n">
        <v>99.42197</v>
      </c>
    </row>
    <row r="1162">
      <c r="A1162" t="inlineStr">
        <is>
          <t>2015-09</t>
        </is>
      </c>
      <c r="B1162" s="1" t="n">
        <v>42248</v>
      </c>
      <c r="C1162" s="88" t="n">
        <v>1162</v>
      </c>
      <c r="E1162" s="1">
        <f>B1162</f>
        <v/>
      </c>
      <c r="F1162" s="2">
        <f>B1162</f>
        <v/>
      </c>
      <c r="G1162" s="88" t="n">
        <v>1160</v>
      </c>
      <c r="H1162" s="89" t="n"/>
      <c r="I1162" s="89" t="n"/>
      <c r="J1162" s="89" t="n">
        <v>101.1916</v>
      </c>
      <c r="K1162" s="89" t="n">
        <v>99.55001</v>
      </c>
      <c r="L1162" s="89" t="n"/>
      <c r="M1162" s="89" t="n">
        <v>99.78337000000001</v>
      </c>
      <c r="N1162" s="89" t="n">
        <v>99.29173</v>
      </c>
      <c r="O1162" s="89" t="n">
        <v>99.8</v>
      </c>
      <c r="P1162" s="89" t="n">
        <v>101.2561</v>
      </c>
      <c r="Q1162" s="89" t="n"/>
      <c r="R1162" s="89" t="n">
        <v>101.6</v>
      </c>
      <c r="S1162" s="89" t="n">
        <v>101.1508</v>
      </c>
      <c r="T1162" s="89" t="n">
        <v>100.5018</v>
      </c>
      <c r="U1162" s="89" t="n">
        <v>100.3829</v>
      </c>
      <c r="V1162" s="89" t="n">
        <v>101.5085</v>
      </c>
      <c r="W1162" s="89" t="n">
        <v>99.50829</v>
      </c>
      <c r="X1162" s="89" t="n">
        <v>93.74108</v>
      </c>
      <c r="Y1162" s="89" t="n">
        <v>98.26698</v>
      </c>
      <c r="Z1162" s="89" t="n">
        <v>99.89167999999999</v>
      </c>
      <c r="AA1162" s="89" t="n">
        <v>100.4916</v>
      </c>
      <c r="AB1162" s="89" t="n">
        <v>103.0914</v>
      </c>
      <c r="AC1162" s="89" t="n">
        <v>99.19173000000001</v>
      </c>
      <c r="AD1162" s="89" t="n">
        <v>100.8</v>
      </c>
      <c r="AE1162" s="89" t="n">
        <v>110.8694</v>
      </c>
      <c r="AF1162" s="89" t="n">
        <v>98.59178</v>
      </c>
      <c r="AG1162" s="89" t="n">
        <v>105.4306</v>
      </c>
      <c r="AH1162" s="89" t="n">
        <v>100.5092</v>
      </c>
      <c r="AI1162" s="89" t="n">
        <v>100.7</v>
      </c>
      <c r="AJ1162" s="89" t="n">
        <v>101.4992</v>
      </c>
      <c r="AK1162" s="89" t="n">
        <v>101.917</v>
      </c>
      <c r="AL1162" s="89" t="n">
        <v>100.1083</v>
      </c>
      <c r="AM1162" s="89" t="n">
        <v>103.1</v>
      </c>
      <c r="AN1162" s="89" t="n"/>
      <c r="AO1162" s="89" t="n">
        <v>99.6786</v>
      </c>
      <c r="AP1162" s="89" t="n">
        <v>100.1833</v>
      </c>
      <c r="AQ1162" s="89" t="n"/>
      <c r="AR1162" s="89" t="n"/>
      <c r="AS1162" s="89" t="n"/>
      <c r="AT1162" s="89" t="n">
        <v>100.7634</v>
      </c>
      <c r="AU1162" s="89" t="n"/>
      <c r="AV1162" s="89" t="n">
        <v>100.1</v>
      </c>
      <c r="AW1162" s="89" t="n"/>
      <c r="AX1162" s="89" t="n">
        <v>102.6914</v>
      </c>
      <c r="AY1162" s="89" t="n">
        <v>97.10983</v>
      </c>
    </row>
    <row r="1163">
      <c r="A1163" t="inlineStr">
        <is>
          <t>2015-10</t>
        </is>
      </c>
      <c r="B1163" s="1" t="n">
        <v>42278</v>
      </c>
      <c r="C1163" s="88" t="n">
        <v>1163</v>
      </c>
      <c r="E1163" s="1">
        <f>B1163</f>
        <v/>
      </c>
      <c r="F1163" s="2">
        <f>B1163</f>
        <v/>
      </c>
      <c r="G1163" s="88" t="n">
        <v>1161</v>
      </c>
      <c r="H1163" s="89" t="n"/>
      <c r="I1163" s="89" t="n"/>
      <c r="J1163" s="89" t="n">
        <v>101.6915</v>
      </c>
      <c r="K1163" s="89" t="n">
        <v>99.32662000000001</v>
      </c>
      <c r="L1163" s="89" t="n"/>
      <c r="M1163" s="89" t="n">
        <v>102.183</v>
      </c>
      <c r="N1163" s="89" t="n">
        <v>100.1917</v>
      </c>
      <c r="O1163" s="89" t="n">
        <v>96.8</v>
      </c>
      <c r="P1163" s="89" t="n">
        <v>100.8791</v>
      </c>
      <c r="Q1163" s="89" t="n"/>
      <c r="R1163" s="89" t="n">
        <v>99.90000000000001</v>
      </c>
      <c r="S1163" s="89" t="n">
        <v>101.5608</v>
      </c>
      <c r="T1163" s="89" t="n">
        <v>100.1903</v>
      </c>
      <c r="U1163" s="89" t="n">
        <v>99.58382</v>
      </c>
      <c r="V1163" s="89" t="n">
        <v>102.1085</v>
      </c>
      <c r="W1163" s="89" t="n">
        <v>93.40778</v>
      </c>
      <c r="X1163" s="89" t="n">
        <v>92.87555999999999</v>
      </c>
      <c r="Y1163" s="89" t="n">
        <v>98.45433</v>
      </c>
      <c r="Z1163" s="89" t="n">
        <v>99.99167</v>
      </c>
      <c r="AA1163" s="89" t="n">
        <v>100.5916</v>
      </c>
      <c r="AB1163" s="89" t="n">
        <v>101.2916</v>
      </c>
      <c r="AC1163" s="89" t="n">
        <v>100.3916</v>
      </c>
      <c r="AD1163" s="89" t="n">
        <v>100.7</v>
      </c>
      <c r="AE1163" s="89" t="n">
        <v>110.0128</v>
      </c>
      <c r="AF1163" s="89" t="n">
        <v>100.8916</v>
      </c>
      <c r="AG1163" s="89" t="n">
        <v>100.1939</v>
      </c>
      <c r="AH1163" s="89" t="n">
        <v>100.271</v>
      </c>
      <c r="AI1163" s="89" t="n">
        <v>101.5</v>
      </c>
      <c r="AJ1163" s="89" t="n">
        <v>104.2391</v>
      </c>
      <c r="AK1163" s="89" t="n">
        <v>101.6169</v>
      </c>
      <c r="AL1163" s="89" t="n">
        <v>99.20827</v>
      </c>
      <c r="AM1163" s="89" t="n">
        <v>102.9</v>
      </c>
      <c r="AN1163" s="89" t="n"/>
      <c r="AO1163" s="89" t="n">
        <v>99.31438</v>
      </c>
      <c r="AP1163" s="89" t="n">
        <v>100.2833</v>
      </c>
      <c r="AQ1163" s="89" t="n"/>
      <c r="AR1163" s="89" t="n"/>
      <c r="AS1163" s="89" t="n"/>
      <c r="AT1163" s="89" t="n">
        <v>103.6511</v>
      </c>
      <c r="AU1163" s="89" t="n"/>
      <c r="AV1163" s="89" t="n">
        <v>100.6</v>
      </c>
      <c r="AW1163" s="89" t="n"/>
      <c r="AX1163" s="89" t="n">
        <v>100.2916</v>
      </c>
      <c r="AY1163" s="89" t="n">
        <v>96.88963</v>
      </c>
    </row>
    <row r="1164">
      <c r="A1164" t="inlineStr">
        <is>
          <t>2015-11</t>
        </is>
      </c>
      <c r="B1164" s="1" t="n">
        <v>42309</v>
      </c>
      <c r="C1164" s="88" t="n">
        <v>1164</v>
      </c>
      <c r="E1164" s="1">
        <f>B1164</f>
        <v/>
      </c>
      <c r="F1164" s="2">
        <f>B1164</f>
        <v/>
      </c>
      <c r="G1164" s="88" t="n">
        <v>1162</v>
      </c>
      <c r="H1164" s="89" t="n"/>
      <c r="I1164" s="89" t="n"/>
      <c r="J1164" s="89" t="n">
        <v>100.7916</v>
      </c>
      <c r="K1164" s="89" t="n">
        <v>99.64552</v>
      </c>
      <c r="L1164" s="89" t="n"/>
      <c r="M1164" s="89" t="n">
        <v>99.88334999999999</v>
      </c>
      <c r="N1164" s="89" t="n">
        <v>99.29173</v>
      </c>
      <c r="O1164" s="89" t="n">
        <v>95.59999999999999</v>
      </c>
      <c r="P1164" s="89" t="n">
        <v>100.2771</v>
      </c>
      <c r="Q1164" s="89" t="n"/>
      <c r="R1164" s="89" t="n">
        <v>98.7</v>
      </c>
      <c r="S1164" s="89" t="n">
        <v>99.36082</v>
      </c>
      <c r="T1164" s="89" t="n">
        <v>99.25593000000001</v>
      </c>
      <c r="U1164" s="89" t="n">
        <v>102.88</v>
      </c>
      <c r="V1164" s="89" t="n">
        <v>101.5085</v>
      </c>
      <c r="W1164" s="89" t="n">
        <v>95.20793</v>
      </c>
      <c r="X1164" s="89" t="n">
        <v>95.57133</v>
      </c>
      <c r="Y1164" s="89" t="n">
        <v>105.2927</v>
      </c>
      <c r="Z1164" s="89" t="n">
        <v>100.5916</v>
      </c>
      <c r="AA1164" s="89" t="n">
        <v>99.99167</v>
      </c>
      <c r="AB1164" s="89" t="n">
        <v>100.3916</v>
      </c>
      <c r="AC1164" s="89" t="n">
        <v>101.2916</v>
      </c>
      <c r="AD1164" s="89" t="n">
        <v>100.4</v>
      </c>
      <c r="AE1164" s="89" t="n">
        <v>109.2308</v>
      </c>
      <c r="AF1164" s="89" t="n">
        <v>101.0916</v>
      </c>
      <c r="AG1164" s="89" t="n">
        <v>99.03026</v>
      </c>
      <c r="AH1164" s="89" t="n">
        <v>99.81867</v>
      </c>
      <c r="AI1164" s="89" t="n">
        <v>101.9</v>
      </c>
      <c r="AJ1164" s="89" t="n">
        <v>99.79917</v>
      </c>
      <c r="AK1164" s="89" t="n">
        <v>103.3172</v>
      </c>
      <c r="AL1164" s="89" t="n">
        <v>100.3084</v>
      </c>
      <c r="AM1164" s="89" t="n">
        <v>102.5</v>
      </c>
      <c r="AN1164" s="89" t="n"/>
      <c r="AO1164" s="89" t="n">
        <v>98.63145</v>
      </c>
      <c r="AP1164" s="89" t="n">
        <v>99.78337000000001</v>
      </c>
      <c r="AQ1164" s="89" t="n"/>
      <c r="AR1164" s="89" t="n"/>
      <c r="AS1164" s="89" t="n"/>
      <c r="AT1164" s="89" t="n">
        <v>101.6501</v>
      </c>
      <c r="AU1164" s="89" t="n"/>
      <c r="AV1164" s="89" t="n">
        <v>100.1</v>
      </c>
      <c r="AW1164" s="89" t="n"/>
      <c r="AX1164" s="89" t="n">
        <v>102.4915</v>
      </c>
      <c r="AY1164" s="89" t="n">
        <v>95.12799</v>
      </c>
    </row>
    <row r="1165">
      <c r="A1165" t="inlineStr">
        <is>
          <t>2015-12</t>
        </is>
      </c>
      <c r="B1165" s="1" t="n">
        <v>42339</v>
      </c>
      <c r="C1165" s="88" t="n">
        <v>1165</v>
      </c>
      <c r="E1165" s="1">
        <f>B1165</f>
        <v/>
      </c>
      <c r="F1165" s="2">
        <f>B1165</f>
        <v/>
      </c>
      <c r="G1165" s="88" t="n">
        <v>1163</v>
      </c>
      <c r="H1165" s="89" t="n"/>
      <c r="I1165" s="89" t="n"/>
      <c r="J1165" s="89" t="n">
        <v>99.39172000000001</v>
      </c>
      <c r="K1165" s="89" t="n">
        <v>100.0907</v>
      </c>
      <c r="L1165" s="89" t="n"/>
      <c r="M1165" s="89" t="n">
        <v>99.38343999999999</v>
      </c>
      <c r="N1165" s="89" t="n">
        <v>100.0917</v>
      </c>
      <c r="O1165" s="89" t="n">
        <v>99.2</v>
      </c>
      <c r="P1165" s="89" t="n">
        <v>100.3251</v>
      </c>
      <c r="Q1165" s="89" t="n"/>
      <c r="R1165" s="89" t="n">
        <v>102.4</v>
      </c>
      <c r="S1165" s="89" t="n">
        <v>99.65083</v>
      </c>
      <c r="T1165" s="89" t="n">
        <v>98.63298</v>
      </c>
      <c r="U1165" s="89" t="n">
        <v>105.8765</v>
      </c>
      <c r="V1165" s="89" t="n">
        <v>100.7084</v>
      </c>
      <c r="W1165" s="89" t="n">
        <v>101.6085</v>
      </c>
      <c r="X1165" s="89" t="n">
        <v>99.15125</v>
      </c>
      <c r="Y1165" s="89" t="n">
        <v>101.6393</v>
      </c>
      <c r="Z1165" s="89" t="n">
        <v>98.69177000000001</v>
      </c>
      <c r="AA1165" s="89" t="n">
        <v>98.09183</v>
      </c>
      <c r="AB1165" s="89" t="n">
        <v>99.89167999999999</v>
      </c>
      <c r="AC1165" s="89" t="n">
        <v>98.89176</v>
      </c>
      <c r="AD1165" s="89" t="n">
        <v>99.59999999999999</v>
      </c>
      <c r="AE1165" s="89" t="n">
        <v>109.7463</v>
      </c>
      <c r="AF1165" s="89" t="n">
        <v>98.3918</v>
      </c>
      <c r="AG1165" s="89" t="n">
        <v>98.91388999999999</v>
      </c>
      <c r="AH1165" s="89" t="n">
        <v>99.44987999999999</v>
      </c>
      <c r="AI1165" s="89" t="n">
        <v>102.1</v>
      </c>
      <c r="AJ1165" s="89" t="n">
        <v>100.3092</v>
      </c>
      <c r="AK1165" s="89" t="n">
        <v>102.117</v>
      </c>
      <c r="AL1165" s="89" t="n">
        <v>98.60822</v>
      </c>
      <c r="AM1165" s="89" t="n">
        <v>100.8</v>
      </c>
      <c r="AN1165" s="89" t="n"/>
      <c r="AO1165" s="89" t="n">
        <v>98.06937000000001</v>
      </c>
      <c r="AP1165" s="89" t="n">
        <v>99.88334999999999</v>
      </c>
      <c r="AQ1165" s="89" t="n"/>
      <c r="AR1165" s="89" t="n"/>
      <c r="AS1165" s="89" t="n"/>
      <c r="AT1165" s="89" t="n">
        <v>102.1286</v>
      </c>
      <c r="AU1165" s="89" t="n"/>
      <c r="AV1165" s="89" t="n">
        <v>99.7</v>
      </c>
      <c r="AW1165" s="89" t="n"/>
      <c r="AX1165" s="89" t="n">
        <v>103.2914</v>
      </c>
      <c r="AY1165" s="89" t="n">
        <v>93.36636</v>
      </c>
    </row>
    <row r="1166">
      <c r="A1166" t="inlineStr">
        <is>
          <t>2016-01</t>
        </is>
      </c>
      <c r="B1166" s="1" t="n">
        <v>42370</v>
      </c>
      <c r="C1166" s="88" t="n">
        <v>1166</v>
      </c>
      <c r="E1166" s="1">
        <f>B1166</f>
        <v/>
      </c>
      <c r="F1166" s="2">
        <f>B1166</f>
        <v/>
      </c>
      <c r="G1166" s="88" t="n">
        <v>1164</v>
      </c>
      <c r="H1166" s="89" t="n"/>
      <c r="I1166" s="89" t="n"/>
      <c r="J1166" s="89" t="n">
        <v>104.9912</v>
      </c>
      <c r="K1166" s="89" t="n">
        <v>100.698</v>
      </c>
      <c r="L1166" s="89" t="n"/>
      <c r="M1166" s="89" t="n">
        <v>102.283</v>
      </c>
      <c r="N1166" s="89" t="n">
        <v>101.9915</v>
      </c>
      <c r="O1166" s="89" t="n">
        <v>104.6</v>
      </c>
      <c r="P1166" s="89" t="n">
        <v>101.9911</v>
      </c>
      <c r="Q1166" s="89" t="n"/>
      <c r="R1166" s="89" t="n">
        <v>100.4</v>
      </c>
      <c r="S1166" s="89" t="n">
        <v>101.7108</v>
      </c>
      <c r="T1166" s="89" t="n">
        <v>99.46357999999999</v>
      </c>
      <c r="U1166" s="89" t="n">
        <v>102.0809</v>
      </c>
      <c r="V1166" s="89" t="n">
        <v>99.80831999999999</v>
      </c>
      <c r="W1166" s="89" t="n">
        <v>118.0098</v>
      </c>
      <c r="X1166" s="89" t="n">
        <v>94.68015</v>
      </c>
      <c r="Y1166" s="89" t="n">
        <v>99.48478</v>
      </c>
      <c r="Z1166" s="89" t="n">
        <v>101.6915</v>
      </c>
      <c r="AA1166" s="89" t="n">
        <v>100.2916</v>
      </c>
      <c r="AB1166" s="89" t="n">
        <v>98.69177000000001</v>
      </c>
      <c r="AC1166" s="89" t="n">
        <v>100.0917</v>
      </c>
      <c r="AD1166" s="89" t="n">
        <v>102.7</v>
      </c>
      <c r="AE1166" s="89" t="n">
        <v>110.083</v>
      </c>
      <c r="AF1166" s="89" t="n">
        <v>100.6916</v>
      </c>
      <c r="AG1166" s="89" t="n">
        <v>99.49574</v>
      </c>
      <c r="AH1166" s="89" t="n">
        <v>100.646</v>
      </c>
      <c r="AI1166" s="89" t="n">
        <v>101.9</v>
      </c>
      <c r="AJ1166" s="89" t="n">
        <v>100.6492</v>
      </c>
      <c r="AK1166" s="89" t="n">
        <v>103.9173</v>
      </c>
      <c r="AL1166" s="89" t="n">
        <v>106.2088</v>
      </c>
      <c r="AM1166" s="89" t="n">
        <v>101.4</v>
      </c>
      <c r="AN1166" s="89" t="n"/>
      <c r="AO1166" s="89" t="n">
        <v>98.88686</v>
      </c>
      <c r="AP1166" s="89" t="n">
        <v>102.8829</v>
      </c>
      <c r="AQ1166" s="89" t="n"/>
      <c r="AR1166" s="89" t="n"/>
      <c r="AS1166" s="89" t="n"/>
      <c r="AT1166" s="89" t="n">
        <v>102.5269</v>
      </c>
      <c r="AU1166" s="89" t="n"/>
      <c r="AV1166" s="89" t="n">
        <v>99.90000000000001</v>
      </c>
      <c r="AW1166" s="89" t="n"/>
      <c r="AX1166" s="89" t="n">
        <v>102.5915</v>
      </c>
      <c r="AY1166" s="89" t="n">
        <v>94.79769</v>
      </c>
    </row>
    <row r="1167">
      <c r="A1167" t="inlineStr">
        <is>
          <t>2016-02</t>
        </is>
      </c>
      <c r="B1167" s="1" t="n">
        <v>42401</v>
      </c>
      <c r="C1167" s="88" t="n">
        <v>1167</v>
      </c>
      <c r="E1167" s="1">
        <f>B1167</f>
        <v/>
      </c>
      <c r="F1167" s="2">
        <f>B1167</f>
        <v/>
      </c>
      <c r="G1167" s="88" t="n">
        <v>1165</v>
      </c>
      <c r="H1167" s="89" t="n"/>
      <c r="I1167" s="89" t="n"/>
      <c r="J1167" s="89" t="n">
        <v>101.8915</v>
      </c>
      <c r="K1167" s="89" t="n">
        <v>99.7734</v>
      </c>
      <c r="L1167" s="89" t="n"/>
      <c r="M1167" s="89" t="n">
        <v>102.9828</v>
      </c>
      <c r="N1167" s="89" t="n">
        <v>101.6915</v>
      </c>
      <c r="O1167" s="89" t="n">
        <v>100</v>
      </c>
      <c r="P1167" s="89" t="n">
        <v>100.8991</v>
      </c>
      <c r="Q1167" s="89" t="n"/>
      <c r="R1167" s="89" t="n">
        <v>102.4</v>
      </c>
      <c r="S1167" s="89" t="n">
        <v>100.6008</v>
      </c>
      <c r="T1167" s="89" t="n">
        <v>98.94445</v>
      </c>
      <c r="U1167" s="89" t="n">
        <v>98.38522</v>
      </c>
      <c r="V1167" s="89" t="n">
        <v>98.10818</v>
      </c>
      <c r="W1167" s="89" t="n">
        <v>94.10784</v>
      </c>
      <c r="X1167" s="89" t="n">
        <v>90.75861</v>
      </c>
      <c r="Y1167" s="89" t="n">
        <v>98.1733</v>
      </c>
      <c r="Z1167" s="89" t="n">
        <v>100.4916</v>
      </c>
      <c r="AA1167" s="89" t="n">
        <v>99.49171</v>
      </c>
      <c r="AB1167" s="89" t="n">
        <v>101.1916</v>
      </c>
      <c r="AC1167" s="89" t="n">
        <v>101.6915</v>
      </c>
      <c r="AD1167" s="89" t="n">
        <v>98.7</v>
      </c>
      <c r="AE1167" s="89" t="n">
        <v>110.0072</v>
      </c>
      <c r="AF1167" s="89" t="n">
        <v>101.4915</v>
      </c>
      <c r="AG1167" s="89" t="n">
        <v>99.49574</v>
      </c>
      <c r="AH1167" s="89" t="n">
        <v>100.0578</v>
      </c>
      <c r="AI1167" s="89" t="n">
        <v>101.6</v>
      </c>
      <c r="AJ1167" s="89" t="n">
        <v>102.3092</v>
      </c>
      <c r="AK1167" s="89" t="n">
        <v>105.8176</v>
      </c>
      <c r="AL1167" s="89" t="n">
        <v>107.409</v>
      </c>
      <c r="AM1167" s="89" t="n">
        <v>101.5</v>
      </c>
      <c r="AN1167" s="89" t="n"/>
      <c r="AO1167" s="89" t="n">
        <v>98.18568</v>
      </c>
      <c r="AP1167" s="89" t="n">
        <v>100.8832</v>
      </c>
      <c r="AQ1167" s="89" t="n"/>
      <c r="AR1167" s="89" t="n"/>
      <c r="AS1167" s="89" t="n"/>
      <c r="AT1167" s="89" t="n">
        <v>102.2902</v>
      </c>
      <c r="AU1167" s="89" t="n"/>
      <c r="AV1167" s="89" t="n">
        <v>99.7</v>
      </c>
      <c r="AW1167" s="89" t="n"/>
      <c r="AX1167" s="89" t="n">
        <v>103.6914</v>
      </c>
      <c r="AY1167" s="89" t="n">
        <v>93.58656999999999</v>
      </c>
    </row>
    <row r="1168">
      <c r="A1168" t="inlineStr">
        <is>
          <t>2016-03</t>
        </is>
      </c>
      <c r="B1168" s="1" t="n">
        <v>42430</v>
      </c>
      <c r="C1168" s="88" t="n">
        <v>1168</v>
      </c>
      <c r="E1168" s="1">
        <f>B1168</f>
        <v/>
      </c>
      <c r="F1168" s="2">
        <f>B1168</f>
        <v/>
      </c>
      <c r="G1168" s="88" t="n">
        <v>1166</v>
      </c>
      <c r="H1168" s="89" t="n"/>
      <c r="I1168" s="89" t="n"/>
      <c r="J1168" s="89" t="n">
        <v>103.6914</v>
      </c>
      <c r="K1168" s="89" t="n">
        <v>98.75678000000001</v>
      </c>
      <c r="L1168" s="89" t="n"/>
      <c r="M1168" s="89" t="n">
        <v>102.6829</v>
      </c>
      <c r="N1168" s="89" t="n">
        <v>100.4916</v>
      </c>
      <c r="O1168" s="89" t="n">
        <v>103.6</v>
      </c>
      <c r="P1168" s="89" t="n">
        <v>102.2761</v>
      </c>
      <c r="Q1168" s="89" t="n"/>
      <c r="R1168" s="89" t="n">
        <v>100.3</v>
      </c>
      <c r="S1168" s="89" t="n">
        <v>100.1208</v>
      </c>
      <c r="T1168" s="89" t="n">
        <v>99.87887000000001</v>
      </c>
      <c r="U1168" s="89" t="n">
        <v>99.78358</v>
      </c>
      <c r="V1168" s="89" t="n">
        <v>96.70806</v>
      </c>
      <c r="W1168" s="89" t="n">
        <v>93.80782000000001</v>
      </c>
      <c r="X1168" s="89" t="n">
        <v>88.77777</v>
      </c>
      <c r="Y1168" s="89" t="n">
        <v>100.8899</v>
      </c>
      <c r="Z1168" s="89" t="n">
        <v>100.5916</v>
      </c>
      <c r="AA1168" s="89" t="n">
        <v>99.89167999999999</v>
      </c>
      <c r="AB1168" s="89" t="n">
        <v>101.1916</v>
      </c>
      <c r="AC1168" s="89" t="n">
        <v>102.3915</v>
      </c>
      <c r="AD1168" s="89" t="n">
        <v>103.2</v>
      </c>
      <c r="AE1168" s="89" t="n">
        <v>109.5957</v>
      </c>
      <c r="AF1168" s="89" t="n">
        <v>102.5915</v>
      </c>
      <c r="AG1168" s="89" t="n">
        <v>100.3103</v>
      </c>
      <c r="AH1168" s="89" t="n">
        <v>99.66952000000001</v>
      </c>
      <c r="AI1168" s="89" t="n">
        <v>100.4</v>
      </c>
      <c r="AJ1168" s="89" t="n">
        <v>100.4692</v>
      </c>
      <c r="AK1168" s="89" t="n">
        <v>99.91665999999999</v>
      </c>
      <c r="AL1168" s="89" t="n">
        <v>103.8086</v>
      </c>
      <c r="AM1168" s="89" t="n">
        <v>101.8</v>
      </c>
      <c r="AN1168" s="89" t="n"/>
      <c r="AO1168" s="89" t="n">
        <v>97.41055</v>
      </c>
      <c r="AP1168" s="89" t="n">
        <v>100.4833</v>
      </c>
      <c r="AQ1168" s="89" t="n"/>
      <c r="AR1168" s="89" t="n"/>
      <c r="AS1168" s="89" t="n"/>
      <c r="AT1168" s="89" t="n">
        <v>103.0695</v>
      </c>
      <c r="AU1168" s="89" t="n"/>
      <c r="AV1168" s="89" t="n">
        <v>100.8</v>
      </c>
      <c r="AW1168" s="89" t="n"/>
      <c r="AX1168" s="89" t="n">
        <v>102.5915</v>
      </c>
      <c r="AY1168" s="89" t="n">
        <v>94.13708</v>
      </c>
    </row>
    <row r="1169">
      <c r="A1169" t="inlineStr">
        <is>
          <t>2016-04</t>
        </is>
      </c>
      <c r="B1169" s="1" t="n">
        <v>42461</v>
      </c>
      <c r="C1169" s="88" t="n">
        <v>1169</v>
      </c>
      <c r="E1169" s="1">
        <f>B1169</f>
        <v/>
      </c>
      <c r="F1169" s="2">
        <f>B1169</f>
        <v/>
      </c>
      <c r="G1169" s="88" t="n">
        <v>1167</v>
      </c>
      <c r="H1169" s="89" t="n"/>
      <c r="I1169" s="89" t="n"/>
      <c r="J1169" s="89" t="n">
        <v>105.4912</v>
      </c>
      <c r="K1169" s="89" t="n">
        <v>99.01201</v>
      </c>
      <c r="L1169" s="89" t="n"/>
      <c r="M1169" s="89" t="n">
        <v>102.6829</v>
      </c>
      <c r="N1169" s="89" t="n">
        <v>101.1916</v>
      </c>
      <c r="O1169" s="89" t="n">
        <v>102</v>
      </c>
      <c r="P1169" s="89" t="n">
        <v>102.8321</v>
      </c>
      <c r="Q1169" s="89" t="n"/>
      <c r="R1169" s="89" t="n">
        <v>105.2</v>
      </c>
      <c r="S1169" s="89" t="n">
        <v>101.1708</v>
      </c>
      <c r="T1169" s="89" t="n">
        <v>102.7859</v>
      </c>
      <c r="U1169" s="89" t="n">
        <v>103.0797</v>
      </c>
      <c r="V1169" s="89" t="n">
        <v>102.1085</v>
      </c>
      <c r="W1169" s="89" t="n">
        <v>95.60796000000001</v>
      </c>
      <c r="X1169" s="89" t="n">
        <v>87.59032000000001</v>
      </c>
      <c r="Y1169" s="89" t="n">
        <v>100.4215</v>
      </c>
      <c r="Z1169" s="89" t="n">
        <v>102.1915</v>
      </c>
      <c r="AA1169" s="89" t="n">
        <v>99.19173000000001</v>
      </c>
      <c r="AB1169" s="89" t="n">
        <v>99.99167</v>
      </c>
      <c r="AC1169" s="89" t="n">
        <v>98.59178</v>
      </c>
      <c r="AD1169" s="89" t="n">
        <v>102.8</v>
      </c>
      <c r="AE1169" s="89" t="n">
        <v>109.2793</v>
      </c>
      <c r="AF1169" s="89" t="n">
        <v>102.1915</v>
      </c>
      <c r="AG1169" s="89" t="n">
        <v>100.6594</v>
      </c>
      <c r="AH1169" s="89" t="n">
        <v>100.0219</v>
      </c>
      <c r="AI1169" s="89" t="n">
        <v>103.2</v>
      </c>
      <c r="AJ1169" s="89" t="n">
        <v>103.7991</v>
      </c>
      <c r="AK1169" s="89" t="n">
        <v>104.8175</v>
      </c>
      <c r="AL1169" s="89" t="n">
        <v>104.6087</v>
      </c>
      <c r="AM1169" s="89" t="n">
        <v>103.7</v>
      </c>
      <c r="AN1169" s="89" t="n"/>
      <c r="AO1169" s="89" t="n">
        <v>97.50776</v>
      </c>
      <c r="AP1169" s="89" t="n">
        <v>101.5831</v>
      </c>
      <c r="AQ1169" s="89" t="n"/>
      <c r="AR1169" s="89" t="n"/>
      <c r="AS1169" s="89" t="n"/>
      <c r="AT1169" s="89" t="n">
        <v>104.1047</v>
      </c>
      <c r="AU1169" s="89" t="n"/>
      <c r="AV1169" s="89" t="n">
        <v>100</v>
      </c>
      <c r="AW1169" s="89" t="n"/>
      <c r="AX1169" s="89" t="n">
        <v>102.7914</v>
      </c>
      <c r="AY1169" s="89" t="n">
        <v>94.02697999999999</v>
      </c>
    </row>
    <row r="1170">
      <c r="A1170" t="inlineStr">
        <is>
          <t>2016-05</t>
        </is>
      </c>
      <c r="B1170" s="1" t="n">
        <v>42491</v>
      </c>
      <c r="C1170" s="88" t="n">
        <v>1170</v>
      </c>
      <c r="E1170" s="1">
        <f>B1170</f>
        <v/>
      </c>
      <c r="F1170" s="2">
        <f>B1170</f>
        <v/>
      </c>
      <c r="G1170" s="88" t="n">
        <v>1168</v>
      </c>
      <c r="H1170" s="89" t="n"/>
      <c r="I1170" s="89" t="n"/>
      <c r="J1170" s="89" t="n">
        <v>101.4915</v>
      </c>
      <c r="K1170" s="89" t="n">
        <v>95.21923</v>
      </c>
      <c r="L1170" s="89" t="n"/>
      <c r="M1170" s="89" t="n">
        <v>101.3831</v>
      </c>
      <c r="N1170" s="89" t="n">
        <v>99.29173</v>
      </c>
      <c r="O1170" s="89" t="n">
        <v>103.3</v>
      </c>
      <c r="P1170" s="89" t="n">
        <v>100.1941</v>
      </c>
      <c r="Q1170" s="89" t="n"/>
      <c r="R1170" s="89" t="n">
        <v>104</v>
      </c>
      <c r="S1170" s="89" t="n">
        <v>99.63083</v>
      </c>
      <c r="T1170" s="89" t="n">
        <v>101.8515</v>
      </c>
      <c r="U1170" s="89" t="n">
        <v>100.7824</v>
      </c>
      <c r="V1170" s="89" t="n">
        <v>101.7085</v>
      </c>
      <c r="W1170" s="89" t="n">
        <v>98.40819999999999</v>
      </c>
      <c r="X1170" s="89" t="n">
        <v>89.61387000000001</v>
      </c>
      <c r="Y1170" s="89" t="n">
        <v>100.5152</v>
      </c>
      <c r="Z1170" s="89" t="n">
        <v>100.4916</v>
      </c>
      <c r="AA1170" s="89" t="n">
        <v>98.69177000000001</v>
      </c>
      <c r="AB1170" s="89" t="n">
        <v>103.1914</v>
      </c>
      <c r="AC1170" s="89" t="n">
        <v>99.49171</v>
      </c>
      <c r="AD1170" s="89" t="n">
        <v>104.3</v>
      </c>
      <c r="AE1170" s="89" t="n">
        <v>109.3424</v>
      </c>
      <c r="AF1170" s="89" t="n">
        <v>100.3916</v>
      </c>
      <c r="AG1170" s="89" t="n">
        <v>100.7758</v>
      </c>
      <c r="AH1170" s="89" t="n">
        <v>99.5295</v>
      </c>
      <c r="AI1170" s="89" t="n">
        <v>101.8</v>
      </c>
      <c r="AJ1170" s="89" t="n">
        <v>100.6092</v>
      </c>
      <c r="AK1170" s="89" t="n">
        <v>103.5173</v>
      </c>
      <c r="AL1170" s="89" t="n">
        <v>105.4088</v>
      </c>
      <c r="AM1170" s="89" t="n">
        <v>99.7</v>
      </c>
      <c r="AN1170" s="89" t="n"/>
      <c r="AO1170" s="89" t="n">
        <v>97.42429</v>
      </c>
      <c r="AP1170" s="89" t="n">
        <v>100.1833</v>
      </c>
      <c r="AQ1170" s="89" t="n"/>
      <c r="AR1170" s="89" t="n"/>
      <c r="AS1170" s="89" t="n"/>
      <c r="AT1170" s="89" t="n">
        <v>105.6444</v>
      </c>
      <c r="AU1170" s="89" t="n"/>
      <c r="AV1170" s="89" t="n">
        <v>100.2</v>
      </c>
      <c r="AW1170" s="89" t="n"/>
      <c r="AX1170" s="89" t="n">
        <v>104.4913</v>
      </c>
      <c r="AY1170" s="89" t="n">
        <v>94.46738000000001</v>
      </c>
    </row>
    <row r="1171">
      <c r="A1171" t="inlineStr">
        <is>
          <t>2016-06</t>
        </is>
      </c>
      <c r="B1171" s="1" t="n">
        <v>42522</v>
      </c>
      <c r="C1171" s="88" t="n">
        <v>1171</v>
      </c>
      <c r="E1171" s="1">
        <f>B1171</f>
        <v/>
      </c>
      <c r="F1171" s="2">
        <f>B1171</f>
        <v/>
      </c>
      <c r="G1171" s="88" t="n">
        <v>1169</v>
      </c>
      <c r="H1171" s="89" t="n"/>
      <c r="I1171" s="89" t="n"/>
      <c r="J1171" s="89" t="n">
        <v>103.4914</v>
      </c>
      <c r="K1171" s="89" t="n">
        <v>97.69629999999999</v>
      </c>
      <c r="L1171" s="89" t="n"/>
      <c r="M1171" s="89" t="n">
        <v>104.2826</v>
      </c>
      <c r="N1171" s="89" t="n">
        <v>101.4915</v>
      </c>
      <c r="O1171" s="89" t="n">
        <v>101.9</v>
      </c>
      <c r="P1171" s="89" t="n">
        <v>100.7071</v>
      </c>
      <c r="Q1171" s="89" t="n"/>
      <c r="R1171" s="89" t="n">
        <v>105.2</v>
      </c>
      <c r="S1171" s="89" t="n">
        <v>99.27083</v>
      </c>
      <c r="T1171" s="89" t="n">
        <v>101.2286</v>
      </c>
      <c r="U1171" s="89" t="n">
        <v>101.6814</v>
      </c>
      <c r="V1171" s="89" t="n">
        <v>99.90833000000001</v>
      </c>
      <c r="W1171" s="89" t="n">
        <v>101.2084</v>
      </c>
      <c r="X1171" s="89" t="n">
        <v>91.62724</v>
      </c>
      <c r="Y1171" s="89" t="n">
        <v>101.6393</v>
      </c>
      <c r="Z1171" s="89" t="n">
        <v>99.39172000000001</v>
      </c>
      <c r="AA1171" s="89" t="n">
        <v>99.19173000000001</v>
      </c>
      <c r="AB1171" s="89" t="n">
        <v>103.2914</v>
      </c>
      <c r="AC1171" s="89" t="n">
        <v>99.79169</v>
      </c>
      <c r="AD1171" s="89" t="n">
        <v>105.8</v>
      </c>
      <c r="AE1171" s="89" t="n">
        <v>109.537</v>
      </c>
      <c r="AF1171" s="89" t="n">
        <v>101.9915</v>
      </c>
      <c r="AG1171" s="89" t="n">
        <v>96.23739999999999</v>
      </c>
      <c r="AH1171" s="89" t="n">
        <v>100.0339</v>
      </c>
      <c r="AI1171" s="89" t="n">
        <v>102.8</v>
      </c>
      <c r="AJ1171" s="89" t="n">
        <v>102.4491</v>
      </c>
      <c r="AK1171" s="89" t="n">
        <v>104.3174</v>
      </c>
      <c r="AL1171" s="89" t="n">
        <v>106.0088</v>
      </c>
      <c r="AM1171" s="89" t="n">
        <v>97.8</v>
      </c>
      <c r="AN1171" s="89" t="n"/>
      <c r="AO1171" s="89" t="n">
        <v>97.85162</v>
      </c>
      <c r="AP1171" s="89" t="n">
        <v>100.9832</v>
      </c>
      <c r="AQ1171" s="89" t="n"/>
      <c r="AR1171" s="89" t="n"/>
      <c r="AS1171" s="89" t="n"/>
      <c r="AT1171" s="89" t="n">
        <v>107.2974</v>
      </c>
      <c r="AU1171" s="89" t="n"/>
      <c r="AV1171" s="89" t="n">
        <v>100.7</v>
      </c>
      <c r="AW1171" s="89" t="n"/>
      <c r="AX1171" s="89" t="n">
        <v>103.9913</v>
      </c>
      <c r="AY1171" s="89" t="n">
        <v>93.36636</v>
      </c>
    </row>
    <row r="1172">
      <c r="A1172" t="inlineStr">
        <is>
          <t>2016-07</t>
        </is>
      </c>
      <c r="B1172" s="1" t="n">
        <v>42552</v>
      </c>
      <c r="C1172" s="88" t="n">
        <v>1172</v>
      </c>
      <c r="E1172" s="1">
        <f>B1172</f>
        <v/>
      </c>
      <c r="F1172" s="2">
        <f>B1172</f>
        <v/>
      </c>
      <c r="G1172" s="88" t="n">
        <v>1170</v>
      </c>
      <c r="H1172" s="89" t="n"/>
      <c r="I1172" s="89" t="n"/>
      <c r="J1172" s="89" t="n">
        <v>108.091</v>
      </c>
      <c r="K1172" s="89" t="n">
        <v>100.2574</v>
      </c>
      <c r="L1172" s="89" t="n"/>
      <c r="M1172" s="89" t="n">
        <v>101.4831</v>
      </c>
      <c r="N1172" s="89" t="n">
        <v>99.99167</v>
      </c>
      <c r="O1172" s="89" t="n">
        <v>107.7</v>
      </c>
      <c r="P1172" s="89" t="n">
        <v>101.0791</v>
      </c>
      <c r="Q1172" s="89" t="n"/>
      <c r="R1172" s="89" t="n">
        <v>106.5</v>
      </c>
      <c r="S1172" s="89" t="n">
        <v>99.13083</v>
      </c>
      <c r="T1172" s="89" t="n">
        <v>101.0209</v>
      </c>
      <c r="U1172" s="89" t="n">
        <v>103.1796</v>
      </c>
      <c r="V1172" s="89" t="n">
        <v>101.8085</v>
      </c>
      <c r="W1172" s="89" t="n">
        <v>103.8086</v>
      </c>
      <c r="X1172" s="89" t="n">
        <v>93.90134</v>
      </c>
      <c r="Y1172" s="89" t="n">
        <v>99.76581</v>
      </c>
      <c r="Z1172" s="89" t="n">
        <v>101.2916</v>
      </c>
      <c r="AA1172" s="89" t="n">
        <v>99.6917</v>
      </c>
      <c r="AB1172" s="89" t="n">
        <v>102.2915</v>
      </c>
      <c r="AC1172" s="89" t="n">
        <v>100.1917</v>
      </c>
      <c r="AD1172" s="89" t="n">
        <v>104.3</v>
      </c>
      <c r="AE1172" s="89" t="n">
        <v>109.8136</v>
      </c>
      <c r="AF1172" s="89" t="n">
        <v>100.4916</v>
      </c>
      <c r="AG1172" s="89" t="n">
        <v>99.37936000000001</v>
      </c>
      <c r="AH1172" s="89" t="n">
        <v>99.83523</v>
      </c>
      <c r="AI1172" s="89" t="n">
        <v>101.9</v>
      </c>
      <c r="AJ1172" s="89" t="n">
        <v>101.8092</v>
      </c>
      <c r="AK1172" s="89" t="n">
        <v>100.7168</v>
      </c>
      <c r="AL1172" s="89" t="n">
        <v>107.509</v>
      </c>
      <c r="AM1172" s="89" t="n">
        <v>101.2</v>
      </c>
      <c r="AN1172" s="89" t="n"/>
      <c r="AO1172" s="89" t="n">
        <v>98.09923999999999</v>
      </c>
      <c r="AP1172" s="89" t="n">
        <v>101.0832</v>
      </c>
      <c r="AQ1172" s="89" t="n"/>
      <c r="AR1172" s="89" t="n"/>
      <c r="AS1172" s="89" t="n"/>
      <c r="AT1172" s="89" t="n">
        <v>105.1467</v>
      </c>
      <c r="AU1172" s="89" t="n"/>
      <c r="AV1172" s="89" t="n">
        <v>101.7</v>
      </c>
      <c r="AW1172" s="89" t="n"/>
      <c r="AX1172" s="89" t="n">
        <v>97.69186000000001</v>
      </c>
      <c r="AY1172" s="89" t="n">
        <v>94.13708</v>
      </c>
    </row>
    <row r="1173">
      <c r="A1173" t="inlineStr">
        <is>
          <t>2016-08</t>
        </is>
      </c>
      <c r="B1173" s="1" t="n">
        <v>42583</v>
      </c>
      <c r="C1173" s="88" t="n">
        <v>1173</v>
      </c>
      <c r="E1173" s="1">
        <f>B1173</f>
        <v/>
      </c>
      <c r="F1173" s="2">
        <f>B1173</f>
        <v/>
      </c>
      <c r="G1173" s="88" t="n">
        <v>1171</v>
      </c>
      <c r="H1173" s="89" t="n"/>
      <c r="I1173" s="89" t="n"/>
      <c r="J1173" s="89" t="n">
        <v>105.5912</v>
      </c>
      <c r="K1173" s="89" t="n">
        <v>100.6643</v>
      </c>
      <c r="L1173" s="89" t="n"/>
      <c r="M1173" s="89" t="n">
        <v>104.0826</v>
      </c>
      <c r="N1173" s="89" t="n">
        <v>101.5915</v>
      </c>
      <c r="O1173" s="89" t="n">
        <v>106.8</v>
      </c>
      <c r="P1173" s="89" t="n">
        <v>102.4321</v>
      </c>
      <c r="Q1173" s="89" t="n"/>
      <c r="R1173" s="89" t="n">
        <v>103.7</v>
      </c>
      <c r="S1173" s="89" t="n">
        <v>101.0408</v>
      </c>
      <c r="T1173" s="89" t="n">
        <v>100.9171</v>
      </c>
      <c r="U1173" s="89" t="n">
        <v>103.0797</v>
      </c>
      <c r="V1173" s="89" t="n">
        <v>101.0084</v>
      </c>
      <c r="W1173" s="89" t="n">
        <v>89.70747</v>
      </c>
      <c r="X1173" s="89" t="n">
        <v>97.52728</v>
      </c>
      <c r="Y1173" s="89" t="n">
        <v>99.48478</v>
      </c>
      <c r="Z1173" s="89" t="n">
        <v>102.1915</v>
      </c>
      <c r="AA1173" s="89" t="n">
        <v>100.5916</v>
      </c>
      <c r="AB1173" s="89" t="n">
        <v>101.3915</v>
      </c>
      <c r="AC1173" s="89" t="n">
        <v>97.69186000000001</v>
      </c>
      <c r="AD1173" s="89" t="n">
        <v>101.7</v>
      </c>
      <c r="AE1173" s="89" t="n">
        <v>109.4194</v>
      </c>
      <c r="AF1173" s="89" t="n">
        <v>99.39172000000001</v>
      </c>
      <c r="AG1173" s="89" t="n">
        <v>94.95733</v>
      </c>
      <c r="AH1173" s="89" t="n">
        <v>100.4385</v>
      </c>
      <c r="AI1173" s="89" t="n">
        <v>103.1</v>
      </c>
      <c r="AJ1173" s="89" t="n">
        <v>103.2191</v>
      </c>
      <c r="AK1173" s="89" t="n">
        <v>108.4181</v>
      </c>
      <c r="AL1173" s="89" t="n">
        <v>107.0089</v>
      </c>
      <c r="AM1173" s="89" t="n">
        <v>98.7</v>
      </c>
      <c r="AN1173" s="89" t="n"/>
      <c r="AO1173" s="89" t="n">
        <v>98.01106</v>
      </c>
      <c r="AP1173" s="89" t="n">
        <v>101.2831</v>
      </c>
      <c r="AQ1173" s="89" t="n"/>
      <c r="AR1173" s="89" t="n"/>
      <c r="AS1173" s="89" t="n"/>
      <c r="AT1173" s="89" t="n">
        <v>104.7563</v>
      </c>
      <c r="AU1173" s="89" t="n"/>
      <c r="AV1173" s="89" t="n">
        <v>101.7</v>
      </c>
      <c r="AW1173" s="89" t="n"/>
      <c r="AX1173" s="89" t="n">
        <v>104.9912</v>
      </c>
      <c r="AY1173" s="89" t="n">
        <v>91.82494</v>
      </c>
    </row>
    <row r="1174">
      <c r="A1174" t="inlineStr">
        <is>
          <t>2016-09</t>
        </is>
      </c>
      <c r="B1174" s="1" t="n">
        <v>42614</v>
      </c>
      <c r="C1174" s="88" t="n">
        <v>1174</v>
      </c>
      <c r="E1174" s="1">
        <f>B1174</f>
        <v/>
      </c>
      <c r="F1174" s="2">
        <f>B1174</f>
        <v/>
      </c>
      <c r="G1174" s="88" t="n">
        <v>1172</v>
      </c>
      <c r="H1174" s="89" t="n"/>
      <c r="I1174" s="89" t="n"/>
      <c r="J1174" s="89" t="n">
        <v>103.1914</v>
      </c>
      <c r="K1174" s="89" t="n">
        <v>101.8497</v>
      </c>
      <c r="L1174" s="89" t="n"/>
      <c r="M1174" s="89" t="n">
        <v>103.0828</v>
      </c>
      <c r="N1174" s="89" t="n">
        <v>101.4915</v>
      </c>
      <c r="O1174" s="89" t="n">
        <v>93.8</v>
      </c>
      <c r="P1174" s="89" t="n">
        <v>101.8631</v>
      </c>
      <c r="Q1174" s="89" t="n"/>
      <c r="R1174" s="89" t="n">
        <v>105.5</v>
      </c>
      <c r="S1174" s="89" t="n">
        <v>100.0208</v>
      </c>
      <c r="T1174" s="89" t="n">
        <v>101.4362</v>
      </c>
      <c r="U1174" s="89" t="n">
        <v>101.6814</v>
      </c>
      <c r="V1174" s="89" t="n">
        <v>99.20827</v>
      </c>
      <c r="W1174" s="89" t="n">
        <v>96.80807</v>
      </c>
      <c r="X1174" s="89" t="n">
        <v>92.27876999999999</v>
      </c>
      <c r="Y1174" s="89" t="n">
        <v>98.07962999999999</v>
      </c>
      <c r="Z1174" s="89" t="n">
        <v>101.9915</v>
      </c>
      <c r="AA1174" s="89" t="n">
        <v>100.9916</v>
      </c>
      <c r="AB1174" s="89" t="n">
        <v>101.9915</v>
      </c>
      <c r="AC1174" s="89" t="n">
        <v>97.99184</v>
      </c>
      <c r="AD1174" s="89" t="n">
        <v>103.7</v>
      </c>
      <c r="AE1174" s="89" t="n">
        <v>109.4168</v>
      </c>
      <c r="AF1174" s="89" t="n">
        <v>99.29173</v>
      </c>
      <c r="AG1174" s="89" t="n">
        <v>91.58262000000001</v>
      </c>
      <c r="AH1174" s="89" t="n">
        <v>100.347</v>
      </c>
      <c r="AI1174" s="89" t="n">
        <v>103.7</v>
      </c>
      <c r="AJ1174" s="89" t="n">
        <v>103.3591</v>
      </c>
      <c r="AK1174" s="89" t="n">
        <v>105.5176</v>
      </c>
      <c r="AL1174" s="89" t="n">
        <v>107.909</v>
      </c>
      <c r="AM1174" s="89" t="n">
        <v>105.5</v>
      </c>
      <c r="AN1174" s="89" t="n"/>
      <c r="AO1174" s="89" t="n">
        <v>98.01779000000001</v>
      </c>
      <c r="AP1174" s="89" t="n">
        <v>101.3831</v>
      </c>
      <c r="AQ1174" s="89" t="n"/>
      <c r="AR1174" s="89" t="n"/>
      <c r="AS1174" s="89" t="n"/>
      <c r="AT1174" s="89" t="n">
        <v>105.659</v>
      </c>
      <c r="AU1174" s="89" t="n"/>
      <c r="AV1174" s="89" t="n">
        <v>102.4</v>
      </c>
      <c r="AW1174" s="89" t="n"/>
      <c r="AX1174" s="89" t="n">
        <v>101.9915</v>
      </c>
      <c r="AY1174" s="89" t="n">
        <v>92.92596</v>
      </c>
    </row>
    <row r="1175">
      <c r="A1175" t="inlineStr">
        <is>
          <t>2016-10</t>
        </is>
      </c>
      <c r="B1175" s="1" t="n">
        <v>42644</v>
      </c>
      <c r="C1175" s="88" t="n">
        <v>1175</v>
      </c>
      <c r="E1175" s="1">
        <f>B1175</f>
        <v/>
      </c>
      <c r="F1175" s="2">
        <f>B1175</f>
        <v/>
      </c>
      <c r="G1175" s="88" t="n">
        <v>1173</v>
      </c>
      <c r="H1175" s="89" t="n"/>
      <c r="I1175" s="89" t="n"/>
      <c r="J1175" s="89" t="n">
        <v>103.3914</v>
      </c>
      <c r="K1175" s="89" t="n">
        <v>101.3074</v>
      </c>
      <c r="L1175" s="89" t="n"/>
      <c r="M1175" s="89" t="n">
        <v>104.1826</v>
      </c>
      <c r="N1175" s="89" t="n">
        <v>102.1915</v>
      </c>
      <c r="O1175" s="89" t="n">
        <v>108.6</v>
      </c>
      <c r="P1175" s="89" t="n">
        <v>102.0231</v>
      </c>
      <c r="Q1175" s="89" t="n"/>
      <c r="R1175" s="89" t="n">
        <v>106.4</v>
      </c>
      <c r="S1175" s="89" t="n">
        <v>99.66083</v>
      </c>
      <c r="T1175" s="89" t="n">
        <v>100.1903</v>
      </c>
      <c r="U1175" s="89" t="n">
        <v>105.5768</v>
      </c>
      <c r="V1175" s="89" t="n">
        <v>99.90833000000001</v>
      </c>
      <c r="W1175" s="89" t="n">
        <v>110.7092</v>
      </c>
      <c r="X1175" s="89" t="n">
        <v>88.62806999999999</v>
      </c>
      <c r="Y1175" s="89" t="n">
        <v>96.5808</v>
      </c>
      <c r="Z1175" s="89" t="n">
        <v>102.3915</v>
      </c>
      <c r="AA1175" s="89" t="n">
        <v>101.0916</v>
      </c>
      <c r="AB1175" s="89" t="n">
        <v>100.3916</v>
      </c>
      <c r="AC1175" s="89" t="n">
        <v>98.3918</v>
      </c>
      <c r="AD1175" s="89" t="n">
        <v>108.2</v>
      </c>
      <c r="AE1175" s="89" t="n">
        <v>109.7032</v>
      </c>
      <c r="AF1175" s="89" t="n">
        <v>100.3916</v>
      </c>
      <c r="AG1175" s="89" t="n">
        <v>101.0085</v>
      </c>
      <c r="AH1175" s="89" t="n">
        <v>100.8142</v>
      </c>
      <c r="AI1175" s="89" t="n">
        <v>102.3</v>
      </c>
      <c r="AJ1175" s="89" t="n">
        <v>101.2792</v>
      </c>
      <c r="AK1175" s="89" t="n">
        <v>106.1177</v>
      </c>
      <c r="AL1175" s="89" t="n">
        <v>108.009</v>
      </c>
      <c r="AM1175" s="89" t="n">
        <v>101.5</v>
      </c>
      <c r="AN1175" s="89" t="n"/>
      <c r="AO1175" s="89" t="n">
        <v>98.21066</v>
      </c>
      <c r="AP1175" s="89" t="n">
        <v>102.4829</v>
      </c>
      <c r="AQ1175" s="89" t="n"/>
      <c r="AR1175" s="89" t="n"/>
      <c r="AS1175" s="89" t="n"/>
      <c r="AT1175" s="89" t="n">
        <v>108.5013</v>
      </c>
      <c r="AU1175" s="89" t="n"/>
      <c r="AV1175" s="89" t="n">
        <v>104</v>
      </c>
      <c r="AW1175" s="89" t="n"/>
      <c r="AX1175" s="89" t="n">
        <v>106.4911</v>
      </c>
      <c r="AY1175" s="89" t="n">
        <v>91.71484</v>
      </c>
    </row>
    <row r="1176">
      <c r="A1176" t="inlineStr">
        <is>
          <t>2016-11</t>
        </is>
      </c>
      <c r="B1176" s="1" t="n">
        <v>42675</v>
      </c>
      <c r="C1176" s="88" t="n">
        <v>1176</v>
      </c>
      <c r="E1176" s="1">
        <f>B1176</f>
        <v/>
      </c>
      <c r="F1176" s="2">
        <f>B1176</f>
        <v/>
      </c>
      <c r="G1176" s="88" t="n">
        <v>1174</v>
      </c>
      <c r="H1176" s="89" t="n"/>
      <c r="I1176" s="89" t="n"/>
      <c r="J1176" s="89" t="n">
        <v>103.5914</v>
      </c>
      <c r="K1176" s="89" t="n">
        <v>102.5795</v>
      </c>
      <c r="L1176" s="89" t="n"/>
      <c r="M1176" s="89" t="n">
        <v>104.7825</v>
      </c>
      <c r="N1176" s="89" t="n">
        <v>101.8915</v>
      </c>
      <c r="O1176" s="89" t="n">
        <v>108.7</v>
      </c>
      <c r="P1176" s="89" t="n">
        <v>103.2381</v>
      </c>
      <c r="Q1176" s="89" t="n"/>
      <c r="R1176" s="89" t="n">
        <v>105.8</v>
      </c>
      <c r="S1176" s="89" t="n">
        <v>102.2509</v>
      </c>
      <c r="T1176" s="89" t="n">
        <v>101.7477</v>
      </c>
      <c r="U1176" s="89" t="n">
        <v>105.1773</v>
      </c>
      <c r="V1176" s="89" t="n">
        <v>102.3085</v>
      </c>
      <c r="W1176" s="89" t="n">
        <v>102.5085</v>
      </c>
      <c r="X1176" s="89" t="n">
        <v>88.01321</v>
      </c>
      <c r="Y1176" s="89" t="n">
        <v>100.5152</v>
      </c>
      <c r="Z1176" s="89" t="n">
        <v>103.2914</v>
      </c>
      <c r="AA1176" s="89" t="n">
        <v>102.0915</v>
      </c>
      <c r="AB1176" s="89" t="n">
        <v>104.8913</v>
      </c>
      <c r="AC1176" s="89" t="n">
        <v>98.19182000000001</v>
      </c>
      <c r="AD1176" s="89" t="n">
        <v>110.9</v>
      </c>
      <c r="AE1176" s="89" t="n">
        <v>109.7816</v>
      </c>
      <c r="AF1176" s="89" t="n">
        <v>103.0914</v>
      </c>
      <c r="AG1176" s="89" t="n">
        <v>100.4267</v>
      </c>
      <c r="AH1176" s="89" t="n">
        <v>101.4316</v>
      </c>
      <c r="AI1176" s="89" t="n">
        <v>104.6</v>
      </c>
      <c r="AJ1176" s="89" t="n">
        <v>103.1691</v>
      </c>
      <c r="AK1176" s="89" t="n">
        <v>106.7178</v>
      </c>
      <c r="AL1176" s="89" t="n">
        <v>108.409</v>
      </c>
      <c r="AM1176" s="89" t="n">
        <v>102.3</v>
      </c>
      <c r="AN1176" s="89" t="n"/>
      <c r="AO1176" s="89" t="n">
        <v>98.02067</v>
      </c>
      <c r="AP1176" s="89" t="n">
        <v>102.7829</v>
      </c>
      <c r="AQ1176" s="89" t="n"/>
      <c r="AR1176" s="89" t="n"/>
      <c r="AS1176" s="89" t="n"/>
      <c r="AT1176" s="89" t="n">
        <v>106.2078</v>
      </c>
      <c r="AU1176" s="89" t="n"/>
      <c r="AV1176" s="89" t="n">
        <v>104.9</v>
      </c>
      <c r="AW1176" s="89" t="n"/>
      <c r="AX1176" s="89" t="n">
        <v>105.6912</v>
      </c>
      <c r="AY1176" s="89" t="n">
        <v>92.48555</v>
      </c>
    </row>
    <row r="1177">
      <c r="A1177" t="inlineStr">
        <is>
          <t>2016-12</t>
        </is>
      </c>
      <c r="B1177" s="1" t="n">
        <v>42705</v>
      </c>
      <c r="C1177" s="88" t="n">
        <v>1177</v>
      </c>
      <c r="E1177" s="1">
        <f>B1177</f>
        <v/>
      </c>
      <c r="F1177" s="2">
        <f>B1177</f>
        <v/>
      </c>
      <c r="G1177" s="88" t="n">
        <v>1175</v>
      </c>
      <c r="H1177" s="89" t="n"/>
      <c r="I1177" s="89" t="n"/>
      <c r="J1177" s="89" t="n">
        <v>109.4909</v>
      </c>
      <c r="K1177" s="89" t="n">
        <v>102.8088</v>
      </c>
      <c r="L1177" s="89" t="n"/>
      <c r="M1177" s="89" t="n">
        <v>104.1826</v>
      </c>
      <c r="N1177" s="89" t="n">
        <v>100.2916</v>
      </c>
      <c r="O1177" s="89" t="n">
        <v>109.6</v>
      </c>
      <c r="P1177" s="89" t="n">
        <v>103.0231</v>
      </c>
      <c r="Q1177" s="89" t="n"/>
      <c r="R1177" s="89" t="n">
        <v>104.4</v>
      </c>
      <c r="S1177" s="89" t="n">
        <v>100.7708</v>
      </c>
      <c r="T1177" s="89" t="n">
        <v>103.3051</v>
      </c>
      <c r="U1177" s="89" t="n">
        <v>107.0751</v>
      </c>
      <c r="V1177" s="89" t="n">
        <v>102.4085</v>
      </c>
      <c r="W1177" s="89" t="n">
        <v>101.2084</v>
      </c>
      <c r="X1177" s="89" t="n">
        <v>88.60029</v>
      </c>
      <c r="Y1177" s="89" t="n">
        <v>100.7962</v>
      </c>
      <c r="Z1177" s="89" t="n">
        <v>104.7913</v>
      </c>
      <c r="AA1177" s="89" t="n">
        <v>101.4915</v>
      </c>
      <c r="AB1177" s="89" t="n">
        <v>104.1913</v>
      </c>
      <c r="AC1177" s="89" t="n">
        <v>101.9915</v>
      </c>
      <c r="AD1177" s="89" t="n">
        <v>110</v>
      </c>
      <c r="AE1177" s="89" t="n">
        <v>109.6382</v>
      </c>
      <c r="AF1177" s="89" t="n">
        <v>103.9913</v>
      </c>
      <c r="AG1177" s="89" t="n">
        <v>97.98293</v>
      </c>
      <c r="AH1177" s="89" t="n">
        <v>101.5078</v>
      </c>
      <c r="AI1177" s="89" t="n">
        <v>106.5</v>
      </c>
      <c r="AJ1177" s="89" t="n">
        <v>104.6691</v>
      </c>
      <c r="AK1177" s="89" t="n">
        <v>106.2177</v>
      </c>
      <c r="AL1177" s="89" t="n">
        <v>110.3092</v>
      </c>
      <c r="AM1177" s="89" t="n">
        <v>101.2</v>
      </c>
      <c r="AN1177" s="89" t="n"/>
      <c r="AO1177" s="89" t="n">
        <v>98.86342</v>
      </c>
      <c r="AP1177" s="89" t="n">
        <v>102.3829</v>
      </c>
      <c r="AQ1177" s="89" t="n"/>
      <c r="AR1177" s="89" t="n"/>
      <c r="AS1177" s="89" t="n"/>
      <c r="AT1177" s="89" t="n">
        <v>105.0059</v>
      </c>
      <c r="AU1177" s="89" t="n"/>
      <c r="AV1177" s="89" t="n">
        <v>104.4</v>
      </c>
      <c r="AW1177" s="89" t="n"/>
      <c r="AX1177" s="89" t="n">
        <v>104.9912</v>
      </c>
      <c r="AY1177" s="89" t="n">
        <v>94.24718</v>
      </c>
    </row>
    <row r="1178">
      <c r="A1178" t="inlineStr">
        <is>
          <t>2017-01</t>
        </is>
      </c>
      <c r="B1178" s="1" t="n">
        <v>42736</v>
      </c>
      <c r="C1178" s="88" t="n">
        <v>1178</v>
      </c>
      <c r="E1178" s="1">
        <f>B1178</f>
        <v/>
      </c>
      <c r="F1178" s="2">
        <f>B1178</f>
        <v/>
      </c>
      <c r="G1178" s="88" t="n">
        <v>1176</v>
      </c>
      <c r="H1178" s="89" t="n"/>
      <c r="I1178" s="89" t="n"/>
      <c r="J1178" s="89" t="n">
        <v>102.9914</v>
      </c>
      <c r="K1178" s="89" t="n">
        <v>103.75</v>
      </c>
      <c r="L1178" s="89" t="n"/>
      <c r="M1178" s="89" t="n">
        <v>107.2821</v>
      </c>
      <c r="N1178" s="89" t="n">
        <v>101.7915</v>
      </c>
      <c r="O1178" s="89" t="n">
        <v>103.1</v>
      </c>
      <c r="P1178" s="89" t="n">
        <v>104.1291</v>
      </c>
      <c r="Q1178" s="89" t="n"/>
      <c r="R1178" s="89" t="n">
        <v>107.5</v>
      </c>
      <c r="S1178" s="89" t="n">
        <v>101.3808</v>
      </c>
      <c r="T1178" s="89" t="n">
        <v>103.4089</v>
      </c>
      <c r="U1178" s="89" t="n">
        <v>107.0751</v>
      </c>
      <c r="V1178" s="89" t="n">
        <v>101.7085</v>
      </c>
      <c r="W1178" s="89" t="n">
        <v>98.80824</v>
      </c>
      <c r="X1178" s="89" t="n">
        <v>86.84499</v>
      </c>
      <c r="Y1178" s="89" t="n">
        <v>99.85948</v>
      </c>
      <c r="Z1178" s="89" t="n">
        <v>101.9915</v>
      </c>
      <c r="AA1178" s="89" t="n">
        <v>100.6916</v>
      </c>
      <c r="AB1178" s="89" t="n">
        <v>106.6911</v>
      </c>
      <c r="AC1178" s="89" t="n">
        <v>97.59187</v>
      </c>
      <c r="AD1178" s="89" t="n">
        <v>109.5</v>
      </c>
      <c r="AE1178" s="89" t="n">
        <v>109.7404</v>
      </c>
      <c r="AF1178" s="89" t="n">
        <v>101.1916</v>
      </c>
      <c r="AG1178" s="89" t="n">
        <v>100.8922</v>
      </c>
      <c r="AH1178" s="89" t="n">
        <v>101.6636</v>
      </c>
      <c r="AI1178" s="89" t="n">
        <v>106.3</v>
      </c>
      <c r="AJ1178" s="89" t="n">
        <v>104.8091</v>
      </c>
      <c r="AK1178" s="89" t="n">
        <v>107.4179</v>
      </c>
      <c r="AL1178" s="89" t="n">
        <v>107.909</v>
      </c>
      <c r="AM1178" s="89" t="n">
        <v>103.6</v>
      </c>
      <c r="AN1178" s="89" t="n"/>
      <c r="AO1178" s="89" t="n">
        <v>98.96764</v>
      </c>
      <c r="AP1178" s="89" t="n">
        <v>102.183</v>
      </c>
      <c r="AQ1178" s="89" t="n"/>
      <c r="AR1178" s="89" t="n"/>
      <c r="AS1178" s="89" t="n"/>
      <c r="AT1178" s="89" t="n">
        <v>105.9349</v>
      </c>
      <c r="AU1178" s="89" t="n"/>
      <c r="AV1178" s="89" t="n">
        <v>105.4</v>
      </c>
      <c r="AW1178" s="89" t="n"/>
      <c r="AX1178" s="89" t="n">
        <v>105.7912</v>
      </c>
      <c r="AY1178" s="89" t="n">
        <v>95.12799</v>
      </c>
    </row>
    <row r="1179">
      <c r="A1179" t="inlineStr">
        <is>
          <t>2017-02</t>
        </is>
      </c>
      <c r="B1179" s="1" t="n">
        <v>42767</v>
      </c>
      <c r="C1179" s="88" t="n">
        <v>1179</v>
      </c>
      <c r="E1179" s="1">
        <f>B1179</f>
        <v/>
      </c>
      <c r="F1179" s="2">
        <f>B1179</f>
        <v/>
      </c>
      <c r="G1179" s="88" t="n">
        <v>1177</v>
      </c>
      <c r="H1179" s="89" t="n"/>
      <c r="I1179" s="89" t="n"/>
      <c r="J1179" s="89" t="n">
        <v>106.4911</v>
      </c>
      <c r="K1179" s="89" t="n">
        <v>103.197</v>
      </c>
      <c r="L1179" s="89" t="n"/>
      <c r="M1179" s="89" t="n">
        <v>107.882</v>
      </c>
      <c r="N1179" s="89" t="n">
        <v>102.7914</v>
      </c>
      <c r="O1179" s="89" t="n">
        <v>106.9</v>
      </c>
      <c r="P1179" s="89" t="n">
        <v>103.5271</v>
      </c>
      <c r="Q1179" s="89" t="n"/>
      <c r="R1179" s="89" t="n">
        <v>106.3</v>
      </c>
      <c r="S1179" s="89" t="n">
        <v>100.0908</v>
      </c>
      <c r="T1179" s="89" t="n">
        <v>102.163</v>
      </c>
      <c r="U1179" s="89" t="n">
        <v>108.6732</v>
      </c>
      <c r="V1179" s="89" t="n">
        <v>104.8087</v>
      </c>
      <c r="W1179" s="89" t="n">
        <v>100.4084</v>
      </c>
      <c r="X1179" s="89" t="n">
        <v>86.16381</v>
      </c>
      <c r="Y1179" s="89" t="n">
        <v>97.51756</v>
      </c>
      <c r="Z1179" s="89" t="n">
        <v>103.1914</v>
      </c>
      <c r="AA1179" s="89" t="n">
        <v>101.3915</v>
      </c>
      <c r="AB1179" s="89" t="n">
        <v>104.3913</v>
      </c>
      <c r="AC1179" s="89" t="n">
        <v>101.3915</v>
      </c>
      <c r="AD1179" s="89" t="n">
        <v>110.8</v>
      </c>
      <c r="AE1179" s="89" t="n">
        <v>109.6186</v>
      </c>
      <c r="AF1179" s="89" t="n">
        <v>103.8913</v>
      </c>
      <c r="AG1179" s="89" t="n">
        <v>101.1249</v>
      </c>
      <c r="AH1179" s="89" t="n">
        <v>101.6886</v>
      </c>
      <c r="AI1179" s="89" t="n">
        <v>106.4</v>
      </c>
      <c r="AJ1179" s="89" t="n">
        <v>103.1191</v>
      </c>
      <c r="AK1179" s="89" t="n">
        <v>106.8178</v>
      </c>
      <c r="AL1179" s="89" t="n">
        <v>111.6093</v>
      </c>
      <c r="AM1179" s="89" t="n">
        <v>104.2</v>
      </c>
      <c r="AN1179" s="89" t="n"/>
      <c r="AO1179" s="89" t="n">
        <v>98.59428</v>
      </c>
      <c r="AP1179" s="89" t="n">
        <v>102.8829</v>
      </c>
      <c r="AQ1179" s="89" t="n"/>
      <c r="AR1179" s="89" t="n"/>
      <c r="AS1179" s="89" t="n"/>
      <c r="AT1179" s="89" t="n">
        <v>107.2531</v>
      </c>
      <c r="AU1179" s="89" t="n"/>
      <c r="AV1179" s="89" t="n">
        <v>104.5</v>
      </c>
      <c r="AW1179" s="89" t="n"/>
      <c r="AX1179" s="89" t="n">
        <v>107.591</v>
      </c>
      <c r="AY1179" s="89" t="n">
        <v>96.55932</v>
      </c>
    </row>
    <row r="1180">
      <c r="A1180" t="inlineStr">
        <is>
          <t>2017-03</t>
        </is>
      </c>
      <c r="B1180" s="1" t="n">
        <v>42795</v>
      </c>
      <c r="C1180" s="88" t="n">
        <v>1180</v>
      </c>
      <c r="E1180" s="1">
        <f>B1180</f>
        <v/>
      </c>
      <c r="F1180" s="2">
        <f>B1180</f>
        <v/>
      </c>
      <c r="G1180" s="88" t="n">
        <v>1178</v>
      </c>
      <c r="H1180" s="89" t="n"/>
      <c r="I1180" s="89" t="n"/>
      <c r="J1180" s="89" t="n">
        <v>105.8912</v>
      </c>
      <c r="K1180" s="89" t="n">
        <v>103.2794</v>
      </c>
      <c r="L1180" s="89" t="n"/>
      <c r="M1180" s="89" t="n">
        <v>107.782</v>
      </c>
      <c r="N1180" s="89" t="n">
        <v>102.2915</v>
      </c>
      <c r="O1180" s="89" t="n">
        <v>108</v>
      </c>
      <c r="P1180" s="89" t="n">
        <v>103.0201</v>
      </c>
      <c r="Q1180" s="89" t="n"/>
      <c r="R1180" s="89" t="n">
        <v>105.2</v>
      </c>
      <c r="S1180" s="89" t="n">
        <v>101.2008</v>
      </c>
      <c r="T1180" s="89" t="n">
        <v>101.5401</v>
      </c>
      <c r="U1180" s="89" t="n">
        <v>107.6744</v>
      </c>
      <c r="V1180" s="89" t="n">
        <v>105.2088</v>
      </c>
      <c r="W1180" s="89" t="n">
        <v>96.20802</v>
      </c>
      <c r="X1180" s="89" t="n">
        <v>87.56065</v>
      </c>
      <c r="Y1180" s="89" t="n">
        <v>100.7962</v>
      </c>
      <c r="Z1180" s="89" t="n">
        <v>103.9913</v>
      </c>
      <c r="AA1180" s="89" t="n">
        <v>101.4915</v>
      </c>
      <c r="AB1180" s="89" t="n">
        <v>106.5911</v>
      </c>
      <c r="AC1180" s="89" t="n">
        <v>103.3914</v>
      </c>
      <c r="AD1180" s="89" t="n">
        <v>113.4</v>
      </c>
      <c r="AE1180" s="89" t="n">
        <v>109.7365</v>
      </c>
      <c r="AF1180" s="89" t="n">
        <v>102.8914</v>
      </c>
      <c r="AG1180" s="89" t="n">
        <v>101.5904</v>
      </c>
      <c r="AH1180" s="89" t="n">
        <v>102.0766</v>
      </c>
      <c r="AI1180" s="89" t="n">
        <v>108.9</v>
      </c>
      <c r="AJ1180" s="89" t="n">
        <v>106.9391</v>
      </c>
      <c r="AK1180" s="89" t="n">
        <v>108.018</v>
      </c>
      <c r="AL1180" s="89" t="n">
        <v>113.1094</v>
      </c>
      <c r="AM1180" s="89" t="n">
        <v>104.9</v>
      </c>
      <c r="AN1180" s="89" t="n"/>
      <c r="AO1180" s="89" t="n">
        <v>99.26194</v>
      </c>
      <c r="AP1180" s="89" t="n">
        <v>102.6829</v>
      </c>
      <c r="AQ1180" s="89" t="n"/>
      <c r="AR1180" s="89" t="n"/>
      <c r="AS1180" s="89" t="n"/>
      <c r="AT1180" s="89" t="n">
        <v>107.6147</v>
      </c>
      <c r="AU1180" s="89" t="n"/>
      <c r="AV1180" s="89" t="n">
        <v>104.6</v>
      </c>
      <c r="AW1180" s="89" t="n"/>
      <c r="AX1180" s="89" t="n">
        <v>108.8909</v>
      </c>
      <c r="AY1180" s="89" t="n">
        <v>94.13708</v>
      </c>
    </row>
    <row r="1181">
      <c r="A1181" t="inlineStr">
        <is>
          <t>2017-04</t>
        </is>
      </c>
      <c r="B1181" s="1" t="n">
        <v>42826</v>
      </c>
      <c r="C1181" s="88" t="n">
        <v>1181</v>
      </c>
      <c r="E1181" s="1">
        <f>B1181</f>
        <v/>
      </c>
      <c r="F1181" s="2">
        <f>B1181</f>
        <v/>
      </c>
      <c r="G1181" s="88" t="n">
        <v>1179</v>
      </c>
      <c r="H1181" s="89" t="n"/>
      <c r="I1181" s="89" t="n"/>
      <c r="J1181" s="89" t="n">
        <v>108.091</v>
      </c>
      <c r="K1181" s="89" t="n">
        <v>104.0592</v>
      </c>
      <c r="L1181" s="89" t="n"/>
      <c r="M1181" s="89" t="n">
        <v>110.2816</v>
      </c>
      <c r="N1181" s="89" t="n">
        <v>103.5914</v>
      </c>
      <c r="O1181" s="89" t="n">
        <v>106.4</v>
      </c>
      <c r="P1181" s="89" t="n">
        <v>103.2821</v>
      </c>
      <c r="Q1181" s="89" t="n"/>
      <c r="R1181" s="89" t="n">
        <v>106</v>
      </c>
      <c r="S1181" s="89" t="n">
        <v>101.1408</v>
      </c>
      <c r="T1181" s="89" t="n">
        <v>101.6439</v>
      </c>
      <c r="U1181" s="89" t="n">
        <v>103.3794</v>
      </c>
      <c r="V1181" s="89" t="n">
        <v>105.7088</v>
      </c>
      <c r="W1181" s="89" t="n">
        <v>103.9087</v>
      </c>
      <c r="X1181" s="89" t="n">
        <v>88.80307000000001</v>
      </c>
      <c r="Y1181" s="89" t="n">
        <v>100.7026</v>
      </c>
      <c r="Z1181" s="89" t="n">
        <v>103.8913</v>
      </c>
      <c r="AA1181" s="89" t="n">
        <v>103.7914</v>
      </c>
      <c r="AB1181" s="89" t="n">
        <v>104.3913</v>
      </c>
      <c r="AC1181" s="89" t="n">
        <v>103.9913</v>
      </c>
      <c r="AD1181" s="89" t="n">
        <v>113.3</v>
      </c>
      <c r="AE1181" s="89" t="n">
        <v>109.4971</v>
      </c>
      <c r="AF1181" s="89" t="n">
        <v>101.2916</v>
      </c>
      <c r="AG1181" s="89" t="n">
        <v>101.8231</v>
      </c>
      <c r="AH1181" s="89" t="n">
        <v>102.7861</v>
      </c>
      <c r="AI1181" s="89" t="n">
        <v>107.6</v>
      </c>
      <c r="AJ1181" s="89" t="n">
        <v>101.8792</v>
      </c>
      <c r="AK1181" s="89" t="n">
        <v>106.0177</v>
      </c>
      <c r="AL1181" s="89" t="n">
        <v>113.4095</v>
      </c>
      <c r="AM1181" s="89" t="n">
        <v>104</v>
      </c>
      <c r="AN1181" s="89" t="n"/>
      <c r="AO1181" s="89" t="n">
        <v>100.1543</v>
      </c>
      <c r="AP1181" s="89" t="n">
        <v>103.5827</v>
      </c>
      <c r="AQ1181" s="89" t="n"/>
      <c r="AR1181" s="89" t="n"/>
      <c r="AS1181" s="89" t="n"/>
      <c r="AT1181" s="89" t="n">
        <v>107.7294</v>
      </c>
      <c r="AU1181" s="89" t="n"/>
      <c r="AV1181" s="89" t="n">
        <v>105.1</v>
      </c>
      <c r="AW1181" s="89" t="n"/>
      <c r="AX1181" s="89" t="n">
        <v>111.8907</v>
      </c>
      <c r="AY1181" s="89" t="n">
        <v>94.46738000000001</v>
      </c>
    </row>
    <row r="1182">
      <c r="A1182" t="inlineStr">
        <is>
          <t>2017-05</t>
        </is>
      </c>
      <c r="B1182" s="1" t="n">
        <v>42856</v>
      </c>
      <c r="C1182" s="88" t="n">
        <v>1182</v>
      </c>
      <c r="E1182" s="1">
        <f>B1182</f>
        <v/>
      </c>
      <c r="F1182" s="2">
        <f>B1182</f>
        <v/>
      </c>
      <c r="G1182" s="88" t="n">
        <v>1180</v>
      </c>
      <c r="H1182" s="89" t="n"/>
      <c r="I1182" s="89" t="n"/>
      <c r="J1182" s="89" t="n">
        <v>106.6911</v>
      </c>
      <c r="K1182" s="89" t="n">
        <v>105.3803</v>
      </c>
      <c r="L1182" s="89" t="n"/>
      <c r="M1182" s="89" t="n">
        <v>112.4813</v>
      </c>
      <c r="N1182" s="89" t="n">
        <v>103.9913</v>
      </c>
      <c r="O1182" s="89" t="n">
        <v>108.1</v>
      </c>
      <c r="P1182" s="89" t="n">
        <v>104.7131</v>
      </c>
      <c r="Q1182" s="89" t="n"/>
      <c r="R1182" s="89" t="n">
        <v>107.4</v>
      </c>
      <c r="S1182" s="89" t="n">
        <v>103.2909</v>
      </c>
      <c r="T1182" s="89" t="n">
        <v>102.163</v>
      </c>
      <c r="U1182" s="89" t="n">
        <v>107.0751</v>
      </c>
      <c r="V1182" s="89" t="n">
        <v>107.2089</v>
      </c>
      <c r="W1182" s="89" t="n">
        <v>94.8079</v>
      </c>
      <c r="X1182" s="89" t="n">
        <v>86.68665</v>
      </c>
      <c r="Y1182" s="89" t="n">
        <v>102.2014</v>
      </c>
      <c r="Z1182" s="89" t="n">
        <v>104.3913</v>
      </c>
      <c r="AA1182" s="89" t="n">
        <v>102.1915</v>
      </c>
      <c r="AB1182" s="89" t="n">
        <v>105.1912</v>
      </c>
      <c r="AC1182" s="89" t="n">
        <v>102.8914</v>
      </c>
      <c r="AD1182" s="89" t="n">
        <v>115</v>
      </c>
      <c r="AE1182" s="89" t="n">
        <v>109.3881</v>
      </c>
      <c r="AF1182" s="89" t="n">
        <v>101.3915</v>
      </c>
      <c r="AG1182" s="89" t="n">
        <v>101.0085</v>
      </c>
      <c r="AH1182" s="89" t="n">
        <v>102.8822</v>
      </c>
      <c r="AI1182" s="89" t="n">
        <v>108.4</v>
      </c>
      <c r="AJ1182" s="89" t="n">
        <v>107.0991</v>
      </c>
      <c r="AK1182" s="89" t="n">
        <v>106.3177</v>
      </c>
      <c r="AL1182" s="89" t="n">
        <v>114.1095</v>
      </c>
      <c r="AM1182" s="89" t="n">
        <v>105.7</v>
      </c>
      <c r="AN1182" s="89" t="n"/>
      <c r="AO1182" s="89" t="n">
        <v>100.2896</v>
      </c>
      <c r="AP1182" s="89" t="n">
        <v>103.7827</v>
      </c>
      <c r="AQ1182" s="89" t="n"/>
      <c r="AR1182" s="89" t="n"/>
      <c r="AS1182" s="89" t="n"/>
      <c r="AT1182" s="89" t="n">
        <v>108.2175</v>
      </c>
      <c r="AU1182" s="89" t="n"/>
      <c r="AV1182" s="89" t="n">
        <v>106.4</v>
      </c>
      <c r="AW1182" s="89" t="n"/>
      <c r="AX1182" s="89" t="n">
        <v>110.4908</v>
      </c>
      <c r="AY1182" s="89" t="n">
        <v>94.90779000000001</v>
      </c>
    </row>
    <row r="1183">
      <c r="A1183" t="inlineStr">
        <is>
          <t>2017-06</t>
        </is>
      </c>
      <c r="B1183" s="1" t="n">
        <v>42887</v>
      </c>
      <c r="C1183" s="88" t="n">
        <v>1183</v>
      </c>
      <c r="E1183" s="1">
        <f>B1183</f>
        <v/>
      </c>
      <c r="F1183" s="2">
        <f>B1183</f>
        <v/>
      </c>
      <c r="G1183" s="88" t="n">
        <v>1181</v>
      </c>
      <c r="H1183" s="89" t="n"/>
      <c r="I1183" s="89" t="n"/>
      <c r="J1183" s="89" t="n">
        <v>108.591</v>
      </c>
      <c r="K1183" s="89" t="n">
        <v>105.5649</v>
      </c>
      <c r="L1183" s="89" t="n"/>
      <c r="M1183" s="89" t="n">
        <v>108.182</v>
      </c>
      <c r="N1183" s="89" t="n">
        <v>103.8913</v>
      </c>
      <c r="O1183" s="89" t="n">
        <v>108.4</v>
      </c>
      <c r="P1183" s="89" t="n">
        <v>104.8471</v>
      </c>
      <c r="Q1183" s="89" t="n"/>
      <c r="R1183" s="89" t="n">
        <v>107.7</v>
      </c>
      <c r="S1183" s="89" t="n">
        <v>102.1508</v>
      </c>
      <c r="T1183" s="89" t="n">
        <v>102.4745</v>
      </c>
      <c r="U1183" s="89" t="n">
        <v>106.7754</v>
      </c>
      <c r="V1183" s="89" t="n">
        <v>106.3089</v>
      </c>
      <c r="W1183" s="89" t="n">
        <v>85.30710999999999</v>
      </c>
      <c r="X1183" s="89" t="n">
        <v>84.71561</v>
      </c>
      <c r="Y1183" s="89" t="n">
        <v>101.171</v>
      </c>
      <c r="Z1183" s="89" t="n">
        <v>105.6912</v>
      </c>
      <c r="AA1183" s="89" t="n">
        <v>102.9914</v>
      </c>
      <c r="AB1183" s="89" t="n">
        <v>103.8913</v>
      </c>
      <c r="AC1183" s="89" t="n">
        <v>104.0913</v>
      </c>
      <c r="AD1183" s="89" t="n">
        <v>113.9</v>
      </c>
      <c r="AE1183" s="89" t="n">
        <v>109.4216</v>
      </c>
      <c r="AF1183" s="89" t="n">
        <v>102.5915</v>
      </c>
      <c r="AG1183" s="89" t="n">
        <v>101.2413</v>
      </c>
      <c r="AH1183" s="89" t="n">
        <v>102.9126</v>
      </c>
      <c r="AI1183" s="89" t="n">
        <v>109.9</v>
      </c>
      <c r="AJ1183" s="89" t="n">
        <v>106.3291</v>
      </c>
      <c r="AK1183" s="89" t="n">
        <v>106.8178</v>
      </c>
      <c r="AL1183" s="89" t="n">
        <v>113.7095</v>
      </c>
      <c r="AM1183" s="89" t="n">
        <v>106.2</v>
      </c>
      <c r="AN1183" s="89" t="n"/>
      <c r="AO1183" s="89" t="n">
        <v>100.4548</v>
      </c>
      <c r="AP1183" s="89" t="n">
        <v>103.3828</v>
      </c>
      <c r="AQ1183" s="89" t="n"/>
      <c r="AR1183" s="89" t="n"/>
      <c r="AS1183" s="89" t="n"/>
      <c r="AT1183" s="89" t="n">
        <v>106.9784</v>
      </c>
      <c r="AU1183" s="89" t="n"/>
      <c r="AV1183" s="89" t="n">
        <v>106.7</v>
      </c>
      <c r="AW1183" s="89" t="n"/>
      <c r="AX1183" s="89" t="n">
        <v>111.1907</v>
      </c>
      <c r="AY1183" s="89" t="n">
        <v>95.6785</v>
      </c>
    </row>
    <row r="1184">
      <c r="A1184" t="inlineStr">
        <is>
          <t>2017-07</t>
        </is>
      </c>
      <c r="B1184" s="1" t="n">
        <v>42917</v>
      </c>
      <c r="C1184" s="88" t="n">
        <v>1184</v>
      </c>
      <c r="E1184" s="1">
        <f>B1184</f>
        <v/>
      </c>
      <c r="F1184" s="2">
        <f>B1184</f>
        <v/>
      </c>
      <c r="G1184" s="88" t="n">
        <v>1182</v>
      </c>
      <c r="H1184" s="89" t="n"/>
      <c r="I1184" s="89" t="n"/>
      <c r="J1184" s="89" t="n">
        <v>112.0907</v>
      </c>
      <c r="K1184" s="89" t="n">
        <v>105.9499</v>
      </c>
      <c r="L1184" s="89" t="n"/>
      <c r="M1184" s="89" t="n">
        <v>107.782</v>
      </c>
      <c r="N1184" s="89" t="n">
        <v>104.6913</v>
      </c>
      <c r="O1184" s="89" t="n">
        <v>104.5</v>
      </c>
      <c r="P1184" s="89" t="n">
        <v>104.5081</v>
      </c>
      <c r="Q1184" s="89" t="n"/>
      <c r="R1184" s="89" t="n">
        <v>108.9</v>
      </c>
      <c r="S1184" s="89" t="n">
        <v>102.7209</v>
      </c>
      <c r="T1184" s="89" t="n">
        <v>102.5783</v>
      </c>
      <c r="U1184" s="89" t="n">
        <v>105.5768</v>
      </c>
      <c r="V1184" s="89" t="n">
        <v>102.7086</v>
      </c>
      <c r="W1184" s="89" t="n">
        <v>102.6086</v>
      </c>
      <c r="X1184" s="89" t="n">
        <v>91.53857000000001</v>
      </c>
      <c r="Y1184" s="89" t="n">
        <v>100.9836</v>
      </c>
      <c r="Z1184" s="89" t="n">
        <v>106.4911</v>
      </c>
      <c r="AA1184" s="89" t="n">
        <v>102.4915</v>
      </c>
      <c r="AB1184" s="89" t="n">
        <v>104.5913</v>
      </c>
      <c r="AC1184" s="89" t="n">
        <v>102.1915</v>
      </c>
      <c r="AD1184" s="89" t="n">
        <v>113.7</v>
      </c>
      <c r="AE1184" s="89" t="n">
        <v>108.4362</v>
      </c>
      <c r="AF1184" s="89" t="n">
        <v>101.7915</v>
      </c>
      <c r="AG1184" s="89" t="n">
        <v>101.0085</v>
      </c>
      <c r="AH1184" s="89" t="n">
        <v>103.3356</v>
      </c>
      <c r="AI1184" s="89" t="n">
        <v>108.5</v>
      </c>
      <c r="AJ1184" s="89" t="n">
        <v>108.7591</v>
      </c>
      <c r="AK1184" s="89" t="n">
        <v>108.118</v>
      </c>
      <c r="AL1184" s="89" t="n">
        <v>114.8096</v>
      </c>
      <c r="AM1184" s="89" t="n">
        <v>106.4</v>
      </c>
      <c r="AN1184" s="89" t="n"/>
      <c r="AO1184" s="89" t="n">
        <v>100.4143</v>
      </c>
      <c r="AP1184" s="89" t="n">
        <v>105.0825</v>
      </c>
      <c r="AQ1184" s="89" t="n"/>
      <c r="AR1184" s="89" t="n"/>
      <c r="AS1184" s="89" t="n"/>
      <c r="AT1184" s="89" t="n">
        <v>106.3032</v>
      </c>
      <c r="AU1184" s="89" t="n"/>
      <c r="AV1184" s="89" t="n">
        <v>106.3</v>
      </c>
      <c r="AW1184" s="89" t="n"/>
      <c r="AX1184" s="89" t="n">
        <v>110.9908</v>
      </c>
      <c r="AY1184" s="89" t="n">
        <v>95.89870000000001</v>
      </c>
    </row>
    <row r="1185">
      <c r="A1185" t="inlineStr">
        <is>
          <t>2017-08</t>
        </is>
      </c>
      <c r="B1185" s="1" t="n">
        <v>42948</v>
      </c>
      <c r="C1185" s="88" t="n">
        <v>1185</v>
      </c>
      <c r="E1185" s="1">
        <f>B1185</f>
        <v/>
      </c>
      <c r="F1185" s="2">
        <f>B1185</f>
        <v/>
      </c>
      <c r="G1185" s="88" t="n">
        <v>1183</v>
      </c>
      <c r="H1185" s="89" t="n"/>
      <c r="I1185" s="89" t="n"/>
      <c r="J1185" s="89" t="n">
        <v>109.8908</v>
      </c>
      <c r="K1185" s="89" t="n">
        <v>104.7596</v>
      </c>
      <c r="L1185" s="89" t="n"/>
      <c r="M1185" s="89" t="n">
        <v>110.5816</v>
      </c>
      <c r="N1185" s="89" t="n">
        <v>106.7911</v>
      </c>
      <c r="O1185" s="89" t="n">
        <v>108.2</v>
      </c>
      <c r="P1185" s="89" t="n">
        <v>104.9691</v>
      </c>
      <c r="Q1185" s="89" t="n"/>
      <c r="R1185" s="89" t="n">
        <v>107.5</v>
      </c>
      <c r="S1185" s="89" t="n">
        <v>102.9209</v>
      </c>
      <c r="T1185" s="89" t="n">
        <v>102.4745</v>
      </c>
      <c r="U1185" s="89" t="n">
        <v>108.7731</v>
      </c>
      <c r="V1185" s="89" t="n">
        <v>106.8089</v>
      </c>
      <c r="W1185" s="89" t="n">
        <v>93.10776</v>
      </c>
      <c r="X1185" s="89" t="n">
        <v>100.1429</v>
      </c>
      <c r="Y1185" s="89" t="n">
        <v>100.4215</v>
      </c>
      <c r="Z1185" s="89" t="n">
        <v>108.291</v>
      </c>
      <c r="AA1185" s="89" t="n">
        <v>103.7914</v>
      </c>
      <c r="AB1185" s="89" t="n">
        <v>104.9912</v>
      </c>
      <c r="AC1185" s="89" t="n">
        <v>104.3913</v>
      </c>
      <c r="AD1185" s="89" t="n">
        <v>113</v>
      </c>
      <c r="AE1185" s="89" t="n">
        <v>108.7911</v>
      </c>
      <c r="AF1185" s="89" t="n">
        <v>101.6915</v>
      </c>
      <c r="AG1185" s="89" t="n">
        <v>101.474</v>
      </c>
      <c r="AH1185" s="89" t="n">
        <v>103.8594</v>
      </c>
      <c r="AI1185" s="89" t="n">
        <v>112.4</v>
      </c>
      <c r="AJ1185" s="89" t="n">
        <v>113.6091</v>
      </c>
      <c r="AK1185" s="89" t="n">
        <v>108.9182</v>
      </c>
      <c r="AL1185" s="89" t="n">
        <v>116.0097</v>
      </c>
      <c r="AM1185" s="89" t="n">
        <v>105.7</v>
      </c>
      <c r="AN1185" s="89" t="n"/>
      <c r="AO1185" s="89" t="n">
        <v>99.93861</v>
      </c>
      <c r="AP1185" s="89" t="n">
        <v>105.6824</v>
      </c>
      <c r="AQ1185" s="89" t="n"/>
      <c r="AR1185" s="89" t="n"/>
      <c r="AS1185" s="89" t="n"/>
      <c r="AT1185" s="89" t="n">
        <v>109.7957</v>
      </c>
      <c r="AU1185" s="89" t="n"/>
      <c r="AV1185" s="89" t="n">
        <v>106.7</v>
      </c>
      <c r="AW1185" s="89" t="n"/>
      <c r="AX1185" s="89" t="n">
        <v>114.3905</v>
      </c>
      <c r="AY1185" s="89" t="n">
        <v>95.6785</v>
      </c>
    </row>
    <row r="1186">
      <c r="A1186" t="inlineStr">
        <is>
          <t>2017-09</t>
        </is>
      </c>
      <c r="B1186" s="1" t="n">
        <v>42979</v>
      </c>
      <c r="C1186" s="88" t="n">
        <v>1186</v>
      </c>
      <c r="E1186" s="1">
        <f>B1186</f>
        <v/>
      </c>
      <c r="F1186" s="2">
        <f>B1186</f>
        <v/>
      </c>
      <c r="G1186" s="88" t="n">
        <v>1184</v>
      </c>
      <c r="H1186" s="89" t="n"/>
      <c r="I1186" s="89" t="n"/>
      <c r="J1186" s="89" t="n">
        <v>108.091</v>
      </c>
      <c r="K1186" s="89" t="n">
        <v>105.2452</v>
      </c>
      <c r="L1186" s="89" t="n"/>
      <c r="M1186" s="89" t="n">
        <v>111.8814</v>
      </c>
      <c r="N1186" s="89" t="n">
        <v>106.0912</v>
      </c>
      <c r="O1186" s="89" t="n">
        <v>102.5</v>
      </c>
      <c r="P1186" s="89" t="n">
        <v>105.5681</v>
      </c>
      <c r="Q1186" s="89" t="n"/>
      <c r="R1186" s="89" t="n">
        <v>106.9</v>
      </c>
      <c r="S1186" s="89" t="n">
        <v>103.7909</v>
      </c>
      <c r="T1186" s="89" t="n">
        <v>104.1357</v>
      </c>
      <c r="U1186" s="89" t="n">
        <v>104.1785</v>
      </c>
      <c r="V1186" s="89" t="n">
        <v>106.3089</v>
      </c>
      <c r="W1186" s="89" t="n">
        <v>98.80824</v>
      </c>
      <c r="X1186" s="89" t="n">
        <v>95.64026</v>
      </c>
      <c r="Y1186" s="89" t="n">
        <v>103.3255</v>
      </c>
      <c r="Z1186" s="89" t="n">
        <v>105.2912</v>
      </c>
      <c r="AA1186" s="89" t="n">
        <v>102.5915</v>
      </c>
      <c r="AB1186" s="89" t="n">
        <v>105.4912</v>
      </c>
      <c r="AC1186" s="89" t="n">
        <v>104.8913</v>
      </c>
      <c r="AD1186" s="89" t="n">
        <v>116.2</v>
      </c>
      <c r="AE1186" s="89" t="n">
        <v>108.2988</v>
      </c>
      <c r="AF1186" s="89" t="n">
        <v>102.4915</v>
      </c>
      <c r="AG1186" s="89" t="n">
        <v>102.9868</v>
      </c>
      <c r="AH1186" s="89" t="n">
        <v>103.7216</v>
      </c>
      <c r="AI1186" s="89" t="n">
        <v>111.1</v>
      </c>
      <c r="AJ1186" s="89" t="n">
        <v>106.8791</v>
      </c>
      <c r="AK1186" s="89" t="n">
        <v>109.9183</v>
      </c>
      <c r="AL1186" s="89" t="n">
        <v>119.91</v>
      </c>
      <c r="AM1186" s="89" t="n">
        <v>107.5</v>
      </c>
      <c r="AN1186" s="89" t="n"/>
      <c r="AO1186" s="89" t="n">
        <v>99.94121</v>
      </c>
      <c r="AP1186" s="89" t="n">
        <v>105.2825</v>
      </c>
      <c r="AQ1186" s="89" t="n"/>
      <c r="AR1186" s="89" t="n"/>
      <c r="AS1186" s="89" t="n"/>
      <c r="AT1186" s="89" t="n">
        <v>110.3844</v>
      </c>
      <c r="AU1186" s="89" t="n"/>
      <c r="AV1186" s="89" t="n">
        <v>106.8</v>
      </c>
      <c r="AW1186" s="89" t="n"/>
      <c r="AX1186" s="89" t="n">
        <v>115.7904</v>
      </c>
      <c r="AY1186" s="89" t="n">
        <v>96.11891</v>
      </c>
    </row>
    <row r="1187">
      <c r="A1187" t="inlineStr">
        <is>
          <t>2017-10</t>
        </is>
      </c>
      <c r="B1187" s="1" t="n">
        <v>43009</v>
      </c>
      <c r="C1187" s="88" t="n">
        <v>1187</v>
      </c>
      <c r="E1187" s="1">
        <f>B1187</f>
        <v/>
      </c>
      <c r="F1187" s="2">
        <f>B1187</f>
        <v/>
      </c>
      <c r="G1187" s="88" t="n">
        <v>1185</v>
      </c>
      <c r="H1187" s="89" t="n"/>
      <c r="I1187" s="89" t="n"/>
      <c r="J1187" s="89" t="n">
        <v>107.0911</v>
      </c>
      <c r="K1187" s="89" t="n">
        <v>104.4886</v>
      </c>
      <c r="L1187" s="89" t="n"/>
      <c r="M1187" s="89" t="n">
        <v>110.1816</v>
      </c>
      <c r="N1187" s="89" t="n">
        <v>104.3913</v>
      </c>
      <c r="O1187" s="89" t="n">
        <v>105.6</v>
      </c>
      <c r="P1187" s="89" t="n">
        <v>105.7781</v>
      </c>
      <c r="Q1187" s="89" t="n"/>
      <c r="R1187" s="89" t="n">
        <v>108.3</v>
      </c>
      <c r="S1187" s="89" t="n">
        <v>104.2309</v>
      </c>
      <c r="T1187" s="89" t="n">
        <v>103.928</v>
      </c>
      <c r="U1187" s="89" t="n">
        <v>107.7743</v>
      </c>
      <c r="V1187" s="89" t="n">
        <v>108.009</v>
      </c>
      <c r="W1187" s="89" t="n">
        <v>99.30826999999999</v>
      </c>
      <c r="X1187" s="89" t="n">
        <v>92.9348</v>
      </c>
      <c r="Y1187" s="89" t="n">
        <v>103.2318</v>
      </c>
      <c r="Z1187" s="89" t="n">
        <v>105.5912</v>
      </c>
      <c r="AA1187" s="89" t="n">
        <v>103.1914</v>
      </c>
      <c r="AB1187" s="89" t="n">
        <v>105.7912</v>
      </c>
      <c r="AC1187" s="89" t="n">
        <v>101.9915</v>
      </c>
      <c r="AD1187" s="89" t="n">
        <v>115.1</v>
      </c>
      <c r="AE1187" s="89" t="n">
        <v>108.8087</v>
      </c>
      <c r="AF1187" s="89" t="n">
        <v>104.0913</v>
      </c>
      <c r="AG1187" s="89" t="n">
        <v>98.91388999999999</v>
      </c>
      <c r="AH1187" s="89" t="n">
        <v>104.1472</v>
      </c>
      <c r="AI1187" s="89" t="n">
        <v>112.4</v>
      </c>
      <c r="AJ1187" s="89" t="n">
        <v>105.9291</v>
      </c>
      <c r="AK1187" s="89" t="n">
        <v>110.2184</v>
      </c>
      <c r="AL1187" s="89" t="n">
        <v>118.6099</v>
      </c>
      <c r="AM1187" s="89" t="n">
        <v>107.3</v>
      </c>
      <c r="AN1187" s="89" t="n"/>
      <c r="AO1187" s="89" t="n">
        <v>101.4574</v>
      </c>
      <c r="AP1187" s="89" t="n">
        <v>104.9825</v>
      </c>
      <c r="AQ1187" s="89" t="n"/>
      <c r="AR1187" s="89" t="n"/>
      <c r="AS1187" s="89" t="n"/>
      <c r="AT1187" s="89" t="n">
        <v>110.2457</v>
      </c>
      <c r="AU1187" s="89" t="n"/>
      <c r="AV1187" s="89" t="n">
        <v>105.7</v>
      </c>
      <c r="AW1187" s="89" t="n"/>
      <c r="AX1187" s="89" t="n">
        <v>116.3903</v>
      </c>
      <c r="AY1187" s="89" t="n">
        <v>96.77952000000001</v>
      </c>
    </row>
    <row r="1188">
      <c r="A1188" t="inlineStr">
        <is>
          <t>2017-11</t>
        </is>
      </c>
      <c r="B1188" s="1" t="n">
        <v>43040</v>
      </c>
      <c r="C1188" s="88" t="n">
        <v>1188</v>
      </c>
      <c r="E1188" s="1">
        <f>B1188</f>
        <v/>
      </c>
      <c r="F1188" s="2">
        <f>B1188</f>
        <v/>
      </c>
      <c r="G1188" s="88" t="n">
        <v>1186</v>
      </c>
      <c r="H1188" s="89" t="n"/>
      <c r="I1188" s="89" t="n"/>
      <c r="J1188" s="89" t="n">
        <v>107.791</v>
      </c>
      <c r="K1188" s="89" t="n">
        <v>105.8889</v>
      </c>
      <c r="L1188" s="89" t="n"/>
      <c r="M1188" s="89" t="n">
        <v>112.9812</v>
      </c>
      <c r="N1188" s="89" t="n">
        <v>108.591</v>
      </c>
      <c r="O1188" s="89" t="n">
        <v>106.7</v>
      </c>
      <c r="P1188" s="89" t="n">
        <v>107.5271</v>
      </c>
      <c r="Q1188" s="89" t="n"/>
      <c r="R1188" s="89" t="n">
        <v>110</v>
      </c>
      <c r="S1188" s="89" t="n">
        <v>104.6609</v>
      </c>
      <c r="T1188" s="89" t="n">
        <v>104.1357</v>
      </c>
      <c r="U1188" s="89" t="n">
        <v>106.7754</v>
      </c>
      <c r="V1188" s="89" t="n">
        <v>106.4089</v>
      </c>
      <c r="W1188" s="89" t="n">
        <v>106.5089</v>
      </c>
      <c r="X1188" s="89" t="n">
        <v>96.8969</v>
      </c>
      <c r="Y1188" s="89" t="n">
        <v>104.637</v>
      </c>
      <c r="Z1188" s="89" t="n">
        <v>107.2911</v>
      </c>
      <c r="AA1188" s="89" t="n">
        <v>103.9913</v>
      </c>
      <c r="AB1188" s="89" t="n">
        <v>105.5912</v>
      </c>
      <c r="AC1188" s="89" t="n">
        <v>106.8911</v>
      </c>
      <c r="AD1188" s="89" t="n">
        <v>115.6</v>
      </c>
      <c r="AE1188" s="89" t="n">
        <v>108.1969</v>
      </c>
      <c r="AF1188" s="89" t="n">
        <v>104.4913</v>
      </c>
      <c r="AG1188" s="89" t="n">
        <v>98.56478</v>
      </c>
      <c r="AH1188" s="89" t="n">
        <v>105.1624</v>
      </c>
      <c r="AI1188" s="89" t="n">
        <v>111.7</v>
      </c>
      <c r="AJ1188" s="89" t="n">
        <v>106.3591</v>
      </c>
      <c r="AK1188" s="89" t="n">
        <v>112.4187</v>
      </c>
      <c r="AL1188" s="89" t="n">
        <v>119.61</v>
      </c>
      <c r="AM1188" s="89" t="n">
        <v>108.9</v>
      </c>
      <c r="AN1188" s="89" t="n"/>
      <c r="AO1188" s="89" t="n">
        <v>101.9994</v>
      </c>
      <c r="AP1188" s="89" t="n">
        <v>107.4821</v>
      </c>
      <c r="AQ1188" s="89" t="n"/>
      <c r="AR1188" s="89" t="n"/>
      <c r="AS1188" s="89" t="n"/>
      <c r="AT1188" s="89" t="n">
        <v>115.0131</v>
      </c>
      <c r="AU1188" s="89" t="n"/>
      <c r="AV1188" s="89" t="n">
        <v>106</v>
      </c>
      <c r="AW1188" s="89" t="n"/>
      <c r="AX1188" s="89" t="n">
        <v>116.9902</v>
      </c>
      <c r="AY1188" s="89" t="n">
        <v>97.44013</v>
      </c>
    </row>
    <row r="1189">
      <c r="A1189" t="inlineStr">
        <is>
          <t>2017-12</t>
        </is>
      </c>
      <c r="B1189" s="1" t="n">
        <v>43070</v>
      </c>
      <c r="C1189" s="88" t="n">
        <v>1189</v>
      </c>
      <c r="E1189" s="1">
        <f>B1189</f>
        <v/>
      </c>
      <c r="F1189" s="2">
        <f>B1189</f>
        <v/>
      </c>
      <c r="G1189" s="88" t="n">
        <v>1187</v>
      </c>
      <c r="H1189" s="89" t="n"/>
      <c r="I1189" s="89" t="n"/>
      <c r="J1189" s="89" t="n">
        <v>106.7911</v>
      </c>
      <c r="K1189" s="89" t="n">
        <v>106.8175</v>
      </c>
      <c r="L1189" s="89" t="n"/>
      <c r="M1189" s="89" t="n">
        <v>113.1811</v>
      </c>
      <c r="N1189" s="89" t="n">
        <v>108.191</v>
      </c>
      <c r="O1189" s="89" t="n">
        <v>106.9</v>
      </c>
      <c r="P1189" s="89" t="n">
        <v>109.7471</v>
      </c>
      <c r="Q1189" s="89" t="n"/>
      <c r="R1189" s="89" t="n">
        <v>111.3</v>
      </c>
      <c r="S1189" s="89" t="n">
        <v>105.7009</v>
      </c>
      <c r="T1189" s="89" t="n">
        <v>103.7204</v>
      </c>
      <c r="U1189" s="89" t="n">
        <v>108.2737</v>
      </c>
      <c r="V1189" s="89" t="n">
        <v>108.109</v>
      </c>
      <c r="W1189" s="89" t="n">
        <v>105.0088</v>
      </c>
      <c r="X1189" s="89" t="n">
        <v>102.4182</v>
      </c>
      <c r="Y1189" s="89" t="n">
        <v>104.2623</v>
      </c>
      <c r="Z1189" s="89" t="n">
        <v>110.2908</v>
      </c>
      <c r="AA1189" s="89" t="n">
        <v>105.4912</v>
      </c>
      <c r="AB1189" s="89" t="n">
        <v>103.6914</v>
      </c>
      <c r="AC1189" s="89" t="n">
        <v>107.591</v>
      </c>
      <c r="AD1189" s="89" t="n">
        <v>115.1</v>
      </c>
      <c r="AE1189" s="89" t="n">
        <v>109.7265</v>
      </c>
      <c r="AF1189" s="89" t="n">
        <v>104.5913</v>
      </c>
      <c r="AG1189" s="89" t="n">
        <v>98.91388999999999</v>
      </c>
      <c r="AH1189" s="89" t="n">
        <v>105.7947</v>
      </c>
      <c r="AI1189" s="89" t="n">
        <v>115.1</v>
      </c>
      <c r="AJ1189" s="89" t="n">
        <v>104.4591</v>
      </c>
      <c r="AK1189" s="89" t="n">
        <v>110.1184</v>
      </c>
      <c r="AL1189" s="89" t="n">
        <v>122.9102</v>
      </c>
      <c r="AM1189" s="89" t="n">
        <v>110</v>
      </c>
      <c r="AN1189" s="89" t="n"/>
      <c r="AO1189" s="89" t="n">
        <v>102.3288</v>
      </c>
      <c r="AP1189" s="89" t="n">
        <v>107.882</v>
      </c>
      <c r="AQ1189" s="89" t="n"/>
      <c r="AR1189" s="89" t="n"/>
      <c r="AS1189" s="89" t="n"/>
      <c r="AT1189" s="89" t="n">
        <v>113.1059</v>
      </c>
      <c r="AU1189" s="89" t="n"/>
      <c r="AV1189" s="89" t="n">
        <v>105.3</v>
      </c>
      <c r="AW1189" s="89" t="n"/>
      <c r="AX1189" s="89" t="n">
        <v>120.09</v>
      </c>
      <c r="AY1189" s="89" t="n">
        <v>100.7432</v>
      </c>
    </row>
    <row r="1190">
      <c r="A1190" t="inlineStr">
        <is>
          <t>2018-01</t>
        </is>
      </c>
      <c r="B1190" s="1" t="n">
        <v>43101</v>
      </c>
      <c r="C1190" s="88" t="n">
        <v>1190</v>
      </c>
      <c r="E1190" s="1">
        <f>B1190</f>
        <v/>
      </c>
      <c r="F1190" s="2">
        <f>B1190</f>
        <v/>
      </c>
      <c r="G1190" s="88" t="n">
        <v>1188</v>
      </c>
      <c r="H1190" s="89" t="n"/>
      <c r="I1190" s="89" t="n"/>
      <c r="J1190" s="89" t="n">
        <v>108.191</v>
      </c>
      <c r="K1190" s="89" t="n">
        <v>106.2468</v>
      </c>
      <c r="L1190" s="89" t="n"/>
      <c r="M1190" s="89" t="n">
        <v>113.5811</v>
      </c>
      <c r="N1190" s="89" t="n">
        <v>107.2911</v>
      </c>
      <c r="O1190" s="89" t="n">
        <v>107.8</v>
      </c>
      <c r="P1190" s="89" t="n">
        <v>104.2681</v>
      </c>
      <c r="Q1190" s="89" t="n"/>
      <c r="R1190" s="89" t="n">
        <v>111.4</v>
      </c>
      <c r="S1190" s="89" t="n">
        <v>102.0209</v>
      </c>
      <c r="T1190" s="89" t="n">
        <v>104.3433</v>
      </c>
      <c r="U1190" s="89" t="n">
        <v>107.4746</v>
      </c>
      <c r="V1190" s="89" t="n">
        <v>108.8091</v>
      </c>
      <c r="W1190" s="89" t="n">
        <v>101.3084</v>
      </c>
      <c r="X1190" s="89" t="n">
        <v>99.97450000000001</v>
      </c>
      <c r="Y1190" s="89" t="n">
        <v>105.9485</v>
      </c>
      <c r="Z1190" s="89" t="n">
        <v>106.1912</v>
      </c>
      <c r="AA1190" s="89" t="n">
        <v>101.2916</v>
      </c>
      <c r="AB1190" s="89" t="n">
        <v>105.0912</v>
      </c>
      <c r="AC1190" s="89" t="n">
        <v>104.6913</v>
      </c>
      <c r="AD1190" s="89" t="n">
        <v>116.3</v>
      </c>
      <c r="AE1190" s="89" t="n">
        <v>109.2166</v>
      </c>
      <c r="AF1190" s="89" t="n">
        <v>105.1912</v>
      </c>
      <c r="AG1190" s="89" t="n">
        <v>102.2886</v>
      </c>
      <c r="AH1190" s="89" t="n">
        <v>104.6653</v>
      </c>
      <c r="AI1190" s="89" t="n">
        <v>112.9</v>
      </c>
      <c r="AJ1190" s="89" t="n">
        <v>107.4091</v>
      </c>
      <c r="AK1190" s="89" t="n">
        <v>107.4179</v>
      </c>
      <c r="AL1190" s="89" t="n">
        <v>123.0103</v>
      </c>
      <c r="AM1190" s="89" t="n">
        <v>108.9</v>
      </c>
      <c r="AN1190" s="89" t="n"/>
      <c r="AO1190" s="89" t="n">
        <v>102.069</v>
      </c>
      <c r="AP1190" s="89" t="n">
        <v>105.8824</v>
      </c>
      <c r="AQ1190" s="89" t="n"/>
      <c r="AR1190" s="89" t="n"/>
      <c r="AS1190" s="89" t="n"/>
      <c r="AT1190" s="89" t="n">
        <v>113.593</v>
      </c>
      <c r="AU1190" s="89" t="n"/>
      <c r="AV1190" s="89" t="n">
        <v>108.3</v>
      </c>
      <c r="AW1190" s="89" t="n"/>
      <c r="AX1190" s="89" t="n">
        <v>118.0902</v>
      </c>
      <c r="AY1190" s="89" t="n">
        <v>98.21084999999999</v>
      </c>
    </row>
    <row r="1191">
      <c r="A1191" t="inlineStr">
        <is>
          <t>2018-02</t>
        </is>
      </c>
      <c r="B1191" s="1" t="n">
        <v>43132</v>
      </c>
      <c r="C1191" s="88" t="n">
        <v>1191</v>
      </c>
      <c r="E1191" s="1">
        <f>B1191</f>
        <v/>
      </c>
      <c r="F1191" s="2">
        <f>B1191</f>
        <v/>
      </c>
      <c r="G1191" s="88" t="n">
        <v>1189</v>
      </c>
      <c r="H1191" s="89" t="n"/>
      <c r="I1191" s="89" t="n"/>
      <c r="J1191" s="89" t="n">
        <v>105.7912</v>
      </c>
      <c r="K1191" s="89" t="n">
        <v>107.6217</v>
      </c>
      <c r="L1191" s="89" t="n"/>
      <c r="M1191" s="89" t="n">
        <v>110.9815</v>
      </c>
      <c r="N1191" s="89" t="n">
        <v>105.2912</v>
      </c>
      <c r="O1191" s="89" t="n">
        <v>106.9</v>
      </c>
      <c r="P1191" s="89" t="n">
        <v>106.1961</v>
      </c>
      <c r="Q1191" s="89" t="n"/>
      <c r="R1191" s="89" t="n">
        <v>111.5</v>
      </c>
      <c r="S1191" s="89" t="n">
        <v>103.1509</v>
      </c>
      <c r="T1191" s="89" t="n">
        <v>104.3433</v>
      </c>
      <c r="U1191" s="89" t="n">
        <v>107.8741</v>
      </c>
      <c r="V1191" s="89" t="n">
        <v>109.0091</v>
      </c>
      <c r="W1191" s="89" t="n">
        <v>95.70798000000001</v>
      </c>
      <c r="X1191" s="89" t="n">
        <v>98.67519</v>
      </c>
      <c r="Y1191" s="89" t="n">
        <v>103.2318</v>
      </c>
      <c r="Z1191" s="89" t="n">
        <v>105.7912</v>
      </c>
      <c r="AA1191" s="89" t="n">
        <v>103.7914</v>
      </c>
      <c r="AB1191" s="89" t="n">
        <v>106.5911</v>
      </c>
      <c r="AC1191" s="89" t="n">
        <v>101.4915</v>
      </c>
      <c r="AD1191" s="89" t="n">
        <v>119.4</v>
      </c>
      <c r="AE1191" s="89" t="n">
        <v>110.3384</v>
      </c>
      <c r="AF1191" s="89" t="n">
        <v>104.5913</v>
      </c>
      <c r="AG1191" s="89" t="n">
        <v>102.2886</v>
      </c>
      <c r="AH1191" s="89" t="n">
        <v>105.0072</v>
      </c>
      <c r="AI1191" s="89" t="n">
        <v>114.1</v>
      </c>
      <c r="AJ1191" s="89" t="n">
        <v>105.0791</v>
      </c>
      <c r="AK1191" s="89" t="n">
        <v>109.4182</v>
      </c>
      <c r="AL1191" s="89" t="n">
        <v>119.71</v>
      </c>
      <c r="AM1191" s="89" t="n">
        <v>108.9</v>
      </c>
      <c r="AN1191" s="89" t="n"/>
      <c r="AO1191" s="89" t="n">
        <v>102.4306</v>
      </c>
      <c r="AP1191" s="89" t="n">
        <v>105.0825</v>
      </c>
      <c r="AQ1191" s="89" t="n"/>
      <c r="AR1191" s="89" t="n"/>
      <c r="AS1191" s="89" t="n"/>
      <c r="AT1191" s="89" t="n">
        <v>114.648</v>
      </c>
      <c r="AU1191" s="89" t="n"/>
      <c r="AV1191" s="89" t="n">
        <v>107.6</v>
      </c>
      <c r="AW1191" s="89" t="n"/>
      <c r="AX1191" s="89" t="n">
        <v>117.0902</v>
      </c>
      <c r="AY1191" s="89" t="n">
        <v>97.99064</v>
      </c>
    </row>
    <row r="1192">
      <c r="A1192" t="inlineStr">
        <is>
          <t>2018-03</t>
        </is>
      </c>
      <c r="B1192" s="1" t="n">
        <v>43160</v>
      </c>
      <c r="C1192" s="88" t="n">
        <v>1192</v>
      </c>
      <c r="E1192" s="1">
        <f>B1192</f>
        <v/>
      </c>
      <c r="F1192" s="2">
        <f>B1192</f>
        <v/>
      </c>
      <c r="G1192" s="88" t="n">
        <v>1190</v>
      </c>
      <c r="H1192" s="89" t="n"/>
      <c r="I1192" s="89" t="n"/>
      <c r="J1192" s="89" t="n">
        <v>109.8908</v>
      </c>
      <c r="K1192" s="89" t="n">
        <v>108.6889</v>
      </c>
      <c r="L1192" s="89" t="n"/>
      <c r="M1192" s="89" t="n">
        <v>112.6812</v>
      </c>
      <c r="N1192" s="89" t="n">
        <v>106.5911</v>
      </c>
      <c r="O1192" s="89" t="n">
        <v>106.6</v>
      </c>
      <c r="P1192" s="89" t="n">
        <v>108.0001</v>
      </c>
      <c r="Q1192" s="89" t="n"/>
      <c r="R1192" s="89" t="n">
        <v>113</v>
      </c>
      <c r="S1192" s="89" t="n">
        <v>103.9009</v>
      </c>
      <c r="T1192" s="89" t="n">
        <v>104.0318</v>
      </c>
      <c r="U1192" s="89" t="n">
        <v>108.6732</v>
      </c>
      <c r="V1192" s="89" t="n">
        <v>108.209</v>
      </c>
      <c r="W1192" s="89" t="n">
        <v>78.80656</v>
      </c>
      <c r="X1192" s="89" t="n"/>
      <c r="Y1192" s="89" t="n">
        <v>105.2927</v>
      </c>
      <c r="Z1192" s="89" t="n">
        <v>107.2911</v>
      </c>
      <c r="AA1192" s="89" t="n">
        <v>104.8913</v>
      </c>
      <c r="AB1192" s="89" t="n">
        <v>104.8913</v>
      </c>
      <c r="AC1192" s="89" t="n">
        <v>102.5915</v>
      </c>
      <c r="AD1192" s="89" t="n">
        <v>114.5</v>
      </c>
      <c r="AE1192" s="89" t="n"/>
      <c r="AF1192" s="89" t="n">
        <v>105.1912</v>
      </c>
      <c r="AG1192" s="89" t="n">
        <v>102.0559</v>
      </c>
      <c r="AH1192" s="89" t="n">
        <v>105.353</v>
      </c>
      <c r="AI1192" s="89" t="n">
        <v>113.2</v>
      </c>
      <c r="AJ1192" s="89" t="n">
        <v>109.8991</v>
      </c>
      <c r="AK1192" s="89" t="n">
        <v>110.2184</v>
      </c>
      <c r="AL1192" s="89" t="n">
        <v>120.7101</v>
      </c>
      <c r="AM1192" s="89" t="n">
        <v>109.9</v>
      </c>
      <c r="AN1192" s="89" t="n"/>
      <c r="AO1192" s="89" t="n">
        <v>103.0165</v>
      </c>
      <c r="AP1192" s="89" t="n">
        <v>105.1825</v>
      </c>
      <c r="AQ1192" s="89" t="n"/>
      <c r="AR1192" s="89" t="n"/>
      <c r="AS1192" s="89" t="n"/>
      <c r="AT1192" s="89" t="n">
        <v>113.6186</v>
      </c>
      <c r="AU1192" s="89" t="n"/>
      <c r="AV1192" s="89" t="n">
        <v>108.3</v>
      </c>
      <c r="AW1192" s="89" t="n"/>
      <c r="AX1192" s="89" t="n">
        <v>116.7903</v>
      </c>
      <c r="AY1192" s="89" t="n">
        <v>98.43105</v>
      </c>
    </row>
    <row r="1193">
      <c r="A1193" t="inlineStr">
        <is>
          <t>2018-04</t>
        </is>
      </c>
      <c r="B1193" s="1" t="n">
        <v>43191</v>
      </c>
      <c r="C1193" s="88" t="n">
        <v>1193</v>
      </c>
      <c r="E1193" s="1">
        <f>B1193</f>
        <v/>
      </c>
      <c r="F1193" s="2">
        <f>B1193</f>
        <v/>
      </c>
      <c r="G1193" s="88" t="n">
        <v>1191</v>
      </c>
      <c r="H1193" s="89" t="n"/>
      <c r="I1193" s="89" t="n"/>
      <c r="J1193" s="89" t="n">
        <v>110.4908</v>
      </c>
      <c r="K1193" s="89" t="n">
        <v>108.9155</v>
      </c>
      <c r="L1193" s="89" t="n"/>
      <c r="M1193" s="89" t="n">
        <v>110.3816</v>
      </c>
      <c r="N1193" s="89" t="n">
        <v>106.0912</v>
      </c>
      <c r="O1193" s="89" t="n">
        <v>107.5</v>
      </c>
      <c r="P1193" s="89" t="n">
        <v>105.0941</v>
      </c>
      <c r="Q1193" s="89" t="n"/>
      <c r="R1193" s="89" t="n">
        <v>107.9</v>
      </c>
      <c r="S1193" s="89" t="n">
        <v>102.6409</v>
      </c>
      <c r="T1193" s="89" t="n">
        <v>104.3433</v>
      </c>
      <c r="U1193" s="89" t="n">
        <v>106.6755</v>
      </c>
      <c r="V1193" s="89" t="n">
        <v>108.309</v>
      </c>
      <c r="W1193" s="89" t="n">
        <v>93.10776</v>
      </c>
      <c r="X1193" s="89" t="n"/>
      <c r="Y1193" s="89" t="n">
        <v>104.8244</v>
      </c>
      <c r="Z1193" s="89" t="n">
        <v>106.2911</v>
      </c>
      <c r="AA1193" s="89" t="n">
        <v>104.2913</v>
      </c>
      <c r="AB1193" s="89" t="n">
        <v>107.0911</v>
      </c>
      <c r="AC1193" s="89" t="n">
        <v>99.29173</v>
      </c>
      <c r="AD1193" s="89" t="n">
        <v>116</v>
      </c>
      <c r="AE1193" s="89" t="n"/>
      <c r="AF1193" s="89" t="n">
        <v>103.1914</v>
      </c>
      <c r="AG1193" s="89" t="n">
        <v>100.4267</v>
      </c>
      <c r="AH1193" s="89" t="n">
        <v>105.638</v>
      </c>
      <c r="AI1193" s="89" t="n">
        <v>114.8</v>
      </c>
      <c r="AJ1193" s="89" t="n">
        <v>106.7591</v>
      </c>
      <c r="AK1193" s="89" t="n">
        <v>109.3182</v>
      </c>
      <c r="AL1193" s="89" t="n">
        <v>120.7101</v>
      </c>
      <c r="AM1193" s="89" t="n">
        <v>105.3</v>
      </c>
      <c r="AN1193" s="89" t="n"/>
      <c r="AO1193" s="89" t="n">
        <v>103.9485</v>
      </c>
      <c r="AP1193" s="89" t="n">
        <v>105.1825</v>
      </c>
      <c r="AQ1193" s="89" t="n"/>
      <c r="AR1193" s="89" t="n"/>
      <c r="AS1193" s="89" t="n"/>
      <c r="AT1193" s="89" t="n">
        <v>112.2715</v>
      </c>
      <c r="AU1193" s="89" t="n"/>
      <c r="AV1193" s="89" t="n">
        <v>107.9</v>
      </c>
      <c r="AW1193" s="89" t="n"/>
      <c r="AX1193" s="89" t="n">
        <v>118.0902</v>
      </c>
      <c r="AY1193" s="89" t="n">
        <v>98.87145</v>
      </c>
    </row>
    <row r="1194">
      <c r="A1194" t="inlineStr">
        <is>
          <t>2018-05</t>
        </is>
      </c>
      <c r="B1194" s="1" t="n">
        <v>43221</v>
      </c>
      <c r="C1194" s="88" t="n">
        <v>1194</v>
      </c>
      <c r="E1194" s="1">
        <f>B1194</f>
        <v/>
      </c>
      <c r="F1194" s="2">
        <f>B1194</f>
        <v/>
      </c>
      <c r="G1194" s="88" t="n">
        <v>1192</v>
      </c>
      <c r="H1194" s="89" t="n"/>
      <c r="I1194" s="89" t="n"/>
      <c r="J1194" s="89" t="n">
        <v>110.6908</v>
      </c>
      <c r="K1194" s="89" t="n">
        <v>109.1699</v>
      </c>
      <c r="L1194" s="89" t="n"/>
      <c r="M1194" s="89" t="n">
        <v>113.1811</v>
      </c>
      <c r="N1194" s="89" t="n">
        <v>107.791</v>
      </c>
      <c r="O1194" s="89" t="n">
        <v>105.1</v>
      </c>
      <c r="P1194" s="89" t="n">
        <v>105.7231</v>
      </c>
      <c r="Q1194" s="89" t="n"/>
      <c r="R1194" s="89" t="n">
        <v>112.2</v>
      </c>
      <c r="S1194" s="89" t="n">
        <v>101.7008</v>
      </c>
      <c r="T1194" s="89" t="n">
        <v>103.3051</v>
      </c>
      <c r="U1194" s="89" t="n">
        <v>108.3736</v>
      </c>
      <c r="V1194" s="89" t="n">
        <v>110.5092</v>
      </c>
      <c r="W1194" s="89" t="n">
        <v>98.80824</v>
      </c>
      <c r="X1194" s="89" t="n"/>
      <c r="Y1194" s="89" t="n">
        <v>103.6066</v>
      </c>
      <c r="Z1194" s="89" t="n">
        <v>106.4911</v>
      </c>
      <c r="AA1194" s="89" t="n">
        <v>104.5913</v>
      </c>
      <c r="AB1194" s="89" t="n">
        <v>107.491</v>
      </c>
      <c r="AC1194" s="89" t="n">
        <v>101.3915</v>
      </c>
      <c r="AD1194" s="89" t="n">
        <v>114.4</v>
      </c>
      <c r="AE1194" s="89" t="n"/>
      <c r="AF1194" s="89" t="n">
        <v>103.3914</v>
      </c>
      <c r="AG1194" s="89" t="n">
        <v>99.14662</v>
      </c>
      <c r="AH1194" s="89" t="n">
        <v>105.7542</v>
      </c>
      <c r="AI1194" s="89" t="n">
        <v>116.5</v>
      </c>
      <c r="AJ1194" s="89" t="n">
        <v>105.2891</v>
      </c>
      <c r="AK1194" s="89" t="n">
        <v>112.7188</v>
      </c>
      <c r="AL1194" s="89" t="n">
        <v>121.4101</v>
      </c>
      <c r="AM1194" s="89" t="n">
        <v>109.9</v>
      </c>
      <c r="AN1194" s="89" t="n"/>
      <c r="AO1194" s="89" t="n">
        <v>103.124</v>
      </c>
      <c r="AP1194" s="89" t="n">
        <v>106.1823</v>
      </c>
      <c r="AQ1194" s="89" t="n"/>
      <c r="AR1194" s="89" t="n"/>
      <c r="AS1194" s="89" t="n"/>
      <c r="AT1194" s="89" t="n">
        <v>112.2656</v>
      </c>
      <c r="AU1194" s="89" t="n"/>
      <c r="AV1194" s="89" t="n">
        <v>110.3</v>
      </c>
      <c r="AW1194" s="89" t="n"/>
      <c r="AX1194" s="89" t="n">
        <v>116.4903</v>
      </c>
      <c r="AY1194" s="89" t="n">
        <v>88.30168</v>
      </c>
    </row>
    <row r="1195">
      <c r="A1195" t="inlineStr">
        <is>
          <t>2018-06</t>
        </is>
      </c>
      <c r="B1195" s="1" t="n">
        <v>43252</v>
      </c>
      <c r="C1195" s="88" t="n">
        <v>1195</v>
      </c>
      <c r="E1195" s="1">
        <f>B1195</f>
        <v/>
      </c>
      <c r="F1195" s="2">
        <f>B1195</f>
        <v/>
      </c>
      <c r="G1195" s="88" t="n">
        <v>1193</v>
      </c>
      <c r="H1195" s="89" t="n"/>
      <c r="I1195" s="89" t="n"/>
      <c r="J1195" s="89" t="n">
        <v>107.2911</v>
      </c>
      <c r="K1195" s="89" t="n">
        <v>110.2314</v>
      </c>
      <c r="L1195" s="89" t="n"/>
      <c r="M1195" s="89" t="n">
        <v>115.3808</v>
      </c>
      <c r="N1195" s="89" t="n">
        <v>107.491</v>
      </c>
      <c r="O1195" s="89" t="n">
        <v>106.5</v>
      </c>
      <c r="P1195" s="89" t="n">
        <v>105.1831</v>
      </c>
      <c r="Q1195" s="89" t="n"/>
      <c r="R1195" s="89" t="n">
        <v>111.3</v>
      </c>
      <c r="S1195" s="89" t="n">
        <v>103.4809</v>
      </c>
      <c r="T1195" s="89" t="n">
        <v>104.0318</v>
      </c>
      <c r="U1195" s="89" t="n">
        <v>108.3736</v>
      </c>
      <c r="V1195" s="89" t="n">
        <v>109.6091</v>
      </c>
      <c r="W1195" s="89" t="n">
        <v>96.70806</v>
      </c>
      <c r="X1195" s="89" t="n"/>
      <c r="Y1195" s="89" t="n">
        <v>102.9508</v>
      </c>
      <c r="Z1195" s="89" t="n">
        <v>106.8911</v>
      </c>
      <c r="AA1195" s="89" t="n">
        <v>103.5914</v>
      </c>
      <c r="AB1195" s="89" t="n">
        <v>107.691</v>
      </c>
      <c r="AC1195" s="89" t="n">
        <v>102.0915</v>
      </c>
      <c r="AD1195" s="89" t="n">
        <v>114.1</v>
      </c>
      <c r="AE1195" s="89" t="n"/>
      <c r="AF1195" s="89" t="n">
        <v>103.2914</v>
      </c>
      <c r="AG1195" s="89" t="n">
        <v>103.9178</v>
      </c>
      <c r="AH1195" s="89" t="n">
        <v>105.8954</v>
      </c>
      <c r="AI1195" s="89" t="n">
        <v>117.3</v>
      </c>
      <c r="AJ1195" s="89" t="n">
        <v>106.3191</v>
      </c>
      <c r="AK1195" s="89" t="n">
        <v>114.019</v>
      </c>
      <c r="AL1195" s="89" t="n">
        <v>122.5102</v>
      </c>
      <c r="AM1195" s="89" t="n">
        <v>109.7</v>
      </c>
      <c r="AN1195" s="89" t="n"/>
      <c r="AO1195" s="89" t="n">
        <v>103.899</v>
      </c>
      <c r="AP1195" s="89" t="n">
        <v>106.1823</v>
      </c>
      <c r="AQ1195" s="89" t="n"/>
      <c r="AR1195" s="89" t="n"/>
      <c r="AS1195" s="89" t="n"/>
      <c r="AT1195" s="89" t="n">
        <v>114.892</v>
      </c>
      <c r="AU1195" s="89" t="n"/>
      <c r="AV1195" s="89" t="n">
        <v>109.7</v>
      </c>
      <c r="AW1195" s="89" t="n"/>
      <c r="AX1195" s="89" t="n">
        <v>113.7905</v>
      </c>
      <c r="AY1195" s="89" t="n">
        <v>99.42197</v>
      </c>
    </row>
    <row r="1196">
      <c r="A1196" t="inlineStr">
        <is>
          <t>2018-07</t>
        </is>
      </c>
      <c r="B1196" s="1" t="n">
        <v>43282</v>
      </c>
      <c r="C1196" s="88" t="n">
        <v>1196</v>
      </c>
      <c r="E1196" s="1">
        <f>B1196</f>
        <v/>
      </c>
      <c r="F1196" s="2">
        <f>B1196</f>
        <v/>
      </c>
      <c r="G1196" s="88" t="n">
        <v>1194</v>
      </c>
      <c r="H1196" s="89" t="n"/>
      <c r="I1196" s="89" t="n"/>
      <c r="J1196" s="89" t="n">
        <v>109.6909</v>
      </c>
      <c r="K1196" s="89" t="n">
        <v>111.1659</v>
      </c>
      <c r="L1196" s="89" t="n"/>
      <c r="M1196" s="89" t="n">
        <v>115.3808</v>
      </c>
      <c r="N1196" s="89" t="n">
        <v>105.4912</v>
      </c>
      <c r="O1196" s="89" t="n">
        <v>108.4</v>
      </c>
      <c r="P1196" s="89" t="n">
        <v>105.5911</v>
      </c>
      <c r="Q1196" s="89" t="n"/>
      <c r="R1196" s="89" t="n">
        <v>109.7</v>
      </c>
      <c r="S1196" s="89" t="n">
        <v>103.4309</v>
      </c>
      <c r="T1196" s="89" t="n">
        <v>104.4471</v>
      </c>
      <c r="U1196" s="89" t="n">
        <v>109.2725</v>
      </c>
      <c r="V1196" s="89" t="n">
        <v>106.9089</v>
      </c>
      <c r="W1196" s="89" t="n">
        <v>91.80765</v>
      </c>
      <c r="X1196" s="89" t="n"/>
      <c r="Y1196" s="89" t="n">
        <v>105.2927</v>
      </c>
      <c r="Z1196" s="89" t="n">
        <v>105.9912</v>
      </c>
      <c r="AA1196" s="89" t="n">
        <v>103.7914</v>
      </c>
      <c r="AB1196" s="89" t="n">
        <v>107.791</v>
      </c>
      <c r="AC1196" s="89" t="n">
        <v>101.7915</v>
      </c>
      <c r="AD1196" s="89" t="n">
        <v>117.5</v>
      </c>
      <c r="AE1196" s="89" t="n"/>
      <c r="AF1196" s="89" t="n">
        <v>101.7915</v>
      </c>
      <c r="AG1196" s="89" t="n">
        <v>101.5904</v>
      </c>
      <c r="AH1196" s="89" t="n">
        <v>105.821</v>
      </c>
      <c r="AI1196" s="89" t="n">
        <v>117</v>
      </c>
      <c r="AJ1196" s="89" t="n">
        <v>107.7991</v>
      </c>
      <c r="AK1196" s="89" t="n">
        <v>112.1187</v>
      </c>
      <c r="AL1196" s="89" t="n">
        <v>120.41</v>
      </c>
      <c r="AM1196" s="89" t="n">
        <v>106.3</v>
      </c>
      <c r="AN1196" s="89" t="n"/>
      <c r="AO1196" s="89" t="n">
        <v>104.3613</v>
      </c>
      <c r="AP1196" s="89" t="n">
        <v>105.0825</v>
      </c>
      <c r="AQ1196" s="89" t="n"/>
      <c r="AR1196" s="89" t="n"/>
      <c r="AS1196" s="89" t="n"/>
      <c r="AT1196" s="89" t="n">
        <v>113.0191</v>
      </c>
      <c r="AU1196" s="89" t="n"/>
      <c r="AV1196" s="89" t="n">
        <v>109.4</v>
      </c>
      <c r="AW1196" s="89" t="n"/>
      <c r="AX1196" s="89" t="n">
        <v>115.5904</v>
      </c>
      <c r="AY1196" s="89" t="n">
        <v>98.65125</v>
      </c>
    </row>
    <row r="1197">
      <c r="A1197" t="inlineStr">
        <is>
          <t>2018-08</t>
        </is>
      </c>
      <c r="B1197" s="1" t="n">
        <v>43313</v>
      </c>
      <c r="C1197" s="88" t="n">
        <v>1197</v>
      </c>
      <c r="E1197" s="1">
        <f>B1197</f>
        <v/>
      </c>
      <c r="F1197" s="2">
        <f>B1197</f>
        <v/>
      </c>
      <c r="G1197" s="88" t="n">
        <v>1195</v>
      </c>
      <c r="H1197" s="89" t="n"/>
      <c r="I1197" s="89" t="n"/>
      <c r="J1197" s="89" t="n">
        <v>111.7907</v>
      </c>
      <c r="K1197" s="89" t="n">
        <v>111.0956</v>
      </c>
      <c r="L1197" s="89" t="n"/>
      <c r="M1197" s="89" t="n">
        <v>113.2811</v>
      </c>
      <c r="N1197" s="89" t="n">
        <v>105.5912</v>
      </c>
      <c r="O1197" s="89" t="n">
        <v>105.9</v>
      </c>
      <c r="P1197" s="89" t="n">
        <v>105.8121</v>
      </c>
      <c r="Q1197" s="89" t="n"/>
      <c r="R1197" s="89" t="n">
        <v>110.1</v>
      </c>
      <c r="S1197" s="89" t="n">
        <v>104.1509</v>
      </c>
      <c r="T1197" s="89" t="n">
        <v>104.0318</v>
      </c>
      <c r="U1197" s="89" t="n">
        <v>109.0727</v>
      </c>
      <c r="V1197" s="89" t="n">
        <v>111.4093</v>
      </c>
      <c r="W1197" s="89" t="n">
        <v>100.4084</v>
      </c>
      <c r="X1197" s="89" t="n"/>
      <c r="Y1197" s="89" t="n">
        <v>106.8852</v>
      </c>
      <c r="Z1197" s="89" t="n">
        <v>106.7911</v>
      </c>
      <c r="AA1197" s="89" t="n">
        <v>103.5914</v>
      </c>
      <c r="AB1197" s="89" t="n">
        <v>109.0909</v>
      </c>
      <c r="AC1197" s="89" t="n">
        <v>102.0915</v>
      </c>
      <c r="AD1197" s="89" t="n">
        <v>118.4</v>
      </c>
      <c r="AE1197" s="89" t="n"/>
      <c r="AF1197" s="89" t="n">
        <v>102.6914</v>
      </c>
      <c r="AG1197" s="89" t="n">
        <v>103.8014</v>
      </c>
      <c r="AH1197" s="89" t="n">
        <v>106.4259</v>
      </c>
      <c r="AI1197" s="89" t="n">
        <v>118.1</v>
      </c>
      <c r="AJ1197" s="89" t="n">
        <v>109.3391</v>
      </c>
      <c r="AK1197" s="89" t="n">
        <v>116.2194</v>
      </c>
      <c r="AL1197" s="89" t="n">
        <v>122.4102</v>
      </c>
      <c r="AM1197" s="89" t="n">
        <v>107.2</v>
      </c>
      <c r="AN1197" s="89" t="n"/>
      <c r="AO1197" s="89" t="n">
        <v>105.1994</v>
      </c>
      <c r="AP1197" s="89" t="n">
        <v>106.0823</v>
      </c>
      <c r="AQ1197" s="89" t="n"/>
      <c r="AR1197" s="89" t="n"/>
      <c r="AS1197" s="89" t="n"/>
      <c r="AT1197" s="89" t="n">
        <v>115.1072</v>
      </c>
      <c r="AU1197" s="89" t="n"/>
      <c r="AV1197" s="89" t="n">
        <v>109.2</v>
      </c>
      <c r="AW1197" s="89" t="n"/>
      <c r="AX1197" s="89" t="n">
        <v>116.0903</v>
      </c>
      <c r="AY1197" s="89" t="n">
        <v>97.77043999999999</v>
      </c>
    </row>
    <row r="1198">
      <c r="A1198" t="inlineStr">
        <is>
          <t>2018-09</t>
        </is>
      </c>
      <c r="B1198" s="1" t="n">
        <v>43344</v>
      </c>
      <c r="C1198" s="88" t="n">
        <v>1198</v>
      </c>
      <c r="E1198" s="1">
        <f>B1198</f>
        <v/>
      </c>
      <c r="F1198" s="2">
        <f>B1198</f>
        <v/>
      </c>
      <c r="G1198" s="88" t="n">
        <v>1196</v>
      </c>
      <c r="H1198" s="89" t="n"/>
      <c r="I1198" s="89" t="n"/>
      <c r="J1198" s="89" t="n">
        <v>106.8911</v>
      </c>
      <c r="K1198" s="89" t="n">
        <v>110.7847</v>
      </c>
      <c r="L1198" s="89" t="n"/>
      <c r="M1198" s="89" t="n">
        <v>114.181</v>
      </c>
      <c r="N1198" s="89" t="n">
        <v>105.6912</v>
      </c>
      <c r="O1198" s="89" t="n">
        <v>107.3</v>
      </c>
      <c r="P1198" s="89" t="n">
        <v>105.2251</v>
      </c>
      <c r="Q1198" s="89" t="n"/>
      <c r="R1198" s="89" t="n">
        <v>113.1</v>
      </c>
      <c r="S1198" s="89" t="n">
        <v>102.8909</v>
      </c>
      <c r="T1198" s="89" t="n">
        <v>104.2395</v>
      </c>
      <c r="U1198" s="89" t="n">
        <v>107.8741</v>
      </c>
      <c r="V1198" s="89" t="n">
        <v>108.7091</v>
      </c>
      <c r="W1198" s="89" t="n">
        <v>99.50829</v>
      </c>
      <c r="X1198" s="89" t="n"/>
      <c r="Y1198" s="89" t="n">
        <v>102.7635</v>
      </c>
      <c r="Z1198" s="89" t="n">
        <v>106.7911</v>
      </c>
      <c r="AA1198" s="89" t="n">
        <v>103.2914</v>
      </c>
      <c r="AB1198" s="89" t="n">
        <v>106.4911</v>
      </c>
      <c r="AC1198" s="89" t="n">
        <v>100.9916</v>
      </c>
      <c r="AD1198" s="89" t="n">
        <v>113.7</v>
      </c>
      <c r="AE1198" s="89" t="n"/>
      <c r="AF1198" s="89" t="n">
        <v>102.7914</v>
      </c>
      <c r="AG1198" s="89" t="n">
        <v>102.8704</v>
      </c>
      <c r="AH1198" s="89" t="n">
        <v>105.9278</v>
      </c>
      <c r="AI1198" s="89" t="n">
        <v>117</v>
      </c>
      <c r="AJ1198" s="89" t="n">
        <v>106.6691</v>
      </c>
      <c r="AK1198" s="89" t="n">
        <v>114.5191</v>
      </c>
      <c r="AL1198" s="89" t="n">
        <v>121.8102</v>
      </c>
      <c r="AM1198" s="89" t="n">
        <v>109</v>
      </c>
      <c r="AN1198" s="89" t="n"/>
      <c r="AO1198" s="89" t="n">
        <v>105.3438</v>
      </c>
      <c r="AP1198" s="89" t="n">
        <v>105.4824</v>
      </c>
      <c r="AQ1198" s="89" t="n"/>
      <c r="AR1198" s="89" t="n"/>
      <c r="AS1198" s="89" t="n"/>
      <c r="AT1198" s="89" t="n">
        <v>115.8144</v>
      </c>
      <c r="AU1198" s="89" t="n"/>
      <c r="AV1198" s="89" t="n">
        <v>109.5</v>
      </c>
      <c r="AW1198" s="89" t="n"/>
      <c r="AX1198" s="89" t="n">
        <v>111.8907</v>
      </c>
      <c r="AY1198" s="89" t="n">
        <v>95.2381</v>
      </c>
    </row>
    <row r="1199">
      <c r="A1199" t="inlineStr">
        <is>
          <t>2018-10</t>
        </is>
      </c>
      <c r="B1199" s="1" t="n">
        <v>43374</v>
      </c>
      <c r="C1199" s="88" t="n">
        <v>1199</v>
      </c>
      <c r="E1199" s="1">
        <f>B1199</f>
        <v/>
      </c>
      <c r="F1199" s="2">
        <f>B1199</f>
        <v/>
      </c>
      <c r="G1199" s="88" t="n">
        <v>1197</v>
      </c>
      <c r="H1199" s="89" t="n"/>
      <c r="I1199" s="89" t="n"/>
      <c r="J1199" s="89" t="n">
        <v>106.7911</v>
      </c>
      <c r="K1199" s="89" t="n">
        <v>111.0137</v>
      </c>
      <c r="L1199" s="89" t="n"/>
      <c r="M1199" s="89" t="n">
        <v>113.3811</v>
      </c>
      <c r="N1199" s="89" t="n">
        <v>105.4912</v>
      </c>
      <c r="O1199" s="89" t="n">
        <v>109.7</v>
      </c>
      <c r="P1199" s="89" t="n">
        <v>106.4591</v>
      </c>
      <c r="Q1199" s="89" t="n"/>
      <c r="R1199" s="89" t="n">
        <v>111</v>
      </c>
      <c r="S1199" s="89" t="n">
        <v>103.6509</v>
      </c>
      <c r="T1199" s="89" t="n">
        <v>103.3051</v>
      </c>
      <c r="U1199" s="89" t="n">
        <v>108.1738</v>
      </c>
      <c r="V1199" s="89" t="n">
        <v>110.6092</v>
      </c>
      <c r="W1199" s="89" t="n">
        <v>96.40804</v>
      </c>
      <c r="X1199" s="89" t="n"/>
      <c r="Y1199" s="89" t="n">
        <v>103.7002</v>
      </c>
      <c r="Z1199" s="89" t="n">
        <v>106.4911</v>
      </c>
      <c r="AA1199" s="89" t="n">
        <v>105.2912</v>
      </c>
      <c r="AB1199" s="89" t="n">
        <v>107.991</v>
      </c>
      <c r="AC1199" s="89" t="n">
        <v>104.6913</v>
      </c>
      <c r="AD1199" s="89" t="n">
        <v>114.4</v>
      </c>
      <c r="AE1199" s="89" t="n"/>
      <c r="AF1199" s="89" t="n">
        <v>103.1914</v>
      </c>
      <c r="AG1199" s="89" t="n">
        <v>103.3359</v>
      </c>
      <c r="AH1199" s="89" t="n">
        <v>106.4288</v>
      </c>
      <c r="AI1199" s="89" t="n">
        <v>117.9</v>
      </c>
      <c r="AJ1199" s="89" t="n">
        <v>106.4691</v>
      </c>
      <c r="AK1199" s="89" t="n">
        <v>117.1195</v>
      </c>
      <c r="AL1199" s="89" t="n">
        <v>122.7102</v>
      </c>
      <c r="AM1199" s="89" t="n">
        <v>111.2</v>
      </c>
      <c r="AN1199" s="89" t="n"/>
      <c r="AO1199" s="89" t="n">
        <v>105.5758</v>
      </c>
      <c r="AP1199" s="89" t="n">
        <v>105.3824</v>
      </c>
      <c r="AQ1199" s="89" t="n"/>
      <c r="AR1199" s="89" t="n"/>
      <c r="AS1199" s="89" t="n"/>
      <c r="AT1199" s="89" t="n">
        <v>119.2405</v>
      </c>
      <c r="AU1199" s="89" t="n"/>
      <c r="AV1199" s="89" t="n">
        <v>110.4</v>
      </c>
      <c r="AW1199" s="89" t="n"/>
      <c r="AX1199" s="89" t="n">
        <v>110.0908</v>
      </c>
      <c r="AY1199" s="89" t="n">
        <v>96.22901</v>
      </c>
    </row>
    <row r="1200">
      <c r="A1200" t="inlineStr">
        <is>
          <t>2018-11</t>
        </is>
      </c>
      <c r="B1200" s="1" t="n">
        <v>43405</v>
      </c>
      <c r="C1200" s="88" t="n">
        <v>1200</v>
      </c>
      <c r="E1200" s="1">
        <f>B1200</f>
        <v/>
      </c>
      <c r="F1200" s="2">
        <f>B1200</f>
        <v/>
      </c>
      <c r="G1200" s="88" t="n">
        <v>1198</v>
      </c>
      <c r="H1200" s="89" t="n"/>
      <c r="I1200" s="89" t="n"/>
      <c r="J1200" s="89" t="n">
        <v>111.5907</v>
      </c>
      <c r="K1200" s="89" t="n">
        <v>110.0361</v>
      </c>
      <c r="L1200" s="89" t="n"/>
      <c r="M1200" s="89" t="n">
        <v>115.3808</v>
      </c>
      <c r="N1200" s="89" t="n">
        <v>103.7914</v>
      </c>
      <c r="O1200" s="89" t="n">
        <v>109.9</v>
      </c>
      <c r="P1200" s="89" t="n">
        <v>104.1551</v>
      </c>
      <c r="Q1200" s="89" t="n"/>
      <c r="R1200" s="89" t="n">
        <v>111.2</v>
      </c>
      <c r="S1200" s="89" t="n">
        <v>102.7909</v>
      </c>
      <c r="T1200" s="89" t="n">
        <v>102.6821</v>
      </c>
      <c r="U1200" s="89" t="n">
        <v>112.9682</v>
      </c>
      <c r="V1200" s="89" t="n">
        <v>110.3092</v>
      </c>
      <c r="W1200" s="89" t="n">
        <v>93.50779</v>
      </c>
      <c r="X1200" s="89" t="n"/>
      <c r="Y1200" s="89" t="n">
        <v>100.1405</v>
      </c>
      <c r="Z1200" s="89" t="n">
        <v>104.5913</v>
      </c>
      <c r="AA1200" s="89" t="n">
        <v>104.0913</v>
      </c>
      <c r="AB1200" s="89" t="n">
        <v>105.8912</v>
      </c>
      <c r="AC1200" s="89" t="n">
        <v>103.1914</v>
      </c>
      <c r="AD1200" s="89" t="n">
        <v>115.8</v>
      </c>
      <c r="AE1200" s="89" t="n"/>
      <c r="AF1200" s="89" t="n">
        <v>103.4914</v>
      </c>
      <c r="AG1200" s="89" t="n">
        <v>100.7758</v>
      </c>
      <c r="AH1200" s="89" t="n">
        <v>105.8924</v>
      </c>
      <c r="AI1200" s="89" t="n">
        <v>117.6</v>
      </c>
      <c r="AJ1200" s="89" t="n">
        <v>103.1291</v>
      </c>
      <c r="AK1200" s="89" t="n">
        <v>114.4191</v>
      </c>
      <c r="AL1200" s="89" t="n">
        <v>122.8102</v>
      </c>
      <c r="AM1200" s="89" t="n">
        <v>110</v>
      </c>
      <c r="AN1200" s="89" t="n"/>
      <c r="AO1200" s="89" t="n">
        <v>106.1427</v>
      </c>
      <c r="AP1200" s="89" t="n">
        <v>104.2826</v>
      </c>
      <c r="AQ1200" s="89" t="n"/>
      <c r="AR1200" s="89" t="n"/>
      <c r="AS1200" s="89" t="n"/>
      <c r="AT1200" s="89" t="n">
        <v>115.1575</v>
      </c>
      <c r="AU1200" s="89" t="n"/>
      <c r="AV1200" s="89" t="n">
        <v>110.8</v>
      </c>
      <c r="AW1200" s="89" t="n"/>
      <c r="AX1200" s="89" t="n">
        <v>110.0908</v>
      </c>
      <c r="AY1200" s="89" t="n">
        <v>96.44922</v>
      </c>
    </row>
    <row r="1201">
      <c r="A1201" t="inlineStr">
        <is>
          <t>2018-12</t>
        </is>
      </c>
      <c r="B1201" s="1" t="n">
        <v>43435</v>
      </c>
      <c r="C1201" s="88" t="n">
        <v>1201</v>
      </c>
      <c r="E1201" s="1">
        <f>B1201</f>
        <v/>
      </c>
      <c r="F1201" s="2">
        <f>B1201</f>
        <v/>
      </c>
      <c r="G1201" s="88" t="n">
        <v>1199</v>
      </c>
      <c r="H1201" s="89" t="n"/>
      <c r="I1201" s="89" t="n"/>
      <c r="J1201" s="89" t="n">
        <v>106.2911</v>
      </c>
      <c r="K1201" s="89" t="n">
        <v>109.2772</v>
      </c>
      <c r="L1201" s="89" t="n"/>
      <c r="M1201" s="89" t="n">
        <v>114.181</v>
      </c>
      <c r="N1201" s="89" t="n">
        <v>104.8913</v>
      </c>
      <c r="O1201" s="89" t="n">
        <v>119.3</v>
      </c>
      <c r="P1201" s="89" t="n">
        <v>103.5211</v>
      </c>
      <c r="Q1201" s="89" t="n"/>
      <c r="R1201" s="89" t="n">
        <v>113</v>
      </c>
      <c r="S1201" s="89" t="n">
        <v>103.7009</v>
      </c>
      <c r="T1201" s="89" t="n">
        <v>102.6821</v>
      </c>
      <c r="U1201" s="89" t="n">
        <v>110.6709</v>
      </c>
      <c r="V1201" s="89" t="n">
        <v>115.6096</v>
      </c>
      <c r="W1201" s="89" t="n">
        <v>84.70706</v>
      </c>
      <c r="X1201" s="89" t="n"/>
      <c r="Y1201" s="89" t="n">
        <v>104.8244</v>
      </c>
      <c r="Z1201" s="89" t="n">
        <v>104.9912</v>
      </c>
      <c r="AA1201" s="89" t="n">
        <v>104.3913</v>
      </c>
      <c r="AB1201" s="89" t="n">
        <v>104.4913</v>
      </c>
      <c r="AC1201" s="89" t="n">
        <v>103.9913</v>
      </c>
      <c r="AD1201" s="89" t="n">
        <v>119.3</v>
      </c>
      <c r="AE1201" s="89" t="n"/>
      <c r="AF1201" s="89" t="n">
        <v>100.7916</v>
      </c>
      <c r="AG1201" s="89" t="n">
        <v>100.5431</v>
      </c>
      <c r="AH1201" s="89" t="n">
        <v>105.7883</v>
      </c>
      <c r="AI1201" s="89" t="n">
        <v>118.6</v>
      </c>
      <c r="AJ1201" s="89" t="n">
        <v>103.0691</v>
      </c>
      <c r="AK1201" s="89" t="n">
        <v>117.1195</v>
      </c>
      <c r="AL1201" s="89" t="n">
        <v>121.4101</v>
      </c>
      <c r="AM1201" s="89" t="n">
        <v>111.8</v>
      </c>
      <c r="AN1201" s="89" t="n"/>
      <c r="AO1201" s="89" t="n">
        <v>106.1859</v>
      </c>
      <c r="AP1201" s="89" t="n">
        <v>104.0826</v>
      </c>
      <c r="AQ1201" s="89" t="n"/>
      <c r="AR1201" s="89" t="n"/>
      <c r="AS1201" s="89" t="n"/>
      <c r="AT1201" s="89" t="n">
        <v>116.0369</v>
      </c>
      <c r="AU1201" s="89" t="n"/>
      <c r="AV1201" s="89" t="n">
        <v>112.1</v>
      </c>
      <c r="AW1201" s="89" t="n"/>
      <c r="AX1201" s="89" t="n">
        <v>108.491</v>
      </c>
      <c r="AY1201" s="89" t="n">
        <v>97.21992</v>
      </c>
    </row>
    <row r="1202">
      <c r="A1202" t="inlineStr">
        <is>
          <t>2019-01</t>
        </is>
      </c>
      <c r="B1202" s="1" t="n">
        <v>43466</v>
      </c>
      <c r="C1202" s="88" t="n">
        <v>1202</v>
      </c>
      <c r="E1202" s="1">
        <f>B1202</f>
        <v/>
      </c>
      <c r="F1202" s="2">
        <f>B1202</f>
        <v/>
      </c>
      <c r="G1202" s="88" t="n">
        <v>1200</v>
      </c>
      <c r="H1202" s="89" t="n"/>
      <c r="I1202" s="89" t="n"/>
      <c r="J1202" s="89" t="n">
        <v>112.1907</v>
      </c>
      <c r="K1202" s="89" t="n">
        <v>108.4952</v>
      </c>
      <c r="L1202" s="89" t="n"/>
      <c r="M1202" s="89" t="n">
        <v>113.4811</v>
      </c>
      <c r="N1202" s="89" t="n">
        <v>103.7914</v>
      </c>
      <c r="O1202" s="89" t="n">
        <v>110.9</v>
      </c>
      <c r="P1202" s="89" t="n">
        <v>107.1521</v>
      </c>
      <c r="Q1202" s="89" t="n"/>
      <c r="R1202" s="89" t="n">
        <v>113.7</v>
      </c>
      <c r="S1202" s="89" t="n">
        <v>104.7709</v>
      </c>
      <c r="T1202" s="89" t="n">
        <v>103.2012</v>
      </c>
      <c r="U1202" s="89" t="n">
        <v>110.9705</v>
      </c>
      <c r="V1202" s="89" t="n">
        <v>114.2095</v>
      </c>
      <c r="W1202" s="89" t="n">
        <v>93.90783</v>
      </c>
      <c r="X1202" s="89" t="n"/>
      <c r="Y1202" s="89" t="n">
        <v>104.7307</v>
      </c>
      <c r="Z1202" s="89" t="n">
        <v>105.6912</v>
      </c>
      <c r="AA1202" s="89" t="n">
        <v>102.3915</v>
      </c>
      <c r="AB1202" s="89" t="n">
        <v>104.9912</v>
      </c>
      <c r="AC1202" s="89" t="n">
        <v>102.1915</v>
      </c>
      <c r="AD1202" s="89" t="n">
        <v>116.8</v>
      </c>
      <c r="AE1202" s="89" t="n"/>
      <c r="AF1202" s="89" t="n">
        <v>103.9913</v>
      </c>
      <c r="AG1202" s="89" t="n">
        <v>98.44841</v>
      </c>
      <c r="AH1202" s="89" t="n">
        <v>105.73</v>
      </c>
      <c r="AI1202" s="89" t="n">
        <v>119.6</v>
      </c>
      <c r="AJ1202" s="89" t="n">
        <v>104.6491</v>
      </c>
      <c r="AK1202" s="89" t="n">
        <v>114.4191</v>
      </c>
      <c r="AL1202" s="89" t="n">
        <v>126.9106</v>
      </c>
      <c r="AM1202" s="89" t="n">
        <v>112.4</v>
      </c>
      <c r="AN1202" s="89" t="n"/>
      <c r="AO1202" s="89" t="n">
        <v>105.7699</v>
      </c>
      <c r="AP1202" s="89" t="n">
        <v>105.2825</v>
      </c>
      <c r="AQ1202" s="89" t="n"/>
      <c r="AR1202" s="89" t="n"/>
      <c r="AS1202" s="89" t="n"/>
      <c r="AT1202" s="89" t="n"/>
      <c r="AU1202" s="89" t="n"/>
      <c r="AV1202" s="89" t="n">
        <v>111.3</v>
      </c>
      <c r="AW1202" s="89" t="n"/>
      <c r="AX1202" s="89" t="n">
        <v>109.9908</v>
      </c>
      <c r="AY1202" s="89" t="n">
        <v>96.22901</v>
      </c>
    </row>
    <row r="1203">
      <c r="A1203" t="inlineStr">
        <is>
          <t>2019-02</t>
        </is>
      </c>
      <c r="B1203" s="1" t="n">
        <v>43497</v>
      </c>
      <c r="C1203" s="88" t="n">
        <v>1203</v>
      </c>
      <c r="E1203" s="1">
        <f>B1203</f>
        <v/>
      </c>
      <c r="F1203" s="2">
        <f>B1203</f>
        <v/>
      </c>
      <c r="G1203" s="88" t="n">
        <v>1201</v>
      </c>
      <c r="H1203" s="89" t="n"/>
      <c r="I1203" s="89" t="n"/>
      <c r="J1203" s="89" t="n">
        <v>111.2907</v>
      </c>
      <c r="K1203" s="89" t="n">
        <v>107.8469</v>
      </c>
      <c r="L1203" s="89" t="n"/>
      <c r="M1203" s="89" t="n">
        <v>112.9812</v>
      </c>
      <c r="N1203" s="89" t="n">
        <v>103.6914</v>
      </c>
      <c r="O1203" s="89" t="n">
        <v>109.5</v>
      </c>
      <c r="P1203" s="89" t="n">
        <v>106.0741</v>
      </c>
      <c r="Q1203" s="89" t="n"/>
      <c r="R1203" s="89" t="n">
        <v>112.3</v>
      </c>
      <c r="S1203" s="89" t="n">
        <v>104.2809</v>
      </c>
      <c r="T1203" s="89" t="n">
        <v>103.6165</v>
      </c>
      <c r="U1203" s="89" t="n">
        <v>109.8718</v>
      </c>
      <c r="V1203" s="89" t="n">
        <v>115.6096</v>
      </c>
      <c r="W1203" s="89" t="n">
        <v>97.90816</v>
      </c>
      <c r="X1203" s="89" t="n"/>
      <c r="Y1203" s="89" t="n">
        <v>104.918</v>
      </c>
      <c r="Z1203" s="89" t="n">
        <v>106.4911</v>
      </c>
      <c r="AA1203" s="89" t="n">
        <v>102.8914</v>
      </c>
      <c r="AB1203" s="89" t="n">
        <v>102.3915</v>
      </c>
      <c r="AC1203" s="89" t="n">
        <v>101.1916</v>
      </c>
      <c r="AD1203" s="89" t="n">
        <v>115.8</v>
      </c>
      <c r="AE1203" s="89" t="n"/>
      <c r="AF1203" s="89" t="n">
        <v>102.8914</v>
      </c>
      <c r="AG1203" s="89" t="n">
        <v>96.47013</v>
      </c>
      <c r="AH1203" s="89" t="n">
        <v>105.5566</v>
      </c>
      <c r="AI1203" s="89" t="n">
        <v>121.7</v>
      </c>
      <c r="AJ1203" s="89" t="n">
        <v>103.1091</v>
      </c>
      <c r="AK1203" s="89" t="n">
        <v>115.3192</v>
      </c>
      <c r="AL1203" s="89" t="n">
        <v>124.0103</v>
      </c>
      <c r="AM1203" s="89" t="n">
        <v>111.7</v>
      </c>
      <c r="AN1203" s="89" t="n"/>
      <c r="AO1203" s="89" t="n">
        <v>105.2364</v>
      </c>
      <c r="AP1203" s="89" t="n">
        <v>105.1825</v>
      </c>
      <c r="AQ1203" s="89" t="n"/>
      <c r="AR1203" s="89" t="n"/>
      <c r="AS1203" s="89" t="n"/>
      <c r="AT1203" s="89" t="n"/>
      <c r="AU1203" s="89" t="n"/>
      <c r="AV1203" s="89" t="n">
        <v>111.5</v>
      </c>
      <c r="AW1203" s="89" t="n"/>
      <c r="AX1203" s="89" t="n">
        <v>111.4907</v>
      </c>
      <c r="AY1203" s="89" t="n">
        <v>96.77952000000001</v>
      </c>
    </row>
    <row r="1204">
      <c r="A1204" t="inlineStr">
        <is>
          <t>2019-03</t>
        </is>
      </c>
      <c r="B1204" s="1" t="n">
        <v>43525</v>
      </c>
      <c r="C1204" s="88" t="n">
        <v>1204</v>
      </c>
      <c r="E1204" s="1">
        <f>B1204</f>
        <v/>
      </c>
      <c r="F1204" s="2">
        <f>B1204</f>
        <v/>
      </c>
      <c r="G1204" s="88" t="n">
        <v>1202</v>
      </c>
      <c r="H1204" s="89" t="n"/>
      <c r="I1204" s="89" t="n"/>
      <c r="J1204" s="89" t="n">
        <v>110.6908</v>
      </c>
      <c r="K1204" s="89" t="n">
        <v>109.8168</v>
      </c>
      <c r="L1204" s="89" t="n"/>
      <c r="M1204" s="89" t="n">
        <v>113.3811</v>
      </c>
      <c r="N1204" s="89" t="n">
        <v>104.4913</v>
      </c>
      <c r="O1204" s="89" t="n">
        <v>112.5</v>
      </c>
      <c r="P1204" s="89" t="n">
        <v>105.0781</v>
      </c>
      <c r="Q1204" s="89" t="n"/>
      <c r="R1204" s="89" t="n">
        <v>111</v>
      </c>
      <c r="S1204" s="89" t="n">
        <v>103.6309</v>
      </c>
      <c r="T1204" s="89" t="n">
        <v>105.1739</v>
      </c>
      <c r="U1204" s="89" t="n">
        <v>107.8741</v>
      </c>
      <c r="V1204" s="89" t="n">
        <v>116.9097</v>
      </c>
      <c r="W1204" s="89" t="n">
        <v>93.10776</v>
      </c>
      <c r="X1204" s="89" t="n"/>
      <c r="Y1204" s="89" t="n">
        <v>106.8852</v>
      </c>
      <c r="Z1204" s="89" t="n">
        <v>105.6912</v>
      </c>
      <c r="AA1204" s="89" t="n">
        <v>102.4915</v>
      </c>
      <c r="AB1204" s="89" t="n">
        <v>103.8913</v>
      </c>
      <c r="AC1204" s="89" t="n">
        <v>100.8916</v>
      </c>
      <c r="AD1204" s="89" t="n">
        <v>116.5</v>
      </c>
      <c r="AE1204" s="89" t="n"/>
      <c r="AF1204" s="89" t="n">
        <v>103.3914</v>
      </c>
      <c r="AG1204" s="89" t="n">
        <v>95.65555000000001</v>
      </c>
      <c r="AH1204" s="89" t="n">
        <v>105.8602</v>
      </c>
      <c r="AI1204" s="89" t="n">
        <v>122.2</v>
      </c>
      <c r="AJ1204" s="89" t="n">
        <v>102.8091</v>
      </c>
      <c r="AK1204" s="89" t="n">
        <v>117.6196</v>
      </c>
      <c r="AL1204" s="89" t="n">
        <v>125.2104</v>
      </c>
      <c r="AM1204" s="89" t="n">
        <v>110.8</v>
      </c>
      <c r="AN1204" s="89" t="n"/>
      <c r="AO1204" s="89" t="n">
        <v>105.3497</v>
      </c>
      <c r="AP1204" s="89" t="n">
        <v>104.8825</v>
      </c>
      <c r="AQ1204" s="89" t="n"/>
      <c r="AR1204" s="89" t="n"/>
      <c r="AS1204" s="89" t="n"/>
      <c r="AT1204" s="89" t="n"/>
      <c r="AU1204" s="89" t="n"/>
      <c r="AV1204" s="89" t="n">
        <v>111.8</v>
      </c>
      <c r="AW1204" s="89" t="n"/>
      <c r="AX1204" s="89" t="n">
        <v>114.2905</v>
      </c>
      <c r="AY1204" s="89" t="n">
        <v>95.5684</v>
      </c>
    </row>
    <row r="1205">
      <c r="A1205" t="inlineStr">
        <is>
          <t>2019-04</t>
        </is>
      </c>
      <c r="B1205" s="1" t="n">
        <v>43556</v>
      </c>
      <c r="C1205" s="88" t="n">
        <v>1205</v>
      </c>
      <c r="E1205" s="1">
        <f>B1205</f>
        <v/>
      </c>
      <c r="F1205" s="2">
        <f>B1205</f>
        <v/>
      </c>
      <c r="G1205" s="88" t="n">
        <v>1203</v>
      </c>
      <c r="H1205" s="89" t="n"/>
      <c r="I1205" s="89" t="n"/>
      <c r="J1205" s="89" t="n">
        <v>117.3902</v>
      </c>
      <c r="K1205" s="89" t="n">
        <v>111.953</v>
      </c>
      <c r="L1205" s="89" t="n"/>
      <c r="M1205" s="89" t="n">
        <v>114.281</v>
      </c>
      <c r="N1205" s="89" t="n">
        <v>101.7915</v>
      </c>
      <c r="O1205" s="89" t="n">
        <v>112.8</v>
      </c>
      <c r="P1205" s="89" t="n">
        <v>106.9421</v>
      </c>
      <c r="Q1205" s="89" t="n"/>
      <c r="R1205" s="89" t="n">
        <v>115.2</v>
      </c>
      <c r="S1205" s="89" t="n">
        <v>104.0809</v>
      </c>
      <c r="T1205" s="89" t="n">
        <v>101.8515</v>
      </c>
      <c r="U1205" s="89" t="n">
        <v>109.6721</v>
      </c>
      <c r="V1205" s="89" t="n">
        <v>115.1096</v>
      </c>
      <c r="W1205" s="89" t="n">
        <v>96.008</v>
      </c>
      <c r="X1205" s="89" t="n"/>
      <c r="Y1205" s="89" t="n">
        <v>107.6347</v>
      </c>
      <c r="Z1205" s="89" t="n">
        <v>105.1912</v>
      </c>
      <c r="AA1205" s="89" t="n">
        <v>102.6914</v>
      </c>
      <c r="AB1205" s="89" t="n">
        <v>105.6912</v>
      </c>
      <c r="AC1205" s="89" t="n">
        <v>102.1915</v>
      </c>
      <c r="AD1205" s="89" t="n">
        <v>114.3</v>
      </c>
      <c r="AE1205" s="89" t="n"/>
      <c r="AF1205" s="89" t="n">
        <v>102.2915</v>
      </c>
      <c r="AG1205" s="89" t="n">
        <v>96.47013</v>
      </c>
      <c r="AH1205" s="89" t="n">
        <v>105.6215</v>
      </c>
      <c r="AI1205" s="89" t="n">
        <v>122.1</v>
      </c>
      <c r="AJ1205" s="89" t="n">
        <v>105.8391</v>
      </c>
      <c r="AK1205" s="89" t="n">
        <v>116.2194</v>
      </c>
      <c r="AL1205" s="89" t="n">
        <v>126.5105</v>
      </c>
      <c r="AM1205" s="89" t="n">
        <v>110.9</v>
      </c>
      <c r="AN1205" s="89" t="n"/>
      <c r="AO1205" s="89" t="n">
        <v>104.6848</v>
      </c>
      <c r="AP1205" s="89" t="n">
        <v>104.2826</v>
      </c>
      <c r="AQ1205" s="89" t="n"/>
      <c r="AR1205" s="89" t="n"/>
      <c r="AS1205" s="89" t="n"/>
      <c r="AT1205" s="89" t="n"/>
      <c r="AU1205" s="89" t="n"/>
      <c r="AV1205" s="89" t="n">
        <v>112.5</v>
      </c>
      <c r="AW1205" s="89" t="n"/>
      <c r="AX1205" s="89" t="n">
        <v>113.6905</v>
      </c>
      <c r="AY1205" s="89" t="n">
        <v>95.7886</v>
      </c>
    </row>
    <row r="1206">
      <c r="A1206" t="inlineStr">
        <is>
          <t>2019-05</t>
        </is>
      </c>
      <c r="B1206" s="1" t="n">
        <v>43586</v>
      </c>
      <c r="C1206" s="88" t="n">
        <v>1206</v>
      </c>
      <c r="E1206" s="1">
        <f>B1206</f>
        <v/>
      </c>
      <c r="F1206" s="2">
        <f>B1206</f>
        <v/>
      </c>
      <c r="G1206" s="88" t="n">
        <v>1204</v>
      </c>
      <c r="H1206" s="89" t="n"/>
      <c r="I1206" s="89" t="n"/>
      <c r="J1206" s="89" t="n">
        <v>112.8906</v>
      </c>
      <c r="K1206" s="89" t="n">
        <v>112.0589</v>
      </c>
      <c r="L1206" s="89" t="n"/>
      <c r="M1206" s="89" t="n">
        <v>116.3806</v>
      </c>
      <c r="N1206" s="89" t="n">
        <v>102.6914</v>
      </c>
      <c r="O1206" s="89" t="n">
        <v>118.4</v>
      </c>
      <c r="P1206" s="89" t="n">
        <v>107.0511</v>
      </c>
      <c r="Q1206" s="89" t="n"/>
      <c r="R1206" s="89" t="n">
        <v>112.7</v>
      </c>
      <c r="S1206" s="89" t="n">
        <v>105.8109</v>
      </c>
      <c r="T1206" s="89" t="n">
        <v>103.0974</v>
      </c>
      <c r="U1206" s="89" t="n">
        <v>108.0739</v>
      </c>
      <c r="V1206" s="89" t="n">
        <v>118.2099</v>
      </c>
      <c r="W1206" s="89" t="n">
        <v>98.70823</v>
      </c>
      <c r="X1206" s="89" t="n"/>
      <c r="Y1206" s="89" t="n">
        <v>105.9485</v>
      </c>
      <c r="Z1206" s="89" t="n">
        <v>106.0912</v>
      </c>
      <c r="AA1206" s="89" t="n">
        <v>103.8913</v>
      </c>
      <c r="AB1206" s="89" t="n">
        <v>104.8913</v>
      </c>
      <c r="AC1206" s="89" t="n">
        <v>100.8916</v>
      </c>
      <c r="AD1206" s="89" t="n">
        <v>116.7</v>
      </c>
      <c r="AE1206" s="89" t="n"/>
      <c r="AF1206" s="89" t="n">
        <v>102.6914</v>
      </c>
      <c r="AG1206" s="89" t="n">
        <v>96.70287</v>
      </c>
      <c r="AH1206" s="89" t="n">
        <v>106.1921</v>
      </c>
      <c r="AI1206" s="89" t="n">
        <v>122.3</v>
      </c>
      <c r="AJ1206" s="89" t="n">
        <v>106.3691</v>
      </c>
      <c r="AK1206" s="89" t="n">
        <v>116.0193</v>
      </c>
      <c r="AL1206" s="89" t="n">
        <v>125.4105</v>
      </c>
      <c r="AM1206" s="89" t="n">
        <v>112.3</v>
      </c>
      <c r="AN1206" s="89" t="n"/>
      <c r="AO1206" s="89" t="n">
        <v>104.913</v>
      </c>
      <c r="AP1206" s="89" t="n">
        <v>105.0825</v>
      </c>
      <c r="AQ1206" s="89" t="n"/>
      <c r="AR1206" s="89" t="n"/>
      <c r="AS1206" s="89" t="n"/>
      <c r="AT1206" s="89" t="n"/>
      <c r="AU1206" s="89" t="n"/>
      <c r="AV1206" s="89" t="n">
        <v>112.4</v>
      </c>
      <c r="AW1206" s="89" t="n"/>
      <c r="AX1206" s="89" t="n">
        <v>115.0904</v>
      </c>
      <c r="AY1206" s="89" t="n">
        <v>96.22901</v>
      </c>
    </row>
    <row r="1207">
      <c r="A1207" t="inlineStr">
        <is>
          <t>2019-06</t>
        </is>
      </c>
      <c r="B1207" s="1" t="n">
        <v>43617</v>
      </c>
      <c r="C1207" s="88" t="n">
        <v>1207</v>
      </c>
      <c r="E1207" s="1">
        <f>B1207</f>
        <v/>
      </c>
      <c r="F1207" s="2">
        <f>B1207</f>
        <v/>
      </c>
      <c r="G1207" s="88" t="n">
        <v>1205</v>
      </c>
      <c r="H1207" s="89" t="n"/>
      <c r="I1207" s="89" t="n"/>
      <c r="J1207" s="89" t="n">
        <v>118.0902</v>
      </c>
      <c r="K1207" s="89" t="n">
        <v>111.3652</v>
      </c>
      <c r="L1207" s="89" t="n"/>
      <c r="M1207" s="89" t="n">
        <v>112.5812</v>
      </c>
      <c r="N1207" s="89" t="n">
        <v>101.4915</v>
      </c>
      <c r="O1207" s="89" t="n">
        <v>110.4</v>
      </c>
      <c r="P1207" s="89" t="n">
        <v>106.9241</v>
      </c>
      <c r="Q1207" s="89" t="n"/>
      <c r="R1207" s="89" t="n">
        <v>114.4</v>
      </c>
      <c r="S1207" s="89" t="n">
        <v>103.3509</v>
      </c>
      <c r="T1207" s="89" t="n">
        <v>102.6821</v>
      </c>
      <c r="U1207" s="89" t="n">
        <v>107.8741</v>
      </c>
      <c r="V1207" s="89" t="n">
        <v>114.5095</v>
      </c>
      <c r="W1207" s="89" t="n">
        <v>93.6078</v>
      </c>
      <c r="X1207" s="89" t="n"/>
      <c r="Y1207" s="89" t="n">
        <v>104.5433</v>
      </c>
      <c r="Z1207" s="89" t="n">
        <v>105.7912</v>
      </c>
      <c r="AA1207" s="89" t="n">
        <v>101.3915</v>
      </c>
      <c r="AB1207" s="89" t="n">
        <v>105.1912</v>
      </c>
      <c r="AC1207" s="89" t="n">
        <v>98.79177</v>
      </c>
      <c r="AD1207" s="89" t="n">
        <v>118.2</v>
      </c>
      <c r="AE1207" s="89" t="n"/>
      <c r="AF1207" s="89" t="n">
        <v>101.5915</v>
      </c>
      <c r="AG1207" s="89" t="n">
        <v>94.95733</v>
      </c>
      <c r="AH1207" s="89" t="n">
        <v>105.0481</v>
      </c>
      <c r="AI1207" s="89" t="n">
        <v>119.8</v>
      </c>
      <c r="AJ1207" s="89" t="n">
        <v>100.7292</v>
      </c>
      <c r="AK1207" s="89" t="n">
        <v>114.3191</v>
      </c>
      <c r="AL1207" s="89" t="n">
        <v>124.2104</v>
      </c>
      <c r="AM1207" s="89" t="n">
        <v>112.5</v>
      </c>
      <c r="AN1207" s="89" t="n"/>
      <c r="AO1207" s="89" t="n">
        <v>104.962</v>
      </c>
      <c r="AP1207" s="89" t="n">
        <v>103.8827</v>
      </c>
      <c r="AQ1207" s="89" t="n"/>
      <c r="AR1207" s="89" t="n"/>
      <c r="AS1207" s="89" t="n"/>
      <c r="AT1207" s="89" t="n"/>
      <c r="AU1207" s="89" t="n"/>
      <c r="AV1207" s="89" t="n">
        <v>113.9</v>
      </c>
      <c r="AW1207" s="89" t="n"/>
      <c r="AX1207" s="89" t="n">
        <v>109.2909</v>
      </c>
      <c r="AY1207" s="89" t="n">
        <v>95.34820000000001</v>
      </c>
    </row>
    <row r="1208">
      <c r="A1208" t="inlineStr">
        <is>
          <t>2019-07</t>
        </is>
      </c>
      <c r="B1208" s="1" t="n">
        <v>43647</v>
      </c>
      <c r="C1208" s="88" t="n">
        <v>1208</v>
      </c>
      <c r="E1208" s="1">
        <f>B1208</f>
        <v/>
      </c>
      <c r="F1208" s="2">
        <f>B1208</f>
        <v/>
      </c>
      <c r="G1208" s="88" t="n">
        <v>1206</v>
      </c>
      <c r="H1208" s="89" t="n"/>
      <c r="I1208" s="89" t="n"/>
      <c r="J1208" s="89" t="n">
        <v>109.6909</v>
      </c>
      <c r="K1208" s="89" t="n">
        <v>109.2202</v>
      </c>
      <c r="L1208" s="89" t="n"/>
      <c r="M1208" s="89" t="n">
        <v>112.4813</v>
      </c>
      <c r="N1208" s="89" t="n">
        <v>101.2916</v>
      </c>
      <c r="O1208" s="89" t="n">
        <v>114</v>
      </c>
      <c r="P1208" s="89" t="n">
        <v>107.1981</v>
      </c>
      <c r="Q1208" s="89" t="n"/>
      <c r="R1208" s="89" t="n">
        <v>115</v>
      </c>
      <c r="S1208" s="89" t="n">
        <v>103.6709</v>
      </c>
      <c r="T1208" s="89" t="n">
        <v>102.4745</v>
      </c>
      <c r="U1208" s="89" t="n">
        <v>106.4758</v>
      </c>
      <c r="V1208" s="89" t="n">
        <v>116.6097</v>
      </c>
      <c r="W1208" s="89" t="n">
        <v>96.90807</v>
      </c>
      <c r="X1208" s="89" t="n"/>
      <c r="Y1208" s="89" t="n">
        <v>109.7892</v>
      </c>
      <c r="Z1208" s="89" t="n">
        <v>106.1912</v>
      </c>
      <c r="AA1208" s="89" t="n">
        <v>101.7915</v>
      </c>
      <c r="AB1208" s="89" t="n">
        <v>107.591</v>
      </c>
      <c r="AC1208" s="89" t="n">
        <v>97.79185</v>
      </c>
      <c r="AD1208" s="89" t="n">
        <v>115.9</v>
      </c>
      <c r="AE1208" s="89" t="n"/>
      <c r="AF1208" s="89" t="n">
        <v>101.6915</v>
      </c>
      <c r="AG1208" s="89" t="n">
        <v>96.23739999999999</v>
      </c>
      <c r="AH1208" s="89" t="n">
        <v>105.5188</v>
      </c>
      <c r="AI1208" s="89" t="n">
        <v>120.8</v>
      </c>
      <c r="AJ1208" s="89" t="n">
        <v>106.4091</v>
      </c>
      <c r="AK1208" s="89" t="n">
        <v>113.1189</v>
      </c>
      <c r="AL1208" s="89" t="n">
        <v>125.3104</v>
      </c>
      <c r="AM1208" s="89" t="n">
        <v>112.8</v>
      </c>
      <c r="AN1208" s="89" t="n"/>
      <c r="AO1208" s="89" t="n">
        <v>104.7774</v>
      </c>
      <c r="AP1208" s="89" t="n">
        <v>103.7827</v>
      </c>
      <c r="AQ1208" s="89" t="n"/>
      <c r="AR1208" s="89" t="n"/>
      <c r="AS1208" s="89" t="n"/>
      <c r="AT1208" s="89" t="n"/>
      <c r="AU1208" s="89" t="n"/>
      <c r="AV1208" s="89" t="n">
        <v>113.6</v>
      </c>
      <c r="AW1208" s="89" t="n"/>
      <c r="AX1208" s="89" t="n">
        <v>113.9905</v>
      </c>
      <c r="AY1208" s="89" t="n">
        <v>94.02697999999999</v>
      </c>
    </row>
    <row r="1209">
      <c r="A1209" t="inlineStr">
        <is>
          <t>2019-08</t>
        </is>
      </c>
      <c r="B1209" s="1" t="n">
        <v>43678</v>
      </c>
      <c r="C1209" s="88" t="n">
        <v>1209</v>
      </c>
      <c r="E1209" s="1">
        <f>B1209</f>
        <v/>
      </c>
      <c r="F1209" s="2">
        <f>B1209</f>
        <v/>
      </c>
      <c r="G1209" s="88" t="n">
        <v>1207</v>
      </c>
      <c r="H1209" s="89" t="n"/>
      <c r="I1209" s="89" t="n"/>
      <c r="J1209" s="89" t="n">
        <v>116.7903</v>
      </c>
      <c r="K1209" s="89" t="n">
        <v>108.8654</v>
      </c>
      <c r="L1209" s="89" t="n"/>
      <c r="M1209" s="89" t="n">
        <v>112.3813</v>
      </c>
      <c r="N1209" s="89" t="n">
        <v>101.4915</v>
      </c>
      <c r="O1209" s="89" t="n">
        <v>109.9</v>
      </c>
      <c r="P1209" s="89" t="n">
        <v>107.2151</v>
      </c>
      <c r="Q1209" s="89" t="n"/>
      <c r="R1209" s="89" t="n">
        <v>114</v>
      </c>
      <c r="S1209" s="89" t="n">
        <v>102.6209</v>
      </c>
      <c r="T1209" s="89" t="n">
        <v>101.6439</v>
      </c>
      <c r="U1209" s="89" t="n">
        <v>108.7731</v>
      </c>
      <c r="V1209" s="89" t="n">
        <v>114.7096</v>
      </c>
      <c r="W1209" s="89" t="n">
        <v>99.80831999999999</v>
      </c>
      <c r="X1209" s="89" t="n"/>
      <c r="Y1209" s="89" t="n">
        <v>108.8525</v>
      </c>
      <c r="Z1209" s="89" t="n">
        <v>105.2912</v>
      </c>
      <c r="AA1209" s="89" t="n">
        <v>100.4916</v>
      </c>
      <c r="AB1209" s="89" t="n">
        <v>106.1912</v>
      </c>
      <c r="AC1209" s="89" t="n">
        <v>101.3915</v>
      </c>
      <c r="AD1209" s="89" t="n">
        <v>119.4</v>
      </c>
      <c r="AE1209" s="89" t="n"/>
      <c r="AF1209" s="89" t="n">
        <v>101.8915</v>
      </c>
      <c r="AG1209" s="89" t="n">
        <v>94.37549</v>
      </c>
      <c r="AH1209" s="89" t="n">
        <v>105.2276</v>
      </c>
      <c r="AI1209" s="89" t="n">
        <v>119.2</v>
      </c>
      <c r="AJ1209" s="89" t="n">
        <v>103.5291</v>
      </c>
      <c r="AK1209" s="89" t="n">
        <v>109.7183</v>
      </c>
      <c r="AL1209" s="89" t="n">
        <v>123.3103</v>
      </c>
      <c r="AM1209" s="89" t="n">
        <v>112.4</v>
      </c>
      <c r="AN1209" s="89" t="n"/>
      <c r="AO1209" s="89" t="n">
        <v>105.5161</v>
      </c>
      <c r="AP1209" s="89" t="n">
        <v>103.8827</v>
      </c>
      <c r="AQ1209" s="89" t="n"/>
      <c r="AR1209" s="89" t="n"/>
      <c r="AS1209" s="89" t="n"/>
      <c r="AT1209" s="89" t="n"/>
      <c r="AU1209" s="89" t="n"/>
      <c r="AV1209" s="89" t="n">
        <v>113.6</v>
      </c>
      <c r="AW1209" s="89" t="n"/>
      <c r="AX1209" s="89" t="n">
        <v>111.2907</v>
      </c>
      <c r="AY1209" s="89" t="n">
        <v>95.5684</v>
      </c>
    </row>
    <row r="1210">
      <c r="A1210" t="inlineStr">
        <is>
          <t>2019-09</t>
        </is>
      </c>
      <c r="B1210" s="1" t="n">
        <v>43709</v>
      </c>
      <c r="C1210" s="88" t="n">
        <v>1210</v>
      </c>
      <c r="E1210" s="1">
        <f>B1210</f>
        <v/>
      </c>
      <c r="F1210" s="2">
        <f>B1210</f>
        <v/>
      </c>
      <c r="G1210" s="88" t="n">
        <v>1208</v>
      </c>
      <c r="H1210" s="89" t="n"/>
      <c r="I1210" s="89" t="n"/>
      <c r="J1210" s="89" t="n">
        <v>115.4904</v>
      </c>
      <c r="K1210" s="89" t="n">
        <v>108.5508</v>
      </c>
      <c r="L1210" s="89" t="n"/>
      <c r="M1210" s="89" t="n">
        <v>113.0812</v>
      </c>
      <c r="N1210" s="89" t="n">
        <v>100.6916</v>
      </c>
      <c r="O1210" s="89" t="n">
        <v>112</v>
      </c>
      <c r="P1210" s="89" t="n">
        <v>105.5951</v>
      </c>
      <c r="Q1210" s="89" t="n"/>
      <c r="R1210" s="89" t="n">
        <v>114.4</v>
      </c>
      <c r="S1210" s="89" t="n">
        <v>103.6809</v>
      </c>
      <c r="T1210" s="89" t="n">
        <v>102.0592</v>
      </c>
      <c r="U1210" s="89" t="n">
        <v>109.3724</v>
      </c>
      <c r="V1210" s="89" t="n">
        <v>118.5099</v>
      </c>
      <c r="W1210" s="89" t="n">
        <v>104.0087</v>
      </c>
      <c r="X1210" s="89" t="n"/>
      <c r="Y1210" s="89" t="n">
        <v>108.4778</v>
      </c>
      <c r="Z1210" s="89" t="n">
        <v>104.7913</v>
      </c>
      <c r="AA1210" s="89" t="n">
        <v>102.4915</v>
      </c>
      <c r="AB1210" s="89" t="n">
        <v>107.991</v>
      </c>
      <c r="AC1210" s="89" t="n">
        <v>99.79169</v>
      </c>
      <c r="AD1210" s="89" t="n">
        <v>120.2</v>
      </c>
      <c r="AE1210" s="89" t="n"/>
      <c r="AF1210" s="89" t="n">
        <v>103.0914</v>
      </c>
      <c r="AG1210" s="89" t="n">
        <v>93.67726999999999</v>
      </c>
      <c r="AH1210" s="89" t="n">
        <v>105.7087</v>
      </c>
      <c r="AI1210" s="89" t="n">
        <v>120.7</v>
      </c>
      <c r="AJ1210" s="89" t="n">
        <v>100.8492</v>
      </c>
      <c r="AK1210" s="89" t="n">
        <v>111.0185</v>
      </c>
      <c r="AL1210" s="89" t="n">
        <v>124.7104</v>
      </c>
      <c r="AM1210" s="89" t="n">
        <v>111.8</v>
      </c>
      <c r="AN1210" s="89" t="n"/>
      <c r="AO1210" s="89" t="n">
        <v>105.1494</v>
      </c>
      <c r="AP1210" s="89" t="n">
        <v>103.8827</v>
      </c>
      <c r="AQ1210" s="89" t="n"/>
      <c r="AR1210" s="89" t="n"/>
      <c r="AS1210" s="89" t="n"/>
      <c r="AT1210" s="89" t="n"/>
      <c r="AU1210" s="89" t="n"/>
      <c r="AV1210" s="89" t="n">
        <v>114</v>
      </c>
      <c r="AW1210" s="89" t="n"/>
      <c r="AX1210" s="89" t="n">
        <v>115.2904</v>
      </c>
      <c r="AY1210" s="89" t="n">
        <v>95.6785</v>
      </c>
    </row>
    <row r="1211">
      <c r="A1211" t="inlineStr">
        <is>
          <t>2019-10</t>
        </is>
      </c>
      <c r="B1211" s="1" t="n">
        <v>43739</v>
      </c>
      <c r="C1211" s="88" t="n">
        <v>1211</v>
      </c>
      <c r="E1211" s="1">
        <f>B1211</f>
        <v/>
      </c>
      <c r="F1211" s="2">
        <f>B1211</f>
        <v/>
      </c>
      <c r="G1211" s="88" t="n">
        <v>1209</v>
      </c>
      <c r="H1211" s="89" t="n"/>
      <c r="I1211" s="89" t="n"/>
      <c r="J1211" s="89" t="n">
        <v>111.9907</v>
      </c>
      <c r="K1211" s="89" t="n">
        <v>108.9264</v>
      </c>
      <c r="L1211" s="89" t="n"/>
      <c r="M1211" s="89" t="n">
        <v>113.0812</v>
      </c>
      <c r="N1211" s="89" t="n">
        <v>99.49171</v>
      </c>
      <c r="O1211" s="89" t="n">
        <v>110.1</v>
      </c>
      <c r="P1211" s="89" t="n">
        <v>104.4861</v>
      </c>
      <c r="Q1211" s="89" t="n"/>
      <c r="R1211" s="89" t="n">
        <v>112.6</v>
      </c>
      <c r="S1211" s="89" t="n">
        <v>103.5609</v>
      </c>
      <c r="T1211" s="89" t="n">
        <v>102.5783</v>
      </c>
      <c r="U1211" s="89" t="n">
        <v>107.4746</v>
      </c>
      <c r="V1211" s="89" t="n">
        <v>117.6098</v>
      </c>
      <c r="W1211" s="89" t="n">
        <v>105.7088</v>
      </c>
      <c r="X1211" s="89" t="n"/>
      <c r="Y1211" s="89" t="n">
        <v>110.726</v>
      </c>
      <c r="Z1211" s="89" t="n">
        <v>103.6914</v>
      </c>
      <c r="AA1211" s="89" t="n">
        <v>98.29181</v>
      </c>
      <c r="AB1211" s="89" t="n">
        <v>106.8911</v>
      </c>
      <c r="AC1211" s="89" t="n">
        <v>97.09191</v>
      </c>
      <c r="AD1211" s="89" t="n">
        <v>117.7</v>
      </c>
      <c r="AE1211" s="89" t="n"/>
      <c r="AF1211" s="89" t="n">
        <v>102.8914</v>
      </c>
      <c r="AG1211" s="89" t="n">
        <v>97.28471</v>
      </c>
      <c r="AH1211" s="89" t="n">
        <v>104.7993</v>
      </c>
      <c r="AI1211" s="89" t="n">
        <v>122.2</v>
      </c>
      <c r="AJ1211" s="89" t="n">
        <v>104.2691</v>
      </c>
      <c r="AK1211" s="89" t="n">
        <v>112.2187</v>
      </c>
      <c r="AL1211" s="89" t="n">
        <v>125.8105</v>
      </c>
      <c r="AM1211" s="89" t="n">
        <v>111.4</v>
      </c>
      <c r="AN1211" s="89" t="n"/>
      <c r="AO1211" s="89" t="n">
        <v>104.7215</v>
      </c>
      <c r="AP1211" s="89" t="n">
        <v>103.1828</v>
      </c>
      <c r="AQ1211" s="89" t="n"/>
      <c r="AR1211" s="89" t="n"/>
      <c r="AS1211" s="89" t="n"/>
      <c r="AT1211" s="89" t="n"/>
      <c r="AU1211" s="89" t="n"/>
      <c r="AV1211" s="89" t="n">
        <v>114.9</v>
      </c>
      <c r="AW1211" s="89" t="n"/>
      <c r="AX1211" s="89" t="n">
        <v>114.6904</v>
      </c>
      <c r="AY1211" s="89" t="n">
        <v>97.44013</v>
      </c>
    </row>
    <row r="1212">
      <c r="A1212" t="inlineStr">
        <is>
          <t>2019-11</t>
        </is>
      </c>
      <c r="B1212" s="1" t="n">
        <v>43770</v>
      </c>
      <c r="C1212" s="88" t="n">
        <v>1212</v>
      </c>
      <c r="E1212" s="1">
        <f>B1212</f>
        <v/>
      </c>
      <c r="F1212" s="2">
        <f>B1212</f>
        <v/>
      </c>
      <c r="G1212" s="88" t="n">
        <v>1210</v>
      </c>
      <c r="H1212" s="89" t="n"/>
      <c r="I1212" s="89" t="n"/>
      <c r="J1212" s="89" t="n">
        <v>114.0905</v>
      </c>
      <c r="K1212" s="89" t="n">
        <v>108.4572</v>
      </c>
      <c r="L1212" s="89" t="n"/>
      <c r="M1212" s="89" t="n">
        <v>111.8814</v>
      </c>
      <c r="N1212" s="89" t="n">
        <v>100.1917</v>
      </c>
      <c r="O1212" s="89" t="n">
        <v>104.1</v>
      </c>
      <c r="P1212" s="89" t="n">
        <v>105.7551</v>
      </c>
      <c r="Q1212" s="89" t="n"/>
      <c r="R1212" s="89" t="n">
        <v>112.9</v>
      </c>
      <c r="S1212" s="89" t="n">
        <v>103.2709</v>
      </c>
      <c r="T1212" s="89" t="n">
        <v>101.5401</v>
      </c>
      <c r="U1212" s="89" t="n">
        <v>102.1808</v>
      </c>
      <c r="V1212" s="89" t="n">
        <v>116.3097</v>
      </c>
      <c r="W1212" s="89" t="n">
        <v>97.10809</v>
      </c>
      <c r="X1212" s="89" t="n"/>
      <c r="Y1212" s="89" t="n">
        <v>109.6955</v>
      </c>
      <c r="Z1212" s="89" t="n">
        <v>104.0913</v>
      </c>
      <c r="AA1212" s="89" t="n">
        <v>97.69186000000001</v>
      </c>
      <c r="AB1212" s="89" t="n">
        <v>107.3911</v>
      </c>
      <c r="AC1212" s="89" t="n">
        <v>95.69202</v>
      </c>
      <c r="AD1212" s="89" t="n">
        <v>116.3</v>
      </c>
      <c r="AE1212" s="89" t="n"/>
      <c r="AF1212" s="89" t="n">
        <v>101.6915</v>
      </c>
      <c r="AG1212" s="89" t="n">
        <v>100.0776</v>
      </c>
      <c r="AH1212" s="89" t="n">
        <v>105.0481</v>
      </c>
      <c r="AI1212" s="89" t="n">
        <v>124</v>
      </c>
      <c r="AJ1212" s="89" t="n">
        <v>103.1291</v>
      </c>
      <c r="AK1212" s="89" t="n">
        <v>111.9187</v>
      </c>
      <c r="AL1212" s="89" t="n">
        <v>124.8104</v>
      </c>
      <c r="AM1212" s="89" t="n">
        <v>112.8</v>
      </c>
      <c r="AN1212" s="89" t="n"/>
      <c r="AO1212" s="89" t="n">
        <v>105.6933</v>
      </c>
      <c r="AP1212" s="89" t="n">
        <v>102.9828</v>
      </c>
      <c r="AQ1212" s="89" t="n"/>
      <c r="AR1212" s="89" t="n"/>
      <c r="AS1212" s="89" t="n"/>
      <c r="AT1212" s="89" t="n"/>
      <c r="AU1212" s="89" t="n"/>
      <c r="AV1212" s="89" t="n">
        <v>113.4</v>
      </c>
      <c r="AW1212" s="89" t="n"/>
      <c r="AX1212" s="89" t="n">
        <v>115.7904</v>
      </c>
      <c r="AY1212" s="89" t="n">
        <v>95.7886</v>
      </c>
    </row>
    <row r="1213">
      <c r="A1213" t="inlineStr">
        <is>
          <t>2019-12</t>
        </is>
      </c>
      <c r="B1213" s="1" t="n">
        <v>43800</v>
      </c>
      <c r="C1213" s="88" t="n">
        <v>1213</v>
      </c>
      <c r="E1213" s="1">
        <f>B1213</f>
        <v/>
      </c>
      <c r="F1213" s="2">
        <f>B1213</f>
        <v/>
      </c>
      <c r="G1213" s="88" t="n">
        <v>1211</v>
      </c>
      <c r="H1213" s="89" t="n"/>
      <c r="I1213" s="89" t="n"/>
      <c r="J1213" s="89" t="n">
        <v>116.9902</v>
      </c>
      <c r="K1213" s="89" t="n">
        <v>108.0364</v>
      </c>
      <c r="L1213" s="89" t="n"/>
      <c r="M1213" s="89" t="n">
        <v>110.8815</v>
      </c>
      <c r="N1213" s="89" t="n">
        <v>98.59178</v>
      </c>
      <c r="O1213" s="89" t="n">
        <v>111.4</v>
      </c>
      <c r="P1213" s="89" t="n">
        <v>104.3681</v>
      </c>
      <c r="Q1213" s="89" t="n"/>
      <c r="R1213" s="89" t="n">
        <v>112.7</v>
      </c>
      <c r="S1213" s="89" t="n">
        <v>100.7608</v>
      </c>
      <c r="T1213" s="89" t="n">
        <v>101.0209</v>
      </c>
      <c r="U1213" s="89" t="n">
        <v>106.0762</v>
      </c>
      <c r="V1213" s="89" t="n">
        <v>112.2094</v>
      </c>
      <c r="W1213" s="89" t="n">
        <v>85.30710999999999</v>
      </c>
      <c r="X1213" s="89" t="n"/>
      <c r="Y1213" s="89" t="n">
        <v>110.2576</v>
      </c>
      <c r="Z1213" s="89" t="n">
        <v>101.3915</v>
      </c>
      <c r="AA1213" s="89" t="n">
        <v>97.79185</v>
      </c>
      <c r="AB1213" s="89" t="n">
        <v>111.2907</v>
      </c>
      <c r="AC1213" s="89" t="n">
        <v>92.49229</v>
      </c>
      <c r="AD1213" s="89" t="n">
        <v>115.9</v>
      </c>
      <c r="AE1213" s="89" t="n"/>
      <c r="AF1213" s="89" t="n">
        <v>100.1917</v>
      </c>
      <c r="AG1213" s="89" t="n">
        <v>101.1249</v>
      </c>
      <c r="AH1213" s="89" t="n">
        <v>104.6378</v>
      </c>
      <c r="AI1213" s="89" t="n">
        <v>120.3</v>
      </c>
      <c r="AJ1213" s="89" t="n">
        <v>106.4391</v>
      </c>
      <c r="AK1213" s="89" t="n">
        <v>110.2184</v>
      </c>
      <c r="AL1213" s="89" t="n">
        <v>123.1103</v>
      </c>
      <c r="AM1213" s="89" t="n">
        <v>111.2</v>
      </c>
      <c r="AN1213" s="89" t="n"/>
      <c r="AO1213" s="89" t="n">
        <v>105.3225</v>
      </c>
      <c r="AP1213" s="89" t="n">
        <v>100.8832</v>
      </c>
      <c r="AQ1213" s="89" t="n"/>
      <c r="AR1213" s="89" t="n"/>
      <c r="AS1213" s="89" t="n"/>
      <c r="AT1213" s="89" t="n"/>
      <c r="AU1213" s="89" t="n"/>
      <c r="AV1213" s="89" t="n">
        <v>114.2</v>
      </c>
      <c r="AW1213" s="89" t="n"/>
      <c r="AX1213" s="89" t="n">
        <v>118.2901</v>
      </c>
      <c r="AY1213" s="89" t="n">
        <v>95.2381</v>
      </c>
    </row>
    <row r="1214">
      <c r="A1214" t="inlineStr">
        <is>
          <t>2020-1</t>
        </is>
      </c>
      <c r="B1214" s="1" t="n">
        <v>43831</v>
      </c>
      <c r="C1214" s="88" t="n">
        <v>1214</v>
      </c>
      <c r="E1214" s="1">
        <f>B1214</f>
        <v/>
      </c>
      <c r="F1214" s="2">
        <f>B1214</f>
        <v/>
      </c>
      <c r="G1214" s="88" t="n">
        <v>1212</v>
      </c>
      <c r="H1214" s="89" t="n"/>
      <c r="I1214" s="89" t="n"/>
      <c r="J1214" s="89" t="n">
        <v>112.4906</v>
      </c>
      <c r="K1214" s="89" t="n">
        <v>107.508</v>
      </c>
      <c r="L1214" s="89" t="n"/>
      <c r="M1214" s="89" t="n">
        <v>111.6814</v>
      </c>
      <c r="N1214" s="89" t="n">
        <v>100.8916</v>
      </c>
      <c r="O1214" s="89" t="n">
        <v>107.6</v>
      </c>
      <c r="P1214" s="89" t="n">
        <v>103.9461</v>
      </c>
      <c r="Q1214" s="89" t="n"/>
      <c r="R1214" s="89" t="n">
        <v>110.7</v>
      </c>
      <c r="S1214" s="89" t="n">
        <v>101.6808</v>
      </c>
      <c r="T1214" s="89" t="n">
        <v>100.9171</v>
      </c>
      <c r="U1214" s="89" t="n">
        <v>110.7708</v>
      </c>
      <c r="V1214" s="89" t="n">
        <v>117.6098</v>
      </c>
      <c r="W1214" s="89" t="n">
        <v>95.00792</v>
      </c>
      <c r="X1214" s="89" t="n"/>
      <c r="Y1214" s="89" t="n">
        <v>111.1007</v>
      </c>
      <c r="Z1214" s="89" t="n">
        <v>104.6913</v>
      </c>
      <c r="AA1214" s="89" t="n">
        <v>99.79169</v>
      </c>
      <c r="AB1214" s="89" t="n">
        <v>109.5909</v>
      </c>
      <c r="AC1214" s="89" t="n">
        <v>96.89192</v>
      </c>
      <c r="AD1214" s="89" t="n">
        <v>113.7</v>
      </c>
      <c r="AE1214" s="89" t="n"/>
      <c r="AF1214" s="89" t="n">
        <v>102.8914</v>
      </c>
      <c r="AG1214" s="89" t="n">
        <v>98.56478</v>
      </c>
      <c r="AH1214" s="89" t="n">
        <v>105.3465</v>
      </c>
      <c r="AI1214" s="89" t="n">
        <v>123.9</v>
      </c>
      <c r="AJ1214" s="89" t="n">
        <v>107.0691</v>
      </c>
      <c r="AK1214" s="89" t="n">
        <v>115.3192</v>
      </c>
      <c r="AL1214" s="89" t="n">
        <v>123.6103</v>
      </c>
      <c r="AM1214" s="89" t="n">
        <v>112</v>
      </c>
      <c r="AN1214" s="89" t="n"/>
      <c r="AO1214" s="89" t="n">
        <v>104.8727</v>
      </c>
      <c r="AP1214" s="89" t="n">
        <v>103.0828</v>
      </c>
      <c r="AQ1214" s="89" t="n"/>
      <c r="AR1214" s="89" t="n"/>
      <c r="AS1214" s="89" t="n"/>
      <c r="AT1214" s="89" t="n"/>
      <c r="AU1214" s="89" t="n"/>
      <c r="AV1214" s="89" t="n">
        <v>113.2</v>
      </c>
      <c r="AW1214" s="89" t="n"/>
      <c r="AX1214" s="89" t="n">
        <v>118.0902</v>
      </c>
      <c r="AY1214" s="89" t="n">
        <v>96.22901</v>
      </c>
    </row>
    <row r="1215">
      <c r="A1215" t="inlineStr">
        <is>
          <t>2020-2</t>
        </is>
      </c>
      <c r="B1215" s="1" t="n">
        <v>43862</v>
      </c>
      <c r="C1215" s="88" t="n">
        <v>1215</v>
      </c>
      <c r="E1215" s="1">
        <f>B1215</f>
        <v/>
      </c>
      <c r="F1215" s="2">
        <f>B1215</f>
        <v/>
      </c>
      <c r="G1215" s="88" t="n">
        <v>1213</v>
      </c>
      <c r="H1215" s="89" t="n"/>
      <c r="I1215" s="89" t="n"/>
      <c r="J1215" s="89" t="n">
        <v>113.4905</v>
      </c>
      <c r="K1215" s="89" t="n">
        <v>108.2033</v>
      </c>
      <c r="L1215" s="89" t="n"/>
      <c r="M1215" s="89" t="n">
        <v>112.0813</v>
      </c>
      <c r="N1215" s="89" t="n">
        <v>101.2916</v>
      </c>
      <c r="O1215" s="89" t="n">
        <v>108.9</v>
      </c>
      <c r="P1215" s="89" t="n">
        <v>103.8541</v>
      </c>
      <c r="Q1215" s="89" t="n"/>
      <c r="R1215" s="89" t="n">
        <v>111.1</v>
      </c>
      <c r="S1215" s="89" t="n">
        <v>102.8409</v>
      </c>
      <c r="T1215" s="89" t="n">
        <v>101.3324</v>
      </c>
      <c r="U1215" s="89" t="n">
        <v>106.4758</v>
      </c>
      <c r="V1215" s="89" t="n">
        <v>117.8098</v>
      </c>
      <c r="W1215" s="89" t="n">
        <v>96.90807</v>
      </c>
      <c r="X1215" s="89" t="n"/>
      <c r="Y1215" s="89" t="n">
        <v>111.4754</v>
      </c>
      <c r="Z1215" s="89" t="n">
        <v>103.3914</v>
      </c>
      <c r="AA1215" s="89" t="n">
        <v>99.39172000000001</v>
      </c>
      <c r="AB1215" s="89" t="n">
        <v>105.4912</v>
      </c>
      <c r="AC1215" s="89" t="n">
        <v>97.59187</v>
      </c>
      <c r="AD1215" s="89" t="n">
        <v>117</v>
      </c>
      <c r="AE1215" s="89" t="n"/>
      <c r="AF1215" s="89" t="n">
        <v>101.9915</v>
      </c>
      <c r="AG1215" s="89" t="n">
        <v>101.2413</v>
      </c>
      <c r="AH1215" s="89" t="n">
        <v>105.298</v>
      </c>
      <c r="AI1215" s="89" t="n">
        <v>125.3</v>
      </c>
      <c r="AJ1215" s="89" t="n">
        <v>104.0991</v>
      </c>
      <c r="AK1215" s="89" t="n">
        <v>114.3191</v>
      </c>
      <c r="AL1215" s="89" t="n">
        <v>128.1107</v>
      </c>
      <c r="AM1215" s="89" t="n">
        <v>112.3</v>
      </c>
      <c r="AN1215" s="89" t="n"/>
      <c r="AO1215" s="89" t="n">
        <v>104.9804</v>
      </c>
      <c r="AP1215" s="89" t="n">
        <v>103.0828</v>
      </c>
      <c r="AQ1215" s="89" t="n"/>
      <c r="AR1215" s="89" t="n"/>
      <c r="AS1215" s="89" t="n"/>
      <c r="AT1215" s="89" t="n"/>
      <c r="AU1215" s="89" t="n"/>
      <c r="AV1215" s="89" t="n">
        <v>114.4</v>
      </c>
      <c r="AW1215" s="89" t="n"/>
      <c r="AX1215" s="89" t="n">
        <v>120.59</v>
      </c>
      <c r="AY1215" s="89" t="n">
        <v>97.10983</v>
      </c>
    </row>
    <row r="1216">
      <c r="A1216" t="inlineStr">
        <is>
          <t>2020-3</t>
        </is>
      </c>
      <c r="B1216" s="1" t="n">
        <v>43891</v>
      </c>
      <c r="C1216" s="88" t="n">
        <v>1216</v>
      </c>
      <c r="E1216" s="1">
        <f>B1216</f>
        <v/>
      </c>
      <c r="F1216" s="2">
        <f>B1216</f>
        <v/>
      </c>
      <c r="G1216" s="88" t="n">
        <v>1214</v>
      </c>
      <c r="H1216" s="89" t="n"/>
      <c r="I1216" s="89" t="n"/>
      <c r="J1216" s="89" t="n">
        <v>107.3911</v>
      </c>
      <c r="K1216" s="89" t="n">
        <v>102.6451</v>
      </c>
      <c r="L1216" s="89" t="n"/>
      <c r="M1216" s="89" t="n">
        <v>99.88334999999999</v>
      </c>
      <c r="N1216" s="89" t="n">
        <v>90.19248</v>
      </c>
      <c r="O1216" s="89" t="n">
        <v>108.3</v>
      </c>
      <c r="P1216" s="89" t="n">
        <v>90.25606999999999</v>
      </c>
      <c r="Q1216" s="89" t="n"/>
      <c r="R1216" s="89" t="n">
        <v>113.4</v>
      </c>
      <c r="S1216" s="89" t="n">
        <v>85.41070999999999</v>
      </c>
      <c r="T1216" s="89" t="n">
        <v>96.66032</v>
      </c>
      <c r="U1216" s="89" t="n">
        <v>107.974</v>
      </c>
      <c r="V1216" s="89" t="n">
        <v>105.2088</v>
      </c>
      <c r="W1216" s="89" t="n">
        <v>114.5095</v>
      </c>
      <c r="X1216" s="89" t="n"/>
      <c r="Y1216" s="89" t="n">
        <v>100.9836</v>
      </c>
      <c r="Z1216" s="89" t="n">
        <v>74.49379</v>
      </c>
      <c r="AA1216" s="89" t="n">
        <v>95.79201999999999</v>
      </c>
      <c r="AB1216" s="89" t="n">
        <v>110.6908</v>
      </c>
      <c r="AC1216" s="89" t="n">
        <v>78.89342000000001</v>
      </c>
      <c r="AD1216" s="89" t="n">
        <v>112.2</v>
      </c>
      <c r="AE1216" s="89" t="n"/>
      <c r="AF1216" s="89" t="n">
        <v>101.0916</v>
      </c>
      <c r="AG1216" s="89" t="n">
        <v>102.6377</v>
      </c>
      <c r="AH1216" s="89" t="n">
        <v>98.90851000000001</v>
      </c>
      <c r="AI1216" s="89" t="n">
        <v>116</v>
      </c>
      <c r="AJ1216" s="89" t="n">
        <v>95.20921</v>
      </c>
      <c r="AK1216" s="89" t="n">
        <v>91.61527</v>
      </c>
      <c r="AL1216" s="89" t="n">
        <v>114.9096</v>
      </c>
      <c r="AM1216" s="89" t="n">
        <v>111.8</v>
      </c>
      <c r="AN1216" s="89" t="n"/>
      <c r="AO1216" s="89" t="n">
        <v>100.3945</v>
      </c>
      <c r="AP1216" s="89" t="n">
        <v>90.98483</v>
      </c>
      <c r="AQ1216" s="89" t="n"/>
      <c r="AR1216" s="89" t="n"/>
      <c r="AS1216" s="89" t="n"/>
      <c r="AT1216" s="89" t="n"/>
      <c r="AU1216" s="89" t="n"/>
      <c r="AV1216" s="89" t="n">
        <v>114</v>
      </c>
      <c r="AW1216" s="89" t="n"/>
      <c r="AX1216" s="89" t="n">
        <v>112.6906</v>
      </c>
      <c r="AY1216" s="89" t="n">
        <v>87.97136999999999</v>
      </c>
    </row>
    <row r="1217">
      <c r="A1217" t="inlineStr">
        <is>
          <t>2020-4</t>
        </is>
      </c>
      <c r="B1217" s="1" t="n">
        <v>43922</v>
      </c>
      <c r="C1217" s="88" t="n">
        <v>1217</v>
      </c>
      <c r="E1217" s="1">
        <f>B1217</f>
        <v/>
      </c>
      <c r="F1217" s="2">
        <f>B1217</f>
        <v/>
      </c>
      <c r="G1217" s="88" t="n">
        <v>1215</v>
      </c>
      <c r="H1217" s="89" t="n"/>
      <c r="I1217" s="89" t="n"/>
      <c r="J1217" s="89" t="n">
        <v>95.29206000000001</v>
      </c>
      <c r="K1217" s="89" t="n">
        <v>88.06653</v>
      </c>
      <c r="L1217" s="89" t="n"/>
      <c r="M1217" s="89" t="n">
        <v>75.38744</v>
      </c>
      <c r="N1217" s="89" t="n">
        <v>71.49404</v>
      </c>
      <c r="O1217" s="89" t="n">
        <v>102.6</v>
      </c>
      <c r="P1217" s="89" t="n">
        <v>70.58105999999999</v>
      </c>
      <c r="Q1217" s="89" t="n"/>
      <c r="R1217" s="89" t="n">
        <v>110.6</v>
      </c>
      <c r="S1217" s="89" t="n">
        <v>67.70056</v>
      </c>
      <c r="T1217" s="89" t="n">
        <v>77.76432</v>
      </c>
      <c r="U1217" s="89" t="n">
        <v>98.28533</v>
      </c>
      <c r="V1217" s="89" t="n">
        <v>72.70605999999999</v>
      </c>
      <c r="W1217" s="89" t="n">
        <v>98.10818</v>
      </c>
      <c r="X1217" s="89" t="n"/>
      <c r="Y1217" s="89" t="n">
        <v>101.733</v>
      </c>
      <c r="Z1217" s="89" t="n">
        <v>59.59504</v>
      </c>
      <c r="AA1217" s="89" t="n">
        <v>87.19273</v>
      </c>
      <c r="AB1217" s="89" t="n">
        <v>103.3914</v>
      </c>
      <c r="AC1217" s="89" t="n">
        <v>69.29423</v>
      </c>
      <c r="AD1217" s="89" t="n">
        <v>103.9</v>
      </c>
      <c r="AE1217" s="89" t="n"/>
      <c r="AF1217" s="89" t="n">
        <v>94.29214</v>
      </c>
      <c r="AG1217" s="89" t="n">
        <v>101.8231</v>
      </c>
      <c r="AH1217" s="89" t="n">
        <v>84.56487</v>
      </c>
      <c r="AI1217" s="89" t="n">
        <v>91.5</v>
      </c>
      <c r="AJ1217" s="89" t="n">
        <v>75.28937999999999</v>
      </c>
      <c r="AK1217" s="89" t="n">
        <v>66.41107</v>
      </c>
      <c r="AL1217" s="89" t="n">
        <v>95.60796000000001</v>
      </c>
      <c r="AM1217" s="89" t="n">
        <v>93.7</v>
      </c>
      <c r="AN1217" s="89" t="n"/>
      <c r="AO1217" s="89" t="n">
        <v>87.66167</v>
      </c>
      <c r="AP1217" s="89" t="n">
        <v>74.58757</v>
      </c>
      <c r="AQ1217" s="89" t="n"/>
      <c r="AR1217" s="89" t="n"/>
      <c r="AS1217" s="89" t="n"/>
      <c r="AT1217" s="89" t="n"/>
      <c r="AU1217" s="89" t="n"/>
      <c r="AV1217" s="89" t="n">
        <v>107.2</v>
      </c>
      <c r="AW1217" s="89" t="n"/>
      <c r="AX1217" s="89" t="n">
        <v>78.69344</v>
      </c>
      <c r="AY1217" s="89" t="n">
        <v>70.79549</v>
      </c>
    </row>
    <row r="1218">
      <c r="A1218" t="inlineStr">
        <is>
          <t>2020-5</t>
        </is>
      </c>
      <c r="B1218" s="1" t="n">
        <v>43952</v>
      </c>
      <c r="C1218" s="88" t="n">
        <v>1218</v>
      </c>
      <c r="E1218" s="1">
        <f>B1218</f>
        <v/>
      </c>
      <c r="F1218" s="2">
        <f>B1218</f>
        <v/>
      </c>
      <c r="G1218" s="88" t="n">
        <v>1216</v>
      </c>
      <c r="H1218" s="89" t="n"/>
      <c r="I1218" s="89" t="n"/>
      <c r="J1218" s="89" t="n">
        <v>107.691</v>
      </c>
      <c r="K1218" s="89" t="n">
        <v>91.68729</v>
      </c>
      <c r="L1218" s="89" t="n"/>
      <c r="M1218" s="89" t="n">
        <v>87.78537</v>
      </c>
      <c r="N1218" s="89" t="n">
        <v>78.59345</v>
      </c>
      <c r="O1218" s="89" t="n">
        <v>100.7</v>
      </c>
      <c r="P1218" s="89" t="n">
        <v>80.73407</v>
      </c>
      <c r="Q1218" s="89" t="n"/>
      <c r="R1218" s="89" t="n">
        <v>108.5</v>
      </c>
      <c r="S1218" s="89" t="n">
        <v>81.17068</v>
      </c>
      <c r="T1218" s="89" t="n">
        <v>82.12493000000001</v>
      </c>
      <c r="U1218" s="89" t="n">
        <v>99.58382</v>
      </c>
      <c r="V1218" s="89" t="n">
        <v>85.70715</v>
      </c>
      <c r="W1218" s="89" t="n">
        <v>84.90707</v>
      </c>
      <c r="X1218" s="89" t="n"/>
      <c r="Y1218" s="89" t="n">
        <v>106.8852</v>
      </c>
      <c r="Z1218" s="89" t="n">
        <v>84.29298</v>
      </c>
      <c r="AA1218" s="89" t="n">
        <v>79.59336999999999</v>
      </c>
      <c r="AB1218" s="89" t="n">
        <v>96.19199</v>
      </c>
      <c r="AC1218" s="89" t="n">
        <v>78.59345</v>
      </c>
      <c r="AD1218" s="89" t="n">
        <v>109.2</v>
      </c>
      <c r="AE1218" s="89" t="n"/>
      <c r="AF1218" s="89" t="n">
        <v>93.89216999999999</v>
      </c>
      <c r="AG1218" s="89" t="n">
        <v>100.7758</v>
      </c>
      <c r="AH1218" s="89" t="n">
        <v>87.65364</v>
      </c>
      <c r="AI1218" s="89" t="n">
        <v>103.4</v>
      </c>
      <c r="AJ1218" s="89" t="n">
        <v>77.48936</v>
      </c>
      <c r="AK1218" s="89" t="n">
        <v>79.61327</v>
      </c>
      <c r="AL1218" s="89" t="n">
        <v>104.9087</v>
      </c>
      <c r="AM1218" s="89" t="n">
        <v>94.90000000000001</v>
      </c>
      <c r="AN1218" s="89" t="n"/>
      <c r="AO1218" s="89" t="n">
        <v>88.42576</v>
      </c>
      <c r="AP1218" s="89" t="n">
        <v>83.88602</v>
      </c>
      <c r="AQ1218" s="89" t="n"/>
      <c r="AR1218" s="89" t="n"/>
      <c r="AS1218" s="89" t="n"/>
      <c r="AT1218" s="89" t="n"/>
      <c r="AU1218" s="89" t="n"/>
      <c r="AV1218" s="89" t="n">
        <v>104.6</v>
      </c>
      <c r="AW1218" s="89" t="n"/>
      <c r="AX1218" s="89" t="n">
        <v>92.99225</v>
      </c>
      <c r="AY1218" s="89" t="n">
        <v>76.96119</v>
      </c>
    </row>
    <row r="1219">
      <c r="A1219" t="inlineStr">
        <is>
          <t>2020-6</t>
        </is>
      </c>
      <c r="B1219" s="1" t="n">
        <v>43983</v>
      </c>
      <c r="C1219" s="88" t="n">
        <v>1219</v>
      </c>
      <c r="E1219" s="1">
        <f>B1219</f>
        <v/>
      </c>
      <c r="F1219" s="2">
        <f>B1219</f>
        <v/>
      </c>
      <c r="G1219" s="88" t="n">
        <v>1217</v>
      </c>
      <c r="H1219" s="89" t="n"/>
      <c r="I1219" s="89" t="n"/>
      <c r="J1219" s="89" t="n">
        <v>105.3912</v>
      </c>
      <c r="K1219" s="89" t="n">
        <v>96.24120000000001</v>
      </c>
      <c r="L1219" s="89" t="n"/>
      <c r="M1219" s="89" t="n">
        <v>101.4831</v>
      </c>
      <c r="N1219" s="89" t="n">
        <v>87.39272</v>
      </c>
      <c r="O1219" s="89" t="n">
        <v>105.3</v>
      </c>
      <c r="P1219" s="89" t="n">
        <v>91.67807999999999</v>
      </c>
      <c r="Q1219" s="89" t="n"/>
      <c r="R1219" s="89" t="n">
        <v>107.7</v>
      </c>
      <c r="S1219" s="89" t="n">
        <v>91.61076</v>
      </c>
      <c r="T1219" s="89" t="n">
        <v>90.22322</v>
      </c>
      <c r="U1219" s="89" t="n">
        <v>102.6802</v>
      </c>
      <c r="V1219" s="89" t="n">
        <v>101.0084</v>
      </c>
      <c r="W1219" s="89" t="n">
        <v>97.2081</v>
      </c>
      <c r="X1219" s="89" t="n"/>
      <c r="Y1219" s="89" t="n">
        <v>111.4754</v>
      </c>
      <c r="Z1219" s="89" t="n">
        <v>91.29239</v>
      </c>
      <c r="AA1219" s="89" t="n">
        <v>81.29322999999999</v>
      </c>
      <c r="AB1219" s="89" t="n">
        <v>102.9914</v>
      </c>
      <c r="AC1219" s="89" t="n">
        <v>85.49287</v>
      </c>
      <c r="AD1219" s="89" t="n">
        <v>117.3</v>
      </c>
      <c r="AE1219" s="89" t="n"/>
      <c r="AF1219" s="89" t="n">
        <v>94.49213</v>
      </c>
      <c r="AG1219" s="89" t="n">
        <v>98.91388999999999</v>
      </c>
      <c r="AH1219" s="89" t="n">
        <v>94.10796999999999</v>
      </c>
      <c r="AI1219" s="89" t="n">
        <v>113.8</v>
      </c>
      <c r="AJ1219" s="89" t="n">
        <v>86.13928</v>
      </c>
      <c r="AK1219" s="89" t="n">
        <v>101.817</v>
      </c>
      <c r="AL1219" s="89" t="n">
        <v>110.1092</v>
      </c>
      <c r="AM1219" s="89" t="n">
        <v>101.1</v>
      </c>
      <c r="AN1219" s="89" t="n"/>
      <c r="AO1219" s="89" t="n">
        <v>93.93966</v>
      </c>
      <c r="AP1219" s="89" t="n">
        <v>91.88469000000001</v>
      </c>
      <c r="AQ1219" s="89" t="n"/>
      <c r="AR1219" s="89" t="n"/>
      <c r="AS1219" s="89" t="n"/>
      <c r="AT1219" s="89" t="n"/>
      <c r="AU1219" s="89" t="n"/>
      <c r="AV1219" s="89" t="n">
        <v>105.2</v>
      </c>
      <c r="AW1219" s="89" t="n"/>
      <c r="AX1219" s="89" t="n">
        <v>109.5909</v>
      </c>
      <c r="AY1219" s="89" t="n">
        <v>84.33801</v>
      </c>
    </row>
    <row r="1220">
      <c r="A1220" t="inlineStr">
        <is>
          <t>2020-7</t>
        </is>
      </c>
      <c r="B1220" s="1" t="n">
        <v>44013</v>
      </c>
      <c r="C1220" s="88" t="n">
        <v>1220</v>
      </c>
      <c r="E1220" s="1">
        <f>B1220</f>
        <v/>
      </c>
      <c r="F1220" s="2">
        <f>B1220</f>
        <v/>
      </c>
      <c r="G1220" s="88" t="n">
        <v>1218</v>
      </c>
      <c r="H1220" s="89" t="n"/>
      <c r="I1220" s="89" t="n"/>
      <c r="J1220" s="89" t="n">
        <v>109.9908</v>
      </c>
      <c r="K1220" s="89" t="n">
        <v>99.02245000000001</v>
      </c>
      <c r="L1220" s="89" t="n"/>
      <c r="M1220" s="89" t="n">
        <v>107.782</v>
      </c>
      <c r="N1220" s="89" t="n">
        <v>90.09249</v>
      </c>
      <c r="O1220" s="89" t="n">
        <v>101.1</v>
      </c>
      <c r="P1220" s="89" t="n">
        <v>100.8411</v>
      </c>
      <c r="Q1220" s="89" t="n"/>
      <c r="R1220" s="89" t="n">
        <v>108.3</v>
      </c>
      <c r="S1220" s="89" t="n">
        <v>95.07079</v>
      </c>
      <c r="T1220" s="89" t="n">
        <v>94.99914</v>
      </c>
      <c r="U1220" s="89" t="n">
        <v>106.276</v>
      </c>
      <c r="V1220" s="89" t="n">
        <v>107.809</v>
      </c>
      <c r="W1220" s="89" t="n">
        <v>110.9092</v>
      </c>
      <c r="X1220" s="89" t="n"/>
      <c r="Y1220" s="89" t="n">
        <v>108.103</v>
      </c>
      <c r="Z1220" s="89" t="n">
        <v>98.19182000000001</v>
      </c>
      <c r="AA1220" s="89" t="n">
        <v>87.29272</v>
      </c>
      <c r="AB1220" s="89" t="n">
        <v>104.9912</v>
      </c>
      <c r="AC1220" s="89" t="n">
        <v>90.29246999999999</v>
      </c>
      <c r="AD1220" s="89" t="n">
        <v>116.6</v>
      </c>
      <c r="AE1220" s="89" t="n"/>
      <c r="AF1220" s="89" t="n">
        <v>97.29189</v>
      </c>
      <c r="AG1220" s="89" t="n">
        <v>101.474</v>
      </c>
      <c r="AH1220" s="89" t="n">
        <v>98.69687999999999</v>
      </c>
      <c r="AI1220" s="89" t="n">
        <v>120.5</v>
      </c>
      <c r="AJ1220" s="89" t="n">
        <v>97.68919</v>
      </c>
      <c r="AK1220" s="89" t="n">
        <v>106.5178</v>
      </c>
      <c r="AL1220" s="89" t="n">
        <v>118.3099</v>
      </c>
      <c r="AM1220" s="89" t="n">
        <v>104.8</v>
      </c>
      <c r="AN1220" s="89" t="n"/>
      <c r="AO1220" s="89" t="n">
        <v>97.86862000000001</v>
      </c>
      <c r="AP1220" s="89" t="n">
        <v>96.88385</v>
      </c>
      <c r="AQ1220" s="89" t="n"/>
      <c r="AR1220" s="89" t="n"/>
      <c r="AS1220" s="89" t="n"/>
      <c r="AT1220" s="89" t="n"/>
      <c r="AU1220" s="89" t="n"/>
      <c r="AV1220" s="89" t="n">
        <v>107</v>
      </c>
      <c r="AW1220" s="89" t="n"/>
      <c r="AX1220" s="89" t="n">
        <v>118.7901</v>
      </c>
      <c r="AY1220" s="89" t="n">
        <v>91.60474000000001</v>
      </c>
    </row>
    <row r="1221">
      <c r="A1221" t="inlineStr">
        <is>
          <t>2020-8</t>
        </is>
      </c>
      <c r="B1221" s="1" t="n">
        <v>44044</v>
      </c>
      <c r="C1221" s="88" t="n">
        <v>1221</v>
      </c>
      <c r="E1221" s="1">
        <f>B1221</f>
        <v/>
      </c>
      <c r="F1221" s="2">
        <f>B1221</f>
        <v/>
      </c>
      <c r="G1221" s="88" t="n">
        <v>1219</v>
      </c>
      <c r="H1221" s="89" t="n"/>
      <c r="I1221" s="89" t="n"/>
      <c r="J1221" s="89" t="n">
        <v>109.3909</v>
      </c>
      <c r="K1221" s="89" t="n">
        <v>98.26613999999999</v>
      </c>
      <c r="L1221" s="89" t="n"/>
      <c r="M1221" s="89" t="n">
        <v>106.9822</v>
      </c>
      <c r="N1221" s="89" t="n">
        <v>90.19248</v>
      </c>
      <c r="O1221" s="89" t="n">
        <v>104</v>
      </c>
      <c r="P1221" s="89" t="n">
        <v>101.3461</v>
      </c>
      <c r="Q1221" s="89" t="n"/>
      <c r="R1221" s="89" t="n">
        <v>110.3</v>
      </c>
      <c r="S1221" s="89" t="n">
        <v>96.0908</v>
      </c>
      <c r="T1221" s="89" t="n">
        <v>95.20677999999999</v>
      </c>
      <c r="U1221" s="89" t="n">
        <v>104.7778</v>
      </c>
      <c r="V1221" s="89" t="n">
        <v>114.7096</v>
      </c>
      <c r="W1221" s="89" t="n">
        <v>94.60789</v>
      </c>
      <c r="X1221" s="89" t="n"/>
      <c r="Y1221" s="89" t="n">
        <v>110.2576</v>
      </c>
      <c r="Z1221" s="89" t="n">
        <v>105.1912</v>
      </c>
      <c r="AA1221" s="89" t="n">
        <v>89.29255999999999</v>
      </c>
      <c r="AB1221" s="89" t="n">
        <v>104.5913</v>
      </c>
      <c r="AC1221" s="89" t="n">
        <v>91.09241</v>
      </c>
      <c r="AD1221" s="89" t="n">
        <v>116</v>
      </c>
      <c r="AE1221" s="89" t="n"/>
      <c r="AF1221" s="89" t="n">
        <v>97.49187000000001</v>
      </c>
      <c r="AG1221" s="89" t="n">
        <v>102.6377</v>
      </c>
      <c r="AH1221" s="89" t="n">
        <v>99.66301</v>
      </c>
      <c r="AI1221" s="89" t="n">
        <v>121.1</v>
      </c>
      <c r="AJ1221" s="89" t="n">
        <v>107.2591</v>
      </c>
      <c r="AK1221" s="89" t="n">
        <v>109.4182</v>
      </c>
      <c r="AL1221" s="89" t="n">
        <v>120.7101</v>
      </c>
      <c r="AM1221" s="89" t="n">
        <v>111.2</v>
      </c>
      <c r="AN1221" s="89" t="n"/>
      <c r="AO1221" s="89" t="n">
        <v>98.60773</v>
      </c>
      <c r="AP1221" s="89" t="n">
        <v>97.38377</v>
      </c>
      <c r="AQ1221" s="89" t="n"/>
      <c r="AR1221" s="89" t="n"/>
      <c r="AS1221" s="89" t="n"/>
      <c r="AT1221" s="89" t="n"/>
      <c r="AU1221" s="89" t="n"/>
      <c r="AV1221" s="89" t="n">
        <v>108.9</v>
      </c>
      <c r="AW1221" s="89" t="n"/>
      <c r="AX1221" s="89" t="n">
        <v>122.8898</v>
      </c>
      <c r="AY1221" s="89" t="n">
        <v>94.68758</v>
      </c>
    </row>
    <row r="1222">
      <c r="A1222" t="inlineStr">
        <is>
          <t>2020-9</t>
        </is>
      </c>
      <c r="B1222" s="1" t="n">
        <v>44075</v>
      </c>
      <c r="C1222" s="88" t="n">
        <v>1222</v>
      </c>
      <c r="E1222" s="1">
        <f>B1222</f>
        <v/>
      </c>
      <c r="F1222" s="2">
        <f>B1222</f>
        <v/>
      </c>
      <c r="G1222" s="88" t="n">
        <v>1220</v>
      </c>
      <c r="H1222" s="89" t="n"/>
      <c r="I1222" s="89" t="n"/>
      <c r="J1222" s="89" t="n">
        <v>110.1908</v>
      </c>
      <c r="K1222" s="89" t="n">
        <v>100.0169</v>
      </c>
      <c r="L1222" s="89" t="n"/>
      <c r="M1222" s="89" t="n">
        <v>110.8815</v>
      </c>
      <c r="N1222" s="89" t="n">
        <v>92.29231</v>
      </c>
      <c r="O1222" s="89" t="n">
        <v>106.1</v>
      </c>
      <c r="P1222" s="89" t="n">
        <v>102.2791</v>
      </c>
      <c r="Q1222" s="89" t="n"/>
      <c r="R1222" s="89" t="n">
        <v>108.1</v>
      </c>
      <c r="S1222" s="89" t="n">
        <v>97.59081</v>
      </c>
      <c r="T1222" s="89" t="n">
        <v>95.62208</v>
      </c>
      <c r="U1222" s="89" t="n">
        <v>106.6755</v>
      </c>
      <c r="V1222" s="89" t="n">
        <v>117.3098</v>
      </c>
      <c r="W1222" s="89" t="n">
        <v>89.90749</v>
      </c>
      <c r="X1222" s="89" t="n"/>
      <c r="Y1222" s="89" t="n">
        <v>114.6604</v>
      </c>
      <c r="Z1222" s="89" t="n">
        <v>99.79169</v>
      </c>
      <c r="AA1222" s="89" t="n">
        <v>92.09232</v>
      </c>
      <c r="AB1222" s="89" t="n">
        <v>110.3908</v>
      </c>
      <c r="AC1222" s="89" t="n">
        <v>93.29223</v>
      </c>
      <c r="AD1222" s="89" t="n">
        <v>116.5</v>
      </c>
      <c r="AE1222" s="89" t="n"/>
      <c r="AF1222" s="89" t="n">
        <v>97.69186000000001</v>
      </c>
      <c r="AG1222" s="89" t="n">
        <v>101.0085</v>
      </c>
      <c r="AH1222" s="89" t="n">
        <v>100.6808</v>
      </c>
      <c r="AI1222" s="89" t="n">
        <v>124.7</v>
      </c>
      <c r="AJ1222" s="89" t="n">
        <v>103.6291</v>
      </c>
      <c r="AK1222" s="89" t="n">
        <v>111.8186</v>
      </c>
      <c r="AL1222" s="89" t="n">
        <v>120.7101</v>
      </c>
      <c r="AM1222" s="89" t="n">
        <v>109.7</v>
      </c>
      <c r="AN1222" s="89" t="n"/>
      <c r="AO1222" s="89" t="n">
        <v>98.54904999999999</v>
      </c>
      <c r="AP1222" s="89" t="n">
        <v>97.48375</v>
      </c>
      <c r="AQ1222" s="89" t="n"/>
      <c r="AR1222" s="89" t="n"/>
      <c r="AS1222" s="89" t="n"/>
      <c r="AT1222" s="89" t="n"/>
      <c r="AU1222" s="89" t="n"/>
      <c r="AV1222" s="89" t="n">
        <v>108.9</v>
      </c>
      <c r="AW1222" s="89" t="n"/>
      <c r="AX1222" s="89" t="n">
        <v>125.0896</v>
      </c>
      <c r="AY1222" s="89" t="n">
        <v>97.33002999999999</v>
      </c>
    </row>
    <row r="1223">
      <c r="A1223" t="inlineStr">
        <is>
          <t>2020-10</t>
        </is>
      </c>
      <c r="B1223" s="1" t="n">
        <v>44105</v>
      </c>
      <c r="C1223" s="88" t="n">
        <v>1223</v>
      </c>
      <c r="E1223" s="1">
        <f>B1223</f>
        <v/>
      </c>
      <c r="F1223" s="2">
        <f>B1223</f>
        <v/>
      </c>
      <c r="G1223" s="88" t="n">
        <v>1221</v>
      </c>
      <c r="H1223" s="89" t="n"/>
      <c r="I1223" s="89" t="n"/>
      <c r="J1223" s="89" t="n">
        <v>117.7902</v>
      </c>
      <c r="K1223" s="89" t="n"/>
      <c r="L1223" s="89" t="n"/>
      <c r="M1223" s="89" t="n">
        <v>114.181</v>
      </c>
      <c r="N1223" s="89" t="n">
        <v>95.29206000000001</v>
      </c>
      <c r="O1223" s="89" t="n">
        <v>99.90000000000001</v>
      </c>
      <c r="P1223" s="89" t="n">
        <v>102.8621</v>
      </c>
      <c r="Q1223" s="89" t="n"/>
      <c r="R1223" s="89" t="n">
        <v>109.8</v>
      </c>
      <c r="S1223" s="89" t="n">
        <v>99.18082</v>
      </c>
      <c r="T1223" s="89" t="n">
        <v>96.86797</v>
      </c>
      <c r="U1223" s="89" t="n">
        <v>103.4793</v>
      </c>
      <c r="V1223" s="89" t="n">
        <v>120.6101</v>
      </c>
      <c r="W1223" s="89" t="n">
        <v>89.90749</v>
      </c>
      <c r="X1223" s="89" t="n"/>
      <c r="Y1223" s="89" t="n"/>
      <c r="Z1223" s="89" t="n">
        <v>101.0916</v>
      </c>
      <c r="AA1223" s="89" t="n">
        <v>95.09208</v>
      </c>
      <c r="AB1223" s="89" t="n">
        <v>109.0909</v>
      </c>
      <c r="AC1223" s="89" t="n">
        <v>93.89216999999999</v>
      </c>
      <c r="AD1223" s="89" t="n">
        <v>116.4</v>
      </c>
      <c r="AE1223" s="89" t="n"/>
      <c r="AF1223" s="89" t="n">
        <v>99.79169</v>
      </c>
      <c r="AG1223" s="89" t="n">
        <v>97.51746</v>
      </c>
      <c r="AH1223" s="89" t="n">
        <v>102.1095</v>
      </c>
      <c r="AI1223" s="89" t="n">
        <v>126.7</v>
      </c>
      <c r="AJ1223" s="89" t="n">
        <v>104.3491</v>
      </c>
      <c r="AK1223" s="89" t="n">
        <v>110.5184</v>
      </c>
      <c r="AL1223" s="89" t="n">
        <v>124.4104</v>
      </c>
      <c r="AM1223" s="89" t="n">
        <v>110.6</v>
      </c>
      <c r="AN1223" s="89" t="n"/>
      <c r="AO1223" s="89" t="n">
        <v>99.48295</v>
      </c>
      <c r="AP1223" s="89" t="n">
        <v>99.48342</v>
      </c>
      <c r="AQ1223" s="89" t="n"/>
      <c r="AR1223" s="89" t="n"/>
      <c r="AS1223" s="89" t="n"/>
      <c r="AT1223" s="89" t="n"/>
      <c r="AU1223" s="89" t="n"/>
      <c r="AV1223" s="89" t="n">
        <v>108.4</v>
      </c>
      <c r="AW1223" s="89" t="n"/>
      <c r="AX1223" s="89" t="n">
        <v>126.3895</v>
      </c>
      <c r="AY1223" s="89" t="n">
        <v>98.43105</v>
      </c>
    </row>
    <row r="1224">
      <c r="A1224" t="inlineStr">
        <is>
          <t>2020-11</t>
        </is>
      </c>
      <c r="B1224" s="1" t="n">
        <v>44136</v>
      </c>
      <c r="C1224" s="88" t="n">
        <v>1224</v>
      </c>
      <c r="E1224" s="1">
        <f>B1224</f>
        <v/>
      </c>
      <c r="F1224" s="2">
        <f>B1224</f>
        <v/>
      </c>
      <c r="G1224" s="88" t="n">
        <v>1222</v>
      </c>
      <c r="H1224" s="89" t="n"/>
      <c r="I1224" s="89" t="n"/>
      <c r="J1224" s="89" t="n"/>
      <c r="K1224" s="89" t="n"/>
      <c r="L1224" s="89" t="n"/>
      <c r="M1224" s="89" t="n"/>
      <c r="N1224" s="89" t="n"/>
      <c r="O1224" s="89" t="n"/>
      <c r="P1224" s="89" t="n"/>
      <c r="Q1224" s="89" t="n"/>
      <c r="R1224" s="89" t="n"/>
      <c r="S1224" s="89" t="n"/>
      <c r="T1224" s="89" t="n"/>
      <c r="U1224" s="89" t="n"/>
      <c r="V1224" s="89" t="n"/>
      <c r="W1224" s="89" t="n"/>
      <c r="X1224" s="89" t="n"/>
      <c r="Y1224" s="89" t="n"/>
      <c r="Z1224" s="89" t="n"/>
      <c r="AA1224" s="89" t="n"/>
      <c r="AB1224" s="89" t="n"/>
      <c r="AC1224" s="89" t="n"/>
      <c r="AD1224" s="89" t="n"/>
      <c r="AE1224" s="89" t="n"/>
      <c r="AF1224" s="89" t="n"/>
      <c r="AG1224" s="89" t="n"/>
      <c r="AH1224" s="89" t="n"/>
      <c r="AI1224" s="89" t="n"/>
      <c r="AJ1224" s="89" t="n"/>
      <c r="AK1224" s="89" t="n"/>
      <c r="AL1224" s="89" t="n"/>
      <c r="AM1224" s="89" t="n"/>
      <c r="AN1224" s="89" t="n"/>
      <c r="AO1224" s="89" t="n">
        <v>99.87551000000001</v>
      </c>
      <c r="AP1224" s="89" t="n"/>
      <c r="AQ1224" s="89" t="n"/>
      <c r="AR1224" s="89" t="n"/>
      <c r="AS1224" s="89" t="n"/>
      <c r="AT1224" s="89" t="n"/>
      <c r="AU1224" s="89" t="n"/>
      <c r="AV1224" s="89" t="n"/>
      <c r="AW1224" s="89" t="n"/>
      <c r="AX1224" s="89" t="n"/>
      <c r="AY1224" s="89" t="n"/>
    </row>
  </sheetData>
  <pageMargins left="0.7" right="0.7" top="0.75" bottom="0.75" header="0.3" footer="0.3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D18"/>
  <sheetViews>
    <sheetView zoomScale="190" zoomScaleNormal="190" workbookViewId="0">
      <selection activeCell="D28" sqref="D28"/>
    </sheetView>
  </sheetViews>
  <sheetFormatPr baseColWidth="10" defaultRowHeight="15"/>
  <sheetData>
    <row r="1">
      <c r="A1" t="inlineStr">
        <is>
          <t>Code</t>
        </is>
      </c>
      <c r="B1" t="inlineStr">
        <is>
          <t>Country</t>
        </is>
      </c>
      <c r="C1" t="inlineStr">
        <is>
          <t>GDP</t>
        </is>
      </c>
      <c r="D1" t="inlineStr">
        <is>
          <t>Investment_Percentage</t>
        </is>
      </c>
    </row>
    <row r="2">
      <c r="A2" t="inlineStr">
        <is>
          <t>USA</t>
        </is>
      </c>
      <c r="B2" t="inlineStr">
        <is>
          <t>United States</t>
        </is>
      </c>
      <c r="C2" t="n">
        <v>20937</v>
      </c>
      <c r="D2" t="n">
        <v>21.1516738070808</v>
      </c>
    </row>
    <row r="3">
      <c r="A3" t="inlineStr">
        <is>
          <t>CHN</t>
        </is>
      </c>
      <c r="B3" t="inlineStr">
        <is>
          <t>China</t>
        </is>
      </c>
      <c r="C3" t="n">
        <v>14723</v>
      </c>
      <c r="D3" t="n">
        <v>43.5439575852507</v>
      </c>
    </row>
    <row r="4">
      <c r="A4" t="inlineStr">
        <is>
          <t>JPN</t>
        </is>
      </c>
      <c r="B4" t="inlineStr">
        <is>
          <t>Japan</t>
        </is>
      </c>
      <c r="C4" t="n">
        <v>4975</v>
      </c>
      <c r="D4" t="n">
        <v>25.5064392440487</v>
      </c>
    </row>
    <row r="5">
      <c r="A5" t="inlineStr">
        <is>
          <t>DEU</t>
        </is>
      </c>
      <c r="B5" t="inlineStr">
        <is>
          <t>Germany</t>
        </is>
      </c>
      <c r="C5" t="n">
        <v>3846</v>
      </c>
      <c r="D5" t="n">
        <v>21.1490218437088</v>
      </c>
    </row>
    <row r="6">
      <c r="A6" t="inlineStr">
        <is>
          <t>GBR</t>
        </is>
      </c>
      <c r="B6" t="inlineStr">
        <is>
          <t>United Kingdom</t>
        </is>
      </c>
      <c r="C6" t="n">
        <v>2708</v>
      </c>
      <c r="D6" t="n">
        <v>16.741455414543</v>
      </c>
    </row>
    <row r="7">
      <c r="A7" t="inlineStr">
        <is>
          <t>FRA</t>
        </is>
      </c>
      <c r="B7" t="inlineStr">
        <is>
          <t>France</t>
        </is>
      </c>
      <c r="C7" t="n">
        <v>2630</v>
      </c>
      <c r="D7" t="n">
        <v>23.8118687197659</v>
      </c>
    </row>
    <row r="8">
      <c r="A8" t="inlineStr">
        <is>
          <t>IND</t>
        </is>
      </c>
      <c r="B8" t="inlineStr">
        <is>
          <t>India</t>
        </is>
      </c>
      <c r="C8" t="n">
        <v>2623</v>
      </c>
      <c r="D8" t="n">
        <v>29.2776504852473</v>
      </c>
    </row>
    <row r="9">
      <c r="A9" t="inlineStr">
        <is>
          <t>ITA</t>
        </is>
      </c>
      <c r="B9" t="inlineStr">
        <is>
          <t>Italy</t>
        </is>
      </c>
      <c r="C9" t="n">
        <v>1886</v>
      </c>
      <c r="D9" t="n">
        <v>17.5841623844354</v>
      </c>
    </row>
    <row r="10">
      <c r="A10" t="inlineStr">
        <is>
          <t>CAN</t>
        </is>
      </c>
      <c r="B10" t="inlineStr">
        <is>
          <t>Canada</t>
        </is>
      </c>
      <c r="C10" t="n">
        <v>1644</v>
      </c>
      <c r="D10" t="n">
        <v>22.078003360689</v>
      </c>
    </row>
    <row r="11">
      <c r="A11" t="inlineStr">
        <is>
          <t>KOR</t>
        </is>
      </c>
      <c r="B11" t="inlineStr">
        <is>
          <t>South Korea</t>
        </is>
      </c>
      <c r="C11" t="n">
        <v>1631</v>
      </c>
      <c r="D11" t="n">
        <v>31.861011061518</v>
      </c>
    </row>
    <row r="12">
      <c r="A12" t="inlineStr">
        <is>
          <t>RUS</t>
        </is>
      </c>
      <c r="B12" t="inlineStr">
        <is>
          <t>Russia</t>
        </is>
      </c>
      <c r="C12" t="n">
        <v>1484</v>
      </c>
      <c r="D12" t="n">
        <v>23.9879493606627</v>
      </c>
    </row>
    <row r="13">
      <c r="A13" t="inlineStr">
        <is>
          <t>BRA</t>
        </is>
      </c>
      <c r="B13" t="inlineStr">
        <is>
          <t>Brazil</t>
        </is>
      </c>
      <c r="C13" t="n">
        <v>1445</v>
      </c>
      <c r="D13" t="n">
        <v>15.4048651869991</v>
      </c>
    </row>
    <row r="14">
      <c r="A14" t="inlineStr">
        <is>
          <t>AUS</t>
        </is>
      </c>
      <c r="B14" t="inlineStr">
        <is>
          <t>Australia</t>
        </is>
      </c>
      <c r="C14" t="n">
        <v>1331</v>
      </c>
      <c r="D14" t="n">
        <v>22.2689470161031</v>
      </c>
    </row>
    <row r="15">
      <c r="A15" t="inlineStr">
        <is>
          <t>ESP</t>
        </is>
      </c>
      <c r="B15" t="inlineStr">
        <is>
          <t>Spain</t>
        </is>
      </c>
      <c r="C15" t="n">
        <v>1281</v>
      </c>
      <c r="D15" t="n">
        <v>20.6911550267927</v>
      </c>
    </row>
    <row r="16">
      <c r="A16" t="inlineStr">
        <is>
          <t>MEX</t>
        </is>
      </c>
      <c r="B16" t="inlineStr">
        <is>
          <t>Mexico</t>
        </is>
      </c>
      <c r="C16" t="n">
        <v>1076</v>
      </c>
      <c r="D16" t="n">
        <v>19.3065996427008</v>
      </c>
    </row>
    <row r="17">
      <c r="A17" t="inlineStr">
        <is>
          <t>IDN</t>
        </is>
      </c>
      <c r="B17" t="inlineStr">
        <is>
          <t>Indonesia</t>
        </is>
      </c>
      <c r="C17" t="n">
        <v>1058</v>
      </c>
      <c r="D17" t="n">
        <v>32.3674628282469</v>
      </c>
    </row>
    <row r="18">
      <c r="A18" t="inlineStr">
        <is>
          <t>NLD</t>
        </is>
      </c>
      <c r="B18" t="inlineStr">
        <is>
          <t>Netherlands</t>
        </is>
      </c>
      <c r="C18" t="n">
        <v>914</v>
      </c>
      <c r="D18" t="n">
        <v>21.742168117536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5">
    <outlinePr summaryBelow="1" summaryRight="1"/>
    <pageSetUpPr/>
  </sheetPr>
  <dimension ref="A1:Z393"/>
  <sheetViews>
    <sheetView zoomScale="150" zoomScaleNormal="150" workbookViewId="0">
      <pane xSplit="2" ySplit="9" topLeftCell="C270" activePane="bottomRight" state="frozen"/>
      <selection pane="topRight" activeCell="C1" sqref="C1"/>
      <selection pane="bottomLeft" activeCell="A10" sqref="A10"/>
      <selection pane="bottomRight" activeCell="B379" sqref="B379"/>
    </sheetView>
  </sheetViews>
  <sheetFormatPr baseColWidth="10" defaultColWidth="8.83203125" defaultRowHeight="15"/>
  <cols>
    <col width="10.6640625" bestFit="1" customWidth="1" style="100" min="1" max="1"/>
    <col width="13.6640625" customWidth="1" style="95" min="2" max="2"/>
    <col width="7.1640625" customWidth="1" style="95" min="3" max="3"/>
    <col width="7" customWidth="1" style="95" min="4" max="4"/>
    <col width="6.1640625" customWidth="1" style="95" min="5" max="11"/>
    <col hidden="1" width="6.33203125" customWidth="1" style="95" min="12" max="13"/>
    <col hidden="1" width="6.1640625" customWidth="1" style="95" min="14" max="14"/>
    <col width="6.1640625" customWidth="1" style="95" min="15" max="20"/>
    <col width="6.6640625" customWidth="1" style="95" min="21" max="21"/>
    <col width="6.1640625" customWidth="1" style="95" min="22" max="22"/>
    <col width="6.1640625" customWidth="1" style="100" min="23" max="23"/>
    <col width="15.33203125" customWidth="1" style="100" min="24" max="25"/>
    <col width="10.6640625" bestFit="1" customWidth="1" style="100" min="26" max="26"/>
    <col width="9.1640625" customWidth="1" style="100" min="27" max="67"/>
  </cols>
  <sheetData>
    <row r="1">
      <c r="C1" t="inlineStr">
        <is>
          <t>USA</t>
        </is>
      </c>
      <c r="D1" t="inlineStr">
        <is>
          <t>EA19</t>
        </is>
      </c>
      <c r="E1" t="inlineStr">
        <is>
          <t>JPN</t>
        </is>
      </c>
      <c r="F1" t="inlineStr">
        <is>
          <t>DEU</t>
        </is>
      </c>
      <c r="G1" t="inlineStr">
        <is>
          <t>FRA</t>
        </is>
      </c>
      <c r="H1" t="inlineStr">
        <is>
          <t>GBR</t>
        </is>
      </c>
      <c r="I1" t="inlineStr">
        <is>
          <t>ITA</t>
        </is>
      </c>
      <c r="J1" t="inlineStr">
        <is>
          <t>ESP</t>
        </is>
      </c>
      <c r="K1" t="inlineStr">
        <is>
          <t>SWE</t>
        </is>
      </c>
      <c r="L1" t="inlineStr">
        <is>
          <t>MEX</t>
        </is>
      </c>
      <c r="M1" t="inlineStr">
        <is>
          <t>RUS</t>
        </is>
      </c>
      <c r="N1" t="inlineStr">
        <is>
          <t>IND</t>
        </is>
      </c>
      <c r="O1" t="inlineStr">
        <is>
          <t>CAN</t>
        </is>
      </c>
      <c r="P1" t="inlineStr">
        <is>
          <t>KOR</t>
        </is>
      </c>
      <c r="Q1" t="inlineStr">
        <is>
          <t>BRA</t>
        </is>
      </c>
      <c r="R1" t="inlineStr">
        <is>
          <t>GRC</t>
        </is>
      </c>
      <c r="S1" t="inlineStr">
        <is>
          <t>IRL</t>
        </is>
      </c>
      <c r="T1" t="inlineStr">
        <is>
          <t>TUR</t>
        </is>
      </c>
      <c r="U1" t="inlineStr">
        <is>
          <t>CZE</t>
        </is>
      </c>
      <c r="V1" t="inlineStr">
        <is>
          <t>POL</t>
        </is>
      </c>
      <c r="Z1" s="15" t="inlineStr">
        <is>
          <t>modify max/min/avg</t>
        </is>
      </c>
    </row>
    <row r="2" ht="16" customFormat="1" customHeight="1" s="100" thickBot="1">
      <c r="Y2" s="100" t="inlineStr">
        <is>
          <t>Last month</t>
        </is>
      </c>
      <c r="Z2" s="14" t="n">
        <v>44105</v>
      </c>
    </row>
    <row r="3" ht="75.75" customHeight="1" s="95">
      <c r="B3" s="55" t="n"/>
      <c r="C3" s="56" t="inlineStr">
        <is>
          <t>US</t>
        </is>
      </c>
      <c r="D3" s="57" t="inlineStr">
        <is>
          <t>Eurozone</t>
        </is>
      </c>
      <c r="E3" s="58" t="inlineStr">
        <is>
          <t xml:space="preserve">Japan </t>
        </is>
      </c>
      <c r="F3" s="59" t="inlineStr">
        <is>
          <t>Germany</t>
        </is>
      </c>
      <c r="G3" s="59" t="inlineStr">
        <is>
          <t>France</t>
        </is>
      </c>
      <c r="H3" s="59" t="inlineStr">
        <is>
          <t>UK</t>
        </is>
      </c>
      <c r="I3" s="59" t="inlineStr">
        <is>
          <t xml:space="preserve">Italy </t>
        </is>
      </c>
      <c r="J3" s="59" t="inlineStr">
        <is>
          <t>Spain</t>
        </is>
      </c>
      <c r="K3" s="59" t="inlineStr">
        <is>
          <t>Sweden</t>
        </is>
      </c>
      <c r="L3" s="59" t="inlineStr">
        <is>
          <t>Mexico</t>
        </is>
      </c>
      <c r="M3" s="59" t="inlineStr">
        <is>
          <t>Russia</t>
        </is>
      </c>
      <c r="N3" s="59" t="inlineStr">
        <is>
          <t>India</t>
        </is>
      </c>
      <c r="O3" s="59" t="inlineStr">
        <is>
          <t>Canada</t>
        </is>
      </c>
      <c r="P3" s="59" t="inlineStr">
        <is>
          <t xml:space="preserve">S Korea </t>
        </is>
      </c>
      <c r="Q3" s="59" t="inlineStr">
        <is>
          <t>Brazil</t>
        </is>
      </c>
      <c r="R3" s="59" t="inlineStr">
        <is>
          <t>Greece</t>
        </is>
      </c>
      <c r="S3" s="59" t="inlineStr">
        <is>
          <t>Ireland</t>
        </is>
      </c>
      <c r="T3" s="59" t="inlineStr">
        <is>
          <t>Turkey</t>
        </is>
      </c>
      <c r="U3" s="59" t="inlineStr">
        <is>
          <t xml:space="preserve">Czech </t>
        </is>
      </c>
      <c r="V3" s="60" t="inlineStr">
        <is>
          <t>Poland</t>
        </is>
      </c>
      <c r="Z3" s="16">
        <f>EDATE(Z2,-1)</f>
        <v/>
      </c>
    </row>
    <row r="4">
      <c r="B4" s="61" t="inlineStr">
        <is>
          <t>max 1y</t>
        </is>
      </c>
      <c r="C4" s="3">
        <f>MAX(C382:C393)</f>
        <v/>
      </c>
      <c r="D4" s="3">
        <f>MAX(D382:D393)</f>
        <v/>
      </c>
      <c r="E4" s="3">
        <f>MAX(E382:E393)</f>
        <v/>
      </c>
      <c r="F4" s="3">
        <f>MAX(F382:F393)</f>
        <v/>
      </c>
      <c r="G4" s="3">
        <f>MAX(G382:G393)</f>
        <v/>
      </c>
      <c r="H4" s="3">
        <f>MAX(H382:H393)</f>
        <v/>
      </c>
      <c r="I4" s="3">
        <f>MAX(I382:I393)</f>
        <v/>
      </c>
      <c r="J4" s="3">
        <f>MAX(J382:J393)</f>
        <v/>
      </c>
      <c r="K4" s="3">
        <f>MAX(K382:K393)</f>
        <v/>
      </c>
      <c r="L4" s="3">
        <f>MAX(L382:L393)</f>
        <v/>
      </c>
      <c r="M4" s="3">
        <f>MAX(M382:M393)</f>
        <v/>
      </c>
      <c r="N4" s="3">
        <f>MAX(N382:N393)</f>
        <v/>
      </c>
      <c r="O4" s="3">
        <f>MAX(O382:O393)</f>
        <v/>
      </c>
      <c r="P4" s="3">
        <f>MAX(P382:P393)</f>
        <v/>
      </c>
      <c r="Q4" s="3">
        <f>MAX(Q382:Q393)</f>
        <v/>
      </c>
      <c r="R4" s="3">
        <f>MAX(R382:R393)</f>
        <v/>
      </c>
      <c r="S4" s="3">
        <f>MAX(S382:S393)</f>
        <v/>
      </c>
      <c r="T4" s="3">
        <f>MAX(T382:T393)</f>
        <v/>
      </c>
      <c r="U4" s="3">
        <f>MAX(U382:U393)</f>
        <v/>
      </c>
      <c r="V4" s="62">
        <f>MAX(V382:V393)</f>
        <v/>
      </c>
      <c r="Z4" s="16">
        <f>EDATE(Z2,-12)</f>
        <v/>
      </c>
    </row>
    <row r="5">
      <c r="B5" s="61" t="inlineStr">
        <is>
          <t>min 1y</t>
        </is>
      </c>
      <c r="C5" s="3">
        <f>MIN(C382:C393)</f>
        <v/>
      </c>
      <c r="D5" s="3">
        <f>MIN(D382:D393)</f>
        <v/>
      </c>
      <c r="E5" s="3">
        <f>MIN(E382:E393)</f>
        <v/>
      </c>
      <c r="F5" s="3">
        <f>MIN(F382:F393)</f>
        <v/>
      </c>
      <c r="G5" s="3">
        <f>MIN(G382:G393)</f>
        <v/>
      </c>
      <c r="H5" s="3">
        <f>MIN(H382:H393)</f>
        <v/>
      </c>
      <c r="I5" s="3">
        <f>MIN(I382:I393)</f>
        <v/>
      </c>
      <c r="J5" s="3">
        <f>MIN(J382:J393)</f>
        <v/>
      </c>
      <c r="K5" s="3">
        <f>MIN(K382:K393)</f>
        <v/>
      </c>
      <c r="L5" s="3">
        <f>MIN(L382:L393)</f>
        <v/>
      </c>
      <c r="M5" s="3">
        <f>MIN(M382:M393)</f>
        <v/>
      </c>
      <c r="N5" s="3">
        <f>MIN(N382:N393)</f>
        <v/>
      </c>
      <c r="O5" s="3">
        <f>MIN(O382:O393)</f>
        <v/>
      </c>
      <c r="P5" s="3">
        <f>MIN(P382:P393)</f>
        <v/>
      </c>
      <c r="Q5" s="3">
        <f>MIN(Q382:Q393)</f>
        <v/>
      </c>
      <c r="R5" s="3">
        <f>MIN(R382:R393)</f>
        <v/>
      </c>
      <c r="S5" s="3">
        <f>MIN(S382:S393)</f>
        <v/>
      </c>
      <c r="T5" s="3">
        <f>MIN(T382:T393)</f>
        <v/>
      </c>
      <c r="U5" s="3">
        <f>MIN(U382:U393)</f>
        <v/>
      </c>
      <c r="V5" s="62">
        <f>MIN(V382:V393)</f>
        <v/>
      </c>
    </row>
    <row r="6">
      <c r="B6" s="61" t="inlineStr">
        <is>
          <t>1y avg</t>
        </is>
      </c>
      <c r="C6" s="3">
        <f>AVERAGE(C382:C393)</f>
        <v/>
      </c>
      <c r="D6" s="3">
        <f>AVERAGE(D382:D393)</f>
        <v/>
      </c>
      <c r="E6" s="3">
        <f>AVERAGE(E382:E393)</f>
        <v/>
      </c>
      <c r="F6" s="3">
        <f>AVERAGE(F382:F393)</f>
        <v/>
      </c>
      <c r="G6" s="3">
        <f>AVERAGE(G382:G393)</f>
        <v/>
      </c>
      <c r="H6" s="3">
        <f>AVERAGE(H382:H393)</f>
        <v/>
      </c>
      <c r="I6" s="3">
        <f>AVERAGE(I382:I393)</f>
        <v/>
      </c>
      <c r="J6" s="3">
        <f>AVERAGE(J382:J393)</f>
        <v/>
      </c>
      <c r="K6" s="3">
        <f>AVERAGE(K382:K393)</f>
        <v/>
      </c>
      <c r="L6" s="3">
        <f>AVERAGE(L382:L393)</f>
        <v/>
      </c>
      <c r="M6" s="3">
        <f>AVERAGE(M382:M393)</f>
        <v/>
      </c>
      <c r="N6" s="3">
        <f>AVERAGE(N382:N393)</f>
        <v/>
      </c>
      <c r="O6" s="3">
        <f>AVERAGE(O382:O393)</f>
        <v/>
      </c>
      <c r="P6" s="3">
        <f>AVERAGE(P382:P393)</f>
        <v/>
      </c>
      <c r="Q6" s="3">
        <f>AVERAGE(Q382:Q393)</f>
        <v/>
      </c>
      <c r="R6" s="3">
        <f>AVERAGE(R382:R393)</f>
        <v/>
      </c>
      <c r="S6" s="3">
        <f>AVERAGE(S382:S393)</f>
        <v/>
      </c>
      <c r="T6" s="3">
        <f>AVERAGE(T382:T393)</f>
        <v/>
      </c>
      <c r="U6" s="3">
        <f>AVERAGE(U382:U393)</f>
        <v/>
      </c>
      <c r="V6" s="62">
        <f>AVERAGE(V382:V393)</f>
        <v/>
      </c>
    </row>
    <row r="7">
      <c r="B7" s="61" t="inlineStr">
        <is>
          <t>Last vs 12m avg</t>
        </is>
      </c>
      <c r="C7" s="4">
        <f>IF((VLOOKUP($Z$2,$B:$V,MATCH(C3,$B$3:$V$3,),))&gt;C6,"above","below")</f>
        <v/>
      </c>
      <c r="D7" s="4">
        <f>IF((VLOOKUP($Z$2,$B:$V,MATCH(D3,$B$3:$V$3,),))&gt;D6,"above","below")</f>
        <v/>
      </c>
      <c r="E7" s="4">
        <f>IF((VLOOKUP($Z$2,$B:$V,MATCH(E3,$B$3:$V$3,),))&gt;E6,"above","below")</f>
        <v/>
      </c>
      <c r="F7" s="4">
        <f>IF((VLOOKUP($Z$2,$B:$V,MATCH(F3,$B$3:$V$3,),))&gt;F6,"above","below")</f>
        <v/>
      </c>
      <c r="G7" s="4">
        <f>IF((VLOOKUP($Z$2,$B:$V,MATCH(G3,$B$3:$V$3,),))&gt;G6,"above","below")</f>
        <v/>
      </c>
      <c r="H7" s="4">
        <f>IF((VLOOKUP($Z$2,$B:$V,MATCH(H3,$B$3:$V$3,),))&gt;H6,"above","below")</f>
        <v/>
      </c>
      <c r="I7" s="4">
        <f>IF((VLOOKUP($Z$2,$B:$V,MATCH(I3,$B$3:$V$3,),))&gt;I6,"above","below")</f>
        <v/>
      </c>
      <c r="J7" s="4">
        <f>IF((VLOOKUP($Z$2,$B:$V,MATCH(J3,$B$3:$V$3,),))&gt;J6,"above","below")</f>
        <v/>
      </c>
      <c r="K7" s="4">
        <f>IF((VLOOKUP($Z$2,$B:$V,MATCH(K3,$B$3:$V$3,),))&gt;K6,"above","below")</f>
        <v/>
      </c>
      <c r="L7" s="4">
        <f>IF((VLOOKUP($Z$2,$B:$V,MATCH(L3,$B$3:$V$3,),))&gt;L6,"above","below")</f>
        <v/>
      </c>
      <c r="M7" s="4">
        <f>IF((VLOOKUP($Z$2,$B:$V,MATCH(M3,$B$3:$V$3,),))&gt;M6,"above","below")</f>
        <v/>
      </c>
      <c r="N7" s="4">
        <f>IF((VLOOKUP($Z$2,$B:$V,MATCH(N3,$B$3:$V$3,),))&gt;N6,"above","below")</f>
        <v/>
      </c>
      <c r="O7" s="4">
        <f>IF((VLOOKUP($Z$2,$B:$V,MATCH(O3,$B$3:$V$3,),))&gt;O6,"above","below")</f>
        <v/>
      </c>
      <c r="P7" s="4">
        <f>IF((VLOOKUP($Z$2,$B:$V,MATCH(P3,$B$3:$V$3,),))&gt;P6,"above","below")</f>
        <v/>
      </c>
      <c r="Q7" s="4">
        <f>IF((VLOOKUP($Z$2,$B:$V,MATCH(Q3,$B$3:$V$3,),))&gt;Q6,"above","below")</f>
        <v/>
      </c>
      <c r="R7" s="4">
        <f>IF((VLOOKUP($Z$2,$B:$V,MATCH(R3,$B$3:$V$3,),))&gt;R6,"above","below")</f>
        <v/>
      </c>
      <c r="S7" s="4">
        <f>IF((VLOOKUP($Z$2,$B:$V,MATCH(S3,$B$3:$V$3,),))&gt;S6,"above","below")</f>
        <v/>
      </c>
      <c r="T7" s="4">
        <f>IF((VLOOKUP($Z$2,$B:$V,MATCH(T3,$B$3:$V$3,),))&gt;T6,"above","below")</f>
        <v/>
      </c>
      <c r="U7" s="4">
        <f>IF((VLOOKUP($Z$2,$B:$V,MATCH(U3,$B$3:$V$3,),))&gt;U6,"above","below")</f>
        <v/>
      </c>
      <c r="V7" s="63">
        <f>IF((VLOOKUP($Z$2,$B:$V,MATCH(V3,$B$3:$V$3,),))&gt;V6,"above","below")</f>
        <v/>
      </c>
    </row>
    <row r="8">
      <c r="B8" s="61" t="inlineStr">
        <is>
          <t>Y/Y</t>
        </is>
      </c>
      <c r="C8" s="17">
        <f>VLOOKUP($Z$2,$B:$V,MATCH(C3,$B$3:$V$3,),)-VLOOKUP($Z$4,$B:$V,MATCH(C3,$B$3:$V$3,),)</f>
        <v/>
      </c>
      <c r="D8" s="17">
        <f>VLOOKUP($Z$2,$B:$V,MATCH(D3,$B$3:$V$3,),)-VLOOKUP($Z$4,$B:$V,MATCH(D3,$B$3:$V$3,),)</f>
        <v/>
      </c>
      <c r="E8" s="17">
        <f>VLOOKUP($Z$2,$B:$V,MATCH(E3,$B$3:$V$3,),)-VLOOKUP($Z$4,$B:$V,MATCH(E3,$B$3:$V$3,),)</f>
        <v/>
      </c>
      <c r="F8" s="17">
        <f>VLOOKUP($Z$2,$B:$V,MATCH(F3,$B$3:$V$3,),)-VLOOKUP($Z$4,$B:$V,MATCH(F3,$B$3:$V$3,),)</f>
        <v/>
      </c>
      <c r="G8" s="17">
        <f>VLOOKUP($Z$2,$B:$V,MATCH(G3,$B$3:$V$3,),)-VLOOKUP($Z$4,$B:$V,MATCH(G3,$B$3:$V$3,),)</f>
        <v/>
      </c>
      <c r="H8" s="17">
        <f>VLOOKUP($Z$2,$B:$V,MATCH(H3,$B$3:$V$3,),)-VLOOKUP($Z$4,$B:$V,MATCH(H3,$B$3:$V$3,),)</f>
        <v/>
      </c>
      <c r="I8" s="17">
        <f>VLOOKUP($Z$2,$B:$V,MATCH(I3,$B$3:$V$3,),)-VLOOKUP($Z$4,$B:$V,MATCH(I3,$B$3:$V$3,),)</f>
        <v/>
      </c>
      <c r="J8" s="17">
        <f>VLOOKUP($Z$2,$B:$V,MATCH(J3,$B$3:$V$3,),)-VLOOKUP($Z$4,$B:$V,MATCH(J3,$B$3:$V$3,),)</f>
        <v/>
      </c>
      <c r="K8" s="17">
        <f>VLOOKUP($Z$2,$B:$V,MATCH(K3,$B$3:$V$3,),)-VLOOKUP($Z$4,$B:$V,MATCH(K3,$B$3:$V$3,),)</f>
        <v/>
      </c>
      <c r="L8" s="17">
        <f>VLOOKUP($Z$2,$B:$V,MATCH(L3,$B$3:$V$3,),)-VLOOKUP($Z$4,$B:$V,MATCH(L3,$B$3:$V$3,),)</f>
        <v/>
      </c>
      <c r="M8" s="17">
        <f>VLOOKUP($Z$2,$B:$V,MATCH(M3,$B$3:$V$3,),)-VLOOKUP($Z$4,$B:$V,MATCH(M3,$B$3:$V$3,),)</f>
        <v/>
      </c>
      <c r="N8" s="17">
        <f>VLOOKUP($Z$2,$B:$V,MATCH(N3,$B$3:$V$3,),)-VLOOKUP($Z$4,$B:$V,MATCH(N3,$B$3:$V$3,),)</f>
        <v/>
      </c>
      <c r="O8" s="17">
        <f>VLOOKUP($Z$2,$B:$V,MATCH(O3,$B$3:$V$3,),)-VLOOKUP($Z$4,$B:$V,MATCH(O3,$B$3:$V$3,),)</f>
        <v/>
      </c>
      <c r="P8" s="17">
        <f>VLOOKUP($Z$2,$B:$V,MATCH(P3,$B$3:$V$3,),)-VLOOKUP($Z$4,$B:$V,MATCH(P3,$B$3:$V$3,),)</f>
        <v/>
      </c>
      <c r="Q8" s="17">
        <f>VLOOKUP($Z$2,$B:$V,MATCH(Q3,$B$3:$V$3,),)-VLOOKUP($Z$4,$B:$V,MATCH(Q3,$B$3:$V$3,),)</f>
        <v/>
      </c>
      <c r="R8" s="17">
        <f>VLOOKUP($Z$2,$B:$V,MATCH(R3,$B$3:$V$3,),)-VLOOKUP($Z$4,$B:$V,MATCH(R3,$B$3:$V$3,),)</f>
        <v/>
      </c>
      <c r="S8" s="17">
        <f>VLOOKUP($Z$2,$B:$V,MATCH(S3,$B$3:$V$3,),)-VLOOKUP($Z$4,$B:$V,MATCH(S3,$B$3:$V$3,),)</f>
        <v/>
      </c>
      <c r="T8" s="17">
        <f>VLOOKUP($Z$2,$B:$V,MATCH(T3,$B$3:$V$3,),)-VLOOKUP($Z$4,$B:$V,MATCH(T3,$B$3:$V$3,),)</f>
        <v/>
      </c>
      <c r="U8" s="17">
        <f>VLOOKUP($Z$2,$B:$V,MATCH(U3,$B$3:$V$3,),)-VLOOKUP($Z$4,$B:$V,MATCH(U3,$B$3:$V$3,),)</f>
        <v/>
      </c>
      <c r="V8" s="64">
        <f>VLOOKUP($Z$2,$B:$V,MATCH(V3,$B$3:$V$3,),)-VLOOKUP($Z$4,$B:$V,MATCH(V3,$B$3:$V$3,),)</f>
        <v/>
      </c>
    </row>
    <row r="9" ht="16" customHeight="1" s="95" thickBot="1">
      <c r="B9" s="65" t="inlineStr">
        <is>
          <t>M/M</t>
        </is>
      </c>
      <c r="C9" s="66">
        <f>VLOOKUP($Z$2,$B:$V,MATCH(C3,$B$3:$V$3,),)-VLOOKUP($Z$3,$B:$V,MATCH(C3,$B$3:$V$3,),)</f>
        <v/>
      </c>
      <c r="D9" s="66">
        <f>VLOOKUP($Z$2,$B:$V,MATCH(D3,$B$3:$V$3,),)-VLOOKUP($Z$3,$B:$V,MATCH(D3,$B$3:$V$3,),)</f>
        <v/>
      </c>
      <c r="E9" s="66">
        <f>VLOOKUP($Z$2,$B:$V,MATCH(E3,$B$3:$V$3,),)-VLOOKUP($Z$3,$B:$V,MATCH(E3,$B$3:$V$3,),)</f>
        <v/>
      </c>
      <c r="F9" s="66">
        <f>VLOOKUP($Z$2,$B:$V,MATCH(F3,$B$3:$V$3,),)-VLOOKUP($Z$3,$B:$V,MATCH(F3,$B$3:$V$3,),)</f>
        <v/>
      </c>
      <c r="G9" s="66">
        <f>VLOOKUP($Z$2,$B:$V,MATCH(G3,$B$3:$V$3,),)-VLOOKUP($Z$3,$B:$V,MATCH(G3,$B$3:$V$3,),)</f>
        <v/>
      </c>
      <c r="H9" s="66">
        <f>VLOOKUP($Z$2,$B:$V,MATCH(H3,$B$3:$V$3,),)-VLOOKUP($Z$3,$B:$V,MATCH(H3,$B$3:$V$3,),)</f>
        <v/>
      </c>
      <c r="I9" s="66">
        <f>VLOOKUP($Z$2,$B:$V,MATCH(I3,$B$3:$V$3,),)-VLOOKUP($Z$3,$B:$V,MATCH(I3,$B$3:$V$3,),)</f>
        <v/>
      </c>
      <c r="J9" s="66">
        <f>VLOOKUP($Z$2,$B:$V,MATCH(J3,$B$3:$V$3,),)-VLOOKUP($Z$3,$B:$V,MATCH(J3,$B$3:$V$3,),)</f>
        <v/>
      </c>
      <c r="K9" s="66">
        <f>VLOOKUP($Z$2,$B:$V,MATCH(K3,$B$3:$V$3,),)-VLOOKUP($Z$3,$B:$V,MATCH(K3,$B$3:$V$3,),)</f>
        <v/>
      </c>
      <c r="L9" s="66">
        <f>VLOOKUP($Z$2,$B:$V,MATCH(L3,$B$3:$V$3,),)-VLOOKUP($Z$3,$B:$V,MATCH(L3,$B$3:$V$3,),)</f>
        <v/>
      </c>
      <c r="M9" s="66">
        <f>VLOOKUP($Z$2,$B:$V,MATCH(M3,$B$3:$V$3,),)-VLOOKUP($Z$3,$B:$V,MATCH(M3,$B$3:$V$3,),)</f>
        <v/>
      </c>
      <c r="N9" s="66">
        <f>VLOOKUP($Z$2,$B:$V,MATCH(N3,$B$3:$V$3,),)-VLOOKUP($Z$3,$B:$V,MATCH(N3,$B$3:$V$3,),)</f>
        <v/>
      </c>
      <c r="O9" s="66">
        <f>VLOOKUP($Z$2,$B:$V,MATCH(O3,$B$3:$V$3,),)-VLOOKUP($Z$3,$B:$V,MATCH(O3,$B$3:$V$3,),)</f>
        <v/>
      </c>
      <c r="P9" s="66">
        <f>VLOOKUP($Z$2,$B:$V,MATCH(P3,$B$3:$V$3,),)-VLOOKUP($Z$3,$B:$V,MATCH(P3,$B$3:$V$3,),)</f>
        <v/>
      </c>
      <c r="Q9" s="66">
        <f>VLOOKUP($Z$2,$B:$V,MATCH(Q3,$B$3:$V$3,),)-VLOOKUP($Z$3,$B:$V,MATCH(Q3,$B$3:$V$3,),)</f>
        <v/>
      </c>
      <c r="R9" s="66">
        <f>VLOOKUP($Z$2,$B:$V,MATCH(R3,$B$3:$V$3,),)-VLOOKUP($Z$3,$B:$V,MATCH(R3,$B$3:$V$3,),)</f>
        <v/>
      </c>
      <c r="S9" s="66">
        <f>VLOOKUP($Z$2,$B:$V,MATCH(S3,$B$3:$V$3,),)-VLOOKUP($Z$3,$B:$V,MATCH(S3,$B$3:$V$3,),)</f>
        <v/>
      </c>
      <c r="T9" s="66">
        <f>VLOOKUP($Z$2,$B:$V,MATCH(T3,$B$3:$V$3,),)-VLOOKUP($Z$3,$B:$V,MATCH(T3,$B$3:$V$3,),)</f>
        <v/>
      </c>
      <c r="U9" s="66">
        <f>VLOOKUP($Z$2,$B:$V,MATCH(U3,$B$3:$V$3,),)-VLOOKUP($Z$3,$B:$V,MATCH(U3,$B$3:$V$3,),)</f>
        <v/>
      </c>
      <c r="V9" s="67">
        <f>VLOOKUP($Z$2,$B:$V,MATCH(V3,$B$3:$V$3,),)-VLOOKUP($Z$3,$B:$V,MATCH(V3,$B$3:$V$3,),)</f>
        <v/>
      </c>
    </row>
    <row r="10">
      <c r="B10" s="53" t="n"/>
      <c r="C10" s="54" t="n"/>
      <c r="D10" s="54" t="n"/>
      <c r="E10" s="54" t="n"/>
      <c r="F10" s="54" t="n"/>
      <c r="G10" s="54" t="n"/>
      <c r="H10" s="54" t="n"/>
      <c r="I10" s="54" t="n"/>
      <c r="J10" s="54" t="n"/>
      <c r="K10" s="54" t="n"/>
      <c r="L10" s="54" t="n"/>
      <c r="M10" s="54" t="n"/>
      <c r="N10" s="54" t="n"/>
      <c r="O10" s="54" t="n"/>
      <c r="P10" s="54" t="n"/>
      <c r="Q10" s="54" t="n"/>
      <c r="R10" s="54" t="n"/>
      <c r="S10" s="54" t="n"/>
      <c r="T10" s="54" t="n"/>
      <c r="U10" s="54" t="n"/>
      <c r="V10" s="54" t="n"/>
    </row>
    <row r="11" hidden="1" s="95">
      <c r="B11" s="18" t="n">
        <v>42064</v>
      </c>
      <c r="C11" s="5" t="n">
        <v>55.3</v>
      </c>
      <c r="D11" s="5" t="n">
        <v>52.2</v>
      </c>
      <c r="E11" s="5" t="n">
        <v>50.3</v>
      </c>
      <c r="F11" s="5" t="n">
        <v>52.8</v>
      </c>
      <c r="G11" s="5" t="n">
        <v>48.8</v>
      </c>
      <c r="H11" s="5" t="n">
        <v>54.4</v>
      </c>
      <c r="I11" s="5" t="n">
        <v>53.3</v>
      </c>
      <c r="J11" s="5" t="n">
        <v>54.3</v>
      </c>
      <c r="K11" s="5" t="n">
        <v>0.09999999999999432</v>
      </c>
      <c r="L11" s="5" t="n">
        <v>53.8</v>
      </c>
      <c r="M11" s="5" t="n">
        <v>48.1</v>
      </c>
      <c r="N11" s="5" t="n">
        <v>52.1</v>
      </c>
      <c r="O11" s="5" t="n">
        <v>48.9</v>
      </c>
      <c r="P11" s="5" t="n">
        <v>49.2</v>
      </c>
      <c r="Q11" s="5" t="n">
        <v>51</v>
      </c>
      <c r="R11" s="5" t="n">
        <v>48.9</v>
      </c>
      <c r="S11" s="5" t="n">
        <v>56.8</v>
      </c>
      <c r="T11" s="5" t="n">
        <v>48</v>
      </c>
      <c r="U11" s="5" t="n">
        <v>56.1</v>
      </c>
      <c r="V11" s="5" t="n">
        <v>54.8</v>
      </c>
    </row>
    <row r="12" hidden="1" s="95">
      <c r="B12" s="18" t="n">
        <v>42095</v>
      </c>
      <c r="C12" s="5" t="n">
        <v>54.1</v>
      </c>
      <c r="D12" s="5" t="n">
        <v>52</v>
      </c>
      <c r="E12" s="5" t="n">
        <v>49.9</v>
      </c>
      <c r="F12" s="5" t="n">
        <v>52.1</v>
      </c>
      <c r="G12" s="5" t="n">
        <v>48</v>
      </c>
      <c r="H12" s="5" t="n">
        <v>51.9</v>
      </c>
      <c r="I12" s="5" t="n">
        <v>53.8</v>
      </c>
      <c r="J12" s="5" t="n">
        <v>54.2</v>
      </c>
      <c r="K12" s="5" t="n">
        <v>-0.09999999999999432</v>
      </c>
      <c r="L12" s="5" t="n">
        <v>53.8</v>
      </c>
      <c r="M12" s="5" t="n">
        <v>48.9</v>
      </c>
      <c r="N12" s="5" t="n">
        <v>51.3</v>
      </c>
      <c r="O12" s="5" t="n">
        <v>49</v>
      </c>
      <c r="P12" s="5" t="n">
        <v>48.8</v>
      </c>
      <c r="Q12" s="5" t="n">
        <v>49.2</v>
      </c>
      <c r="R12" s="5" t="n">
        <v>46.5</v>
      </c>
      <c r="S12" s="5" t="n">
        <v>55.8</v>
      </c>
      <c r="T12" s="5" t="n">
        <v>48.5</v>
      </c>
      <c r="U12" s="5" t="n">
        <v>54.7</v>
      </c>
      <c r="V12" s="5" t="n">
        <v>54</v>
      </c>
    </row>
    <row r="13" hidden="1" s="95">
      <c r="B13" s="18" t="n">
        <v>42125</v>
      </c>
      <c r="C13" s="5" t="n">
        <v>53.8</v>
      </c>
      <c r="D13" s="5" t="n">
        <v>52.2</v>
      </c>
      <c r="E13" s="5" t="n">
        <v>50.9</v>
      </c>
      <c r="F13" s="5" t="n">
        <v>51.1</v>
      </c>
      <c r="G13" s="5" t="n">
        <v>49.4</v>
      </c>
      <c r="H13" s="5" t="n">
        <v>52.2</v>
      </c>
      <c r="I13" s="5" t="n">
        <v>54.8</v>
      </c>
      <c r="J13" s="5" t="n">
        <v>55.8</v>
      </c>
      <c r="K13" s="5" t="n">
        <v>1.599999999999994</v>
      </c>
      <c r="L13" s="5" t="n">
        <v>53.3</v>
      </c>
      <c r="M13" s="5" t="n">
        <v>47.6</v>
      </c>
      <c r="N13" s="5" t="n">
        <v>52.6</v>
      </c>
      <c r="O13" s="5" t="n">
        <v>49.8</v>
      </c>
      <c r="P13" s="5" t="n">
        <v>47.8</v>
      </c>
      <c r="Q13" s="5" t="n">
        <v>49.3</v>
      </c>
      <c r="R13" s="5" t="n">
        <v>48</v>
      </c>
      <c r="S13" s="5" t="n">
        <v>57.1</v>
      </c>
      <c r="T13" s="5" t="n">
        <v>50.2</v>
      </c>
      <c r="U13" s="5" t="n">
        <v>55.5</v>
      </c>
      <c r="V13" s="5" t="n">
        <v>52.4</v>
      </c>
    </row>
    <row r="14" hidden="1" s="95">
      <c r="B14" s="18" t="n">
        <v>42156</v>
      </c>
      <c r="C14" s="5" t="n">
        <v>53.6</v>
      </c>
      <c r="D14" s="5" t="n">
        <v>52.5</v>
      </c>
      <c r="E14" s="5" t="n">
        <v>50.1</v>
      </c>
      <c r="F14" s="5" t="n">
        <v>51.9</v>
      </c>
      <c r="G14" s="5" t="n">
        <v>50.7</v>
      </c>
      <c r="H14" s="5" t="n">
        <v>51.9</v>
      </c>
      <c r="I14" s="5" t="n">
        <v>54.1</v>
      </c>
      <c r="J14" s="5" t="n">
        <v>54.5</v>
      </c>
      <c r="K14" s="5" t="n">
        <v>-1.299999999999997</v>
      </c>
      <c r="L14" s="5" t="n">
        <v>52</v>
      </c>
      <c r="M14" s="5" t="n">
        <v>48.7</v>
      </c>
      <c r="N14" s="5" t="n">
        <v>51.3</v>
      </c>
      <c r="O14" s="5" t="n">
        <v>51.3</v>
      </c>
      <c r="P14" s="5" t="n">
        <v>46.1</v>
      </c>
      <c r="Q14" s="5" t="n">
        <v>46.3</v>
      </c>
      <c r="R14" s="5" t="n">
        <v>46.9</v>
      </c>
      <c r="S14" s="5" t="n">
        <v>54.6</v>
      </c>
      <c r="T14" s="5" t="n">
        <v>49</v>
      </c>
      <c r="U14" s="5" t="n">
        <v>56.9</v>
      </c>
      <c r="V14" s="5" t="n">
        <v>54.3</v>
      </c>
    </row>
    <row r="15" hidden="1" s="95">
      <c r="B15" s="18" t="n">
        <v>42186</v>
      </c>
      <c r="C15" s="5" t="n">
        <v>53.8</v>
      </c>
      <c r="D15" s="5" t="n">
        <v>52.4</v>
      </c>
      <c r="E15" s="5" t="n">
        <v>51.2</v>
      </c>
      <c r="F15" s="5" t="n">
        <v>51.8</v>
      </c>
      <c r="G15" s="5" t="n">
        <v>49.6</v>
      </c>
      <c r="H15" s="5" t="n">
        <v>52.5</v>
      </c>
      <c r="I15" s="5" t="n">
        <v>55.3</v>
      </c>
      <c r="J15" s="5" t="n">
        <v>53.6</v>
      </c>
      <c r="K15" s="5" t="n">
        <v>-0.8999999999999986</v>
      </c>
      <c r="L15" s="5" t="n">
        <v>52.9</v>
      </c>
      <c r="M15" s="5" t="n">
        <v>48.3</v>
      </c>
      <c r="N15" s="5" t="n">
        <v>52.7</v>
      </c>
      <c r="O15" s="5" t="n">
        <v>50.8</v>
      </c>
      <c r="P15" s="5" t="n">
        <v>47.6</v>
      </c>
      <c r="Q15" s="5" t="n">
        <v>47.1</v>
      </c>
      <c r="R15" s="5" t="n">
        <v>30.2</v>
      </c>
      <c r="S15" s="5" t="n">
        <v>56.7</v>
      </c>
      <c r="T15" s="5" t="n">
        <v>50.1</v>
      </c>
      <c r="U15" s="5" t="n">
        <v>57.5</v>
      </c>
      <c r="V15" s="5" t="n">
        <v>54.5</v>
      </c>
    </row>
    <row r="16" hidden="1" s="95">
      <c r="B16" s="18" t="n">
        <v>42217</v>
      </c>
      <c r="C16" s="5" t="n">
        <v>53</v>
      </c>
      <c r="D16" s="5" t="n">
        <v>52.3</v>
      </c>
      <c r="E16" s="5" t="n">
        <v>51.7</v>
      </c>
      <c r="F16" s="5" t="n">
        <v>53.3</v>
      </c>
      <c r="G16" s="5" t="n">
        <v>48.3</v>
      </c>
      <c r="H16" s="5" t="n">
        <v>51.6</v>
      </c>
      <c r="I16" s="5" t="n">
        <v>53.8</v>
      </c>
      <c r="J16" s="5" t="n">
        <v>53.2</v>
      </c>
      <c r="K16" s="5" t="n">
        <v>-0.3999999999999986</v>
      </c>
      <c r="L16" s="5" t="n">
        <v>52.4</v>
      </c>
      <c r="M16" s="5" t="n">
        <v>47.9</v>
      </c>
      <c r="N16" s="5" t="n">
        <v>52.3</v>
      </c>
      <c r="O16" s="5" t="n">
        <v>49.4</v>
      </c>
      <c r="P16" s="5" t="n">
        <v>47.9</v>
      </c>
      <c r="Q16" s="5" t="n">
        <v>46.1</v>
      </c>
      <c r="R16" s="5" t="n">
        <v>39.1</v>
      </c>
      <c r="S16" s="5" t="n">
        <v>53.6</v>
      </c>
      <c r="T16" s="5" t="n">
        <v>49.3</v>
      </c>
      <c r="U16" s="5" t="n">
        <v>56.6</v>
      </c>
      <c r="V16" s="5" t="n">
        <v>51.1</v>
      </c>
    </row>
    <row r="17" hidden="1" s="95">
      <c r="B17" s="18" t="n">
        <v>42248</v>
      </c>
      <c r="C17" s="5" t="n">
        <v>53.1</v>
      </c>
      <c r="D17" s="5" t="n">
        <v>52</v>
      </c>
      <c r="E17" s="5" t="n">
        <v>51</v>
      </c>
      <c r="F17" s="5" t="n">
        <v>52.3</v>
      </c>
      <c r="G17" s="5" t="n">
        <v>50.6</v>
      </c>
      <c r="H17" s="5" t="n">
        <v>51.6</v>
      </c>
      <c r="I17" s="5" t="n">
        <v>52.7</v>
      </c>
      <c r="J17" s="5" t="n">
        <v>51.7</v>
      </c>
      <c r="K17" s="5" t="n">
        <v>-1.5</v>
      </c>
      <c r="L17" s="5" t="n">
        <v>52.1</v>
      </c>
      <c r="M17" s="5" t="n">
        <v>49.1</v>
      </c>
      <c r="N17" s="5" t="n">
        <v>51.2</v>
      </c>
      <c r="O17" s="5" t="n">
        <v>48.6</v>
      </c>
      <c r="P17" s="5" t="n">
        <v>49.2</v>
      </c>
      <c r="Q17" s="5" t="n">
        <v>46.9</v>
      </c>
      <c r="R17" s="5" t="n">
        <v>43.3</v>
      </c>
      <c r="S17" s="5" t="n">
        <v>53.8</v>
      </c>
      <c r="T17" s="5" t="n">
        <v>48.8</v>
      </c>
      <c r="U17" s="5" t="n">
        <v>55.5</v>
      </c>
      <c r="V17" s="5" t="n">
        <v>50.9</v>
      </c>
    </row>
    <row r="18" hidden="1" s="95">
      <c r="B18" s="18" t="n">
        <v>42278</v>
      </c>
      <c r="C18" s="5" t="n">
        <v>54.1</v>
      </c>
      <c r="D18" s="5" t="n">
        <v>52.3</v>
      </c>
      <c r="E18" s="5" t="n">
        <v>52.4</v>
      </c>
      <c r="F18" s="5" t="n">
        <v>52.1</v>
      </c>
      <c r="G18" s="5" t="n">
        <v>50.6</v>
      </c>
      <c r="H18" s="5" t="n">
        <v>54.3</v>
      </c>
      <c r="I18" s="5" t="n">
        <v>54.1</v>
      </c>
      <c r="J18" s="5" t="n">
        <v>51.3</v>
      </c>
      <c r="K18" s="5" t="n">
        <v>-0.4000000000000057</v>
      </c>
      <c r="L18" s="5" t="n">
        <v>53</v>
      </c>
      <c r="M18" s="5" t="n">
        <v>50.2</v>
      </c>
      <c r="N18" s="5" t="n">
        <v>50.7</v>
      </c>
      <c r="O18" s="5" t="n">
        <v>48</v>
      </c>
      <c r="P18" s="5" t="n">
        <v>49.1</v>
      </c>
      <c r="Q18" s="5" t="n">
        <v>47.8</v>
      </c>
      <c r="R18" s="5" t="n">
        <v>47.3</v>
      </c>
      <c r="S18" s="5" t="n">
        <v>53.6</v>
      </c>
      <c r="T18" s="5" t="n">
        <v>49.5</v>
      </c>
      <c r="U18" s="5" t="n">
        <v>54</v>
      </c>
      <c r="V18" s="5" t="n">
        <v>52.2</v>
      </c>
    </row>
    <row r="19" hidden="1" s="95">
      <c r="B19" s="18" t="n">
        <v>42309</v>
      </c>
      <c r="C19" s="5" t="n">
        <v>52.8</v>
      </c>
      <c r="D19" s="5" t="n">
        <v>52.8</v>
      </c>
      <c r="E19" s="5" t="n">
        <v>52.6</v>
      </c>
      <c r="F19" s="5" t="n">
        <v>52.9</v>
      </c>
      <c r="G19" s="5" t="n">
        <v>50.6</v>
      </c>
      <c r="H19" s="5" t="n">
        <v>52.3</v>
      </c>
      <c r="I19" s="5" t="n">
        <v>54.9</v>
      </c>
      <c r="J19" s="5" t="n">
        <v>53.1</v>
      </c>
      <c r="K19" s="5" t="n">
        <v>1.800000000000004</v>
      </c>
      <c r="L19" s="5" t="n">
        <v>53</v>
      </c>
      <c r="M19" s="5" t="n">
        <v>50.1</v>
      </c>
      <c r="N19" s="5" t="n">
        <v>50.3</v>
      </c>
      <c r="O19" s="5" t="n">
        <v>48.6</v>
      </c>
      <c r="P19" s="5" t="n">
        <v>49.1</v>
      </c>
      <c r="Q19" s="5" t="n">
        <v>49.5</v>
      </c>
      <c r="R19" s="5" t="n">
        <v>48.1</v>
      </c>
      <c r="S19" s="5" t="n">
        <v>53.3</v>
      </c>
      <c r="T19" s="5" t="n">
        <v>50.9</v>
      </c>
      <c r="U19" s="5" t="n">
        <v>54.2</v>
      </c>
      <c r="V19" s="5" t="n">
        <v>52.1</v>
      </c>
    </row>
    <row r="20" hidden="1" s="95">
      <c r="B20" s="18" t="n">
        <v>42339</v>
      </c>
      <c r="C20" s="5" t="n">
        <v>51.2</v>
      </c>
      <c r="D20" s="5" t="n">
        <v>53.2</v>
      </c>
      <c r="E20" s="5" t="n">
        <v>52.6</v>
      </c>
      <c r="F20" s="5" t="n">
        <v>53.2</v>
      </c>
      <c r="G20" s="5" t="n">
        <v>51.4</v>
      </c>
      <c r="H20" s="5" t="n">
        <v>51</v>
      </c>
      <c r="I20" s="5" t="n">
        <v>55.6</v>
      </c>
      <c r="J20" s="5" t="n">
        <v>53</v>
      </c>
      <c r="K20" s="5" t="n">
        <v>-0.1000000000000014</v>
      </c>
      <c r="L20" s="5" t="n">
        <v>52.4</v>
      </c>
      <c r="M20" s="5" t="n">
        <v>48.7</v>
      </c>
      <c r="N20" s="5" t="n">
        <v>49.1</v>
      </c>
      <c r="O20" s="5" t="n">
        <v>47.5</v>
      </c>
      <c r="P20" s="5" t="n">
        <v>50.7</v>
      </c>
      <c r="Q20" s="5" t="n">
        <v>51.7</v>
      </c>
      <c r="R20" s="5" t="n">
        <v>50.2</v>
      </c>
      <c r="S20" s="5" t="n">
        <v>54.2</v>
      </c>
      <c r="T20" s="5" t="n">
        <v>52.2</v>
      </c>
      <c r="U20" s="5" t="n">
        <v>55.6</v>
      </c>
      <c r="V20" s="5" t="n">
        <v>52.1</v>
      </c>
    </row>
    <row r="21" hidden="1" s="95">
      <c r="B21" s="18" t="n">
        <v>42370</v>
      </c>
      <c r="C21" s="5" t="n">
        <v>52.4</v>
      </c>
      <c r="D21" s="5" t="n">
        <v>52.3</v>
      </c>
      <c r="E21" s="5" t="n">
        <v>52.3</v>
      </c>
      <c r="F21" s="5" t="n">
        <v>52.3</v>
      </c>
      <c r="G21" s="5" t="n">
        <v>50</v>
      </c>
      <c r="H21" s="5" t="n">
        <v>52.2</v>
      </c>
      <c r="I21" s="5" t="n">
        <v>53.2</v>
      </c>
      <c r="J21" s="5" t="n">
        <v>55.4</v>
      </c>
      <c r="K21" s="5" t="n">
        <v>2.399999999999999</v>
      </c>
      <c r="L21" s="5" t="n">
        <v>52.2</v>
      </c>
      <c r="M21" s="5" t="n">
        <v>49.8</v>
      </c>
      <c r="N21" s="5" t="n">
        <v>51.1</v>
      </c>
      <c r="O21" s="5" t="n">
        <v>49.3</v>
      </c>
      <c r="P21" s="5" t="n">
        <v>49.5</v>
      </c>
      <c r="Q21" s="5" t="n">
        <v>50.6</v>
      </c>
      <c r="R21" s="5" t="n">
        <v>50</v>
      </c>
      <c r="S21" s="5" t="n">
        <v>54.3</v>
      </c>
      <c r="T21" s="5" t="n">
        <v>50.9</v>
      </c>
      <c r="U21" s="5" t="n">
        <v>56.9</v>
      </c>
      <c r="V21" s="5" t="n">
        <v>50.9</v>
      </c>
    </row>
    <row r="22" hidden="1" s="95">
      <c r="B22" s="18" t="n">
        <v>42401</v>
      </c>
      <c r="C22" s="5" t="n">
        <v>51.3</v>
      </c>
      <c r="D22" s="5" t="n">
        <v>51.2</v>
      </c>
      <c r="E22" s="5" t="n">
        <v>50.1</v>
      </c>
      <c r="F22" s="5" t="n">
        <v>50.5</v>
      </c>
      <c r="G22" s="5" t="n">
        <v>50.2</v>
      </c>
      <c r="H22" s="5" t="n">
        <v>50.8</v>
      </c>
      <c r="I22" s="5" t="n">
        <v>52.2</v>
      </c>
      <c r="J22" s="5" t="n">
        <v>54.1</v>
      </c>
      <c r="K22" s="5" t="n">
        <v>-1.299999999999997</v>
      </c>
      <c r="L22" s="5" t="n">
        <v>53.1</v>
      </c>
      <c r="M22" s="5" t="n">
        <v>49.3</v>
      </c>
      <c r="N22" s="5" t="n">
        <v>51.1</v>
      </c>
      <c r="O22" s="5" t="n">
        <v>49.4</v>
      </c>
      <c r="P22" s="5" t="n">
        <v>48.7</v>
      </c>
      <c r="Q22" s="5" t="n">
        <v>49.4</v>
      </c>
      <c r="R22" s="5" t="n">
        <v>48.4</v>
      </c>
      <c r="S22" s="5" t="n">
        <v>52.9</v>
      </c>
      <c r="T22" s="5" t="n">
        <v>50.3</v>
      </c>
      <c r="U22" s="5" t="n">
        <v>55.5</v>
      </c>
      <c r="V22" s="5" t="n">
        <v>52.8</v>
      </c>
    </row>
    <row r="23" hidden="1" s="95">
      <c r="B23" s="18" t="n">
        <v>42430</v>
      </c>
      <c r="C23" s="5" t="n">
        <v>51.5</v>
      </c>
      <c r="D23" s="5" t="n">
        <v>51.6</v>
      </c>
      <c r="E23" s="5" t="n">
        <v>49.1</v>
      </c>
      <c r="F23" s="5" t="n">
        <v>50.7</v>
      </c>
      <c r="G23" s="5" t="n">
        <v>49.6</v>
      </c>
      <c r="H23" s="5" t="n">
        <v>51.1</v>
      </c>
      <c r="I23" s="5" t="n">
        <v>53.5</v>
      </c>
      <c r="J23" s="5" t="n">
        <v>53.4</v>
      </c>
      <c r="K23" s="5" t="n">
        <v>-0.7000000000000028</v>
      </c>
      <c r="L23" s="5" t="n">
        <v>53.2</v>
      </c>
      <c r="M23" s="5" t="n">
        <v>48.3</v>
      </c>
      <c r="N23" s="5" t="n">
        <v>52.4</v>
      </c>
      <c r="O23" s="5" t="n">
        <v>51.5</v>
      </c>
      <c r="P23" s="5" t="n">
        <v>49.5</v>
      </c>
      <c r="Q23" s="5" t="n">
        <v>51.1</v>
      </c>
      <c r="R23" s="5" t="n">
        <v>49</v>
      </c>
      <c r="S23" s="5" t="n">
        <v>54.9</v>
      </c>
      <c r="T23" s="5" t="n">
        <v>49.2</v>
      </c>
      <c r="U23" s="5" t="n">
        <v>54.3</v>
      </c>
      <c r="V23" s="5" t="n">
        <v>53.8</v>
      </c>
    </row>
    <row r="24" customFormat="1" s="100">
      <c r="A24" s="45" t="n"/>
      <c r="B24" s="46" t="n">
        <v>32874</v>
      </c>
      <c r="C24" s="13">
        <f>((((VLOOKUP(B24,Database!$F:$AY,MATCH($C$1,Database!$F$1:$AY$1,),))))-(((VLOOKUP(EDATE(B24,-12),Database!$F:$AY,MATCH($C$1,Database!$F$1:$AY$1,),)))))/(((VLOOKUP(EDATE(B24,-12),Database!$F:$AY,MATCH($C$1,Database!$F$1:$AY$1,),))))</f>
        <v/>
      </c>
      <c r="D24" s="13">
        <f>((((VLOOKUP(B24,Database!$F:$AY,MATCH($D$1,Database!$F$1:$AY$1,),))))-(((VLOOKUP(EDATE(B24,-12),Database!$F:$AY,MATCH($D$1,Database!$F$1:$AY$1,),)))))/(((VLOOKUP(EDATE(B24,-12),Database!$F:$AY,MATCH($D$1,Database!$F$1:$AY$1,),))))</f>
        <v/>
      </c>
      <c r="E24" s="13">
        <f>((((VLOOKUP(B24,Database!$F:$AY,MATCH($E$1,Database!$F$1:$AY$1,),))))-(((VLOOKUP(EDATE(B24,-12),Database!$F:$AY,MATCH($E$1,Database!$F$1:$AY$1,),)))))/(((VLOOKUP(EDATE(B24,-12),Database!$F:$AY,MATCH($E$1,Database!$F$1:$AY$1,),))))</f>
        <v/>
      </c>
      <c r="F24" s="13">
        <f>((((VLOOKUP(B24,Database!$F:$AY,MATCH($F$1,Database!$F$1:$AY$1,),))))-(((VLOOKUP(EDATE(B24,-12),Database!$F:$AY,MATCH($F$1,Database!$F$1:$AY$1,),)))))/(((VLOOKUP(EDATE(B24,-12),Database!$F:$AY,MATCH($F$1,Database!$F$1:$AY$1,),))))</f>
        <v/>
      </c>
      <c r="G24" s="13">
        <f>((((VLOOKUP(B24,Database!$F:$AY,MATCH($G$1,Database!$F$1:$AY$1,),))))-(((VLOOKUP(EDATE(B24,-12),Database!$F:$AY,MATCH($G$1,Database!$F$1:$AY$1,),)))))/(((VLOOKUP(EDATE(B24,-12),Database!$F:$AY,MATCH($G$1,Database!$F$1:$AY$1,),))))</f>
        <v/>
      </c>
      <c r="H24" s="13">
        <f>((((VLOOKUP(B24,Database!$F:$AY,MATCH($H$1,Database!$F$1:$AY$1,),))))-(((VLOOKUP(EDATE(B24,-12),Database!$F:$AY,MATCH($H$1,Database!$F$1:$AY$1,),)))))/(((VLOOKUP(EDATE(B24,-12),Database!$F:$AY,MATCH($H$1,Database!$F$1:$AY$1,),))))</f>
        <v/>
      </c>
      <c r="I24" s="13">
        <f>((((VLOOKUP(B24,Database!$F:$AY,MATCH($I$1,Database!$F$1:$AY$1,),))))-(((VLOOKUP(EDATE(B24,-12),Database!$F:$AY,MATCH($I$1,Database!$F$1:$AY$1,),)))))/(((VLOOKUP(EDATE(B24,-12),Database!$F:$AY,MATCH($I$1,Database!$F$1:$AY$1,),))))</f>
        <v/>
      </c>
      <c r="J24" s="13">
        <f>((((VLOOKUP(B24,Database!$F:$AY,MATCH($J$1,Database!$F$1:$AY$1,),))))-(((VLOOKUP(EDATE(B24,-12),Database!$F:$AY,MATCH($J$1,Database!$F$1:$AY$1,),)))))/(((VLOOKUP(EDATE(B24,-12),Database!$F:$AY,MATCH($J$1,Database!$F$1:$AY$1,),))))</f>
        <v/>
      </c>
      <c r="K24" s="13">
        <f>((((VLOOKUP(B24,Database!$F:$AY,MATCH($K$1,Database!$F$1:$AY$1,),))))-(((VLOOKUP(EDATE(B24,-12),Database!$F:$AY,MATCH($K$1,Database!$F$1:$AY$1,),)))))/(((VLOOKUP(EDATE(B24,-12),Database!$F:$AY,MATCH($K$1,Database!$F$1:$AY$1,),))))</f>
        <v/>
      </c>
      <c r="L24" s="13">
        <f>((((VLOOKUP(B24,Database!$F:$AY,MATCH($L$1,Database!$F$1:$AY$1,),))))-(((VLOOKUP(EDATE(B24,-12),Database!$F:$AY,MATCH($L$1,Database!$F$1:$AY$1,),)))))/(((VLOOKUP(EDATE(B24,-12),Database!$F:$AY,MATCH($L$1,Database!$F$1:$AY$1,),))))</f>
        <v/>
      </c>
      <c r="M24" s="13">
        <f>((((VLOOKUP(B24,Database!$F:$AY,MATCH($M$1,Database!$F$1:$AY$1,),))))-(((VLOOKUP(EDATE(B24,-12),Database!$F:$AY,MATCH($M$1,Database!$F$1:$AY$1,),)))))/(((VLOOKUP(EDATE(B24,-12),Database!$F:$AY,MATCH($M$1,Database!$F$1:$AY$1,),))))</f>
        <v/>
      </c>
      <c r="N24" s="13">
        <f>((((VLOOKUP(B24,Database!$F:$AY,MATCH($N$1,Database!$F$1:$AY$1,),))))-(((VLOOKUP(EDATE(B24,-12),Database!$F:$AY,MATCH($N$1,Database!$F$1:$AY$1,),)))))/(((VLOOKUP(EDATE(B24,-12),Database!$F:$AY,MATCH($N$1,Database!$F$1:$AY$1,),))))</f>
        <v/>
      </c>
      <c r="O24" s="13">
        <f>((((VLOOKUP(B24,Database!$F:$AY,MATCH($O$1,Database!$F$1:$AY$1,),))))-(((VLOOKUP(EDATE(B24,-12),Database!$F:$AY,MATCH($O$1,Database!$F$1:$AY$1,),)))))/(((VLOOKUP(EDATE(B24,-12),Database!$F:$AY,MATCH($O$1,Database!$F$1:$AY$1,),))))</f>
        <v/>
      </c>
      <c r="P24" s="13">
        <f>((((VLOOKUP(B24,Database!$F:$AY,MATCH($P$1,Database!$F$1:$AY$1,),))))-(((VLOOKUP(EDATE(B24,-12),Database!$F:$AY,MATCH($P$1,Database!$F$1:$AY$1,),)))))/(((VLOOKUP(EDATE(B24,-12),Database!$F:$AY,MATCH($P$1,Database!$F$1:$AY$1,),))))</f>
        <v/>
      </c>
      <c r="Q24" s="13">
        <f>((((VLOOKUP(B24,Database!$F:$AY,MATCH($Q$1,Database!$F$1:$AY$1,),))))-(((VLOOKUP(EDATE(B24,-12),Database!$F:$AY,MATCH($Q$1,Database!$F$1:$AY$1,),)))))/(((VLOOKUP(EDATE(B24,-12),Database!$F:$AY,MATCH($Q$1,Database!$F$1:$AY$1,),))))</f>
        <v/>
      </c>
      <c r="R24" s="13">
        <f>((((VLOOKUP(B24,Database!$F:$AY,MATCH($R$1,Database!$F$1:$AY$1,),))))-(((VLOOKUP(EDATE(B24,-12),Database!$F:$AY,MATCH($R$1,Database!$F$1:$AY$1,),)))))/(((VLOOKUP(EDATE(B24,-12),Database!$F:$AY,MATCH($R$1,Database!$F$1:$AY$1,),))))</f>
        <v/>
      </c>
      <c r="S24" s="13">
        <f>((((VLOOKUP(B24,Database!$F:$AY,MATCH($S$1,Database!$F$1:$AY$1,),))))-(((VLOOKUP(EDATE(B24,-12),Database!$F:$AY,MATCH($S$1,Database!$F$1:$AY$1,),)))))/(((VLOOKUP(EDATE(B24,-12),Database!$F:$AY,MATCH($S$1,Database!$F$1:$AY$1,),))))</f>
        <v/>
      </c>
      <c r="T24" s="13">
        <f>((((VLOOKUP(B24,Database!$F:$AY,MATCH($T$1,Database!$F$1:$AY$1,),))))-(((VLOOKUP(EDATE(B24,-12),Database!$F:$AY,MATCH($T$1,Database!$F$1:$AY$1,),)))))/(((VLOOKUP(EDATE(B24,-12),Database!$F:$AY,MATCH($T$1,Database!$F$1:$AY$1,),))))</f>
        <v/>
      </c>
      <c r="U24" s="13">
        <f>((((VLOOKUP(B24,Database!$F:$AY,MATCH($U$1,Database!$F$1:$AY$1,),))))-(((VLOOKUP(EDATE(B24,-12),Database!$F:$AY,MATCH($U$1,Database!$F$1:$AY$1,),)))))/(((VLOOKUP(EDATE(B24,-12),Database!$F:$AY,MATCH($U$1,Database!$F$1:$AY$1,),))))</f>
        <v/>
      </c>
      <c r="V24" s="13">
        <f>((((VLOOKUP(B24,Database!$F:$AY,MATCH($V$1,Database!$F$1:$AY$1,),))))-(((VLOOKUP(EDATE(B24,-12),Database!$F:$AY,MATCH($V$1,Database!$F$1:$AY$1,),)))))/(((VLOOKUP(EDATE(B24,-12),Database!$F:$AY,MATCH($V$1,Database!$F$1:$AY$1,),))))</f>
        <v/>
      </c>
      <c r="X24" s="45">
        <f>DATE(YEAR(B24),MONTH(B24)-12,DAY(B24))</f>
        <v/>
      </c>
    </row>
    <row r="25" customFormat="1" s="100">
      <c r="A25" s="45" t="n"/>
      <c r="B25" s="46" t="n">
        <v>32905</v>
      </c>
      <c r="C25" s="13">
        <f>((((VLOOKUP(B25,Database!$F:$AY,MATCH($C$1,Database!$F$1:$AY$1,),))))-(((VLOOKUP(EDATE(B25,-12),Database!$F:$AY,MATCH($C$1,Database!$F$1:$AY$1,),)))))/(((VLOOKUP(EDATE(B25,-12),Database!$F:$AY,MATCH($C$1,Database!$F$1:$AY$1,),))))</f>
        <v/>
      </c>
      <c r="D25" s="13">
        <f>((((VLOOKUP(B25,Database!$F:$AY,MATCH($D$1,Database!$F$1:$AY$1,),))))-(((VLOOKUP(EDATE(B25,-12),Database!$F:$AY,MATCH($D$1,Database!$F$1:$AY$1,),)))))/(((VLOOKUP(EDATE(B25,-12),Database!$F:$AY,MATCH($D$1,Database!$F$1:$AY$1,),))))</f>
        <v/>
      </c>
      <c r="E25" s="13">
        <f>((((VLOOKUP(B25,Database!$F:$AY,MATCH($E$1,Database!$F$1:$AY$1,),))))-(((VLOOKUP(EDATE(B25,-12),Database!$F:$AY,MATCH($E$1,Database!$F$1:$AY$1,),)))))/(((VLOOKUP(EDATE(B25,-12),Database!$F:$AY,MATCH($E$1,Database!$F$1:$AY$1,),))))</f>
        <v/>
      </c>
      <c r="F25" s="13">
        <f>((((VLOOKUP(B25,Database!$F:$AY,MATCH($F$1,Database!$F$1:$AY$1,),))))-(((VLOOKUP(EDATE(B25,-12),Database!$F:$AY,MATCH($F$1,Database!$F$1:$AY$1,),)))))/(((VLOOKUP(EDATE(B25,-12),Database!$F:$AY,MATCH($F$1,Database!$F$1:$AY$1,),))))</f>
        <v/>
      </c>
      <c r="G25" s="13">
        <f>((((VLOOKUP(B25,Database!$F:$AY,MATCH($G$1,Database!$F$1:$AY$1,),))))-(((VLOOKUP(EDATE(B25,-12),Database!$F:$AY,MATCH($G$1,Database!$F$1:$AY$1,),)))))/(((VLOOKUP(EDATE(B25,-12),Database!$F:$AY,MATCH($G$1,Database!$F$1:$AY$1,),))))</f>
        <v/>
      </c>
      <c r="H25" s="13">
        <f>((((VLOOKUP(B25,Database!$F:$AY,MATCH($H$1,Database!$F$1:$AY$1,),))))-(((VLOOKUP(EDATE(B25,-12),Database!$F:$AY,MATCH($H$1,Database!$F$1:$AY$1,),)))))/(((VLOOKUP(EDATE(B25,-12),Database!$F:$AY,MATCH($H$1,Database!$F$1:$AY$1,),))))</f>
        <v/>
      </c>
      <c r="I25" s="13">
        <f>((((VLOOKUP(B25,Database!$F:$AY,MATCH($I$1,Database!$F$1:$AY$1,),))))-(((VLOOKUP(EDATE(B25,-12),Database!$F:$AY,MATCH($I$1,Database!$F$1:$AY$1,),)))))/(((VLOOKUP(EDATE(B25,-12),Database!$F:$AY,MATCH($I$1,Database!$F$1:$AY$1,),))))</f>
        <v/>
      </c>
      <c r="J25" s="13">
        <f>((((VLOOKUP(B25,Database!$F:$AY,MATCH($J$1,Database!$F$1:$AY$1,),))))-(((VLOOKUP(EDATE(B25,-12),Database!$F:$AY,MATCH($J$1,Database!$F$1:$AY$1,),)))))/(((VLOOKUP(EDATE(B25,-12),Database!$F:$AY,MATCH($J$1,Database!$F$1:$AY$1,),))))</f>
        <v/>
      </c>
      <c r="K25" s="13">
        <f>((((VLOOKUP(B25,Database!$F:$AY,MATCH($K$1,Database!$F$1:$AY$1,),))))-(((VLOOKUP(EDATE(B25,-12),Database!$F:$AY,MATCH($K$1,Database!$F$1:$AY$1,),)))))/(((VLOOKUP(EDATE(B25,-12),Database!$F:$AY,MATCH($K$1,Database!$F$1:$AY$1,),))))</f>
        <v/>
      </c>
      <c r="L25" s="13">
        <f>((((VLOOKUP(B25,Database!$F:$AY,MATCH($L$1,Database!$F$1:$AY$1,),))))-(((VLOOKUP(EDATE(B25,-12),Database!$F:$AY,MATCH($L$1,Database!$F$1:$AY$1,),)))))/(((VLOOKUP(EDATE(B25,-12),Database!$F:$AY,MATCH($L$1,Database!$F$1:$AY$1,),))))</f>
        <v/>
      </c>
      <c r="M25" s="13">
        <f>((((VLOOKUP(B25,Database!$F:$AY,MATCH($M$1,Database!$F$1:$AY$1,),))))-(((VLOOKUP(EDATE(B25,-12),Database!$F:$AY,MATCH($M$1,Database!$F$1:$AY$1,),)))))/(((VLOOKUP(EDATE(B25,-12),Database!$F:$AY,MATCH($M$1,Database!$F$1:$AY$1,),))))</f>
        <v/>
      </c>
      <c r="N25" s="13">
        <f>((((VLOOKUP(B25,Database!$F:$AY,MATCH($N$1,Database!$F$1:$AY$1,),))))-(((VLOOKUP(EDATE(B25,-12),Database!$F:$AY,MATCH($N$1,Database!$F$1:$AY$1,),)))))/(((VLOOKUP(EDATE(B25,-12),Database!$F:$AY,MATCH($N$1,Database!$F$1:$AY$1,),))))</f>
        <v/>
      </c>
      <c r="O25" s="13">
        <f>((((VLOOKUP(B25,Database!$F:$AY,MATCH($O$1,Database!$F$1:$AY$1,),))))-(((VLOOKUP(EDATE(B25,-12),Database!$F:$AY,MATCH($O$1,Database!$F$1:$AY$1,),)))))/(((VLOOKUP(EDATE(B25,-12),Database!$F:$AY,MATCH($O$1,Database!$F$1:$AY$1,),))))</f>
        <v/>
      </c>
      <c r="P25" s="13">
        <f>((((VLOOKUP(B25,Database!$F:$AY,MATCH($P$1,Database!$F$1:$AY$1,),))))-(((VLOOKUP(EDATE(B25,-12),Database!$F:$AY,MATCH($P$1,Database!$F$1:$AY$1,),)))))/(((VLOOKUP(EDATE(B25,-12),Database!$F:$AY,MATCH($P$1,Database!$F$1:$AY$1,),))))</f>
        <v/>
      </c>
      <c r="Q25" s="13">
        <f>((((VLOOKUP(B25,Database!$F:$AY,MATCH($Q$1,Database!$F$1:$AY$1,),))))-(((VLOOKUP(EDATE(B25,-12),Database!$F:$AY,MATCH($Q$1,Database!$F$1:$AY$1,),)))))/(((VLOOKUP(EDATE(B25,-12),Database!$F:$AY,MATCH($Q$1,Database!$F$1:$AY$1,),))))</f>
        <v/>
      </c>
      <c r="R25" s="13">
        <f>((((VLOOKUP(B25,Database!$F:$AY,MATCH($R$1,Database!$F$1:$AY$1,),))))-(((VLOOKUP(EDATE(B25,-12),Database!$F:$AY,MATCH($R$1,Database!$F$1:$AY$1,),)))))/(((VLOOKUP(EDATE(B25,-12),Database!$F:$AY,MATCH($R$1,Database!$F$1:$AY$1,),))))</f>
        <v/>
      </c>
      <c r="S25" s="13">
        <f>((((VLOOKUP(B25,Database!$F:$AY,MATCH($S$1,Database!$F$1:$AY$1,),))))-(((VLOOKUP(EDATE(B25,-12),Database!$F:$AY,MATCH($S$1,Database!$F$1:$AY$1,),)))))/(((VLOOKUP(EDATE(B25,-12),Database!$F:$AY,MATCH($S$1,Database!$F$1:$AY$1,),))))</f>
        <v/>
      </c>
      <c r="T25" s="13">
        <f>((((VLOOKUP(B25,Database!$F:$AY,MATCH($T$1,Database!$F$1:$AY$1,),))))-(((VLOOKUP(EDATE(B25,-12),Database!$F:$AY,MATCH($T$1,Database!$F$1:$AY$1,),)))))/(((VLOOKUP(EDATE(B25,-12),Database!$F:$AY,MATCH($T$1,Database!$F$1:$AY$1,),))))</f>
        <v/>
      </c>
      <c r="U25" s="13">
        <f>((((VLOOKUP(B25,Database!$F:$AY,MATCH($U$1,Database!$F$1:$AY$1,),))))-(((VLOOKUP(EDATE(B25,-12),Database!$F:$AY,MATCH($U$1,Database!$F$1:$AY$1,),)))))/(((VLOOKUP(EDATE(B25,-12),Database!$F:$AY,MATCH($U$1,Database!$F$1:$AY$1,),))))</f>
        <v/>
      </c>
      <c r="V25" s="13">
        <f>((((VLOOKUP(B25,Database!$F:$AY,MATCH($V$1,Database!$F$1:$AY$1,),))))-(((VLOOKUP(EDATE(B25,-12),Database!$F:$AY,MATCH($V$1,Database!$F$1:$AY$1,),)))))/(((VLOOKUP(EDATE(B25,-12),Database!$F:$AY,MATCH($V$1,Database!$F$1:$AY$1,),))))</f>
        <v/>
      </c>
      <c r="X25" s="45">
        <f>EDATE(A25,-12)</f>
        <v/>
      </c>
    </row>
    <row r="26" customFormat="1" s="100">
      <c r="A26" s="45" t="n"/>
      <c r="B26" s="46" t="n">
        <v>32933</v>
      </c>
      <c r="C26" s="13">
        <f>((((VLOOKUP(B26,Database!$F:$AY,MATCH($C$1,Database!$F$1:$AY$1,),))))-(((VLOOKUP(EDATE(B26,-12),Database!$F:$AY,MATCH($C$1,Database!$F$1:$AY$1,),)))))/(((VLOOKUP(EDATE(B26,-12),Database!$F:$AY,MATCH($C$1,Database!$F$1:$AY$1,),))))</f>
        <v/>
      </c>
      <c r="D26" s="13">
        <f>((((VLOOKUP(B26,Database!$F:$AY,MATCH($D$1,Database!$F$1:$AY$1,),))))-(((VLOOKUP(EDATE(B26,-12),Database!$F:$AY,MATCH($D$1,Database!$F$1:$AY$1,),)))))/(((VLOOKUP(EDATE(B26,-12),Database!$F:$AY,MATCH($D$1,Database!$F$1:$AY$1,),))))</f>
        <v/>
      </c>
      <c r="E26" s="13">
        <f>((((VLOOKUP(B26,Database!$F:$AY,MATCH($E$1,Database!$F$1:$AY$1,),))))-(((VLOOKUP(EDATE(B26,-12),Database!$F:$AY,MATCH($E$1,Database!$F$1:$AY$1,),)))))/(((VLOOKUP(EDATE(B26,-12),Database!$F:$AY,MATCH($E$1,Database!$F$1:$AY$1,),))))</f>
        <v/>
      </c>
      <c r="F26" s="13">
        <f>((((VLOOKUP(B26,Database!$F:$AY,MATCH($F$1,Database!$F$1:$AY$1,),))))-(((VLOOKUP(EDATE(B26,-12),Database!$F:$AY,MATCH($F$1,Database!$F$1:$AY$1,),)))))/(((VLOOKUP(EDATE(B26,-12),Database!$F:$AY,MATCH($F$1,Database!$F$1:$AY$1,),))))</f>
        <v/>
      </c>
      <c r="G26" s="13">
        <f>((((VLOOKUP(B26,Database!$F:$AY,MATCH($G$1,Database!$F$1:$AY$1,),))))-(((VLOOKUP(EDATE(B26,-12),Database!$F:$AY,MATCH($G$1,Database!$F$1:$AY$1,),)))))/(((VLOOKUP(EDATE(B26,-12),Database!$F:$AY,MATCH($G$1,Database!$F$1:$AY$1,),))))</f>
        <v/>
      </c>
      <c r="H26" s="13">
        <f>((((VLOOKUP(B26,Database!$F:$AY,MATCH($H$1,Database!$F$1:$AY$1,),))))-(((VLOOKUP(EDATE(B26,-12),Database!$F:$AY,MATCH($H$1,Database!$F$1:$AY$1,),)))))/(((VLOOKUP(EDATE(B26,-12),Database!$F:$AY,MATCH($H$1,Database!$F$1:$AY$1,),))))</f>
        <v/>
      </c>
      <c r="I26" s="13">
        <f>((((VLOOKUP(B26,Database!$F:$AY,MATCH($I$1,Database!$F$1:$AY$1,),))))-(((VLOOKUP(EDATE(B26,-12),Database!$F:$AY,MATCH($I$1,Database!$F$1:$AY$1,),)))))/(((VLOOKUP(EDATE(B26,-12),Database!$F:$AY,MATCH($I$1,Database!$F$1:$AY$1,),))))</f>
        <v/>
      </c>
      <c r="J26" s="13">
        <f>((((VLOOKUP(B26,Database!$F:$AY,MATCH($J$1,Database!$F$1:$AY$1,),))))-(((VLOOKUP(EDATE(B26,-12),Database!$F:$AY,MATCH($J$1,Database!$F$1:$AY$1,),)))))/(((VLOOKUP(EDATE(B26,-12),Database!$F:$AY,MATCH($J$1,Database!$F$1:$AY$1,),))))</f>
        <v/>
      </c>
      <c r="K26" s="13">
        <f>((((VLOOKUP(B26,Database!$F:$AY,MATCH($K$1,Database!$F$1:$AY$1,),))))-(((VLOOKUP(EDATE(B26,-12),Database!$F:$AY,MATCH($K$1,Database!$F$1:$AY$1,),)))))/(((VLOOKUP(EDATE(B26,-12),Database!$F:$AY,MATCH($K$1,Database!$F$1:$AY$1,),))))</f>
        <v/>
      </c>
      <c r="L26" s="13">
        <f>((((VLOOKUP(B26,Database!$F:$AY,MATCH($L$1,Database!$F$1:$AY$1,),))))-(((VLOOKUP(EDATE(B26,-12),Database!$F:$AY,MATCH($L$1,Database!$F$1:$AY$1,),)))))/(((VLOOKUP(EDATE(B26,-12),Database!$F:$AY,MATCH($L$1,Database!$F$1:$AY$1,),))))</f>
        <v/>
      </c>
      <c r="M26" s="13">
        <f>((((VLOOKUP(B26,Database!$F:$AY,MATCH($M$1,Database!$F$1:$AY$1,),))))-(((VLOOKUP(EDATE(B26,-12),Database!$F:$AY,MATCH($M$1,Database!$F$1:$AY$1,),)))))/(((VLOOKUP(EDATE(B26,-12),Database!$F:$AY,MATCH($M$1,Database!$F$1:$AY$1,),))))</f>
        <v/>
      </c>
      <c r="N26" s="13">
        <f>((((VLOOKUP(B26,Database!$F:$AY,MATCH($N$1,Database!$F$1:$AY$1,),))))-(((VLOOKUP(EDATE(B26,-12),Database!$F:$AY,MATCH($N$1,Database!$F$1:$AY$1,),)))))/(((VLOOKUP(EDATE(B26,-12),Database!$F:$AY,MATCH($N$1,Database!$F$1:$AY$1,),))))</f>
        <v/>
      </c>
      <c r="O26" s="13">
        <f>((((VLOOKUP(B26,Database!$F:$AY,MATCH($O$1,Database!$F$1:$AY$1,),))))-(((VLOOKUP(EDATE(B26,-12),Database!$F:$AY,MATCH($O$1,Database!$F$1:$AY$1,),)))))/(((VLOOKUP(EDATE(B26,-12),Database!$F:$AY,MATCH($O$1,Database!$F$1:$AY$1,),))))</f>
        <v/>
      </c>
      <c r="P26" s="13">
        <f>((((VLOOKUP(B26,Database!$F:$AY,MATCH($P$1,Database!$F$1:$AY$1,),))))-(((VLOOKUP(EDATE(B26,-12),Database!$F:$AY,MATCH($P$1,Database!$F$1:$AY$1,),)))))/(((VLOOKUP(EDATE(B26,-12),Database!$F:$AY,MATCH($P$1,Database!$F$1:$AY$1,),))))</f>
        <v/>
      </c>
      <c r="Q26" s="13">
        <f>((((VLOOKUP(B26,Database!$F:$AY,MATCH($Q$1,Database!$F$1:$AY$1,),))))-(((VLOOKUP(EDATE(B26,-12),Database!$F:$AY,MATCH($Q$1,Database!$F$1:$AY$1,),)))))/(((VLOOKUP(EDATE(B26,-12),Database!$F:$AY,MATCH($Q$1,Database!$F$1:$AY$1,),))))</f>
        <v/>
      </c>
      <c r="R26" s="13">
        <f>((((VLOOKUP(B26,Database!$F:$AY,MATCH($R$1,Database!$F$1:$AY$1,),))))-(((VLOOKUP(EDATE(B26,-12),Database!$F:$AY,MATCH($R$1,Database!$F$1:$AY$1,),)))))/(((VLOOKUP(EDATE(B26,-12),Database!$F:$AY,MATCH($R$1,Database!$F$1:$AY$1,),))))</f>
        <v/>
      </c>
      <c r="S26" s="13">
        <f>((((VLOOKUP(B26,Database!$F:$AY,MATCH($S$1,Database!$F$1:$AY$1,),))))-(((VLOOKUP(EDATE(B26,-12),Database!$F:$AY,MATCH($S$1,Database!$F$1:$AY$1,),)))))/(((VLOOKUP(EDATE(B26,-12),Database!$F:$AY,MATCH($S$1,Database!$F$1:$AY$1,),))))</f>
        <v/>
      </c>
      <c r="T26" s="13">
        <f>((((VLOOKUP(B26,Database!$F:$AY,MATCH($T$1,Database!$F$1:$AY$1,),))))-(((VLOOKUP(EDATE(B26,-12),Database!$F:$AY,MATCH($T$1,Database!$F$1:$AY$1,),)))))/(((VLOOKUP(EDATE(B26,-12),Database!$F:$AY,MATCH($T$1,Database!$F$1:$AY$1,),))))</f>
        <v/>
      </c>
      <c r="U26" s="13">
        <f>((((VLOOKUP(B26,Database!$F:$AY,MATCH($U$1,Database!$F$1:$AY$1,),))))-(((VLOOKUP(EDATE(B26,-12),Database!$F:$AY,MATCH($U$1,Database!$F$1:$AY$1,),)))))/(((VLOOKUP(EDATE(B26,-12),Database!$F:$AY,MATCH($U$1,Database!$F$1:$AY$1,),))))</f>
        <v/>
      </c>
      <c r="V26" s="13">
        <f>((((VLOOKUP(B26,Database!$F:$AY,MATCH($V$1,Database!$F$1:$AY$1,),))))-(((VLOOKUP(EDATE(B26,-12),Database!$F:$AY,MATCH($V$1,Database!$F$1:$AY$1,),)))))/(((VLOOKUP(EDATE(B26,-12),Database!$F:$AY,MATCH($V$1,Database!$F$1:$AY$1,),))))</f>
        <v/>
      </c>
    </row>
    <row r="27" customFormat="1" s="100">
      <c r="A27" s="45" t="n"/>
      <c r="B27" s="46" t="n">
        <v>32964</v>
      </c>
      <c r="C27" s="13">
        <f>((((VLOOKUP(B27,Database!$F:$AY,MATCH($C$1,Database!$F$1:$AY$1,),))))-(((VLOOKUP(EDATE(B27,-12),Database!$F:$AY,MATCH($C$1,Database!$F$1:$AY$1,),)))))/(((VLOOKUP(EDATE(B27,-12),Database!$F:$AY,MATCH($C$1,Database!$F$1:$AY$1,),))))</f>
        <v/>
      </c>
      <c r="D27" s="13">
        <f>((((VLOOKUP(B27,Database!$F:$AY,MATCH($D$1,Database!$F$1:$AY$1,),))))-(((VLOOKUP(EDATE(B27,-12),Database!$F:$AY,MATCH($D$1,Database!$F$1:$AY$1,),)))))/(((VLOOKUP(EDATE(B27,-12),Database!$F:$AY,MATCH($D$1,Database!$F$1:$AY$1,),))))</f>
        <v/>
      </c>
      <c r="E27" s="13">
        <f>((((VLOOKUP(B27,Database!$F:$AY,MATCH($E$1,Database!$F$1:$AY$1,),))))-(((VLOOKUP(EDATE(B27,-12),Database!$F:$AY,MATCH($E$1,Database!$F$1:$AY$1,),)))))/(((VLOOKUP(EDATE(B27,-12),Database!$F:$AY,MATCH($E$1,Database!$F$1:$AY$1,),))))</f>
        <v/>
      </c>
      <c r="F27" s="13">
        <f>((((VLOOKUP(B27,Database!$F:$AY,MATCH($F$1,Database!$F$1:$AY$1,),))))-(((VLOOKUP(EDATE(B27,-12),Database!$F:$AY,MATCH($F$1,Database!$F$1:$AY$1,),)))))/(((VLOOKUP(EDATE(B27,-12),Database!$F:$AY,MATCH($F$1,Database!$F$1:$AY$1,),))))</f>
        <v/>
      </c>
      <c r="G27" s="13">
        <f>((((VLOOKUP(B27,Database!$F:$AY,MATCH($G$1,Database!$F$1:$AY$1,),))))-(((VLOOKUP(EDATE(B27,-12),Database!$F:$AY,MATCH($G$1,Database!$F$1:$AY$1,),)))))/(((VLOOKUP(EDATE(B27,-12),Database!$F:$AY,MATCH($G$1,Database!$F$1:$AY$1,),))))</f>
        <v/>
      </c>
      <c r="H27" s="13">
        <f>((((VLOOKUP(B27,Database!$F:$AY,MATCH($H$1,Database!$F$1:$AY$1,),))))-(((VLOOKUP(EDATE(B27,-12),Database!$F:$AY,MATCH($H$1,Database!$F$1:$AY$1,),)))))/(((VLOOKUP(EDATE(B27,-12),Database!$F:$AY,MATCH($H$1,Database!$F$1:$AY$1,),))))</f>
        <v/>
      </c>
      <c r="I27" s="13">
        <f>((((VLOOKUP(B27,Database!$F:$AY,MATCH($I$1,Database!$F$1:$AY$1,),))))-(((VLOOKUP(EDATE(B27,-12),Database!$F:$AY,MATCH($I$1,Database!$F$1:$AY$1,),)))))/(((VLOOKUP(EDATE(B27,-12),Database!$F:$AY,MATCH($I$1,Database!$F$1:$AY$1,),))))</f>
        <v/>
      </c>
      <c r="J27" s="13">
        <f>((((VLOOKUP(B27,Database!$F:$AY,MATCH($J$1,Database!$F$1:$AY$1,),))))-(((VLOOKUP(EDATE(B27,-12),Database!$F:$AY,MATCH($J$1,Database!$F$1:$AY$1,),)))))/(((VLOOKUP(EDATE(B27,-12),Database!$F:$AY,MATCH($J$1,Database!$F$1:$AY$1,),))))</f>
        <v/>
      </c>
      <c r="K27" s="13">
        <f>((((VLOOKUP(B27,Database!$F:$AY,MATCH($K$1,Database!$F$1:$AY$1,),))))-(((VLOOKUP(EDATE(B27,-12),Database!$F:$AY,MATCH($K$1,Database!$F$1:$AY$1,),)))))/(((VLOOKUP(EDATE(B27,-12),Database!$F:$AY,MATCH($K$1,Database!$F$1:$AY$1,),))))</f>
        <v/>
      </c>
      <c r="L27" s="13">
        <f>((((VLOOKUP(B27,Database!$F:$AY,MATCH($L$1,Database!$F$1:$AY$1,),))))-(((VLOOKUP(EDATE(B27,-12),Database!$F:$AY,MATCH($L$1,Database!$F$1:$AY$1,),)))))/(((VLOOKUP(EDATE(B27,-12),Database!$F:$AY,MATCH($L$1,Database!$F$1:$AY$1,),))))</f>
        <v/>
      </c>
      <c r="M27" s="13">
        <f>((((VLOOKUP(B27,Database!$F:$AY,MATCH($M$1,Database!$F$1:$AY$1,),))))-(((VLOOKUP(EDATE(B27,-12),Database!$F:$AY,MATCH($M$1,Database!$F$1:$AY$1,),)))))/(((VLOOKUP(EDATE(B27,-12),Database!$F:$AY,MATCH($M$1,Database!$F$1:$AY$1,),))))</f>
        <v/>
      </c>
      <c r="N27" s="13">
        <f>((((VLOOKUP(B27,Database!$F:$AY,MATCH($N$1,Database!$F$1:$AY$1,),))))-(((VLOOKUP(EDATE(B27,-12),Database!$F:$AY,MATCH($N$1,Database!$F$1:$AY$1,),)))))/(((VLOOKUP(EDATE(B27,-12),Database!$F:$AY,MATCH($N$1,Database!$F$1:$AY$1,),))))</f>
        <v/>
      </c>
      <c r="O27" s="13">
        <f>((((VLOOKUP(B27,Database!$F:$AY,MATCH($O$1,Database!$F$1:$AY$1,),))))-(((VLOOKUP(EDATE(B27,-12),Database!$F:$AY,MATCH($O$1,Database!$F$1:$AY$1,),)))))/(((VLOOKUP(EDATE(B27,-12),Database!$F:$AY,MATCH($O$1,Database!$F$1:$AY$1,),))))</f>
        <v/>
      </c>
      <c r="P27" s="13">
        <f>((((VLOOKUP(B27,Database!$F:$AY,MATCH($P$1,Database!$F$1:$AY$1,),))))-(((VLOOKUP(EDATE(B27,-12),Database!$F:$AY,MATCH($P$1,Database!$F$1:$AY$1,),)))))/(((VLOOKUP(EDATE(B27,-12),Database!$F:$AY,MATCH($P$1,Database!$F$1:$AY$1,),))))</f>
        <v/>
      </c>
      <c r="Q27" s="13">
        <f>((((VLOOKUP(B27,Database!$F:$AY,MATCH($Q$1,Database!$F$1:$AY$1,),))))-(((VLOOKUP(EDATE(B27,-12),Database!$F:$AY,MATCH($Q$1,Database!$F$1:$AY$1,),)))))/(((VLOOKUP(EDATE(B27,-12),Database!$F:$AY,MATCH($Q$1,Database!$F$1:$AY$1,),))))</f>
        <v/>
      </c>
      <c r="R27" s="13">
        <f>((((VLOOKUP(B27,Database!$F:$AY,MATCH($R$1,Database!$F$1:$AY$1,),))))-(((VLOOKUP(EDATE(B27,-12),Database!$F:$AY,MATCH($R$1,Database!$F$1:$AY$1,),)))))/(((VLOOKUP(EDATE(B27,-12),Database!$F:$AY,MATCH($R$1,Database!$F$1:$AY$1,),))))</f>
        <v/>
      </c>
      <c r="S27" s="13">
        <f>((((VLOOKUP(B27,Database!$F:$AY,MATCH($S$1,Database!$F$1:$AY$1,),))))-(((VLOOKUP(EDATE(B27,-12),Database!$F:$AY,MATCH($S$1,Database!$F$1:$AY$1,),)))))/(((VLOOKUP(EDATE(B27,-12),Database!$F:$AY,MATCH($S$1,Database!$F$1:$AY$1,),))))</f>
        <v/>
      </c>
      <c r="T27" s="13">
        <f>((((VLOOKUP(B27,Database!$F:$AY,MATCH($T$1,Database!$F$1:$AY$1,),))))-(((VLOOKUP(EDATE(B27,-12),Database!$F:$AY,MATCH($T$1,Database!$F$1:$AY$1,),)))))/(((VLOOKUP(EDATE(B27,-12),Database!$F:$AY,MATCH($T$1,Database!$F$1:$AY$1,),))))</f>
        <v/>
      </c>
      <c r="U27" s="13">
        <f>((((VLOOKUP(B27,Database!$F:$AY,MATCH($U$1,Database!$F$1:$AY$1,),))))-(((VLOOKUP(EDATE(B27,-12),Database!$F:$AY,MATCH($U$1,Database!$F$1:$AY$1,),)))))/(((VLOOKUP(EDATE(B27,-12),Database!$F:$AY,MATCH($U$1,Database!$F$1:$AY$1,),))))</f>
        <v/>
      </c>
      <c r="V27" s="13">
        <f>((((VLOOKUP(B27,Database!$F:$AY,MATCH($V$1,Database!$F$1:$AY$1,),))))-(((VLOOKUP(EDATE(B27,-12),Database!$F:$AY,MATCH($V$1,Database!$F$1:$AY$1,),)))))/(((VLOOKUP(EDATE(B27,-12),Database!$F:$AY,MATCH($V$1,Database!$F$1:$AY$1,),))))</f>
        <v/>
      </c>
    </row>
    <row r="28" customFormat="1" s="100">
      <c r="A28" s="45" t="n"/>
      <c r="B28" s="46" t="n">
        <v>32994</v>
      </c>
      <c r="C28" s="13">
        <f>((((VLOOKUP(B28,Database!$F:$AY,MATCH($C$1,Database!$F$1:$AY$1,),))))-(((VLOOKUP(EDATE(B28,-12),Database!$F:$AY,MATCH($C$1,Database!$F$1:$AY$1,),)))))/(((VLOOKUP(EDATE(B28,-12),Database!$F:$AY,MATCH($C$1,Database!$F$1:$AY$1,),))))</f>
        <v/>
      </c>
      <c r="D28" s="13">
        <f>((((VLOOKUP(B28,Database!$F:$AY,MATCH($D$1,Database!$F$1:$AY$1,),))))-(((VLOOKUP(EDATE(B28,-12),Database!$F:$AY,MATCH($D$1,Database!$F$1:$AY$1,),)))))/(((VLOOKUP(EDATE(B28,-12),Database!$F:$AY,MATCH($D$1,Database!$F$1:$AY$1,),))))</f>
        <v/>
      </c>
      <c r="E28" s="13">
        <f>((((VLOOKUP(B28,Database!$F:$AY,MATCH($E$1,Database!$F$1:$AY$1,),))))-(((VLOOKUP(EDATE(B28,-12),Database!$F:$AY,MATCH($E$1,Database!$F$1:$AY$1,),)))))/(((VLOOKUP(EDATE(B28,-12),Database!$F:$AY,MATCH($E$1,Database!$F$1:$AY$1,),))))</f>
        <v/>
      </c>
      <c r="F28" s="13">
        <f>((((VLOOKUP(B28,Database!$F:$AY,MATCH($F$1,Database!$F$1:$AY$1,),))))-(((VLOOKUP(EDATE(B28,-12),Database!$F:$AY,MATCH($F$1,Database!$F$1:$AY$1,),)))))/(((VLOOKUP(EDATE(B28,-12),Database!$F:$AY,MATCH($F$1,Database!$F$1:$AY$1,),))))</f>
        <v/>
      </c>
      <c r="G28" s="13">
        <f>((((VLOOKUP(B28,Database!$F:$AY,MATCH($G$1,Database!$F$1:$AY$1,),))))-(((VLOOKUP(EDATE(B28,-12),Database!$F:$AY,MATCH($G$1,Database!$F$1:$AY$1,),)))))/(((VLOOKUP(EDATE(B28,-12),Database!$F:$AY,MATCH($G$1,Database!$F$1:$AY$1,),))))</f>
        <v/>
      </c>
      <c r="H28" s="13">
        <f>((((VLOOKUP(B28,Database!$F:$AY,MATCH($H$1,Database!$F$1:$AY$1,),))))-(((VLOOKUP(EDATE(B28,-12),Database!$F:$AY,MATCH($H$1,Database!$F$1:$AY$1,),)))))/(((VLOOKUP(EDATE(B28,-12),Database!$F:$AY,MATCH($H$1,Database!$F$1:$AY$1,),))))</f>
        <v/>
      </c>
      <c r="I28" s="13">
        <f>((((VLOOKUP(B28,Database!$F:$AY,MATCH($I$1,Database!$F$1:$AY$1,),))))-(((VLOOKUP(EDATE(B28,-12),Database!$F:$AY,MATCH($I$1,Database!$F$1:$AY$1,),)))))/(((VLOOKUP(EDATE(B28,-12),Database!$F:$AY,MATCH($I$1,Database!$F$1:$AY$1,),))))</f>
        <v/>
      </c>
      <c r="J28" s="13">
        <f>((((VLOOKUP(B28,Database!$F:$AY,MATCH($J$1,Database!$F$1:$AY$1,),))))-(((VLOOKUP(EDATE(B28,-12),Database!$F:$AY,MATCH($J$1,Database!$F$1:$AY$1,),)))))/(((VLOOKUP(EDATE(B28,-12),Database!$F:$AY,MATCH($J$1,Database!$F$1:$AY$1,),))))</f>
        <v/>
      </c>
      <c r="K28" s="13">
        <f>((((VLOOKUP(B28,Database!$F:$AY,MATCH($K$1,Database!$F$1:$AY$1,),))))-(((VLOOKUP(EDATE(B28,-12),Database!$F:$AY,MATCH($K$1,Database!$F$1:$AY$1,),)))))/(((VLOOKUP(EDATE(B28,-12),Database!$F:$AY,MATCH($K$1,Database!$F$1:$AY$1,),))))</f>
        <v/>
      </c>
      <c r="L28" s="13">
        <f>((((VLOOKUP(B28,Database!$F:$AY,MATCH($L$1,Database!$F$1:$AY$1,),))))-(((VLOOKUP(EDATE(B28,-12),Database!$F:$AY,MATCH($L$1,Database!$F$1:$AY$1,),)))))/(((VLOOKUP(EDATE(B28,-12),Database!$F:$AY,MATCH($L$1,Database!$F$1:$AY$1,),))))</f>
        <v/>
      </c>
      <c r="M28" s="13">
        <f>((((VLOOKUP(B28,Database!$F:$AY,MATCH($M$1,Database!$F$1:$AY$1,),))))-(((VLOOKUP(EDATE(B28,-12),Database!$F:$AY,MATCH($M$1,Database!$F$1:$AY$1,),)))))/(((VLOOKUP(EDATE(B28,-12),Database!$F:$AY,MATCH($M$1,Database!$F$1:$AY$1,),))))</f>
        <v/>
      </c>
      <c r="N28" s="13">
        <f>((((VLOOKUP(B28,Database!$F:$AY,MATCH($N$1,Database!$F$1:$AY$1,),))))-(((VLOOKUP(EDATE(B28,-12),Database!$F:$AY,MATCH($N$1,Database!$F$1:$AY$1,),)))))/(((VLOOKUP(EDATE(B28,-12),Database!$F:$AY,MATCH($N$1,Database!$F$1:$AY$1,),))))</f>
        <v/>
      </c>
      <c r="O28" s="13">
        <f>((((VLOOKUP(B28,Database!$F:$AY,MATCH($O$1,Database!$F$1:$AY$1,),))))-(((VLOOKUP(EDATE(B28,-12),Database!$F:$AY,MATCH($O$1,Database!$F$1:$AY$1,),)))))/(((VLOOKUP(EDATE(B28,-12),Database!$F:$AY,MATCH($O$1,Database!$F$1:$AY$1,),))))</f>
        <v/>
      </c>
      <c r="P28" s="13">
        <f>((((VLOOKUP(B28,Database!$F:$AY,MATCH($P$1,Database!$F$1:$AY$1,),))))-(((VLOOKUP(EDATE(B28,-12),Database!$F:$AY,MATCH($P$1,Database!$F$1:$AY$1,),)))))/(((VLOOKUP(EDATE(B28,-12),Database!$F:$AY,MATCH($P$1,Database!$F$1:$AY$1,),))))</f>
        <v/>
      </c>
      <c r="Q28" s="13">
        <f>((((VLOOKUP(B28,Database!$F:$AY,MATCH($Q$1,Database!$F$1:$AY$1,),))))-(((VLOOKUP(EDATE(B28,-12),Database!$F:$AY,MATCH($Q$1,Database!$F$1:$AY$1,),)))))/(((VLOOKUP(EDATE(B28,-12),Database!$F:$AY,MATCH($Q$1,Database!$F$1:$AY$1,),))))</f>
        <v/>
      </c>
      <c r="R28" s="13">
        <f>((((VLOOKUP(B28,Database!$F:$AY,MATCH($R$1,Database!$F$1:$AY$1,),))))-(((VLOOKUP(EDATE(B28,-12),Database!$F:$AY,MATCH($R$1,Database!$F$1:$AY$1,),)))))/(((VLOOKUP(EDATE(B28,-12),Database!$F:$AY,MATCH($R$1,Database!$F$1:$AY$1,),))))</f>
        <v/>
      </c>
      <c r="S28" s="13">
        <f>((((VLOOKUP(B28,Database!$F:$AY,MATCH($S$1,Database!$F$1:$AY$1,),))))-(((VLOOKUP(EDATE(B28,-12),Database!$F:$AY,MATCH($S$1,Database!$F$1:$AY$1,),)))))/(((VLOOKUP(EDATE(B28,-12),Database!$F:$AY,MATCH($S$1,Database!$F$1:$AY$1,),))))</f>
        <v/>
      </c>
      <c r="T28" s="13">
        <f>((((VLOOKUP(B28,Database!$F:$AY,MATCH($T$1,Database!$F$1:$AY$1,),))))-(((VLOOKUP(EDATE(B28,-12),Database!$F:$AY,MATCH($T$1,Database!$F$1:$AY$1,),)))))/(((VLOOKUP(EDATE(B28,-12),Database!$F:$AY,MATCH($T$1,Database!$F$1:$AY$1,),))))</f>
        <v/>
      </c>
      <c r="U28" s="13">
        <f>((((VLOOKUP(B28,Database!$F:$AY,MATCH($U$1,Database!$F$1:$AY$1,),))))-(((VLOOKUP(EDATE(B28,-12),Database!$F:$AY,MATCH($U$1,Database!$F$1:$AY$1,),)))))/(((VLOOKUP(EDATE(B28,-12),Database!$F:$AY,MATCH($U$1,Database!$F$1:$AY$1,),))))</f>
        <v/>
      </c>
      <c r="V28" s="13">
        <f>((((VLOOKUP(B28,Database!$F:$AY,MATCH($V$1,Database!$F$1:$AY$1,),))))-(((VLOOKUP(EDATE(B28,-12),Database!$F:$AY,MATCH($V$1,Database!$F$1:$AY$1,),)))))/(((VLOOKUP(EDATE(B28,-12),Database!$F:$AY,MATCH($V$1,Database!$F$1:$AY$1,),))))</f>
        <v/>
      </c>
    </row>
    <row r="29" customFormat="1" s="100">
      <c r="A29" s="45" t="n"/>
      <c r="B29" s="46" t="n">
        <v>33025</v>
      </c>
      <c r="C29" s="13">
        <f>((((VLOOKUP(B29,Database!$F:$AY,MATCH($C$1,Database!$F$1:$AY$1,),))))-(((VLOOKUP(EDATE(B29,-12),Database!$F:$AY,MATCH($C$1,Database!$F$1:$AY$1,),)))))/(((VLOOKUP(EDATE(B29,-12),Database!$F:$AY,MATCH($C$1,Database!$F$1:$AY$1,),))))</f>
        <v/>
      </c>
      <c r="D29" s="13">
        <f>((((VLOOKUP(B29,Database!$F:$AY,MATCH($D$1,Database!$F$1:$AY$1,),))))-(((VLOOKUP(EDATE(B29,-12),Database!$F:$AY,MATCH($D$1,Database!$F$1:$AY$1,),)))))/(((VLOOKUP(EDATE(B29,-12),Database!$F:$AY,MATCH($D$1,Database!$F$1:$AY$1,),))))</f>
        <v/>
      </c>
      <c r="E29" s="13">
        <f>((((VLOOKUP(B29,Database!$F:$AY,MATCH($E$1,Database!$F$1:$AY$1,),))))-(((VLOOKUP(EDATE(B29,-12),Database!$F:$AY,MATCH($E$1,Database!$F$1:$AY$1,),)))))/(((VLOOKUP(EDATE(B29,-12),Database!$F:$AY,MATCH($E$1,Database!$F$1:$AY$1,),))))</f>
        <v/>
      </c>
      <c r="F29" s="13">
        <f>((((VLOOKUP(B29,Database!$F:$AY,MATCH($F$1,Database!$F$1:$AY$1,),))))-(((VLOOKUP(EDATE(B29,-12),Database!$F:$AY,MATCH($F$1,Database!$F$1:$AY$1,),)))))/(((VLOOKUP(EDATE(B29,-12),Database!$F:$AY,MATCH($F$1,Database!$F$1:$AY$1,),))))</f>
        <v/>
      </c>
      <c r="G29" s="13">
        <f>((((VLOOKUP(B29,Database!$F:$AY,MATCH($G$1,Database!$F$1:$AY$1,),))))-(((VLOOKUP(EDATE(B29,-12),Database!$F:$AY,MATCH($G$1,Database!$F$1:$AY$1,),)))))/(((VLOOKUP(EDATE(B29,-12),Database!$F:$AY,MATCH($G$1,Database!$F$1:$AY$1,),))))</f>
        <v/>
      </c>
      <c r="H29" s="13">
        <f>((((VLOOKUP(B29,Database!$F:$AY,MATCH($H$1,Database!$F$1:$AY$1,),))))-(((VLOOKUP(EDATE(B29,-12),Database!$F:$AY,MATCH($H$1,Database!$F$1:$AY$1,),)))))/(((VLOOKUP(EDATE(B29,-12),Database!$F:$AY,MATCH($H$1,Database!$F$1:$AY$1,),))))</f>
        <v/>
      </c>
      <c r="I29" s="13">
        <f>((((VLOOKUP(B29,Database!$F:$AY,MATCH($I$1,Database!$F$1:$AY$1,),))))-(((VLOOKUP(EDATE(B29,-12),Database!$F:$AY,MATCH($I$1,Database!$F$1:$AY$1,),)))))/(((VLOOKUP(EDATE(B29,-12),Database!$F:$AY,MATCH($I$1,Database!$F$1:$AY$1,),))))</f>
        <v/>
      </c>
      <c r="J29" s="13">
        <f>((((VLOOKUP(B29,Database!$F:$AY,MATCH($J$1,Database!$F$1:$AY$1,),))))-(((VLOOKUP(EDATE(B29,-12),Database!$F:$AY,MATCH($J$1,Database!$F$1:$AY$1,),)))))/(((VLOOKUP(EDATE(B29,-12),Database!$F:$AY,MATCH($J$1,Database!$F$1:$AY$1,),))))</f>
        <v/>
      </c>
      <c r="K29" s="13">
        <f>((((VLOOKUP(B29,Database!$F:$AY,MATCH($K$1,Database!$F$1:$AY$1,),))))-(((VLOOKUP(EDATE(B29,-12),Database!$F:$AY,MATCH($K$1,Database!$F$1:$AY$1,),)))))/(((VLOOKUP(EDATE(B29,-12),Database!$F:$AY,MATCH($K$1,Database!$F$1:$AY$1,),))))</f>
        <v/>
      </c>
      <c r="L29" s="13">
        <f>((((VLOOKUP(B29,Database!$F:$AY,MATCH($L$1,Database!$F$1:$AY$1,),))))-(((VLOOKUP(EDATE(B29,-12),Database!$F:$AY,MATCH($L$1,Database!$F$1:$AY$1,),)))))/(((VLOOKUP(EDATE(B29,-12),Database!$F:$AY,MATCH($L$1,Database!$F$1:$AY$1,),))))</f>
        <v/>
      </c>
      <c r="M29" s="13">
        <f>((((VLOOKUP(B29,Database!$F:$AY,MATCH($M$1,Database!$F$1:$AY$1,),))))-(((VLOOKUP(EDATE(B29,-12),Database!$F:$AY,MATCH($M$1,Database!$F$1:$AY$1,),)))))/(((VLOOKUP(EDATE(B29,-12),Database!$F:$AY,MATCH($M$1,Database!$F$1:$AY$1,),))))</f>
        <v/>
      </c>
      <c r="N29" s="13">
        <f>((((VLOOKUP(B29,Database!$F:$AY,MATCH($N$1,Database!$F$1:$AY$1,),))))-(((VLOOKUP(EDATE(B29,-12),Database!$F:$AY,MATCH($N$1,Database!$F$1:$AY$1,),)))))/(((VLOOKUP(EDATE(B29,-12),Database!$F:$AY,MATCH($N$1,Database!$F$1:$AY$1,),))))</f>
        <v/>
      </c>
      <c r="O29" s="13">
        <f>((((VLOOKUP(B29,Database!$F:$AY,MATCH($O$1,Database!$F$1:$AY$1,),))))-(((VLOOKUP(EDATE(B29,-12),Database!$F:$AY,MATCH($O$1,Database!$F$1:$AY$1,),)))))/(((VLOOKUP(EDATE(B29,-12),Database!$F:$AY,MATCH($O$1,Database!$F$1:$AY$1,),))))</f>
        <v/>
      </c>
      <c r="P29" s="13">
        <f>((((VLOOKUP(B29,Database!$F:$AY,MATCH($P$1,Database!$F$1:$AY$1,),))))-(((VLOOKUP(EDATE(B29,-12),Database!$F:$AY,MATCH($P$1,Database!$F$1:$AY$1,),)))))/(((VLOOKUP(EDATE(B29,-12),Database!$F:$AY,MATCH($P$1,Database!$F$1:$AY$1,),))))</f>
        <v/>
      </c>
      <c r="Q29" s="13">
        <f>((((VLOOKUP(B29,Database!$F:$AY,MATCH($Q$1,Database!$F$1:$AY$1,),))))-(((VLOOKUP(EDATE(B29,-12),Database!$F:$AY,MATCH($Q$1,Database!$F$1:$AY$1,),)))))/(((VLOOKUP(EDATE(B29,-12),Database!$F:$AY,MATCH($Q$1,Database!$F$1:$AY$1,),))))</f>
        <v/>
      </c>
      <c r="R29" s="13">
        <f>((((VLOOKUP(B29,Database!$F:$AY,MATCH($R$1,Database!$F$1:$AY$1,),))))-(((VLOOKUP(EDATE(B29,-12),Database!$F:$AY,MATCH($R$1,Database!$F$1:$AY$1,),)))))/(((VLOOKUP(EDATE(B29,-12),Database!$F:$AY,MATCH($R$1,Database!$F$1:$AY$1,),))))</f>
        <v/>
      </c>
      <c r="S29" s="13">
        <f>((((VLOOKUP(B29,Database!$F:$AY,MATCH($S$1,Database!$F$1:$AY$1,),))))-(((VLOOKUP(EDATE(B29,-12),Database!$F:$AY,MATCH($S$1,Database!$F$1:$AY$1,),)))))/(((VLOOKUP(EDATE(B29,-12),Database!$F:$AY,MATCH($S$1,Database!$F$1:$AY$1,),))))</f>
        <v/>
      </c>
      <c r="T29" s="13">
        <f>((((VLOOKUP(B29,Database!$F:$AY,MATCH($T$1,Database!$F$1:$AY$1,),))))-(((VLOOKUP(EDATE(B29,-12),Database!$F:$AY,MATCH($T$1,Database!$F$1:$AY$1,),)))))/(((VLOOKUP(EDATE(B29,-12),Database!$F:$AY,MATCH($T$1,Database!$F$1:$AY$1,),))))</f>
        <v/>
      </c>
      <c r="U29" s="13">
        <f>((((VLOOKUP(B29,Database!$F:$AY,MATCH($U$1,Database!$F$1:$AY$1,),))))-(((VLOOKUP(EDATE(B29,-12),Database!$F:$AY,MATCH($U$1,Database!$F$1:$AY$1,),)))))/(((VLOOKUP(EDATE(B29,-12),Database!$F:$AY,MATCH($U$1,Database!$F$1:$AY$1,),))))</f>
        <v/>
      </c>
      <c r="V29" s="13">
        <f>((((VLOOKUP(B29,Database!$F:$AY,MATCH($V$1,Database!$F$1:$AY$1,),))))-(((VLOOKUP(EDATE(B29,-12),Database!$F:$AY,MATCH($V$1,Database!$F$1:$AY$1,),)))))/(((VLOOKUP(EDATE(B29,-12),Database!$F:$AY,MATCH($V$1,Database!$F$1:$AY$1,),))))</f>
        <v/>
      </c>
    </row>
    <row r="30" customFormat="1" s="100">
      <c r="A30" s="45" t="n"/>
      <c r="B30" s="46" t="n">
        <v>33055</v>
      </c>
      <c r="C30" s="13">
        <f>((((VLOOKUP(B30,Database!$F:$AY,MATCH($C$1,Database!$F$1:$AY$1,),))))-(((VLOOKUP(EDATE(B30,-12),Database!$F:$AY,MATCH($C$1,Database!$F$1:$AY$1,),)))))/(((VLOOKUP(EDATE(B30,-12),Database!$F:$AY,MATCH($C$1,Database!$F$1:$AY$1,),))))</f>
        <v/>
      </c>
      <c r="D30" s="13">
        <f>((((VLOOKUP(B30,Database!$F:$AY,MATCH($D$1,Database!$F$1:$AY$1,),))))-(((VLOOKUP(EDATE(B30,-12),Database!$F:$AY,MATCH($D$1,Database!$F$1:$AY$1,),)))))/(((VLOOKUP(EDATE(B30,-12),Database!$F:$AY,MATCH($D$1,Database!$F$1:$AY$1,),))))</f>
        <v/>
      </c>
      <c r="E30" s="13">
        <f>((((VLOOKUP(B30,Database!$F:$AY,MATCH($E$1,Database!$F$1:$AY$1,),))))-(((VLOOKUP(EDATE(B30,-12),Database!$F:$AY,MATCH($E$1,Database!$F$1:$AY$1,),)))))/(((VLOOKUP(EDATE(B30,-12),Database!$F:$AY,MATCH($E$1,Database!$F$1:$AY$1,),))))</f>
        <v/>
      </c>
      <c r="F30" s="13">
        <f>((((VLOOKUP(B30,Database!$F:$AY,MATCH($F$1,Database!$F$1:$AY$1,),))))-(((VLOOKUP(EDATE(B30,-12),Database!$F:$AY,MATCH($F$1,Database!$F$1:$AY$1,),)))))/(((VLOOKUP(EDATE(B30,-12),Database!$F:$AY,MATCH($F$1,Database!$F$1:$AY$1,),))))</f>
        <v/>
      </c>
      <c r="G30" s="13">
        <f>((((VLOOKUP(B30,Database!$F:$AY,MATCH($G$1,Database!$F$1:$AY$1,),))))-(((VLOOKUP(EDATE(B30,-12),Database!$F:$AY,MATCH($G$1,Database!$F$1:$AY$1,),)))))/(((VLOOKUP(EDATE(B30,-12),Database!$F:$AY,MATCH($G$1,Database!$F$1:$AY$1,),))))</f>
        <v/>
      </c>
      <c r="H30" s="13">
        <f>((((VLOOKUP(B30,Database!$F:$AY,MATCH($H$1,Database!$F$1:$AY$1,),))))-(((VLOOKUP(EDATE(B30,-12),Database!$F:$AY,MATCH($H$1,Database!$F$1:$AY$1,),)))))/(((VLOOKUP(EDATE(B30,-12),Database!$F:$AY,MATCH($H$1,Database!$F$1:$AY$1,),))))</f>
        <v/>
      </c>
      <c r="I30" s="13">
        <f>((((VLOOKUP(B30,Database!$F:$AY,MATCH($I$1,Database!$F$1:$AY$1,),))))-(((VLOOKUP(EDATE(B30,-12),Database!$F:$AY,MATCH($I$1,Database!$F$1:$AY$1,),)))))/(((VLOOKUP(EDATE(B30,-12),Database!$F:$AY,MATCH($I$1,Database!$F$1:$AY$1,),))))</f>
        <v/>
      </c>
      <c r="J30" s="13">
        <f>((((VLOOKUP(B30,Database!$F:$AY,MATCH($J$1,Database!$F$1:$AY$1,),))))-(((VLOOKUP(EDATE(B30,-12),Database!$F:$AY,MATCH($J$1,Database!$F$1:$AY$1,),)))))/(((VLOOKUP(EDATE(B30,-12),Database!$F:$AY,MATCH($J$1,Database!$F$1:$AY$1,),))))</f>
        <v/>
      </c>
      <c r="K30" s="13">
        <f>((((VLOOKUP(B30,Database!$F:$AY,MATCH($K$1,Database!$F$1:$AY$1,),))))-(((VLOOKUP(EDATE(B30,-12),Database!$F:$AY,MATCH($K$1,Database!$F$1:$AY$1,),)))))/(((VLOOKUP(EDATE(B30,-12),Database!$F:$AY,MATCH($K$1,Database!$F$1:$AY$1,),))))</f>
        <v/>
      </c>
      <c r="L30" s="13">
        <f>((((VLOOKUP(B30,Database!$F:$AY,MATCH($L$1,Database!$F$1:$AY$1,),))))-(((VLOOKUP(EDATE(B30,-12),Database!$F:$AY,MATCH($L$1,Database!$F$1:$AY$1,),)))))/(((VLOOKUP(EDATE(B30,-12),Database!$F:$AY,MATCH($L$1,Database!$F$1:$AY$1,),))))</f>
        <v/>
      </c>
      <c r="M30" s="13">
        <f>((((VLOOKUP(B30,Database!$F:$AY,MATCH($M$1,Database!$F$1:$AY$1,),))))-(((VLOOKUP(EDATE(B30,-12),Database!$F:$AY,MATCH($M$1,Database!$F$1:$AY$1,),)))))/(((VLOOKUP(EDATE(B30,-12),Database!$F:$AY,MATCH($M$1,Database!$F$1:$AY$1,),))))</f>
        <v/>
      </c>
      <c r="N30" s="13">
        <f>((((VLOOKUP(B30,Database!$F:$AY,MATCH($N$1,Database!$F$1:$AY$1,),))))-(((VLOOKUP(EDATE(B30,-12),Database!$F:$AY,MATCH($N$1,Database!$F$1:$AY$1,),)))))/(((VLOOKUP(EDATE(B30,-12),Database!$F:$AY,MATCH($N$1,Database!$F$1:$AY$1,),))))</f>
        <v/>
      </c>
      <c r="O30" s="13">
        <f>((((VLOOKUP(B30,Database!$F:$AY,MATCH($O$1,Database!$F$1:$AY$1,),))))-(((VLOOKUP(EDATE(B30,-12),Database!$F:$AY,MATCH($O$1,Database!$F$1:$AY$1,),)))))/(((VLOOKUP(EDATE(B30,-12),Database!$F:$AY,MATCH($O$1,Database!$F$1:$AY$1,),))))</f>
        <v/>
      </c>
      <c r="P30" s="13">
        <f>((((VLOOKUP(B30,Database!$F:$AY,MATCH($P$1,Database!$F$1:$AY$1,),))))-(((VLOOKUP(EDATE(B30,-12),Database!$F:$AY,MATCH($P$1,Database!$F$1:$AY$1,),)))))/(((VLOOKUP(EDATE(B30,-12),Database!$F:$AY,MATCH($P$1,Database!$F$1:$AY$1,),))))</f>
        <v/>
      </c>
      <c r="Q30" s="13">
        <f>((((VLOOKUP(B30,Database!$F:$AY,MATCH($Q$1,Database!$F$1:$AY$1,),))))-(((VLOOKUP(EDATE(B30,-12),Database!$F:$AY,MATCH($Q$1,Database!$F$1:$AY$1,),)))))/(((VLOOKUP(EDATE(B30,-12),Database!$F:$AY,MATCH($Q$1,Database!$F$1:$AY$1,),))))</f>
        <v/>
      </c>
      <c r="R30" s="13">
        <f>((((VLOOKUP(B30,Database!$F:$AY,MATCH($R$1,Database!$F$1:$AY$1,),))))-(((VLOOKUP(EDATE(B30,-12),Database!$F:$AY,MATCH($R$1,Database!$F$1:$AY$1,),)))))/(((VLOOKUP(EDATE(B30,-12),Database!$F:$AY,MATCH($R$1,Database!$F$1:$AY$1,),))))</f>
        <v/>
      </c>
      <c r="S30" s="13">
        <f>((((VLOOKUP(B30,Database!$F:$AY,MATCH($S$1,Database!$F$1:$AY$1,),))))-(((VLOOKUP(EDATE(B30,-12),Database!$F:$AY,MATCH($S$1,Database!$F$1:$AY$1,),)))))/(((VLOOKUP(EDATE(B30,-12),Database!$F:$AY,MATCH($S$1,Database!$F$1:$AY$1,),))))</f>
        <v/>
      </c>
      <c r="T30" s="13">
        <f>((((VLOOKUP(B30,Database!$F:$AY,MATCH($T$1,Database!$F$1:$AY$1,),))))-(((VLOOKUP(EDATE(B30,-12),Database!$F:$AY,MATCH($T$1,Database!$F$1:$AY$1,),)))))/(((VLOOKUP(EDATE(B30,-12),Database!$F:$AY,MATCH($T$1,Database!$F$1:$AY$1,),))))</f>
        <v/>
      </c>
      <c r="U30" s="13">
        <f>((((VLOOKUP(B30,Database!$F:$AY,MATCH($U$1,Database!$F$1:$AY$1,),))))-(((VLOOKUP(EDATE(B30,-12),Database!$F:$AY,MATCH($U$1,Database!$F$1:$AY$1,),)))))/(((VLOOKUP(EDATE(B30,-12),Database!$F:$AY,MATCH($U$1,Database!$F$1:$AY$1,),))))</f>
        <v/>
      </c>
      <c r="V30" s="13">
        <f>((((VLOOKUP(B30,Database!$F:$AY,MATCH($V$1,Database!$F$1:$AY$1,),))))-(((VLOOKUP(EDATE(B30,-12),Database!$F:$AY,MATCH($V$1,Database!$F$1:$AY$1,),)))))/(((VLOOKUP(EDATE(B30,-12),Database!$F:$AY,MATCH($V$1,Database!$F$1:$AY$1,),))))</f>
        <v/>
      </c>
    </row>
    <row r="31" customFormat="1" s="100">
      <c r="A31" s="45" t="n"/>
      <c r="B31" s="46" t="n">
        <v>33086</v>
      </c>
      <c r="C31" s="13">
        <f>((((VLOOKUP(B31,Database!$F:$AY,MATCH($C$1,Database!$F$1:$AY$1,),))))-(((VLOOKUP(EDATE(B31,-12),Database!$F:$AY,MATCH($C$1,Database!$F$1:$AY$1,),)))))/(((VLOOKUP(EDATE(B31,-12),Database!$F:$AY,MATCH($C$1,Database!$F$1:$AY$1,),))))</f>
        <v/>
      </c>
      <c r="D31" s="13">
        <f>((((VLOOKUP(B31,Database!$F:$AY,MATCH($D$1,Database!$F$1:$AY$1,),))))-(((VLOOKUP(EDATE(B31,-12),Database!$F:$AY,MATCH($D$1,Database!$F$1:$AY$1,),)))))/(((VLOOKUP(EDATE(B31,-12),Database!$F:$AY,MATCH($D$1,Database!$F$1:$AY$1,),))))</f>
        <v/>
      </c>
      <c r="E31" s="13">
        <f>((((VLOOKUP(B31,Database!$F:$AY,MATCH($E$1,Database!$F$1:$AY$1,),))))-(((VLOOKUP(EDATE(B31,-12),Database!$F:$AY,MATCH($E$1,Database!$F$1:$AY$1,),)))))/(((VLOOKUP(EDATE(B31,-12),Database!$F:$AY,MATCH($E$1,Database!$F$1:$AY$1,),))))</f>
        <v/>
      </c>
      <c r="F31" s="13">
        <f>((((VLOOKUP(B31,Database!$F:$AY,MATCH($F$1,Database!$F$1:$AY$1,),))))-(((VLOOKUP(EDATE(B31,-12),Database!$F:$AY,MATCH($F$1,Database!$F$1:$AY$1,),)))))/(((VLOOKUP(EDATE(B31,-12),Database!$F:$AY,MATCH($F$1,Database!$F$1:$AY$1,),))))</f>
        <v/>
      </c>
      <c r="G31" s="13">
        <f>((((VLOOKUP(B31,Database!$F:$AY,MATCH($G$1,Database!$F$1:$AY$1,),))))-(((VLOOKUP(EDATE(B31,-12),Database!$F:$AY,MATCH($G$1,Database!$F$1:$AY$1,),)))))/(((VLOOKUP(EDATE(B31,-12),Database!$F:$AY,MATCH($G$1,Database!$F$1:$AY$1,),))))</f>
        <v/>
      </c>
      <c r="H31" s="13">
        <f>((((VLOOKUP(B31,Database!$F:$AY,MATCH($H$1,Database!$F$1:$AY$1,),))))-(((VLOOKUP(EDATE(B31,-12),Database!$F:$AY,MATCH($H$1,Database!$F$1:$AY$1,),)))))/(((VLOOKUP(EDATE(B31,-12),Database!$F:$AY,MATCH($H$1,Database!$F$1:$AY$1,),))))</f>
        <v/>
      </c>
      <c r="I31" s="13">
        <f>((((VLOOKUP(B31,Database!$F:$AY,MATCH($I$1,Database!$F$1:$AY$1,),))))-(((VLOOKUP(EDATE(B31,-12),Database!$F:$AY,MATCH($I$1,Database!$F$1:$AY$1,),)))))/(((VLOOKUP(EDATE(B31,-12),Database!$F:$AY,MATCH($I$1,Database!$F$1:$AY$1,),))))</f>
        <v/>
      </c>
      <c r="J31" s="13">
        <f>((((VLOOKUP(B31,Database!$F:$AY,MATCH($J$1,Database!$F$1:$AY$1,),))))-(((VLOOKUP(EDATE(B31,-12),Database!$F:$AY,MATCH($J$1,Database!$F$1:$AY$1,),)))))/(((VLOOKUP(EDATE(B31,-12),Database!$F:$AY,MATCH($J$1,Database!$F$1:$AY$1,),))))</f>
        <v/>
      </c>
      <c r="K31" s="13">
        <f>((((VLOOKUP(B31,Database!$F:$AY,MATCH($K$1,Database!$F$1:$AY$1,),))))-(((VLOOKUP(EDATE(B31,-12),Database!$F:$AY,MATCH($K$1,Database!$F$1:$AY$1,),)))))/(((VLOOKUP(EDATE(B31,-12),Database!$F:$AY,MATCH($K$1,Database!$F$1:$AY$1,),))))</f>
        <v/>
      </c>
      <c r="L31" s="13">
        <f>((((VLOOKUP(B31,Database!$F:$AY,MATCH($L$1,Database!$F$1:$AY$1,),))))-(((VLOOKUP(EDATE(B31,-12),Database!$F:$AY,MATCH($L$1,Database!$F$1:$AY$1,),)))))/(((VLOOKUP(EDATE(B31,-12),Database!$F:$AY,MATCH($L$1,Database!$F$1:$AY$1,),))))</f>
        <v/>
      </c>
      <c r="M31" s="13">
        <f>((((VLOOKUP(B31,Database!$F:$AY,MATCH($M$1,Database!$F$1:$AY$1,),))))-(((VLOOKUP(EDATE(B31,-12),Database!$F:$AY,MATCH($M$1,Database!$F$1:$AY$1,),)))))/(((VLOOKUP(EDATE(B31,-12),Database!$F:$AY,MATCH($M$1,Database!$F$1:$AY$1,),))))</f>
        <v/>
      </c>
      <c r="N31" s="13">
        <f>((((VLOOKUP(B31,Database!$F:$AY,MATCH($N$1,Database!$F$1:$AY$1,),))))-(((VLOOKUP(EDATE(B31,-12),Database!$F:$AY,MATCH($N$1,Database!$F$1:$AY$1,),)))))/(((VLOOKUP(EDATE(B31,-12),Database!$F:$AY,MATCH($N$1,Database!$F$1:$AY$1,),))))</f>
        <v/>
      </c>
      <c r="O31" s="13">
        <f>((((VLOOKUP(B31,Database!$F:$AY,MATCH($O$1,Database!$F$1:$AY$1,),))))-(((VLOOKUP(EDATE(B31,-12),Database!$F:$AY,MATCH($O$1,Database!$F$1:$AY$1,),)))))/(((VLOOKUP(EDATE(B31,-12),Database!$F:$AY,MATCH($O$1,Database!$F$1:$AY$1,),))))</f>
        <v/>
      </c>
      <c r="P31" s="13">
        <f>((((VLOOKUP(B31,Database!$F:$AY,MATCH($P$1,Database!$F$1:$AY$1,),))))-(((VLOOKUP(EDATE(B31,-12),Database!$F:$AY,MATCH($P$1,Database!$F$1:$AY$1,),)))))/(((VLOOKUP(EDATE(B31,-12),Database!$F:$AY,MATCH($P$1,Database!$F$1:$AY$1,),))))</f>
        <v/>
      </c>
      <c r="Q31" s="13">
        <f>((((VLOOKUP(B31,Database!$F:$AY,MATCH($Q$1,Database!$F$1:$AY$1,),))))-(((VLOOKUP(EDATE(B31,-12),Database!$F:$AY,MATCH($Q$1,Database!$F$1:$AY$1,),)))))/(((VLOOKUP(EDATE(B31,-12),Database!$F:$AY,MATCH($Q$1,Database!$F$1:$AY$1,),))))</f>
        <v/>
      </c>
      <c r="R31" s="13">
        <f>((((VLOOKUP(B31,Database!$F:$AY,MATCH($R$1,Database!$F$1:$AY$1,),))))-(((VLOOKUP(EDATE(B31,-12),Database!$F:$AY,MATCH($R$1,Database!$F$1:$AY$1,),)))))/(((VLOOKUP(EDATE(B31,-12),Database!$F:$AY,MATCH($R$1,Database!$F$1:$AY$1,),))))</f>
        <v/>
      </c>
      <c r="S31" s="13">
        <f>((((VLOOKUP(B31,Database!$F:$AY,MATCH($S$1,Database!$F$1:$AY$1,),))))-(((VLOOKUP(EDATE(B31,-12),Database!$F:$AY,MATCH($S$1,Database!$F$1:$AY$1,),)))))/(((VLOOKUP(EDATE(B31,-12),Database!$F:$AY,MATCH($S$1,Database!$F$1:$AY$1,),))))</f>
        <v/>
      </c>
      <c r="T31" s="13">
        <f>((((VLOOKUP(B31,Database!$F:$AY,MATCH($T$1,Database!$F$1:$AY$1,),))))-(((VLOOKUP(EDATE(B31,-12),Database!$F:$AY,MATCH($T$1,Database!$F$1:$AY$1,),)))))/(((VLOOKUP(EDATE(B31,-12),Database!$F:$AY,MATCH($T$1,Database!$F$1:$AY$1,),))))</f>
        <v/>
      </c>
      <c r="U31" s="13">
        <f>((((VLOOKUP(B31,Database!$F:$AY,MATCH($U$1,Database!$F$1:$AY$1,),))))-(((VLOOKUP(EDATE(B31,-12),Database!$F:$AY,MATCH($U$1,Database!$F$1:$AY$1,),)))))/(((VLOOKUP(EDATE(B31,-12),Database!$F:$AY,MATCH($U$1,Database!$F$1:$AY$1,),))))</f>
        <v/>
      </c>
      <c r="V31" s="13">
        <f>((((VLOOKUP(B31,Database!$F:$AY,MATCH($V$1,Database!$F$1:$AY$1,),))))-(((VLOOKUP(EDATE(B31,-12),Database!$F:$AY,MATCH($V$1,Database!$F$1:$AY$1,),)))))/(((VLOOKUP(EDATE(B31,-12),Database!$F:$AY,MATCH($V$1,Database!$F$1:$AY$1,),))))</f>
        <v/>
      </c>
    </row>
    <row r="32" customFormat="1" s="100">
      <c r="A32" s="45" t="n"/>
      <c r="B32" s="46" t="n">
        <v>33117</v>
      </c>
      <c r="C32" s="13">
        <f>((((VLOOKUP(B32,Database!$F:$AY,MATCH($C$1,Database!$F$1:$AY$1,),))))-(((VLOOKUP(EDATE(B32,-12),Database!$F:$AY,MATCH($C$1,Database!$F$1:$AY$1,),)))))/(((VLOOKUP(EDATE(B32,-12),Database!$F:$AY,MATCH($C$1,Database!$F$1:$AY$1,),))))</f>
        <v/>
      </c>
      <c r="D32" s="13">
        <f>((((VLOOKUP(B32,Database!$F:$AY,MATCH($D$1,Database!$F$1:$AY$1,),))))-(((VLOOKUP(EDATE(B32,-12),Database!$F:$AY,MATCH($D$1,Database!$F$1:$AY$1,),)))))/(((VLOOKUP(EDATE(B32,-12),Database!$F:$AY,MATCH($D$1,Database!$F$1:$AY$1,),))))</f>
        <v/>
      </c>
      <c r="E32" s="13">
        <f>((((VLOOKUP(B32,Database!$F:$AY,MATCH($E$1,Database!$F$1:$AY$1,),))))-(((VLOOKUP(EDATE(B32,-12),Database!$F:$AY,MATCH($E$1,Database!$F$1:$AY$1,),)))))/(((VLOOKUP(EDATE(B32,-12),Database!$F:$AY,MATCH($E$1,Database!$F$1:$AY$1,),))))</f>
        <v/>
      </c>
      <c r="F32" s="13">
        <f>((((VLOOKUP(B32,Database!$F:$AY,MATCH($F$1,Database!$F$1:$AY$1,),))))-(((VLOOKUP(EDATE(B32,-12),Database!$F:$AY,MATCH($F$1,Database!$F$1:$AY$1,),)))))/(((VLOOKUP(EDATE(B32,-12),Database!$F:$AY,MATCH($F$1,Database!$F$1:$AY$1,),))))</f>
        <v/>
      </c>
      <c r="G32" s="13">
        <f>((((VLOOKUP(B32,Database!$F:$AY,MATCH($G$1,Database!$F$1:$AY$1,),))))-(((VLOOKUP(EDATE(B32,-12),Database!$F:$AY,MATCH($G$1,Database!$F$1:$AY$1,),)))))/(((VLOOKUP(EDATE(B32,-12),Database!$F:$AY,MATCH($G$1,Database!$F$1:$AY$1,),))))</f>
        <v/>
      </c>
      <c r="H32" s="13">
        <f>((((VLOOKUP(B32,Database!$F:$AY,MATCH($H$1,Database!$F$1:$AY$1,),))))-(((VLOOKUP(EDATE(B32,-12),Database!$F:$AY,MATCH($H$1,Database!$F$1:$AY$1,),)))))/(((VLOOKUP(EDATE(B32,-12),Database!$F:$AY,MATCH($H$1,Database!$F$1:$AY$1,),))))</f>
        <v/>
      </c>
      <c r="I32" s="13">
        <f>((((VLOOKUP(B32,Database!$F:$AY,MATCH($I$1,Database!$F$1:$AY$1,),))))-(((VLOOKUP(EDATE(B32,-12),Database!$F:$AY,MATCH($I$1,Database!$F$1:$AY$1,),)))))/(((VLOOKUP(EDATE(B32,-12),Database!$F:$AY,MATCH($I$1,Database!$F$1:$AY$1,),))))</f>
        <v/>
      </c>
      <c r="J32" s="13">
        <f>((((VLOOKUP(B32,Database!$F:$AY,MATCH($J$1,Database!$F$1:$AY$1,),))))-(((VLOOKUP(EDATE(B32,-12),Database!$F:$AY,MATCH($J$1,Database!$F$1:$AY$1,),)))))/(((VLOOKUP(EDATE(B32,-12),Database!$F:$AY,MATCH($J$1,Database!$F$1:$AY$1,),))))</f>
        <v/>
      </c>
      <c r="K32" s="13">
        <f>((((VLOOKUP(B32,Database!$F:$AY,MATCH($K$1,Database!$F$1:$AY$1,),))))-(((VLOOKUP(EDATE(B32,-12),Database!$F:$AY,MATCH($K$1,Database!$F$1:$AY$1,),)))))/(((VLOOKUP(EDATE(B32,-12),Database!$F:$AY,MATCH($K$1,Database!$F$1:$AY$1,),))))</f>
        <v/>
      </c>
      <c r="L32" s="13">
        <f>((((VLOOKUP(B32,Database!$F:$AY,MATCH($L$1,Database!$F$1:$AY$1,),))))-(((VLOOKUP(EDATE(B32,-12),Database!$F:$AY,MATCH($L$1,Database!$F$1:$AY$1,),)))))/(((VLOOKUP(EDATE(B32,-12),Database!$F:$AY,MATCH($L$1,Database!$F$1:$AY$1,),))))</f>
        <v/>
      </c>
      <c r="M32" s="13">
        <f>((((VLOOKUP(B32,Database!$F:$AY,MATCH($M$1,Database!$F$1:$AY$1,),))))-(((VLOOKUP(EDATE(B32,-12),Database!$F:$AY,MATCH($M$1,Database!$F$1:$AY$1,),)))))/(((VLOOKUP(EDATE(B32,-12),Database!$F:$AY,MATCH($M$1,Database!$F$1:$AY$1,),))))</f>
        <v/>
      </c>
      <c r="N32" s="13">
        <f>((((VLOOKUP(B32,Database!$F:$AY,MATCH($N$1,Database!$F$1:$AY$1,),))))-(((VLOOKUP(EDATE(B32,-12),Database!$F:$AY,MATCH($N$1,Database!$F$1:$AY$1,),)))))/(((VLOOKUP(EDATE(B32,-12),Database!$F:$AY,MATCH($N$1,Database!$F$1:$AY$1,),))))</f>
        <v/>
      </c>
      <c r="O32" s="13">
        <f>((((VLOOKUP(B32,Database!$F:$AY,MATCH($O$1,Database!$F$1:$AY$1,),))))-(((VLOOKUP(EDATE(B32,-12),Database!$F:$AY,MATCH($O$1,Database!$F$1:$AY$1,),)))))/(((VLOOKUP(EDATE(B32,-12),Database!$F:$AY,MATCH($O$1,Database!$F$1:$AY$1,),))))</f>
        <v/>
      </c>
      <c r="P32" s="13">
        <f>((((VLOOKUP(B32,Database!$F:$AY,MATCH($P$1,Database!$F$1:$AY$1,),))))-(((VLOOKUP(EDATE(B32,-12),Database!$F:$AY,MATCH($P$1,Database!$F$1:$AY$1,),)))))/(((VLOOKUP(EDATE(B32,-12),Database!$F:$AY,MATCH($P$1,Database!$F$1:$AY$1,),))))</f>
        <v/>
      </c>
      <c r="Q32" s="13">
        <f>((((VLOOKUP(B32,Database!$F:$AY,MATCH($Q$1,Database!$F$1:$AY$1,),))))-(((VLOOKUP(EDATE(B32,-12),Database!$F:$AY,MATCH($Q$1,Database!$F$1:$AY$1,),)))))/(((VLOOKUP(EDATE(B32,-12),Database!$F:$AY,MATCH($Q$1,Database!$F$1:$AY$1,),))))</f>
        <v/>
      </c>
      <c r="R32" s="13">
        <f>((((VLOOKUP(B32,Database!$F:$AY,MATCH($R$1,Database!$F$1:$AY$1,),))))-(((VLOOKUP(EDATE(B32,-12),Database!$F:$AY,MATCH($R$1,Database!$F$1:$AY$1,),)))))/(((VLOOKUP(EDATE(B32,-12),Database!$F:$AY,MATCH($R$1,Database!$F$1:$AY$1,),))))</f>
        <v/>
      </c>
      <c r="S32" s="13">
        <f>((((VLOOKUP(B32,Database!$F:$AY,MATCH($S$1,Database!$F$1:$AY$1,),))))-(((VLOOKUP(EDATE(B32,-12),Database!$F:$AY,MATCH($S$1,Database!$F$1:$AY$1,),)))))/(((VLOOKUP(EDATE(B32,-12),Database!$F:$AY,MATCH($S$1,Database!$F$1:$AY$1,),))))</f>
        <v/>
      </c>
      <c r="T32" s="13">
        <f>((((VLOOKUP(B32,Database!$F:$AY,MATCH($T$1,Database!$F$1:$AY$1,),))))-(((VLOOKUP(EDATE(B32,-12),Database!$F:$AY,MATCH($T$1,Database!$F$1:$AY$1,),)))))/(((VLOOKUP(EDATE(B32,-12),Database!$F:$AY,MATCH($T$1,Database!$F$1:$AY$1,),))))</f>
        <v/>
      </c>
      <c r="U32" s="13">
        <f>((((VLOOKUP(B32,Database!$F:$AY,MATCH($U$1,Database!$F$1:$AY$1,),))))-(((VLOOKUP(EDATE(B32,-12),Database!$F:$AY,MATCH($U$1,Database!$F$1:$AY$1,),)))))/(((VLOOKUP(EDATE(B32,-12),Database!$F:$AY,MATCH($U$1,Database!$F$1:$AY$1,),))))</f>
        <v/>
      </c>
      <c r="V32" s="13">
        <f>((((VLOOKUP(B32,Database!$F:$AY,MATCH($V$1,Database!$F$1:$AY$1,),))))-(((VLOOKUP(EDATE(B32,-12),Database!$F:$AY,MATCH($V$1,Database!$F$1:$AY$1,),)))))/(((VLOOKUP(EDATE(B32,-12),Database!$F:$AY,MATCH($V$1,Database!$F$1:$AY$1,),))))</f>
        <v/>
      </c>
    </row>
    <row r="33" customFormat="1" s="100">
      <c r="A33" s="45" t="n"/>
      <c r="B33" s="46" t="n">
        <v>33147</v>
      </c>
      <c r="C33" s="13">
        <f>((((VLOOKUP(B33,Database!$F:$AY,MATCH($C$1,Database!$F$1:$AY$1,),))))-(((VLOOKUP(EDATE(B33,-12),Database!$F:$AY,MATCH($C$1,Database!$F$1:$AY$1,),)))))/(((VLOOKUP(EDATE(B33,-12),Database!$F:$AY,MATCH($C$1,Database!$F$1:$AY$1,),))))</f>
        <v/>
      </c>
      <c r="D33" s="13">
        <f>((((VLOOKUP(B33,Database!$F:$AY,MATCH($D$1,Database!$F$1:$AY$1,),))))-(((VLOOKUP(EDATE(B33,-12),Database!$F:$AY,MATCH($D$1,Database!$F$1:$AY$1,),)))))/(((VLOOKUP(EDATE(B33,-12),Database!$F:$AY,MATCH($D$1,Database!$F$1:$AY$1,),))))</f>
        <v/>
      </c>
      <c r="E33" s="13">
        <f>((((VLOOKUP(B33,Database!$F:$AY,MATCH($E$1,Database!$F$1:$AY$1,),))))-(((VLOOKUP(EDATE(B33,-12),Database!$F:$AY,MATCH($E$1,Database!$F$1:$AY$1,),)))))/(((VLOOKUP(EDATE(B33,-12),Database!$F:$AY,MATCH($E$1,Database!$F$1:$AY$1,),))))</f>
        <v/>
      </c>
      <c r="F33" s="13">
        <f>((((VLOOKUP(B33,Database!$F:$AY,MATCH($F$1,Database!$F$1:$AY$1,),))))-(((VLOOKUP(EDATE(B33,-12),Database!$F:$AY,MATCH($F$1,Database!$F$1:$AY$1,),)))))/(((VLOOKUP(EDATE(B33,-12),Database!$F:$AY,MATCH($F$1,Database!$F$1:$AY$1,),))))</f>
        <v/>
      </c>
      <c r="G33" s="13">
        <f>((((VLOOKUP(B33,Database!$F:$AY,MATCH($G$1,Database!$F$1:$AY$1,),))))-(((VLOOKUP(EDATE(B33,-12),Database!$F:$AY,MATCH($G$1,Database!$F$1:$AY$1,),)))))/(((VLOOKUP(EDATE(B33,-12),Database!$F:$AY,MATCH($G$1,Database!$F$1:$AY$1,),))))</f>
        <v/>
      </c>
      <c r="H33" s="13">
        <f>((((VLOOKUP(B33,Database!$F:$AY,MATCH($H$1,Database!$F$1:$AY$1,),))))-(((VLOOKUP(EDATE(B33,-12),Database!$F:$AY,MATCH($H$1,Database!$F$1:$AY$1,),)))))/(((VLOOKUP(EDATE(B33,-12),Database!$F:$AY,MATCH($H$1,Database!$F$1:$AY$1,),))))</f>
        <v/>
      </c>
      <c r="I33" s="13">
        <f>((((VLOOKUP(B33,Database!$F:$AY,MATCH($I$1,Database!$F$1:$AY$1,),))))-(((VLOOKUP(EDATE(B33,-12),Database!$F:$AY,MATCH($I$1,Database!$F$1:$AY$1,),)))))/(((VLOOKUP(EDATE(B33,-12),Database!$F:$AY,MATCH($I$1,Database!$F$1:$AY$1,),))))</f>
        <v/>
      </c>
      <c r="J33" s="13">
        <f>((((VLOOKUP(B33,Database!$F:$AY,MATCH($J$1,Database!$F$1:$AY$1,),))))-(((VLOOKUP(EDATE(B33,-12),Database!$F:$AY,MATCH($J$1,Database!$F$1:$AY$1,),)))))/(((VLOOKUP(EDATE(B33,-12),Database!$F:$AY,MATCH($J$1,Database!$F$1:$AY$1,),))))</f>
        <v/>
      </c>
      <c r="K33" s="13">
        <f>((((VLOOKUP(B33,Database!$F:$AY,MATCH($K$1,Database!$F$1:$AY$1,),))))-(((VLOOKUP(EDATE(B33,-12),Database!$F:$AY,MATCH($K$1,Database!$F$1:$AY$1,),)))))/(((VLOOKUP(EDATE(B33,-12),Database!$F:$AY,MATCH($K$1,Database!$F$1:$AY$1,),))))</f>
        <v/>
      </c>
      <c r="L33" s="13">
        <f>((((VLOOKUP(B33,Database!$F:$AY,MATCH($L$1,Database!$F$1:$AY$1,),))))-(((VLOOKUP(EDATE(B33,-12),Database!$F:$AY,MATCH($L$1,Database!$F$1:$AY$1,),)))))/(((VLOOKUP(EDATE(B33,-12),Database!$F:$AY,MATCH($L$1,Database!$F$1:$AY$1,),))))</f>
        <v/>
      </c>
      <c r="M33" s="13">
        <f>((((VLOOKUP(B33,Database!$F:$AY,MATCH($M$1,Database!$F$1:$AY$1,),))))-(((VLOOKUP(EDATE(B33,-12),Database!$F:$AY,MATCH($M$1,Database!$F$1:$AY$1,),)))))/(((VLOOKUP(EDATE(B33,-12),Database!$F:$AY,MATCH($M$1,Database!$F$1:$AY$1,),))))</f>
        <v/>
      </c>
      <c r="N33" s="13">
        <f>((((VLOOKUP(B33,Database!$F:$AY,MATCH($N$1,Database!$F$1:$AY$1,),))))-(((VLOOKUP(EDATE(B33,-12),Database!$F:$AY,MATCH($N$1,Database!$F$1:$AY$1,),)))))/(((VLOOKUP(EDATE(B33,-12),Database!$F:$AY,MATCH($N$1,Database!$F$1:$AY$1,),))))</f>
        <v/>
      </c>
      <c r="O33" s="13">
        <f>((((VLOOKUP(B33,Database!$F:$AY,MATCH($O$1,Database!$F$1:$AY$1,),))))-(((VLOOKUP(EDATE(B33,-12),Database!$F:$AY,MATCH($O$1,Database!$F$1:$AY$1,),)))))/(((VLOOKUP(EDATE(B33,-12),Database!$F:$AY,MATCH($O$1,Database!$F$1:$AY$1,),))))</f>
        <v/>
      </c>
      <c r="P33" s="13">
        <f>((((VLOOKUP(B33,Database!$F:$AY,MATCH($P$1,Database!$F$1:$AY$1,),))))-(((VLOOKUP(EDATE(B33,-12),Database!$F:$AY,MATCH($P$1,Database!$F$1:$AY$1,),)))))/(((VLOOKUP(EDATE(B33,-12),Database!$F:$AY,MATCH($P$1,Database!$F$1:$AY$1,),))))</f>
        <v/>
      </c>
      <c r="Q33" s="13">
        <f>((((VLOOKUP(B33,Database!$F:$AY,MATCH($Q$1,Database!$F$1:$AY$1,),))))-(((VLOOKUP(EDATE(B33,-12),Database!$F:$AY,MATCH($Q$1,Database!$F$1:$AY$1,),)))))/(((VLOOKUP(EDATE(B33,-12),Database!$F:$AY,MATCH($Q$1,Database!$F$1:$AY$1,),))))</f>
        <v/>
      </c>
      <c r="R33" s="13">
        <f>((((VLOOKUP(B33,Database!$F:$AY,MATCH($R$1,Database!$F$1:$AY$1,),))))-(((VLOOKUP(EDATE(B33,-12),Database!$F:$AY,MATCH($R$1,Database!$F$1:$AY$1,),)))))/(((VLOOKUP(EDATE(B33,-12),Database!$F:$AY,MATCH($R$1,Database!$F$1:$AY$1,),))))</f>
        <v/>
      </c>
      <c r="S33" s="13">
        <f>((((VLOOKUP(B33,Database!$F:$AY,MATCH($S$1,Database!$F$1:$AY$1,),))))-(((VLOOKUP(EDATE(B33,-12),Database!$F:$AY,MATCH($S$1,Database!$F$1:$AY$1,),)))))/(((VLOOKUP(EDATE(B33,-12),Database!$F:$AY,MATCH($S$1,Database!$F$1:$AY$1,),))))</f>
        <v/>
      </c>
      <c r="T33" s="13">
        <f>((((VLOOKUP(B33,Database!$F:$AY,MATCH($T$1,Database!$F$1:$AY$1,),))))-(((VLOOKUP(EDATE(B33,-12),Database!$F:$AY,MATCH($T$1,Database!$F$1:$AY$1,),)))))/(((VLOOKUP(EDATE(B33,-12),Database!$F:$AY,MATCH($T$1,Database!$F$1:$AY$1,),))))</f>
        <v/>
      </c>
      <c r="U33" s="13">
        <f>((((VLOOKUP(B33,Database!$F:$AY,MATCH($U$1,Database!$F$1:$AY$1,),))))-(((VLOOKUP(EDATE(B33,-12),Database!$F:$AY,MATCH($U$1,Database!$F$1:$AY$1,),)))))/(((VLOOKUP(EDATE(B33,-12),Database!$F:$AY,MATCH($U$1,Database!$F$1:$AY$1,),))))</f>
        <v/>
      </c>
      <c r="V33" s="13">
        <f>((((VLOOKUP(B33,Database!$F:$AY,MATCH($V$1,Database!$F$1:$AY$1,),))))-(((VLOOKUP(EDATE(B33,-12),Database!$F:$AY,MATCH($V$1,Database!$F$1:$AY$1,),)))))/(((VLOOKUP(EDATE(B33,-12),Database!$F:$AY,MATCH($V$1,Database!$F$1:$AY$1,),))))</f>
        <v/>
      </c>
    </row>
    <row r="34" customFormat="1" s="100">
      <c r="A34" s="45" t="n"/>
      <c r="B34" s="46" t="n">
        <v>33178</v>
      </c>
      <c r="C34" s="13">
        <f>((((VLOOKUP(B34,Database!$F:$AY,MATCH($C$1,Database!$F$1:$AY$1,),))))-(((VLOOKUP(EDATE(B34,-12),Database!$F:$AY,MATCH($C$1,Database!$F$1:$AY$1,),)))))/(((VLOOKUP(EDATE(B34,-12),Database!$F:$AY,MATCH($C$1,Database!$F$1:$AY$1,),))))</f>
        <v/>
      </c>
      <c r="D34" s="13">
        <f>((((VLOOKUP(B34,Database!$F:$AY,MATCH($D$1,Database!$F$1:$AY$1,),))))-(((VLOOKUP(EDATE(B34,-12),Database!$F:$AY,MATCH($D$1,Database!$F$1:$AY$1,),)))))/(((VLOOKUP(EDATE(B34,-12),Database!$F:$AY,MATCH($D$1,Database!$F$1:$AY$1,),))))</f>
        <v/>
      </c>
      <c r="E34" s="13">
        <f>((((VLOOKUP(B34,Database!$F:$AY,MATCH($E$1,Database!$F$1:$AY$1,),))))-(((VLOOKUP(EDATE(B34,-12),Database!$F:$AY,MATCH($E$1,Database!$F$1:$AY$1,),)))))/(((VLOOKUP(EDATE(B34,-12),Database!$F:$AY,MATCH($E$1,Database!$F$1:$AY$1,),))))</f>
        <v/>
      </c>
      <c r="F34" s="13">
        <f>((((VLOOKUP(B34,Database!$F:$AY,MATCH($F$1,Database!$F$1:$AY$1,),))))-(((VLOOKUP(EDATE(B34,-12),Database!$F:$AY,MATCH($F$1,Database!$F$1:$AY$1,),)))))/(((VLOOKUP(EDATE(B34,-12),Database!$F:$AY,MATCH($F$1,Database!$F$1:$AY$1,),))))</f>
        <v/>
      </c>
      <c r="G34" s="13">
        <f>((((VLOOKUP(B34,Database!$F:$AY,MATCH($G$1,Database!$F$1:$AY$1,),))))-(((VLOOKUP(EDATE(B34,-12),Database!$F:$AY,MATCH($G$1,Database!$F$1:$AY$1,),)))))/(((VLOOKUP(EDATE(B34,-12),Database!$F:$AY,MATCH($G$1,Database!$F$1:$AY$1,),))))</f>
        <v/>
      </c>
      <c r="H34" s="13">
        <f>((((VLOOKUP(B34,Database!$F:$AY,MATCH($H$1,Database!$F$1:$AY$1,),))))-(((VLOOKUP(EDATE(B34,-12),Database!$F:$AY,MATCH($H$1,Database!$F$1:$AY$1,),)))))/(((VLOOKUP(EDATE(B34,-12),Database!$F:$AY,MATCH($H$1,Database!$F$1:$AY$1,),))))</f>
        <v/>
      </c>
      <c r="I34" s="13">
        <f>((((VLOOKUP(B34,Database!$F:$AY,MATCH($I$1,Database!$F$1:$AY$1,),))))-(((VLOOKUP(EDATE(B34,-12),Database!$F:$AY,MATCH($I$1,Database!$F$1:$AY$1,),)))))/(((VLOOKUP(EDATE(B34,-12),Database!$F:$AY,MATCH($I$1,Database!$F$1:$AY$1,),))))</f>
        <v/>
      </c>
      <c r="J34" s="13">
        <f>((((VLOOKUP(B34,Database!$F:$AY,MATCH($J$1,Database!$F$1:$AY$1,),))))-(((VLOOKUP(EDATE(B34,-12),Database!$F:$AY,MATCH($J$1,Database!$F$1:$AY$1,),)))))/(((VLOOKUP(EDATE(B34,-12),Database!$F:$AY,MATCH($J$1,Database!$F$1:$AY$1,),))))</f>
        <v/>
      </c>
      <c r="K34" s="13">
        <f>((((VLOOKUP(B34,Database!$F:$AY,MATCH($K$1,Database!$F$1:$AY$1,),))))-(((VLOOKUP(EDATE(B34,-12),Database!$F:$AY,MATCH($K$1,Database!$F$1:$AY$1,),)))))/(((VLOOKUP(EDATE(B34,-12),Database!$F:$AY,MATCH($K$1,Database!$F$1:$AY$1,),))))</f>
        <v/>
      </c>
      <c r="L34" s="13">
        <f>((((VLOOKUP(B34,Database!$F:$AY,MATCH($L$1,Database!$F$1:$AY$1,),))))-(((VLOOKUP(EDATE(B34,-12),Database!$F:$AY,MATCH($L$1,Database!$F$1:$AY$1,),)))))/(((VLOOKUP(EDATE(B34,-12),Database!$F:$AY,MATCH($L$1,Database!$F$1:$AY$1,),))))</f>
        <v/>
      </c>
      <c r="M34" s="13">
        <f>((((VLOOKUP(B34,Database!$F:$AY,MATCH($M$1,Database!$F$1:$AY$1,),))))-(((VLOOKUP(EDATE(B34,-12),Database!$F:$AY,MATCH($M$1,Database!$F$1:$AY$1,),)))))/(((VLOOKUP(EDATE(B34,-12),Database!$F:$AY,MATCH($M$1,Database!$F$1:$AY$1,),))))</f>
        <v/>
      </c>
      <c r="N34" s="13">
        <f>((((VLOOKUP(B34,Database!$F:$AY,MATCH($N$1,Database!$F$1:$AY$1,),))))-(((VLOOKUP(EDATE(B34,-12),Database!$F:$AY,MATCH($N$1,Database!$F$1:$AY$1,),)))))/(((VLOOKUP(EDATE(B34,-12),Database!$F:$AY,MATCH($N$1,Database!$F$1:$AY$1,),))))</f>
        <v/>
      </c>
      <c r="O34" s="13">
        <f>((((VLOOKUP(B34,Database!$F:$AY,MATCH($O$1,Database!$F$1:$AY$1,),))))-(((VLOOKUP(EDATE(B34,-12),Database!$F:$AY,MATCH($O$1,Database!$F$1:$AY$1,),)))))/(((VLOOKUP(EDATE(B34,-12),Database!$F:$AY,MATCH($O$1,Database!$F$1:$AY$1,),))))</f>
        <v/>
      </c>
      <c r="P34" s="13">
        <f>((((VLOOKUP(B34,Database!$F:$AY,MATCH($P$1,Database!$F$1:$AY$1,),))))-(((VLOOKUP(EDATE(B34,-12),Database!$F:$AY,MATCH($P$1,Database!$F$1:$AY$1,),)))))/(((VLOOKUP(EDATE(B34,-12),Database!$F:$AY,MATCH($P$1,Database!$F$1:$AY$1,),))))</f>
        <v/>
      </c>
      <c r="Q34" s="13">
        <f>((((VLOOKUP(B34,Database!$F:$AY,MATCH($Q$1,Database!$F$1:$AY$1,),))))-(((VLOOKUP(EDATE(B34,-12),Database!$F:$AY,MATCH($Q$1,Database!$F$1:$AY$1,),)))))/(((VLOOKUP(EDATE(B34,-12),Database!$F:$AY,MATCH($Q$1,Database!$F$1:$AY$1,),))))</f>
        <v/>
      </c>
      <c r="R34" s="13">
        <f>((((VLOOKUP(B34,Database!$F:$AY,MATCH($R$1,Database!$F$1:$AY$1,),))))-(((VLOOKUP(EDATE(B34,-12),Database!$F:$AY,MATCH($R$1,Database!$F$1:$AY$1,),)))))/(((VLOOKUP(EDATE(B34,-12),Database!$F:$AY,MATCH($R$1,Database!$F$1:$AY$1,),))))</f>
        <v/>
      </c>
      <c r="S34" s="13">
        <f>((((VLOOKUP(B34,Database!$F:$AY,MATCH($S$1,Database!$F$1:$AY$1,),))))-(((VLOOKUP(EDATE(B34,-12),Database!$F:$AY,MATCH($S$1,Database!$F$1:$AY$1,),)))))/(((VLOOKUP(EDATE(B34,-12),Database!$F:$AY,MATCH($S$1,Database!$F$1:$AY$1,),))))</f>
        <v/>
      </c>
      <c r="T34" s="13">
        <f>((((VLOOKUP(B34,Database!$F:$AY,MATCH($T$1,Database!$F$1:$AY$1,),))))-(((VLOOKUP(EDATE(B34,-12),Database!$F:$AY,MATCH($T$1,Database!$F$1:$AY$1,),)))))/(((VLOOKUP(EDATE(B34,-12),Database!$F:$AY,MATCH($T$1,Database!$F$1:$AY$1,),))))</f>
        <v/>
      </c>
      <c r="U34" s="13">
        <f>((((VLOOKUP(B34,Database!$F:$AY,MATCH($U$1,Database!$F$1:$AY$1,),))))-(((VLOOKUP(EDATE(B34,-12),Database!$F:$AY,MATCH($U$1,Database!$F$1:$AY$1,),)))))/(((VLOOKUP(EDATE(B34,-12),Database!$F:$AY,MATCH($U$1,Database!$F$1:$AY$1,),))))</f>
        <v/>
      </c>
      <c r="V34" s="13">
        <f>((((VLOOKUP(B34,Database!$F:$AY,MATCH($V$1,Database!$F$1:$AY$1,),))))-(((VLOOKUP(EDATE(B34,-12),Database!$F:$AY,MATCH($V$1,Database!$F$1:$AY$1,),)))))/(((VLOOKUP(EDATE(B34,-12),Database!$F:$AY,MATCH($V$1,Database!$F$1:$AY$1,),))))</f>
        <v/>
      </c>
    </row>
    <row r="35" customFormat="1" s="100">
      <c r="A35" s="45" t="n"/>
      <c r="B35" s="46" t="n">
        <v>33208</v>
      </c>
      <c r="C35" s="13">
        <f>((((VLOOKUP(B35,Database!$F:$AY,MATCH($C$1,Database!$F$1:$AY$1,),))))-(((VLOOKUP(EDATE(B35,-12),Database!$F:$AY,MATCH($C$1,Database!$F$1:$AY$1,),)))))/(((VLOOKUP(EDATE(B35,-12),Database!$F:$AY,MATCH($C$1,Database!$F$1:$AY$1,),))))</f>
        <v/>
      </c>
      <c r="D35" s="13">
        <f>((((VLOOKUP(B35,Database!$F:$AY,MATCH($D$1,Database!$F$1:$AY$1,),))))-(((VLOOKUP(EDATE(B35,-12),Database!$F:$AY,MATCH($D$1,Database!$F$1:$AY$1,),)))))/(((VLOOKUP(EDATE(B35,-12),Database!$F:$AY,MATCH($D$1,Database!$F$1:$AY$1,),))))</f>
        <v/>
      </c>
      <c r="E35" s="13">
        <f>((((VLOOKUP(B35,Database!$F:$AY,MATCH($E$1,Database!$F$1:$AY$1,),))))-(((VLOOKUP(EDATE(B35,-12),Database!$F:$AY,MATCH($E$1,Database!$F$1:$AY$1,),)))))/(((VLOOKUP(EDATE(B35,-12),Database!$F:$AY,MATCH($E$1,Database!$F$1:$AY$1,),))))</f>
        <v/>
      </c>
      <c r="F35" s="13">
        <f>((((VLOOKUP(B35,Database!$F:$AY,MATCH($F$1,Database!$F$1:$AY$1,),))))-(((VLOOKUP(EDATE(B35,-12),Database!$F:$AY,MATCH($F$1,Database!$F$1:$AY$1,),)))))/(((VLOOKUP(EDATE(B35,-12),Database!$F:$AY,MATCH($F$1,Database!$F$1:$AY$1,),))))</f>
        <v/>
      </c>
      <c r="G35" s="13">
        <f>((((VLOOKUP(B35,Database!$F:$AY,MATCH($G$1,Database!$F$1:$AY$1,),))))-(((VLOOKUP(EDATE(B35,-12),Database!$F:$AY,MATCH($G$1,Database!$F$1:$AY$1,),)))))/(((VLOOKUP(EDATE(B35,-12),Database!$F:$AY,MATCH($G$1,Database!$F$1:$AY$1,),))))</f>
        <v/>
      </c>
      <c r="H35" s="13">
        <f>((((VLOOKUP(B35,Database!$F:$AY,MATCH($H$1,Database!$F$1:$AY$1,),))))-(((VLOOKUP(EDATE(B35,-12),Database!$F:$AY,MATCH($H$1,Database!$F$1:$AY$1,),)))))/(((VLOOKUP(EDATE(B35,-12),Database!$F:$AY,MATCH($H$1,Database!$F$1:$AY$1,),))))</f>
        <v/>
      </c>
      <c r="I35" s="13">
        <f>((((VLOOKUP(B35,Database!$F:$AY,MATCH($I$1,Database!$F$1:$AY$1,),))))-(((VLOOKUP(EDATE(B35,-12),Database!$F:$AY,MATCH($I$1,Database!$F$1:$AY$1,),)))))/(((VLOOKUP(EDATE(B35,-12),Database!$F:$AY,MATCH($I$1,Database!$F$1:$AY$1,),))))</f>
        <v/>
      </c>
      <c r="J35" s="13">
        <f>((((VLOOKUP(B35,Database!$F:$AY,MATCH($J$1,Database!$F$1:$AY$1,),))))-(((VLOOKUP(EDATE(B35,-12),Database!$F:$AY,MATCH($J$1,Database!$F$1:$AY$1,),)))))/(((VLOOKUP(EDATE(B35,-12),Database!$F:$AY,MATCH($J$1,Database!$F$1:$AY$1,),))))</f>
        <v/>
      </c>
      <c r="K35" s="13">
        <f>((((VLOOKUP(B35,Database!$F:$AY,MATCH($K$1,Database!$F$1:$AY$1,),))))-(((VLOOKUP(EDATE(B35,-12),Database!$F:$AY,MATCH($K$1,Database!$F$1:$AY$1,),)))))/(((VLOOKUP(EDATE(B35,-12),Database!$F:$AY,MATCH($K$1,Database!$F$1:$AY$1,),))))</f>
        <v/>
      </c>
      <c r="L35" s="13">
        <f>((((VLOOKUP(B35,Database!$F:$AY,MATCH($L$1,Database!$F$1:$AY$1,),))))-(((VLOOKUP(EDATE(B35,-12),Database!$F:$AY,MATCH($L$1,Database!$F$1:$AY$1,),)))))/(((VLOOKUP(EDATE(B35,-12),Database!$F:$AY,MATCH($L$1,Database!$F$1:$AY$1,),))))</f>
        <v/>
      </c>
      <c r="M35" s="13">
        <f>((((VLOOKUP(B35,Database!$F:$AY,MATCH($M$1,Database!$F$1:$AY$1,),))))-(((VLOOKUP(EDATE(B35,-12),Database!$F:$AY,MATCH($M$1,Database!$F$1:$AY$1,),)))))/(((VLOOKUP(EDATE(B35,-12),Database!$F:$AY,MATCH($M$1,Database!$F$1:$AY$1,),))))</f>
        <v/>
      </c>
      <c r="N35" s="13">
        <f>((((VLOOKUP(B35,Database!$F:$AY,MATCH($N$1,Database!$F$1:$AY$1,),))))-(((VLOOKUP(EDATE(B35,-12),Database!$F:$AY,MATCH($N$1,Database!$F$1:$AY$1,),)))))/(((VLOOKUP(EDATE(B35,-12),Database!$F:$AY,MATCH($N$1,Database!$F$1:$AY$1,),))))</f>
        <v/>
      </c>
      <c r="O35" s="13">
        <f>((((VLOOKUP(B35,Database!$F:$AY,MATCH($O$1,Database!$F$1:$AY$1,),))))-(((VLOOKUP(EDATE(B35,-12),Database!$F:$AY,MATCH($O$1,Database!$F$1:$AY$1,),)))))/(((VLOOKUP(EDATE(B35,-12),Database!$F:$AY,MATCH($O$1,Database!$F$1:$AY$1,),))))</f>
        <v/>
      </c>
      <c r="P35" s="13">
        <f>((((VLOOKUP(B35,Database!$F:$AY,MATCH($P$1,Database!$F$1:$AY$1,),))))-(((VLOOKUP(EDATE(B35,-12),Database!$F:$AY,MATCH($P$1,Database!$F$1:$AY$1,),)))))/(((VLOOKUP(EDATE(B35,-12),Database!$F:$AY,MATCH($P$1,Database!$F$1:$AY$1,),))))</f>
        <v/>
      </c>
      <c r="Q35" s="13">
        <f>((((VLOOKUP(B35,Database!$F:$AY,MATCH($Q$1,Database!$F$1:$AY$1,),))))-(((VLOOKUP(EDATE(B35,-12),Database!$F:$AY,MATCH($Q$1,Database!$F$1:$AY$1,),)))))/(((VLOOKUP(EDATE(B35,-12),Database!$F:$AY,MATCH($Q$1,Database!$F$1:$AY$1,),))))</f>
        <v/>
      </c>
      <c r="R35" s="13">
        <f>((((VLOOKUP(B35,Database!$F:$AY,MATCH($R$1,Database!$F$1:$AY$1,),))))-(((VLOOKUP(EDATE(B35,-12),Database!$F:$AY,MATCH($R$1,Database!$F$1:$AY$1,),)))))/(((VLOOKUP(EDATE(B35,-12),Database!$F:$AY,MATCH($R$1,Database!$F$1:$AY$1,),))))</f>
        <v/>
      </c>
      <c r="S35" s="13">
        <f>((((VLOOKUP(B35,Database!$F:$AY,MATCH($S$1,Database!$F$1:$AY$1,),))))-(((VLOOKUP(EDATE(B35,-12),Database!$F:$AY,MATCH($S$1,Database!$F$1:$AY$1,),)))))/(((VLOOKUP(EDATE(B35,-12),Database!$F:$AY,MATCH($S$1,Database!$F$1:$AY$1,),))))</f>
        <v/>
      </c>
      <c r="T35" s="13">
        <f>((((VLOOKUP(B35,Database!$F:$AY,MATCH($T$1,Database!$F$1:$AY$1,),))))-(((VLOOKUP(EDATE(B35,-12),Database!$F:$AY,MATCH($T$1,Database!$F$1:$AY$1,),)))))/(((VLOOKUP(EDATE(B35,-12),Database!$F:$AY,MATCH($T$1,Database!$F$1:$AY$1,),))))</f>
        <v/>
      </c>
      <c r="U35" s="13">
        <f>((((VLOOKUP(B35,Database!$F:$AY,MATCH($U$1,Database!$F$1:$AY$1,),))))-(((VLOOKUP(EDATE(B35,-12),Database!$F:$AY,MATCH($U$1,Database!$F$1:$AY$1,),)))))/(((VLOOKUP(EDATE(B35,-12),Database!$F:$AY,MATCH($U$1,Database!$F$1:$AY$1,),))))</f>
        <v/>
      </c>
      <c r="V35" s="13">
        <f>((((VLOOKUP(B35,Database!$F:$AY,MATCH($V$1,Database!$F$1:$AY$1,),))))-(((VLOOKUP(EDATE(B35,-12),Database!$F:$AY,MATCH($V$1,Database!$F$1:$AY$1,),)))))/(((VLOOKUP(EDATE(B35,-12),Database!$F:$AY,MATCH($V$1,Database!$F$1:$AY$1,),))))</f>
        <v/>
      </c>
    </row>
    <row r="36" customFormat="1" s="100">
      <c r="A36" s="45" t="n"/>
      <c r="B36" s="46" t="n">
        <v>33239</v>
      </c>
      <c r="C36" s="13">
        <f>((((VLOOKUP(B36,Database!$F:$AY,MATCH($C$1,Database!$F$1:$AY$1,),))))-(((VLOOKUP(EDATE(B36,-12),Database!$F:$AY,MATCH($C$1,Database!$F$1:$AY$1,),)))))/(((VLOOKUP(EDATE(B36,-12),Database!$F:$AY,MATCH($C$1,Database!$F$1:$AY$1,),))))</f>
        <v/>
      </c>
      <c r="D36" s="13">
        <f>((((VLOOKUP(B36,Database!$F:$AY,MATCH($D$1,Database!$F$1:$AY$1,),))))-(((VLOOKUP(EDATE(B36,-12),Database!$F:$AY,MATCH($D$1,Database!$F$1:$AY$1,),)))))/(((VLOOKUP(EDATE(B36,-12),Database!$F:$AY,MATCH($D$1,Database!$F$1:$AY$1,),))))</f>
        <v/>
      </c>
      <c r="E36" s="13">
        <f>((((VLOOKUP(B36,Database!$F:$AY,MATCH($E$1,Database!$F$1:$AY$1,),))))-(((VLOOKUP(EDATE(B36,-12),Database!$F:$AY,MATCH($E$1,Database!$F$1:$AY$1,),)))))/(((VLOOKUP(EDATE(B36,-12),Database!$F:$AY,MATCH($E$1,Database!$F$1:$AY$1,),))))</f>
        <v/>
      </c>
      <c r="F36" s="13">
        <f>((((VLOOKUP(B36,Database!$F:$AY,MATCH($F$1,Database!$F$1:$AY$1,),))))-(((VLOOKUP(EDATE(B36,-12),Database!$F:$AY,MATCH($F$1,Database!$F$1:$AY$1,),)))))/(((VLOOKUP(EDATE(B36,-12),Database!$F:$AY,MATCH($F$1,Database!$F$1:$AY$1,),))))</f>
        <v/>
      </c>
      <c r="G36" s="13">
        <f>((((VLOOKUP(B36,Database!$F:$AY,MATCH($G$1,Database!$F$1:$AY$1,),))))-(((VLOOKUP(EDATE(B36,-12),Database!$F:$AY,MATCH($G$1,Database!$F$1:$AY$1,),)))))/(((VLOOKUP(EDATE(B36,-12),Database!$F:$AY,MATCH($G$1,Database!$F$1:$AY$1,),))))</f>
        <v/>
      </c>
      <c r="H36" s="13">
        <f>((((VLOOKUP(B36,Database!$F:$AY,MATCH($H$1,Database!$F$1:$AY$1,),))))-(((VLOOKUP(EDATE(B36,-12),Database!$F:$AY,MATCH($H$1,Database!$F$1:$AY$1,),)))))/(((VLOOKUP(EDATE(B36,-12),Database!$F:$AY,MATCH($H$1,Database!$F$1:$AY$1,),))))</f>
        <v/>
      </c>
      <c r="I36" s="13">
        <f>((((VLOOKUP(B36,Database!$F:$AY,MATCH($I$1,Database!$F$1:$AY$1,),))))-(((VLOOKUP(EDATE(B36,-12),Database!$F:$AY,MATCH($I$1,Database!$F$1:$AY$1,),)))))/(((VLOOKUP(EDATE(B36,-12),Database!$F:$AY,MATCH($I$1,Database!$F$1:$AY$1,),))))</f>
        <v/>
      </c>
      <c r="J36" s="13">
        <f>((((VLOOKUP(B36,Database!$F:$AY,MATCH($J$1,Database!$F$1:$AY$1,),))))-(((VLOOKUP(EDATE(B36,-12),Database!$F:$AY,MATCH($J$1,Database!$F$1:$AY$1,),)))))/(((VLOOKUP(EDATE(B36,-12),Database!$F:$AY,MATCH($J$1,Database!$F$1:$AY$1,),))))</f>
        <v/>
      </c>
      <c r="K36" s="13">
        <f>((((VLOOKUP(B36,Database!$F:$AY,MATCH($K$1,Database!$F$1:$AY$1,),))))-(((VLOOKUP(EDATE(B36,-12),Database!$F:$AY,MATCH($K$1,Database!$F$1:$AY$1,),)))))/(((VLOOKUP(EDATE(B36,-12),Database!$F:$AY,MATCH($K$1,Database!$F$1:$AY$1,),))))</f>
        <v/>
      </c>
      <c r="L36" s="13">
        <f>((((VLOOKUP(B36,Database!$F:$AY,MATCH($L$1,Database!$F$1:$AY$1,),))))-(((VLOOKUP(EDATE(B36,-12),Database!$F:$AY,MATCH($L$1,Database!$F$1:$AY$1,),)))))/(((VLOOKUP(EDATE(B36,-12),Database!$F:$AY,MATCH($L$1,Database!$F$1:$AY$1,),))))</f>
        <v/>
      </c>
      <c r="M36" s="13">
        <f>((((VLOOKUP(B36,Database!$F:$AY,MATCH($M$1,Database!$F$1:$AY$1,),))))-(((VLOOKUP(EDATE(B36,-12),Database!$F:$AY,MATCH($M$1,Database!$F$1:$AY$1,),)))))/(((VLOOKUP(EDATE(B36,-12),Database!$F:$AY,MATCH($M$1,Database!$F$1:$AY$1,),))))</f>
        <v/>
      </c>
      <c r="N36" s="13">
        <f>((((VLOOKUP(B36,Database!$F:$AY,MATCH($N$1,Database!$F$1:$AY$1,),))))-(((VLOOKUP(EDATE(B36,-12),Database!$F:$AY,MATCH($N$1,Database!$F$1:$AY$1,),)))))/(((VLOOKUP(EDATE(B36,-12),Database!$F:$AY,MATCH($N$1,Database!$F$1:$AY$1,),))))</f>
        <v/>
      </c>
      <c r="O36" s="13">
        <f>((((VLOOKUP(B36,Database!$F:$AY,MATCH($O$1,Database!$F$1:$AY$1,),))))-(((VLOOKUP(EDATE(B36,-12),Database!$F:$AY,MATCH($O$1,Database!$F$1:$AY$1,),)))))/(((VLOOKUP(EDATE(B36,-12),Database!$F:$AY,MATCH($O$1,Database!$F$1:$AY$1,),))))</f>
        <v/>
      </c>
      <c r="P36" s="13">
        <f>((((VLOOKUP(B36,Database!$F:$AY,MATCH($P$1,Database!$F$1:$AY$1,),))))-(((VLOOKUP(EDATE(B36,-12),Database!$F:$AY,MATCH($P$1,Database!$F$1:$AY$1,),)))))/(((VLOOKUP(EDATE(B36,-12),Database!$F:$AY,MATCH($P$1,Database!$F$1:$AY$1,),))))</f>
        <v/>
      </c>
      <c r="Q36" s="13">
        <f>((((VLOOKUP(B36,Database!$F:$AY,MATCH($Q$1,Database!$F$1:$AY$1,),))))-(((VLOOKUP(EDATE(B36,-12),Database!$F:$AY,MATCH($Q$1,Database!$F$1:$AY$1,),)))))/(((VLOOKUP(EDATE(B36,-12),Database!$F:$AY,MATCH($Q$1,Database!$F$1:$AY$1,),))))</f>
        <v/>
      </c>
      <c r="R36" s="13">
        <f>((((VLOOKUP(B36,Database!$F:$AY,MATCH($R$1,Database!$F$1:$AY$1,),))))-(((VLOOKUP(EDATE(B36,-12),Database!$F:$AY,MATCH($R$1,Database!$F$1:$AY$1,),)))))/(((VLOOKUP(EDATE(B36,-12),Database!$F:$AY,MATCH($R$1,Database!$F$1:$AY$1,),))))</f>
        <v/>
      </c>
      <c r="S36" s="13">
        <f>((((VLOOKUP(B36,Database!$F:$AY,MATCH($S$1,Database!$F$1:$AY$1,),))))-(((VLOOKUP(EDATE(B36,-12),Database!$F:$AY,MATCH($S$1,Database!$F$1:$AY$1,),)))))/(((VLOOKUP(EDATE(B36,-12),Database!$F:$AY,MATCH($S$1,Database!$F$1:$AY$1,),))))</f>
        <v/>
      </c>
      <c r="T36" s="13">
        <f>((((VLOOKUP(B36,Database!$F:$AY,MATCH($T$1,Database!$F$1:$AY$1,),))))-(((VLOOKUP(EDATE(B36,-12),Database!$F:$AY,MATCH($T$1,Database!$F$1:$AY$1,),)))))/(((VLOOKUP(EDATE(B36,-12),Database!$F:$AY,MATCH($T$1,Database!$F$1:$AY$1,),))))</f>
        <v/>
      </c>
      <c r="U36" s="13">
        <f>((((VLOOKUP(B36,Database!$F:$AY,MATCH($U$1,Database!$F$1:$AY$1,),))))-(((VLOOKUP(EDATE(B36,-12),Database!$F:$AY,MATCH($U$1,Database!$F$1:$AY$1,),)))))/(((VLOOKUP(EDATE(B36,-12),Database!$F:$AY,MATCH($U$1,Database!$F$1:$AY$1,),))))</f>
        <v/>
      </c>
      <c r="V36" s="13">
        <f>((((VLOOKUP(B36,Database!$F:$AY,MATCH($V$1,Database!$F$1:$AY$1,),))))-(((VLOOKUP(EDATE(B36,-12),Database!$F:$AY,MATCH($V$1,Database!$F$1:$AY$1,),)))))/(((VLOOKUP(EDATE(B36,-12),Database!$F:$AY,MATCH($V$1,Database!$F$1:$AY$1,),))))</f>
        <v/>
      </c>
    </row>
    <row r="37" customFormat="1" s="100">
      <c r="A37" s="45" t="n"/>
      <c r="B37" s="46" t="n">
        <v>33270</v>
      </c>
      <c r="C37" s="13">
        <f>((((VLOOKUP(B37,Database!$F:$AY,MATCH($C$1,Database!$F$1:$AY$1,),))))-(((VLOOKUP(EDATE(B37,-12),Database!$F:$AY,MATCH($C$1,Database!$F$1:$AY$1,),)))))/(((VLOOKUP(EDATE(B37,-12),Database!$F:$AY,MATCH($C$1,Database!$F$1:$AY$1,),))))</f>
        <v/>
      </c>
      <c r="D37" s="13">
        <f>((((VLOOKUP(B37,Database!$F:$AY,MATCH($D$1,Database!$F$1:$AY$1,),))))-(((VLOOKUP(EDATE(B37,-12),Database!$F:$AY,MATCH($D$1,Database!$F$1:$AY$1,),)))))/(((VLOOKUP(EDATE(B37,-12),Database!$F:$AY,MATCH($D$1,Database!$F$1:$AY$1,),))))</f>
        <v/>
      </c>
      <c r="E37" s="13">
        <f>((((VLOOKUP(B37,Database!$F:$AY,MATCH($E$1,Database!$F$1:$AY$1,),))))-(((VLOOKUP(EDATE(B37,-12),Database!$F:$AY,MATCH($E$1,Database!$F$1:$AY$1,),)))))/(((VLOOKUP(EDATE(B37,-12),Database!$F:$AY,MATCH($E$1,Database!$F$1:$AY$1,),))))</f>
        <v/>
      </c>
      <c r="F37" s="13">
        <f>((((VLOOKUP(B37,Database!$F:$AY,MATCH($F$1,Database!$F$1:$AY$1,),))))-(((VLOOKUP(EDATE(B37,-12),Database!$F:$AY,MATCH($F$1,Database!$F$1:$AY$1,),)))))/(((VLOOKUP(EDATE(B37,-12),Database!$F:$AY,MATCH($F$1,Database!$F$1:$AY$1,),))))</f>
        <v/>
      </c>
      <c r="G37" s="13">
        <f>((((VLOOKUP(B37,Database!$F:$AY,MATCH($G$1,Database!$F$1:$AY$1,),))))-(((VLOOKUP(EDATE(B37,-12),Database!$F:$AY,MATCH($G$1,Database!$F$1:$AY$1,),)))))/(((VLOOKUP(EDATE(B37,-12),Database!$F:$AY,MATCH($G$1,Database!$F$1:$AY$1,),))))</f>
        <v/>
      </c>
      <c r="H37" s="13">
        <f>((((VLOOKUP(B37,Database!$F:$AY,MATCH($H$1,Database!$F$1:$AY$1,),))))-(((VLOOKUP(EDATE(B37,-12),Database!$F:$AY,MATCH($H$1,Database!$F$1:$AY$1,),)))))/(((VLOOKUP(EDATE(B37,-12),Database!$F:$AY,MATCH($H$1,Database!$F$1:$AY$1,),))))</f>
        <v/>
      </c>
      <c r="I37" s="13">
        <f>((((VLOOKUP(B37,Database!$F:$AY,MATCH($I$1,Database!$F$1:$AY$1,),))))-(((VLOOKUP(EDATE(B37,-12),Database!$F:$AY,MATCH($I$1,Database!$F$1:$AY$1,),)))))/(((VLOOKUP(EDATE(B37,-12),Database!$F:$AY,MATCH($I$1,Database!$F$1:$AY$1,),))))</f>
        <v/>
      </c>
      <c r="J37" s="13">
        <f>((((VLOOKUP(B37,Database!$F:$AY,MATCH($J$1,Database!$F$1:$AY$1,),))))-(((VLOOKUP(EDATE(B37,-12),Database!$F:$AY,MATCH($J$1,Database!$F$1:$AY$1,),)))))/(((VLOOKUP(EDATE(B37,-12),Database!$F:$AY,MATCH($J$1,Database!$F$1:$AY$1,),))))</f>
        <v/>
      </c>
      <c r="K37" s="13">
        <f>((((VLOOKUP(B37,Database!$F:$AY,MATCH($K$1,Database!$F$1:$AY$1,),))))-(((VLOOKUP(EDATE(B37,-12),Database!$F:$AY,MATCH($K$1,Database!$F$1:$AY$1,),)))))/(((VLOOKUP(EDATE(B37,-12),Database!$F:$AY,MATCH($K$1,Database!$F$1:$AY$1,),))))</f>
        <v/>
      </c>
      <c r="L37" s="13">
        <f>((((VLOOKUP(B37,Database!$F:$AY,MATCH($L$1,Database!$F$1:$AY$1,),))))-(((VLOOKUP(EDATE(B37,-12),Database!$F:$AY,MATCH($L$1,Database!$F$1:$AY$1,),)))))/(((VLOOKUP(EDATE(B37,-12),Database!$F:$AY,MATCH($L$1,Database!$F$1:$AY$1,),))))</f>
        <v/>
      </c>
      <c r="M37" s="13">
        <f>((((VLOOKUP(B37,Database!$F:$AY,MATCH($M$1,Database!$F$1:$AY$1,),))))-(((VLOOKUP(EDATE(B37,-12),Database!$F:$AY,MATCH($M$1,Database!$F$1:$AY$1,),)))))/(((VLOOKUP(EDATE(B37,-12),Database!$F:$AY,MATCH($M$1,Database!$F$1:$AY$1,),))))</f>
        <v/>
      </c>
      <c r="N37" s="13">
        <f>((((VLOOKUP(B37,Database!$F:$AY,MATCH($N$1,Database!$F$1:$AY$1,),))))-(((VLOOKUP(EDATE(B37,-12),Database!$F:$AY,MATCH($N$1,Database!$F$1:$AY$1,),)))))/(((VLOOKUP(EDATE(B37,-12),Database!$F:$AY,MATCH($N$1,Database!$F$1:$AY$1,),))))</f>
        <v/>
      </c>
      <c r="O37" s="13">
        <f>((((VLOOKUP(B37,Database!$F:$AY,MATCH($O$1,Database!$F$1:$AY$1,),))))-(((VLOOKUP(EDATE(B37,-12),Database!$F:$AY,MATCH($O$1,Database!$F$1:$AY$1,),)))))/(((VLOOKUP(EDATE(B37,-12),Database!$F:$AY,MATCH($O$1,Database!$F$1:$AY$1,),))))</f>
        <v/>
      </c>
      <c r="P37" s="13">
        <f>((((VLOOKUP(B37,Database!$F:$AY,MATCH($P$1,Database!$F$1:$AY$1,),))))-(((VLOOKUP(EDATE(B37,-12),Database!$F:$AY,MATCH($P$1,Database!$F$1:$AY$1,),)))))/(((VLOOKUP(EDATE(B37,-12),Database!$F:$AY,MATCH($P$1,Database!$F$1:$AY$1,),))))</f>
        <v/>
      </c>
      <c r="Q37" s="13">
        <f>((((VLOOKUP(B37,Database!$F:$AY,MATCH($Q$1,Database!$F$1:$AY$1,),))))-(((VLOOKUP(EDATE(B37,-12),Database!$F:$AY,MATCH($Q$1,Database!$F$1:$AY$1,),)))))/(((VLOOKUP(EDATE(B37,-12),Database!$F:$AY,MATCH($Q$1,Database!$F$1:$AY$1,),))))</f>
        <v/>
      </c>
      <c r="R37" s="13">
        <f>((((VLOOKUP(B37,Database!$F:$AY,MATCH($R$1,Database!$F$1:$AY$1,),))))-(((VLOOKUP(EDATE(B37,-12),Database!$F:$AY,MATCH($R$1,Database!$F$1:$AY$1,),)))))/(((VLOOKUP(EDATE(B37,-12),Database!$F:$AY,MATCH($R$1,Database!$F$1:$AY$1,),))))</f>
        <v/>
      </c>
      <c r="S37" s="13">
        <f>((((VLOOKUP(B37,Database!$F:$AY,MATCH($S$1,Database!$F$1:$AY$1,),))))-(((VLOOKUP(EDATE(B37,-12),Database!$F:$AY,MATCH($S$1,Database!$F$1:$AY$1,),)))))/(((VLOOKUP(EDATE(B37,-12),Database!$F:$AY,MATCH($S$1,Database!$F$1:$AY$1,),))))</f>
        <v/>
      </c>
      <c r="T37" s="13">
        <f>((((VLOOKUP(B37,Database!$F:$AY,MATCH($T$1,Database!$F$1:$AY$1,),))))-(((VLOOKUP(EDATE(B37,-12),Database!$F:$AY,MATCH($T$1,Database!$F$1:$AY$1,),)))))/(((VLOOKUP(EDATE(B37,-12),Database!$F:$AY,MATCH($T$1,Database!$F$1:$AY$1,),))))</f>
        <v/>
      </c>
      <c r="U37" s="13">
        <f>((((VLOOKUP(B37,Database!$F:$AY,MATCH($U$1,Database!$F$1:$AY$1,),))))-(((VLOOKUP(EDATE(B37,-12),Database!$F:$AY,MATCH($U$1,Database!$F$1:$AY$1,),)))))/(((VLOOKUP(EDATE(B37,-12),Database!$F:$AY,MATCH($U$1,Database!$F$1:$AY$1,),))))</f>
        <v/>
      </c>
      <c r="V37" s="13">
        <f>((((VLOOKUP(B37,Database!$F:$AY,MATCH($V$1,Database!$F$1:$AY$1,),))))-(((VLOOKUP(EDATE(B37,-12),Database!$F:$AY,MATCH($V$1,Database!$F$1:$AY$1,),)))))/(((VLOOKUP(EDATE(B37,-12),Database!$F:$AY,MATCH($V$1,Database!$F$1:$AY$1,),))))</f>
        <v/>
      </c>
    </row>
    <row r="38" customFormat="1" s="100">
      <c r="A38" s="45" t="n"/>
      <c r="B38" s="46" t="n">
        <v>33298</v>
      </c>
      <c r="C38" s="13">
        <f>((((VLOOKUP(B38,Database!$F:$AY,MATCH($C$1,Database!$F$1:$AY$1,),))))-(((VLOOKUP(EDATE(B38,-12),Database!$F:$AY,MATCH($C$1,Database!$F$1:$AY$1,),)))))/(((VLOOKUP(EDATE(B38,-12),Database!$F:$AY,MATCH($C$1,Database!$F$1:$AY$1,),))))</f>
        <v/>
      </c>
      <c r="D38" s="13">
        <f>((((VLOOKUP(B38,Database!$F:$AY,MATCH($D$1,Database!$F$1:$AY$1,),))))-(((VLOOKUP(EDATE(B38,-12),Database!$F:$AY,MATCH($D$1,Database!$F$1:$AY$1,),)))))/(((VLOOKUP(EDATE(B38,-12),Database!$F:$AY,MATCH($D$1,Database!$F$1:$AY$1,),))))</f>
        <v/>
      </c>
      <c r="E38" s="13">
        <f>((((VLOOKUP(B38,Database!$F:$AY,MATCH($E$1,Database!$F$1:$AY$1,),))))-(((VLOOKUP(EDATE(B38,-12),Database!$F:$AY,MATCH($E$1,Database!$F$1:$AY$1,),)))))/(((VLOOKUP(EDATE(B38,-12),Database!$F:$AY,MATCH($E$1,Database!$F$1:$AY$1,),))))</f>
        <v/>
      </c>
      <c r="F38" s="13">
        <f>((((VLOOKUP(B38,Database!$F:$AY,MATCH($F$1,Database!$F$1:$AY$1,),))))-(((VLOOKUP(EDATE(B38,-12),Database!$F:$AY,MATCH($F$1,Database!$F$1:$AY$1,),)))))/(((VLOOKUP(EDATE(B38,-12),Database!$F:$AY,MATCH($F$1,Database!$F$1:$AY$1,),))))</f>
        <v/>
      </c>
      <c r="G38" s="13">
        <f>((((VLOOKUP(B38,Database!$F:$AY,MATCH($G$1,Database!$F$1:$AY$1,),))))-(((VLOOKUP(EDATE(B38,-12),Database!$F:$AY,MATCH($G$1,Database!$F$1:$AY$1,),)))))/(((VLOOKUP(EDATE(B38,-12),Database!$F:$AY,MATCH($G$1,Database!$F$1:$AY$1,),))))</f>
        <v/>
      </c>
      <c r="H38" s="13">
        <f>((((VLOOKUP(B38,Database!$F:$AY,MATCH($H$1,Database!$F$1:$AY$1,),))))-(((VLOOKUP(EDATE(B38,-12),Database!$F:$AY,MATCH($H$1,Database!$F$1:$AY$1,),)))))/(((VLOOKUP(EDATE(B38,-12),Database!$F:$AY,MATCH($H$1,Database!$F$1:$AY$1,),))))</f>
        <v/>
      </c>
      <c r="I38" s="13">
        <f>((((VLOOKUP(B38,Database!$F:$AY,MATCH($I$1,Database!$F$1:$AY$1,),))))-(((VLOOKUP(EDATE(B38,-12),Database!$F:$AY,MATCH($I$1,Database!$F$1:$AY$1,),)))))/(((VLOOKUP(EDATE(B38,-12),Database!$F:$AY,MATCH($I$1,Database!$F$1:$AY$1,),))))</f>
        <v/>
      </c>
      <c r="J38" s="13">
        <f>((((VLOOKUP(B38,Database!$F:$AY,MATCH($J$1,Database!$F$1:$AY$1,),))))-(((VLOOKUP(EDATE(B38,-12),Database!$F:$AY,MATCH($J$1,Database!$F$1:$AY$1,),)))))/(((VLOOKUP(EDATE(B38,-12),Database!$F:$AY,MATCH($J$1,Database!$F$1:$AY$1,),))))</f>
        <v/>
      </c>
      <c r="K38" s="13">
        <f>((((VLOOKUP(B38,Database!$F:$AY,MATCH($K$1,Database!$F$1:$AY$1,),))))-(((VLOOKUP(EDATE(B38,-12),Database!$F:$AY,MATCH($K$1,Database!$F$1:$AY$1,),)))))/(((VLOOKUP(EDATE(B38,-12),Database!$F:$AY,MATCH($K$1,Database!$F$1:$AY$1,),))))</f>
        <v/>
      </c>
      <c r="L38" s="13">
        <f>((((VLOOKUP(B38,Database!$F:$AY,MATCH($L$1,Database!$F$1:$AY$1,),))))-(((VLOOKUP(EDATE(B38,-12),Database!$F:$AY,MATCH($L$1,Database!$F$1:$AY$1,),)))))/(((VLOOKUP(EDATE(B38,-12),Database!$F:$AY,MATCH($L$1,Database!$F$1:$AY$1,),))))</f>
        <v/>
      </c>
      <c r="M38" s="13">
        <f>((((VLOOKUP(B38,Database!$F:$AY,MATCH($M$1,Database!$F$1:$AY$1,),))))-(((VLOOKUP(EDATE(B38,-12),Database!$F:$AY,MATCH($M$1,Database!$F$1:$AY$1,),)))))/(((VLOOKUP(EDATE(B38,-12),Database!$F:$AY,MATCH($M$1,Database!$F$1:$AY$1,),))))</f>
        <v/>
      </c>
      <c r="N38" s="13">
        <f>((((VLOOKUP(B38,Database!$F:$AY,MATCH($N$1,Database!$F$1:$AY$1,),))))-(((VLOOKUP(EDATE(B38,-12),Database!$F:$AY,MATCH($N$1,Database!$F$1:$AY$1,),)))))/(((VLOOKUP(EDATE(B38,-12),Database!$F:$AY,MATCH($N$1,Database!$F$1:$AY$1,),))))</f>
        <v/>
      </c>
      <c r="O38" s="13">
        <f>((((VLOOKUP(B38,Database!$F:$AY,MATCH($O$1,Database!$F$1:$AY$1,),))))-(((VLOOKUP(EDATE(B38,-12),Database!$F:$AY,MATCH($O$1,Database!$F$1:$AY$1,),)))))/(((VLOOKUP(EDATE(B38,-12),Database!$F:$AY,MATCH($O$1,Database!$F$1:$AY$1,),))))</f>
        <v/>
      </c>
      <c r="P38" s="13">
        <f>((((VLOOKUP(B38,Database!$F:$AY,MATCH($P$1,Database!$F$1:$AY$1,),))))-(((VLOOKUP(EDATE(B38,-12),Database!$F:$AY,MATCH($P$1,Database!$F$1:$AY$1,),)))))/(((VLOOKUP(EDATE(B38,-12),Database!$F:$AY,MATCH($P$1,Database!$F$1:$AY$1,),))))</f>
        <v/>
      </c>
      <c r="Q38" s="13">
        <f>((((VLOOKUP(B38,Database!$F:$AY,MATCH($Q$1,Database!$F$1:$AY$1,),))))-(((VLOOKUP(EDATE(B38,-12),Database!$F:$AY,MATCH($Q$1,Database!$F$1:$AY$1,),)))))/(((VLOOKUP(EDATE(B38,-12),Database!$F:$AY,MATCH($Q$1,Database!$F$1:$AY$1,),))))</f>
        <v/>
      </c>
      <c r="R38" s="13">
        <f>((((VLOOKUP(B38,Database!$F:$AY,MATCH($R$1,Database!$F$1:$AY$1,),))))-(((VLOOKUP(EDATE(B38,-12),Database!$F:$AY,MATCH($R$1,Database!$F$1:$AY$1,),)))))/(((VLOOKUP(EDATE(B38,-12),Database!$F:$AY,MATCH($R$1,Database!$F$1:$AY$1,),))))</f>
        <v/>
      </c>
      <c r="S38" s="13">
        <f>((((VLOOKUP(B38,Database!$F:$AY,MATCH($S$1,Database!$F$1:$AY$1,),))))-(((VLOOKUP(EDATE(B38,-12),Database!$F:$AY,MATCH($S$1,Database!$F$1:$AY$1,),)))))/(((VLOOKUP(EDATE(B38,-12),Database!$F:$AY,MATCH($S$1,Database!$F$1:$AY$1,),))))</f>
        <v/>
      </c>
      <c r="T38" s="13">
        <f>((((VLOOKUP(B38,Database!$F:$AY,MATCH($T$1,Database!$F$1:$AY$1,),))))-(((VLOOKUP(EDATE(B38,-12),Database!$F:$AY,MATCH($T$1,Database!$F$1:$AY$1,),)))))/(((VLOOKUP(EDATE(B38,-12),Database!$F:$AY,MATCH($T$1,Database!$F$1:$AY$1,),))))</f>
        <v/>
      </c>
      <c r="U38" s="13">
        <f>((((VLOOKUP(B38,Database!$F:$AY,MATCH($U$1,Database!$F$1:$AY$1,),))))-(((VLOOKUP(EDATE(B38,-12),Database!$F:$AY,MATCH($U$1,Database!$F$1:$AY$1,),)))))/(((VLOOKUP(EDATE(B38,-12),Database!$F:$AY,MATCH($U$1,Database!$F$1:$AY$1,),))))</f>
        <v/>
      </c>
      <c r="V38" s="13">
        <f>((((VLOOKUP(B38,Database!$F:$AY,MATCH($V$1,Database!$F$1:$AY$1,),))))-(((VLOOKUP(EDATE(B38,-12),Database!$F:$AY,MATCH($V$1,Database!$F$1:$AY$1,),)))))/(((VLOOKUP(EDATE(B38,-12),Database!$F:$AY,MATCH($V$1,Database!$F$1:$AY$1,),))))</f>
        <v/>
      </c>
    </row>
    <row r="39" customFormat="1" s="100">
      <c r="A39" s="45" t="n"/>
      <c r="B39" s="46" t="n">
        <v>33329</v>
      </c>
      <c r="C39" s="13">
        <f>((((VLOOKUP(B39,Database!$F:$AY,MATCH($C$1,Database!$F$1:$AY$1,),))))-(((VLOOKUP(EDATE(B39,-12),Database!$F:$AY,MATCH($C$1,Database!$F$1:$AY$1,),)))))/(((VLOOKUP(EDATE(B39,-12),Database!$F:$AY,MATCH($C$1,Database!$F$1:$AY$1,),))))</f>
        <v/>
      </c>
      <c r="D39" s="13">
        <f>((((VLOOKUP(B39,Database!$F:$AY,MATCH($D$1,Database!$F$1:$AY$1,),))))-(((VLOOKUP(EDATE(B39,-12),Database!$F:$AY,MATCH($D$1,Database!$F$1:$AY$1,),)))))/(((VLOOKUP(EDATE(B39,-12),Database!$F:$AY,MATCH($D$1,Database!$F$1:$AY$1,),))))</f>
        <v/>
      </c>
      <c r="E39" s="13">
        <f>((((VLOOKUP(B39,Database!$F:$AY,MATCH($E$1,Database!$F$1:$AY$1,),))))-(((VLOOKUP(EDATE(B39,-12),Database!$F:$AY,MATCH($E$1,Database!$F$1:$AY$1,),)))))/(((VLOOKUP(EDATE(B39,-12),Database!$F:$AY,MATCH($E$1,Database!$F$1:$AY$1,),))))</f>
        <v/>
      </c>
      <c r="F39" s="13">
        <f>((((VLOOKUP(B39,Database!$F:$AY,MATCH($F$1,Database!$F$1:$AY$1,),))))-(((VLOOKUP(EDATE(B39,-12),Database!$F:$AY,MATCH($F$1,Database!$F$1:$AY$1,),)))))/(((VLOOKUP(EDATE(B39,-12),Database!$F:$AY,MATCH($F$1,Database!$F$1:$AY$1,),))))</f>
        <v/>
      </c>
      <c r="G39" s="13">
        <f>((((VLOOKUP(B39,Database!$F:$AY,MATCH($G$1,Database!$F$1:$AY$1,),))))-(((VLOOKUP(EDATE(B39,-12),Database!$F:$AY,MATCH($G$1,Database!$F$1:$AY$1,),)))))/(((VLOOKUP(EDATE(B39,-12),Database!$F:$AY,MATCH($G$1,Database!$F$1:$AY$1,),))))</f>
        <v/>
      </c>
      <c r="H39" s="13">
        <f>((((VLOOKUP(B39,Database!$F:$AY,MATCH($H$1,Database!$F$1:$AY$1,),))))-(((VLOOKUP(EDATE(B39,-12),Database!$F:$AY,MATCH($H$1,Database!$F$1:$AY$1,),)))))/(((VLOOKUP(EDATE(B39,-12),Database!$F:$AY,MATCH($H$1,Database!$F$1:$AY$1,),))))</f>
        <v/>
      </c>
      <c r="I39" s="13">
        <f>((((VLOOKUP(B39,Database!$F:$AY,MATCH($I$1,Database!$F$1:$AY$1,),))))-(((VLOOKUP(EDATE(B39,-12),Database!$F:$AY,MATCH($I$1,Database!$F$1:$AY$1,),)))))/(((VLOOKUP(EDATE(B39,-12),Database!$F:$AY,MATCH($I$1,Database!$F$1:$AY$1,),))))</f>
        <v/>
      </c>
      <c r="J39" s="13">
        <f>((((VLOOKUP(B39,Database!$F:$AY,MATCH($J$1,Database!$F$1:$AY$1,),))))-(((VLOOKUP(EDATE(B39,-12),Database!$F:$AY,MATCH($J$1,Database!$F$1:$AY$1,),)))))/(((VLOOKUP(EDATE(B39,-12),Database!$F:$AY,MATCH($J$1,Database!$F$1:$AY$1,),))))</f>
        <v/>
      </c>
      <c r="K39" s="13">
        <f>((((VLOOKUP(B39,Database!$F:$AY,MATCH($K$1,Database!$F$1:$AY$1,),))))-(((VLOOKUP(EDATE(B39,-12),Database!$F:$AY,MATCH($K$1,Database!$F$1:$AY$1,),)))))/(((VLOOKUP(EDATE(B39,-12),Database!$F:$AY,MATCH($K$1,Database!$F$1:$AY$1,),))))</f>
        <v/>
      </c>
      <c r="L39" s="13">
        <f>((((VLOOKUP(B39,Database!$F:$AY,MATCH($L$1,Database!$F$1:$AY$1,),))))-(((VLOOKUP(EDATE(B39,-12),Database!$F:$AY,MATCH($L$1,Database!$F$1:$AY$1,),)))))/(((VLOOKUP(EDATE(B39,-12),Database!$F:$AY,MATCH($L$1,Database!$F$1:$AY$1,),))))</f>
        <v/>
      </c>
      <c r="M39" s="13">
        <f>((((VLOOKUP(B39,Database!$F:$AY,MATCH($M$1,Database!$F$1:$AY$1,),))))-(((VLOOKUP(EDATE(B39,-12),Database!$F:$AY,MATCH($M$1,Database!$F$1:$AY$1,),)))))/(((VLOOKUP(EDATE(B39,-12),Database!$F:$AY,MATCH($M$1,Database!$F$1:$AY$1,),))))</f>
        <v/>
      </c>
      <c r="N39" s="13">
        <f>((((VLOOKUP(B39,Database!$F:$AY,MATCH($N$1,Database!$F$1:$AY$1,),))))-(((VLOOKUP(EDATE(B39,-12),Database!$F:$AY,MATCH($N$1,Database!$F$1:$AY$1,),)))))/(((VLOOKUP(EDATE(B39,-12),Database!$F:$AY,MATCH($N$1,Database!$F$1:$AY$1,),))))</f>
        <v/>
      </c>
      <c r="O39" s="13">
        <f>((((VLOOKUP(B39,Database!$F:$AY,MATCH($O$1,Database!$F$1:$AY$1,),))))-(((VLOOKUP(EDATE(B39,-12),Database!$F:$AY,MATCH($O$1,Database!$F$1:$AY$1,),)))))/(((VLOOKUP(EDATE(B39,-12),Database!$F:$AY,MATCH($O$1,Database!$F$1:$AY$1,),))))</f>
        <v/>
      </c>
      <c r="P39" s="13">
        <f>((((VLOOKUP(B39,Database!$F:$AY,MATCH($P$1,Database!$F$1:$AY$1,),))))-(((VLOOKUP(EDATE(B39,-12),Database!$F:$AY,MATCH($P$1,Database!$F$1:$AY$1,),)))))/(((VLOOKUP(EDATE(B39,-12),Database!$F:$AY,MATCH($P$1,Database!$F$1:$AY$1,),))))</f>
        <v/>
      </c>
      <c r="Q39" s="13">
        <f>((((VLOOKUP(B39,Database!$F:$AY,MATCH($Q$1,Database!$F$1:$AY$1,),))))-(((VLOOKUP(EDATE(B39,-12),Database!$F:$AY,MATCH($Q$1,Database!$F$1:$AY$1,),)))))/(((VLOOKUP(EDATE(B39,-12),Database!$F:$AY,MATCH($Q$1,Database!$F$1:$AY$1,),))))</f>
        <v/>
      </c>
      <c r="R39" s="13">
        <f>((((VLOOKUP(B39,Database!$F:$AY,MATCH($R$1,Database!$F$1:$AY$1,),))))-(((VLOOKUP(EDATE(B39,-12),Database!$F:$AY,MATCH($R$1,Database!$F$1:$AY$1,),)))))/(((VLOOKUP(EDATE(B39,-12),Database!$F:$AY,MATCH($R$1,Database!$F$1:$AY$1,),))))</f>
        <v/>
      </c>
      <c r="S39" s="13">
        <f>((((VLOOKUP(B39,Database!$F:$AY,MATCH($S$1,Database!$F$1:$AY$1,),))))-(((VLOOKUP(EDATE(B39,-12),Database!$F:$AY,MATCH($S$1,Database!$F$1:$AY$1,),)))))/(((VLOOKUP(EDATE(B39,-12),Database!$F:$AY,MATCH($S$1,Database!$F$1:$AY$1,),))))</f>
        <v/>
      </c>
      <c r="T39" s="13">
        <f>((((VLOOKUP(B39,Database!$F:$AY,MATCH($T$1,Database!$F$1:$AY$1,),))))-(((VLOOKUP(EDATE(B39,-12),Database!$F:$AY,MATCH($T$1,Database!$F$1:$AY$1,),)))))/(((VLOOKUP(EDATE(B39,-12),Database!$F:$AY,MATCH($T$1,Database!$F$1:$AY$1,),))))</f>
        <v/>
      </c>
      <c r="U39" s="13">
        <f>((((VLOOKUP(B39,Database!$F:$AY,MATCH($U$1,Database!$F$1:$AY$1,),))))-(((VLOOKUP(EDATE(B39,-12),Database!$F:$AY,MATCH($U$1,Database!$F$1:$AY$1,),)))))/(((VLOOKUP(EDATE(B39,-12),Database!$F:$AY,MATCH($U$1,Database!$F$1:$AY$1,),))))</f>
        <v/>
      </c>
      <c r="V39" s="13">
        <f>((((VLOOKUP(B39,Database!$F:$AY,MATCH($V$1,Database!$F$1:$AY$1,),))))-(((VLOOKUP(EDATE(B39,-12),Database!$F:$AY,MATCH($V$1,Database!$F$1:$AY$1,),)))))/(((VLOOKUP(EDATE(B39,-12),Database!$F:$AY,MATCH($V$1,Database!$F$1:$AY$1,),))))</f>
        <v/>
      </c>
    </row>
    <row r="40" customFormat="1" s="100">
      <c r="A40" s="45" t="n"/>
      <c r="B40" s="46" t="n">
        <v>33359</v>
      </c>
      <c r="C40" s="13">
        <f>((((VLOOKUP(B40,Database!$F:$AY,MATCH($C$1,Database!$F$1:$AY$1,),))))-(((VLOOKUP(EDATE(B40,-12),Database!$F:$AY,MATCH($C$1,Database!$F$1:$AY$1,),)))))/(((VLOOKUP(EDATE(B40,-12),Database!$F:$AY,MATCH($C$1,Database!$F$1:$AY$1,),))))</f>
        <v/>
      </c>
      <c r="D40" s="13">
        <f>((((VLOOKUP(B40,Database!$F:$AY,MATCH($D$1,Database!$F$1:$AY$1,),))))-(((VLOOKUP(EDATE(B40,-12),Database!$F:$AY,MATCH($D$1,Database!$F$1:$AY$1,),)))))/(((VLOOKUP(EDATE(B40,-12),Database!$F:$AY,MATCH($D$1,Database!$F$1:$AY$1,),))))</f>
        <v/>
      </c>
      <c r="E40" s="13">
        <f>((((VLOOKUP(B40,Database!$F:$AY,MATCH($E$1,Database!$F$1:$AY$1,),))))-(((VLOOKUP(EDATE(B40,-12),Database!$F:$AY,MATCH($E$1,Database!$F$1:$AY$1,),)))))/(((VLOOKUP(EDATE(B40,-12),Database!$F:$AY,MATCH($E$1,Database!$F$1:$AY$1,),))))</f>
        <v/>
      </c>
      <c r="F40" s="13">
        <f>((((VLOOKUP(B40,Database!$F:$AY,MATCH($F$1,Database!$F$1:$AY$1,),))))-(((VLOOKUP(EDATE(B40,-12),Database!$F:$AY,MATCH($F$1,Database!$F$1:$AY$1,),)))))/(((VLOOKUP(EDATE(B40,-12),Database!$F:$AY,MATCH($F$1,Database!$F$1:$AY$1,),))))</f>
        <v/>
      </c>
      <c r="G40" s="13">
        <f>((((VLOOKUP(B40,Database!$F:$AY,MATCH($G$1,Database!$F$1:$AY$1,),))))-(((VLOOKUP(EDATE(B40,-12),Database!$F:$AY,MATCH($G$1,Database!$F$1:$AY$1,),)))))/(((VLOOKUP(EDATE(B40,-12),Database!$F:$AY,MATCH($G$1,Database!$F$1:$AY$1,),))))</f>
        <v/>
      </c>
      <c r="H40" s="13">
        <f>((((VLOOKUP(B40,Database!$F:$AY,MATCH($H$1,Database!$F$1:$AY$1,),))))-(((VLOOKUP(EDATE(B40,-12),Database!$F:$AY,MATCH($H$1,Database!$F$1:$AY$1,),)))))/(((VLOOKUP(EDATE(B40,-12),Database!$F:$AY,MATCH($H$1,Database!$F$1:$AY$1,),))))</f>
        <v/>
      </c>
      <c r="I40" s="13">
        <f>((((VLOOKUP(B40,Database!$F:$AY,MATCH($I$1,Database!$F$1:$AY$1,),))))-(((VLOOKUP(EDATE(B40,-12),Database!$F:$AY,MATCH($I$1,Database!$F$1:$AY$1,),)))))/(((VLOOKUP(EDATE(B40,-12),Database!$F:$AY,MATCH($I$1,Database!$F$1:$AY$1,),))))</f>
        <v/>
      </c>
      <c r="J40" s="13">
        <f>((((VLOOKUP(B40,Database!$F:$AY,MATCH($J$1,Database!$F$1:$AY$1,),))))-(((VLOOKUP(EDATE(B40,-12),Database!$F:$AY,MATCH($J$1,Database!$F$1:$AY$1,),)))))/(((VLOOKUP(EDATE(B40,-12),Database!$F:$AY,MATCH($J$1,Database!$F$1:$AY$1,),))))</f>
        <v/>
      </c>
      <c r="K40" s="13">
        <f>((((VLOOKUP(B40,Database!$F:$AY,MATCH($K$1,Database!$F$1:$AY$1,),))))-(((VLOOKUP(EDATE(B40,-12),Database!$F:$AY,MATCH($K$1,Database!$F$1:$AY$1,),)))))/(((VLOOKUP(EDATE(B40,-12),Database!$F:$AY,MATCH($K$1,Database!$F$1:$AY$1,),))))</f>
        <v/>
      </c>
      <c r="L40" s="13">
        <f>((((VLOOKUP(B40,Database!$F:$AY,MATCH($L$1,Database!$F$1:$AY$1,),))))-(((VLOOKUP(EDATE(B40,-12),Database!$F:$AY,MATCH($L$1,Database!$F$1:$AY$1,),)))))/(((VLOOKUP(EDATE(B40,-12),Database!$F:$AY,MATCH($L$1,Database!$F$1:$AY$1,),))))</f>
        <v/>
      </c>
      <c r="M40" s="13">
        <f>((((VLOOKUP(B40,Database!$F:$AY,MATCH($M$1,Database!$F$1:$AY$1,),))))-(((VLOOKUP(EDATE(B40,-12),Database!$F:$AY,MATCH($M$1,Database!$F$1:$AY$1,),)))))/(((VLOOKUP(EDATE(B40,-12),Database!$F:$AY,MATCH($M$1,Database!$F$1:$AY$1,),))))</f>
        <v/>
      </c>
      <c r="N40" s="13">
        <f>((((VLOOKUP(B40,Database!$F:$AY,MATCH($N$1,Database!$F$1:$AY$1,),))))-(((VLOOKUP(EDATE(B40,-12),Database!$F:$AY,MATCH($N$1,Database!$F$1:$AY$1,),)))))/(((VLOOKUP(EDATE(B40,-12),Database!$F:$AY,MATCH($N$1,Database!$F$1:$AY$1,),))))</f>
        <v/>
      </c>
      <c r="O40" s="13">
        <f>((((VLOOKUP(B40,Database!$F:$AY,MATCH($O$1,Database!$F$1:$AY$1,),))))-(((VLOOKUP(EDATE(B40,-12),Database!$F:$AY,MATCH($O$1,Database!$F$1:$AY$1,),)))))/(((VLOOKUP(EDATE(B40,-12),Database!$F:$AY,MATCH($O$1,Database!$F$1:$AY$1,),))))</f>
        <v/>
      </c>
      <c r="P40" s="13">
        <f>((((VLOOKUP(B40,Database!$F:$AY,MATCH($P$1,Database!$F$1:$AY$1,),))))-(((VLOOKUP(EDATE(B40,-12),Database!$F:$AY,MATCH($P$1,Database!$F$1:$AY$1,),)))))/(((VLOOKUP(EDATE(B40,-12),Database!$F:$AY,MATCH($P$1,Database!$F$1:$AY$1,),))))</f>
        <v/>
      </c>
      <c r="Q40" s="13">
        <f>((((VLOOKUP(B40,Database!$F:$AY,MATCH($Q$1,Database!$F$1:$AY$1,),))))-(((VLOOKUP(EDATE(B40,-12),Database!$F:$AY,MATCH($Q$1,Database!$F$1:$AY$1,),)))))/(((VLOOKUP(EDATE(B40,-12),Database!$F:$AY,MATCH($Q$1,Database!$F$1:$AY$1,),))))</f>
        <v/>
      </c>
      <c r="R40" s="13">
        <f>((((VLOOKUP(B40,Database!$F:$AY,MATCH($R$1,Database!$F$1:$AY$1,),))))-(((VLOOKUP(EDATE(B40,-12),Database!$F:$AY,MATCH($R$1,Database!$F$1:$AY$1,),)))))/(((VLOOKUP(EDATE(B40,-12),Database!$F:$AY,MATCH($R$1,Database!$F$1:$AY$1,),))))</f>
        <v/>
      </c>
      <c r="S40" s="13">
        <f>((((VLOOKUP(B40,Database!$F:$AY,MATCH($S$1,Database!$F$1:$AY$1,),))))-(((VLOOKUP(EDATE(B40,-12),Database!$F:$AY,MATCH($S$1,Database!$F$1:$AY$1,),)))))/(((VLOOKUP(EDATE(B40,-12),Database!$F:$AY,MATCH($S$1,Database!$F$1:$AY$1,),))))</f>
        <v/>
      </c>
      <c r="T40" s="13">
        <f>((((VLOOKUP(B40,Database!$F:$AY,MATCH($T$1,Database!$F$1:$AY$1,),))))-(((VLOOKUP(EDATE(B40,-12),Database!$F:$AY,MATCH($T$1,Database!$F$1:$AY$1,),)))))/(((VLOOKUP(EDATE(B40,-12),Database!$F:$AY,MATCH($T$1,Database!$F$1:$AY$1,),))))</f>
        <v/>
      </c>
      <c r="U40" s="13">
        <f>((((VLOOKUP(B40,Database!$F:$AY,MATCH($U$1,Database!$F$1:$AY$1,),))))-(((VLOOKUP(EDATE(B40,-12),Database!$F:$AY,MATCH($U$1,Database!$F$1:$AY$1,),)))))/(((VLOOKUP(EDATE(B40,-12),Database!$F:$AY,MATCH($U$1,Database!$F$1:$AY$1,),))))</f>
        <v/>
      </c>
      <c r="V40" s="13">
        <f>((((VLOOKUP(B40,Database!$F:$AY,MATCH($V$1,Database!$F$1:$AY$1,),))))-(((VLOOKUP(EDATE(B40,-12),Database!$F:$AY,MATCH($V$1,Database!$F$1:$AY$1,),)))))/(((VLOOKUP(EDATE(B40,-12),Database!$F:$AY,MATCH($V$1,Database!$F$1:$AY$1,),))))</f>
        <v/>
      </c>
    </row>
    <row r="41" customFormat="1" s="100">
      <c r="A41" s="45" t="n"/>
      <c r="B41" s="46" t="n">
        <v>33390</v>
      </c>
      <c r="C41" s="13">
        <f>((((VLOOKUP(B41,Database!$F:$AY,MATCH($C$1,Database!$F$1:$AY$1,),))))-(((VLOOKUP(EDATE(B41,-12),Database!$F:$AY,MATCH($C$1,Database!$F$1:$AY$1,),)))))/(((VLOOKUP(EDATE(B41,-12),Database!$F:$AY,MATCH($C$1,Database!$F$1:$AY$1,),))))</f>
        <v/>
      </c>
      <c r="D41" s="13">
        <f>((((VLOOKUP(B41,Database!$F:$AY,MATCH($D$1,Database!$F$1:$AY$1,),))))-(((VLOOKUP(EDATE(B41,-12),Database!$F:$AY,MATCH($D$1,Database!$F$1:$AY$1,),)))))/(((VLOOKUP(EDATE(B41,-12),Database!$F:$AY,MATCH($D$1,Database!$F$1:$AY$1,),))))</f>
        <v/>
      </c>
      <c r="E41" s="13">
        <f>((((VLOOKUP(B41,Database!$F:$AY,MATCH($E$1,Database!$F$1:$AY$1,),))))-(((VLOOKUP(EDATE(B41,-12),Database!$F:$AY,MATCH($E$1,Database!$F$1:$AY$1,),)))))/(((VLOOKUP(EDATE(B41,-12),Database!$F:$AY,MATCH($E$1,Database!$F$1:$AY$1,),))))</f>
        <v/>
      </c>
      <c r="F41" s="13">
        <f>((((VLOOKUP(B41,Database!$F:$AY,MATCH($F$1,Database!$F$1:$AY$1,),))))-(((VLOOKUP(EDATE(B41,-12),Database!$F:$AY,MATCH($F$1,Database!$F$1:$AY$1,),)))))/(((VLOOKUP(EDATE(B41,-12),Database!$F:$AY,MATCH($F$1,Database!$F$1:$AY$1,),))))</f>
        <v/>
      </c>
      <c r="G41" s="13">
        <f>((((VLOOKUP(B41,Database!$F:$AY,MATCH($G$1,Database!$F$1:$AY$1,),))))-(((VLOOKUP(EDATE(B41,-12),Database!$F:$AY,MATCH($G$1,Database!$F$1:$AY$1,),)))))/(((VLOOKUP(EDATE(B41,-12),Database!$F:$AY,MATCH($G$1,Database!$F$1:$AY$1,),))))</f>
        <v/>
      </c>
      <c r="H41" s="13">
        <f>((((VLOOKUP(B41,Database!$F:$AY,MATCH($H$1,Database!$F$1:$AY$1,),))))-(((VLOOKUP(EDATE(B41,-12),Database!$F:$AY,MATCH($H$1,Database!$F$1:$AY$1,),)))))/(((VLOOKUP(EDATE(B41,-12),Database!$F:$AY,MATCH($H$1,Database!$F$1:$AY$1,),))))</f>
        <v/>
      </c>
      <c r="I41" s="13">
        <f>((((VLOOKUP(B41,Database!$F:$AY,MATCH($I$1,Database!$F$1:$AY$1,),))))-(((VLOOKUP(EDATE(B41,-12),Database!$F:$AY,MATCH($I$1,Database!$F$1:$AY$1,),)))))/(((VLOOKUP(EDATE(B41,-12),Database!$F:$AY,MATCH($I$1,Database!$F$1:$AY$1,),))))</f>
        <v/>
      </c>
      <c r="J41" s="13">
        <f>((((VLOOKUP(B41,Database!$F:$AY,MATCH($J$1,Database!$F$1:$AY$1,),))))-(((VLOOKUP(EDATE(B41,-12),Database!$F:$AY,MATCH($J$1,Database!$F$1:$AY$1,),)))))/(((VLOOKUP(EDATE(B41,-12),Database!$F:$AY,MATCH($J$1,Database!$F$1:$AY$1,),))))</f>
        <v/>
      </c>
      <c r="K41" s="13">
        <f>((((VLOOKUP(B41,Database!$F:$AY,MATCH($K$1,Database!$F$1:$AY$1,),))))-(((VLOOKUP(EDATE(B41,-12),Database!$F:$AY,MATCH($K$1,Database!$F$1:$AY$1,),)))))/(((VLOOKUP(EDATE(B41,-12),Database!$F:$AY,MATCH($K$1,Database!$F$1:$AY$1,),))))</f>
        <v/>
      </c>
      <c r="L41" s="13">
        <f>((((VLOOKUP(B41,Database!$F:$AY,MATCH($L$1,Database!$F$1:$AY$1,),))))-(((VLOOKUP(EDATE(B41,-12),Database!$F:$AY,MATCH($L$1,Database!$F$1:$AY$1,),)))))/(((VLOOKUP(EDATE(B41,-12),Database!$F:$AY,MATCH($L$1,Database!$F$1:$AY$1,),))))</f>
        <v/>
      </c>
      <c r="M41" s="13">
        <f>((((VLOOKUP(B41,Database!$F:$AY,MATCH($M$1,Database!$F$1:$AY$1,),))))-(((VLOOKUP(EDATE(B41,-12),Database!$F:$AY,MATCH($M$1,Database!$F$1:$AY$1,),)))))/(((VLOOKUP(EDATE(B41,-12),Database!$F:$AY,MATCH($M$1,Database!$F$1:$AY$1,),))))</f>
        <v/>
      </c>
      <c r="N41" s="13">
        <f>((((VLOOKUP(B41,Database!$F:$AY,MATCH($N$1,Database!$F$1:$AY$1,),))))-(((VLOOKUP(EDATE(B41,-12),Database!$F:$AY,MATCH($N$1,Database!$F$1:$AY$1,),)))))/(((VLOOKUP(EDATE(B41,-12),Database!$F:$AY,MATCH($N$1,Database!$F$1:$AY$1,),))))</f>
        <v/>
      </c>
      <c r="O41" s="13">
        <f>((((VLOOKUP(B41,Database!$F:$AY,MATCH($O$1,Database!$F$1:$AY$1,),))))-(((VLOOKUP(EDATE(B41,-12),Database!$F:$AY,MATCH($O$1,Database!$F$1:$AY$1,),)))))/(((VLOOKUP(EDATE(B41,-12),Database!$F:$AY,MATCH($O$1,Database!$F$1:$AY$1,),))))</f>
        <v/>
      </c>
      <c r="P41" s="13">
        <f>((((VLOOKUP(B41,Database!$F:$AY,MATCH($P$1,Database!$F$1:$AY$1,),))))-(((VLOOKUP(EDATE(B41,-12),Database!$F:$AY,MATCH($P$1,Database!$F$1:$AY$1,),)))))/(((VLOOKUP(EDATE(B41,-12),Database!$F:$AY,MATCH($P$1,Database!$F$1:$AY$1,),))))</f>
        <v/>
      </c>
      <c r="Q41" s="13">
        <f>((((VLOOKUP(B41,Database!$F:$AY,MATCH($Q$1,Database!$F$1:$AY$1,),))))-(((VLOOKUP(EDATE(B41,-12),Database!$F:$AY,MATCH($Q$1,Database!$F$1:$AY$1,),)))))/(((VLOOKUP(EDATE(B41,-12),Database!$F:$AY,MATCH($Q$1,Database!$F$1:$AY$1,),))))</f>
        <v/>
      </c>
      <c r="R41" s="13">
        <f>((((VLOOKUP(B41,Database!$F:$AY,MATCH($R$1,Database!$F$1:$AY$1,),))))-(((VLOOKUP(EDATE(B41,-12),Database!$F:$AY,MATCH($R$1,Database!$F$1:$AY$1,),)))))/(((VLOOKUP(EDATE(B41,-12),Database!$F:$AY,MATCH($R$1,Database!$F$1:$AY$1,),))))</f>
        <v/>
      </c>
      <c r="S41" s="13">
        <f>((((VLOOKUP(B41,Database!$F:$AY,MATCH($S$1,Database!$F$1:$AY$1,),))))-(((VLOOKUP(EDATE(B41,-12),Database!$F:$AY,MATCH($S$1,Database!$F$1:$AY$1,),)))))/(((VLOOKUP(EDATE(B41,-12),Database!$F:$AY,MATCH($S$1,Database!$F$1:$AY$1,),))))</f>
        <v/>
      </c>
      <c r="T41" s="13">
        <f>((((VLOOKUP(B41,Database!$F:$AY,MATCH($T$1,Database!$F$1:$AY$1,),))))-(((VLOOKUP(EDATE(B41,-12),Database!$F:$AY,MATCH($T$1,Database!$F$1:$AY$1,),)))))/(((VLOOKUP(EDATE(B41,-12),Database!$F:$AY,MATCH($T$1,Database!$F$1:$AY$1,),))))</f>
        <v/>
      </c>
      <c r="U41" s="13">
        <f>((((VLOOKUP(B41,Database!$F:$AY,MATCH($U$1,Database!$F$1:$AY$1,),))))-(((VLOOKUP(EDATE(B41,-12),Database!$F:$AY,MATCH($U$1,Database!$F$1:$AY$1,),)))))/(((VLOOKUP(EDATE(B41,-12),Database!$F:$AY,MATCH($U$1,Database!$F$1:$AY$1,),))))</f>
        <v/>
      </c>
      <c r="V41" s="13">
        <f>((((VLOOKUP(B41,Database!$F:$AY,MATCH($V$1,Database!$F$1:$AY$1,),))))-(((VLOOKUP(EDATE(B41,-12),Database!$F:$AY,MATCH($V$1,Database!$F$1:$AY$1,),)))))/(((VLOOKUP(EDATE(B41,-12),Database!$F:$AY,MATCH($V$1,Database!$F$1:$AY$1,),))))</f>
        <v/>
      </c>
    </row>
    <row r="42" customFormat="1" s="100">
      <c r="A42" s="45" t="n"/>
      <c r="B42" s="46" t="n">
        <v>33420</v>
      </c>
      <c r="C42" s="13">
        <f>((((VLOOKUP(B42,Database!$F:$AY,MATCH($C$1,Database!$F$1:$AY$1,),))))-(((VLOOKUP(EDATE(B42,-12),Database!$F:$AY,MATCH($C$1,Database!$F$1:$AY$1,),)))))/(((VLOOKUP(EDATE(B42,-12),Database!$F:$AY,MATCH($C$1,Database!$F$1:$AY$1,),))))</f>
        <v/>
      </c>
      <c r="D42" s="13">
        <f>((((VLOOKUP(B42,Database!$F:$AY,MATCH($D$1,Database!$F$1:$AY$1,),))))-(((VLOOKUP(EDATE(B42,-12),Database!$F:$AY,MATCH($D$1,Database!$F$1:$AY$1,),)))))/(((VLOOKUP(EDATE(B42,-12),Database!$F:$AY,MATCH($D$1,Database!$F$1:$AY$1,),))))</f>
        <v/>
      </c>
      <c r="E42" s="13">
        <f>((((VLOOKUP(B42,Database!$F:$AY,MATCH($E$1,Database!$F$1:$AY$1,),))))-(((VLOOKUP(EDATE(B42,-12),Database!$F:$AY,MATCH($E$1,Database!$F$1:$AY$1,),)))))/(((VLOOKUP(EDATE(B42,-12),Database!$F:$AY,MATCH($E$1,Database!$F$1:$AY$1,),))))</f>
        <v/>
      </c>
      <c r="F42" s="13">
        <f>((((VLOOKUP(B42,Database!$F:$AY,MATCH($F$1,Database!$F$1:$AY$1,),))))-(((VLOOKUP(EDATE(B42,-12),Database!$F:$AY,MATCH($F$1,Database!$F$1:$AY$1,),)))))/(((VLOOKUP(EDATE(B42,-12),Database!$F:$AY,MATCH($F$1,Database!$F$1:$AY$1,),))))</f>
        <v/>
      </c>
      <c r="G42" s="13">
        <f>((((VLOOKUP(B42,Database!$F:$AY,MATCH($G$1,Database!$F$1:$AY$1,),))))-(((VLOOKUP(EDATE(B42,-12),Database!$F:$AY,MATCH($G$1,Database!$F$1:$AY$1,),)))))/(((VLOOKUP(EDATE(B42,-12),Database!$F:$AY,MATCH($G$1,Database!$F$1:$AY$1,),))))</f>
        <v/>
      </c>
      <c r="H42" s="13">
        <f>((((VLOOKUP(B42,Database!$F:$AY,MATCH($H$1,Database!$F$1:$AY$1,),))))-(((VLOOKUP(EDATE(B42,-12),Database!$F:$AY,MATCH($H$1,Database!$F$1:$AY$1,),)))))/(((VLOOKUP(EDATE(B42,-12),Database!$F:$AY,MATCH($H$1,Database!$F$1:$AY$1,),))))</f>
        <v/>
      </c>
      <c r="I42" s="13">
        <f>((((VLOOKUP(B42,Database!$F:$AY,MATCH($I$1,Database!$F$1:$AY$1,),))))-(((VLOOKUP(EDATE(B42,-12),Database!$F:$AY,MATCH($I$1,Database!$F$1:$AY$1,),)))))/(((VLOOKUP(EDATE(B42,-12),Database!$F:$AY,MATCH($I$1,Database!$F$1:$AY$1,),))))</f>
        <v/>
      </c>
      <c r="J42" s="13">
        <f>((((VLOOKUP(B42,Database!$F:$AY,MATCH($J$1,Database!$F$1:$AY$1,),))))-(((VLOOKUP(EDATE(B42,-12),Database!$F:$AY,MATCH($J$1,Database!$F$1:$AY$1,),)))))/(((VLOOKUP(EDATE(B42,-12),Database!$F:$AY,MATCH($J$1,Database!$F$1:$AY$1,),))))</f>
        <v/>
      </c>
      <c r="K42" s="13">
        <f>((((VLOOKUP(B42,Database!$F:$AY,MATCH($K$1,Database!$F$1:$AY$1,),))))-(((VLOOKUP(EDATE(B42,-12),Database!$F:$AY,MATCH($K$1,Database!$F$1:$AY$1,),)))))/(((VLOOKUP(EDATE(B42,-12),Database!$F:$AY,MATCH($K$1,Database!$F$1:$AY$1,),))))</f>
        <v/>
      </c>
      <c r="L42" s="13">
        <f>((((VLOOKUP(B42,Database!$F:$AY,MATCH($L$1,Database!$F$1:$AY$1,),))))-(((VLOOKUP(EDATE(B42,-12),Database!$F:$AY,MATCH($L$1,Database!$F$1:$AY$1,),)))))/(((VLOOKUP(EDATE(B42,-12),Database!$F:$AY,MATCH($L$1,Database!$F$1:$AY$1,),))))</f>
        <v/>
      </c>
      <c r="M42" s="13">
        <f>((((VLOOKUP(B42,Database!$F:$AY,MATCH($M$1,Database!$F$1:$AY$1,),))))-(((VLOOKUP(EDATE(B42,-12),Database!$F:$AY,MATCH($M$1,Database!$F$1:$AY$1,),)))))/(((VLOOKUP(EDATE(B42,-12),Database!$F:$AY,MATCH($M$1,Database!$F$1:$AY$1,),))))</f>
        <v/>
      </c>
      <c r="N42" s="13">
        <f>((((VLOOKUP(B42,Database!$F:$AY,MATCH($N$1,Database!$F$1:$AY$1,),))))-(((VLOOKUP(EDATE(B42,-12),Database!$F:$AY,MATCH($N$1,Database!$F$1:$AY$1,),)))))/(((VLOOKUP(EDATE(B42,-12),Database!$F:$AY,MATCH($N$1,Database!$F$1:$AY$1,),))))</f>
        <v/>
      </c>
      <c r="O42" s="13">
        <f>((((VLOOKUP(B42,Database!$F:$AY,MATCH($O$1,Database!$F$1:$AY$1,),))))-(((VLOOKUP(EDATE(B42,-12),Database!$F:$AY,MATCH($O$1,Database!$F$1:$AY$1,),)))))/(((VLOOKUP(EDATE(B42,-12),Database!$F:$AY,MATCH($O$1,Database!$F$1:$AY$1,),))))</f>
        <v/>
      </c>
      <c r="P42" s="13">
        <f>((((VLOOKUP(B42,Database!$F:$AY,MATCH($P$1,Database!$F$1:$AY$1,),))))-(((VLOOKUP(EDATE(B42,-12),Database!$F:$AY,MATCH($P$1,Database!$F$1:$AY$1,),)))))/(((VLOOKUP(EDATE(B42,-12),Database!$F:$AY,MATCH($P$1,Database!$F$1:$AY$1,),))))</f>
        <v/>
      </c>
      <c r="Q42" s="13">
        <f>((((VLOOKUP(B42,Database!$F:$AY,MATCH($Q$1,Database!$F$1:$AY$1,),))))-(((VLOOKUP(EDATE(B42,-12),Database!$F:$AY,MATCH($Q$1,Database!$F$1:$AY$1,),)))))/(((VLOOKUP(EDATE(B42,-12),Database!$F:$AY,MATCH($Q$1,Database!$F$1:$AY$1,),))))</f>
        <v/>
      </c>
      <c r="R42" s="13">
        <f>((((VLOOKUP(B42,Database!$F:$AY,MATCH($R$1,Database!$F$1:$AY$1,),))))-(((VLOOKUP(EDATE(B42,-12),Database!$F:$AY,MATCH($R$1,Database!$F$1:$AY$1,),)))))/(((VLOOKUP(EDATE(B42,-12),Database!$F:$AY,MATCH($R$1,Database!$F$1:$AY$1,),))))</f>
        <v/>
      </c>
      <c r="S42" s="13">
        <f>((((VLOOKUP(B42,Database!$F:$AY,MATCH($S$1,Database!$F$1:$AY$1,),))))-(((VLOOKUP(EDATE(B42,-12),Database!$F:$AY,MATCH($S$1,Database!$F$1:$AY$1,),)))))/(((VLOOKUP(EDATE(B42,-12),Database!$F:$AY,MATCH($S$1,Database!$F$1:$AY$1,),))))</f>
        <v/>
      </c>
      <c r="T42" s="13">
        <f>((((VLOOKUP(B42,Database!$F:$AY,MATCH($T$1,Database!$F$1:$AY$1,),))))-(((VLOOKUP(EDATE(B42,-12),Database!$F:$AY,MATCH($T$1,Database!$F$1:$AY$1,),)))))/(((VLOOKUP(EDATE(B42,-12),Database!$F:$AY,MATCH($T$1,Database!$F$1:$AY$1,),))))</f>
        <v/>
      </c>
      <c r="U42" s="13">
        <f>((((VLOOKUP(B42,Database!$F:$AY,MATCH($U$1,Database!$F$1:$AY$1,),))))-(((VLOOKUP(EDATE(B42,-12),Database!$F:$AY,MATCH($U$1,Database!$F$1:$AY$1,),)))))/(((VLOOKUP(EDATE(B42,-12),Database!$F:$AY,MATCH($U$1,Database!$F$1:$AY$1,),))))</f>
        <v/>
      </c>
      <c r="V42" s="13">
        <f>((((VLOOKUP(B42,Database!$F:$AY,MATCH($V$1,Database!$F$1:$AY$1,),))))-(((VLOOKUP(EDATE(B42,-12),Database!$F:$AY,MATCH($V$1,Database!$F$1:$AY$1,),)))))/(((VLOOKUP(EDATE(B42,-12),Database!$F:$AY,MATCH($V$1,Database!$F$1:$AY$1,),))))</f>
        <v/>
      </c>
    </row>
    <row r="43" customFormat="1" s="100">
      <c r="A43" s="45" t="n"/>
      <c r="B43" s="46" t="n">
        <v>33451</v>
      </c>
      <c r="C43" s="13">
        <f>((((VLOOKUP(B43,Database!$F:$AY,MATCH($C$1,Database!$F$1:$AY$1,),))))-(((VLOOKUP(EDATE(B43,-12),Database!$F:$AY,MATCH($C$1,Database!$F$1:$AY$1,),)))))/(((VLOOKUP(EDATE(B43,-12),Database!$F:$AY,MATCH($C$1,Database!$F$1:$AY$1,),))))</f>
        <v/>
      </c>
      <c r="D43" s="13">
        <f>((((VLOOKUP(B43,Database!$F:$AY,MATCH($D$1,Database!$F$1:$AY$1,),))))-(((VLOOKUP(EDATE(B43,-12),Database!$F:$AY,MATCH($D$1,Database!$F$1:$AY$1,),)))))/(((VLOOKUP(EDATE(B43,-12),Database!$F:$AY,MATCH($D$1,Database!$F$1:$AY$1,),))))</f>
        <v/>
      </c>
      <c r="E43" s="13">
        <f>((((VLOOKUP(B43,Database!$F:$AY,MATCH($E$1,Database!$F$1:$AY$1,),))))-(((VLOOKUP(EDATE(B43,-12),Database!$F:$AY,MATCH($E$1,Database!$F$1:$AY$1,),)))))/(((VLOOKUP(EDATE(B43,-12),Database!$F:$AY,MATCH($E$1,Database!$F$1:$AY$1,),))))</f>
        <v/>
      </c>
      <c r="F43" s="13">
        <f>((((VLOOKUP(B43,Database!$F:$AY,MATCH($F$1,Database!$F$1:$AY$1,),))))-(((VLOOKUP(EDATE(B43,-12),Database!$F:$AY,MATCH($F$1,Database!$F$1:$AY$1,),)))))/(((VLOOKUP(EDATE(B43,-12),Database!$F:$AY,MATCH($F$1,Database!$F$1:$AY$1,),))))</f>
        <v/>
      </c>
      <c r="G43" s="13">
        <f>((((VLOOKUP(B43,Database!$F:$AY,MATCH($G$1,Database!$F$1:$AY$1,),))))-(((VLOOKUP(EDATE(B43,-12),Database!$F:$AY,MATCH($G$1,Database!$F$1:$AY$1,),)))))/(((VLOOKUP(EDATE(B43,-12),Database!$F:$AY,MATCH($G$1,Database!$F$1:$AY$1,),))))</f>
        <v/>
      </c>
      <c r="H43" s="13">
        <f>((((VLOOKUP(B43,Database!$F:$AY,MATCH($H$1,Database!$F$1:$AY$1,),))))-(((VLOOKUP(EDATE(B43,-12),Database!$F:$AY,MATCH($H$1,Database!$F$1:$AY$1,),)))))/(((VLOOKUP(EDATE(B43,-12),Database!$F:$AY,MATCH($H$1,Database!$F$1:$AY$1,),))))</f>
        <v/>
      </c>
      <c r="I43" s="13">
        <f>((((VLOOKUP(B43,Database!$F:$AY,MATCH($I$1,Database!$F$1:$AY$1,),))))-(((VLOOKUP(EDATE(B43,-12),Database!$F:$AY,MATCH($I$1,Database!$F$1:$AY$1,),)))))/(((VLOOKUP(EDATE(B43,-12),Database!$F:$AY,MATCH($I$1,Database!$F$1:$AY$1,),))))</f>
        <v/>
      </c>
      <c r="J43" s="13">
        <f>((((VLOOKUP(B43,Database!$F:$AY,MATCH($J$1,Database!$F$1:$AY$1,),))))-(((VLOOKUP(EDATE(B43,-12),Database!$F:$AY,MATCH($J$1,Database!$F$1:$AY$1,),)))))/(((VLOOKUP(EDATE(B43,-12),Database!$F:$AY,MATCH($J$1,Database!$F$1:$AY$1,),))))</f>
        <v/>
      </c>
      <c r="K43" s="13">
        <f>((((VLOOKUP(B43,Database!$F:$AY,MATCH($K$1,Database!$F$1:$AY$1,),))))-(((VLOOKUP(EDATE(B43,-12),Database!$F:$AY,MATCH($K$1,Database!$F$1:$AY$1,),)))))/(((VLOOKUP(EDATE(B43,-12),Database!$F:$AY,MATCH($K$1,Database!$F$1:$AY$1,),))))</f>
        <v/>
      </c>
      <c r="L43" s="13">
        <f>((((VLOOKUP(B43,Database!$F:$AY,MATCH($L$1,Database!$F$1:$AY$1,),))))-(((VLOOKUP(EDATE(B43,-12),Database!$F:$AY,MATCH($L$1,Database!$F$1:$AY$1,),)))))/(((VLOOKUP(EDATE(B43,-12),Database!$F:$AY,MATCH($L$1,Database!$F$1:$AY$1,),))))</f>
        <v/>
      </c>
      <c r="M43" s="13">
        <f>((((VLOOKUP(B43,Database!$F:$AY,MATCH($M$1,Database!$F$1:$AY$1,),))))-(((VLOOKUP(EDATE(B43,-12),Database!$F:$AY,MATCH($M$1,Database!$F$1:$AY$1,),)))))/(((VLOOKUP(EDATE(B43,-12),Database!$F:$AY,MATCH($M$1,Database!$F$1:$AY$1,),))))</f>
        <v/>
      </c>
      <c r="N43" s="13">
        <f>((((VLOOKUP(B43,Database!$F:$AY,MATCH($N$1,Database!$F$1:$AY$1,),))))-(((VLOOKUP(EDATE(B43,-12),Database!$F:$AY,MATCH($N$1,Database!$F$1:$AY$1,),)))))/(((VLOOKUP(EDATE(B43,-12),Database!$F:$AY,MATCH($N$1,Database!$F$1:$AY$1,),))))</f>
        <v/>
      </c>
      <c r="O43" s="13">
        <f>((((VLOOKUP(B43,Database!$F:$AY,MATCH($O$1,Database!$F$1:$AY$1,),))))-(((VLOOKUP(EDATE(B43,-12),Database!$F:$AY,MATCH($O$1,Database!$F$1:$AY$1,),)))))/(((VLOOKUP(EDATE(B43,-12),Database!$F:$AY,MATCH($O$1,Database!$F$1:$AY$1,),))))</f>
        <v/>
      </c>
      <c r="P43" s="13">
        <f>((((VLOOKUP(B43,Database!$F:$AY,MATCH($P$1,Database!$F$1:$AY$1,),))))-(((VLOOKUP(EDATE(B43,-12),Database!$F:$AY,MATCH($P$1,Database!$F$1:$AY$1,),)))))/(((VLOOKUP(EDATE(B43,-12),Database!$F:$AY,MATCH($P$1,Database!$F$1:$AY$1,),))))</f>
        <v/>
      </c>
      <c r="Q43" s="13">
        <f>((((VLOOKUP(B43,Database!$F:$AY,MATCH($Q$1,Database!$F$1:$AY$1,),))))-(((VLOOKUP(EDATE(B43,-12),Database!$F:$AY,MATCH($Q$1,Database!$F$1:$AY$1,),)))))/(((VLOOKUP(EDATE(B43,-12),Database!$F:$AY,MATCH($Q$1,Database!$F$1:$AY$1,),))))</f>
        <v/>
      </c>
      <c r="R43" s="13">
        <f>((((VLOOKUP(B43,Database!$F:$AY,MATCH($R$1,Database!$F$1:$AY$1,),))))-(((VLOOKUP(EDATE(B43,-12),Database!$F:$AY,MATCH($R$1,Database!$F$1:$AY$1,),)))))/(((VLOOKUP(EDATE(B43,-12),Database!$F:$AY,MATCH($R$1,Database!$F$1:$AY$1,),))))</f>
        <v/>
      </c>
      <c r="S43" s="13">
        <f>((((VLOOKUP(B43,Database!$F:$AY,MATCH($S$1,Database!$F$1:$AY$1,),))))-(((VLOOKUP(EDATE(B43,-12),Database!$F:$AY,MATCH($S$1,Database!$F$1:$AY$1,),)))))/(((VLOOKUP(EDATE(B43,-12),Database!$F:$AY,MATCH($S$1,Database!$F$1:$AY$1,),))))</f>
        <v/>
      </c>
      <c r="T43" s="13">
        <f>((((VLOOKUP(B43,Database!$F:$AY,MATCH($T$1,Database!$F$1:$AY$1,),))))-(((VLOOKUP(EDATE(B43,-12),Database!$F:$AY,MATCH($T$1,Database!$F$1:$AY$1,),)))))/(((VLOOKUP(EDATE(B43,-12),Database!$F:$AY,MATCH($T$1,Database!$F$1:$AY$1,),))))</f>
        <v/>
      </c>
      <c r="U43" s="13">
        <f>((((VLOOKUP(B43,Database!$F:$AY,MATCH($U$1,Database!$F$1:$AY$1,),))))-(((VLOOKUP(EDATE(B43,-12),Database!$F:$AY,MATCH($U$1,Database!$F$1:$AY$1,),)))))/(((VLOOKUP(EDATE(B43,-12),Database!$F:$AY,MATCH($U$1,Database!$F$1:$AY$1,),))))</f>
        <v/>
      </c>
      <c r="V43" s="13">
        <f>((((VLOOKUP(B43,Database!$F:$AY,MATCH($V$1,Database!$F$1:$AY$1,),))))-(((VLOOKUP(EDATE(B43,-12),Database!$F:$AY,MATCH($V$1,Database!$F$1:$AY$1,),)))))/(((VLOOKUP(EDATE(B43,-12),Database!$F:$AY,MATCH($V$1,Database!$F$1:$AY$1,),))))</f>
        <v/>
      </c>
    </row>
    <row r="44" customFormat="1" s="100">
      <c r="A44" s="45" t="n"/>
      <c r="B44" s="46" t="n">
        <v>33482</v>
      </c>
      <c r="C44" s="13">
        <f>((((VLOOKUP(B44,Database!$F:$AY,MATCH($C$1,Database!$F$1:$AY$1,),))))-(((VLOOKUP(EDATE(B44,-12),Database!$F:$AY,MATCH($C$1,Database!$F$1:$AY$1,),)))))/(((VLOOKUP(EDATE(B44,-12),Database!$F:$AY,MATCH($C$1,Database!$F$1:$AY$1,),))))</f>
        <v/>
      </c>
      <c r="D44" s="13">
        <f>((((VLOOKUP(B44,Database!$F:$AY,MATCH($D$1,Database!$F$1:$AY$1,),))))-(((VLOOKUP(EDATE(B44,-12),Database!$F:$AY,MATCH($D$1,Database!$F$1:$AY$1,),)))))/(((VLOOKUP(EDATE(B44,-12),Database!$F:$AY,MATCH($D$1,Database!$F$1:$AY$1,),))))</f>
        <v/>
      </c>
      <c r="E44" s="13">
        <f>((((VLOOKUP(B44,Database!$F:$AY,MATCH($E$1,Database!$F$1:$AY$1,),))))-(((VLOOKUP(EDATE(B44,-12),Database!$F:$AY,MATCH($E$1,Database!$F$1:$AY$1,),)))))/(((VLOOKUP(EDATE(B44,-12),Database!$F:$AY,MATCH($E$1,Database!$F$1:$AY$1,),))))</f>
        <v/>
      </c>
      <c r="F44" s="13">
        <f>((((VLOOKUP(B44,Database!$F:$AY,MATCH($F$1,Database!$F$1:$AY$1,),))))-(((VLOOKUP(EDATE(B44,-12),Database!$F:$AY,MATCH($F$1,Database!$F$1:$AY$1,),)))))/(((VLOOKUP(EDATE(B44,-12),Database!$F:$AY,MATCH($F$1,Database!$F$1:$AY$1,),))))</f>
        <v/>
      </c>
      <c r="G44" s="13">
        <f>((((VLOOKUP(B44,Database!$F:$AY,MATCH($G$1,Database!$F$1:$AY$1,),))))-(((VLOOKUP(EDATE(B44,-12),Database!$F:$AY,MATCH($G$1,Database!$F$1:$AY$1,),)))))/(((VLOOKUP(EDATE(B44,-12),Database!$F:$AY,MATCH($G$1,Database!$F$1:$AY$1,),))))</f>
        <v/>
      </c>
      <c r="H44" s="13">
        <f>((((VLOOKUP(B44,Database!$F:$AY,MATCH($H$1,Database!$F$1:$AY$1,),))))-(((VLOOKUP(EDATE(B44,-12),Database!$F:$AY,MATCH($H$1,Database!$F$1:$AY$1,),)))))/(((VLOOKUP(EDATE(B44,-12),Database!$F:$AY,MATCH($H$1,Database!$F$1:$AY$1,),))))</f>
        <v/>
      </c>
      <c r="I44" s="13">
        <f>((((VLOOKUP(B44,Database!$F:$AY,MATCH($I$1,Database!$F$1:$AY$1,),))))-(((VLOOKUP(EDATE(B44,-12),Database!$F:$AY,MATCH($I$1,Database!$F$1:$AY$1,),)))))/(((VLOOKUP(EDATE(B44,-12),Database!$F:$AY,MATCH($I$1,Database!$F$1:$AY$1,),))))</f>
        <v/>
      </c>
      <c r="J44" s="13">
        <f>((((VLOOKUP(B44,Database!$F:$AY,MATCH($J$1,Database!$F$1:$AY$1,),))))-(((VLOOKUP(EDATE(B44,-12),Database!$F:$AY,MATCH($J$1,Database!$F$1:$AY$1,),)))))/(((VLOOKUP(EDATE(B44,-12),Database!$F:$AY,MATCH($J$1,Database!$F$1:$AY$1,),))))</f>
        <v/>
      </c>
      <c r="K44" s="13">
        <f>((((VLOOKUP(B44,Database!$F:$AY,MATCH($K$1,Database!$F$1:$AY$1,),))))-(((VLOOKUP(EDATE(B44,-12),Database!$F:$AY,MATCH($K$1,Database!$F$1:$AY$1,),)))))/(((VLOOKUP(EDATE(B44,-12),Database!$F:$AY,MATCH($K$1,Database!$F$1:$AY$1,),))))</f>
        <v/>
      </c>
      <c r="L44" s="13">
        <f>((((VLOOKUP(B44,Database!$F:$AY,MATCH($L$1,Database!$F$1:$AY$1,),))))-(((VLOOKUP(EDATE(B44,-12),Database!$F:$AY,MATCH($L$1,Database!$F$1:$AY$1,),)))))/(((VLOOKUP(EDATE(B44,-12),Database!$F:$AY,MATCH($L$1,Database!$F$1:$AY$1,),))))</f>
        <v/>
      </c>
      <c r="M44" s="13">
        <f>((((VLOOKUP(B44,Database!$F:$AY,MATCH($M$1,Database!$F$1:$AY$1,),))))-(((VLOOKUP(EDATE(B44,-12),Database!$F:$AY,MATCH($M$1,Database!$F$1:$AY$1,),)))))/(((VLOOKUP(EDATE(B44,-12),Database!$F:$AY,MATCH($M$1,Database!$F$1:$AY$1,),))))</f>
        <v/>
      </c>
      <c r="N44" s="13">
        <f>((((VLOOKUP(B44,Database!$F:$AY,MATCH($N$1,Database!$F$1:$AY$1,),))))-(((VLOOKUP(EDATE(B44,-12),Database!$F:$AY,MATCH($N$1,Database!$F$1:$AY$1,),)))))/(((VLOOKUP(EDATE(B44,-12),Database!$F:$AY,MATCH($N$1,Database!$F$1:$AY$1,),))))</f>
        <v/>
      </c>
      <c r="O44" s="13">
        <f>((((VLOOKUP(B44,Database!$F:$AY,MATCH($O$1,Database!$F$1:$AY$1,),))))-(((VLOOKUP(EDATE(B44,-12),Database!$F:$AY,MATCH($O$1,Database!$F$1:$AY$1,),)))))/(((VLOOKUP(EDATE(B44,-12),Database!$F:$AY,MATCH($O$1,Database!$F$1:$AY$1,),))))</f>
        <v/>
      </c>
      <c r="P44" s="13">
        <f>((((VLOOKUP(B44,Database!$F:$AY,MATCH($P$1,Database!$F$1:$AY$1,),))))-(((VLOOKUP(EDATE(B44,-12),Database!$F:$AY,MATCH($P$1,Database!$F$1:$AY$1,),)))))/(((VLOOKUP(EDATE(B44,-12),Database!$F:$AY,MATCH($P$1,Database!$F$1:$AY$1,),))))</f>
        <v/>
      </c>
      <c r="Q44" s="13">
        <f>((((VLOOKUP(B44,Database!$F:$AY,MATCH($Q$1,Database!$F$1:$AY$1,),))))-(((VLOOKUP(EDATE(B44,-12),Database!$F:$AY,MATCH($Q$1,Database!$F$1:$AY$1,),)))))/(((VLOOKUP(EDATE(B44,-12),Database!$F:$AY,MATCH($Q$1,Database!$F$1:$AY$1,),))))</f>
        <v/>
      </c>
      <c r="R44" s="13">
        <f>((((VLOOKUP(B44,Database!$F:$AY,MATCH($R$1,Database!$F$1:$AY$1,),))))-(((VLOOKUP(EDATE(B44,-12),Database!$F:$AY,MATCH($R$1,Database!$F$1:$AY$1,),)))))/(((VLOOKUP(EDATE(B44,-12),Database!$F:$AY,MATCH($R$1,Database!$F$1:$AY$1,),))))</f>
        <v/>
      </c>
      <c r="S44" s="13">
        <f>((((VLOOKUP(B44,Database!$F:$AY,MATCH($S$1,Database!$F$1:$AY$1,),))))-(((VLOOKUP(EDATE(B44,-12),Database!$F:$AY,MATCH($S$1,Database!$F$1:$AY$1,),)))))/(((VLOOKUP(EDATE(B44,-12),Database!$F:$AY,MATCH($S$1,Database!$F$1:$AY$1,),))))</f>
        <v/>
      </c>
      <c r="T44" s="13">
        <f>((((VLOOKUP(B44,Database!$F:$AY,MATCH($T$1,Database!$F$1:$AY$1,),))))-(((VLOOKUP(EDATE(B44,-12),Database!$F:$AY,MATCH($T$1,Database!$F$1:$AY$1,),)))))/(((VLOOKUP(EDATE(B44,-12),Database!$F:$AY,MATCH($T$1,Database!$F$1:$AY$1,),))))</f>
        <v/>
      </c>
      <c r="U44" s="13">
        <f>((((VLOOKUP(B44,Database!$F:$AY,MATCH($U$1,Database!$F$1:$AY$1,),))))-(((VLOOKUP(EDATE(B44,-12),Database!$F:$AY,MATCH($U$1,Database!$F$1:$AY$1,),)))))/(((VLOOKUP(EDATE(B44,-12),Database!$F:$AY,MATCH($U$1,Database!$F$1:$AY$1,),))))</f>
        <v/>
      </c>
      <c r="V44" s="13">
        <f>((((VLOOKUP(B44,Database!$F:$AY,MATCH($V$1,Database!$F$1:$AY$1,),))))-(((VLOOKUP(EDATE(B44,-12),Database!$F:$AY,MATCH($V$1,Database!$F$1:$AY$1,),)))))/(((VLOOKUP(EDATE(B44,-12),Database!$F:$AY,MATCH($V$1,Database!$F$1:$AY$1,),))))</f>
        <v/>
      </c>
    </row>
    <row r="45" customFormat="1" s="100">
      <c r="A45" s="45" t="n"/>
      <c r="B45" s="46" t="n">
        <v>33512</v>
      </c>
      <c r="C45" s="13">
        <f>((((VLOOKUP(B45,Database!$F:$AY,MATCH($C$1,Database!$F$1:$AY$1,),))))-(((VLOOKUP(EDATE(B45,-12),Database!$F:$AY,MATCH($C$1,Database!$F$1:$AY$1,),)))))/(((VLOOKUP(EDATE(B45,-12),Database!$F:$AY,MATCH($C$1,Database!$F$1:$AY$1,),))))</f>
        <v/>
      </c>
      <c r="D45" s="13">
        <f>((((VLOOKUP(B45,Database!$F:$AY,MATCH($D$1,Database!$F$1:$AY$1,),))))-(((VLOOKUP(EDATE(B45,-12),Database!$F:$AY,MATCH($D$1,Database!$F$1:$AY$1,),)))))/(((VLOOKUP(EDATE(B45,-12),Database!$F:$AY,MATCH($D$1,Database!$F$1:$AY$1,),))))</f>
        <v/>
      </c>
      <c r="E45" s="13">
        <f>((((VLOOKUP(B45,Database!$F:$AY,MATCH($E$1,Database!$F$1:$AY$1,),))))-(((VLOOKUP(EDATE(B45,-12),Database!$F:$AY,MATCH($E$1,Database!$F$1:$AY$1,),)))))/(((VLOOKUP(EDATE(B45,-12),Database!$F:$AY,MATCH($E$1,Database!$F$1:$AY$1,),))))</f>
        <v/>
      </c>
      <c r="F45" s="13">
        <f>((((VLOOKUP(B45,Database!$F:$AY,MATCH($F$1,Database!$F$1:$AY$1,),))))-(((VLOOKUP(EDATE(B45,-12),Database!$F:$AY,MATCH($F$1,Database!$F$1:$AY$1,),)))))/(((VLOOKUP(EDATE(B45,-12),Database!$F:$AY,MATCH($F$1,Database!$F$1:$AY$1,),))))</f>
        <v/>
      </c>
      <c r="G45" s="13">
        <f>((((VLOOKUP(B45,Database!$F:$AY,MATCH($G$1,Database!$F$1:$AY$1,),))))-(((VLOOKUP(EDATE(B45,-12),Database!$F:$AY,MATCH($G$1,Database!$F$1:$AY$1,),)))))/(((VLOOKUP(EDATE(B45,-12),Database!$F:$AY,MATCH($G$1,Database!$F$1:$AY$1,),))))</f>
        <v/>
      </c>
      <c r="H45" s="13">
        <f>((((VLOOKUP(B45,Database!$F:$AY,MATCH($H$1,Database!$F$1:$AY$1,),))))-(((VLOOKUP(EDATE(B45,-12),Database!$F:$AY,MATCH($H$1,Database!$F$1:$AY$1,),)))))/(((VLOOKUP(EDATE(B45,-12),Database!$F:$AY,MATCH($H$1,Database!$F$1:$AY$1,),))))</f>
        <v/>
      </c>
      <c r="I45" s="13">
        <f>((((VLOOKUP(B45,Database!$F:$AY,MATCH($I$1,Database!$F$1:$AY$1,),))))-(((VLOOKUP(EDATE(B45,-12),Database!$F:$AY,MATCH($I$1,Database!$F$1:$AY$1,),)))))/(((VLOOKUP(EDATE(B45,-12),Database!$F:$AY,MATCH($I$1,Database!$F$1:$AY$1,),))))</f>
        <v/>
      </c>
      <c r="J45" s="13">
        <f>((((VLOOKUP(B45,Database!$F:$AY,MATCH($J$1,Database!$F$1:$AY$1,),))))-(((VLOOKUP(EDATE(B45,-12),Database!$F:$AY,MATCH($J$1,Database!$F$1:$AY$1,),)))))/(((VLOOKUP(EDATE(B45,-12),Database!$F:$AY,MATCH($J$1,Database!$F$1:$AY$1,),))))</f>
        <v/>
      </c>
      <c r="K45" s="13">
        <f>((((VLOOKUP(B45,Database!$F:$AY,MATCH($K$1,Database!$F$1:$AY$1,),))))-(((VLOOKUP(EDATE(B45,-12),Database!$F:$AY,MATCH($K$1,Database!$F$1:$AY$1,),)))))/(((VLOOKUP(EDATE(B45,-12),Database!$F:$AY,MATCH($K$1,Database!$F$1:$AY$1,),))))</f>
        <v/>
      </c>
      <c r="L45" s="13">
        <f>((((VLOOKUP(B45,Database!$F:$AY,MATCH($L$1,Database!$F$1:$AY$1,),))))-(((VLOOKUP(EDATE(B45,-12),Database!$F:$AY,MATCH($L$1,Database!$F$1:$AY$1,),)))))/(((VLOOKUP(EDATE(B45,-12),Database!$F:$AY,MATCH($L$1,Database!$F$1:$AY$1,),))))</f>
        <v/>
      </c>
      <c r="M45" s="13">
        <f>((((VLOOKUP(B45,Database!$F:$AY,MATCH($M$1,Database!$F$1:$AY$1,),))))-(((VLOOKUP(EDATE(B45,-12),Database!$F:$AY,MATCH($M$1,Database!$F$1:$AY$1,),)))))/(((VLOOKUP(EDATE(B45,-12),Database!$F:$AY,MATCH($M$1,Database!$F$1:$AY$1,),))))</f>
        <v/>
      </c>
      <c r="N45" s="13">
        <f>((((VLOOKUP(B45,Database!$F:$AY,MATCH($N$1,Database!$F$1:$AY$1,),))))-(((VLOOKUP(EDATE(B45,-12),Database!$F:$AY,MATCH($N$1,Database!$F$1:$AY$1,),)))))/(((VLOOKUP(EDATE(B45,-12),Database!$F:$AY,MATCH($N$1,Database!$F$1:$AY$1,),))))</f>
        <v/>
      </c>
      <c r="O45" s="13">
        <f>((((VLOOKUP(B45,Database!$F:$AY,MATCH($O$1,Database!$F$1:$AY$1,),))))-(((VLOOKUP(EDATE(B45,-12),Database!$F:$AY,MATCH($O$1,Database!$F$1:$AY$1,),)))))/(((VLOOKUP(EDATE(B45,-12),Database!$F:$AY,MATCH($O$1,Database!$F$1:$AY$1,),))))</f>
        <v/>
      </c>
      <c r="P45" s="13">
        <f>((((VLOOKUP(B45,Database!$F:$AY,MATCH($P$1,Database!$F$1:$AY$1,),))))-(((VLOOKUP(EDATE(B45,-12),Database!$F:$AY,MATCH($P$1,Database!$F$1:$AY$1,),)))))/(((VLOOKUP(EDATE(B45,-12),Database!$F:$AY,MATCH($P$1,Database!$F$1:$AY$1,),))))</f>
        <v/>
      </c>
      <c r="Q45" s="13">
        <f>((((VLOOKUP(B45,Database!$F:$AY,MATCH($Q$1,Database!$F$1:$AY$1,),))))-(((VLOOKUP(EDATE(B45,-12),Database!$F:$AY,MATCH($Q$1,Database!$F$1:$AY$1,),)))))/(((VLOOKUP(EDATE(B45,-12),Database!$F:$AY,MATCH($Q$1,Database!$F$1:$AY$1,),))))</f>
        <v/>
      </c>
      <c r="R45" s="13">
        <f>((((VLOOKUP(B45,Database!$F:$AY,MATCH($R$1,Database!$F$1:$AY$1,),))))-(((VLOOKUP(EDATE(B45,-12),Database!$F:$AY,MATCH($R$1,Database!$F$1:$AY$1,),)))))/(((VLOOKUP(EDATE(B45,-12),Database!$F:$AY,MATCH($R$1,Database!$F$1:$AY$1,),))))</f>
        <v/>
      </c>
      <c r="S45" s="13">
        <f>((((VLOOKUP(B45,Database!$F:$AY,MATCH($S$1,Database!$F$1:$AY$1,),))))-(((VLOOKUP(EDATE(B45,-12),Database!$F:$AY,MATCH($S$1,Database!$F$1:$AY$1,),)))))/(((VLOOKUP(EDATE(B45,-12),Database!$F:$AY,MATCH($S$1,Database!$F$1:$AY$1,),))))</f>
        <v/>
      </c>
      <c r="T45" s="13">
        <f>((((VLOOKUP(B45,Database!$F:$AY,MATCH($T$1,Database!$F$1:$AY$1,),))))-(((VLOOKUP(EDATE(B45,-12),Database!$F:$AY,MATCH($T$1,Database!$F$1:$AY$1,),)))))/(((VLOOKUP(EDATE(B45,-12),Database!$F:$AY,MATCH($T$1,Database!$F$1:$AY$1,),))))</f>
        <v/>
      </c>
      <c r="U45" s="13">
        <f>((((VLOOKUP(B45,Database!$F:$AY,MATCH($U$1,Database!$F$1:$AY$1,),))))-(((VLOOKUP(EDATE(B45,-12),Database!$F:$AY,MATCH($U$1,Database!$F$1:$AY$1,),)))))/(((VLOOKUP(EDATE(B45,-12),Database!$F:$AY,MATCH($U$1,Database!$F$1:$AY$1,),))))</f>
        <v/>
      </c>
      <c r="V45" s="13">
        <f>((((VLOOKUP(B45,Database!$F:$AY,MATCH($V$1,Database!$F$1:$AY$1,),))))-(((VLOOKUP(EDATE(B45,-12),Database!$F:$AY,MATCH($V$1,Database!$F$1:$AY$1,),)))))/(((VLOOKUP(EDATE(B45,-12),Database!$F:$AY,MATCH($V$1,Database!$F$1:$AY$1,),))))</f>
        <v/>
      </c>
    </row>
    <row r="46" customFormat="1" s="100">
      <c r="A46" s="45" t="n"/>
      <c r="B46" s="46" t="n">
        <v>33543</v>
      </c>
      <c r="C46" s="13">
        <f>((((VLOOKUP(B46,Database!$F:$AY,MATCH($C$1,Database!$F$1:$AY$1,),))))-(((VLOOKUP(EDATE(B46,-12),Database!$F:$AY,MATCH($C$1,Database!$F$1:$AY$1,),)))))/(((VLOOKUP(EDATE(B46,-12),Database!$F:$AY,MATCH($C$1,Database!$F$1:$AY$1,),))))</f>
        <v/>
      </c>
      <c r="D46" s="13">
        <f>((((VLOOKUP(B46,Database!$F:$AY,MATCH($D$1,Database!$F$1:$AY$1,),))))-(((VLOOKUP(EDATE(B46,-12),Database!$F:$AY,MATCH($D$1,Database!$F$1:$AY$1,),)))))/(((VLOOKUP(EDATE(B46,-12),Database!$F:$AY,MATCH($D$1,Database!$F$1:$AY$1,),))))</f>
        <v/>
      </c>
      <c r="E46" s="13">
        <f>((((VLOOKUP(B46,Database!$F:$AY,MATCH($E$1,Database!$F$1:$AY$1,),))))-(((VLOOKUP(EDATE(B46,-12),Database!$F:$AY,MATCH($E$1,Database!$F$1:$AY$1,),)))))/(((VLOOKUP(EDATE(B46,-12),Database!$F:$AY,MATCH($E$1,Database!$F$1:$AY$1,),))))</f>
        <v/>
      </c>
      <c r="F46" s="13">
        <f>((((VLOOKUP(B46,Database!$F:$AY,MATCH($F$1,Database!$F$1:$AY$1,),))))-(((VLOOKUP(EDATE(B46,-12),Database!$F:$AY,MATCH($F$1,Database!$F$1:$AY$1,),)))))/(((VLOOKUP(EDATE(B46,-12),Database!$F:$AY,MATCH($F$1,Database!$F$1:$AY$1,),))))</f>
        <v/>
      </c>
      <c r="G46" s="13">
        <f>((((VLOOKUP(B46,Database!$F:$AY,MATCH($G$1,Database!$F$1:$AY$1,),))))-(((VLOOKUP(EDATE(B46,-12),Database!$F:$AY,MATCH($G$1,Database!$F$1:$AY$1,),)))))/(((VLOOKUP(EDATE(B46,-12),Database!$F:$AY,MATCH($G$1,Database!$F$1:$AY$1,),))))</f>
        <v/>
      </c>
      <c r="H46" s="13">
        <f>((((VLOOKUP(B46,Database!$F:$AY,MATCH($H$1,Database!$F$1:$AY$1,),))))-(((VLOOKUP(EDATE(B46,-12),Database!$F:$AY,MATCH($H$1,Database!$F$1:$AY$1,),)))))/(((VLOOKUP(EDATE(B46,-12),Database!$F:$AY,MATCH($H$1,Database!$F$1:$AY$1,),))))</f>
        <v/>
      </c>
      <c r="I46" s="13">
        <f>((((VLOOKUP(B46,Database!$F:$AY,MATCH($I$1,Database!$F$1:$AY$1,),))))-(((VLOOKUP(EDATE(B46,-12),Database!$F:$AY,MATCH($I$1,Database!$F$1:$AY$1,),)))))/(((VLOOKUP(EDATE(B46,-12),Database!$F:$AY,MATCH($I$1,Database!$F$1:$AY$1,),))))</f>
        <v/>
      </c>
      <c r="J46" s="13">
        <f>((((VLOOKUP(B46,Database!$F:$AY,MATCH($J$1,Database!$F$1:$AY$1,),))))-(((VLOOKUP(EDATE(B46,-12),Database!$F:$AY,MATCH($J$1,Database!$F$1:$AY$1,),)))))/(((VLOOKUP(EDATE(B46,-12),Database!$F:$AY,MATCH($J$1,Database!$F$1:$AY$1,),))))</f>
        <v/>
      </c>
      <c r="K46" s="13">
        <f>((((VLOOKUP(B46,Database!$F:$AY,MATCH($K$1,Database!$F$1:$AY$1,),))))-(((VLOOKUP(EDATE(B46,-12),Database!$F:$AY,MATCH($K$1,Database!$F$1:$AY$1,),)))))/(((VLOOKUP(EDATE(B46,-12),Database!$F:$AY,MATCH($K$1,Database!$F$1:$AY$1,),))))</f>
        <v/>
      </c>
      <c r="L46" s="13">
        <f>((((VLOOKUP(B46,Database!$F:$AY,MATCH($L$1,Database!$F$1:$AY$1,),))))-(((VLOOKUP(EDATE(B46,-12),Database!$F:$AY,MATCH($L$1,Database!$F$1:$AY$1,),)))))/(((VLOOKUP(EDATE(B46,-12),Database!$F:$AY,MATCH($L$1,Database!$F$1:$AY$1,),))))</f>
        <v/>
      </c>
      <c r="M46" s="13">
        <f>((((VLOOKUP(B46,Database!$F:$AY,MATCH($M$1,Database!$F$1:$AY$1,),))))-(((VLOOKUP(EDATE(B46,-12),Database!$F:$AY,MATCH($M$1,Database!$F$1:$AY$1,),)))))/(((VLOOKUP(EDATE(B46,-12),Database!$F:$AY,MATCH($M$1,Database!$F$1:$AY$1,),))))</f>
        <v/>
      </c>
      <c r="N46" s="13">
        <f>((((VLOOKUP(B46,Database!$F:$AY,MATCH($N$1,Database!$F$1:$AY$1,),))))-(((VLOOKUP(EDATE(B46,-12),Database!$F:$AY,MATCH($N$1,Database!$F$1:$AY$1,),)))))/(((VLOOKUP(EDATE(B46,-12),Database!$F:$AY,MATCH($N$1,Database!$F$1:$AY$1,),))))</f>
        <v/>
      </c>
      <c r="O46" s="13">
        <f>((((VLOOKUP(B46,Database!$F:$AY,MATCH($O$1,Database!$F$1:$AY$1,),))))-(((VLOOKUP(EDATE(B46,-12),Database!$F:$AY,MATCH($O$1,Database!$F$1:$AY$1,),)))))/(((VLOOKUP(EDATE(B46,-12),Database!$F:$AY,MATCH($O$1,Database!$F$1:$AY$1,),))))</f>
        <v/>
      </c>
      <c r="P46" s="13">
        <f>((((VLOOKUP(B46,Database!$F:$AY,MATCH($P$1,Database!$F$1:$AY$1,),))))-(((VLOOKUP(EDATE(B46,-12),Database!$F:$AY,MATCH($P$1,Database!$F$1:$AY$1,),)))))/(((VLOOKUP(EDATE(B46,-12),Database!$F:$AY,MATCH($P$1,Database!$F$1:$AY$1,),))))</f>
        <v/>
      </c>
      <c r="Q46" s="13">
        <f>((((VLOOKUP(B46,Database!$F:$AY,MATCH($Q$1,Database!$F$1:$AY$1,),))))-(((VLOOKUP(EDATE(B46,-12),Database!$F:$AY,MATCH($Q$1,Database!$F$1:$AY$1,),)))))/(((VLOOKUP(EDATE(B46,-12),Database!$F:$AY,MATCH($Q$1,Database!$F$1:$AY$1,),))))</f>
        <v/>
      </c>
      <c r="R46" s="13">
        <f>((((VLOOKUP(B46,Database!$F:$AY,MATCH($R$1,Database!$F$1:$AY$1,),))))-(((VLOOKUP(EDATE(B46,-12),Database!$F:$AY,MATCH($R$1,Database!$F$1:$AY$1,),)))))/(((VLOOKUP(EDATE(B46,-12),Database!$F:$AY,MATCH($R$1,Database!$F$1:$AY$1,),))))</f>
        <v/>
      </c>
      <c r="S46" s="13">
        <f>((((VLOOKUP(B46,Database!$F:$AY,MATCH($S$1,Database!$F$1:$AY$1,),))))-(((VLOOKUP(EDATE(B46,-12),Database!$F:$AY,MATCH($S$1,Database!$F$1:$AY$1,),)))))/(((VLOOKUP(EDATE(B46,-12),Database!$F:$AY,MATCH($S$1,Database!$F$1:$AY$1,),))))</f>
        <v/>
      </c>
      <c r="T46" s="13">
        <f>((((VLOOKUP(B46,Database!$F:$AY,MATCH($T$1,Database!$F$1:$AY$1,),))))-(((VLOOKUP(EDATE(B46,-12),Database!$F:$AY,MATCH($T$1,Database!$F$1:$AY$1,),)))))/(((VLOOKUP(EDATE(B46,-12),Database!$F:$AY,MATCH($T$1,Database!$F$1:$AY$1,),))))</f>
        <v/>
      </c>
      <c r="U46" s="13">
        <f>((((VLOOKUP(B46,Database!$F:$AY,MATCH($U$1,Database!$F$1:$AY$1,),))))-(((VLOOKUP(EDATE(B46,-12),Database!$F:$AY,MATCH($U$1,Database!$F$1:$AY$1,),)))))/(((VLOOKUP(EDATE(B46,-12),Database!$F:$AY,MATCH($U$1,Database!$F$1:$AY$1,),))))</f>
        <v/>
      </c>
      <c r="V46" s="13">
        <f>((((VLOOKUP(B46,Database!$F:$AY,MATCH($V$1,Database!$F$1:$AY$1,),))))-(((VLOOKUP(EDATE(B46,-12),Database!$F:$AY,MATCH($V$1,Database!$F$1:$AY$1,),)))))/(((VLOOKUP(EDATE(B46,-12),Database!$F:$AY,MATCH($V$1,Database!$F$1:$AY$1,),))))</f>
        <v/>
      </c>
    </row>
    <row r="47" customFormat="1" s="100">
      <c r="A47" s="45" t="n"/>
      <c r="B47" s="46" t="n">
        <v>33573</v>
      </c>
      <c r="C47" s="13">
        <f>((((VLOOKUP(B47,Database!$F:$AY,MATCH($C$1,Database!$F$1:$AY$1,),))))-(((VLOOKUP(EDATE(B47,-12),Database!$F:$AY,MATCH($C$1,Database!$F$1:$AY$1,),)))))/(((VLOOKUP(EDATE(B47,-12),Database!$F:$AY,MATCH($C$1,Database!$F$1:$AY$1,),))))</f>
        <v/>
      </c>
      <c r="D47" s="13">
        <f>((((VLOOKUP(B47,Database!$F:$AY,MATCH($D$1,Database!$F$1:$AY$1,),))))-(((VLOOKUP(EDATE(B47,-12),Database!$F:$AY,MATCH($D$1,Database!$F$1:$AY$1,),)))))/(((VLOOKUP(EDATE(B47,-12),Database!$F:$AY,MATCH($D$1,Database!$F$1:$AY$1,),))))</f>
        <v/>
      </c>
      <c r="E47" s="13">
        <f>((((VLOOKUP(B47,Database!$F:$AY,MATCH($E$1,Database!$F$1:$AY$1,),))))-(((VLOOKUP(EDATE(B47,-12),Database!$F:$AY,MATCH($E$1,Database!$F$1:$AY$1,),)))))/(((VLOOKUP(EDATE(B47,-12),Database!$F:$AY,MATCH($E$1,Database!$F$1:$AY$1,),))))</f>
        <v/>
      </c>
      <c r="F47" s="13">
        <f>((((VLOOKUP(B47,Database!$F:$AY,MATCH($F$1,Database!$F$1:$AY$1,),))))-(((VLOOKUP(EDATE(B47,-12),Database!$F:$AY,MATCH($F$1,Database!$F$1:$AY$1,),)))))/(((VLOOKUP(EDATE(B47,-12),Database!$F:$AY,MATCH($F$1,Database!$F$1:$AY$1,),))))</f>
        <v/>
      </c>
      <c r="G47" s="13">
        <f>((((VLOOKUP(B47,Database!$F:$AY,MATCH($G$1,Database!$F$1:$AY$1,),))))-(((VLOOKUP(EDATE(B47,-12),Database!$F:$AY,MATCH($G$1,Database!$F$1:$AY$1,),)))))/(((VLOOKUP(EDATE(B47,-12),Database!$F:$AY,MATCH($G$1,Database!$F$1:$AY$1,),))))</f>
        <v/>
      </c>
      <c r="H47" s="13">
        <f>((((VLOOKUP(B47,Database!$F:$AY,MATCH($H$1,Database!$F$1:$AY$1,),))))-(((VLOOKUP(EDATE(B47,-12),Database!$F:$AY,MATCH($H$1,Database!$F$1:$AY$1,),)))))/(((VLOOKUP(EDATE(B47,-12),Database!$F:$AY,MATCH($H$1,Database!$F$1:$AY$1,),))))</f>
        <v/>
      </c>
      <c r="I47" s="13">
        <f>((((VLOOKUP(B47,Database!$F:$AY,MATCH($I$1,Database!$F$1:$AY$1,),))))-(((VLOOKUP(EDATE(B47,-12),Database!$F:$AY,MATCH($I$1,Database!$F$1:$AY$1,),)))))/(((VLOOKUP(EDATE(B47,-12),Database!$F:$AY,MATCH($I$1,Database!$F$1:$AY$1,),))))</f>
        <v/>
      </c>
      <c r="J47" s="13">
        <f>((((VLOOKUP(B47,Database!$F:$AY,MATCH($J$1,Database!$F$1:$AY$1,),))))-(((VLOOKUP(EDATE(B47,-12),Database!$F:$AY,MATCH($J$1,Database!$F$1:$AY$1,),)))))/(((VLOOKUP(EDATE(B47,-12),Database!$F:$AY,MATCH($J$1,Database!$F$1:$AY$1,),))))</f>
        <v/>
      </c>
      <c r="K47" s="13">
        <f>((((VLOOKUP(B47,Database!$F:$AY,MATCH($K$1,Database!$F$1:$AY$1,),))))-(((VLOOKUP(EDATE(B47,-12),Database!$F:$AY,MATCH($K$1,Database!$F$1:$AY$1,),)))))/(((VLOOKUP(EDATE(B47,-12),Database!$F:$AY,MATCH($K$1,Database!$F$1:$AY$1,),))))</f>
        <v/>
      </c>
      <c r="L47" s="13">
        <f>((((VLOOKUP(B47,Database!$F:$AY,MATCH($L$1,Database!$F$1:$AY$1,),))))-(((VLOOKUP(EDATE(B47,-12),Database!$F:$AY,MATCH($L$1,Database!$F$1:$AY$1,),)))))/(((VLOOKUP(EDATE(B47,-12),Database!$F:$AY,MATCH($L$1,Database!$F$1:$AY$1,),))))</f>
        <v/>
      </c>
      <c r="M47" s="13">
        <f>((((VLOOKUP(B47,Database!$F:$AY,MATCH($M$1,Database!$F$1:$AY$1,),))))-(((VLOOKUP(EDATE(B47,-12),Database!$F:$AY,MATCH($M$1,Database!$F$1:$AY$1,),)))))/(((VLOOKUP(EDATE(B47,-12),Database!$F:$AY,MATCH($M$1,Database!$F$1:$AY$1,),))))</f>
        <v/>
      </c>
      <c r="N47" s="13">
        <f>((((VLOOKUP(B47,Database!$F:$AY,MATCH($N$1,Database!$F$1:$AY$1,),))))-(((VLOOKUP(EDATE(B47,-12),Database!$F:$AY,MATCH($N$1,Database!$F$1:$AY$1,),)))))/(((VLOOKUP(EDATE(B47,-12),Database!$F:$AY,MATCH($N$1,Database!$F$1:$AY$1,),))))</f>
        <v/>
      </c>
      <c r="O47" s="13">
        <f>((((VLOOKUP(B47,Database!$F:$AY,MATCH($O$1,Database!$F$1:$AY$1,),))))-(((VLOOKUP(EDATE(B47,-12),Database!$F:$AY,MATCH($O$1,Database!$F$1:$AY$1,),)))))/(((VLOOKUP(EDATE(B47,-12),Database!$F:$AY,MATCH($O$1,Database!$F$1:$AY$1,),))))</f>
        <v/>
      </c>
      <c r="P47" s="13">
        <f>((((VLOOKUP(B47,Database!$F:$AY,MATCH($P$1,Database!$F$1:$AY$1,),))))-(((VLOOKUP(EDATE(B47,-12),Database!$F:$AY,MATCH($P$1,Database!$F$1:$AY$1,),)))))/(((VLOOKUP(EDATE(B47,-12),Database!$F:$AY,MATCH($P$1,Database!$F$1:$AY$1,),))))</f>
        <v/>
      </c>
      <c r="Q47" s="13">
        <f>((((VLOOKUP(B47,Database!$F:$AY,MATCH($Q$1,Database!$F$1:$AY$1,),))))-(((VLOOKUP(EDATE(B47,-12),Database!$F:$AY,MATCH($Q$1,Database!$F$1:$AY$1,),)))))/(((VLOOKUP(EDATE(B47,-12),Database!$F:$AY,MATCH($Q$1,Database!$F$1:$AY$1,),))))</f>
        <v/>
      </c>
      <c r="R47" s="13">
        <f>((((VLOOKUP(B47,Database!$F:$AY,MATCH($R$1,Database!$F$1:$AY$1,),))))-(((VLOOKUP(EDATE(B47,-12),Database!$F:$AY,MATCH($R$1,Database!$F$1:$AY$1,),)))))/(((VLOOKUP(EDATE(B47,-12),Database!$F:$AY,MATCH($R$1,Database!$F$1:$AY$1,),))))</f>
        <v/>
      </c>
      <c r="S47" s="13">
        <f>((((VLOOKUP(B47,Database!$F:$AY,MATCH($S$1,Database!$F$1:$AY$1,),))))-(((VLOOKUP(EDATE(B47,-12),Database!$F:$AY,MATCH($S$1,Database!$F$1:$AY$1,),)))))/(((VLOOKUP(EDATE(B47,-12),Database!$F:$AY,MATCH($S$1,Database!$F$1:$AY$1,),))))</f>
        <v/>
      </c>
      <c r="T47" s="13">
        <f>((((VLOOKUP(B47,Database!$F:$AY,MATCH($T$1,Database!$F$1:$AY$1,),))))-(((VLOOKUP(EDATE(B47,-12),Database!$F:$AY,MATCH($T$1,Database!$F$1:$AY$1,),)))))/(((VLOOKUP(EDATE(B47,-12),Database!$F:$AY,MATCH($T$1,Database!$F$1:$AY$1,),))))</f>
        <v/>
      </c>
      <c r="U47" s="13">
        <f>((((VLOOKUP(B47,Database!$F:$AY,MATCH($U$1,Database!$F$1:$AY$1,),))))-(((VLOOKUP(EDATE(B47,-12),Database!$F:$AY,MATCH($U$1,Database!$F$1:$AY$1,),)))))/(((VLOOKUP(EDATE(B47,-12),Database!$F:$AY,MATCH($U$1,Database!$F$1:$AY$1,),))))</f>
        <v/>
      </c>
      <c r="V47" s="13">
        <f>((((VLOOKUP(B47,Database!$F:$AY,MATCH($V$1,Database!$F$1:$AY$1,),))))-(((VLOOKUP(EDATE(B47,-12),Database!$F:$AY,MATCH($V$1,Database!$F$1:$AY$1,),)))))/(((VLOOKUP(EDATE(B47,-12),Database!$F:$AY,MATCH($V$1,Database!$F$1:$AY$1,),))))</f>
        <v/>
      </c>
    </row>
    <row r="48" customFormat="1" s="100">
      <c r="A48" s="45" t="n"/>
      <c r="B48" s="46" t="n">
        <v>33604</v>
      </c>
      <c r="C48" s="13">
        <f>((((VLOOKUP(B48,Database!$F:$AY,MATCH($C$1,Database!$F$1:$AY$1,),))))-(((VLOOKUP(EDATE(B48,-12),Database!$F:$AY,MATCH($C$1,Database!$F$1:$AY$1,),)))))/(((VLOOKUP(EDATE(B48,-12),Database!$F:$AY,MATCH($C$1,Database!$F$1:$AY$1,),))))</f>
        <v/>
      </c>
      <c r="D48" s="13">
        <f>((((VLOOKUP(B48,Database!$F:$AY,MATCH($D$1,Database!$F$1:$AY$1,),))))-(((VLOOKUP(EDATE(B48,-12),Database!$F:$AY,MATCH($D$1,Database!$F$1:$AY$1,),)))))/(((VLOOKUP(EDATE(B48,-12),Database!$F:$AY,MATCH($D$1,Database!$F$1:$AY$1,),))))</f>
        <v/>
      </c>
      <c r="E48" s="13">
        <f>((((VLOOKUP(B48,Database!$F:$AY,MATCH($E$1,Database!$F$1:$AY$1,),))))-(((VLOOKUP(EDATE(B48,-12),Database!$F:$AY,MATCH($E$1,Database!$F$1:$AY$1,),)))))/(((VLOOKUP(EDATE(B48,-12),Database!$F:$AY,MATCH($E$1,Database!$F$1:$AY$1,),))))</f>
        <v/>
      </c>
      <c r="F48" s="13">
        <f>((((VLOOKUP(B48,Database!$F:$AY,MATCH($F$1,Database!$F$1:$AY$1,),))))-(((VLOOKUP(EDATE(B48,-12),Database!$F:$AY,MATCH($F$1,Database!$F$1:$AY$1,),)))))/(((VLOOKUP(EDATE(B48,-12),Database!$F:$AY,MATCH($F$1,Database!$F$1:$AY$1,),))))</f>
        <v/>
      </c>
      <c r="G48" s="13">
        <f>((((VLOOKUP(B48,Database!$F:$AY,MATCH($G$1,Database!$F$1:$AY$1,),))))-(((VLOOKUP(EDATE(B48,-12),Database!$F:$AY,MATCH($G$1,Database!$F$1:$AY$1,),)))))/(((VLOOKUP(EDATE(B48,-12),Database!$F:$AY,MATCH($G$1,Database!$F$1:$AY$1,),))))</f>
        <v/>
      </c>
      <c r="H48" s="13">
        <f>((((VLOOKUP(B48,Database!$F:$AY,MATCH($H$1,Database!$F$1:$AY$1,),))))-(((VLOOKUP(EDATE(B48,-12),Database!$F:$AY,MATCH($H$1,Database!$F$1:$AY$1,),)))))/(((VLOOKUP(EDATE(B48,-12),Database!$F:$AY,MATCH($H$1,Database!$F$1:$AY$1,),))))</f>
        <v/>
      </c>
      <c r="I48" s="13">
        <f>((((VLOOKUP(B48,Database!$F:$AY,MATCH($I$1,Database!$F$1:$AY$1,),))))-(((VLOOKUP(EDATE(B48,-12),Database!$F:$AY,MATCH($I$1,Database!$F$1:$AY$1,),)))))/(((VLOOKUP(EDATE(B48,-12),Database!$F:$AY,MATCH($I$1,Database!$F$1:$AY$1,),))))</f>
        <v/>
      </c>
      <c r="J48" s="13">
        <f>((((VLOOKUP(B48,Database!$F:$AY,MATCH($J$1,Database!$F$1:$AY$1,),))))-(((VLOOKUP(EDATE(B48,-12),Database!$F:$AY,MATCH($J$1,Database!$F$1:$AY$1,),)))))/(((VLOOKUP(EDATE(B48,-12),Database!$F:$AY,MATCH($J$1,Database!$F$1:$AY$1,),))))</f>
        <v/>
      </c>
      <c r="K48" s="13">
        <f>((((VLOOKUP(B48,Database!$F:$AY,MATCH($K$1,Database!$F$1:$AY$1,),))))-(((VLOOKUP(EDATE(B48,-12),Database!$F:$AY,MATCH($K$1,Database!$F$1:$AY$1,),)))))/(((VLOOKUP(EDATE(B48,-12),Database!$F:$AY,MATCH($K$1,Database!$F$1:$AY$1,),))))</f>
        <v/>
      </c>
      <c r="L48" s="13">
        <f>((((VLOOKUP(B48,Database!$F:$AY,MATCH($L$1,Database!$F$1:$AY$1,),))))-(((VLOOKUP(EDATE(B48,-12),Database!$F:$AY,MATCH($L$1,Database!$F$1:$AY$1,),)))))/(((VLOOKUP(EDATE(B48,-12),Database!$F:$AY,MATCH($L$1,Database!$F$1:$AY$1,),))))</f>
        <v/>
      </c>
      <c r="M48" s="13">
        <f>((((VLOOKUP(B48,Database!$F:$AY,MATCH($M$1,Database!$F$1:$AY$1,),))))-(((VLOOKUP(EDATE(B48,-12),Database!$F:$AY,MATCH($M$1,Database!$F$1:$AY$1,),)))))/(((VLOOKUP(EDATE(B48,-12),Database!$F:$AY,MATCH($M$1,Database!$F$1:$AY$1,),))))</f>
        <v/>
      </c>
      <c r="N48" s="13">
        <f>((((VLOOKUP(B48,Database!$F:$AY,MATCH($N$1,Database!$F$1:$AY$1,),))))-(((VLOOKUP(EDATE(B48,-12),Database!$F:$AY,MATCH($N$1,Database!$F$1:$AY$1,),)))))/(((VLOOKUP(EDATE(B48,-12),Database!$F:$AY,MATCH($N$1,Database!$F$1:$AY$1,),))))</f>
        <v/>
      </c>
      <c r="O48" s="13">
        <f>((((VLOOKUP(B48,Database!$F:$AY,MATCH($O$1,Database!$F$1:$AY$1,),))))-(((VLOOKUP(EDATE(B48,-12),Database!$F:$AY,MATCH($O$1,Database!$F$1:$AY$1,),)))))/(((VLOOKUP(EDATE(B48,-12),Database!$F:$AY,MATCH($O$1,Database!$F$1:$AY$1,),))))</f>
        <v/>
      </c>
      <c r="P48" s="13">
        <f>((((VLOOKUP(B48,Database!$F:$AY,MATCH($P$1,Database!$F$1:$AY$1,),))))-(((VLOOKUP(EDATE(B48,-12),Database!$F:$AY,MATCH($P$1,Database!$F$1:$AY$1,),)))))/(((VLOOKUP(EDATE(B48,-12),Database!$F:$AY,MATCH($P$1,Database!$F$1:$AY$1,),))))</f>
        <v/>
      </c>
      <c r="Q48" s="13">
        <f>((((VLOOKUP(B48,Database!$F:$AY,MATCH($Q$1,Database!$F$1:$AY$1,),))))-(((VLOOKUP(EDATE(B48,-12),Database!$F:$AY,MATCH($Q$1,Database!$F$1:$AY$1,),)))))/(((VLOOKUP(EDATE(B48,-12),Database!$F:$AY,MATCH($Q$1,Database!$F$1:$AY$1,),))))</f>
        <v/>
      </c>
      <c r="R48" s="13">
        <f>((((VLOOKUP(B48,Database!$F:$AY,MATCH($R$1,Database!$F$1:$AY$1,),))))-(((VLOOKUP(EDATE(B48,-12),Database!$F:$AY,MATCH($R$1,Database!$F$1:$AY$1,),)))))/(((VLOOKUP(EDATE(B48,-12),Database!$F:$AY,MATCH($R$1,Database!$F$1:$AY$1,),))))</f>
        <v/>
      </c>
      <c r="S48" s="13">
        <f>((((VLOOKUP(B48,Database!$F:$AY,MATCH($S$1,Database!$F$1:$AY$1,),))))-(((VLOOKUP(EDATE(B48,-12),Database!$F:$AY,MATCH($S$1,Database!$F$1:$AY$1,),)))))/(((VLOOKUP(EDATE(B48,-12),Database!$F:$AY,MATCH($S$1,Database!$F$1:$AY$1,),))))</f>
        <v/>
      </c>
      <c r="T48" s="13">
        <f>((((VLOOKUP(B48,Database!$F:$AY,MATCH($T$1,Database!$F$1:$AY$1,),))))-(((VLOOKUP(EDATE(B48,-12),Database!$F:$AY,MATCH($T$1,Database!$F$1:$AY$1,),)))))/(((VLOOKUP(EDATE(B48,-12),Database!$F:$AY,MATCH($T$1,Database!$F$1:$AY$1,),))))</f>
        <v/>
      </c>
      <c r="U48" s="13">
        <f>((((VLOOKUP(B48,Database!$F:$AY,MATCH($U$1,Database!$F$1:$AY$1,),))))-(((VLOOKUP(EDATE(B48,-12),Database!$F:$AY,MATCH($U$1,Database!$F$1:$AY$1,),)))))/(((VLOOKUP(EDATE(B48,-12),Database!$F:$AY,MATCH($U$1,Database!$F$1:$AY$1,),))))</f>
        <v/>
      </c>
      <c r="V48" s="13">
        <f>((((VLOOKUP(B48,Database!$F:$AY,MATCH($V$1,Database!$F$1:$AY$1,),))))-(((VLOOKUP(EDATE(B48,-12),Database!$F:$AY,MATCH($V$1,Database!$F$1:$AY$1,),)))))/(((VLOOKUP(EDATE(B48,-12),Database!$F:$AY,MATCH($V$1,Database!$F$1:$AY$1,),))))</f>
        <v/>
      </c>
    </row>
    <row r="49" customFormat="1" s="100">
      <c r="A49" s="45" t="n"/>
      <c r="B49" s="46" t="n">
        <v>33635</v>
      </c>
      <c r="C49" s="13">
        <f>((((VLOOKUP(B49,Database!$F:$AY,MATCH($C$1,Database!$F$1:$AY$1,),))))-(((VLOOKUP(EDATE(B49,-12),Database!$F:$AY,MATCH($C$1,Database!$F$1:$AY$1,),)))))/(((VLOOKUP(EDATE(B49,-12),Database!$F:$AY,MATCH($C$1,Database!$F$1:$AY$1,),))))</f>
        <v/>
      </c>
      <c r="D49" s="13">
        <f>((((VLOOKUP(B49,Database!$F:$AY,MATCH($D$1,Database!$F$1:$AY$1,),))))-(((VLOOKUP(EDATE(B49,-12),Database!$F:$AY,MATCH($D$1,Database!$F$1:$AY$1,),)))))/(((VLOOKUP(EDATE(B49,-12),Database!$F:$AY,MATCH($D$1,Database!$F$1:$AY$1,),))))</f>
        <v/>
      </c>
      <c r="E49" s="13">
        <f>((((VLOOKUP(B49,Database!$F:$AY,MATCH($E$1,Database!$F$1:$AY$1,),))))-(((VLOOKUP(EDATE(B49,-12),Database!$F:$AY,MATCH($E$1,Database!$F$1:$AY$1,),)))))/(((VLOOKUP(EDATE(B49,-12),Database!$F:$AY,MATCH($E$1,Database!$F$1:$AY$1,),))))</f>
        <v/>
      </c>
      <c r="F49" s="13">
        <f>((((VLOOKUP(B49,Database!$F:$AY,MATCH($F$1,Database!$F$1:$AY$1,),))))-(((VLOOKUP(EDATE(B49,-12),Database!$F:$AY,MATCH($F$1,Database!$F$1:$AY$1,),)))))/(((VLOOKUP(EDATE(B49,-12),Database!$F:$AY,MATCH($F$1,Database!$F$1:$AY$1,),))))</f>
        <v/>
      </c>
      <c r="G49" s="13">
        <f>((((VLOOKUP(B49,Database!$F:$AY,MATCH($G$1,Database!$F$1:$AY$1,),))))-(((VLOOKUP(EDATE(B49,-12),Database!$F:$AY,MATCH($G$1,Database!$F$1:$AY$1,),)))))/(((VLOOKUP(EDATE(B49,-12),Database!$F:$AY,MATCH($G$1,Database!$F$1:$AY$1,),))))</f>
        <v/>
      </c>
      <c r="H49" s="13">
        <f>((((VLOOKUP(B49,Database!$F:$AY,MATCH($H$1,Database!$F$1:$AY$1,),))))-(((VLOOKUP(EDATE(B49,-12),Database!$F:$AY,MATCH($H$1,Database!$F$1:$AY$1,),)))))/(((VLOOKUP(EDATE(B49,-12),Database!$F:$AY,MATCH($H$1,Database!$F$1:$AY$1,),))))</f>
        <v/>
      </c>
      <c r="I49" s="13">
        <f>((((VLOOKUP(B49,Database!$F:$AY,MATCH($I$1,Database!$F$1:$AY$1,),))))-(((VLOOKUP(EDATE(B49,-12),Database!$F:$AY,MATCH($I$1,Database!$F$1:$AY$1,),)))))/(((VLOOKUP(EDATE(B49,-12),Database!$F:$AY,MATCH($I$1,Database!$F$1:$AY$1,),))))</f>
        <v/>
      </c>
      <c r="J49" s="13">
        <f>((((VLOOKUP(B49,Database!$F:$AY,MATCH($J$1,Database!$F$1:$AY$1,),))))-(((VLOOKUP(EDATE(B49,-12),Database!$F:$AY,MATCH($J$1,Database!$F$1:$AY$1,),)))))/(((VLOOKUP(EDATE(B49,-12),Database!$F:$AY,MATCH($J$1,Database!$F$1:$AY$1,),))))</f>
        <v/>
      </c>
      <c r="K49" s="13">
        <f>((((VLOOKUP(B49,Database!$F:$AY,MATCH($K$1,Database!$F$1:$AY$1,),))))-(((VLOOKUP(EDATE(B49,-12),Database!$F:$AY,MATCH($K$1,Database!$F$1:$AY$1,),)))))/(((VLOOKUP(EDATE(B49,-12),Database!$F:$AY,MATCH($K$1,Database!$F$1:$AY$1,),))))</f>
        <v/>
      </c>
      <c r="L49" s="13">
        <f>((((VLOOKUP(B49,Database!$F:$AY,MATCH($L$1,Database!$F$1:$AY$1,),))))-(((VLOOKUP(EDATE(B49,-12),Database!$F:$AY,MATCH($L$1,Database!$F$1:$AY$1,),)))))/(((VLOOKUP(EDATE(B49,-12),Database!$F:$AY,MATCH($L$1,Database!$F$1:$AY$1,),))))</f>
        <v/>
      </c>
      <c r="M49" s="13">
        <f>((((VLOOKUP(B49,Database!$F:$AY,MATCH($M$1,Database!$F$1:$AY$1,),))))-(((VLOOKUP(EDATE(B49,-12),Database!$F:$AY,MATCH($M$1,Database!$F$1:$AY$1,),)))))/(((VLOOKUP(EDATE(B49,-12),Database!$F:$AY,MATCH($M$1,Database!$F$1:$AY$1,),))))</f>
        <v/>
      </c>
      <c r="N49" s="13">
        <f>((((VLOOKUP(B49,Database!$F:$AY,MATCH($N$1,Database!$F$1:$AY$1,),))))-(((VLOOKUP(EDATE(B49,-12),Database!$F:$AY,MATCH($N$1,Database!$F$1:$AY$1,),)))))/(((VLOOKUP(EDATE(B49,-12),Database!$F:$AY,MATCH($N$1,Database!$F$1:$AY$1,),))))</f>
        <v/>
      </c>
      <c r="O49" s="13">
        <f>((((VLOOKUP(B49,Database!$F:$AY,MATCH($O$1,Database!$F$1:$AY$1,),))))-(((VLOOKUP(EDATE(B49,-12),Database!$F:$AY,MATCH($O$1,Database!$F$1:$AY$1,),)))))/(((VLOOKUP(EDATE(B49,-12),Database!$F:$AY,MATCH($O$1,Database!$F$1:$AY$1,),))))</f>
        <v/>
      </c>
      <c r="P49" s="13">
        <f>((((VLOOKUP(B49,Database!$F:$AY,MATCH($P$1,Database!$F$1:$AY$1,),))))-(((VLOOKUP(EDATE(B49,-12),Database!$F:$AY,MATCH($P$1,Database!$F$1:$AY$1,),)))))/(((VLOOKUP(EDATE(B49,-12),Database!$F:$AY,MATCH($P$1,Database!$F$1:$AY$1,),))))</f>
        <v/>
      </c>
      <c r="Q49" s="13">
        <f>((((VLOOKUP(B49,Database!$F:$AY,MATCH($Q$1,Database!$F$1:$AY$1,),))))-(((VLOOKUP(EDATE(B49,-12),Database!$F:$AY,MATCH($Q$1,Database!$F$1:$AY$1,),)))))/(((VLOOKUP(EDATE(B49,-12),Database!$F:$AY,MATCH($Q$1,Database!$F$1:$AY$1,),))))</f>
        <v/>
      </c>
      <c r="R49" s="13">
        <f>((((VLOOKUP(B49,Database!$F:$AY,MATCH($R$1,Database!$F$1:$AY$1,),))))-(((VLOOKUP(EDATE(B49,-12),Database!$F:$AY,MATCH($R$1,Database!$F$1:$AY$1,),)))))/(((VLOOKUP(EDATE(B49,-12),Database!$F:$AY,MATCH($R$1,Database!$F$1:$AY$1,),))))</f>
        <v/>
      </c>
      <c r="S49" s="13">
        <f>((((VLOOKUP(B49,Database!$F:$AY,MATCH($S$1,Database!$F$1:$AY$1,),))))-(((VLOOKUP(EDATE(B49,-12),Database!$F:$AY,MATCH($S$1,Database!$F$1:$AY$1,),)))))/(((VLOOKUP(EDATE(B49,-12),Database!$F:$AY,MATCH($S$1,Database!$F$1:$AY$1,),))))</f>
        <v/>
      </c>
      <c r="T49" s="13">
        <f>((((VLOOKUP(B49,Database!$F:$AY,MATCH($T$1,Database!$F$1:$AY$1,),))))-(((VLOOKUP(EDATE(B49,-12),Database!$F:$AY,MATCH($T$1,Database!$F$1:$AY$1,),)))))/(((VLOOKUP(EDATE(B49,-12),Database!$F:$AY,MATCH($T$1,Database!$F$1:$AY$1,),))))</f>
        <v/>
      </c>
      <c r="U49" s="13">
        <f>((((VLOOKUP(B49,Database!$F:$AY,MATCH($U$1,Database!$F$1:$AY$1,),))))-(((VLOOKUP(EDATE(B49,-12),Database!$F:$AY,MATCH($U$1,Database!$F$1:$AY$1,),)))))/(((VLOOKUP(EDATE(B49,-12),Database!$F:$AY,MATCH($U$1,Database!$F$1:$AY$1,),))))</f>
        <v/>
      </c>
      <c r="V49" s="13">
        <f>((((VLOOKUP(B49,Database!$F:$AY,MATCH($V$1,Database!$F$1:$AY$1,),))))-(((VLOOKUP(EDATE(B49,-12),Database!$F:$AY,MATCH($V$1,Database!$F$1:$AY$1,),)))))/(((VLOOKUP(EDATE(B49,-12),Database!$F:$AY,MATCH($V$1,Database!$F$1:$AY$1,),))))</f>
        <v/>
      </c>
    </row>
    <row r="50" customFormat="1" s="100">
      <c r="A50" s="45" t="n"/>
      <c r="B50" s="46" t="n">
        <v>33664</v>
      </c>
      <c r="C50" s="13">
        <f>((((VLOOKUP(B50,Database!$F:$AY,MATCH($C$1,Database!$F$1:$AY$1,),))))-(((VLOOKUP(EDATE(B50,-12),Database!$F:$AY,MATCH($C$1,Database!$F$1:$AY$1,),)))))/(((VLOOKUP(EDATE(B50,-12),Database!$F:$AY,MATCH($C$1,Database!$F$1:$AY$1,),))))</f>
        <v/>
      </c>
      <c r="D50" s="13">
        <f>((((VLOOKUP(B50,Database!$F:$AY,MATCH($D$1,Database!$F$1:$AY$1,),))))-(((VLOOKUP(EDATE(B50,-12),Database!$F:$AY,MATCH($D$1,Database!$F$1:$AY$1,),)))))/(((VLOOKUP(EDATE(B50,-12),Database!$F:$AY,MATCH($D$1,Database!$F$1:$AY$1,),))))</f>
        <v/>
      </c>
      <c r="E50" s="13">
        <f>((((VLOOKUP(B50,Database!$F:$AY,MATCH($E$1,Database!$F$1:$AY$1,),))))-(((VLOOKUP(EDATE(B50,-12),Database!$F:$AY,MATCH($E$1,Database!$F$1:$AY$1,),)))))/(((VLOOKUP(EDATE(B50,-12),Database!$F:$AY,MATCH($E$1,Database!$F$1:$AY$1,),))))</f>
        <v/>
      </c>
      <c r="F50" s="13">
        <f>((((VLOOKUP(B50,Database!$F:$AY,MATCH($F$1,Database!$F$1:$AY$1,),))))-(((VLOOKUP(EDATE(B50,-12),Database!$F:$AY,MATCH($F$1,Database!$F$1:$AY$1,),)))))/(((VLOOKUP(EDATE(B50,-12),Database!$F:$AY,MATCH($F$1,Database!$F$1:$AY$1,),))))</f>
        <v/>
      </c>
      <c r="G50" s="13">
        <f>((((VLOOKUP(B50,Database!$F:$AY,MATCH($G$1,Database!$F$1:$AY$1,),))))-(((VLOOKUP(EDATE(B50,-12),Database!$F:$AY,MATCH($G$1,Database!$F$1:$AY$1,),)))))/(((VLOOKUP(EDATE(B50,-12),Database!$F:$AY,MATCH($G$1,Database!$F$1:$AY$1,),))))</f>
        <v/>
      </c>
      <c r="H50" s="13">
        <f>((((VLOOKUP(B50,Database!$F:$AY,MATCH($H$1,Database!$F$1:$AY$1,),))))-(((VLOOKUP(EDATE(B50,-12),Database!$F:$AY,MATCH($H$1,Database!$F$1:$AY$1,),)))))/(((VLOOKUP(EDATE(B50,-12),Database!$F:$AY,MATCH($H$1,Database!$F$1:$AY$1,),))))</f>
        <v/>
      </c>
      <c r="I50" s="13">
        <f>((((VLOOKUP(B50,Database!$F:$AY,MATCH($I$1,Database!$F$1:$AY$1,),))))-(((VLOOKUP(EDATE(B50,-12),Database!$F:$AY,MATCH($I$1,Database!$F$1:$AY$1,),)))))/(((VLOOKUP(EDATE(B50,-12),Database!$F:$AY,MATCH($I$1,Database!$F$1:$AY$1,),))))</f>
        <v/>
      </c>
      <c r="J50" s="13">
        <f>((((VLOOKUP(B50,Database!$F:$AY,MATCH($J$1,Database!$F$1:$AY$1,),))))-(((VLOOKUP(EDATE(B50,-12),Database!$F:$AY,MATCH($J$1,Database!$F$1:$AY$1,),)))))/(((VLOOKUP(EDATE(B50,-12),Database!$F:$AY,MATCH($J$1,Database!$F$1:$AY$1,),))))</f>
        <v/>
      </c>
      <c r="K50" s="13">
        <f>((((VLOOKUP(B50,Database!$F:$AY,MATCH($K$1,Database!$F$1:$AY$1,),))))-(((VLOOKUP(EDATE(B50,-12),Database!$F:$AY,MATCH($K$1,Database!$F$1:$AY$1,),)))))/(((VLOOKUP(EDATE(B50,-12),Database!$F:$AY,MATCH($K$1,Database!$F$1:$AY$1,),))))</f>
        <v/>
      </c>
      <c r="L50" s="13">
        <f>((((VLOOKUP(B50,Database!$F:$AY,MATCH($L$1,Database!$F$1:$AY$1,),))))-(((VLOOKUP(EDATE(B50,-12),Database!$F:$AY,MATCH($L$1,Database!$F$1:$AY$1,),)))))/(((VLOOKUP(EDATE(B50,-12),Database!$F:$AY,MATCH($L$1,Database!$F$1:$AY$1,),))))</f>
        <v/>
      </c>
      <c r="M50" s="13">
        <f>((((VLOOKUP(B50,Database!$F:$AY,MATCH($M$1,Database!$F$1:$AY$1,),))))-(((VLOOKUP(EDATE(B50,-12),Database!$F:$AY,MATCH($M$1,Database!$F$1:$AY$1,),)))))/(((VLOOKUP(EDATE(B50,-12),Database!$F:$AY,MATCH($M$1,Database!$F$1:$AY$1,),))))</f>
        <v/>
      </c>
      <c r="N50" s="13">
        <f>((((VLOOKUP(B50,Database!$F:$AY,MATCH($N$1,Database!$F$1:$AY$1,),))))-(((VLOOKUP(EDATE(B50,-12),Database!$F:$AY,MATCH($N$1,Database!$F$1:$AY$1,),)))))/(((VLOOKUP(EDATE(B50,-12),Database!$F:$AY,MATCH($N$1,Database!$F$1:$AY$1,),))))</f>
        <v/>
      </c>
      <c r="O50" s="13">
        <f>((((VLOOKUP(B50,Database!$F:$AY,MATCH($O$1,Database!$F$1:$AY$1,),))))-(((VLOOKUP(EDATE(B50,-12),Database!$F:$AY,MATCH($O$1,Database!$F$1:$AY$1,),)))))/(((VLOOKUP(EDATE(B50,-12),Database!$F:$AY,MATCH($O$1,Database!$F$1:$AY$1,),))))</f>
        <v/>
      </c>
      <c r="P50" s="13">
        <f>((((VLOOKUP(B50,Database!$F:$AY,MATCH($P$1,Database!$F$1:$AY$1,),))))-(((VLOOKUP(EDATE(B50,-12),Database!$F:$AY,MATCH($P$1,Database!$F$1:$AY$1,),)))))/(((VLOOKUP(EDATE(B50,-12),Database!$F:$AY,MATCH($P$1,Database!$F$1:$AY$1,),))))</f>
        <v/>
      </c>
      <c r="Q50" s="13">
        <f>((((VLOOKUP(B50,Database!$F:$AY,MATCH($Q$1,Database!$F$1:$AY$1,),))))-(((VLOOKUP(EDATE(B50,-12),Database!$F:$AY,MATCH($Q$1,Database!$F$1:$AY$1,),)))))/(((VLOOKUP(EDATE(B50,-12),Database!$F:$AY,MATCH($Q$1,Database!$F$1:$AY$1,),))))</f>
        <v/>
      </c>
      <c r="R50" s="13">
        <f>((((VLOOKUP(B50,Database!$F:$AY,MATCH($R$1,Database!$F$1:$AY$1,),))))-(((VLOOKUP(EDATE(B50,-12),Database!$F:$AY,MATCH($R$1,Database!$F$1:$AY$1,),)))))/(((VLOOKUP(EDATE(B50,-12),Database!$F:$AY,MATCH($R$1,Database!$F$1:$AY$1,),))))</f>
        <v/>
      </c>
      <c r="S50" s="13">
        <f>((((VLOOKUP(B50,Database!$F:$AY,MATCH($S$1,Database!$F$1:$AY$1,),))))-(((VLOOKUP(EDATE(B50,-12),Database!$F:$AY,MATCH($S$1,Database!$F$1:$AY$1,),)))))/(((VLOOKUP(EDATE(B50,-12),Database!$F:$AY,MATCH($S$1,Database!$F$1:$AY$1,),))))</f>
        <v/>
      </c>
      <c r="T50" s="13">
        <f>((((VLOOKUP(B50,Database!$F:$AY,MATCH($T$1,Database!$F$1:$AY$1,),))))-(((VLOOKUP(EDATE(B50,-12),Database!$F:$AY,MATCH($T$1,Database!$F$1:$AY$1,),)))))/(((VLOOKUP(EDATE(B50,-12),Database!$F:$AY,MATCH($T$1,Database!$F$1:$AY$1,),))))</f>
        <v/>
      </c>
      <c r="U50" s="13">
        <f>((((VLOOKUP(B50,Database!$F:$AY,MATCH($U$1,Database!$F$1:$AY$1,),))))-(((VLOOKUP(EDATE(B50,-12),Database!$F:$AY,MATCH($U$1,Database!$F$1:$AY$1,),)))))/(((VLOOKUP(EDATE(B50,-12),Database!$F:$AY,MATCH($U$1,Database!$F$1:$AY$1,),))))</f>
        <v/>
      </c>
      <c r="V50" s="13">
        <f>((((VLOOKUP(B50,Database!$F:$AY,MATCH($V$1,Database!$F$1:$AY$1,),))))-(((VLOOKUP(EDATE(B50,-12),Database!$F:$AY,MATCH($V$1,Database!$F$1:$AY$1,),)))))/(((VLOOKUP(EDATE(B50,-12),Database!$F:$AY,MATCH($V$1,Database!$F$1:$AY$1,),))))</f>
        <v/>
      </c>
    </row>
    <row r="51" customFormat="1" s="100">
      <c r="A51" s="45" t="n"/>
      <c r="B51" s="46" t="n">
        <v>33695</v>
      </c>
      <c r="C51" s="13">
        <f>((((VLOOKUP(B51,Database!$F:$AY,MATCH($C$1,Database!$F$1:$AY$1,),))))-(((VLOOKUP(EDATE(B51,-12),Database!$F:$AY,MATCH($C$1,Database!$F$1:$AY$1,),)))))/(((VLOOKUP(EDATE(B51,-12),Database!$F:$AY,MATCH($C$1,Database!$F$1:$AY$1,),))))</f>
        <v/>
      </c>
      <c r="D51" s="13">
        <f>((((VLOOKUP(B51,Database!$F:$AY,MATCH($D$1,Database!$F$1:$AY$1,),))))-(((VLOOKUP(EDATE(B51,-12),Database!$F:$AY,MATCH($D$1,Database!$F$1:$AY$1,),)))))/(((VLOOKUP(EDATE(B51,-12),Database!$F:$AY,MATCH($D$1,Database!$F$1:$AY$1,),))))</f>
        <v/>
      </c>
      <c r="E51" s="13">
        <f>((((VLOOKUP(B51,Database!$F:$AY,MATCH($E$1,Database!$F$1:$AY$1,),))))-(((VLOOKUP(EDATE(B51,-12),Database!$F:$AY,MATCH($E$1,Database!$F$1:$AY$1,),)))))/(((VLOOKUP(EDATE(B51,-12),Database!$F:$AY,MATCH($E$1,Database!$F$1:$AY$1,),))))</f>
        <v/>
      </c>
      <c r="F51" s="13">
        <f>((((VLOOKUP(B51,Database!$F:$AY,MATCH($F$1,Database!$F$1:$AY$1,),))))-(((VLOOKUP(EDATE(B51,-12),Database!$F:$AY,MATCH($F$1,Database!$F$1:$AY$1,),)))))/(((VLOOKUP(EDATE(B51,-12),Database!$F:$AY,MATCH($F$1,Database!$F$1:$AY$1,),))))</f>
        <v/>
      </c>
      <c r="G51" s="13">
        <f>((((VLOOKUP(B51,Database!$F:$AY,MATCH($G$1,Database!$F$1:$AY$1,),))))-(((VLOOKUP(EDATE(B51,-12),Database!$F:$AY,MATCH($G$1,Database!$F$1:$AY$1,),)))))/(((VLOOKUP(EDATE(B51,-12),Database!$F:$AY,MATCH($G$1,Database!$F$1:$AY$1,),))))</f>
        <v/>
      </c>
      <c r="H51" s="13">
        <f>((((VLOOKUP(B51,Database!$F:$AY,MATCH($H$1,Database!$F$1:$AY$1,),))))-(((VLOOKUP(EDATE(B51,-12),Database!$F:$AY,MATCH($H$1,Database!$F$1:$AY$1,),)))))/(((VLOOKUP(EDATE(B51,-12),Database!$F:$AY,MATCH($H$1,Database!$F$1:$AY$1,),))))</f>
        <v/>
      </c>
      <c r="I51" s="13">
        <f>((((VLOOKUP(B51,Database!$F:$AY,MATCH($I$1,Database!$F$1:$AY$1,),))))-(((VLOOKUP(EDATE(B51,-12),Database!$F:$AY,MATCH($I$1,Database!$F$1:$AY$1,),)))))/(((VLOOKUP(EDATE(B51,-12),Database!$F:$AY,MATCH($I$1,Database!$F$1:$AY$1,),))))</f>
        <v/>
      </c>
      <c r="J51" s="13">
        <f>((((VLOOKUP(B51,Database!$F:$AY,MATCH($J$1,Database!$F$1:$AY$1,),))))-(((VLOOKUP(EDATE(B51,-12),Database!$F:$AY,MATCH($J$1,Database!$F$1:$AY$1,),)))))/(((VLOOKUP(EDATE(B51,-12),Database!$F:$AY,MATCH($J$1,Database!$F$1:$AY$1,),))))</f>
        <v/>
      </c>
      <c r="K51" s="13">
        <f>((((VLOOKUP(B51,Database!$F:$AY,MATCH($K$1,Database!$F$1:$AY$1,),))))-(((VLOOKUP(EDATE(B51,-12),Database!$F:$AY,MATCH($K$1,Database!$F$1:$AY$1,),)))))/(((VLOOKUP(EDATE(B51,-12),Database!$F:$AY,MATCH($K$1,Database!$F$1:$AY$1,),))))</f>
        <v/>
      </c>
      <c r="L51" s="13">
        <f>((((VLOOKUP(B51,Database!$F:$AY,MATCH($L$1,Database!$F$1:$AY$1,),))))-(((VLOOKUP(EDATE(B51,-12),Database!$F:$AY,MATCH($L$1,Database!$F$1:$AY$1,),)))))/(((VLOOKUP(EDATE(B51,-12),Database!$F:$AY,MATCH($L$1,Database!$F$1:$AY$1,),))))</f>
        <v/>
      </c>
      <c r="M51" s="13">
        <f>((((VLOOKUP(B51,Database!$F:$AY,MATCH($M$1,Database!$F$1:$AY$1,),))))-(((VLOOKUP(EDATE(B51,-12),Database!$F:$AY,MATCH($M$1,Database!$F$1:$AY$1,),)))))/(((VLOOKUP(EDATE(B51,-12),Database!$F:$AY,MATCH($M$1,Database!$F$1:$AY$1,),))))</f>
        <v/>
      </c>
      <c r="N51" s="13">
        <f>((((VLOOKUP(B51,Database!$F:$AY,MATCH($N$1,Database!$F$1:$AY$1,),))))-(((VLOOKUP(EDATE(B51,-12),Database!$F:$AY,MATCH($N$1,Database!$F$1:$AY$1,),)))))/(((VLOOKUP(EDATE(B51,-12),Database!$F:$AY,MATCH($N$1,Database!$F$1:$AY$1,),))))</f>
        <v/>
      </c>
      <c r="O51" s="13">
        <f>((((VLOOKUP(B51,Database!$F:$AY,MATCH($O$1,Database!$F$1:$AY$1,),))))-(((VLOOKUP(EDATE(B51,-12),Database!$F:$AY,MATCH($O$1,Database!$F$1:$AY$1,),)))))/(((VLOOKUP(EDATE(B51,-12),Database!$F:$AY,MATCH($O$1,Database!$F$1:$AY$1,),))))</f>
        <v/>
      </c>
      <c r="P51" s="13">
        <f>((((VLOOKUP(B51,Database!$F:$AY,MATCH($P$1,Database!$F$1:$AY$1,),))))-(((VLOOKUP(EDATE(B51,-12),Database!$F:$AY,MATCH($P$1,Database!$F$1:$AY$1,),)))))/(((VLOOKUP(EDATE(B51,-12),Database!$F:$AY,MATCH($P$1,Database!$F$1:$AY$1,),))))</f>
        <v/>
      </c>
      <c r="Q51" s="13">
        <f>((((VLOOKUP(B51,Database!$F:$AY,MATCH($Q$1,Database!$F$1:$AY$1,),))))-(((VLOOKUP(EDATE(B51,-12),Database!$F:$AY,MATCH($Q$1,Database!$F$1:$AY$1,),)))))/(((VLOOKUP(EDATE(B51,-12),Database!$F:$AY,MATCH($Q$1,Database!$F$1:$AY$1,),))))</f>
        <v/>
      </c>
      <c r="R51" s="13">
        <f>((((VLOOKUP(B51,Database!$F:$AY,MATCH($R$1,Database!$F$1:$AY$1,),))))-(((VLOOKUP(EDATE(B51,-12),Database!$F:$AY,MATCH($R$1,Database!$F$1:$AY$1,),)))))/(((VLOOKUP(EDATE(B51,-12),Database!$F:$AY,MATCH($R$1,Database!$F$1:$AY$1,),))))</f>
        <v/>
      </c>
      <c r="S51" s="13">
        <f>((((VLOOKUP(B51,Database!$F:$AY,MATCH($S$1,Database!$F$1:$AY$1,),))))-(((VLOOKUP(EDATE(B51,-12),Database!$F:$AY,MATCH($S$1,Database!$F$1:$AY$1,),)))))/(((VLOOKUP(EDATE(B51,-12),Database!$F:$AY,MATCH($S$1,Database!$F$1:$AY$1,),))))</f>
        <v/>
      </c>
      <c r="T51" s="13">
        <f>((((VLOOKUP(B51,Database!$F:$AY,MATCH($T$1,Database!$F$1:$AY$1,),))))-(((VLOOKUP(EDATE(B51,-12),Database!$F:$AY,MATCH($T$1,Database!$F$1:$AY$1,),)))))/(((VLOOKUP(EDATE(B51,-12),Database!$F:$AY,MATCH($T$1,Database!$F$1:$AY$1,),))))</f>
        <v/>
      </c>
      <c r="U51" s="13">
        <f>((((VLOOKUP(B51,Database!$F:$AY,MATCH($U$1,Database!$F$1:$AY$1,),))))-(((VLOOKUP(EDATE(B51,-12),Database!$F:$AY,MATCH($U$1,Database!$F$1:$AY$1,),)))))/(((VLOOKUP(EDATE(B51,-12),Database!$F:$AY,MATCH($U$1,Database!$F$1:$AY$1,),))))</f>
        <v/>
      </c>
      <c r="V51" s="13">
        <f>((((VLOOKUP(B51,Database!$F:$AY,MATCH($V$1,Database!$F$1:$AY$1,),))))-(((VLOOKUP(EDATE(B51,-12),Database!$F:$AY,MATCH($V$1,Database!$F$1:$AY$1,),)))))/(((VLOOKUP(EDATE(B51,-12),Database!$F:$AY,MATCH($V$1,Database!$F$1:$AY$1,),))))</f>
        <v/>
      </c>
    </row>
    <row r="52" customFormat="1" s="100">
      <c r="A52" s="45" t="n"/>
      <c r="B52" s="46" t="n">
        <v>33725</v>
      </c>
      <c r="C52" s="13">
        <f>((((VLOOKUP(B52,Database!$F:$AY,MATCH($C$1,Database!$F$1:$AY$1,),))))-(((VLOOKUP(EDATE(B52,-12),Database!$F:$AY,MATCH($C$1,Database!$F$1:$AY$1,),)))))/(((VLOOKUP(EDATE(B52,-12),Database!$F:$AY,MATCH($C$1,Database!$F$1:$AY$1,),))))</f>
        <v/>
      </c>
      <c r="D52" s="13">
        <f>((((VLOOKUP(B52,Database!$F:$AY,MATCH($D$1,Database!$F$1:$AY$1,),))))-(((VLOOKUP(EDATE(B52,-12),Database!$F:$AY,MATCH($D$1,Database!$F$1:$AY$1,),)))))/(((VLOOKUP(EDATE(B52,-12),Database!$F:$AY,MATCH($D$1,Database!$F$1:$AY$1,),))))</f>
        <v/>
      </c>
      <c r="E52" s="13">
        <f>((((VLOOKUP(B52,Database!$F:$AY,MATCH($E$1,Database!$F$1:$AY$1,),))))-(((VLOOKUP(EDATE(B52,-12),Database!$F:$AY,MATCH($E$1,Database!$F$1:$AY$1,),)))))/(((VLOOKUP(EDATE(B52,-12),Database!$F:$AY,MATCH($E$1,Database!$F$1:$AY$1,),))))</f>
        <v/>
      </c>
      <c r="F52" s="13">
        <f>((((VLOOKUP(B52,Database!$F:$AY,MATCH($F$1,Database!$F$1:$AY$1,),))))-(((VLOOKUP(EDATE(B52,-12),Database!$F:$AY,MATCH($F$1,Database!$F$1:$AY$1,),)))))/(((VLOOKUP(EDATE(B52,-12),Database!$F:$AY,MATCH($F$1,Database!$F$1:$AY$1,),))))</f>
        <v/>
      </c>
      <c r="G52" s="13">
        <f>((((VLOOKUP(B52,Database!$F:$AY,MATCH($G$1,Database!$F$1:$AY$1,),))))-(((VLOOKUP(EDATE(B52,-12),Database!$F:$AY,MATCH($G$1,Database!$F$1:$AY$1,),)))))/(((VLOOKUP(EDATE(B52,-12),Database!$F:$AY,MATCH($G$1,Database!$F$1:$AY$1,),))))</f>
        <v/>
      </c>
      <c r="H52" s="13">
        <f>((((VLOOKUP(B52,Database!$F:$AY,MATCH($H$1,Database!$F$1:$AY$1,),))))-(((VLOOKUP(EDATE(B52,-12),Database!$F:$AY,MATCH($H$1,Database!$F$1:$AY$1,),)))))/(((VLOOKUP(EDATE(B52,-12),Database!$F:$AY,MATCH($H$1,Database!$F$1:$AY$1,),))))</f>
        <v/>
      </c>
      <c r="I52" s="13">
        <f>((((VLOOKUP(B52,Database!$F:$AY,MATCH($I$1,Database!$F$1:$AY$1,),))))-(((VLOOKUP(EDATE(B52,-12),Database!$F:$AY,MATCH($I$1,Database!$F$1:$AY$1,),)))))/(((VLOOKUP(EDATE(B52,-12),Database!$F:$AY,MATCH($I$1,Database!$F$1:$AY$1,),))))</f>
        <v/>
      </c>
      <c r="J52" s="13">
        <f>((((VLOOKUP(B52,Database!$F:$AY,MATCH($J$1,Database!$F$1:$AY$1,),))))-(((VLOOKUP(EDATE(B52,-12),Database!$F:$AY,MATCH($J$1,Database!$F$1:$AY$1,),)))))/(((VLOOKUP(EDATE(B52,-12),Database!$F:$AY,MATCH($J$1,Database!$F$1:$AY$1,),))))</f>
        <v/>
      </c>
      <c r="K52" s="13">
        <f>((((VLOOKUP(B52,Database!$F:$AY,MATCH($K$1,Database!$F$1:$AY$1,),))))-(((VLOOKUP(EDATE(B52,-12),Database!$F:$AY,MATCH($K$1,Database!$F$1:$AY$1,),)))))/(((VLOOKUP(EDATE(B52,-12),Database!$F:$AY,MATCH($K$1,Database!$F$1:$AY$1,),))))</f>
        <v/>
      </c>
      <c r="L52" s="13">
        <f>((((VLOOKUP(B52,Database!$F:$AY,MATCH($L$1,Database!$F$1:$AY$1,),))))-(((VLOOKUP(EDATE(B52,-12),Database!$F:$AY,MATCH($L$1,Database!$F$1:$AY$1,),)))))/(((VLOOKUP(EDATE(B52,-12),Database!$F:$AY,MATCH($L$1,Database!$F$1:$AY$1,),))))</f>
        <v/>
      </c>
      <c r="M52" s="13">
        <f>((((VLOOKUP(B52,Database!$F:$AY,MATCH($M$1,Database!$F$1:$AY$1,),))))-(((VLOOKUP(EDATE(B52,-12),Database!$F:$AY,MATCH($M$1,Database!$F$1:$AY$1,),)))))/(((VLOOKUP(EDATE(B52,-12),Database!$F:$AY,MATCH($M$1,Database!$F$1:$AY$1,),))))</f>
        <v/>
      </c>
      <c r="N52" s="13">
        <f>((((VLOOKUP(B52,Database!$F:$AY,MATCH($N$1,Database!$F$1:$AY$1,),))))-(((VLOOKUP(EDATE(B52,-12),Database!$F:$AY,MATCH($N$1,Database!$F$1:$AY$1,),)))))/(((VLOOKUP(EDATE(B52,-12),Database!$F:$AY,MATCH($N$1,Database!$F$1:$AY$1,),))))</f>
        <v/>
      </c>
      <c r="O52" s="13">
        <f>((((VLOOKUP(B52,Database!$F:$AY,MATCH($O$1,Database!$F$1:$AY$1,),))))-(((VLOOKUP(EDATE(B52,-12),Database!$F:$AY,MATCH($O$1,Database!$F$1:$AY$1,),)))))/(((VLOOKUP(EDATE(B52,-12),Database!$F:$AY,MATCH($O$1,Database!$F$1:$AY$1,),))))</f>
        <v/>
      </c>
      <c r="P52" s="13">
        <f>((((VLOOKUP(B52,Database!$F:$AY,MATCH($P$1,Database!$F$1:$AY$1,),))))-(((VLOOKUP(EDATE(B52,-12),Database!$F:$AY,MATCH($P$1,Database!$F$1:$AY$1,),)))))/(((VLOOKUP(EDATE(B52,-12),Database!$F:$AY,MATCH($P$1,Database!$F$1:$AY$1,),))))</f>
        <v/>
      </c>
      <c r="Q52" s="13">
        <f>((((VLOOKUP(B52,Database!$F:$AY,MATCH($Q$1,Database!$F$1:$AY$1,),))))-(((VLOOKUP(EDATE(B52,-12),Database!$F:$AY,MATCH($Q$1,Database!$F$1:$AY$1,),)))))/(((VLOOKUP(EDATE(B52,-12),Database!$F:$AY,MATCH($Q$1,Database!$F$1:$AY$1,),))))</f>
        <v/>
      </c>
      <c r="R52" s="13">
        <f>((((VLOOKUP(B52,Database!$F:$AY,MATCH($R$1,Database!$F$1:$AY$1,),))))-(((VLOOKUP(EDATE(B52,-12),Database!$F:$AY,MATCH($R$1,Database!$F$1:$AY$1,),)))))/(((VLOOKUP(EDATE(B52,-12),Database!$F:$AY,MATCH($R$1,Database!$F$1:$AY$1,),))))</f>
        <v/>
      </c>
      <c r="S52" s="13">
        <f>((((VLOOKUP(B52,Database!$F:$AY,MATCH($S$1,Database!$F$1:$AY$1,),))))-(((VLOOKUP(EDATE(B52,-12),Database!$F:$AY,MATCH($S$1,Database!$F$1:$AY$1,),)))))/(((VLOOKUP(EDATE(B52,-12),Database!$F:$AY,MATCH($S$1,Database!$F$1:$AY$1,),))))</f>
        <v/>
      </c>
      <c r="T52" s="13">
        <f>((((VLOOKUP(B52,Database!$F:$AY,MATCH($T$1,Database!$F$1:$AY$1,),))))-(((VLOOKUP(EDATE(B52,-12),Database!$F:$AY,MATCH($T$1,Database!$F$1:$AY$1,),)))))/(((VLOOKUP(EDATE(B52,-12),Database!$F:$AY,MATCH($T$1,Database!$F$1:$AY$1,),))))</f>
        <v/>
      </c>
      <c r="U52" s="13">
        <f>((((VLOOKUP(B52,Database!$F:$AY,MATCH($U$1,Database!$F$1:$AY$1,),))))-(((VLOOKUP(EDATE(B52,-12),Database!$F:$AY,MATCH($U$1,Database!$F$1:$AY$1,),)))))/(((VLOOKUP(EDATE(B52,-12),Database!$F:$AY,MATCH($U$1,Database!$F$1:$AY$1,),))))</f>
        <v/>
      </c>
      <c r="V52" s="13">
        <f>((((VLOOKUP(B52,Database!$F:$AY,MATCH($V$1,Database!$F$1:$AY$1,),))))-(((VLOOKUP(EDATE(B52,-12),Database!$F:$AY,MATCH($V$1,Database!$F$1:$AY$1,),)))))/(((VLOOKUP(EDATE(B52,-12),Database!$F:$AY,MATCH($V$1,Database!$F$1:$AY$1,),))))</f>
        <v/>
      </c>
    </row>
    <row r="53" customFormat="1" s="100">
      <c r="A53" s="45" t="n"/>
      <c r="B53" s="46" t="n">
        <v>33756</v>
      </c>
      <c r="C53" s="13">
        <f>((((VLOOKUP(B53,Database!$F:$AY,MATCH($C$1,Database!$F$1:$AY$1,),))))-(((VLOOKUP(EDATE(B53,-12),Database!$F:$AY,MATCH($C$1,Database!$F$1:$AY$1,),)))))/(((VLOOKUP(EDATE(B53,-12),Database!$F:$AY,MATCH($C$1,Database!$F$1:$AY$1,),))))</f>
        <v/>
      </c>
      <c r="D53" s="13">
        <f>((((VLOOKUP(B53,Database!$F:$AY,MATCH($D$1,Database!$F$1:$AY$1,),))))-(((VLOOKUP(EDATE(B53,-12),Database!$F:$AY,MATCH($D$1,Database!$F$1:$AY$1,),)))))/(((VLOOKUP(EDATE(B53,-12),Database!$F:$AY,MATCH($D$1,Database!$F$1:$AY$1,),))))</f>
        <v/>
      </c>
      <c r="E53" s="13">
        <f>((((VLOOKUP(B53,Database!$F:$AY,MATCH($E$1,Database!$F$1:$AY$1,),))))-(((VLOOKUP(EDATE(B53,-12),Database!$F:$AY,MATCH($E$1,Database!$F$1:$AY$1,),)))))/(((VLOOKUP(EDATE(B53,-12),Database!$F:$AY,MATCH($E$1,Database!$F$1:$AY$1,),))))</f>
        <v/>
      </c>
      <c r="F53" s="13">
        <f>((((VLOOKUP(B53,Database!$F:$AY,MATCH($F$1,Database!$F$1:$AY$1,),))))-(((VLOOKUP(EDATE(B53,-12),Database!$F:$AY,MATCH($F$1,Database!$F$1:$AY$1,),)))))/(((VLOOKUP(EDATE(B53,-12),Database!$F:$AY,MATCH($F$1,Database!$F$1:$AY$1,),))))</f>
        <v/>
      </c>
      <c r="G53" s="13">
        <f>((((VLOOKUP(B53,Database!$F:$AY,MATCH($G$1,Database!$F$1:$AY$1,),))))-(((VLOOKUP(EDATE(B53,-12),Database!$F:$AY,MATCH($G$1,Database!$F$1:$AY$1,),)))))/(((VLOOKUP(EDATE(B53,-12),Database!$F:$AY,MATCH($G$1,Database!$F$1:$AY$1,),))))</f>
        <v/>
      </c>
      <c r="H53" s="13">
        <f>((((VLOOKUP(B53,Database!$F:$AY,MATCH($H$1,Database!$F$1:$AY$1,),))))-(((VLOOKUP(EDATE(B53,-12),Database!$F:$AY,MATCH($H$1,Database!$F$1:$AY$1,),)))))/(((VLOOKUP(EDATE(B53,-12),Database!$F:$AY,MATCH($H$1,Database!$F$1:$AY$1,),))))</f>
        <v/>
      </c>
      <c r="I53" s="13">
        <f>((((VLOOKUP(B53,Database!$F:$AY,MATCH($I$1,Database!$F$1:$AY$1,),))))-(((VLOOKUP(EDATE(B53,-12),Database!$F:$AY,MATCH($I$1,Database!$F$1:$AY$1,),)))))/(((VLOOKUP(EDATE(B53,-12),Database!$F:$AY,MATCH($I$1,Database!$F$1:$AY$1,),))))</f>
        <v/>
      </c>
      <c r="J53" s="13">
        <f>((((VLOOKUP(B53,Database!$F:$AY,MATCH($J$1,Database!$F$1:$AY$1,),))))-(((VLOOKUP(EDATE(B53,-12),Database!$F:$AY,MATCH($J$1,Database!$F$1:$AY$1,),)))))/(((VLOOKUP(EDATE(B53,-12),Database!$F:$AY,MATCH($J$1,Database!$F$1:$AY$1,),))))</f>
        <v/>
      </c>
      <c r="K53" s="13">
        <f>((((VLOOKUP(B53,Database!$F:$AY,MATCH($K$1,Database!$F$1:$AY$1,),))))-(((VLOOKUP(EDATE(B53,-12),Database!$F:$AY,MATCH($K$1,Database!$F$1:$AY$1,),)))))/(((VLOOKUP(EDATE(B53,-12),Database!$F:$AY,MATCH($K$1,Database!$F$1:$AY$1,),))))</f>
        <v/>
      </c>
      <c r="L53" s="13">
        <f>((((VLOOKUP(B53,Database!$F:$AY,MATCH($L$1,Database!$F$1:$AY$1,),))))-(((VLOOKUP(EDATE(B53,-12),Database!$F:$AY,MATCH($L$1,Database!$F$1:$AY$1,),)))))/(((VLOOKUP(EDATE(B53,-12),Database!$F:$AY,MATCH($L$1,Database!$F$1:$AY$1,),))))</f>
        <v/>
      </c>
      <c r="M53" s="13">
        <f>((((VLOOKUP(B53,Database!$F:$AY,MATCH($M$1,Database!$F$1:$AY$1,),))))-(((VLOOKUP(EDATE(B53,-12),Database!$F:$AY,MATCH($M$1,Database!$F$1:$AY$1,),)))))/(((VLOOKUP(EDATE(B53,-12),Database!$F:$AY,MATCH($M$1,Database!$F$1:$AY$1,),))))</f>
        <v/>
      </c>
      <c r="N53" s="13">
        <f>((((VLOOKUP(B53,Database!$F:$AY,MATCH($N$1,Database!$F$1:$AY$1,),))))-(((VLOOKUP(EDATE(B53,-12),Database!$F:$AY,MATCH($N$1,Database!$F$1:$AY$1,),)))))/(((VLOOKUP(EDATE(B53,-12),Database!$F:$AY,MATCH($N$1,Database!$F$1:$AY$1,),))))</f>
        <v/>
      </c>
      <c r="O53" s="13">
        <f>((((VLOOKUP(B53,Database!$F:$AY,MATCH($O$1,Database!$F$1:$AY$1,),))))-(((VLOOKUP(EDATE(B53,-12),Database!$F:$AY,MATCH($O$1,Database!$F$1:$AY$1,),)))))/(((VLOOKUP(EDATE(B53,-12),Database!$F:$AY,MATCH($O$1,Database!$F$1:$AY$1,),))))</f>
        <v/>
      </c>
      <c r="P53" s="13">
        <f>((((VLOOKUP(B53,Database!$F:$AY,MATCH($P$1,Database!$F$1:$AY$1,),))))-(((VLOOKUP(EDATE(B53,-12),Database!$F:$AY,MATCH($P$1,Database!$F$1:$AY$1,),)))))/(((VLOOKUP(EDATE(B53,-12),Database!$F:$AY,MATCH($P$1,Database!$F$1:$AY$1,),))))</f>
        <v/>
      </c>
      <c r="Q53" s="13">
        <f>((((VLOOKUP(B53,Database!$F:$AY,MATCH($Q$1,Database!$F$1:$AY$1,),))))-(((VLOOKUP(EDATE(B53,-12),Database!$F:$AY,MATCH($Q$1,Database!$F$1:$AY$1,),)))))/(((VLOOKUP(EDATE(B53,-12),Database!$F:$AY,MATCH($Q$1,Database!$F$1:$AY$1,),))))</f>
        <v/>
      </c>
      <c r="R53" s="13">
        <f>((((VLOOKUP(B53,Database!$F:$AY,MATCH($R$1,Database!$F$1:$AY$1,),))))-(((VLOOKUP(EDATE(B53,-12),Database!$F:$AY,MATCH($R$1,Database!$F$1:$AY$1,),)))))/(((VLOOKUP(EDATE(B53,-12),Database!$F:$AY,MATCH($R$1,Database!$F$1:$AY$1,),))))</f>
        <v/>
      </c>
      <c r="S53" s="13">
        <f>((((VLOOKUP(B53,Database!$F:$AY,MATCH($S$1,Database!$F$1:$AY$1,),))))-(((VLOOKUP(EDATE(B53,-12),Database!$F:$AY,MATCH($S$1,Database!$F$1:$AY$1,),)))))/(((VLOOKUP(EDATE(B53,-12),Database!$F:$AY,MATCH($S$1,Database!$F$1:$AY$1,),))))</f>
        <v/>
      </c>
      <c r="T53" s="13">
        <f>((((VLOOKUP(B53,Database!$F:$AY,MATCH($T$1,Database!$F$1:$AY$1,),))))-(((VLOOKUP(EDATE(B53,-12),Database!$F:$AY,MATCH($T$1,Database!$F$1:$AY$1,),)))))/(((VLOOKUP(EDATE(B53,-12),Database!$F:$AY,MATCH($T$1,Database!$F$1:$AY$1,),))))</f>
        <v/>
      </c>
      <c r="U53" s="13">
        <f>((((VLOOKUP(B53,Database!$F:$AY,MATCH($U$1,Database!$F$1:$AY$1,),))))-(((VLOOKUP(EDATE(B53,-12),Database!$F:$AY,MATCH($U$1,Database!$F$1:$AY$1,),)))))/(((VLOOKUP(EDATE(B53,-12),Database!$F:$AY,MATCH($U$1,Database!$F$1:$AY$1,),))))</f>
        <v/>
      </c>
      <c r="V53" s="13">
        <f>((((VLOOKUP(B53,Database!$F:$AY,MATCH($V$1,Database!$F$1:$AY$1,),))))-(((VLOOKUP(EDATE(B53,-12),Database!$F:$AY,MATCH($V$1,Database!$F$1:$AY$1,),)))))/(((VLOOKUP(EDATE(B53,-12),Database!$F:$AY,MATCH($V$1,Database!$F$1:$AY$1,),))))</f>
        <v/>
      </c>
    </row>
    <row r="54" customFormat="1" s="100">
      <c r="A54" s="45" t="n"/>
      <c r="B54" s="46" t="n">
        <v>33786</v>
      </c>
      <c r="C54" s="13">
        <f>((((VLOOKUP(B54,Database!$F:$AY,MATCH($C$1,Database!$F$1:$AY$1,),))))-(((VLOOKUP(EDATE(B54,-12),Database!$F:$AY,MATCH($C$1,Database!$F$1:$AY$1,),)))))/(((VLOOKUP(EDATE(B54,-12),Database!$F:$AY,MATCH($C$1,Database!$F$1:$AY$1,),))))</f>
        <v/>
      </c>
      <c r="D54" s="13">
        <f>((((VLOOKUP(B54,Database!$F:$AY,MATCH($D$1,Database!$F$1:$AY$1,),))))-(((VLOOKUP(EDATE(B54,-12),Database!$F:$AY,MATCH($D$1,Database!$F$1:$AY$1,),)))))/(((VLOOKUP(EDATE(B54,-12),Database!$F:$AY,MATCH($D$1,Database!$F$1:$AY$1,),))))</f>
        <v/>
      </c>
      <c r="E54" s="13">
        <f>((((VLOOKUP(B54,Database!$F:$AY,MATCH($E$1,Database!$F$1:$AY$1,),))))-(((VLOOKUP(EDATE(B54,-12),Database!$F:$AY,MATCH($E$1,Database!$F$1:$AY$1,),)))))/(((VLOOKUP(EDATE(B54,-12),Database!$F:$AY,MATCH($E$1,Database!$F$1:$AY$1,),))))</f>
        <v/>
      </c>
      <c r="F54" s="13">
        <f>((((VLOOKUP(B54,Database!$F:$AY,MATCH($F$1,Database!$F$1:$AY$1,),))))-(((VLOOKUP(EDATE(B54,-12),Database!$F:$AY,MATCH($F$1,Database!$F$1:$AY$1,),)))))/(((VLOOKUP(EDATE(B54,-12),Database!$F:$AY,MATCH($F$1,Database!$F$1:$AY$1,),))))</f>
        <v/>
      </c>
      <c r="G54" s="13">
        <f>((((VLOOKUP(B54,Database!$F:$AY,MATCH($G$1,Database!$F$1:$AY$1,),))))-(((VLOOKUP(EDATE(B54,-12),Database!$F:$AY,MATCH($G$1,Database!$F$1:$AY$1,),)))))/(((VLOOKUP(EDATE(B54,-12),Database!$F:$AY,MATCH($G$1,Database!$F$1:$AY$1,),))))</f>
        <v/>
      </c>
      <c r="H54" s="13">
        <f>((((VLOOKUP(B54,Database!$F:$AY,MATCH($H$1,Database!$F$1:$AY$1,),))))-(((VLOOKUP(EDATE(B54,-12),Database!$F:$AY,MATCH($H$1,Database!$F$1:$AY$1,),)))))/(((VLOOKUP(EDATE(B54,-12),Database!$F:$AY,MATCH($H$1,Database!$F$1:$AY$1,),))))</f>
        <v/>
      </c>
      <c r="I54" s="13">
        <f>((((VLOOKUP(B54,Database!$F:$AY,MATCH($I$1,Database!$F$1:$AY$1,),))))-(((VLOOKUP(EDATE(B54,-12),Database!$F:$AY,MATCH($I$1,Database!$F$1:$AY$1,),)))))/(((VLOOKUP(EDATE(B54,-12),Database!$F:$AY,MATCH($I$1,Database!$F$1:$AY$1,),))))</f>
        <v/>
      </c>
      <c r="J54" s="13">
        <f>((((VLOOKUP(B54,Database!$F:$AY,MATCH($J$1,Database!$F$1:$AY$1,),))))-(((VLOOKUP(EDATE(B54,-12),Database!$F:$AY,MATCH($J$1,Database!$F$1:$AY$1,),)))))/(((VLOOKUP(EDATE(B54,-12),Database!$F:$AY,MATCH($J$1,Database!$F$1:$AY$1,),))))</f>
        <v/>
      </c>
      <c r="K54" s="13">
        <f>((((VLOOKUP(B54,Database!$F:$AY,MATCH($K$1,Database!$F$1:$AY$1,),))))-(((VLOOKUP(EDATE(B54,-12),Database!$F:$AY,MATCH($K$1,Database!$F$1:$AY$1,),)))))/(((VLOOKUP(EDATE(B54,-12),Database!$F:$AY,MATCH($K$1,Database!$F$1:$AY$1,),))))</f>
        <v/>
      </c>
      <c r="L54" s="13">
        <f>((((VLOOKUP(B54,Database!$F:$AY,MATCH($L$1,Database!$F$1:$AY$1,),))))-(((VLOOKUP(EDATE(B54,-12),Database!$F:$AY,MATCH($L$1,Database!$F$1:$AY$1,),)))))/(((VLOOKUP(EDATE(B54,-12),Database!$F:$AY,MATCH($L$1,Database!$F$1:$AY$1,),))))</f>
        <v/>
      </c>
      <c r="M54" s="13">
        <f>((((VLOOKUP(B54,Database!$F:$AY,MATCH($M$1,Database!$F$1:$AY$1,),))))-(((VLOOKUP(EDATE(B54,-12),Database!$F:$AY,MATCH($M$1,Database!$F$1:$AY$1,),)))))/(((VLOOKUP(EDATE(B54,-12),Database!$F:$AY,MATCH($M$1,Database!$F$1:$AY$1,),))))</f>
        <v/>
      </c>
      <c r="N54" s="13">
        <f>((((VLOOKUP(B54,Database!$F:$AY,MATCH($N$1,Database!$F$1:$AY$1,),))))-(((VLOOKUP(EDATE(B54,-12),Database!$F:$AY,MATCH($N$1,Database!$F$1:$AY$1,),)))))/(((VLOOKUP(EDATE(B54,-12),Database!$F:$AY,MATCH($N$1,Database!$F$1:$AY$1,),))))</f>
        <v/>
      </c>
      <c r="O54" s="13">
        <f>((((VLOOKUP(B54,Database!$F:$AY,MATCH($O$1,Database!$F$1:$AY$1,),))))-(((VLOOKUP(EDATE(B54,-12),Database!$F:$AY,MATCH($O$1,Database!$F$1:$AY$1,),)))))/(((VLOOKUP(EDATE(B54,-12),Database!$F:$AY,MATCH($O$1,Database!$F$1:$AY$1,),))))</f>
        <v/>
      </c>
      <c r="P54" s="13">
        <f>((((VLOOKUP(B54,Database!$F:$AY,MATCH($P$1,Database!$F$1:$AY$1,),))))-(((VLOOKUP(EDATE(B54,-12),Database!$F:$AY,MATCH($P$1,Database!$F$1:$AY$1,),)))))/(((VLOOKUP(EDATE(B54,-12),Database!$F:$AY,MATCH($P$1,Database!$F$1:$AY$1,),))))</f>
        <v/>
      </c>
      <c r="Q54" s="13">
        <f>((((VLOOKUP(B54,Database!$F:$AY,MATCH($Q$1,Database!$F$1:$AY$1,),))))-(((VLOOKUP(EDATE(B54,-12),Database!$F:$AY,MATCH($Q$1,Database!$F$1:$AY$1,),)))))/(((VLOOKUP(EDATE(B54,-12),Database!$F:$AY,MATCH($Q$1,Database!$F$1:$AY$1,),))))</f>
        <v/>
      </c>
      <c r="R54" s="13">
        <f>((((VLOOKUP(B54,Database!$F:$AY,MATCH($R$1,Database!$F$1:$AY$1,),))))-(((VLOOKUP(EDATE(B54,-12),Database!$F:$AY,MATCH($R$1,Database!$F$1:$AY$1,),)))))/(((VLOOKUP(EDATE(B54,-12),Database!$F:$AY,MATCH($R$1,Database!$F$1:$AY$1,),))))</f>
        <v/>
      </c>
      <c r="S54" s="13">
        <f>((((VLOOKUP(B54,Database!$F:$AY,MATCH($S$1,Database!$F$1:$AY$1,),))))-(((VLOOKUP(EDATE(B54,-12),Database!$F:$AY,MATCH($S$1,Database!$F$1:$AY$1,),)))))/(((VLOOKUP(EDATE(B54,-12),Database!$F:$AY,MATCH($S$1,Database!$F$1:$AY$1,),))))</f>
        <v/>
      </c>
      <c r="T54" s="13">
        <f>((((VLOOKUP(B54,Database!$F:$AY,MATCH($T$1,Database!$F$1:$AY$1,),))))-(((VLOOKUP(EDATE(B54,-12),Database!$F:$AY,MATCH($T$1,Database!$F$1:$AY$1,),)))))/(((VLOOKUP(EDATE(B54,-12),Database!$F:$AY,MATCH($T$1,Database!$F$1:$AY$1,),))))</f>
        <v/>
      </c>
      <c r="U54" s="13">
        <f>((((VLOOKUP(B54,Database!$F:$AY,MATCH($U$1,Database!$F$1:$AY$1,),))))-(((VLOOKUP(EDATE(B54,-12),Database!$F:$AY,MATCH($U$1,Database!$F$1:$AY$1,),)))))/(((VLOOKUP(EDATE(B54,-12),Database!$F:$AY,MATCH($U$1,Database!$F$1:$AY$1,),))))</f>
        <v/>
      </c>
      <c r="V54" s="13">
        <f>((((VLOOKUP(B54,Database!$F:$AY,MATCH($V$1,Database!$F$1:$AY$1,),))))-(((VLOOKUP(EDATE(B54,-12),Database!$F:$AY,MATCH($V$1,Database!$F$1:$AY$1,),)))))/(((VLOOKUP(EDATE(B54,-12),Database!$F:$AY,MATCH($V$1,Database!$F$1:$AY$1,),))))</f>
        <v/>
      </c>
    </row>
    <row r="55" customFormat="1" s="100">
      <c r="A55" s="45" t="n"/>
      <c r="B55" s="46" t="n">
        <v>33817</v>
      </c>
      <c r="C55" s="13">
        <f>((((VLOOKUP(B55,Database!$F:$AY,MATCH($C$1,Database!$F$1:$AY$1,),))))-(((VLOOKUP(EDATE(B55,-12),Database!$F:$AY,MATCH($C$1,Database!$F$1:$AY$1,),)))))/(((VLOOKUP(EDATE(B55,-12),Database!$F:$AY,MATCH($C$1,Database!$F$1:$AY$1,),))))</f>
        <v/>
      </c>
      <c r="D55" s="13">
        <f>((((VLOOKUP(B55,Database!$F:$AY,MATCH($D$1,Database!$F$1:$AY$1,),))))-(((VLOOKUP(EDATE(B55,-12),Database!$F:$AY,MATCH($D$1,Database!$F$1:$AY$1,),)))))/(((VLOOKUP(EDATE(B55,-12),Database!$F:$AY,MATCH($D$1,Database!$F$1:$AY$1,),))))</f>
        <v/>
      </c>
      <c r="E55" s="13">
        <f>((((VLOOKUP(B55,Database!$F:$AY,MATCH($E$1,Database!$F$1:$AY$1,),))))-(((VLOOKUP(EDATE(B55,-12),Database!$F:$AY,MATCH($E$1,Database!$F$1:$AY$1,),)))))/(((VLOOKUP(EDATE(B55,-12),Database!$F:$AY,MATCH($E$1,Database!$F$1:$AY$1,),))))</f>
        <v/>
      </c>
      <c r="F55" s="13">
        <f>((((VLOOKUP(B55,Database!$F:$AY,MATCH($F$1,Database!$F$1:$AY$1,),))))-(((VLOOKUP(EDATE(B55,-12),Database!$F:$AY,MATCH($F$1,Database!$F$1:$AY$1,),)))))/(((VLOOKUP(EDATE(B55,-12),Database!$F:$AY,MATCH($F$1,Database!$F$1:$AY$1,),))))</f>
        <v/>
      </c>
      <c r="G55" s="13">
        <f>((((VLOOKUP(B55,Database!$F:$AY,MATCH($G$1,Database!$F$1:$AY$1,),))))-(((VLOOKUP(EDATE(B55,-12),Database!$F:$AY,MATCH($G$1,Database!$F$1:$AY$1,),)))))/(((VLOOKUP(EDATE(B55,-12),Database!$F:$AY,MATCH($G$1,Database!$F$1:$AY$1,),))))</f>
        <v/>
      </c>
      <c r="H55" s="13">
        <f>((((VLOOKUP(B55,Database!$F:$AY,MATCH($H$1,Database!$F$1:$AY$1,),))))-(((VLOOKUP(EDATE(B55,-12),Database!$F:$AY,MATCH($H$1,Database!$F$1:$AY$1,),)))))/(((VLOOKUP(EDATE(B55,-12),Database!$F:$AY,MATCH($H$1,Database!$F$1:$AY$1,),))))</f>
        <v/>
      </c>
      <c r="I55" s="13">
        <f>((((VLOOKUP(B55,Database!$F:$AY,MATCH($I$1,Database!$F$1:$AY$1,),))))-(((VLOOKUP(EDATE(B55,-12),Database!$F:$AY,MATCH($I$1,Database!$F$1:$AY$1,),)))))/(((VLOOKUP(EDATE(B55,-12),Database!$F:$AY,MATCH($I$1,Database!$F$1:$AY$1,),))))</f>
        <v/>
      </c>
      <c r="J55" s="13">
        <f>((((VLOOKUP(B55,Database!$F:$AY,MATCH($J$1,Database!$F$1:$AY$1,),))))-(((VLOOKUP(EDATE(B55,-12),Database!$F:$AY,MATCH($J$1,Database!$F$1:$AY$1,),)))))/(((VLOOKUP(EDATE(B55,-12),Database!$F:$AY,MATCH($J$1,Database!$F$1:$AY$1,),))))</f>
        <v/>
      </c>
      <c r="K55" s="13">
        <f>((((VLOOKUP(B55,Database!$F:$AY,MATCH($K$1,Database!$F$1:$AY$1,),))))-(((VLOOKUP(EDATE(B55,-12),Database!$F:$AY,MATCH($K$1,Database!$F$1:$AY$1,),)))))/(((VLOOKUP(EDATE(B55,-12),Database!$F:$AY,MATCH($K$1,Database!$F$1:$AY$1,),))))</f>
        <v/>
      </c>
      <c r="L55" s="13">
        <f>((((VLOOKUP(B55,Database!$F:$AY,MATCH($L$1,Database!$F$1:$AY$1,),))))-(((VLOOKUP(EDATE(B55,-12),Database!$F:$AY,MATCH($L$1,Database!$F$1:$AY$1,),)))))/(((VLOOKUP(EDATE(B55,-12),Database!$F:$AY,MATCH($L$1,Database!$F$1:$AY$1,),))))</f>
        <v/>
      </c>
      <c r="M55" s="13">
        <f>((((VLOOKUP(B55,Database!$F:$AY,MATCH($M$1,Database!$F$1:$AY$1,),))))-(((VLOOKUP(EDATE(B55,-12),Database!$F:$AY,MATCH($M$1,Database!$F$1:$AY$1,),)))))/(((VLOOKUP(EDATE(B55,-12),Database!$F:$AY,MATCH($M$1,Database!$F$1:$AY$1,),))))</f>
        <v/>
      </c>
      <c r="N55" s="13">
        <f>((((VLOOKUP(B55,Database!$F:$AY,MATCH($N$1,Database!$F$1:$AY$1,),))))-(((VLOOKUP(EDATE(B55,-12),Database!$F:$AY,MATCH($N$1,Database!$F$1:$AY$1,),)))))/(((VLOOKUP(EDATE(B55,-12),Database!$F:$AY,MATCH($N$1,Database!$F$1:$AY$1,),))))</f>
        <v/>
      </c>
      <c r="O55" s="13">
        <f>((((VLOOKUP(B55,Database!$F:$AY,MATCH($O$1,Database!$F$1:$AY$1,),))))-(((VLOOKUP(EDATE(B55,-12),Database!$F:$AY,MATCH($O$1,Database!$F$1:$AY$1,),)))))/(((VLOOKUP(EDATE(B55,-12),Database!$F:$AY,MATCH($O$1,Database!$F$1:$AY$1,),))))</f>
        <v/>
      </c>
      <c r="P55" s="13">
        <f>((((VLOOKUP(B55,Database!$F:$AY,MATCH($P$1,Database!$F$1:$AY$1,),))))-(((VLOOKUP(EDATE(B55,-12),Database!$F:$AY,MATCH($P$1,Database!$F$1:$AY$1,),)))))/(((VLOOKUP(EDATE(B55,-12),Database!$F:$AY,MATCH($P$1,Database!$F$1:$AY$1,),))))</f>
        <v/>
      </c>
      <c r="Q55" s="13">
        <f>((((VLOOKUP(B55,Database!$F:$AY,MATCH($Q$1,Database!$F$1:$AY$1,),))))-(((VLOOKUP(EDATE(B55,-12),Database!$F:$AY,MATCH($Q$1,Database!$F$1:$AY$1,),)))))/(((VLOOKUP(EDATE(B55,-12),Database!$F:$AY,MATCH($Q$1,Database!$F$1:$AY$1,),))))</f>
        <v/>
      </c>
      <c r="R55" s="13">
        <f>((((VLOOKUP(B55,Database!$F:$AY,MATCH($R$1,Database!$F$1:$AY$1,),))))-(((VLOOKUP(EDATE(B55,-12),Database!$F:$AY,MATCH($R$1,Database!$F$1:$AY$1,),)))))/(((VLOOKUP(EDATE(B55,-12),Database!$F:$AY,MATCH($R$1,Database!$F$1:$AY$1,),))))</f>
        <v/>
      </c>
      <c r="S55" s="13">
        <f>((((VLOOKUP(B55,Database!$F:$AY,MATCH($S$1,Database!$F$1:$AY$1,),))))-(((VLOOKUP(EDATE(B55,-12),Database!$F:$AY,MATCH($S$1,Database!$F$1:$AY$1,),)))))/(((VLOOKUP(EDATE(B55,-12),Database!$F:$AY,MATCH($S$1,Database!$F$1:$AY$1,),))))</f>
        <v/>
      </c>
      <c r="T55" s="13">
        <f>((((VLOOKUP(B55,Database!$F:$AY,MATCH($T$1,Database!$F$1:$AY$1,),))))-(((VLOOKUP(EDATE(B55,-12),Database!$F:$AY,MATCH($T$1,Database!$F$1:$AY$1,),)))))/(((VLOOKUP(EDATE(B55,-12),Database!$F:$AY,MATCH($T$1,Database!$F$1:$AY$1,),))))</f>
        <v/>
      </c>
      <c r="U55" s="13">
        <f>((((VLOOKUP(B55,Database!$F:$AY,MATCH($U$1,Database!$F$1:$AY$1,),))))-(((VLOOKUP(EDATE(B55,-12),Database!$F:$AY,MATCH($U$1,Database!$F$1:$AY$1,),)))))/(((VLOOKUP(EDATE(B55,-12),Database!$F:$AY,MATCH($U$1,Database!$F$1:$AY$1,),))))</f>
        <v/>
      </c>
      <c r="V55" s="13">
        <f>((((VLOOKUP(B55,Database!$F:$AY,MATCH($V$1,Database!$F$1:$AY$1,),))))-(((VLOOKUP(EDATE(B55,-12),Database!$F:$AY,MATCH($V$1,Database!$F$1:$AY$1,),)))))/(((VLOOKUP(EDATE(B55,-12),Database!$F:$AY,MATCH($V$1,Database!$F$1:$AY$1,),))))</f>
        <v/>
      </c>
    </row>
    <row r="56" customFormat="1" s="100">
      <c r="A56" s="45" t="n"/>
      <c r="B56" s="46" t="n">
        <v>33848</v>
      </c>
      <c r="C56" s="13">
        <f>((((VLOOKUP(B56,Database!$F:$AY,MATCH($C$1,Database!$F$1:$AY$1,),))))-(((VLOOKUP(EDATE(B56,-12),Database!$F:$AY,MATCH($C$1,Database!$F$1:$AY$1,),)))))/(((VLOOKUP(EDATE(B56,-12),Database!$F:$AY,MATCH($C$1,Database!$F$1:$AY$1,),))))</f>
        <v/>
      </c>
      <c r="D56" s="13">
        <f>((((VLOOKUP(B56,Database!$F:$AY,MATCH($D$1,Database!$F$1:$AY$1,),))))-(((VLOOKUP(EDATE(B56,-12),Database!$F:$AY,MATCH($D$1,Database!$F$1:$AY$1,),)))))/(((VLOOKUP(EDATE(B56,-12),Database!$F:$AY,MATCH($D$1,Database!$F$1:$AY$1,),))))</f>
        <v/>
      </c>
      <c r="E56" s="13">
        <f>((((VLOOKUP(B56,Database!$F:$AY,MATCH($E$1,Database!$F$1:$AY$1,),))))-(((VLOOKUP(EDATE(B56,-12),Database!$F:$AY,MATCH($E$1,Database!$F$1:$AY$1,),)))))/(((VLOOKUP(EDATE(B56,-12),Database!$F:$AY,MATCH($E$1,Database!$F$1:$AY$1,),))))</f>
        <v/>
      </c>
      <c r="F56" s="13">
        <f>((((VLOOKUP(B56,Database!$F:$AY,MATCH($F$1,Database!$F$1:$AY$1,),))))-(((VLOOKUP(EDATE(B56,-12),Database!$F:$AY,MATCH($F$1,Database!$F$1:$AY$1,),)))))/(((VLOOKUP(EDATE(B56,-12),Database!$F:$AY,MATCH($F$1,Database!$F$1:$AY$1,),))))</f>
        <v/>
      </c>
      <c r="G56" s="13">
        <f>((((VLOOKUP(B56,Database!$F:$AY,MATCH($G$1,Database!$F$1:$AY$1,),))))-(((VLOOKUP(EDATE(B56,-12),Database!$F:$AY,MATCH($G$1,Database!$F$1:$AY$1,),)))))/(((VLOOKUP(EDATE(B56,-12),Database!$F:$AY,MATCH($G$1,Database!$F$1:$AY$1,),))))</f>
        <v/>
      </c>
      <c r="H56" s="13">
        <f>((((VLOOKUP(B56,Database!$F:$AY,MATCH($H$1,Database!$F$1:$AY$1,),))))-(((VLOOKUP(EDATE(B56,-12),Database!$F:$AY,MATCH($H$1,Database!$F$1:$AY$1,),)))))/(((VLOOKUP(EDATE(B56,-12),Database!$F:$AY,MATCH($H$1,Database!$F$1:$AY$1,),))))</f>
        <v/>
      </c>
      <c r="I56" s="13">
        <f>((((VLOOKUP(B56,Database!$F:$AY,MATCH($I$1,Database!$F$1:$AY$1,),))))-(((VLOOKUP(EDATE(B56,-12),Database!$F:$AY,MATCH($I$1,Database!$F$1:$AY$1,),)))))/(((VLOOKUP(EDATE(B56,-12),Database!$F:$AY,MATCH($I$1,Database!$F$1:$AY$1,),))))</f>
        <v/>
      </c>
      <c r="J56" s="13">
        <f>((((VLOOKUP(B56,Database!$F:$AY,MATCH($J$1,Database!$F$1:$AY$1,),))))-(((VLOOKUP(EDATE(B56,-12),Database!$F:$AY,MATCH($J$1,Database!$F$1:$AY$1,),)))))/(((VLOOKUP(EDATE(B56,-12),Database!$F:$AY,MATCH($J$1,Database!$F$1:$AY$1,),))))</f>
        <v/>
      </c>
      <c r="K56" s="13">
        <f>((((VLOOKUP(B56,Database!$F:$AY,MATCH($K$1,Database!$F$1:$AY$1,),))))-(((VLOOKUP(EDATE(B56,-12),Database!$F:$AY,MATCH($K$1,Database!$F$1:$AY$1,),)))))/(((VLOOKUP(EDATE(B56,-12),Database!$F:$AY,MATCH($K$1,Database!$F$1:$AY$1,),))))</f>
        <v/>
      </c>
      <c r="L56" s="13">
        <f>((((VLOOKUP(B56,Database!$F:$AY,MATCH($L$1,Database!$F$1:$AY$1,),))))-(((VLOOKUP(EDATE(B56,-12),Database!$F:$AY,MATCH($L$1,Database!$F$1:$AY$1,),)))))/(((VLOOKUP(EDATE(B56,-12),Database!$F:$AY,MATCH($L$1,Database!$F$1:$AY$1,),))))</f>
        <v/>
      </c>
      <c r="M56" s="13">
        <f>((((VLOOKUP(B56,Database!$F:$AY,MATCH($M$1,Database!$F$1:$AY$1,),))))-(((VLOOKUP(EDATE(B56,-12),Database!$F:$AY,MATCH($M$1,Database!$F$1:$AY$1,),)))))/(((VLOOKUP(EDATE(B56,-12),Database!$F:$AY,MATCH($M$1,Database!$F$1:$AY$1,),))))</f>
        <v/>
      </c>
      <c r="N56" s="13">
        <f>((((VLOOKUP(B56,Database!$F:$AY,MATCH($N$1,Database!$F$1:$AY$1,),))))-(((VLOOKUP(EDATE(B56,-12),Database!$F:$AY,MATCH($N$1,Database!$F$1:$AY$1,),)))))/(((VLOOKUP(EDATE(B56,-12),Database!$F:$AY,MATCH($N$1,Database!$F$1:$AY$1,),))))</f>
        <v/>
      </c>
      <c r="O56" s="13">
        <f>((((VLOOKUP(B56,Database!$F:$AY,MATCH($O$1,Database!$F$1:$AY$1,),))))-(((VLOOKUP(EDATE(B56,-12),Database!$F:$AY,MATCH($O$1,Database!$F$1:$AY$1,),)))))/(((VLOOKUP(EDATE(B56,-12),Database!$F:$AY,MATCH($O$1,Database!$F$1:$AY$1,),))))</f>
        <v/>
      </c>
      <c r="P56" s="13">
        <f>((((VLOOKUP(B56,Database!$F:$AY,MATCH($P$1,Database!$F$1:$AY$1,),))))-(((VLOOKUP(EDATE(B56,-12),Database!$F:$AY,MATCH($P$1,Database!$F$1:$AY$1,),)))))/(((VLOOKUP(EDATE(B56,-12),Database!$F:$AY,MATCH($P$1,Database!$F$1:$AY$1,),))))</f>
        <v/>
      </c>
      <c r="Q56" s="13">
        <f>((((VLOOKUP(B56,Database!$F:$AY,MATCH($Q$1,Database!$F$1:$AY$1,),))))-(((VLOOKUP(EDATE(B56,-12),Database!$F:$AY,MATCH($Q$1,Database!$F$1:$AY$1,),)))))/(((VLOOKUP(EDATE(B56,-12),Database!$F:$AY,MATCH($Q$1,Database!$F$1:$AY$1,),))))</f>
        <v/>
      </c>
      <c r="R56" s="13">
        <f>((((VLOOKUP(B56,Database!$F:$AY,MATCH($R$1,Database!$F$1:$AY$1,),))))-(((VLOOKUP(EDATE(B56,-12),Database!$F:$AY,MATCH($R$1,Database!$F$1:$AY$1,),)))))/(((VLOOKUP(EDATE(B56,-12),Database!$F:$AY,MATCH($R$1,Database!$F$1:$AY$1,),))))</f>
        <v/>
      </c>
      <c r="S56" s="13">
        <f>((((VLOOKUP(B56,Database!$F:$AY,MATCH($S$1,Database!$F$1:$AY$1,),))))-(((VLOOKUP(EDATE(B56,-12),Database!$F:$AY,MATCH($S$1,Database!$F$1:$AY$1,),)))))/(((VLOOKUP(EDATE(B56,-12),Database!$F:$AY,MATCH($S$1,Database!$F$1:$AY$1,),))))</f>
        <v/>
      </c>
      <c r="T56" s="13">
        <f>((((VLOOKUP(B56,Database!$F:$AY,MATCH($T$1,Database!$F$1:$AY$1,),))))-(((VLOOKUP(EDATE(B56,-12),Database!$F:$AY,MATCH($T$1,Database!$F$1:$AY$1,),)))))/(((VLOOKUP(EDATE(B56,-12),Database!$F:$AY,MATCH($T$1,Database!$F$1:$AY$1,),))))</f>
        <v/>
      </c>
      <c r="U56" s="13">
        <f>((((VLOOKUP(B56,Database!$F:$AY,MATCH($U$1,Database!$F$1:$AY$1,),))))-(((VLOOKUP(EDATE(B56,-12),Database!$F:$AY,MATCH($U$1,Database!$F$1:$AY$1,),)))))/(((VLOOKUP(EDATE(B56,-12),Database!$F:$AY,MATCH($U$1,Database!$F$1:$AY$1,),))))</f>
        <v/>
      </c>
      <c r="V56" s="13">
        <f>((((VLOOKUP(B56,Database!$F:$AY,MATCH($V$1,Database!$F$1:$AY$1,),))))-(((VLOOKUP(EDATE(B56,-12),Database!$F:$AY,MATCH($V$1,Database!$F$1:$AY$1,),)))))/(((VLOOKUP(EDATE(B56,-12),Database!$F:$AY,MATCH($V$1,Database!$F$1:$AY$1,),))))</f>
        <v/>
      </c>
    </row>
    <row r="57" customFormat="1" s="100">
      <c r="A57" s="45" t="n"/>
      <c r="B57" s="46" t="n">
        <v>33878</v>
      </c>
      <c r="C57" s="13">
        <f>((((VLOOKUP(B57,Database!$F:$AY,MATCH($C$1,Database!$F$1:$AY$1,),))))-(((VLOOKUP(EDATE(B57,-12),Database!$F:$AY,MATCH($C$1,Database!$F$1:$AY$1,),)))))/(((VLOOKUP(EDATE(B57,-12),Database!$F:$AY,MATCH($C$1,Database!$F$1:$AY$1,),))))</f>
        <v/>
      </c>
      <c r="D57" s="13">
        <f>((((VLOOKUP(B57,Database!$F:$AY,MATCH($D$1,Database!$F$1:$AY$1,),))))-(((VLOOKUP(EDATE(B57,-12),Database!$F:$AY,MATCH($D$1,Database!$F$1:$AY$1,),)))))/(((VLOOKUP(EDATE(B57,-12),Database!$F:$AY,MATCH($D$1,Database!$F$1:$AY$1,),))))</f>
        <v/>
      </c>
      <c r="E57" s="13">
        <f>((((VLOOKUP(B57,Database!$F:$AY,MATCH($E$1,Database!$F$1:$AY$1,),))))-(((VLOOKUP(EDATE(B57,-12),Database!$F:$AY,MATCH($E$1,Database!$F$1:$AY$1,),)))))/(((VLOOKUP(EDATE(B57,-12),Database!$F:$AY,MATCH($E$1,Database!$F$1:$AY$1,),))))</f>
        <v/>
      </c>
      <c r="F57" s="13">
        <f>((((VLOOKUP(B57,Database!$F:$AY,MATCH($F$1,Database!$F$1:$AY$1,),))))-(((VLOOKUP(EDATE(B57,-12),Database!$F:$AY,MATCH($F$1,Database!$F$1:$AY$1,),)))))/(((VLOOKUP(EDATE(B57,-12),Database!$F:$AY,MATCH($F$1,Database!$F$1:$AY$1,),))))</f>
        <v/>
      </c>
      <c r="G57" s="13">
        <f>((((VLOOKUP(B57,Database!$F:$AY,MATCH($G$1,Database!$F$1:$AY$1,),))))-(((VLOOKUP(EDATE(B57,-12),Database!$F:$AY,MATCH($G$1,Database!$F$1:$AY$1,),)))))/(((VLOOKUP(EDATE(B57,-12),Database!$F:$AY,MATCH($G$1,Database!$F$1:$AY$1,),))))</f>
        <v/>
      </c>
      <c r="H57" s="13">
        <f>((((VLOOKUP(B57,Database!$F:$AY,MATCH($H$1,Database!$F$1:$AY$1,),))))-(((VLOOKUP(EDATE(B57,-12),Database!$F:$AY,MATCH($H$1,Database!$F$1:$AY$1,),)))))/(((VLOOKUP(EDATE(B57,-12),Database!$F:$AY,MATCH($H$1,Database!$F$1:$AY$1,),))))</f>
        <v/>
      </c>
      <c r="I57" s="13">
        <f>((((VLOOKUP(B57,Database!$F:$AY,MATCH($I$1,Database!$F$1:$AY$1,),))))-(((VLOOKUP(EDATE(B57,-12),Database!$F:$AY,MATCH($I$1,Database!$F$1:$AY$1,),)))))/(((VLOOKUP(EDATE(B57,-12),Database!$F:$AY,MATCH($I$1,Database!$F$1:$AY$1,),))))</f>
        <v/>
      </c>
      <c r="J57" s="13">
        <f>((((VLOOKUP(B57,Database!$F:$AY,MATCH($J$1,Database!$F$1:$AY$1,),))))-(((VLOOKUP(EDATE(B57,-12),Database!$F:$AY,MATCH($J$1,Database!$F$1:$AY$1,),)))))/(((VLOOKUP(EDATE(B57,-12),Database!$F:$AY,MATCH($J$1,Database!$F$1:$AY$1,),))))</f>
        <v/>
      </c>
      <c r="K57" s="13">
        <f>((((VLOOKUP(B57,Database!$F:$AY,MATCH($K$1,Database!$F$1:$AY$1,),))))-(((VLOOKUP(EDATE(B57,-12),Database!$F:$AY,MATCH($K$1,Database!$F$1:$AY$1,),)))))/(((VLOOKUP(EDATE(B57,-12),Database!$F:$AY,MATCH($K$1,Database!$F$1:$AY$1,),))))</f>
        <v/>
      </c>
      <c r="L57" s="13">
        <f>((((VLOOKUP(B57,Database!$F:$AY,MATCH($L$1,Database!$F$1:$AY$1,),))))-(((VLOOKUP(EDATE(B57,-12),Database!$F:$AY,MATCH($L$1,Database!$F$1:$AY$1,),)))))/(((VLOOKUP(EDATE(B57,-12),Database!$F:$AY,MATCH($L$1,Database!$F$1:$AY$1,),))))</f>
        <v/>
      </c>
      <c r="M57" s="13">
        <f>((((VLOOKUP(B57,Database!$F:$AY,MATCH($M$1,Database!$F$1:$AY$1,),))))-(((VLOOKUP(EDATE(B57,-12),Database!$F:$AY,MATCH($M$1,Database!$F$1:$AY$1,),)))))/(((VLOOKUP(EDATE(B57,-12),Database!$F:$AY,MATCH($M$1,Database!$F$1:$AY$1,),))))</f>
        <v/>
      </c>
      <c r="N57" s="13">
        <f>((((VLOOKUP(B57,Database!$F:$AY,MATCH($N$1,Database!$F$1:$AY$1,),))))-(((VLOOKUP(EDATE(B57,-12),Database!$F:$AY,MATCH($N$1,Database!$F$1:$AY$1,),)))))/(((VLOOKUP(EDATE(B57,-12),Database!$F:$AY,MATCH($N$1,Database!$F$1:$AY$1,),))))</f>
        <v/>
      </c>
      <c r="O57" s="13">
        <f>((((VLOOKUP(B57,Database!$F:$AY,MATCH($O$1,Database!$F$1:$AY$1,),))))-(((VLOOKUP(EDATE(B57,-12),Database!$F:$AY,MATCH($O$1,Database!$F$1:$AY$1,),)))))/(((VLOOKUP(EDATE(B57,-12),Database!$F:$AY,MATCH($O$1,Database!$F$1:$AY$1,),))))</f>
        <v/>
      </c>
      <c r="P57" s="13">
        <f>((((VLOOKUP(B57,Database!$F:$AY,MATCH($P$1,Database!$F$1:$AY$1,),))))-(((VLOOKUP(EDATE(B57,-12),Database!$F:$AY,MATCH($P$1,Database!$F$1:$AY$1,),)))))/(((VLOOKUP(EDATE(B57,-12),Database!$F:$AY,MATCH($P$1,Database!$F$1:$AY$1,),))))</f>
        <v/>
      </c>
      <c r="Q57" s="13">
        <f>((((VLOOKUP(B57,Database!$F:$AY,MATCH($Q$1,Database!$F$1:$AY$1,),))))-(((VLOOKUP(EDATE(B57,-12),Database!$F:$AY,MATCH($Q$1,Database!$F$1:$AY$1,),)))))/(((VLOOKUP(EDATE(B57,-12),Database!$F:$AY,MATCH($Q$1,Database!$F$1:$AY$1,),))))</f>
        <v/>
      </c>
      <c r="R57" s="13">
        <f>((((VLOOKUP(B57,Database!$F:$AY,MATCH($R$1,Database!$F$1:$AY$1,),))))-(((VLOOKUP(EDATE(B57,-12),Database!$F:$AY,MATCH($R$1,Database!$F$1:$AY$1,),)))))/(((VLOOKUP(EDATE(B57,-12),Database!$F:$AY,MATCH($R$1,Database!$F$1:$AY$1,),))))</f>
        <v/>
      </c>
      <c r="S57" s="13">
        <f>((((VLOOKUP(B57,Database!$F:$AY,MATCH($S$1,Database!$F$1:$AY$1,),))))-(((VLOOKUP(EDATE(B57,-12),Database!$F:$AY,MATCH($S$1,Database!$F$1:$AY$1,),)))))/(((VLOOKUP(EDATE(B57,-12),Database!$F:$AY,MATCH($S$1,Database!$F$1:$AY$1,),))))</f>
        <v/>
      </c>
      <c r="T57" s="13">
        <f>((((VLOOKUP(B57,Database!$F:$AY,MATCH($T$1,Database!$F$1:$AY$1,),))))-(((VLOOKUP(EDATE(B57,-12),Database!$F:$AY,MATCH($T$1,Database!$F$1:$AY$1,),)))))/(((VLOOKUP(EDATE(B57,-12),Database!$F:$AY,MATCH($T$1,Database!$F$1:$AY$1,),))))</f>
        <v/>
      </c>
      <c r="U57" s="13">
        <f>((((VLOOKUP(B57,Database!$F:$AY,MATCH($U$1,Database!$F$1:$AY$1,),))))-(((VLOOKUP(EDATE(B57,-12),Database!$F:$AY,MATCH($U$1,Database!$F$1:$AY$1,),)))))/(((VLOOKUP(EDATE(B57,-12),Database!$F:$AY,MATCH($U$1,Database!$F$1:$AY$1,),))))</f>
        <v/>
      </c>
      <c r="V57" s="13">
        <f>((((VLOOKUP(B57,Database!$F:$AY,MATCH($V$1,Database!$F$1:$AY$1,),))))-(((VLOOKUP(EDATE(B57,-12),Database!$F:$AY,MATCH($V$1,Database!$F$1:$AY$1,),)))))/(((VLOOKUP(EDATE(B57,-12),Database!$F:$AY,MATCH($V$1,Database!$F$1:$AY$1,),))))</f>
        <v/>
      </c>
    </row>
    <row r="58" customFormat="1" s="100">
      <c r="A58" s="45" t="n"/>
      <c r="B58" s="46" t="n">
        <v>33909</v>
      </c>
      <c r="C58" s="13">
        <f>((((VLOOKUP(B58,Database!$F:$AY,MATCH($C$1,Database!$F$1:$AY$1,),))))-(((VLOOKUP(EDATE(B58,-12),Database!$F:$AY,MATCH($C$1,Database!$F$1:$AY$1,),)))))/(((VLOOKUP(EDATE(B58,-12),Database!$F:$AY,MATCH($C$1,Database!$F$1:$AY$1,),))))</f>
        <v/>
      </c>
      <c r="D58" s="13">
        <f>((((VLOOKUP(B58,Database!$F:$AY,MATCH($D$1,Database!$F$1:$AY$1,),))))-(((VLOOKUP(EDATE(B58,-12),Database!$F:$AY,MATCH($D$1,Database!$F$1:$AY$1,),)))))/(((VLOOKUP(EDATE(B58,-12),Database!$F:$AY,MATCH($D$1,Database!$F$1:$AY$1,),))))</f>
        <v/>
      </c>
      <c r="E58" s="13">
        <f>((((VLOOKUP(B58,Database!$F:$AY,MATCH($E$1,Database!$F$1:$AY$1,),))))-(((VLOOKUP(EDATE(B58,-12),Database!$F:$AY,MATCH($E$1,Database!$F$1:$AY$1,),)))))/(((VLOOKUP(EDATE(B58,-12),Database!$F:$AY,MATCH($E$1,Database!$F$1:$AY$1,),))))</f>
        <v/>
      </c>
      <c r="F58" s="13">
        <f>((((VLOOKUP(B58,Database!$F:$AY,MATCH($F$1,Database!$F$1:$AY$1,),))))-(((VLOOKUP(EDATE(B58,-12),Database!$F:$AY,MATCH($F$1,Database!$F$1:$AY$1,),)))))/(((VLOOKUP(EDATE(B58,-12),Database!$F:$AY,MATCH($F$1,Database!$F$1:$AY$1,),))))</f>
        <v/>
      </c>
      <c r="G58" s="13">
        <f>((((VLOOKUP(B58,Database!$F:$AY,MATCH($G$1,Database!$F$1:$AY$1,),))))-(((VLOOKUP(EDATE(B58,-12),Database!$F:$AY,MATCH($G$1,Database!$F$1:$AY$1,),)))))/(((VLOOKUP(EDATE(B58,-12),Database!$F:$AY,MATCH($G$1,Database!$F$1:$AY$1,),))))</f>
        <v/>
      </c>
      <c r="H58" s="13">
        <f>((((VLOOKUP(B58,Database!$F:$AY,MATCH($H$1,Database!$F$1:$AY$1,),))))-(((VLOOKUP(EDATE(B58,-12),Database!$F:$AY,MATCH($H$1,Database!$F$1:$AY$1,),)))))/(((VLOOKUP(EDATE(B58,-12),Database!$F:$AY,MATCH($H$1,Database!$F$1:$AY$1,),))))</f>
        <v/>
      </c>
      <c r="I58" s="13">
        <f>((((VLOOKUP(B58,Database!$F:$AY,MATCH($I$1,Database!$F$1:$AY$1,),))))-(((VLOOKUP(EDATE(B58,-12),Database!$F:$AY,MATCH($I$1,Database!$F$1:$AY$1,),)))))/(((VLOOKUP(EDATE(B58,-12),Database!$F:$AY,MATCH($I$1,Database!$F$1:$AY$1,),))))</f>
        <v/>
      </c>
      <c r="J58" s="13">
        <f>((((VLOOKUP(B58,Database!$F:$AY,MATCH($J$1,Database!$F$1:$AY$1,),))))-(((VLOOKUP(EDATE(B58,-12),Database!$F:$AY,MATCH($J$1,Database!$F$1:$AY$1,),)))))/(((VLOOKUP(EDATE(B58,-12),Database!$F:$AY,MATCH($J$1,Database!$F$1:$AY$1,),))))</f>
        <v/>
      </c>
      <c r="K58" s="13">
        <f>((((VLOOKUP(B58,Database!$F:$AY,MATCH($K$1,Database!$F$1:$AY$1,),))))-(((VLOOKUP(EDATE(B58,-12),Database!$F:$AY,MATCH($K$1,Database!$F$1:$AY$1,),)))))/(((VLOOKUP(EDATE(B58,-12),Database!$F:$AY,MATCH($K$1,Database!$F$1:$AY$1,),))))</f>
        <v/>
      </c>
      <c r="L58" s="13">
        <f>((((VLOOKUP(B58,Database!$F:$AY,MATCH($L$1,Database!$F$1:$AY$1,),))))-(((VLOOKUP(EDATE(B58,-12),Database!$F:$AY,MATCH($L$1,Database!$F$1:$AY$1,),)))))/(((VLOOKUP(EDATE(B58,-12),Database!$F:$AY,MATCH($L$1,Database!$F$1:$AY$1,),))))</f>
        <v/>
      </c>
      <c r="M58" s="13">
        <f>((((VLOOKUP(B58,Database!$F:$AY,MATCH($M$1,Database!$F$1:$AY$1,),))))-(((VLOOKUP(EDATE(B58,-12),Database!$F:$AY,MATCH($M$1,Database!$F$1:$AY$1,),)))))/(((VLOOKUP(EDATE(B58,-12),Database!$F:$AY,MATCH($M$1,Database!$F$1:$AY$1,),))))</f>
        <v/>
      </c>
      <c r="N58" s="13">
        <f>((((VLOOKUP(B58,Database!$F:$AY,MATCH($N$1,Database!$F$1:$AY$1,),))))-(((VLOOKUP(EDATE(B58,-12),Database!$F:$AY,MATCH($N$1,Database!$F$1:$AY$1,),)))))/(((VLOOKUP(EDATE(B58,-12),Database!$F:$AY,MATCH($N$1,Database!$F$1:$AY$1,),))))</f>
        <v/>
      </c>
      <c r="O58" s="13">
        <f>((((VLOOKUP(B58,Database!$F:$AY,MATCH($O$1,Database!$F$1:$AY$1,),))))-(((VLOOKUP(EDATE(B58,-12),Database!$F:$AY,MATCH($O$1,Database!$F$1:$AY$1,),)))))/(((VLOOKUP(EDATE(B58,-12),Database!$F:$AY,MATCH($O$1,Database!$F$1:$AY$1,),))))</f>
        <v/>
      </c>
      <c r="P58" s="13">
        <f>((((VLOOKUP(B58,Database!$F:$AY,MATCH($P$1,Database!$F$1:$AY$1,),))))-(((VLOOKUP(EDATE(B58,-12),Database!$F:$AY,MATCH($P$1,Database!$F$1:$AY$1,),)))))/(((VLOOKUP(EDATE(B58,-12),Database!$F:$AY,MATCH($P$1,Database!$F$1:$AY$1,),))))</f>
        <v/>
      </c>
      <c r="Q58" s="13">
        <f>((((VLOOKUP(B58,Database!$F:$AY,MATCH($Q$1,Database!$F$1:$AY$1,),))))-(((VLOOKUP(EDATE(B58,-12),Database!$F:$AY,MATCH($Q$1,Database!$F$1:$AY$1,),)))))/(((VLOOKUP(EDATE(B58,-12),Database!$F:$AY,MATCH($Q$1,Database!$F$1:$AY$1,),))))</f>
        <v/>
      </c>
      <c r="R58" s="13">
        <f>((((VLOOKUP(B58,Database!$F:$AY,MATCH($R$1,Database!$F$1:$AY$1,),))))-(((VLOOKUP(EDATE(B58,-12),Database!$F:$AY,MATCH($R$1,Database!$F$1:$AY$1,),)))))/(((VLOOKUP(EDATE(B58,-12),Database!$F:$AY,MATCH($R$1,Database!$F$1:$AY$1,),))))</f>
        <v/>
      </c>
      <c r="S58" s="13">
        <f>((((VLOOKUP(B58,Database!$F:$AY,MATCH($S$1,Database!$F$1:$AY$1,),))))-(((VLOOKUP(EDATE(B58,-12),Database!$F:$AY,MATCH($S$1,Database!$F$1:$AY$1,),)))))/(((VLOOKUP(EDATE(B58,-12),Database!$F:$AY,MATCH($S$1,Database!$F$1:$AY$1,),))))</f>
        <v/>
      </c>
      <c r="T58" s="13">
        <f>((((VLOOKUP(B58,Database!$F:$AY,MATCH($T$1,Database!$F$1:$AY$1,),))))-(((VLOOKUP(EDATE(B58,-12),Database!$F:$AY,MATCH($T$1,Database!$F$1:$AY$1,),)))))/(((VLOOKUP(EDATE(B58,-12),Database!$F:$AY,MATCH($T$1,Database!$F$1:$AY$1,),))))</f>
        <v/>
      </c>
      <c r="U58" s="13">
        <f>((((VLOOKUP(B58,Database!$F:$AY,MATCH($U$1,Database!$F$1:$AY$1,),))))-(((VLOOKUP(EDATE(B58,-12),Database!$F:$AY,MATCH($U$1,Database!$F$1:$AY$1,),)))))/(((VLOOKUP(EDATE(B58,-12),Database!$F:$AY,MATCH($U$1,Database!$F$1:$AY$1,),))))</f>
        <v/>
      </c>
      <c r="V58" s="13">
        <f>((((VLOOKUP(B58,Database!$F:$AY,MATCH($V$1,Database!$F$1:$AY$1,),))))-(((VLOOKUP(EDATE(B58,-12),Database!$F:$AY,MATCH($V$1,Database!$F$1:$AY$1,),)))))/(((VLOOKUP(EDATE(B58,-12),Database!$F:$AY,MATCH($V$1,Database!$F$1:$AY$1,),))))</f>
        <v/>
      </c>
    </row>
    <row r="59" customFormat="1" s="100">
      <c r="A59" s="45" t="n"/>
      <c r="B59" s="46" t="n">
        <v>33939</v>
      </c>
      <c r="C59" s="13">
        <f>((((VLOOKUP(B59,Database!$F:$AY,MATCH($C$1,Database!$F$1:$AY$1,),))))-(((VLOOKUP(EDATE(B59,-12),Database!$F:$AY,MATCH($C$1,Database!$F$1:$AY$1,),)))))/(((VLOOKUP(EDATE(B59,-12),Database!$F:$AY,MATCH($C$1,Database!$F$1:$AY$1,),))))</f>
        <v/>
      </c>
      <c r="D59" s="13">
        <f>((((VLOOKUP(B59,Database!$F:$AY,MATCH($D$1,Database!$F$1:$AY$1,),))))-(((VLOOKUP(EDATE(B59,-12),Database!$F:$AY,MATCH($D$1,Database!$F$1:$AY$1,),)))))/(((VLOOKUP(EDATE(B59,-12),Database!$F:$AY,MATCH($D$1,Database!$F$1:$AY$1,),))))</f>
        <v/>
      </c>
      <c r="E59" s="13">
        <f>((((VLOOKUP(B59,Database!$F:$AY,MATCH($E$1,Database!$F$1:$AY$1,),))))-(((VLOOKUP(EDATE(B59,-12),Database!$F:$AY,MATCH($E$1,Database!$F$1:$AY$1,),)))))/(((VLOOKUP(EDATE(B59,-12),Database!$F:$AY,MATCH($E$1,Database!$F$1:$AY$1,),))))</f>
        <v/>
      </c>
      <c r="F59" s="13">
        <f>((((VLOOKUP(B59,Database!$F:$AY,MATCH($F$1,Database!$F$1:$AY$1,),))))-(((VLOOKUP(EDATE(B59,-12),Database!$F:$AY,MATCH($F$1,Database!$F$1:$AY$1,),)))))/(((VLOOKUP(EDATE(B59,-12),Database!$F:$AY,MATCH($F$1,Database!$F$1:$AY$1,),))))</f>
        <v/>
      </c>
      <c r="G59" s="13">
        <f>((((VLOOKUP(B59,Database!$F:$AY,MATCH($G$1,Database!$F$1:$AY$1,),))))-(((VLOOKUP(EDATE(B59,-12),Database!$F:$AY,MATCH($G$1,Database!$F$1:$AY$1,),)))))/(((VLOOKUP(EDATE(B59,-12),Database!$F:$AY,MATCH($G$1,Database!$F$1:$AY$1,),))))</f>
        <v/>
      </c>
      <c r="H59" s="13">
        <f>((((VLOOKUP(B59,Database!$F:$AY,MATCH($H$1,Database!$F$1:$AY$1,),))))-(((VLOOKUP(EDATE(B59,-12),Database!$F:$AY,MATCH($H$1,Database!$F$1:$AY$1,),)))))/(((VLOOKUP(EDATE(B59,-12),Database!$F:$AY,MATCH($H$1,Database!$F$1:$AY$1,),))))</f>
        <v/>
      </c>
      <c r="I59" s="13">
        <f>((((VLOOKUP(B59,Database!$F:$AY,MATCH($I$1,Database!$F$1:$AY$1,),))))-(((VLOOKUP(EDATE(B59,-12),Database!$F:$AY,MATCH($I$1,Database!$F$1:$AY$1,),)))))/(((VLOOKUP(EDATE(B59,-12),Database!$F:$AY,MATCH($I$1,Database!$F$1:$AY$1,),))))</f>
        <v/>
      </c>
      <c r="J59" s="13">
        <f>((((VLOOKUP(B59,Database!$F:$AY,MATCH($J$1,Database!$F$1:$AY$1,),))))-(((VLOOKUP(EDATE(B59,-12),Database!$F:$AY,MATCH($J$1,Database!$F$1:$AY$1,),)))))/(((VLOOKUP(EDATE(B59,-12),Database!$F:$AY,MATCH($J$1,Database!$F$1:$AY$1,),))))</f>
        <v/>
      </c>
      <c r="K59" s="13">
        <f>((((VLOOKUP(B59,Database!$F:$AY,MATCH($K$1,Database!$F$1:$AY$1,),))))-(((VLOOKUP(EDATE(B59,-12),Database!$F:$AY,MATCH($K$1,Database!$F$1:$AY$1,),)))))/(((VLOOKUP(EDATE(B59,-12),Database!$F:$AY,MATCH($K$1,Database!$F$1:$AY$1,),))))</f>
        <v/>
      </c>
      <c r="L59" s="13">
        <f>((((VLOOKUP(B59,Database!$F:$AY,MATCH($L$1,Database!$F$1:$AY$1,),))))-(((VLOOKUP(EDATE(B59,-12),Database!$F:$AY,MATCH($L$1,Database!$F$1:$AY$1,),)))))/(((VLOOKUP(EDATE(B59,-12),Database!$F:$AY,MATCH($L$1,Database!$F$1:$AY$1,),))))</f>
        <v/>
      </c>
      <c r="M59" s="13">
        <f>((((VLOOKUP(B59,Database!$F:$AY,MATCH($M$1,Database!$F$1:$AY$1,),))))-(((VLOOKUP(EDATE(B59,-12),Database!$F:$AY,MATCH($M$1,Database!$F$1:$AY$1,),)))))/(((VLOOKUP(EDATE(B59,-12),Database!$F:$AY,MATCH($M$1,Database!$F$1:$AY$1,),))))</f>
        <v/>
      </c>
      <c r="N59" s="13">
        <f>((((VLOOKUP(B59,Database!$F:$AY,MATCH($N$1,Database!$F$1:$AY$1,),))))-(((VLOOKUP(EDATE(B59,-12),Database!$F:$AY,MATCH($N$1,Database!$F$1:$AY$1,),)))))/(((VLOOKUP(EDATE(B59,-12),Database!$F:$AY,MATCH($N$1,Database!$F$1:$AY$1,),))))</f>
        <v/>
      </c>
      <c r="O59" s="13">
        <f>((((VLOOKUP(B59,Database!$F:$AY,MATCH($O$1,Database!$F$1:$AY$1,),))))-(((VLOOKUP(EDATE(B59,-12),Database!$F:$AY,MATCH($O$1,Database!$F$1:$AY$1,),)))))/(((VLOOKUP(EDATE(B59,-12),Database!$F:$AY,MATCH($O$1,Database!$F$1:$AY$1,),))))</f>
        <v/>
      </c>
      <c r="P59" s="13">
        <f>((((VLOOKUP(B59,Database!$F:$AY,MATCH($P$1,Database!$F$1:$AY$1,),))))-(((VLOOKUP(EDATE(B59,-12),Database!$F:$AY,MATCH($P$1,Database!$F$1:$AY$1,),)))))/(((VLOOKUP(EDATE(B59,-12),Database!$F:$AY,MATCH($P$1,Database!$F$1:$AY$1,),))))</f>
        <v/>
      </c>
      <c r="Q59" s="13">
        <f>((((VLOOKUP(B59,Database!$F:$AY,MATCH($Q$1,Database!$F$1:$AY$1,),))))-(((VLOOKUP(EDATE(B59,-12),Database!$F:$AY,MATCH($Q$1,Database!$F$1:$AY$1,),)))))/(((VLOOKUP(EDATE(B59,-12),Database!$F:$AY,MATCH($Q$1,Database!$F$1:$AY$1,),))))</f>
        <v/>
      </c>
      <c r="R59" s="13">
        <f>((((VLOOKUP(B59,Database!$F:$AY,MATCH($R$1,Database!$F$1:$AY$1,),))))-(((VLOOKUP(EDATE(B59,-12),Database!$F:$AY,MATCH($R$1,Database!$F$1:$AY$1,),)))))/(((VLOOKUP(EDATE(B59,-12),Database!$F:$AY,MATCH($R$1,Database!$F$1:$AY$1,),))))</f>
        <v/>
      </c>
      <c r="S59" s="13">
        <f>((((VLOOKUP(B59,Database!$F:$AY,MATCH($S$1,Database!$F$1:$AY$1,),))))-(((VLOOKUP(EDATE(B59,-12),Database!$F:$AY,MATCH($S$1,Database!$F$1:$AY$1,),)))))/(((VLOOKUP(EDATE(B59,-12),Database!$F:$AY,MATCH($S$1,Database!$F$1:$AY$1,),))))</f>
        <v/>
      </c>
      <c r="T59" s="13">
        <f>((((VLOOKUP(B59,Database!$F:$AY,MATCH($T$1,Database!$F$1:$AY$1,),))))-(((VLOOKUP(EDATE(B59,-12),Database!$F:$AY,MATCH($T$1,Database!$F$1:$AY$1,),)))))/(((VLOOKUP(EDATE(B59,-12),Database!$F:$AY,MATCH($T$1,Database!$F$1:$AY$1,),))))</f>
        <v/>
      </c>
      <c r="U59" s="13">
        <f>((((VLOOKUP(B59,Database!$F:$AY,MATCH($U$1,Database!$F$1:$AY$1,),))))-(((VLOOKUP(EDATE(B59,-12),Database!$F:$AY,MATCH($U$1,Database!$F$1:$AY$1,),)))))/(((VLOOKUP(EDATE(B59,-12),Database!$F:$AY,MATCH($U$1,Database!$F$1:$AY$1,),))))</f>
        <v/>
      </c>
      <c r="V59" s="13">
        <f>((((VLOOKUP(B59,Database!$F:$AY,MATCH($V$1,Database!$F$1:$AY$1,),))))-(((VLOOKUP(EDATE(B59,-12),Database!$F:$AY,MATCH($V$1,Database!$F$1:$AY$1,),)))))/(((VLOOKUP(EDATE(B59,-12),Database!$F:$AY,MATCH($V$1,Database!$F$1:$AY$1,),))))</f>
        <v/>
      </c>
    </row>
    <row r="60" customFormat="1" s="100">
      <c r="A60" s="45" t="n"/>
      <c r="B60" s="46" t="n">
        <v>33970</v>
      </c>
      <c r="C60" s="13">
        <f>((((VLOOKUP(B60,Database!$F:$AY,MATCH($C$1,Database!$F$1:$AY$1,),))))-(((VLOOKUP(EDATE(B60,-12),Database!$F:$AY,MATCH($C$1,Database!$F$1:$AY$1,),)))))/(((VLOOKUP(EDATE(B60,-12),Database!$F:$AY,MATCH($C$1,Database!$F$1:$AY$1,),))))</f>
        <v/>
      </c>
      <c r="D60" s="13">
        <f>((((VLOOKUP(B60,Database!$F:$AY,MATCH($D$1,Database!$F$1:$AY$1,),))))-(((VLOOKUP(EDATE(B60,-12),Database!$F:$AY,MATCH($D$1,Database!$F$1:$AY$1,),)))))/(((VLOOKUP(EDATE(B60,-12),Database!$F:$AY,MATCH($D$1,Database!$F$1:$AY$1,),))))</f>
        <v/>
      </c>
      <c r="E60" s="13">
        <f>((((VLOOKUP(B60,Database!$F:$AY,MATCH($E$1,Database!$F$1:$AY$1,),))))-(((VLOOKUP(EDATE(B60,-12),Database!$F:$AY,MATCH($E$1,Database!$F$1:$AY$1,),)))))/(((VLOOKUP(EDATE(B60,-12),Database!$F:$AY,MATCH($E$1,Database!$F$1:$AY$1,),))))</f>
        <v/>
      </c>
      <c r="F60" s="13">
        <f>((((VLOOKUP(B60,Database!$F:$AY,MATCH($F$1,Database!$F$1:$AY$1,),))))-(((VLOOKUP(EDATE(B60,-12),Database!$F:$AY,MATCH($F$1,Database!$F$1:$AY$1,),)))))/(((VLOOKUP(EDATE(B60,-12),Database!$F:$AY,MATCH($F$1,Database!$F$1:$AY$1,),))))</f>
        <v/>
      </c>
      <c r="G60" s="13">
        <f>((((VLOOKUP(B60,Database!$F:$AY,MATCH($G$1,Database!$F$1:$AY$1,),))))-(((VLOOKUP(EDATE(B60,-12),Database!$F:$AY,MATCH($G$1,Database!$F$1:$AY$1,),)))))/(((VLOOKUP(EDATE(B60,-12),Database!$F:$AY,MATCH($G$1,Database!$F$1:$AY$1,),))))</f>
        <v/>
      </c>
      <c r="H60" s="13">
        <f>((((VLOOKUP(B60,Database!$F:$AY,MATCH($H$1,Database!$F$1:$AY$1,),))))-(((VLOOKUP(EDATE(B60,-12),Database!$F:$AY,MATCH($H$1,Database!$F$1:$AY$1,),)))))/(((VLOOKUP(EDATE(B60,-12),Database!$F:$AY,MATCH($H$1,Database!$F$1:$AY$1,),))))</f>
        <v/>
      </c>
      <c r="I60" s="13">
        <f>((((VLOOKUP(B60,Database!$F:$AY,MATCH($I$1,Database!$F$1:$AY$1,),))))-(((VLOOKUP(EDATE(B60,-12),Database!$F:$AY,MATCH($I$1,Database!$F$1:$AY$1,),)))))/(((VLOOKUP(EDATE(B60,-12),Database!$F:$AY,MATCH($I$1,Database!$F$1:$AY$1,),))))</f>
        <v/>
      </c>
      <c r="J60" s="13">
        <f>((((VLOOKUP(B60,Database!$F:$AY,MATCH($J$1,Database!$F$1:$AY$1,),))))-(((VLOOKUP(EDATE(B60,-12),Database!$F:$AY,MATCH($J$1,Database!$F$1:$AY$1,),)))))/(((VLOOKUP(EDATE(B60,-12),Database!$F:$AY,MATCH($J$1,Database!$F$1:$AY$1,),))))</f>
        <v/>
      </c>
      <c r="K60" s="13">
        <f>((((VLOOKUP(B60,Database!$F:$AY,MATCH($K$1,Database!$F$1:$AY$1,),))))-(((VLOOKUP(EDATE(B60,-12),Database!$F:$AY,MATCH($K$1,Database!$F$1:$AY$1,),)))))/(((VLOOKUP(EDATE(B60,-12),Database!$F:$AY,MATCH($K$1,Database!$F$1:$AY$1,),))))</f>
        <v/>
      </c>
      <c r="L60" s="13">
        <f>((((VLOOKUP(B60,Database!$F:$AY,MATCH($L$1,Database!$F$1:$AY$1,),))))-(((VLOOKUP(EDATE(B60,-12),Database!$F:$AY,MATCH($L$1,Database!$F$1:$AY$1,),)))))/(((VLOOKUP(EDATE(B60,-12),Database!$F:$AY,MATCH($L$1,Database!$F$1:$AY$1,),))))</f>
        <v/>
      </c>
      <c r="M60" s="13">
        <f>((((VLOOKUP(B60,Database!$F:$AY,MATCH($M$1,Database!$F$1:$AY$1,),))))-(((VLOOKUP(EDATE(B60,-12),Database!$F:$AY,MATCH($M$1,Database!$F$1:$AY$1,),)))))/(((VLOOKUP(EDATE(B60,-12),Database!$F:$AY,MATCH($M$1,Database!$F$1:$AY$1,),))))</f>
        <v/>
      </c>
      <c r="N60" s="13">
        <f>((((VLOOKUP(B60,Database!$F:$AY,MATCH($N$1,Database!$F$1:$AY$1,),))))-(((VLOOKUP(EDATE(B60,-12),Database!$F:$AY,MATCH($N$1,Database!$F$1:$AY$1,),)))))/(((VLOOKUP(EDATE(B60,-12),Database!$F:$AY,MATCH($N$1,Database!$F$1:$AY$1,),))))</f>
        <v/>
      </c>
      <c r="O60" s="13">
        <f>((((VLOOKUP(B60,Database!$F:$AY,MATCH($O$1,Database!$F$1:$AY$1,),))))-(((VLOOKUP(EDATE(B60,-12),Database!$F:$AY,MATCH($O$1,Database!$F$1:$AY$1,),)))))/(((VLOOKUP(EDATE(B60,-12),Database!$F:$AY,MATCH($O$1,Database!$F$1:$AY$1,),))))</f>
        <v/>
      </c>
      <c r="P60" s="13">
        <f>((((VLOOKUP(B60,Database!$F:$AY,MATCH($P$1,Database!$F$1:$AY$1,),))))-(((VLOOKUP(EDATE(B60,-12),Database!$F:$AY,MATCH($P$1,Database!$F$1:$AY$1,),)))))/(((VLOOKUP(EDATE(B60,-12),Database!$F:$AY,MATCH($P$1,Database!$F$1:$AY$1,),))))</f>
        <v/>
      </c>
      <c r="Q60" s="13">
        <f>((((VLOOKUP(B60,Database!$F:$AY,MATCH($Q$1,Database!$F$1:$AY$1,),))))-(((VLOOKUP(EDATE(B60,-12),Database!$F:$AY,MATCH($Q$1,Database!$F$1:$AY$1,),)))))/(((VLOOKUP(EDATE(B60,-12),Database!$F:$AY,MATCH($Q$1,Database!$F$1:$AY$1,),))))</f>
        <v/>
      </c>
      <c r="R60" s="13">
        <f>((((VLOOKUP(B60,Database!$F:$AY,MATCH($R$1,Database!$F$1:$AY$1,),))))-(((VLOOKUP(EDATE(B60,-12),Database!$F:$AY,MATCH($R$1,Database!$F$1:$AY$1,),)))))/(((VLOOKUP(EDATE(B60,-12),Database!$F:$AY,MATCH($R$1,Database!$F$1:$AY$1,),))))</f>
        <v/>
      </c>
      <c r="S60" s="13">
        <f>((((VLOOKUP(B60,Database!$F:$AY,MATCH($S$1,Database!$F$1:$AY$1,),))))-(((VLOOKUP(EDATE(B60,-12),Database!$F:$AY,MATCH($S$1,Database!$F$1:$AY$1,),)))))/(((VLOOKUP(EDATE(B60,-12),Database!$F:$AY,MATCH($S$1,Database!$F$1:$AY$1,),))))</f>
        <v/>
      </c>
      <c r="T60" s="13">
        <f>((((VLOOKUP(B60,Database!$F:$AY,MATCH($T$1,Database!$F$1:$AY$1,),))))-(((VLOOKUP(EDATE(B60,-12),Database!$F:$AY,MATCH($T$1,Database!$F$1:$AY$1,),)))))/(((VLOOKUP(EDATE(B60,-12),Database!$F:$AY,MATCH($T$1,Database!$F$1:$AY$1,),))))</f>
        <v/>
      </c>
      <c r="U60" s="13">
        <f>((((VLOOKUP(B60,Database!$F:$AY,MATCH($U$1,Database!$F$1:$AY$1,),))))-(((VLOOKUP(EDATE(B60,-12),Database!$F:$AY,MATCH($U$1,Database!$F$1:$AY$1,),)))))/(((VLOOKUP(EDATE(B60,-12),Database!$F:$AY,MATCH($U$1,Database!$F$1:$AY$1,),))))</f>
        <v/>
      </c>
      <c r="V60" s="13">
        <f>((((VLOOKUP(B60,Database!$F:$AY,MATCH($V$1,Database!$F$1:$AY$1,),))))-(((VLOOKUP(EDATE(B60,-12),Database!$F:$AY,MATCH($V$1,Database!$F$1:$AY$1,),)))))/(((VLOOKUP(EDATE(B60,-12),Database!$F:$AY,MATCH($V$1,Database!$F$1:$AY$1,),))))</f>
        <v/>
      </c>
    </row>
    <row r="61" customFormat="1" s="100">
      <c r="A61" s="45" t="n"/>
      <c r="B61" s="46" t="n">
        <v>34001</v>
      </c>
      <c r="C61" s="13">
        <f>((((VLOOKUP(B61,Database!$F:$AY,MATCH($C$1,Database!$F$1:$AY$1,),))))-(((VLOOKUP(EDATE(B61,-12),Database!$F:$AY,MATCH($C$1,Database!$F$1:$AY$1,),)))))/(((VLOOKUP(EDATE(B61,-12),Database!$F:$AY,MATCH($C$1,Database!$F$1:$AY$1,),))))</f>
        <v/>
      </c>
      <c r="D61" s="13">
        <f>((((VLOOKUP(B61,Database!$F:$AY,MATCH($D$1,Database!$F$1:$AY$1,),))))-(((VLOOKUP(EDATE(B61,-12),Database!$F:$AY,MATCH($D$1,Database!$F$1:$AY$1,),)))))/(((VLOOKUP(EDATE(B61,-12),Database!$F:$AY,MATCH($D$1,Database!$F$1:$AY$1,),))))</f>
        <v/>
      </c>
      <c r="E61" s="13">
        <f>((((VLOOKUP(B61,Database!$F:$AY,MATCH($E$1,Database!$F$1:$AY$1,),))))-(((VLOOKUP(EDATE(B61,-12),Database!$F:$AY,MATCH($E$1,Database!$F$1:$AY$1,),)))))/(((VLOOKUP(EDATE(B61,-12),Database!$F:$AY,MATCH($E$1,Database!$F$1:$AY$1,),))))</f>
        <v/>
      </c>
      <c r="F61" s="13">
        <f>((((VLOOKUP(B61,Database!$F:$AY,MATCH($F$1,Database!$F$1:$AY$1,),))))-(((VLOOKUP(EDATE(B61,-12),Database!$F:$AY,MATCH($F$1,Database!$F$1:$AY$1,),)))))/(((VLOOKUP(EDATE(B61,-12),Database!$F:$AY,MATCH($F$1,Database!$F$1:$AY$1,),))))</f>
        <v/>
      </c>
      <c r="G61" s="13">
        <f>((((VLOOKUP(B61,Database!$F:$AY,MATCH($G$1,Database!$F$1:$AY$1,),))))-(((VLOOKUP(EDATE(B61,-12),Database!$F:$AY,MATCH($G$1,Database!$F$1:$AY$1,),)))))/(((VLOOKUP(EDATE(B61,-12),Database!$F:$AY,MATCH($G$1,Database!$F$1:$AY$1,),))))</f>
        <v/>
      </c>
      <c r="H61" s="13">
        <f>((((VLOOKUP(B61,Database!$F:$AY,MATCH($H$1,Database!$F$1:$AY$1,),))))-(((VLOOKUP(EDATE(B61,-12),Database!$F:$AY,MATCH($H$1,Database!$F$1:$AY$1,),)))))/(((VLOOKUP(EDATE(B61,-12),Database!$F:$AY,MATCH($H$1,Database!$F$1:$AY$1,),))))</f>
        <v/>
      </c>
      <c r="I61" s="13">
        <f>((((VLOOKUP(B61,Database!$F:$AY,MATCH($I$1,Database!$F$1:$AY$1,),))))-(((VLOOKUP(EDATE(B61,-12),Database!$F:$AY,MATCH($I$1,Database!$F$1:$AY$1,),)))))/(((VLOOKUP(EDATE(B61,-12),Database!$F:$AY,MATCH($I$1,Database!$F$1:$AY$1,),))))</f>
        <v/>
      </c>
      <c r="J61" s="13">
        <f>((((VLOOKUP(B61,Database!$F:$AY,MATCH($J$1,Database!$F$1:$AY$1,),))))-(((VLOOKUP(EDATE(B61,-12),Database!$F:$AY,MATCH($J$1,Database!$F$1:$AY$1,),)))))/(((VLOOKUP(EDATE(B61,-12),Database!$F:$AY,MATCH($J$1,Database!$F$1:$AY$1,),))))</f>
        <v/>
      </c>
      <c r="K61" s="13">
        <f>((((VLOOKUP(B61,Database!$F:$AY,MATCH($K$1,Database!$F$1:$AY$1,),))))-(((VLOOKUP(EDATE(B61,-12),Database!$F:$AY,MATCH($K$1,Database!$F$1:$AY$1,),)))))/(((VLOOKUP(EDATE(B61,-12),Database!$F:$AY,MATCH($K$1,Database!$F$1:$AY$1,),))))</f>
        <v/>
      </c>
      <c r="L61" s="13">
        <f>((((VLOOKUP(B61,Database!$F:$AY,MATCH($L$1,Database!$F$1:$AY$1,),))))-(((VLOOKUP(EDATE(B61,-12),Database!$F:$AY,MATCH($L$1,Database!$F$1:$AY$1,),)))))/(((VLOOKUP(EDATE(B61,-12),Database!$F:$AY,MATCH($L$1,Database!$F$1:$AY$1,),))))</f>
        <v/>
      </c>
      <c r="M61" s="13">
        <f>((((VLOOKUP(B61,Database!$F:$AY,MATCH($M$1,Database!$F$1:$AY$1,),))))-(((VLOOKUP(EDATE(B61,-12),Database!$F:$AY,MATCH($M$1,Database!$F$1:$AY$1,),)))))/(((VLOOKUP(EDATE(B61,-12),Database!$F:$AY,MATCH($M$1,Database!$F$1:$AY$1,),))))</f>
        <v/>
      </c>
      <c r="N61" s="13">
        <f>((((VLOOKUP(B61,Database!$F:$AY,MATCH($N$1,Database!$F$1:$AY$1,),))))-(((VLOOKUP(EDATE(B61,-12),Database!$F:$AY,MATCH($N$1,Database!$F$1:$AY$1,),)))))/(((VLOOKUP(EDATE(B61,-12),Database!$F:$AY,MATCH($N$1,Database!$F$1:$AY$1,),))))</f>
        <v/>
      </c>
      <c r="O61" s="13">
        <f>((((VLOOKUP(B61,Database!$F:$AY,MATCH($O$1,Database!$F$1:$AY$1,),))))-(((VLOOKUP(EDATE(B61,-12),Database!$F:$AY,MATCH($O$1,Database!$F$1:$AY$1,),)))))/(((VLOOKUP(EDATE(B61,-12),Database!$F:$AY,MATCH($O$1,Database!$F$1:$AY$1,),))))</f>
        <v/>
      </c>
      <c r="P61" s="13">
        <f>((((VLOOKUP(B61,Database!$F:$AY,MATCH($P$1,Database!$F$1:$AY$1,),))))-(((VLOOKUP(EDATE(B61,-12),Database!$F:$AY,MATCH($P$1,Database!$F$1:$AY$1,),)))))/(((VLOOKUP(EDATE(B61,-12),Database!$F:$AY,MATCH($P$1,Database!$F$1:$AY$1,),))))</f>
        <v/>
      </c>
      <c r="Q61" s="13">
        <f>((((VLOOKUP(B61,Database!$F:$AY,MATCH($Q$1,Database!$F$1:$AY$1,),))))-(((VLOOKUP(EDATE(B61,-12),Database!$F:$AY,MATCH($Q$1,Database!$F$1:$AY$1,),)))))/(((VLOOKUP(EDATE(B61,-12),Database!$F:$AY,MATCH($Q$1,Database!$F$1:$AY$1,),))))</f>
        <v/>
      </c>
      <c r="R61" s="13">
        <f>((((VLOOKUP(B61,Database!$F:$AY,MATCH($R$1,Database!$F$1:$AY$1,),))))-(((VLOOKUP(EDATE(B61,-12),Database!$F:$AY,MATCH($R$1,Database!$F$1:$AY$1,),)))))/(((VLOOKUP(EDATE(B61,-12),Database!$F:$AY,MATCH($R$1,Database!$F$1:$AY$1,),))))</f>
        <v/>
      </c>
      <c r="S61" s="13">
        <f>((((VLOOKUP(B61,Database!$F:$AY,MATCH($S$1,Database!$F$1:$AY$1,),))))-(((VLOOKUP(EDATE(B61,-12),Database!$F:$AY,MATCH($S$1,Database!$F$1:$AY$1,),)))))/(((VLOOKUP(EDATE(B61,-12),Database!$F:$AY,MATCH($S$1,Database!$F$1:$AY$1,),))))</f>
        <v/>
      </c>
      <c r="T61" s="13">
        <f>((((VLOOKUP(B61,Database!$F:$AY,MATCH($T$1,Database!$F$1:$AY$1,),))))-(((VLOOKUP(EDATE(B61,-12),Database!$F:$AY,MATCH($T$1,Database!$F$1:$AY$1,),)))))/(((VLOOKUP(EDATE(B61,-12),Database!$F:$AY,MATCH($T$1,Database!$F$1:$AY$1,),))))</f>
        <v/>
      </c>
      <c r="U61" s="13">
        <f>((((VLOOKUP(B61,Database!$F:$AY,MATCH($U$1,Database!$F$1:$AY$1,),))))-(((VLOOKUP(EDATE(B61,-12),Database!$F:$AY,MATCH($U$1,Database!$F$1:$AY$1,),)))))/(((VLOOKUP(EDATE(B61,-12),Database!$F:$AY,MATCH($U$1,Database!$F$1:$AY$1,),))))</f>
        <v/>
      </c>
      <c r="V61" s="13">
        <f>((((VLOOKUP(B61,Database!$F:$AY,MATCH($V$1,Database!$F$1:$AY$1,),))))-(((VLOOKUP(EDATE(B61,-12),Database!$F:$AY,MATCH($V$1,Database!$F$1:$AY$1,),)))))/(((VLOOKUP(EDATE(B61,-12),Database!$F:$AY,MATCH($V$1,Database!$F$1:$AY$1,),))))</f>
        <v/>
      </c>
    </row>
    <row r="62" customFormat="1" s="100">
      <c r="A62" s="45" t="n"/>
      <c r="B62" s="46" t="n">
        <v>34029</v>
      </c>
      <c r="C62" s="13">
        <f>((((VLOOKUP(B62,Database!$F:$AY,MATCH($C$1,Database!$F$1:$AY$1,),))))-(((VLOOKUP(EDATE(B62,-12),Database!$F:$AY,MATCH($C$1,Database!$F$1:$AY$1,),)))))/(((VLOOKUP(EDATE(B62,-12),Database!$F:$AY,MATCH($C$1,Database!$F$1:$AY$1,),))))</f>
        <v/>
      </c>
      <c r="D62" s="13">
        <f>((((VLOOKUP(B62,Database!$F:$AY,MATCH($D$1,Database!$F$1:$AY$1,),))))-(((VLOOKUP(EDATE(B62,-12),Database!$F:$AY,MATCH($D$1,Database!$F$1:$AY$1,),)))))/(((VLOOKUP(EDATE(B62,-12),Database!$F:$AY,MATCH($D$1,Database!$F$1:$AY$1,),))))</f>
        <v/>
      </c>
      <c r="E62" s="13">
        <f>((((VLOOKUP(B62,Database!$F:$AY,MATCH($E$1,Database!$F$1:$AY$1,),))))-(((VLOOKUP(EDATE(B62,-12),Database!$F:$AY,MATCH($E$1,Database!$F$1:$AY$1,),)))))/(((VLOOKUP(EDATE(B62,-12),Database!$F:$AY,MATCH($E$1,Database!$F$1:$AY$1,),))))</f>
        <v/>
      </c>
      <c r="F62" s="13">
        <f>((((VLOOKUP(B62,Database!$F:$AY,MATCH($F$1,Database!$F$1:$AY$1,),))))-(((VLOOKUP(EDATE(B62,-12),Database!$F:$AY,MATCH($F$1,Database!$F$1:$AY$1,),)))))/(((VLOOKUP(EDATE(B62,-12),Database!$F:$AY,MATCH($F$1,Database!$F$1:$AY$1,),))))</f>
        <v/>
      </c>
      <c r="G62" s="13">
        <f>((((VLOOKUP(B62,Database!$F:$AY,MATCH($G$1,Database!$F$1:$AY$1,),))))-(((VLOOKUP(EDATE(B62,-12),Database!$F:$AY,MATCH($G$1,Database!$F$1:$AY$1,),)))))/(((VLOOKUP(EDATE(B62,-12),Database!$F:$AY,MATCH($G$1,Database!$F$1:$AY$1,),))))</f>
        <v/>
      </c>
      <c r="H62" s="13">
        <f>((((VLOOKUP(B62,Database!$F:$AY,MATCH($H$1,Database!$F$1:$AY$1,),))))-(((VLOOKUP(EDATE(B62,-12),Database!$F:$AY,MATCH($H$1,Database!$F$1:$AY$1,),)))))/(((VLOOKUP(EDATE(B62,-12),Database!$F:$AY,MATCH($H$1,Database!$F$1:$AY$1,),))))</f>
        <v/>
      </c>
      <c r="I62" s="13">
        <f>((((VLOOKUP(B62,Database!$F:$AY,MATCH($I$1,Database!$F$1:$AY$1,),))))-(((VLOOKUP(EDATE(B62,-12),Database!$F:$AY,MATCH($I$1,Database!$F$1:$AY$1,),)))))/(((VLOOKUP(EDATE(B62,-12),Database!$F:$AY,MATCH($I$1,Database!$F$1:$AY$1,),))))</f>
        <v/>
      </c>
      <c r="J62" s="13">
        <f>((((VLOOKUP(B62,Database!$F:$AY,MATCH($J$1,Database!$F$1:$AY$1,),))))-(((VLOOKUP(EDATE(B62,-12),Database!$F:$AY,MATCH($J$1,Database!$F$1:$AY$1,),)))))/(((VLOOKUP(EDATE(B62,-12),Database!$F:$AY,MATCH($J$1,Database!$F$1:$AY$1,),))))</f>
        <v/>
      </c>
      <c r="K62" s="13">
        <f>((((VLOOKUP(B62,Database!$F:$AY,MATCH($K$1,Database!$F$1:$AY$1,),))))-(((VLOOKUP(EDATE(B62,-12),Database!$F:$AY,MATCH($K$1,Database!$F$1:$AY$1,),)))))/(((VLOOKUP(EDATE(B62,-12),Database!$F:$AY,MATCH($K$1,Database!$F$1:$AY$1,),))))</f>
        <v/>
      </c>
      <c r="L62" s="13">
        <f>((((VLOOKUP(B62,Database!$F:$AY,MATCH($L$1,Database!$F$1:$AY$1,),))))-(((VLOOKUP(EDATE(B62,-12),Database!$F:$AY,MATCH($L$1,Database!$F$1:$AY$1,),)))))/(((VLOOKUP(EDATE(B62,-12),Database!$F:$AY,MATCH($L$1,Database!$F$1:$AY$1,),))))</f>
        <v/>
      </c>
      <c r="M62" s="13">
        <f>((((VLOOKUP(B62,Database!$F:$AY,MATCH($M$1,Database!$F$1:$AY$1,),))))-(((VLOOKUP(EDATE(B62,-12),Database!$F:$AY,MATCH($M$1,Database!$F$1:$AY$1,),)))))/(((VLOOKUP(EDATE(B62,-12),Database!$F:$AY,MATCH($M$1,Database!$F$1:$AY$1,),))))</f>
        <v/>
      </c>
      <c r="N62" s="13">
        <f>((((VLOOKUP(B62,Database!$F:$AY,MATCH($N$1,Database!$F$1:$AY$1,),))))-(((VLOOKUP(EDATE(B62,-12),Database!$F:$AY,MATCH($N$1,Database!$F$1:$AY$1,),)))))/(((VLOOKUP(EDATE(B62,-12),Database!$F:$AY,MATCH($N$1,Database!$F$1:$AY$1,),))))</f>
        <v/>
      </c>
      <c r="O62" s="13">
        <f>((((VLOOKUP(B62,Database!$F:$AY,MATCH($O$1,Database!$F$1:$AY$1,),))))-(((VLOOKUP(EDATE(B62,-12),Database!$F:$AY,MATCH($O$1,Database!$F$1:$AY$1,),)))))/(((VLOOKUP(EDATE(B62,-12),Database!$F:$AY,MATCH($O$1,Database!$F$1:$AY$1,),))))</f>
        <v/>
      </c>
      <c r="P62" s="13">
        <f>((((VLOOKUP(B62,Database!$F:$AY,MATCH($P$1,Database!$F$1:$AY$1,),))))-(((VLOOKUP(EDATE(B62,-12),Database!$F:$AY,MATCH($P$1,Database!$F$1:$AY$1,),)))))/(((VLOOKUP(EDATE(B62,-12),Database!$F:$AY,MATCH($P$1,Database!$F$1:$AY$1,),))))</f>
        <v/>
      </c>
      <c r="Q62" s="13">
        <f>((((VLOOKUP(B62,Database!$F:$AY,MATCH($Q$1,Database!$F$1:$AY$1,),))))-(((VLOOKUP(EDATE(B62,-12),Database!$F:$AY,MATCH($Q$1,Database!$F$1:$AY$1,),)))))/(((VLOOKUP(EDATE(B62,-12),Database!$F:$AY,MATCH($Q$1,Database!$F$1:$AY$1,),))))</f>
        <v/>
      </c>
      <c r="R62" s="13">
        <f>((((VLOOKUP(B62,Database!$F:$AY,MATCH($R$1,Database!$F$1:$AY$1,),))))-(((VLOOKUP(EDATE(B62,-12),Database!$F:$AY,MATCH($R$1,Database!$F$1:$AY$1,),)))))/(((VLOOKUP(EDATE(B62,-12),Database!$F:$AY,MATCH($R$1,Database!$F$1:$AY$1,),))))</f>
        <v/>
      </c>
      <c r="S62" s="13">
        <f>((((VLOOKUP(B62,Database!$F:$AY,MATCH($S$1,Database!$F$1:$AY$1,),))))-(((VLOOKUP(EDATE(B62,-12),Database!$F:$AY,MATCH($S$1,Database!$F$1:$AY$1,),)))))/(((VLOOKUP(EDATE(B62,-12),Database!$F:$AY,MATCH($S$1,Database!$F$1:$AY$1,),))))</f>
        <v/>
      </c>
      <c r="T62" s="13">
        <f>((((VLOOKUP(B62,Database!$F:$AY,MATCH($T$1,Database!$F$1:$AY$1,),))))-(((VLOOKUP(EDATE(B62,-12),Database!$F:$AY,MATCH($T$1,Database!$F$1:$AY$1,),)))))/(((VLOOKUP(EDATE(B62,-12),Database!$F:$AY,MATCH($T$1,Database!$F$1:$AY$1,),))))</f>
        <v/>
      </c>
      <c r="U62" s="13">
        <f>((((VLOOKUP(B62,Database!$F:$AY,MATCH($U$1,Database!$F$1:$AY$1,),))))-(((VLOOKUP(EDATE(B62,-12),Database!$F:$AY,MATCH($U$1,Database!$F$1:$AY$1,),)))))/(((VLOOKUP(EDATE(B62,-12),Database!$F:$AY,MATCH($U$1,Database!$F$1:$AY$1,),))))</f>
        <v/>
      </c>
      <c r="V62" s="13">
        <f>((((VLOOKUP(B62,Database!$F:$AY,MATCH($V$1,Database!$F$1:$AY$1,),))))-(((VLOOKUP(EDATE(B62,-12),Database!$F:$AY,MATCH($V$1,Database!$F$1:$AY$1,),)))))/(((VLOOKUP(EDATE(B62,-12),Database!$F:$AY,MATCH($V$1,Database!$F$1:$AY$1,),))))</f>
        <v/>
      </c>
    </row>
    <row r="63" customFormat="1" s="100">
      <c r="A63" s="45" t="n"/>
      <c r="B63" s="46" t="n">
        <v>34060</v>
      </c>
      <c r="C63" s="13">
        <f>((((VLOOKUP(B63,Database!$F:$AY,MATCH($C$1,Database!$F$1:$AY$1,),))))-(((VLOOKUP(EDATE(B63,-12),Database!$F:$AY,MATCH($C$1,Database!$F$1:$AY$1,),)))))/(((VLOOKUP(EDATE(B63,-12),Database!$F:$AY,MATCH($C$1,Database!$F$1:$AY$1,),))))</f>
        <v/>
      </c>
      <c r="D63" s="13">
        <f>((((VLOOKUP(B63,Database!$F:$AY,MATCH($D$1,Database!$F$1:$AY$1,),))))-(((VLOOKUP(EDATE(B63,-12),Database!$F:$AY,MATCH($D$1,Database!$F$1:$AY$1,),)))))/(((VLOOKUP(EDATE(B63,-12),Database!$F:$AY,MATCH($D$1,Database!$F$1:$AY$1,),))))</f>
        <v/>
      </c>
      <c r="E63" s="13">
        <f>((((VLOOKUP(B63,Database!$F:$AY,MATCH($E$1,Database!$F$1:$AY$1,),))))-(((VLOOKUP(EDATE(B63,-12),Database!$F:$AY,MATCH($E$1,Database!$F$1:$AY$1,),)))))/(((VLOOKUP(EDATE(B63,-12),Database!$F:$AY,MATCH($E$1,Database!$F$1:$AY$1,),))))</f>
        <v/>
      </c>
      <c r="F63" s="13">
        <f>((((VLOOKUP(B63,Database!$F:$AY,MATCH($F$1,Database!$F$1:$AY$1,),))))-(((VLOOKUP(EDATE(B63,-12),Database!$F:$AY,MATCH($F$1,Database!$F$1:$AY$1,),)))))/(((VLOOKUP(EDATE(B63,-12),Database!$F:$AY,MATCH($F$1,Database!$F$1:$AY$1,),))))</f>
        <v/>
      </c>
      <c r="G63" s="13">
        <f>((((VLOOKUP(B63,Database!$F:$AY,MATCH($G$1,Database!$F$1:$AY$1,),))))-(((VLOOKUP(EDATE(B63,-12),Database!$F:$AY,MATCH($G$1,Database!$F$1:$AY$1,),)))))/(((VLOOKUP(EDATE(B63,-12),Database!$F:$AY,MATCH($G$1,Database!$F$1:$AY$1,),))))</f>
        <v/>
      </c>
      <c r="H63" s="13">
        <f>((((VLOOKUP(B63,Database!$F:$AY,MATCH($H$1,Database!$F$1:$AY$1,),))))-(((VLOOKUP(EDATE(B63,-12),Database!$F:$AY,MATCH($H$1,Database!$F$1:$AY$1,),)))))/(((VLOOKUP(EDATE(B63,-12),Database!$F:$AY,MATCH($H$1,Database!$F$1:$AY$1,),))))</f>
        <v/>
      </c>
      <c r="I63" s="13">
        <f>((((VLOOKUP(B63,Database!$F:$AY,MATCH($I$1,Database!$F$1:$AY$1,),))))-(((VLOOKUP(EDATE(B63,-12),Database!$F:$AY,MATCH($I$1,Database!$F$1:$AY$1,),)))))/(((VLOOKUP(EDATE(B63,-12),Database!$F:$AY,MATCH($I$1,Database!$F$1:$AY$1,),))))</f>
        <v/>
      </c>
      <c r="J63" s="13">
        <f>((((VLOOKUP(B63,Database!$F:$AY,MATCH($J$1,Database!$F$1:$AY$1,),))))-(((VLOOKUP(EDATE(B63,-12),Database!$F:$AY,MATCH($J$1,Database!$F$1:$AY$1,),)))))/(((VLOOKUP(EDATE(B63,-12),Database!$F:$AY,MATCH($J$1,Database!$F$1:$AY$1,),))))</f>
        <v/>
      </c>
      <c r="K63" s="13">
        <f>((((VLOOKUP(B63,Database!$F:$AY,MATCH($K$1,Database!$F$1:$AY$1,),))))-(((VLOOKUP(EDATE(B63,-12),Database!$F:$AY,MATCH($K$1,Database!$F$1:$AY$1,),)))))/(((VLOOKUP(EDATE(B63,-12),Database!$F:$AY,MATCH($K$1,Database!$F$1:$AY$1,),))))</f>
        <v/>
      </c>
      <c r="L63" s="13">
        <f>((((VLOOKUP(B63,Database!$F:$AY,MATCH($L$1,Database!$F$1:$AY$1,),))))-(((VLOOKUP(EDATE(B63,-12),Database!$F:$AY,MATCH($L$1,Database!$F$1:$AY$1,),)))))/(((VLOOKUP(EDATE(B63,-12),Database!$F:$AY,MATCH($L$1,Database!$F$1:$AY$1,),))))</f>
        <v/>
      </c>
      <c r="M63" s="13">
        <f>((((VLOOKUP(B63,Database!$F:$AY,MATCH($M$1,Database!$F$1:$AY$1,),))))-(((VLOOKUP(EDATE(B63,-12),Database!$F:$AY,MATCH($M$1,Database!$F$1:$AY$1,),)))))/(((VLOOKUP(EDATE(B63,-12),Database!$F:$AY,MATCH($M$1,Database!$F$1:$AY$1,),))))</f>
        <v/>
      </c>
      <c r="N63" s="13">
        <f>((((VLOOKUP(B63,Database!$F:$AY,MATCH($N$1,Database!$F$1:$AY$1,),))))-(((VLOOKUP(EDATE(B63,-12),Database!$F:$AY,MATCH($N$1,Database!$F$1:$AY$1,),)))))/(((VLOOKUP(EDATE(B63,-12),Database!$F:$AY,MATCH($N$1,Database!$F$1:$AY$1,),))))</f>
        <v/>
      </c>
      <c r="O63" s="13">
        <f>((((VLOOKUP(B63,Database!$F:$AY,MATCH($O$1,Database!$F$1:$AY$1,),))))-(((VLOOKUP(EDATE(B63,-12),Database!$F:$AY,MATCH($O$1,Database!$F$1:$AY$1,),)))))/(((VLOOKUP(EDATE(B63,-12),Database!$F:$AY,MATCH($O$1,Database!$F$1:$AY$1,),))))</f>
        <v/>
      </c>
      <c r="P63" s="13">
        <f>((((VLOOKUP(B63,Database!$F:$AY,MATCH($P$1,Database!$F$1:$AY$1,),))))-(((VLOOKUP(EDATE(B63,-12),Database!$F:$AY,MATCH($P$1,Database!$F$1:$AY$1,),)))))/(((VLOOKUP(EDATE(B63,-12),Database!$F:$AY,MATCH($P$1,Database!$F$1:$AY$1,),))))</f>
        <v/>
      </c>
      <c r="Q63" s="13">
        <f>((((VLOOKUP(B63,Database!$F:$AY,MATCH($Q$1,Database!$F$1:$AY$1,),))))-(((VLOOKUP(EDATE(B63,-12),Database!$F:$AY,MATCH($Q$1,Database!$F$1:$AY$1,),)))))/(((VLOOKUP(EDATE(B63,-12),Database!$F:$AY,MATCH($Q$1,Database!$F$1:$AY$1,),))))</f>
        <v/>
      </c>
      <c r="R63" s="13">
        <f>((((VLOOKUP(B63,Database!$F:$AY,MATCH($R$1,Database!$F$1:$AY$1,),))))-(((VLOOKUP(EDATE(B63,-12),Database!$F:$AY,MATCH($R$1,Database!$F$1:$AY$1,),)))))/(((VLOOKUP(EDATE(B63,-12),Database!$F:$AY,MATCH($R$1,Database!$F$1:$AY$1,),))))</f>
        <v/>
      </c>
      <c r="S63" s="13">
        <f>((((VLOOKUP(B63,Database!$F:$AY,MATCH($S$1,Database!$F$1:$AY$1,),))))-(((VLOOKUP(EDATE(B63,-12),Database!$F:$AY,MATCH($S$1,Database!$F$1:$AY$1,),)))))/(((VLOOKUP(EDATE(B63,-12),Database!$F:$AY,MATCH($S$1,Database!$F$1:$AY$1,),))))</f>
        <v/>
      </c>
      <c r="T63" s="13">
        <f>((((VLOOKUP(B63,Database!$F:$AY,MATCH($T$1,Database!$F$1:$AY$1,),))))-(((VLOOKUP(EDATE(B63,-12),Database!$F:$AY,MATCH($T$1,Database!$F$1:$AY$1,),)))))/(((VLOOKUP(EDATE(B63,-12),Database!$F:$AY,MATCH($T$1,Database!$F$1:$AY$1,),))))</f>
        <v/>
      </c>
      <c r="U63" s="13">
        <f>((((VLOOKUP(B63,Database!$F:$AY,MATCH($U$1,Database!$F$1:$AY$1,),))))-(((VLOOKUP(EDATE(B63,-12),Database!$F:$AY,MATCH($U$1,Database!$F$1:$AY$1,),)))))/(((VLOOKUP(EDATE(B63,-12),Database!$F:$AY,MATCH($U$1,Database!$F$1:$AY$1,),))))</f>
        <v/>
      </c>
      <c r="V63" s="13">
        <f>((((VLOOKUP(B63,Database!$F:$AY,MATCH($V$1,Database!$F$1:$AY$1,),))))-(((VLOOKUP(EDATE(B63,-12),Database!$F:$AY,MATCH($V$1,Database!$F$1:$AY$1,),)))))/(((VLOOKUP(EDATE(B63,-12),Database!$F:$AY,MATCH($V$1,Database!$F$1:$AY$1,),))))</f>
        <v/>
      </c>
    </row>
    <row r="64" customFormat="1" s="100">
      <c r="A64" s="45" t="n"/>
      <c r="B64" s="46" t="n">
        <v>34090</v>
      </c>
      <c r="C64" s="13">
        <f>((((VLOOKUP(B64,Database!$F:$AY,MATCH($C$1,Database!$F$1:$AY$1,),))))-(((VLOOKUP(EDATE(B64,-12),Database!$F:$AY,MATCH($C$1,Database!$F$1:$AY$1,),)))))/(((VLOOKUP(EDATE(B64,-12),Database!$F:$AY,MATCH($C$1,Database!$F$1:$AY$1,),))))</f>
        <v/>
      </c>
      <c r="D64" s="13">
        <f>((((VLOOKUP(B64,Database!$F:$AY,MATCH($D$1,Database!$F$1:$AY$1,),))))-(((VLOOKUP(EDATE(B64,-12),Database!$F:$AY,MATCH($D$1,Database!$F$1:$AY$1,),)))))/(((VLOOKUP(EDATE(B64,-12),Database!$F:$AY,MATCH($D$1,Database!$F$1:$AY$1,),))))</f>
        <v/>
      </c>
      <c r="E64" s="13">
        <f>((((VLOOKUP(B64,Database!$F:$AY,MATCH($E$1,Database!$F$1:$AY$1,),))))-(((VLOOKUP(EDATE(B64,-12),Database!$F:$AY,MATCH($E$1,Database!$F$1:$AY$1,),)))))/(((VLOOKUP(EDATE(B64,-12),Database!$F:$AY,MATCH($E$1,Database!$F$1:$AY$1,),))))</f>
        <v/>
      </c>
      <c r="F64" s="13">
        <f>((((VLOOKUP(B64,Database!$F:$AY,MATCH($F$1,Database!$F$1:$AY$1,),))))-(((VLOOKUP(EDATE(B64,-12),Database!$F:$AY,MATCH($F$1,Database!$F$1:$AY$1,),)))))/(((VLOOKUP(EDATE(B64,-12),Database!$F:$AY,MATCH($F$1,Database!$F$1:$AY$1,),))))</f>
        <v/>
      </c>
      <c r="G64" s="13">
        <f>((((VLOOKUP(B64,Database!$F:$AY,MATCH($G$1,Database!$F$1:$AY$1,),))))-(((VLOOKUP(EDATE(B64,-12),Database!$F:$AY,MATCH($G$1,Database!$F$1:$AY$1,),)))))/(((VLOOKUP(EDATE(B64,-12),Database!$F:$AY,MATCH($G$1,Database!$F$1:$AY$1,),))))</f>
        <v/>
      </c>
      <c r="H64" s="13">
        <f>((((VLOOKUP(B64,Database!$F:$AY,MATCH($H$1,Database!$F$1:$AY$1,),))))-(((VLOOKUP(EDATE(B64,-12),Database!$F:$AY,MATCH($H$1,Database!$F$1:$AY$1,),)))))/(((VLOOKUP(EDATE(B64,-12),Database!$F:$AY,MATCH($H$1,Database!$F$1:$AY$1,),))))</f>
        <v/>
      </c>
      <c r="I64" s="13">
        <f>((((VLOOKUP(B64,Database!$F:$AY,MATCH($I$1,Database!$F$1:$AY$1,),))))-(((VLOOKUP(EDATE(B64,-12),Database!$F:$AY,MATCH($I$1,Database!$F$1:$AY$1,),)))))/(((VLOOKUP(EDATE(B64,-12),Database!$F:$AY,MATCH($I$1,Database!$F$1:$AY$1,),))))</f>
        <v/>
      </c>
      <c r="J64" s="13">
        <f>((((VLOOKUP(B64,Database!$F:$AY,MATCH($J$1,Database!$F$1:$AY$1,),))))-(((VLOOKUP(EDATE(B64,-12),Database!$F:$AY,MATCH($J$1,Database!$F$1:$AY$1,),)))))/(((VLOOKUP(EDATE(B64,-12),Database!$F:$AY,MATCH($J$1,Database!$F$1:$AY$1,),))))</f>
        <v/>
      </c>
      <c r="K64" s="13">
        <f>((((VLOOKUP(B64,Database!$F:$AY,MATCH($K$1,Database!$F$1:$AY$1,),))))-(((VLOOKUP(EDATE(B64,-12),Database!$F:$AY,MATCH($K$1,Database!$F$1:$AY$1,),)))))/(((VLOOKUP(EDATE(B64,-12),Database!$F:$AY,MATCH($K$1,Database!$F$1:$AY$1,),))))</f>
        <v/>
      </c>
      <c r="L64" s="13">
        <f>((((VLOOKUP(B64,Database!$F:$AY,MATCH($L$1,Database!$F$1:$AY$1,),))))-(((VLOOKUP(EDATE(B64,-12),Database!$F:$AY,MATCH($L$1,Database!$F$1:$AY$1,),)))))/(((VLOOKUP(EDATE(B64,-12),Database!$F:$AY,MATCH($L$1,Database!$F$1:$AY$1,),))))</f>
        <v/>
      </c>
      <c r="M64" s="13">
        <f>((((VLOOKUP(B64,Database!$F:$AY,MATCH($M$1,Database!$F$1:$AY$1,),))))-(((VLOOKUP(EDATE(B64,-12),Database!$F:$AY,MATCH($M$1,Database!$F$1:$AY$1,),)))))/(((VLOOKUP(EDATE(B64,-12),Database!$F:$AY,MATCH($M$1,Database!$F$1:$AY$1,),))))</f>
        <v/>
      </c>
      <c r="N64" s="13">
        <f>((((VLOOKUP(B64,Database!$F:$AY,MATCH($N$1,Database!$F$1:$AY$1,),))))-(((VLOOKUP(EDATE(B64,-12),Database!$F:$AY,MATCH($N$1,Database!$F$1:$AY$1,),)))))/(((VLOOKUP(EDATE(B64,-12),Database!$F:$AY,MATCH($N$1,Database!$F$1:$AY$1,),))))</f>
        <v/>
      </c>
      <c r="O64" s="13">
        <f>((((VLOOKUP(B64,Database!$F:$AY,MATCH($O$1,Database!$F$1:$AY$1,),))))-(((VLOOKUP(EDATE(B64,-12),Database!$F:$AY,MATCH($O$1,Database!$F$1:$AY$1,),)))))/(((VLOOKUP(EDATE(B64,-12),Database!$F:$AY,MATCH($O$1,Database!$F$1:$AY$1,),))))</f>
        <v/>
      </c>
      <c r="P64" s="13">
        <f>((((VLOOKUP(B64,Database!$F:$AY,MATCH($P$1,Database!$F$1:$AY$1,),))))-(((VLOOKUP(EDATE(B64,-12),Database!$F:$AY,MATCH($P$1,Database!$F$1:$AY$1,),)))))/(((VLOOKUP(EDATE(B64,-12),Database!$F:$AY,MATCH($P$1,Database!$F$1:$AY$1,),))))</f>
        <v/>
      </c>
      <c r="Q64" s="13">
        <f>((((VLOOKUP(B64,Database!$F:$AY,MATCH($Q$1,Database!$F$1:$AY$1,),))))-(((VLOOKUP(EDATE(B64,-12),Database!$F:$AY,MATCH($Q$1,Database!$F$1:$AY$1,),)))))/(((VLOOKUP(EDATE(B64,-12),Database!$F:$AY,MATCH($Q$1,Database!$F$1:$AY$1,),))))</f>
        <v/>
      </c>
      <c r="R64" s="13">
        <f>((((VLOOKUP(B64,Database!$F:$AY,MATCH($R$1,Database!$F$1:$AY$1,),))))-(((VLOOKUP(EDATE(B64,-12),Database!$F:$AY,MATCH($R$1,Database!$F$1:$AY$1,),)))))/(((VLOOKUP(EDATE(B64,-12),Database!$F:$AY,MATCH($R$1,Database!$F$1:$AY$1,),))))</f>
        <v/>
      </c>
      <c r="S64" s="13">
        <f>((((VLOOKUP(B64,Database!$F:$AY,MATCH($S$1,Database!$F$1:$AY$1,),))))-(((VLOOKUP(EDATE(B64,-12),Database!$F:$AY,MATCH($S$1,Database!$F$1:$AY$1,),)))))/(((VLOOKUP(EDATE(B64,-12),Database!$F:$AY,MATCH($S$1,Database!$F$1:$AY$1,),))))</f>
        <v/>
      </c>
      <c r="T64" s="13">
        <f>((((VLOOKUP(B64,Database!$F:$AY,MATCH($T$1,Database!$F$1:$AY$1,),))))-(((VLOOKUP(EDATE(B64,-12),Database!$F:$AY,MATCH($T$1,Database!$F$1:$AY$1,),)))))/(((VLOOKUP(EDATE(B64,-12),Database!$F:$AY,MATCH($T$1,Database!$F$1:$AY$1,),))))</f>
        <v/>
      </c>
      <c r="U64" s="13">
        <f>((((VLOOKUP(B64,Database!$F:$AY,MATCH($U$1,Database!$F$1:$AY$1,),))))-(((VLOOKUP(EDATE(B64,-12),Database!$F:$AY,MATCH($U$1,Database!$F$1:$AY$1,),)))))/(((VLOOKUP(EDATE(B64,-12),Database!$F:$AY,MATCH($U$1,Database!$F$1:$AY$1,),))))</f>
        <v/>
      </c>
      <c r="V64" s="13">
        <f>((((VLOOKUP(B64,Database!$F:$AY,MATCH($V$1,Database!$F$1:$AY$1,),))))-(((VLOOKUP(EDATE(B64,-12),Database!$F:$AY,MATCH($V$1,Database!$F$1:$AY$1,),)))))/(((VLOOKUP(EDATE(B64,-12),Database!$F:$AY,MATCH($V$1,Database!$F$1:$AY$1,),))))</f>
        <v/>
      </c>
    </row>
    <row r="65" customFormat="1" s="100">
      <c r="A65" s="45" t="n"/>
      <c r="B65" s="46" t="n">
        <v>34121</v>
      </c>
      <c r="C65" s="13">
        <f>((((VLOOKUP(B65,Database!$F:$AY,MATCH($C$1,Database!$F$1:$AY$1,),))))-(((VLOOKUP(EDATE(B65,-12),Database!$F:$AY,MATCH($C$1,Database!$F$1:$AY$1,),)))))/(((VLOOKUP(EDATE(B65,-12),Database!$F:$AY,MATCH($C$1,Database!$F$1:$AY$1,),))))</f>
        <v/>
      </c>
      <c r="D65" s="13">
        <f>((((VLOOKUP(B65,Database!$F:$AY,MATCH($D$1,Database!$F$1:$AY$1,),))))-(((VLOOKUP(EDATE(B65,-12),Database!$F:$AY,MATCH($D$1,Database!$F$1:$AY$1,),)))))/(((VLOOKUP(EDATE(B65,-12),Database!$F:$AY,MATCH($D$1,Database!$F$1:$AY$1,),))))</f>
        <v/>
      </c>
      <c r="E65" s="13">
        <f>((((VLOOKUP(B65,Database!$F:$AY,MATCH($E$1,Database!$F$1:$AY$1,),))))-(((VLOOKUP(EDATE(B65,-12),Database!$F:$AY,MATCH($E$1,Database!$F$1:$AY$1,),)))))/(((VLOOKUP(EDATE(B65,-12),Database!$F:$AY,MATCH($E$1,Database!$F$1:$AY$1,),))))</f>
        <v/>
      </c>
      <c r="F65" s="13">
        <f>((((VLOOKUP(B65,Database!$F:$AY,MATCH($F$1,Database!$F$1:$AY$1,),))))-(((VLOOKUP(EDATE(B65,-12),Database!$F:$AY,MATCH($F$1,Database!$F$1:$AY$1,),)))))/(((VLOOKUP(EDATE(B65,-12),Database!$F:$AY,MATCH($F$1,Database!$F$1:$AY$1,),))))</f>
        <v/>
      </c>
      <c r="G65" s="13">
        <f>((((VLOOKUP(B65,Database!$F:$AY,MATCH($G$1,Database!$F$1:$AY$1,),))))-(((VLOOKUP(EDATE(B65,-12),Database!$F:$AY,MATCH($G$1,Database!$F$1:$AY$1,),)))))/(((VLOOKUP(EDATE(B65,-12),Database!$F:$AY,MATCH($G$1,Database!$F$1:$AY$1,),))))</f>
        <v/>
      </c>
      <c r="H65" s="13">
        <f>((((VLOOKUP(B65,Database!$F:$AY,MATCH($H$1,Database!$F$1:$AY$1,),))))-(((VLOOKUP(EDATE(B65,-12),Database!$F:$AY,MATCH($H$1,Database!$F$1:$AY$1,),)))))/(((VLOOKUP(EDATE(B65,-12),Database!$F:$AY,MATCH($H$1,Database!$F$1:$AY$1,),))))</f>
        <v/>
      </c>
      <c r="I65" s="13">
        <f>((((VLOOKUP(B65,Database!$F:$AY,MATCH($I$1,Database!$F$1:$AY$1,),))))-(((VLOOKUP(EDATE(B65,-12),Database!$F:$AY,MATCH($I$1,Database!$F$1:$AY$1,),)))))/(((VLOOKUP(EDATE(B65,-12),Database!$F:$AY,MATCH($I$1,Database!$F$1:$AY$1,),))))</f>
        <v/>
      </c>
      <c r="J65" s="13">
        <f>((((VLOOKUP(B65,Database!$F:$AY,MATCH($J$1,Database!$F$1:$AY$1,),))))-(((VLOOKUP(EDATE(B65,-12),Database!$F:$AY,MATCH($J$1,Database!$F$1:$AY$1,),)))))/(((VLOOKUP(EDATE(B65,-12),Database!$F:$AY,MATCH($J$1,Database!$F$1:$AY$1,),))))</f>
        <v/>
      </c>
      <c r="K65" s="13">
        <f>((((VLOOKUP(B65,Database!$F:$AY,MATCH($K$1,Database!$F$1:$AY$1,),))))-(((VLOOKUP(EDATE(B65,-12),Database!$F:$AY,MATCH($K$1,Database!$F$1:$AY$1,),)))))/(((VLOOKUP(EDATE(B65,-12),Database!$F:$AY,MATCH($K$1,Database!$F$1:$AY$1,),))))</f>
        <v/>
      </c>
      <c r="L65" s="13">
        <f>((((VLOOKUP(B65,Database!$F:$AY,MATCH($L$1,Database!$F$1:$AY$1,),))))-(((VLOOKUP(EDATE(B65,-12),Database!$F:$AY,MATCH($L$1,Database!$F$1:$AY$1,),)))))/(((VLOOKUP(EDATE(B65,-12),Database!$F:$AY,MATCH($L$1,Database!$F$1:$AY$1,),))))</f>
        <v/>
      </c>
      <c r="M65" s="13">
        <f>((((VLOOKUP(B65,Database!$F:$AY,MATCH($M$1,Database!$F$1:$AY$1,),))))-(((VLOOKUP(EDATE(B65,-12),Database!$F:$AY,MATCH($M$1,Database!$F$1:$AY$1,),)))))/(((VLOOKUP(EDATE(B65,-12),Database!$F:$AY,MATCH($M$1,Database!$F$1:$AY$1,),))))</f>
        <v/>
      </c>
      <c r="N65" s="13">
        <f>((((VLOOKUP(B65,Database!$F:$AY,MATCH($N$1,Database!$F$1:$AY$1,),))))-(((VLOOKUP(EDATE(B65,-12),Database!$F:$AY,MATCH($N$1,Database!$F$1:$AY$1,),)))))/(((VLOOKUP(EDATE(B65,-12),Database!$F:$AY,MATCH($N$1,Database!$F$1:$AY$1,),))))</f>
        <v/>
      </c>
      <c r="O65" s="13">
        <f>((((VLOOKUP(B65,Database!$F:$AY,MATCH($O$1,Database!$F$1:$AY$1,),))))-(((VLOOKUP(EDATE(B65,-12),Database!$F:$AY,MATCH($O$1,Database!$F$1:$AY$1,),)))))/(((VLOOKUP(EDATE(B65,-12),Database!$F:$AY,MATCH($O$1,Database!$F$1:$AY$1,),))))</f>
        <v/>
      </c>
      <c r="P65" s="13">
        <f>((((VLOOKUP(B65,Database!$F:$AY,MATCH($P$1,Database!$F$1:$AY$1,),))))-(((VLOOKUP(EDATE(B65,-12),Database!$F:$AY,MATCH($P$1,Database!$F$1:$AY$1,),)))))/(((VLOOKUP(EDATE(B65,-12),Database!$F:$AY,MATCH($P$1,Database!$F$1:$AY$1,),))))</f>
        <v/>
      </c>
      <c r="Q65" s="13">
        <f>((((VLOOKUP(B65,Database!$F:$AY,MATCH($Q$1,Database!$F$1:$AY$1,),))))-(((VLOOKUP(EDATE(B65,-12),Database!$F:$AY,MATCH($Q$1,Database!$F$1:$AY$1,),)))))/(((VLOOKUP(EDATE(B65,-12),Database!$F:$AY,MATCH($Q$1,Database!$F$1:$AY$1,),))))</f>
        <v/>
      </c>
      <c r="R65" s="13">
        <f>((((VLOOKUP(B65,Database!$F:$AY,MATCH($R$1,Database!$F$1:$AY$1,),))))-(((VLOOKUP(EDATE(B65,-12),Database!$F:$AY,MATCH($R$1,Database!$F$1:$AY$1,),)))))/(((VLOOKUP(EDATE(B65,-12),Database!$F:$AY,MATCH($R$1,Database!$F$1:$AY$1,),))))</f>
        <v/>
      </c>
      <c r="S65" s="13">
        <f>((((VLOOKUP(B65,Database!$F:$AY,MATCH($S$1,Database!$F$1:$AY$1,),))))-(((VLOOKUP(EDATE(B65,-12),Database!$F:$AY,MATCH($S$1,Database!$F$1:$AY$1,),)))))/(((VLOOKUP(EDATE(B65,-12),Database!$F:$AY,MATCH($S$1,Database!$F$1:$AY$1,),))))</f>
        <v/>
      </c>
      <c r="T65" s="13">
        <f>((((VLOOKUP(B65,Database!$F:$AY,MATCH($T$1,Database!$F$1:$AY$1,),))))-(((VLOOKUP(EDATE(B65,-12),Database!$F:$AY,MATCH($T$1,Database!$F$1:$AY$1,),)))))/(((VLOOKUP(EDATE(B65,-12),Database!$F:$AY,MATCH($T$1,Database!$F$1:$AY$1,),))))</f>
        <v/>
      </c>
      <c r="U65" s="13">
        <f>((((VLOOKUP(B65,Database!$F:$AY,MATCH($U$1,Database!$F$1:$AY$1,),))))-(((VLOOKUP(EDATE(B65,-12),Database!$F:$AY,MATCH($U$1,Database!$F$1:$AY$1,),)))))/(((VLOOKUP(EDATE(B65,-12),Database!$F:$AY,MATCH($U$1,Database!$F$1:$AY$1,),))))</f>
        <v/>
      </c>
      <c r="V65" s="13">
        <f>((((VLOOKUP(B65,Database!$F:$AY,MATCH($V$1,Database!$F$1:$AY$1,),))))-(((VLOOKUP(EDATE(B65,-12),Database!$F:$AY,MATCH($V$1,Database!$F$1:$AY$1,),)))))/(((VLOOKUP(EDATE(B65,-12),Database!$F:$AY,MATCH($V$1,Database!$F$1:$AY$1,),))))</f>
        <v/>
      </c>
    </row>
    <row r="66" customFormat="1" s="100">
      <c r="A66" s="45" t="n"/>
      <c r="B66" s="46" t="n">
        <v>34151</v>
      </c>
      <c r="C66" s="13">
        <f>((((VLOOKUP(B66,Database!$F:$AY,MATCH($C$1,Database!$F$1:$AY$1,),))))-(((VLOOKUP(EDATE(B66,-12),Database!$F:$AY,MATCH($C$1,Database!$F$1:$AY$1,),)))))/(((VLOOKUP(EDATE(B66,-12),Database!$F:$AY,MATCH($C$1,Database!$F$1:$AY$1,),))))</f>
        <v/>
      </c>
      <c r="D66" s="13">
        <f>((((VLOOKUP(B66,Database!$F:$AY,MATCH($D$1,Database!$F$1:$AY$1,),))))-(((VLOOKUP(EDATE(B66,-12),Database!$F:$AY,MATCH($D$1,Database!$F$1:$AY$1,),)))))/(((VLOOKUP(EDATE(B66,-12),Database!$F:$AY,MATCH($D$1,Database!$F$1:$AY$1,),))))</f>
        <v/>
      </c>
      <c r="E66" s="13">
        <f>((((VLOOKUP(B66,Database!$F:$AY,MATCH($E$1,Database!$F$1:$AY$1,),))))-(((VLOOKUP(EDATE(B66,-12),Database!$F:$AY,MATCH($E$1,Database!$F$1:$AY$1,),)))))/(((VLOOKUP(EDATE(B66,-12),Database!$F:$AY,MATCH($E$1,Database!$F$1:$AY$1,),))))</f>
        <v/>
      </c>
      <c r="F66" s="13">
        <f>((((VLOOKUP(B66,Database!$F:$AY,MATCH($F$1,Database!$F$1:$AY$1,),))))-(((VLOOKUP(EDATE(B66,-12),Database!$F:$AY,MATCH($F$1,Database!$F$1:$AY$1,),)))))/(((VLOOKUP(EDATE(B66,-12),Database!$F:$AY,MATCH($F$1,Database!$F$1:$AY$1,),))))</f>
        <v/>
      </c>
      <c r="G66" s="13">
        <f>((((VLOOKUP(B66,Database!$F:$AY,MATCH($G$1,Database!$F$1:$AY$1,),))))-(((VLOOKUP(EDATE(B66,-12),Database!$F:$AY,MATCH($G$1,Database!$F$1:$AY$1,),)))))/(((VLOOKUP(EDATE(B66,-12),Database!$F:$AY,MATCH($G$1,Database!$F$1:$AY$1,),))))</f>
        <v/>
      </c>
      <c r="H66" s="13">
        <f>((((VLOOKUP(B66,Database!$F:$AY,MATCH($H$1,Database!$F$1:$AY$1,),))))-(((VLOOKUP(EDATE(B66,-12),Database!$F:$AY,MATCH($H$1,Database!$F$1:$AY$1,),)))))/(((VLOOKUP(EDATE(B66,-12),Database!$F:$AY,MATCH($H$1,Database!$F$1:$AY$1,),))))</f>
        <v/>
      </c>
      <c r="I66" s="13">
        <f>((((VLOOKUP(B66,Database!$F:$AY,MATCH($I$1,Database!$F$1:$AY$1,),))))-(((VLOOKUP(EDATE(B66,-12),Database!$F:$AY,MATCH($I$1,Database!$F$1:$AY$1,),)))))/(((VLOOKUP(EDATE(B66,-12),Database!$F:$AY,MATCH($I$1,Database!$F$1:$AY$1,),))))</f>
        <v/>
      </c>
      <c r="J66" s="13">
        <f>((((VLOOKUP(B66,Database!$F:$AY,MATCH($J$1,Database!$F$1:$AY$1,),))))-(((VLOOKUP(EDATE(B66,-12),Database!$F:$AY,MATCH($J$1,Database!$F$1:$AY$1,),)))))/(((VLOOKUP(EDATE(B66,-12),Database!$F:$AY,MATCH($J$1,Database!$F$1:$AY$1,),))))</f>
        <v/>
      </c>
      <c r="K66" s="13">
        <f>((((VLOOKUP(B66,Database!$F:$AY,MATCH($K$1,Database!$F$1:$AY$1,),))))-(((VLOOKUP(EDATE(B66,-12),Database!$F:$AY,MATCH($K$1,Database!$F$1:$AY$1,),)))))/(((VLOOKUP(EDATE(B66,-12),Database!$F:$AY,MATCH($K$1,Database!$F$1:$AY$1,),))))</f>
        <v/>
      </c>
      <c r="L66" s="13">
        <f>((((VLOOKUP(B66,Database!$F:$AY,MATCH($L$1,Database!$F$1:$AY$1,),))))-(((VLOOKUP(EDATE(B66,-12),Database!$F:$AY,MATCH($L$1,Database!$F$1:$AY$1,),)))))/(((VLOOKUP(EDATE(B66,-12),Database!$F:$AY,MATCH($L$1,Database!$F$1:$AY$1,),))))</f>
        <v/>
      </c>
      <c r="M66" s="13">
        <f>((((VLOOKUP(B66,Database!$F:$AY,MATCH($M$1,Database!$F$1:$AY$1,),))))-(((VLOOKUP(EDATE(B66,-12),Database!$F:$AY,MATCH($M$1,Database!$F$1:$AY$1,),)))))/(((VLOOKUP(EDATE(B66,-12),Database!$F:$AY,MATCH($M$1,Database!$F$1:$AY$1,),))))</f>
        <v/>
      </c>
      <c r="N66" s="13">
        <f>((((VLOOKUP(B66,Database!$F:$AY,MATCH($N$1,Database!$F$1:$AY$1,),))))-(((VLOOKUP(EDATE(B66,-12),Database!$F:$AY,MATCH($N$1,Database!$F$1:$AY$1,),)))))/(((VLOOKUP(EDATE(B66,-12),Database!$F:$AY,MATCH($N$1,Database!$F$1:$AY$1,),))))</f>
        <v/>
      </c>
      <c r="O66" s="13">
        <f>((((VLOOKUP(B66,Database!$F:$AY,MATCH($O$1,Database!$F$1:$AY$1,),))))-(((VLOOKUP(EDATE(B66,-12),Database!$F:$AY,MATCH($O$1,Database!$F$1:$AY$1,),)))))/(((VLOOKUP(EDATE(B66,-12),Database!$F:$AY,MATCH($O$1,Database!$F$1:$AY$1,),))))</f>
        <v/>
      </c>
      <c r="P66" s="13">
        <f>((((VLOOKUP(B66,Database!$F:$AY,MATCH($P$1,Database!$F$1:$AY$1,),))))-(((VLOOKUP(EDATE(B66,-12),Database!$F:$AY,MATCH($P$1,Database!$F$1:$AY$1,),)))))/(((VLOOKUP(EDATE(B66,-12),Database!$F:$AY,MATCH($P$1,Database!$F$1:$AY$1,),))))</f>
        <v/>
      </c>
      <c r="Q66" s="13">
        <f>((((VLOOKUP(B66,Database!$F:$AY,MATCH($Q$1,Database!$F$1:$AY$1,),))))-(((VLOOKUP(EDATE(B66,-12),Database!$F:$AY,MATCH($Q$1,Database!$F$1:$AY$1,),)))))/(((VLOOKUP(EDATE(B66,-12),Database!$F:$AY,MATCH($Q$1,Database!$F$1:$AY$1,),))))</f>
        <v/>
      </c>
      <c r="R66" s="13">
        <f>((((VLOOKUP(B66,Database!$F:$AY,MATCH($R$1,Database!$F$1:$AY$1,),))))-(((VLOOKUP(EDATE(B66,-12),Database!$F:$AY,MATCH($R$1,Database!$F$1:$AY$1,),)))))/(((VLOOKUP(EDATE(B66,-12),Database!$F:$AY,MATCH($R$1,Database!$F$1:$AY$1,),))))</f>
        <v/>
      </c>
      <c r="S66" s="13">
        <f>((((VLOOKUP(B66,Database!$F:$AY,MATCH($S$1,Database!$F$1:$AY$1,),))))-(((VLOOKUP(EDATE(B66,-12),Database!$F:$AY,MATCH($S$1,Database!$F$1:$AY$1,),)))))/(((VLOOKUP(EDATE(B66,-12),Database!$F:$AY,MATCH($S$1,Database!$F$1:$AY$1,),))))</f>
        <v/>
      </c>
      <c r="T66" s="13">
        <f>((((VLOOKUP(B66,Database!$F:$AY,MATCH($T$1,Database!$F$1:$AY$1,),))))-(((VLOOKUP(EDATE(B66,-12),Database!$F:$AY,MATCH($T$1,Database!$F$1:$AY$1,),)))))/(((VLOOKUP(EDATE(B66,-12),Database!$F:$AY,MATCH($T$1,Database!$F$1:$AY$1,),))))</f>
        <v/>
      </c>
      <c r="U66" s="13">
        <f>((((VLOOKUP(B66,Database!$F:$AY,MATCH($U$1,Database!$F$1:$AY$1,),))))-(((VLOOKUP(EDATE(B66,-12),Database!$F:$AY,MATCH($U$1,Database!$F$1:$AY$1,),)))))/(((VLOOKUP(EDATE(B66,-12),Database!$F:$AY,MATCH($U$1,Database!$F$1:$AY$1,),))))</f>
        <v/>
      </c>
      <c r="V66" s="13">
        <f>((((VLOOKUP(B66,Database!$F:$AY,MATCH($V$1,Database!$F$1:$AY$1,),))))-(((VLOOKUP(EDATE(B66,-12),Database!$F:$AY,MATCH($V$1,Database!$F$1:$AY$1,),)))))/(((VLOOKUP(EDATE(B66,-12),Database!$F:$AY,MATCH($V$1,Database!$F$1:$AY$1,),))))</f>
        <v/>
      </c>
    </row>
    <row r="67" customFormat="1" s="100">
      <c r="A67" s="45" t="n"/>
      <c r="B67" s="46" t="n">
        <v>34182</v>
      </c>
      <c r="C67" s="13">
        <f>((((VLOOKUP(B67,Database!$F:$AY,MATCH($C$1,Database!$F$1:$AY$1,),))))-(((VLOOKUP(EDATE(B67,-12),Database!$F:$AY,MATCH($C$1,Database!$F$1:$AY$1,),)))))/(((VLOOKUP(EDATE(B67,-12),Database!$F:$AY,MATCH($C$1,Database!$F$1:$AY$1,),))))</f>
        <v/>
      </c>
      <c r="D67" s="13">
        <f>((((VLOOKUP(B67,Database!$F:$AY,MATCH($D$1,Database!$F$1:$AY$1,),))))-(((VLOOKUP(EDATE(B67,-12),Database!$F:$AY,MATCH($D$1,Database!$F$1:$AY$1,),)))))/(((VLOOKUP(EDATE(B67,-12),Database!$F:$AY,MATCH($D$1,Database!$F$1:$AY$1,),))))</f>
        <v/>
      </c>
      <c r="E67" s="13">
        <f>((((VLOOKUP(B67,Database!$F:$AY,MATCH($E$1,Database!$F$1:$AY$1,),))))-(((VLOOKUP(EDATE(B67,-12),Database!$F:$AY,MATCH($E$1,Database!$F$1:$AY$1,),)))))/(((VLOOKUP(EDATE(B67,-12),Database!$F:$AY,MATCH($E$1,Database!$F$1:$AY$1,),))))</f>
        <v/>
      </c>
      <c r="F67" s="13">
        <f>((((VLOOKUP(B67,Database!$F:$AY,MATCH($F$1,Database!$F$1:$AY$1,),))))-(((VLOOKUP(EDATE(B67,-12),Database!$F:$AY,MATCH($F$1,Database!$F$1:$AY$1,),)))))/(((VLOOKUP(EDATE(B67,-12),Database!$F:$AY,MATCH($F$1,Database!$F$1:$AY$1,),))))</f>
        <v/>
      </c>
      <c r="G67" s="13">
        <f>((((VLOOKUP(B67,Database!$F:$AY,MATCH($G$1,Database!$F$1:$AY$1,),))))-(((VLOOKUP(EDATE(B67,-12),Database!$F:$AY,MATCH($G$1,Database!$F$1:$AY$1,),)))))/(((VLOOKUP(EDATE(B67,-12),Database!$F:$AY,MATCH($G$1,Database!$F$1:$AY$1,),))))</f>
        <v/>
      </c>
      <c r="H67" s="13">
        <f>((((VLOOKUP(B67,Database!$F:$AY,MATCH($H$1,Database!$F$1:$AY$1,),))))-(((VLOOKUP(EDATE(B67,-12),Database!$F:$AY,MATCH($H$1,Database!$F$1:$AY$1,),)))))/(((VLOOKUP(EDATE(B67,-12),Database!$F:$AY,MATCH($H$1,Database!$F$1:$AY$1,),))))</f>
        <v/>
      </c>
      <c r="I67" s="13">
        <f>((((VLOOKUP(B67,Database!$F:$AY,MATCH($I$1,Database!$F$1:$AY$1,),))))-(((VLOOKUP(EDATE(B67,-12),Database!$F:$AY,MATCH($I$1,Database!$F$1:$AY$1,),)))))/(((VLOOKUP(EDATE(B67,-12),Database!$F:$AY,MATCH($I$1,Database!$F$1:$AY$1,),))))</f>
        <v/>
      </c>
      <c r="J67" s="13">
        <f>((((VLOOKUP(B67,Database!$F:$AY,MATCH($J$1,Database!$F$1:$AY$1,),))))-(((VLOOKUP(EDATE(B67,-12),Database!$F:$AY,MATCH($J$1,Database!$F$1:$AY$1,),)))))/(((VLOOKUP(EDATE(B67,-12),Database!$F:$AY,MATCH($J$1,Database!$F$1:$AY$1,),))))</f>
        <v/>
      </c>
      <c r="K67" s="13">
        <f>((((VLOOKUP(B67,Database!$F:$AY,MATCH($K$1,Database!$F$1:$AY$1,),))))-(((VLOOKUP(EDATE(B67,-12),Database!$F:$AY,MATCH($K$1,Database!$F$1:$AY$1,),)))))/(((VLOOKUP(EDATE(B67,-12),Database!$F:$AY,MATCH($K$1,Database!$F$1:$AY$1,),))))</f>
        <v/>
      </c>
      <c r="L67" s="13">
        <f>((((VLOOKUP(B67,Database!$F:$AY,MATCH($L$1,Database!$F$1:$AY$1,),))))-(((VLOOKUP(EDATE(B67,-12),Database!$F:$AY,MATCH($L$1,Database!$F$1:$AY$1,),)))))/(((VLOOKUP(EDATE(B67,-12),Database!$F:$AY,MATCH($L$1,Database!$F$1:$AY$1,),))))</f>
        <v/>
      </c>
      <c r="M67" s="13">
        <f>((((VLOOKUP(B67,Database!$F:$AY,MATCH($M$1,Database!$F$1:$AY$1,),))))-(((VLOOKUP(EDATE(B67,-12),Database!$F:$AY,MATCH($M$1,Database!$F$1:$AY$1,),)))))/(((VLOOKUP(EDATE(B67,-12),Database!$F:$AY,MATCH($M$1,Database!$F$1:$AY$1,),))))</f>
        <v/>
      </c>
      <c r="N67" s="13">
        <f>((((VLOOKUP(B67,Database!$F:$AY,MATCH($N$1,Database!$F$1:$AY$1,),))))-(((VLOOKUP(EDATE(B67,-12),Database!$F:$AY,MATCH($N$1,Database!$F$1:$AY$1,),)))))/(((VLOOKUP(EDATE(B67,-12),Database!$F:$AY,MATCH($N$1,Database!$F$1:$AY$1,),))))</f>
        <v/>
      </c>
      <c r="O67" s="13">
        <f>((((VLOOKUP(B67,Database!$F:$AY,MATCH($O$1,Database!$F$1:$AY$1,),))))-(((VLOOKUP(EDATE(B67,-12),Database!$F:$AY,MATCH($O$1,Database!$F$1:$AY$1,),)))))/(((VLOOKUP(EDATE(B67,-12),Database!$F:$AY,MATCH($O$1,Database!$F$1:$AY$1,),))))</f>
        <v/>
      </c>
      <c r="P67" s="13">
        <f>((((VLOOKUP(B67,Database!$F:$AY,MATCH($P$1,Database!$F$1:$AY$1,),))))-(((VLOOKUP(EDATE(B67,-12),Database!$F:$AY,MATCH($P$1,Database!$F$1:$AY$1,),)))))/(((VLOOKUP(EDATE(B67,-12),Database!$F:$AY,MATCH($P$1,Database!$F$1:$AY$1,),))))</f>
        <v/>
      </c>
      <c r="Q67" s="13">
        <f>((((VLOOKUP(B67,Database!$F:$AY,MATCH($Q$1,Database!$F$1:$AY$1,),))))-(((VLOOKUP(EDATE(B67,-12),Database!$F:$AY,MATCH($Q$1,Database!$F$1:$AY$1,),)))))/(((VLOOKUP(EDATE(B67,-12),Database!$F:$AY,MATCH($Q$1,Database!$F$1:$AY$1,),))))</f>
        <v/>
      </c>
      <c r="R67" s="13">
        <f>((((VLOOKUP(B67,Database!$F:$AY,MATCH($R$1,Database!$F$1:$AY$1,),))))-(((VLOOKUP(EDATE(B67,-12),Database!$F:$AY,MATCH($R$1,Database!$F$1:$AY$1,),)))))/(((VLOOKUP(EDATE(B67,-12),Database!$F:$AY,MATCH($R$1,Database!$F$1:$AY$1,),))))</f>
        <v/>
      </c>
      <c r="S67" s="13">
        <f>((((VLOOKUP(B67,Database!$F:$AY,MATCH($S$1,Database!$F$1:$AY$1,),))))-(((VLOOKUP(EDATE(B67,-12),Database!$F:$AY,MATCH($S$1,Database!$F$1:$AY$1,),)))))/(((VLOOKUP(EDATE(B67,-12),Database!$F:$AY,MATCH($S$1,Database!$F$1:$AY$1,),))))</f>
        <v/>
      </c>
      <c r="T67" s="13">
        <f>((((VLOOKUP(B67,Database!$F:$AY,MATCH($T$1,Database!$F$1:$AY$1,),))))-(((VLOOKUP(EDATE(B67,-12),Database!$F:$AY,MATCH($T$1,Database!$F$1:$AY$1,),)))))/(((VLOOKUP(EDATE(B67,-12),Database!$F:$AY,MATCH($T$1,Database!$F$1:$AY$1,),))))</f>
        <v/>
      </c>
      <c r="U67" s="13">
        <f>((((VLOOKUP(B67,Database!$F:$AY,MATCH($U$1,Database!$F$1:$AY$1,),))))-(((VLOOKUP(EDATE(B67,-12),Database!$F:$AY,MATCH($U$1,Database!$F$1:$AY$1,),)))))/(((VLOOKUP(EDATE(B67,-12),Database!$F:$AY,MATCH($U$1,Database!$F$1:$AY$1,),))))</f>
        <v/>
      </c>
      <c r="V67" s="13">
        <f>((((VLOOKUP(B67,Database!$F:$AY,MATCH($V$1,Database!$F$1:$AY$1,),))))-(((VLOOKUP(EDATE(B67,-12),Database!$F:$AY,MATCH($V$1,Database!$F$1:$AY$1,),)))))/(((VLOOKUP(EDATE(B67,-12),Database!$F:$AY,MATCH($V$1,Database!$F$1:$AY$1,),))))</f>
        <v/>
      </c>
    </row>
    <row r="68" customFormat="1" s="100">
      <c r="A68" s="45" t="n"/>
      <c r="B68" s="46" t="n">
        <v>34213</v>
      </c>
      <c r="C68" s="13">
        <f>((((VLOOKUP(B68,Database!$F:$AY,MATCH($C$1,Database!$F$1:$AY$1,),))))-(((VLOOKUP(EDATE(B68,-12),Database!$F:$AY,MATCH($C$1,Database!$F$1:$AY$1,),)))))/(((VLOOKUP(EDATE(B68,-12),Database!$F:$AY,MATCH($C$1,Database!$F$1:$AY$1,),))))</f>
        <v/>
      </c>
      <c r="D68" s="13">
        <f>((((VLOOKUP(B68,Database!$F:$AY,MATCH($D$1,Database!$F$1:$AY$1,),))))-(((VLOOKUP(EDATE(B68,-12),Database!$F:$AY,MATCH($D$1,Database!$F$1:$AY$1,),)))))/(((VLOOKUP(EDATE(B68,-12),Database!$F:$AY,MATCH($D$1,Database!$F$1:$AY$1,),))))</f>
        <v/>
      </c>
      <c r="E68" s="13">
        <f>((((VLOOKUP(B68,Database!$F:$AY,MATCH($E$1,Database!$F$1:$AY$1,),))))-(((VLOOKUP(EDATE(B68,-12),Database!$F:$AY,MATCH($E$1,Database!$F$1:$AY$1,),)))))/(((VLOOKUP(EDATE(B68,-12),Database!$F:$AY,MATCH($E$1,Database!$F$1:$AY$1,),))))</f>
        <v/>
      </c>
      <c r="F68" s="13">
        <f>((((VLOOKUP(B68,Database!$F:$AY,MATCH($F$1,Database!$F$1:$AY$1,),))))-(((VLOOKUP(EDATE(B68,-12),Database!$F:$AY,MATCH($F$1,Database!$F$1:$AY$1,),)))))/(((VLOOKUP(EDATE(B68,-12),Database!$F:$AY,MATCH($F$1,Database!$F$1:$AY$1,),))))</f>
        <v/>
      </c>
      <c r="G68" s="13">
        <f>((((VLOOKUP(B68,Database!$F:$AY,MATCH($G$1,Database!$F$1:$AY$1,),))))-(((VLOOKUP(EDATE(B68,-12),Database!$F:$AY,MATCH($G$1,Database!$F$1:$AY$1,),)))))/(((VLOOKUP(EDATE(B68,-12),Database!$F:$AY,MATCH($G$1,Database!$F$1:$AY$1,),))))</f>
        <v/>
      </c>
      <c r="H68" s="13">
        <f>((((VLOOKUP(B68,Database!$F:$AY,MATCH($H$1,Database!$F$1:$AY$1,),))))-(((VLOOKUP(EDATE(B68,-12),Database!$F:$AY,MATCH($H$1,Database!$F$1:$AY$1,),)))))/(((VLOOKUP(EDATE(B68,-12),Database!$F:$AY,MATCH($H$1,Database!$F$1:$AY$1,),))))</f>
        <v/>
      </c>
      <c r="I68" s="13">
        <f>((((VLOOKUP(B68,Database!$F:$AY,MATCH($I$1,Database!$F$1:$AY$1,),))))-(((VLOOKUP(EDATE(B68,-12),Database!$F:$AY,MATCH($I$1,Database!$F$1:$AY$1,),)))))/(((VLOOKUP(EDATE(B68,-12),Database!$F:$AY,MATCH($I$1,Database!$F$1:$AY$1,),))))</f>
        <v/>
      </c>
      <c r="J68" s="13">
        <f>((((VLOOKUP(B68,Database!$F:$AY,MATCH($J$1,Database!$F$1:$AY$1,),))))-(((VLOOKUP(EDATE(B68,-12),Database!$F:$AY,MATCH($J$1,Database!$F$1:$AY$1,),)))))/(((VLOOKUP(EDATE(B68,-12),Database!$F:$AY,MATCH($J$1,Database!$F$1:$AY$1,),))))</f>
        <v/>
      </c>
      <c r="K68" s="13">
        <f>((((VLOOKUP(B68,Database!$F:$AY,MATCH($K$1,Database!$F$1:$AY$1,),))))-(((VLOOKUP(EDATE(B68,-12),Database!$F:$AY,MATCH($K$1,Database!$F$1:$AY$1,),)))))/(((VLOOKUP(EDATE(B68,-12),Database!$F:$AY,MATCH($K$1,Database!$F$1:$AY$1,),))))</f>
        <v/>
      </c>
      <c r="L68" s="13">
        <f>((((VLOOKUP(B68,Database!$F:$AY,MATCH($L$1,Database!$F$1:$AY$1,),))))-(((VLOOKUP(EDATE(B68,-12),Database!$F:$AY,MATCH($L$1,Database!$F$1:$AY$1,),)))))/(((VLOOKUP(EDATE(B68,-12),Database!$F:$AY,MATCH($L$1,Database!$F$1:$AY$1,),))))</f>
        <v/>
      </c>
      <c r="M68" s="13">
        <f>((((VLOOKUP(B68,Database!$F:$AY,MATCH($M$1,Database!$F$1:$AY$1,),))))-(((VLOOKUP(EDATE(B68,-12),Database!$F:$AY,MATCH($M$1,Database!$F$1:$AY$1,),)))))/(((VLOOKUP(EDATE(B68,-12),Database!$F:$AY,MATCH($M$1,Database!$F$1:$AY$1,),))))</f>
        <v/>
      </c>
      <c r="N68" s="13">
        <f>((((VLOOKUP(B68,Database!$F:$AY,MATCH($N$1,Database!$F$1:$AY$1,),))))-(((VLOOKUP(EDATE(B68,-12),Database!$F:$AY,MATCH($N$1,Database!$F$1:$AY$1,),)))))/(((VLOOKUP(EDATE(B68,-12),Database!$F:$AY,MATCH($N$1,Database!$F$1:$AY$1,),))))</f>
        <v/>
      </c>
      <c r="O68" s="13">
        <f>((((VLOOKUP(B68,Database!$F:$AY,MATCH($O$1,Database!$F$1:$AY$1,),))))-(((VLOOKUP(EDATE(B68,-12),Database!$F:$AY,MATCH($O$1,Database!$F$1:$AY$1,),)))))/(((VLOOKUP(EDATE(B68,-12),Database!$F:$AY,MATCH($O$1,Database!$F$1:$AY$1,),))))</f>
        <v/>
      </c>
      <c r="P68" s="13">
        <f>((((VLOOKUP(B68,Database!$F:$AY,MATCH($P$1,Database!$F$1:$AY$1,),))))-(((VLOOKUP(EDATE(B68,-12),Database!$F:$AY,MATCH($P$1,Database!$F$1:$AY$1,),)))))/(((VLOOKUP(EDATE(B68,-12),Database!$F:$AY,MATCH($P$1,Database!$F$1:$AY$1,),))))</f>
        <v/>
      </c>
      <c r="Q68" s="13">
        <f>((((VLOOKUP(B68,Database!$F:$AY,MATCH($Q$1,Database!$F$1:$AY$1,),))))-(((VLOOKUP(EDATE(B68,-12),Database!$F:$AY,MATCH($Q$1,Database!$F$1:$AY$1,),)))))/(((VLOOKUP(EDATE(B68,-12),Database!$F:$AY,MATCH($Q$1,Database!$F$1:$AY$1,),))))</f>
        <v/>
      </c>
      <c r="R68" s="13">
        <f>((((VLOOKUP(B68,Database!$F:$AY,MATCH($R$1,Database!$F$1:$AY$1,),))))-(((VLOOKUP(EDATE(B68,-12),Database!$F:$AY,MATCH($R$1,Database!$F$1:$AY$1,),)))))/(((VLOOKUP(EDATE(B68,-12),Database!$F:$AY,MATCH($R$1,Database!$F$1:$AY$1,),))))</f>
        <v/>
      </c>
      <c r="S68" s="13">
        <f>((((VLOOKUP(B68,Database!$F:$AY,MATCH($S$1,Database!$F$1:$AY$1,),))))-(((VLOOKUP(EDATE(B68,-12),Database!$F:$AY,MATCH($S$1,Database!$F$1:$AY$1,),)))))/(((VLOOKUP(EDATE(B68,-12),Database!$F:$AY,MATCH($S$1,Database!$F$1:$AY$1,),))))</f>
        <v/>
      </c>
      <c r="T68" s="13">
        <f>((((VLOOKUP(B68,Database!$F:$AY,MATCH($T$1,Database!$F$1:$AY$1,),))))-(((VLOOKUP(EDATE(B68,-12),Database!$F:$AY,MATCH($T$1,Database!$F$1:$AY$1,),)))))/(((VLOOKUP(EDATE(B68,-12),Database!$F:$AY,MATCH($T$1,Database!$F$1:$AY$1,),))))</f>
        <v/>
      </c>
      <c r="U68" s="13">
        <f>((((VLOOKUP(B68,Database!$F:$AY,MATCH($U$1,Database!$F$1:$AY$1,),))))-(((VLOOKUP(EDATE(B68,-12),Database!$F:$AY,MATCH($U$1,Database!$F$1:$AY$1,),)))))/(((VLOOKUP(EDATE(B68,-12),Database!$F:$AY,MATCH($U$1,Database!$F$1:$AY$1,),))))</f>
        <v/>
      </c>
      <c r="V68" s="13">
        <f>((((VLOOKUP(B68,Database!$F:$AY,MATCH($V$1,Database!$F$1:$AY$1,),))))-(((VLOOKUP(EDATE(B68,-12),Database!$F:$AY,MATCH($V$1,Database!$F$1:$AY$1,),)))))/(((VLOOKUP(EDATE(B68,-12),Database!$F:$AY,MATCH($V$1,Database!$F$1:$AY$1,),))))</f>
        <v/>
      </c>
    </row>
    <row r="69" customFormat="1" s="100">
      <c r="A69" s="45" t="n"/>
      <c r="B69" s="46" t="n">
        <v>34243</v>
      </c>
      <c r="C69" s="13">
        <f>((((VLOOKUP(B69,Database!$F:$AY,MATCH($C$1,Database!$F$1:$AY$1,),))))-(((VLOOKUP(EDATE(B69,-12),Database!$F:$AY,MATCH($C$1,Database!$F$1:$AY$1,),)))))/(((VLOOKUP(EDATE(B69,-12),Database!$F:$AY,MATCH($C$1,Database!$F$1:$AY$1,),))))</f>
        <v/>
      </c>
      <c r="D69" s="13">
        <f>((((VLOOKUP(B69,Database!$F:$AY,MATCH($D$1,Database!$F$1:$AY$1,),))))-(((VLOOKUP(EDATE(B69,-12),Database!$F:$AY,MATCH($D$1,Database!$F$1:$AY$1,),)))))/(((VLOOKUP(EDATE(B69,-12),Database!$F:$AY,MATCH($D$1,Database!$F$1:$AY$1,),))))</f>
        <v/>
      </c>
      <c r="E69" s="13">
        <f>((((VLOOKUP(B69,Database!$F:$AY,MATCH($E$1,Database!$F$1:$AY$1,),))))-(((VLOOKUP(EDATE(B69,-12),Database!$F:$AY,MATCH($E$1,Database!$F$1:$AY$1,),)))))/(((VLOOKUP(EDATE(B69,-12),Database!$F:$AY,MATCH($E$1,Database!$F$1:$AY$1,),))))</f>
        <v/>
      </c>
      <c r="F69" s="13">
        <f>((((VLOOKUP(B69,Database!$F:$AY,MATCH($F$1,Database!$F$1:$AY$1,),))))-(((VLOOKUP(EDATE(B69,-12),Database!$F:$AY,MATCH($F$1,Database!$F$1:$AY$1,),)))))/(((VLOOKUP(EDATE(B69,-12),Database!$F:$AY,MATCH($F$1,Database!$F$1:$AY$1,),))))</f>
        <v/>
      </c>
      <c r="G69" s="13">
        <f>((((VLOOKUP(B69,Database!$F:$AY,MATCH($G$1,Database!$F$1:$AY$1,),))))-(((VLOOKUP(EDATE(B69,-12),Database!$F:$AY,MATCH($G$1,Database!$F$1:$AY$1,),)))))/(((VLOOKUP(EDATE(B69,-12),Database!$F:$AY,MATCH($G$1,Database!$F$1:$AY$1,),))))</f>
        <v/>
      </c>
      <c r="H69" s="13">
        <f>((((VLOOKUP(B69,Database!$F:$AY,MATCH($H$1,Database!$F$1:$AY$1,),))))-(((VLOOKUP(EDATE(B69,-12),Database!$F:$AY,MATCH($H$1,Database!$F$1:$AY$1,),)))))/(((VLOOKUP(EDATE(B69,-12),Database!$F:$AY,MATCH($H$1,Database!$F$1:$AY$1,),))))</f>
        <v/>
      </c>
      <c r="I69" s="13">
        <f>((((VLOOKUP(B69,Database!$F:$AY,MATCH($I$1,Database!$F$1:$AY$1,),))))-(((VLOOKUP(EDATE(B69,-12),Database!$F:$AY,MATCH($I$1,Database!$F$1:$AY$1,),)))))/(((VLOOKUP(EDATE(B69,-12),Database!$F:$AY,MATCH($I$1,Database!$F$1:$AY$1,),))))</f>
        <v/>
      </c>
      <c r="J69" s="13">
        <f>((((VLOOKUP(B69,Database!$F:$AY,MATCH($J$1,Database!$F$1:$AY$1,),))))-(((VLOOKUP(EDATE(B69,-12),Database!$F:$AY,MATCH($J$1,Database!$F$1:$AY$1,),)))))/(((VLOOKUP(EDATE(B69,-12),Database!$F:$AY,MATCH($J$1,Database!$F$1:$AY$1,),))))</f>
        <v/>
      </c>
      <c r="K69" s="13">
        <f>((((VLOOKUP(B69,Database!$F:$AY,MATCH($K$1,Database!$F$1:$AY$1,),))))-(((VLOOKUP(EDATE(B69,-12),Database!$F:$AY,MATCH($K$1,Database!$F$1:$AY$1,),)))))/(((VLOOKUP(EDATE(B69,-12),Database!$F:$AY,MATCH($K$1,Database!$F$1:$AY$1,),))))</f>
        <v/>
      </c>
      <c r="L69" s="13">
        <f>((((VLOOKUP(B69,Database!$F:$AY,MATCH($L$1,Database!$F$1:$AY$1,),))))-(((VLOOKUP(EDATE(B69,-12),Database!$F:$AY,MATCH($L$1,Database!$F$1:$AY$1,),)))))/(((VLOOKUP(EDATE(B69,-12),Database!$F:$AY,MATCH($L$1,Database!$F$1:$AY$1,),))))</f>
        <v/>
      </c>
      <c r="M69" s="13">
        <f>((((VLOOKUP(B69,Database!$F:$AY,MATCH($M$1,Database!$F$1:$AY$1,),))))-(((VLOOKUP(EDATE(B69,-12),Database!$F:$AY,MATCH($M$1,Database!$F$1:$AY$1,),)))))/(((VLOOKUP(EDATE(B69,-12),Database!$F:$AY,MATCH($M$1,Database!$F$1:$AY$1,),))))</f>
        <v/>
      </c>
      <c r="N69" s="13">
        <f>((((VLOOKUP(B69,Database!$F:$AY,MATCH($N$1,Database!$F$1:$AY$1,),))))-(((VLOOKUP(EDATE(B69,-12),Database!$F:$AY,MATCH($N$1,Database!$F$1:$AY$1,),)))))/(((VLOOKUP(EDATE(B69,-12),Database!$F:$AY,MATCH($N$1,Database!$F$1:$AY$1,),))))</f>
        <v/>
      </c>
      <c r="O69" s="13">
        <f>((((VLOOKUP(B69,Database!$F:$AY,MATCH($O$1,Database!$F$1:$AY$1,),))))-(((VLOOKUP(EDATE(B69,-12),Database!$F:$AY,MATCH($O$1,Database!$F$1:$AY$1,),)))))/(((VLOOKUP(EDATE(B69,-12),Database!$F:$AY,MATCH($O$1,Database!$F$1:$AY$1,),))))</f>
        <v/>
      </c>
      <c r="P69" s="13">
        <f>((((VLOOKUP(B69,Database!$F:$AY,MATCH($P$1,Database!$F$1:$AY$1,),))))-(((VLOOKUP(EDATE(B69,-12),Database!$F:$AY,MATCH($P$1,Database!$F$1:$AY$1,),)))))/(((VLOOKUP(EDATE(B69,-12),Database!$F:$AY,MATCH($P$1,Database!$F$1:$AY$1,),))))</f>
        <v/>
      </c>
      <c r="Q69" s="13">
        <f>((((VLOOKUP(B69,Database!$F:$AY,MATCH($Q$1,Database!$F$1:$AY$1,),))))-(((VLOOKUP(EDATE(B69,-12),Database!$F:$AY,MATCH($Q$1,Database!$F$1:$AY$1,),)))))/(((VLOOKUP(EDATE(B69,-12),Database!$F:$AY,MATCH($Q$1,Database!$F$1:$AY$1,),))))</f>
        <v/>
      </c>
      <c r="R69" s="13">
        <f>((((VLOOKUP(B69,Database!$F:$AY,MATCH($R$1,Database!$F$1:$AY$1,),))))-(((VLOOKUP(EDATE(B69,-12),Database!$F:$AY,MATCH($R$1,Database!$F$1:$AY$1,),)))))/(((VLOOKUP(EDATE(B69,-12),Database!$F:$AY,MATCH($R$1,Database!$F$1:$AY$1,),))))</f>
        <v/>
      </c>
      <c r="S69" s="13">
        <f>((((VLOOKUP(B69,Database!$F:$AY,MATCH($S$1,Database!$F$1:$AY$1,),))))-(((VLOOKUP(EDATE(B69,-12),Database!$F:$AY,MATCH($S$1,Database!$F$1:$AY$1,),)))))/(((VLOOKUP(EDATE(B69,-12),Database!$F:$AY,MATCH($S$1,Database!$F$1:$AY$1,),))))</f>
        <v/>
      </c>
      <c r="T69" s="13">
        <f>((((VLOOKUP(B69,Database!$F:$AY,MATCH($T$1,Database!$F$1:$AY$1,),))))-(((VLOOKUP(EDATE(B69,-12),Database!$F:$AY,MATCH($T$1,Database!$F$1:$AY$1,),)))))/(((VLOOKUP(EDATE(B69,-12),Database!$F:$AY,MATCH($T$1,Database!$F$1:$AY$1,),))))</f>
        <v/>
      </c>
      <c r="U69" s="13">
        <f>((((VLOOKUP(B69,Database!$F:$AY,MATCH($U$1,Database!$F$1:$AY$1,),))))-(((VLOOKUP(EDATE(B69,-12),Database!$F:$AY,MATCH($U$1,Database!$F$1:$AY$1,),)))))/(((VLOOKUP(EDATE(B69,-12),Database!$F:$AY,MATCH($U$1,Database!$F$1:$AY$1,),))))</f>
        <v/>
      </c>
      <c r="V69" s="13">
        <f>((((VLOOKUP(B69,Database!$F:$AY,MATCH($V$1,Database!$F$1:$AY$1,),))))-(((VLOOKUP(EDATE(B69,-12),Database!$F:$AY,MATCH($V$1,Database!$F$1:$AY$1,),)))))/(((VLOOKUP(EDATE(B69,-12),Database!$F:$AY,MATCH($V$1,Database!$F$1:$AY$1,),))))</f>
        <v/>
      </c>
    </row>
    <row r="70" customFormat="1" s="100">
      <c r="A70" s="45" t="n"/>
      <c r="B70" s="46" t="n">
        <v>34274</v>
      </c>
      <c r="C70" s="13">
        <f>((((VLOOKUP(B70,Database!$F:$AY,MATCH($C$1,Database!$F$1:$AY$1,),))))-(((VLOOKUP(EDATE(B70,-12),Database!$F:$AY,MATCH($C$1,Database!$F$1:$AY$1,),)))))/(((VLOOKUP(EDATE(B70,-12),Database!$F:$AY,MATCH($C$1,Database!$F$1:$AY$1,),))))</f>
        <v/>
      </c>
      <c r="D70" s="13">
        <f>((((VLOOKUP(B70,Database!$F:$AY,MATCH($D$1,Database!$F$1:$AY$1,),))))-(((VLOOKUP(EDATE(B70,-12),Database!$F:$AY,MATCH($D$1,Database!$F$1:$AY$1,),)))))/(((VLOOKUP(EDATE(B70,-12),Database!$F:$AY,MATCH($D$1,Database!$F$1:$AY$1,),))))</f>
        <v/>
      </c>
      <c r="E70" s="13">
        <f>((((VLOOKUP(B70,Database!$F:$AY,MATCH($E$1,Database!$F$1:$AY$1,),))))-(((VLOOKUP(EDATE(B70,-12),Database!$F:$AY,MATCH($E$1,Database!$F$1:$AY$1,),)))))/(((VLOOKUP(EDATE(B70,-12),Database!$F:$AY,MATCH($E$1,Database!$F$1:$AY$1,),))))</f>
        <v/>
      </c>
      <c r="F70" s="13">
        <f>((((VLOOKUP(B70,Database!$F:$AY,MATCH($F$1,Database!$F$1:$AY$1,),))))-(((VLOOKUP(EDATE(B70,-12),Database!$F:$AY,MATCH($F$1,Database!$F$1:$AY$1,),)))))/(((VLOOKUP(EDATE(B70,-12),Database!$F:$AY,MATCH($F$1,Database!$F$1:$AY$1,),))))</f>
        <v/>
      </c>
      <c r="G70" s="13">
        <f>((((VLOOKUP(B70,Database!$F:$AY,MATCH($G$1,Database!$F$1:$AY$1,),))))-(((VLOOKUP(EDATE(B70,-12),Database!$F:$AY,MATCH($G$1,Database!$F$1:$AY$1,),)))))/(((VLOOKUP(EDATE(B70,-12),Database!$F:$AY,MATCH($G$1,Database!$F$1:$AY$1,),))))</f>
        <v/>
      </c>
      <c r="H70" s="13">
        <f>((((VLOOKUP(B70,Database!$F:$AY,MATCH($H$1,Database!$F$1:$AY$1,),))))-(((VLOOKUP(EDATE(B70,-12),Database!$F:$AY,MATCH($H$1,Database!$F$1:$AY$1,),)))))/(((VLOOKUP(EDATE(B70,-12),Database!$F:$AY,MATCH($H$1,Database!$F$1:$AY$1,),))))</f>
        <v/>
      </c>
      <c r="I70" s="13">
        <f>((((VLOOKUP(B70,Database!$F:$AY,MATCH($I$1,Database!$F$1:$AY$1,),))))-(((VLOOKUP(EDATE(B70,-12),Database!$F:$AY,MATCH($I$1,Database!$F$1:$AY$1,),)))))/(((VLOOKUP(EDATE(B70,-12),Database!$F:$AY,MATCH($I$1,Database!$F$1:$AY$1,),))))</f>
        <v/>
      </c>
      <c r="J70" s="13">
        <f>((((VLOOKUP(B70,Database!$F:$AY,MATCH($J$1,Database!$F$1:$AY$1,),))))-(((VLOOKUP(EDATE(B70,-12),Database!$F:$AY,MATCH($J$1,Database!$F$1:$AY$1,),)))))/(((VLOOKUP(EDATE(B70,-12),Database!$F:$AY,MATCH($J$1,Database!$F$1:$AY$1,),))))</f>
        <v/>
      </c>
      <c r="K70" s="13">
        <f>((((VLOOKUP(B70,Database!$F:$AY,MATCH($K$1,Database!$F$1:$AY$1,),))))-(((VLOOKUP(EDATE(B70,-12),Database!$F:$AY,MATCH($K$1,Database!$F$1:$AY$1,),)))))/(((VLOOKUP(EDATE(B70,-12),Database!$F:$AY,MATCH($K$1,Database!$F$1:$AY$1,),))))</f>
        <v/>
      </c>
      <c r="L70" s="13">
        <f>((((VLOOKUP(B70,Database!$F:$AY,MATCH($L$1,Database!$F$1:$AY$1,),))))-(((VLOOKUP(EDATE(B70,-12),Database!$F:$AY,MATCH($L$1,Database!$F$1:$AY$1,),)))))/(((VLOOKUP(EDATE(B70,-12),Database!$F:$AY,MATCH($L$1,Database!$F$1:$AY$1,),))))</f>
        <v/>
      </c>
      <c r="M70" s="13">
        <f>((((VLOOKUP(B70,Database!$F:$AY,MATCH($M$1,Database!$F$1:$AY$1,),))))-(((VLOOKUP(EDATE(B70,-12),Database!$F:$AY,MATCH($M$1,Database!$F$1:$AY$1,),)))))/(((VLOOKUP(EDATE(B70,-12),Database!$F:$AY,MATCH($M$1,Database!$F$1:$AY$1,),))))</f>
        <v/>
      </c>
      <c r="N70" s="13">
        <f>((((VLOOKUP(B70,Database!$F:$AY,MATCH($N$1,Database!$F$1:$AY$1,),))))-(((VLOOKUP(EDATE(B70,-12),Database!$F:$AY,MATCH($N$1,Database!$F$1:$AY$1,),)))))/(((VLOOKUP(EDATE(B70,-12),Database!$F:$AY,MATCH($N$1,Database!$F$1:$AY$1,),))))</f>
        <v/>
      </c>
      <c r="O70" s="13">
        <f>((((VLOOKUP(B70,Database!$F:$AY,MATCH($O$1,Database!$F$1:$AY$1,),))))-(((VLOOKUP(EDATE(B70,-12),Database!$F:$AY,MATCH($O$1,Database!$F$1:$AY$1,),)))))/(((VLOOKUP(EDATE(B70,-12),Database!$F:$AY,MATCH($O$1,Database!$F$1:$AY$1,),))))</f>
        <v/>
      </c>
      <c r="P70" s="13">
        <f>((((VLOOKUP(B70,Database!$F:$AY,MATCH($P$1,Database!$F$1:$AY$1,),))))-(((VLOOKUP(EDATE(B70,-12),Database!$F:$AY,MATCH($P$1,Database!$F$1:$AY$1,),)))))/(((VLOOKUP(EDATE(B70,-12),Database!$F:$AY,MATCH($P$1,Database!$F$1:$AY$1,),))))</f>
        <v/>
      </c>
      <c r="Q70" s="13">
        <f>((((VLOOKUP(B70,Database!$F:$AY,MATCH($Q$1,Database!$F$1:$AY$1,),))))-(((VLOOKUP(EDATE(B70,-12),Database!$F:$AY,MATCH($Q$1,Database!$F$1:$AY$1,),)))))/(((VLOOKUP(EDATE(B70,-12),Database!$F:$AY,MATCH($Q$1,Database!$F$1:$AY$1,),))))</f>
        <v/>
      </c>
      <c r="R70" s="13">
        <f>((((VLOOKUP(B70,Database!$F:$AY,MATCH($R$1,Database!$F$1:$AY$1,),))))-(((VLOOKUP(EDATE(B70,-12),Database!$F:$AY,MATCH($R$1,Database!$F$1:$AY$1,),)))))/(((VLOOKUP(EDATE(B70,-12),Database!$F:$AY,MATCH($R$1,Database!$F$1:$AY$1,),))))</f>
        <v/>
      </c>
      <c r="S70" s="13">
        <f>((((VLOOKUP(B70,Database!$F:$AY,MATCH($S$1,Database!$F$1:$AY$1,),))))-(((VLOOKUP(EDATE(B70,-12),Database!$F:$AY,MATCH($S$1,Database!$F$1:$AY$1,),)))))/(((VLOOKUP(EDATE(B70,-12),Database!$F:$AY,MATCH($S$1,Database!$F$1:$AY$1,),))))</f>
        <v/>
      </c>
      <c r="T70" s="13">
        <f>((((VLOOKUP(B70,Database!$F:$AY,MATCH($T$1,Database!$F$1:$AY$1,),))))-(((VLOOKUP(EDATE(B70,-12),Database!$F:$AY,MATCH($T$1,Database!$F$1:$AY$1,),)))))/(((VLOOKUP(EDATE(B70,-12),Database!$F:$AY,MATCH($T$1,Database!$F$1:$AY$1,),))))</f>
        <v/>
      </c>
      <c r="U70" s="13">
        <f>((((VLOOKUP(B70,Database!$F:$AY,MATCH($U$1,Database!$F$1:$AY$1,),))))-(((VLOOKUP(EDATE(B70,-12),Database!$F:$AY,MATCH($U$1,Database!$F$1:$AY$1,),)))))/(((VLOOKUP(EDATE(B70,-12),Database!$F:$AY,MATCH($U$1,Database!$F$1:$AY$1,),))))</f>
        <v/>
      </c>
      <c r="V70" s="13">
        <f>((((VLOOKUP(B70,Database!$F:$AY,MATCH($V$1,Database!$F$1:$AY$1,),))))-(((VLOOKUP(EDATE(B70,-12),Database!$F:$AY,MATCH($V$1,Database!$F$1:$AY$1,),)))))/(((VLOOKUP(EDATE(B70,-12),Database!$F:$AY,MATCH($V$1,Database!$F$1:$AY$1,),))))</f>
        <v/>
      </c>
    </row>
    <row r="71" customFormat="1" s="100">
      <c r="A71" s="45" t="n"/>
      <c r="B71" s="46" t="n">
        <v>34304</v>
      </c>
      <c r="C71" s="13">
        <f>((((VLOOKUP(B71,Database!$F:$AY,MATCH($C$1,Database!$F$1:$AY$1,),))))-(((VLOOKUP(EDATE(B71,-12),Database!$F:$AY,MATCH($C$1,Database!$F$1:$AY$1,),)))))/(((VLOOKUP(EDATE(B71,-12),Database!$F:$AY,MATCH($C$1,Database!$F$1:$AY$1,),))))</f>
        <v/>
      </c>
      <c r="D71" s="13">
        <f>((((VLOOKUP(B71,Database!$F:$AY,MATCH($D$1,Database!$F$1:$AY$1,),))))-(((VLOOKUP(EDATE(B71,-12),Database!$F:$AY,MATCH($D$1,Database!$F$1:$AY$1,),)))))/(((VLOOKUP(EDATE(B71,-12),Database!$F:$AY,MATCH($D$1,Database!$F$1:$AY$1,),))))</f>
        <v/>
      </c>
      <c r="E71" s="13">
        <f>((((VLOOKUP(B71,Database!$F:$AY,MATCH($E$1,Database!$F$1:$AY$1,),))))-(((VLOOKUP(EDATE(B71,-12),Database!$F:$AY,MATCH($E$1,Database!$F$1:$AY$1,),)))))/(((VLOOKUP(EDATE(B71,-12),Database!$F:$AY,MATCH($E$1,Database!$F$1:$AY$1,),))))</f>
        <v/>
      </c>
      <c r="F71" s="13">
        <f>((((VLOOKUP(B71,Database!$F:$AY,MATCH($F$1,Database!$F$1:$AY$1,),))))-(((VLOOKUP(EDATE(B71,-12),Database!$F:$AY,MATCH($F$1,Database!$F$1:$AY$1,),)))))/(((VLOOKUP(EDATE(B71,-12),Database!$F:$AY,MATCH($F$1,Database!$F$1:$AY$1,),))))</f>
        <v/>
      </c>
      <c r="G71" s="13">
        <f>((((VLOOKUP(B71,Database!$F:$AY,MATCH($G$1,Database!$F$1:$AY$1,),))))-(((VLOOKUP(EDATE(B71,-12),Database!$F:$AY,MATCH($G$1,Database!$F$1:$AY$1,),)))))/(((VLOOKUP(EDATE(B71,-12),Database!$F:$AY,MATCH($G$1,Database!$F$1:$AY$1,),))))</f>
        <v/>
      </c>
      <c r="H71" s="13">
        <f>((((VLOOKUP(B71,Database!$F:$AY,MATCH($H$1,Database!$F$1:$AY$1,),))))-(((VLOOKUP(EDATE(B71,-12),Database!$F:$AY,MATCH($H$1,Database!$F$1:$AY$1,),)))))/(((VLOOKUP(EDATE(B71,-12),Database!$F:$AY,MATCH($H$1,Database!$F$1:$AY$1,),))))</f>
        <v/>
      </c>
      <c r="I71" s="13">
        <f>((((VLOOKUP(B71,Database!$F:$AY,MATCH($I$1,Database!$F$1:$AY$1,),))))-(((VLOOKUP(EDATE(B71,-12),Database!$F:$AY,MATCH($I$1,Database!$F$1:$AY$1,),)))))/(((VLOOKUP(EDATE(B71,-12),Database!$F:$AY,MATCH($I$1,Database!$F$1:$AY$1,),))))</f>
        <v/>
      </c>
      <c r="J71" s="13">
        <f>((((VLOOKUP(B71,Database!$F:$AY,MATCH($J$1,Database!$F$1:$AY$1,),))))-(((VLOOKUP(EDATE(B71,-12),Database!$F:$AY,MATCH($J$1,Database!$F$1:$AY$1,),)))))/(((VLOOKUP(EDATE(B71,-12),Database!$F:$AY,MATCH($J$1,Database!$F$1:$AY$1,),))))</f>
        <v/>
      </c>
      <c r="K71" s="13">
        <f>((((VLOOKUP(B71,Database!$F:$AY,MATCH($K$1,Database!$F$1:$AY$1,),))))-(((VLOOKUP(EDATE(B71,-12),Database!$F:$AY,MATCH($K$1,Database!$F$1:$AY$1,),)))))/(((VLOOKUP(EDATE(B71,-12),Database!$F:$AY,MATCH($K$1,Database!$F$1:$AY$1,),))))</f>
        <v/>
      </c>
      <c r="L71" s="13">
        <f>((((VLOOKUP(B71,Database!$F:$AY,MATCH($L$1,Database!$F$1:$AY$1,),))))-(((VLOOKUP(EDATE(B71,-12),Database!$F:$AY,MATCH($L$1,Database!$F$1:$AY$1,),)))))/(((VLOOKUP(EDATE(B71,-12),Database!$F:$AY,MATCH($L$1,Database!$F$1:$AY$1,),))))</f>
        <v/>
      </c>
      <c r="M71" s="13">
        <f>((((VLOOKUP(B71,Database!$F:$AY,MATCH($M$1,Database!$F$1:$AY$1,),))))-(((VLOOKUP(EDATE(B71,-12),Database!$F:$AY,MATCH($M$1,Database!$F$1:$AY$1,),)))))/(((VLOOKUP(EDATE(B71,-12),Database!$F:$AY,MATCH($M$1,Database!$F$1:$AY$1,),))))</f>
        <v/>
      </c>
      <c r="N71" s="13">
        <f>((((VLOOKUP(B71,Database!$F:$AY,MATCH($N$1,Database!$F$1:$AY$1,),))))-(((VLOOKUP(EDATE(B71,-12),Database!$F:$AY,MATCH($N$1,Database!$F$1:$AY$1,),)))))/(((VLOOKUP(EDATE(B71,-12),Database!$F:$AY,MATCH($N$1,Database!$F$1:$AY$1,),))))</f>
        <v/>
      </c>
      <c r="O71" s="13">
        <f>((((VLOOKUP(B71,Database!$F:$AY,MATCH($O$1,Database!$F$1:$AY$1,),))))-(((VLOOKUP(EDATE(B71,-12),Database!$F:$AY,MATCH($O$1,Database!$F$1:$AY$1,),)))))/(((VLOOKUP(EDATE(B71,-12),Database!$F:$AY,MATCH($O$1,Database!$F$1:$AY$1,),))))</f>
        <v/>
      </c>
      <c r="P71" s="13">
        <f>((((VLOOKUP(B71,Database!$F:$AY,MATCH($P$1,Database!$F$1:$AY$1,),))))-(((VLOOKUP(EDATE(B71,-12),Database!$F:$AY,MATCH($P$1,Database!$F$1:$AY$1,),)))))/(((VLOOKUP(EDATE(B71,-12),Database!$F:$AY,MATCH($P$1,Database!$F$1:$AY$1,),))))</f>
        <v/>
      </c>
      <c r="Q71" s="13">
        <f>((((VLOOKUP(B71,Database!$F:$AY,MATCH($Q$1,Database!$F$1:$AY$1,),))))-(((VLOOKUP(EDATE(B71,-12),Database!$F:$AY,MATCH($Q$1,Database!$F$1:$AY$1,),)))))/(((VLOOKUP(EDATE(B71,-12),Database!$F:$AY,MATCH($Q$1,Database!$F$1:$AY$1,),))))</f>
        <v/>
      </c>
      <c r="R71" s="13">
        <f>((((VLOOKUP(B71,Database!$F:$AY,MATCH($R$1,Database!$F$1:$AY$1,),))))-(((VLOOKUP(EDATE(B71,-12),Database!$F:$AY,MATCH($R$1,Database!$F$1:$AY$1,),)))))/(((VLOOKUP(EDATE(B71,-12),Database!$F:$AY,MATCH($R$1,Database!$F$1:$AY$1,),))))</f>
        <v/>
      </c>
      <c r="S71" s="13">
        <f>((((VLOOKUP(B71,Database!$F:$AY,MATCH($S$1,Database!$F$1:$AY$1,),))))-(((VLOOKUP(EDATE(B71,-12),Database!$F:$AY,MATCH($S$1,Database!$F$1:$AY$1,),)))))/(((VLOOKUP(EDATE(B71,-12),Database!$F:$AY,MATCH($S$1,Database!$F$1:$AY$1,),))))</f>
        <v/>
      </c>
      <c r="T71" s="13">
        <f>((((VLOOKUP(B71,Database!$F:$AY,MATCH($T$1,Database!$F$1:$AY$1,),))))-(((VLOOKUP(EDATE(B71,-12),Database!$F:$AY,MATCH($T$1,Database!$F$1:$AY$1,),)))))/(((VLOOKUP(EDATE(B71,-12),Database!$F:$AY,MATCH($T$1,Database!$F$1:$AY$1,),))))</f>
        <v/>
      </c>
      <c r="U71" s="13">
        <f>((((VLOOKUP(B71,Database!$F:$AY,MATCH($U$1,Database!$F$1:$AY$1,),))))-(((VLOOKUP(EDATE(B71,-12),Database!$F:$AY,MATCH($U$1,Database!$F$1:$AY$1,),)))))/(((VLOOKUP(EDATE(B71,-12),Database!$F:$AY,MATCH($U$1,Database!$F$1:$AY$1,),))))</f>
        <v/>
      </c>
      <c r="V71" s="13">
        <f>((((VLOOKUP(B71,Database!$F:$AY,MATCH($V$1,Database!$F$1:$AY$1,),))))-(((VLOOKUP(EDATE(B71,-12),Database!$F:$AY,MATCH($V$1,Database!$F$1:$AY$1,),)))))/(((VLOOKUP(EDATE(B71,-12),Database!$F:$AY,MATCH($V$1,Database!$F$1:$AY$1,),))))</f>
        <v/>
      </c>
    </row>
    <row r="72" customFormat="1" s="100">
      <c r="A72" s="45" t="n"/>
      <c r="B72" s="46" t="n">
        <v>34335</v>
      </c>
      <c r="C72" s="13">
        <f>((((VLOOKUP(B72,Database!$F:$AY,MATCH($C$1,Database!$F$1:$AY$1,),))))-(((VLOOKUP(EDATE(B72,-12),Database!$F:$AY,MATCH($C$1,Database!$F$1:$AY$1,),)))))/(((VLOOKUP(EDATE(B72,-12),Database!$F:$AY,MATCH($C$1,Database!$F$1:$AY$1,),))))</f>
        <v/>
      </c>
      <c r="D72" s="13">
        <f>((((VLOOKUP(B72,Database!$F:$AY,MATCH($D$1,Database!$F$1:$AY$1,),))))-(((VLOOKUP(EDATE(B72,-12),Database!$F:$AY,MATCH($D$1,Database!$F$1:$AY$1,),)))))/(((VLOOKUP(EDATE(B72,-12),Database!$F:$AY,MATCH($D$1,Database!$F$1:$AY$1,),))))</f>
        <v/>
      </c>
      <c r="E72" s="13">
        <f>((((VLOOKUP(B72,Database!$F:$AY,MATCH($E$1,Database!$F$1:$AY$1,),))))-(((VLOOKUP(EDATE(B72,-12),Database!$F:$AY,MATCH($E$1,Database!$F$1:$AY$1,),)))))/(((VLOOKUP(EDATE(B72,-12),Database!$F:$AY,MATCH($E$1,Database!$F$1:$AY$1,),))))</f>
        <v/>
      </c>
      <c r="F72" s="13">
        <f>((((VLOOKUP(B72,Database!$F:$AY,MATCH($F$1,Database!$F$1:$AY$1,),))))-(((VLOOKUP(EDATE(B72,-12),Database!$F:$AY,MATCH($F$1,Database!$F$1:$AY$1,),)))))/(((VLOOKUP(EDATE(B72,-12),Database!$F:$AY,MATCH($F$1,Database!$F$1:$AY$1,),))))</f>
        <v/>
      </c>
      <c r="G72" s="13">
        <f>((((VLOOKUP(B72,Database!$F:$AY,MATCH($G$1,Database!$F$1:$AY$1,),))))-(((VLOOKUP(EDATE(B72,-12),Database!$F:$AY,MATCH($G$1,Database!$F$1:$AY$1,),)))))/(((VLOOKUP(EDATE(B72,-12),Database!$F:$AY,MATCH($G$1,Database!$F$1:$AY$1,),))))</f>
        <v/>
      </c>
      <c r="H72" s="13">
        <f>((((VLOOKUP(B72,Database!$F:$AY,MATCH($H$1,Database!$F$1:$AY$1,),))))-(((VLOOKUP(EDATE(B72,-12),Database!$F:$AY,MATCH($H$1,Database!$F$1:$AY$1,),)))))/(((VLOOKUP(EDATE(B72,-12),Database!$F:$AY,MATCH($H$1,Database!$F$1:$AY$1,),))))</f>
        <v/>
      </c>
      <c r="I72" s="13">
        <f>((((VLOOKUP(B72,Database!$F:$AY,MATCH($I$1,Database!$F$1:$AY$1,),))))-(((VLOOKUP(EDATE(B72,-12),Database!$F:$AY,MATCH($I$1,Database!$F$1:$AY$1,),)))))/(((VLOOKUP(EDATE(B72,-12),Database!$F:$AY,MATCH($I$1,Database!$F$1:$AY$1,),))))</f>
        <v/>
      </c>
      <c r="J72" s="13">
        <f>((((VLOOKUP(B72,Database!$F:$AY,MATCH($J$1,Database!$F$1:$AY$1,),))))-(((VLOOKUP(EDATE(B72,-12),Database!$F:$AY,MATCH($J$1,Database!$F$1:$AY$1,),)))))/(((VLOOKUP(EDATE(B72,-12),Database!$F:$AY,MATCH($J$1,Database!$F$1:$AY$1,),))))</f>
        <v/>
      </c>
      <c r="K72" s="13">
        <f>((((VLOOKUP(B72,Database!$F:$AY,MATCH($K$1,Database!$F$1:$AY$1,),))))-(((VLOOKUP(EDATE(B72,-12),Database!$F:$AY,MATCH($K$1,Database!$F$1:$AY$1,),)))))/(((VLOOKUP(EDATE(B72,-12),Database!$F:$AY,MATCH($K$1,Database!$F$1:$AY$1,),))))</f>
        <v/>
      </c>
      <c r="L72" s="13">
        <f>((((VLOOKUP(B72,Database!$F:$AY,MATCH($L$1,Database!$F$1:$AY$1,),))))-(((VLOOKUP(EDATE(B72,-12),Database!$F:$AY,MATCH($L$1,Database!$F$1:$AY$1,),)))))/(((VLOOKUP(EDATE(B72,-12),Database!$F:$AY,MATCH($L$1,Database!$F$1:$AY$1,),))))</f>
        <v/>
      </c>
      <c r="M72" s="13">
        <f>((((VLOOKUP(B72,Database!$F:$AY,MATCH($M$1,Database!$F$1:$AY$1,),))))-(((VLOOKUP(EDATE(B72,-12),Database!$F:$AY,MATCH($M$1,Database!$F$1:$AY$1,),)))))/(((VLOOKUP(EDATE(B72,-12),Database!$F:$AY,MATCH($M$1,Database!$F$1:$AY$1,),))))</f>
        <v/>
      </c>
      <c r="N72" s="13">
        <f>((((VLOOKUP(B72,Database!$F:$AY,MATCH($N$1,Database!$F$1:$AY$1,),))))-(((VLOOKUP(EDATE(B72,-12),Database!$F:$AY,MATCH($N$1,Database!$F$1:$AY$1,),)))))/(((VLOOKUP(EDATE(B72,-12),Database!$F:$AY,MATCH($N$1,Database!$F$1:$AY$1,),))))</f>
        <v/>
      </c>
      <c r="O72" s="13">
        <f>((((VLOOKUP(B72,Database!$F:$AY,MATCH($O$1,Database!$F$1:$AY$1,),))))-(((VLOOKUP(EDATE(B72,-12),Database!$F:$AY,MATCH($O$1,Database!$F$1:$AY$1,),)))))/(((VLOOKUP(EDATE(B72,-12),Database!$F:$AY,MATCH($O$1,Database!$F$1:$AY$1,),))))</f>
        <v/>
      </c>
      <c r="P72" s="13">
        <f>((((VLOOKUP(B72,Database!$F:$AY,MATCH($P$1,Database!$F$1:$AY$1,),))))-(((VLOOKUP(EDATE(B72,-12),Database!$F:$AY,MATCH($P$1,Database!$F$1:$AY$1,),)))))/(((VLOOKUP(EDATE(B72,-12),Database!$F:$AY,MATCH($P$1,Database!$F$1:$AY$1,),))))</f>
        <v/>
      </c>
      <c r="Q72" s="13">
        <f>((((VLOOKUP(B72,Database!$F:$AY,MATCH($Q$1,Database!$F$1:$AY$1,),))))-(((VLOOKUP(EDATE(B72,-12),Database!$F:$AY,MATCH($Q$1,Database!$F$1:$AY$1,),)))))/(((VLOOKUP(EDATE(B72,-12),Database!$F:$AY,MATCH($Q$1,Database!$F$1:$AY$1,),))))</f>
        <v/>
      </c>
      <c r="R72" s="13">
        <f>((((VLOOKUP(B72,Database!$F:$AY,MATCH($R$1,Database!$F$1:$AY$1,),))))-(((VLOOKUP(EDATE(B72,-12),Database!$F:$AY,MATCH($R$1,Database!$F$1:$AY$1,),)))))/(((VLOOKUP(EDATE(B72,-12),Database!$F:$AY,MATCH($R$1,Database!$F$1:$AY$1,),))))</f>
        <v/>
      </c>
      <c r="S72" s="13">
        <f>((((VLOOKUP(B72,Database!$F:$AY,MATCH($S$1,Database!$F$1:$AY$1,),))))-(((VLOOKUP(EDATE(B72,-12),Database!$F:$AY,MATCH($S$1,Database!$F$1:$AY$1,),)))))/(((VLOOKUP(EDATE(B72,-12),Database!$F:$AY,MATCH($S$1,Database!$F$1:$AY$1,),))))</f>
        <v/>
      </c>
      <c r="T72" s="13">
        <f>((((VLOOKUP(B72,Database!$F:$AY,MATCH($T$1,Database!$F$1:$AY$1,),))))-(((VLOOKUP(EDATE(B72,-12),Database!$F:$AY,MATCH($T$1,Database!$F$1:$AY$1,),)))))/(((VLOOKUP(EDATE(B72,-12),Database!$F:$AY,MATCH($T$1,Database!$F$1:$AY$1,),))))</f>
        <v/>
      </c>
      <c r="U72" s="13">
        <f>((((VLOOKUP(B72,Database!$F:$AY,MATCH($U$1,Database!$F$1:$AY$1,),))))-(((VLOOKUP(EDATE(B72,-12),Database!$F:$AY,MATCH($U$1,Database!$F$1:$AY$1,),)))))/(((VLOOKUP(EDATE(B72,-12),Database!$F:$AY,MATCH($U$1,Database!$F$1:$AY$1,),))))</f>
        <v/>
      </c>
      <c r="V72" s="13">
        <f>((((VLOOKUP(B72,Database!$F:$AY,MATCH($V$1,Database!$F$1:$AY$1,),))))-(((VLOOKUP(EDATE(B72,-12),Database!$F:$AY,MATCH($V$1,Database!$F$1:$AY$1,),)))))/(((VLOOKUP(EDATE(B72,-12),Database!$F:$AY,MATCH($V$1,Database!$F$1:$AY$1,),))))</f>
        <v/>
      </c>
    </row>
    <row r="73" customFormat="1" s="100">
      <c r="A73" s="45" t="n"/>
      <c r="B73" s="46" t="n">
        <v>34366</v>
      </c>
      <c r="C73" s="13">
        <f>((((VLOOKUP(B73,Database!$F:$AY,MATCH($C$1,Database!$F$1:$AY$1,),))))-(((VLOOKUP(EDATE(B73,-12),Database!$F:$AY,MATCH($C$1,Database!$F$1:$AY$1,),)))))/(((VLOOKUP(EDATE(B73,-12),Database!$F:$AY,MATCH($C$1,Database!$F$1:$AY$1,),))))</f>
        <v/>
      </c>
      <c r="D73" s="13">
        <f>((((VLOOKUP(B73,Database!$F:$AY,MATCH($D$1,Database!$F$1:$AY$1,),))))-(((VLOOKUP(EDATE(B73,-12),Database!$F:$AY,MATCH($D$1,Database!$F$1:$AY$1,),)))))/(((VLOOKUP(EDATE(B73,-12),Database!$F:$AY,MATCH($D$1,Database!$F$1:$AY$1,),))))</f>
        <v/>
      </c>
      <c r="E73" s="13">
        <f>((((VLOOKUP(B73,Database!$F:$AY,MATCH($E$1,Database!$F$1:$AY$1,),))))-(((VLOOKUP(EDATE(B73,-12),Database!$F:$AY,MATCH($E$1,Database!$F$1:$AY$1,),)))))/(((VLOOKUP(EDATE(B73,-12),Database!$F:$AY,MATCH($E$1,Database!$F$1:$AY$1,),))))</f>
        <v/>
      </c>
      <c r="F73" s="13">
        <f>((((VLOOKUP(B73,Database!$F:$AY,MATCH($F$1,Database!$F$1:$AY$1,),))))-(((VLOOKUP(EDATE(B73,-12),Database!$F:$AY,MATCH($F$1,Database!$F$1:$AY$1,),)))))/(((VLOOKUP(EDATE(B73,-12),Database!$F:$AY,MATCH($F$1,Database!$F$1:$AY$1,),))))</f>
        <v/>
      </c>
      <c r="G73" s="13">
        <f>((((VLOOKUP(B73,Database!$F:$AY,MATCH($G$1,Database!$F$1:$AY$1,),))))-(((VLOOKUP(EDATE(B73,-12),Database!$F:$AY,MATCH($G$1,Database!$F$1:$AY$1,),)))))/(((VLOOKUP(EDATE(B73,-12),Database!$F:$AY,MATCH($G$1,Database!$F$1:$AY$1,),))))</f>
        <v/>
      </c>
      <c r="H73" s="13">
        <f>((((VLOOKUP(B73,Database!$F:$AY,MATCH($H$1,Database!$F$1:$AY$1,),))))-(((VLOOKUP(EDATE(B73,-12),Database!$F:$AY,MATCH($H$1,Database!$F$1:$AY$1,),)))))/(((VLOOKUP(EDATE(B73,-12),Database!$F:$AY,MATCH($H$1,Database!$F$1:$AY$1,),))))</f>
        <v/>
      </c>
      <c r="I73" s="13">
        <f>((((VLOOKUP(B73,Database!$F:$AY,MATCH($I$1,Database!$F$1:$AY$1,),))))-(((VLOOKUP(EDATE(B73,-12),Database!$F:$AY,MATCH($I$1,Database!$F$1:$AY$1,),)))))/(((VLOOKUP(EDATE(B73,-12),Database!$F:$AY,MATCH($I$1,Database!$F$1:$AY$1,),))))</f>
        <v/>
      </c>
      <c r="J73" s="13">
        <f>((((VLOOKUP(B73,Database!$F:$AY,MATCH($J$1,Database!$F$1:$AY$1,),))))-(((VLOOKUP(EDATE(B73,-12),Database!$F:$AY,MATCH($J$1,Database!$F$1:$AY$1,),)))))/(((VLOOKUP(EDATE(B73,-12),Database!$F:$AY,MATCH($J$1,Database!$F$1:$AY$1,),))))</f>
        <v/>
      </c>
      <c r="K73" s="13">
        <f>((((VLOOKUP(B73,Database!$F:$AY,MATCH($K$1,Database!$F$1:$AY$1,),))))-(((VLOOKUP(EDATE(B73,-12),Database!$F:$AY,MATCH($K$1,Database!$F$1:$AY$1,),)))))/(((VLOOKUP(EDATE(B73,-12),Database!$F:$AY,MATCH($K$1,Database!$F$1:$AY$1,),))))</f>
        <v/>
      </c>
      <c r="L73" s="13">
        <f>((((VLOOKUP(B73,Database!$F:$AY,MATCH($L$1,Database!$F$1:$AY$1,),))))-(((VLOOKUP(EDATE(B73,-12),Database!$F:$AY,MATCH($L$1,Database!$F$1:$AY$1,),)))))/(((VLOOKUP(EDATE(B73,-12),Database!$F:$AY,MATCH($L$1,Database!$F$1:$AY$1,),))))</f>
        <v/>
      </c>
      <c r="M73" s="13">
        <f>((((VLOOKUP(B73,Database!$F:$AY,MATCH($M$1,Database!$F$1:$AY$1,),))))-(((VLOOKUP(EDATE(B73,-12),Database!$F:$AY,MATCH($M$1,Database!$F$1:$AY$1,),)))))/(((VLOOKUP(EDATE(B73,-12),Database!$F:$AY,MATCH($M$1,Database!$F$1:$AY$1,),))))</f>
        <v/>
      </c>
      <c r="N73" s="13">
        <f>((((VLOOKUP(B73,Database!$F:$AY,MATCH($N$1,Database!$F$1:$AY$1,),))))-(((VLOOKUP(EDATE(B73,-12),Database!$F:$AY,MATCH($N$1,Database!$F$1:$AY$1,),)))))/(((VLOOKUP(EDATE(B73,-12),Database!$F:$AY,MATCH($N$1,Database!$F$1:$AY$1,),))))</f>
        <v/>
      </c>
      <c r="O73" s="13">
        <f>((((VLOOKUP(B73,Database!$F:$AY,MATCH($O$1,Database!$F$1:$AY$1,),))))-(((VLOOKUP(EDATE(B73,-12),Database!$F:$AY,MATCH($O$1,Database!$F$1:$AY$1,),)))))/(((VLOOKUP(EDATE(B73,-12),Database!$F:$AY,MATCH($O$1,Database!$F$1:$AY$1,),))))</f>
        <v/>
      </c>
      <c r="P73" s="13">
        <f>((((VLOOKUP(B73,Database!$F:$AY,MATCH($P$1,Database!$F$1:$AY$1,),))))-(((VLOOKUP(EDATE(B73,-12),Database!$F:$AY,MATCH($P$1,Database!$F$1:$AY$1,),)))))/(((VLOOKUP(EDATE(B73,-12),Database!$F:$AY,MATCH($P$1,Database!$F$1:$AY$1,),))))</f>
        <v/>
      </c>
      <c r="Q73" s="13">
        <f>((((VLOOKUP(B73,Database!$F:$AY,MATCH($Q$1,Database!$F$1:$AY$1,),))))-(((VLOOKUP(EDATE(B73,-12),Database!$F:$AY,MATCH($Q$1,Database!$F$1:$AY$1,),)))))/(((VLOOKUP(EDATE(B73,-12),Database!$F:$AY,MATCH($Q$1,Database!$F$1:$AY$1,),))))</f>
        <v/>
      </c>
      <c r="R73" s="13">
        <f>((((VLOOKUP(B73,Database!$F:$AY,MATCH($R$1,Database!$F$1:$AY$1,),))))-(((VLOOKUP(EDATE(B73,-12),Database!$F:$AY,MATCH($R$1,Database!$F$1:$AY$1,),)))))/(((VLOOKUP(EDATE(B73,-12),Database!$F:$AY,MATCH($R$1,Database!$F$1:$AY$1,),))))</f>
        <v/>
      </c>
      <c r="S73" s="13">
        <f>((((VLOOKUP(B73,Database!$F:$AY,MATCH($S$1,Database!$F$1:$AY$1,),))))-(((VLOOKUP(EDATE(B73,-12),Database!$F:$AY,MATCH($S$1,Database!$F$1:$AY$1,),)))))/(((VLOOKUP(EDATE(B73,-12),Database!$F:$AY,MATCH($S$1,Database!$F$1:$AY$1,),))))</f>
        <v/>
      </c>
      <c r="T73" s="13">
        <f>((((VLOOKUP(B73,Database!$F:$AY,MATCH($T$1,Database!$F$1:$AY$1,),))))-(((VLOOKUP(EDATE(B73,-12),Database!$F:$AY,MATCH($T$1,Database!$F$1:$AY$1,),)))))/(((VLOOKUP(EDATE(B73,-12),Database!$F:$AY,MATCH($T$1,Database!$F$1:$AY$1,),))))</f>
        <v/>
      </c>
      <c r="U73" s="13">
        <f>((((VLOOKUP(B73,Database!$F:$AY,MATCH($U$1,Database!$F$1:$AY$1,),))))-(((VLOOKUP(EDATE(B73,-12),Database!$F:$AY,MATCH($U$1,Database!$F$1:$AY$1,),)))))/(((VLOOKUP(EDATE(B73,-12),Database!$F:$AY,MATCH($U$1,Database!$F$1:$AY$1,),))))</f>
        <v/>
      </c>
      <c r="V73" s="13">
        <f>((((VLOOKUP(B73,Database!$F:$AY,MATCH($V$1,Database!$F$1:$AY$1,),))))-(((VLOOKUP(EDATE(B73,-12),Database!$F:$AY,MATCH($V$1,Database!$F$1:$AY$1,),)))))/(((VLOOKUP(EDATE(B73,-12),Database!$F:$AY,MATCH($V$1,Database!$F$1:$AY$1,),))))</f>
        <v/>
      </c>
    </row>
    <row r="74" customFormat="1" s="100">
      <c r="A74" s="45" t="n"/>
      <c r="B74" s="46" t="n">
        <v>34394</v>
      </c>
      <c r="C74" s="13">
        <f>((((VLOOKUP(B74,Database!$F:$AY,MATCH($C$1,Database!$F$1:$AY$1,),))))-(((VLOOKUP(EDATE(B74,-12),Database!$F:$AY,MATCH($C$1,Database!$F$1:$AY$1,),)))))/(((VLOOKUP(EDATE(B74,-12),Database!$F:$AY,MATCH($C$1,Database!$F$1:$AY$1,),))))</f>
        <v/>
      </c>
      <c r="D74" s="13">
        <f>((((VLOOKUP(B74,Database!$F:$AY,MATCH($D$1,Database!$F$1:$AY$1,),))))-(((VLOOKUP(EDATE(B74,-12),Database!$F:$AY,MATCH($D$1,Database!$F$1:$AY$1,),)))))/(((VLOOKUP(EDATE(B74,-12),Database!$F:$AY,MATCH($D$1,Database!$F$1:$AY$1,),))))</f>
        <v/>
      </c>
      <c r="E74" s="13">
        <f>((((VLOOKUP(B74,Database!$F:$AY,MATCH($E$1,Database!$F$1:$AY$1,),))))-(((VLOOKUP(EDATE(B74,-12),Database!$F:$AY,MATCH($E$1,Database!$F$1:$AY$1,),)))))/(((VLOOKUP(EDATE(B74,-12),Database!$F:$AY,MATCH($E$1,Database!$F$1:$AY$1,),))))</f>
        <v/>
      </c>
      <c r="F74" s="13">
        <f>((((VLOOKUP(B74,Database!$F:$AY,MATCH($F$1,Database!$F$1:$AY$1,),))))-(((VLOOKUP(EDATE(B74,-12),Database!$F:$AY,MATCH($F$1,Database!$F$1:$AY$1,),)))))/(((VLOOKUP(EDATE(B74,-12),Database!$F:$AY,MATCH($F$1,Database!$F$1:$AY$1,),))))</f>
        <v/>
      </c>
      <c r="G74" s="13">
        <f>((((VLOOKUP(B74,Database!$F:$AY,MATCH($G$1,Database!$F$1:$AY$1,),))))-(((VLOOKUP(EDATE(B74,-12),Database!$F:$AY,MATCH($G$1,Database!$F$1:$AY$1,),)))))/(((VLOOKUP(EDATE(B74,-12),Database!$F:$AY,MATCH($G$1,Database!$F$1:$AY$1,),))))</f>
        <v/>
      </c>
      <c r="H74" s="13">
        <f>((((VLOOKUP(B74,Database!$F:$AY,MATCH($H$1,Database!$F$1:$AY$1,),))))-(((VLOOKUP(EDATE(B74,-12),Database!$F:$AY,MATCH($H$1,Database!$F$1:$AY$1,),)))))/(((VLOOKUP(EDATE(B74,-12),Database!$F:$AY,MATCH($H$1,Database!$F$1:$AY$1,),))))</f>
        <v/>
      </c>
      <c r="I74" s="13">
        <f>((((VLOOKUP(B74,Database!$F:$AY,MATCH($I$1,Database!$F$1:$AY$1,),))))-(((VLOOKUP(EDATE(B74,-12),Database!$F:$AY,MATCH($I$1,Database!$F$1:$AY$1,),)))))/(((VLOOKUP(EDATE(B74,-12),Database!$F:$AY,MATCH($I$1,Database!$F$1:$AY$1,),))))</f>
        <v/>
      </c>
      <c r="J74" s="13">
        <f>((((VLOOKUP(B74,Database!$F:$AY,MATCH($J$1,Database!$F$1:$AY$1,),))))-(((VLOOKUP(EDATE(B74,-12),Database!$F:$AY,MATCH($J$1,Database!$F$1:$AY$1,),)))))/(((VLOOKUP(EDATE(B74,-12),Database!$F:$AY,MATCH($J$1,Database!$F$1:$AY$1,),))))</f>
        <v/>
      </c>
      <c r="K74" s="13">
        <f>((((VLOOKUP(B74,Database!$F:$AY,MATCH($K$1,Database!$F$1:$AY$1,),))))-(((VLOOKUP(EDATE(B74,-12),Database!$F:$AY,MATCH($K$1,Database!$F$1:$AY$1,),)))))/(((VLOOKUP(EDATE(B74,-12),Database!$F:$AY,MATCH($K$1,Database!$F$1:$AY$1,),))))</f>
        <v/>
      </c>
      <c r="L74" s="13">
        <f>((((VLOOKUP(B74,Database!$F:$AY,MATCH($L$1,Database!$F$1:$AY$1,),))))-(((VLOOKUP(EDATE(B74,-12),Database!$F:$AY,MATCH($L$1,Database!$F$1:$AY$1,),)))))/(((VLOOKUP(EDATE(B74,-12),Database!$F:$AY,MATCH($L$1,Database!$F$1:$AY$1,),))))</f>
        <v/>
      </c>
      <c r="M74" s="13">
        <f>((((VLOOKUP(B74,Database!$F:$AY,MATCH($M$1,Database!$F$1:$AY$1,),))))-(((VLOOKUP(EDATE(B74,-12),Database!$F:$AY,MATCH($M$1,Database!$F$1:$AY$1,),)))))/(((VLOOKUP(EDATE(B74,-12),Database!$F:$AY,MATCH($M$1,Database!$F$1:$AY$1,),))))</f>
        <v/>
      </c>
      <c r="N74" s="13">
        <f>((((VLOOKUP(B74,Database!$F:$AY,MATCH($N$1,Database!$F$1:$AY$1,),))))-(((VLOOKUP(EDATE(B74,-12),Database!$F:$AY,MATCH($N$1,Database!$F$1:$AY$1,),)))))/(((VLOOKUP(EDATE(B74,-12),Database!$F:$AY,MATCH($N$1,Database!$F$1:$AY$1,),))))</f>
        <v/>
      </c>
      <c r="O74" s="13">
        <f>((((VLOOKUP(B74,Database!$F:$AY,MATCH($O$1,Database!$F$1:$AY$1,),))))-(((VLOOKUP(EDATE(B74,-12),Database!$F:$AY,MATCH($O$1,Database!$F$1:$AY$1,),)))))/(((VLOOKUP(EDATE(B74,-12),Database!$F:$AY,MATCH($O$1,Database!$F$1:$AY$1,),))))</f>
        <v/>
      </c>
      <c r="P74" s="13">
        <f>((((VLOOKUP(B74,Database!$F:$AY,MATCH($P$1,Database!$F$1:$AY$1,),))))-(((VLOOKUP(EDATE(B74,-12),Database!$F:$AY,MATCH($P$1,Database!$F$1:$AY$1,),)))))/(((VLOOKUP(EDATE(B74,-12),Database!$F:$AY,MATCH($P$1,Database!$F$1:$AY$1,),))))</f>
        <v/>
      </c>
      <c r="Q74" s="13">
        <f>((((VLOOKUP(B74,Database!$F:$AY,MATCH($Q$1,Database!$F$1:$AY$1,),))))-(((VLOOKUP(EDATE(B74,-12),Database!$F:$AY,MATCH($Q$1,Database!$F$1:$AY$1,),)))))/(((VLOOKUP(EDATE(B74,-12),Database!$F:$AY,MATCH($Q$1,Database!$F$1:$AY$1,),))))</f>
        <v/>
      </c>
      <c r="R74" s="13">
        <f>((((VLOOKUP(B74,Database!$F:$AY,MATCH($R$1,Database!$F$1:$AY$1,),))))-(((VLOOKUP(EDATE(B74,-12),Database!$F:$AY,MATCH($R$1,Database!$F$1:$AY$1,),)))))/(((VLOOKUP(EDATE(B74,-12),Database!$F:$AY,MATCH($R$1,Database!$F$1:$AY$1,),))))</f>
        <v/>
      </c>
      <c r="S74" s="13">
        <f>((((VLOOKUP(B74,Database!$F:$AY,MATCH($S$1,Database!$F$1:$AY$1,),))))-(((VLOOKUP(EDATE(B74,-12),Database!$F:$AY,MATCH($S$1,Database!$F$1:$AY$1,),)))))/(((VLOOKUP(EDATE(B74,-12),Database!$F:$AY,MATCH($S$1,Database!$F$1:$AY$1,),))))</f>
        <v/>
      </c>
      <c r="T74" s="13">
        <f>((((VLOOKUP(B74,Database!$F:$AY,MATCH($T$1,Database!$F$1:$AY$1,),))))-(((VLOOKUP(EDATE(B74,-12),Database!$F:$AY,MATCH($T$1,Database!$F$1:$AY$1,),)))))/(((VLOOKUP(EDATE(B74,-12),Database!$F:$AY,MATCH($T$1,Database!$F$1:$AY$1,),))))</f>
        <v/>
      </c>
      <c r="U74" s="13">
        <f>((((VLOOKUP(B74,Database!$F:$AY,MATCH($U$1,Database!$F$1:$AY$1,),))))-(((VLOOKUP(EDATE(B74,-12),Database!$F:$AY,MATCH($U$1,Database!$F$1:$AY$1,),)))))/(((VLOOKUP(EDATE(B74,-12),Database!$F:$AY,MATCH($U$1,Database!$F$1:$AY$1,),))))</f>
        <v/>
      </c>
      <c r="V74" s="13">
        <f>((((VLOOKUP(B74,Database!$F:$AY,MATCH($V$1,Database!$F$1:$AY$1,),))))-(((VLOOKUP(EDATE(B74,-12),Database!$F:$AY,MATCH($V$1,Database!$F$1:$AY$1,),)))))/(((VLOOKUP(EDATE(B74,-12),Database!$F:$AY,MATCH($V$1,Database!$F$1:$AY$1,),))))</f>
        <v/>
      </c>
    </row>
    <row r="75" customFormat="1" s="100">
      <c r="A75" s="45" t="n"/>
      <c r="B75" s="46" t="n">
        <v>34425</v>
      </c>
      <c r="C75" s="13">
        <f>((((VLOOKUP(B75,Database!$F:$AY,MATCH($C$1,Database!$F$1:$AY$1,),))))-(((VLOOKUP(EDATE(B75,-12),Database!$F:$AY,MATCH($C$1,Database!$F$1:$AY$1,),)))))/(((VLOOKUP(EDATE(B75,-12),Database!$F:$AY,MATCH($C$1,Database!$F$1:$AY$1,),))))</f>
        <v/>
      </c>
      <c r="D75" s="13">
        <f>((((VLOOKUP(B75,Database!$F:$AY,MATCH($D$1,Database!$F$1:$AY$1,),))))-(((VLOOKUP(EDATE(B75,-12),Database!$F:$AY,MATCH($D$1,Database!$F$1:$AY$1,),)))))/(((VLOOKUP(EDATE(B75,-12),Database!$F:$AY,MATCH($D$1,Database!$F$1:$AY$1,),))))</f>
        <v/>
      </c>
      <c r="E75" s="13">
        <f>((((VLOOKUP(B75,Database!$F:$AY,MATCH($E$1,Database!$F$1:$AY$1,),))))-(((VLOOKUP(EDATE(B75,-12),Database!$F:$AY,MATCH($E$1,Database!$F$1:$AY$1,),)))))/(((VLOOKUP(EDATE(B75,-12),Database!$F:$AY,MATCH($E$1,Database!$F$1:$AY$1,),))))</f>
        <v/>
      </c>
      <c r="F75" s="13">
        <f>((((VLOOKUP(B75,Database!$F:$AY,MATCH($F$1,Database!$F$1:$AY$1,),))))-(((VLOOKUP(EDATE(B75,-12),Database!$F:$AY,MATCH($F$1,Database!$F$1:$AY$1,),)))))/(((VLOOKUP(EDATE(B75,-12),Database!$F:$AY,MATCH($F$1,Database!$F$1:$AY$1,),))))</f>
        <v/>
      </c>
      <c r="G75" s="13">
        <f>((((VLOOKUP(B75,Database!$F:$AY,MATCH($G$1,Database!$F$1:$AY$1,),))))-(((VLOOKUP(EDATE(B75,-12),Database!$F:$AY,MATCH($G$1,Database!$F$1:$AY$1,),)))))/(((VLOOKUP(EDATE(B75,-12),Database!$F:$AY,MATCH($G$1,Database!$F$1:$AY$1,),))))</f>
        <v/>
      </c>
      <c r="H75" s="13">
        <f>((((VLOOKUP(B75,Database!$F:$AY,MATCH($H$1,Database!$F$1:$AY$1,),))))-(((VLOOKUP(EDATE(B75,-12),Database!$F:$AY,MATCH($H$1,Database!$F$1:$AY$1,),)))))/(((VLOOKUP(EDATE(B75,-12),Database!$F:$AY,MATCH($H$1,Database!$F$1:$AY$1,),))))</f>
        <v/>
      </c>
      <c r="I75" s="13">
        <f>((((VLOOKUP(B75,Database!$F:$AY,MATCH($I$1,Database!$F$1:$AY$1,),))))-(((VLOOKUP(EDATE(B75,-12),Database!$F:$AY,MATCH($I$1,Database!$F$1:$AY$1,),)))))/(((VLOOKUP(EDATE(B75,-12),Database!$F:$AY,MATCH($I$1,Database!$F$1:$AY$1,),))))</f>
        <v/>
      </c>
      <c r="J75" s="13">
        <f>((((VLOOKUP(B75,Database!$F:$AY,MATCH($J$1,Database!$F$1:$AY$1,),))))-(((VLOOKUP(EDATE(B75,-12),Database!$F:$AY,MATCH($J$1,Database!$F$1:$AY$1,),)))))/(((VLOOKUP(EDATE(B75,-12),Database!$F:$AY,MATCH($J$1,Database!$F$1:$AY$1,),))))</f>
        <v/>
      </c>
      <c r="K75" s="13">
        <f>((((VLOOKUP(B75,Database!$F:$AY,MATCH($K$1,Database!$F$1:$AY$1,),))))-(((VLOOKUP(EDATE(B75,-12),Database!$F:$AY,MATCH($K$1,Database!$F$1:$AY$1,),)))))/(((VLOOKUP(EDATE(B75,-12),Database!$F:$AY,MATCH($K$1,Database!$F$1:$AY$1,),))))</f>
        <v/>
      </c>
      <c r="L75" s="13">
        <f>((((VLOOKUP(B75,Database!$F:$AY,MATCH($L$1,Database!$F$1:$AY$1,),))))-(((VLOOKUP(EDATE(B75,-12),Database!$F:$AY,MATCH($L$1,Database!$F$1:$AY$1,),)))))/(((VLOOKUP(EDATE(B75,-12),Database!$F:$AY,MATCH($L$1,Database!$F$1:$AY$1,),))))</f>
        <v/>
      </c>
      <c r="M75" s="13">
        <f>((((VLOOKUP(B75,Database!$F:$AY,MATCH($M$1,Database!$F$1:$AY$1,),))))-(((VLOOKUP(EDATE(B75,-12),Database!$F:$AY,MATCH($M$1,Database!$F$1:$AY$1,),)))))/(((VLOOKUP(EDATE(B75,-12),Database!$F:$AY,MATCH($M$1,Database!$F$1:$AY$1,),))))</f>
        <v/>
      </c>
      <c r="N75" s="13">
        <f>((((VLOOKUP(B75,Database!$F:$AY,MATCH($N$1,Database!$F$1:$AY$1,),))))-(((VLOOKUP(EDATE(B75,-12),Database!$F:$AY,MATCH($N$1,Database!$F$1:$AY$1,),)))))/(((VLOOKUP(EDATE(B75,-12),Database!$F:$AY,MATCH($N$1,Database!$F$1:$AY$1,),))))</f>
        <v/>
      </c>
      <c r="O75" s="13">
        <f>((((VLOOKUP(B75,Database!$F:$AY,MATCH($O$1,Database!$F$1:$AY$1,),))))-(((VLOOKUP(EDATE(B75,-12),Database!$F:$AY,MATCH($O$1,Database!$F$1:$AY$1,),)))))/(((VLOOKUP(EDATE(B75,-12),Database!$F:$AY,MATCH($O$1,Database!$F$1:$AY$1,),))))</f>
        <v/>
      </c>
      <c r="P75" s="13">
        <f>((((VLOOKUP(B75,Database!$F:$AY,MATCH($P$1,Database!$F$1:$AY$1,),))))-(((VLOOKUP(EDATE(B75,-12),Database!$F:$AY,MATCH($P$1,Database!$F$1:$AY$1,),)))))/(((VLOOKUP(EDATE(B75,-12),Database!$F:$AY,MATCH($P$1,Database!$F$1:$AY$1,),))))</f>
        <v/>
      </c>
      <c r="Q75" s="13">
        <f>((((VLOOKUP(B75,Database!$F:$AY,MATCH($Q$1,Database!$F$1:$AY$1,),))))-(((VLOOKUP(EDATE(B75,-12),Database!$F:$AY,MATCH($Q$1,Database!$F$1:$AY$1,),)))))/(((VLOOKUP(EDATE(B75,-12),Database!$F:$AY,MATCH($Q$1,Database!$F$1:$AY$1,),))))</f>
        <v/>
      </c>
      <c r="R75" s="13">
        <f>((((VLOOKUP(B75,Database!$F:$AY,MATCH($R$1,Database!$F$1:$AY$1,),))))-(((VLOOKUP(EDATE(B75,-12),Database!$F:$AY,MATCH($R$1,Database!$F$1:$AY$1,),)))))/(((VLOOKUP(EDATE(B75,-12),Database!$F:$AY,MATCH($R$1,Database!$F$1:$AY$1,),))))</f>
        <v/>
      </c>
      <c r="S75" s="13">
        <f>((((VLOOKUP(B75,Database!$F:$AY,MATCH($S$1,Database!$F$1:$AY$1,),))))-(((VLOOKUP(EDATE(B75,-12),Database!$F:$AY,MATCH($S$1,Database!$F$1:$AY$1,),)))))/(((VLOOKUP(EDATE(B75,-12),Database!$F:$AY,MATCH($S$1,Database!$F$1:$AY$1,),))))</f>
        <v/>
      </c>
      <c r="T75" s="13">
        <f>((((VLOOKUP(B75,Database!$F:$AY,MATCH($T$1,Database!$F$1:$AY$1,),))))-(((VLOOKUP(EDATE(B75,-12),Database!$F:$AY,MATCH($T$1,Database!$F$1:$AY$1,),)))))/(((VLOOKUP(EDATE(B75,-12),Database!$F:$AY,MATCH($T$1,Database!$F$1:$AY$1,),))))</f>
        <v/>
      </c>
      <c r="U75" s="13">
        <f>((((VLOOKUP(B75,Database!$F:$AY,MATCH($U$1,Database!$F$1:$AY$1,),))))-(((VLOOKUP(EDATE(B75,-12),Database!$F:$AY,MATCH($U$1,Database!$F$1:$AY$1,),)))))/(((VLOOKUP(EDATE(B75,-12),Database!$F:$AY,MATCH($U$1,Database!$F$1:$AY$1,),))))</f>
        <v/>
      </c>
      <c r="V75" s="13">
        <f>((((VLOOKUP(B75,Database!$F:$AY,MATCH($V$1,Database!$F$1:$AY$1,),))))-(((VLOOKUP(EDATE(B75,-12),Database!$F:$AY,MATCH($V$1,Database!$F$1:$AY$1,),)))))/(((VLOOKUP(EDATE(B75,-12),Database!$F:$AY,MATCH($V$1,Database!$F$1:$AY$1,),))))</f>
        <v/>
      </c>
    </row>
    <row r="76" customFormat="1" s="100">
      <c r="A76" s="45" t="n"/>
      <c r="B76" s="46" t="n">
        <v>34455</v>
      </c>
      <c r="C76" s="13">
        <f>((((VLOOKUP(B76,Database!$F:$AY,MATCH($C$1,Database!$F$1:$AY$1,),))))-(((VLOOKUP(EDATE(B76,-12),Database!$F:$AY,MATCH($C$1,Database!$F$1:$AY$1,),)))))/(((VLOOKUP(EDATE(B76,-12),Database!$F:$AY,MATCH($C$1,Database!$F$1:$AY$1,),))))</f>
        <v/>
      </c>
      <c r="D76" s="13">
        <f>((((VLOOKUP(B76,Database!$F:$AY,MATCH($D$1,Database!$F$1:$AY$1,),))))-(((VLOOKUP(EDATE(B76,-12),Database!$F:$AY,MATCH($D$1,Database!$F$1:$AY$1,),)))))/(((VLOOKUP(EDATE(B76,-12),Database!$F:$AY,MATCH($D$1,Database!$F$1:$AY$1,),))))</f>
        <v/>
      </c>
      <c r="E76" s="13">
        <f>((((VLOOKUP(B76,Database!$F:$AY,MATCH($E$1,Database!$F$1:$AY$1,),))))-(((VLOOKUP(EDATE(B76,-12),Database!$F:$AY,MATCH($E$1,Database!$F$1:$AY$1,),)))))/(((VLOOKUP(EDATE(B76,-12),Database!$F:$AY,MATCH($E$1,Database!$F$1:$AY$1,),))))</f>
        <v/>
      </c>
      <c r="F76" s="13">
        <f>((((VLOOKUP(B76,Database!$F:$AY,MATCH($F$1,Database!$F$1:$AY$1,),))))-(((VLOOKUP(EDATE(B76,-12),Database!$F:$AY,MATCH($F$1,Database!$F$1:$AY$1,),)))))/(((VLOOKUP(EDATE(B76,-12),Database!$F:$AY,MATCH($F$1,Database!$F$1:$AY$1,),))))</f>
        <v/>
      </c>
      <c r="G76" s="13">
        <f>((((VLOOKUP(B76,Database!$F:$AY,MATCH($G$1,Database!$F$1:$AY$1,),))))-(((VLOOKUP(EDATE(B76,-12),Database!$F:$AY,MATCH($G$1,Database!$F$1:$AY$1,),)))))/(((VLOOKUP(EDATE(B76,-12),Database!$F:$AY,MATCH($G$1,Database!$F$1:$AY$1,),))))</f>
        <v/>
      </c>
      <c r="H76" s="13">
        <f>((((VLOOKUP(B76,Database!$F:$AY,MATCH($H$1,Database!$F$1:$AY$1,),))))-(((VLOOKUP(EDATE(B76,-12),Database!$F:$AY,MATCH($H$1,Database!$F$1:$AY$1,),)))))/(((VLOOKUP(EDATE(B76,-12),Database!$F:$AY,MATCH($H$1,Database!$F$1:$AY$1,),))))</f>
        <v/>
      </c>
      <c r="I76" s="13">
        <f>((((VLOOKUP(B76,Database!$F:$AY,MATCH($I$1,Database!$F$1:$AY$1,),))))-(((VLOOKUP(EDATE(B76,-12),Database!$F:$AY,MATCH($I$1,Database!$F$1:$AY$1,),)))))/(((VLOOKUP(EDATE(B76,-12),Database!$F:$AY,MATCH($I$1,Database!$F$1:$AY$1,),))))</f>
        <v/>
      </c>
      <c r="J76" s="13">
        <f>((((VLOOKUP(B76,Database!$F:$AY,MATCH($J$1,Database!$F$1:$AY$1,),))))-(((VLOOKUP(EDATE(B76,-12),Database!$F:$AY,MATCH($J$1,Database!$F$1:$AY$1,),)))))/(((VLOOKUP(EDATE(B76,-12),Database!$F:$AY,MATCH($J$1,Database!$F$1:$AY$1,),))))</f>
        <v/>
      </c>
      <c r="K76" s="13">
        <f>((((VLOOKUP(B76,Database!$F:$AY,MATCH($K$1,Database!$F$1:$AY$1,),))))-(((VLOOKUP(EDATE(B76,-12),Database!$F:$AY,MATCH($K$1,Database!$F$1:$AY$1,),)))))/(((VLOOKUP(EDATE(B76,-12),Database!$F:$AY,MATCH($K$1,Database!$F$1:$AY$1,),))))</f>
        <v/>
      </c>
      <c r="L76" s="13">
        <f>((((VLOOKUP(B76,Database!$F:$AY,MATCH($L$1,Database!$F$1:$AY$1,),))))-(((VLOOKUP(EDATE(B76,-12),Database!$F:$AY,MATCH($L$1,Database!$F$1:$AY$1,),)))))/(((VLOOKUP(EDATE(B76,-12),Database!$F:$AY,MATCH($L$1,Database!$F$1:$AY$1,),))))</f>
        <v/>
      </c>
      <c r="M76" s="13">
        <f>((((VLOOKUP(B76,Database!$F:$AY,MATCH($M$1,Database!$F$1:$AY$1,),))))-(((VLOOKUP(EDATE(B76,-12),Database!$F:$AY,MATCH($M$1,Database!$F$1:$AY$1,),)))))/(((VLOOKUP(EDATE(B76,-12),Database!$F:$AY,MATCH($M$1,Database!$F$1:$AY$1,),))))</f>
        <v/>
      </c>
      <c r="N76" s="13">
        <f>((((VLOOKUP(B76,Database!$F:$AY,MATCH($N$1,Database!$F$1:$AY$1,),))))-(((VLOOKUP(EDATE(B76,-12),Database!$F:$AY,MATCH($N$1,Database!$F$1:$AY$1,),)))))/(((VLOOKUP(EDATE(B76,-12),Database!$F:$AY,MATCH($N$1,Database!$F$1:$AY$1,),))))</f>
        <v/>
      </c>
      <c r="O76" s="13">
        <f>((((VLOOKUP(B76,Database!$F:$AY,MATCH($O$1,Database!$F$1:$AY$1,),))))-(((VLOOKUP(EDATE(B76,-12),Database!$F:$AY,MATCH($O$1,Database!$F$1:$AY$1,),)))))/(((VLOOKUP(EDATE(B76,-12),Database!$F:$AY,MATCH($O$1,Database!$F$1:$AY$1,),))))</f>
        <v/>
      </c>
      <c r="P76" s="13">
        <f>((((VLOOKUP(B76,Database!$F:$AY,MATCH($P$1,Database!$F$1:$AY$1,),))))-(((VLOOKUP(EDATE(B76,-12),Database!$F:$AY,MATCH($P$1,Database!$F$1:$AY$1,),)))))/(((VLOOKUP(EDATE(B76,-12),Database!$F:$AY,MATCH($P$1,Database!$F$1:$AY$1,),))))</f>
        <v/>
      </c>
      <c r="Q76" s="13">
        <f>((((VLOOKUP(B76,Database!$F:$AY,MATCH($Q$1,Database!$F$1:$AY$1,),))))-(((VLOOKUP(EDATE(B76,-12),Database!$F:$AY,MATCH($Q$1,Database!$F$1:$AY$1,),)))))/(((VLOOKUP(EDATE(B76,-12),Database!$F:$AY,MATCH($Q$1,Database!$F$1:$AY$1,),))))</f>
        <v/>
      </c>
      <c r="R76" s="13">
        <f>((((VLOOKUP(B76,Database!$F:$AY,MATCH($R$1,Database!$F$1:$AY$1,),))))-(((VLOOKUP(EDATE(B76,-12),Database!$F:$AY,MATCH($R$1,Database!$F$1:$AY$1,),)))))/(((VLOOKUP(EDATE(B76,-12),Database!$F:$AY,MATCH($R$1,Database!$F$1:$AY$1,),))))</f>
        <v/>
      </c>
      <c r="S76" s="13">
        <f>((((VLOOKUP(B76,Database!$F:$AY,MATCH($S$1,Database!$F$1:$AY$1,),))))-(((VLOOKUP(EDATE(B76,-12),Database!$F:$AY,MATCH($S$1,Database!$F$1:$AY$1,),)))))/(((VLOOKUP(EDATE(B76,-12),Database!$F:$AY,MATCH($S$1,Database!$F$1:$AY$1,),))))</f>
        <v/>
      </c>
      <c r="T76" s="13">
        <f>((((VLOOKUP(B76,Database!$F:$AY,MATCH($T$1,Database!$F$1:$AY$1,),))))-(((VLOOKUP(EDATE(B76,-12),Database!$F:$AY,MATCH($T$1,Database!$F$1:$AY$1,),)))))/(((VLOOKUP(EDATE(B76,-12),Database!$F:$AY,MATCH($T$1,Database!$F$1:$AY$1,),))))</f>
        <v/>
      </c>
      <c r="U76" s="13">
        <f>((((VLOOKUP(B76,Database!$F:$AY,MATCH($U$1,Database!$F$1:$AY$1,),))))-(((VLOOKUP(EDATE(B76,-12),Database!$F:$AY,MATCH($U$1,Database!$F$1:$AY$1,),)))))/(((VLOOKUP(EDATE(B76,-12),Database!$F:$AY,MATCH($U$1,Database!$F$1:$AY$1,),))))</f>
        <v/>
      </c>
      <c r="V76" s="13">
        <f>((((VLOOKUP(B76,Database!$F:$AY,MATCH($V$1,Database!$F$1:$AY$1,),))))-(((VLOOKUP(EDATE(B76,-12),Database!$F:$AY,MATCH($V$1,Database!$F$1:$AY$1,),)))))/(((VLOOKUP(EDATE(B76,-12),Database!$F:$AY,MATCH($V$1,Database!$F$1:$AY$1,),))))</f>
        <v/>
      </c>
    </row>
    <row r="77" customFormat="1" s="100">
      <c r="A77" s="45" t="n"/>
      <c r="B77" s="46" t="n">
        <v>34486</v>
      </c>
      <c r="C77" s="13">
        <f>((((VLOOKUP(B77,Database!$F:$AY,MATCH($C$1,Database!$F$1:$AY$1,),))))-(((VLOOKUP(EDATE(B77,-12),Database!$F:$AY,MATCH($C$1,Database!$F$1:$AY$1,),)))))/(((VLOOKUP(EDATE(B77,-12),Database!$F:$AY,MATCH($C$1,Database!$F$1:$AY$1,),))))</f>
        <v/>
      </c>
      <c r="D77" s="13">
        <f>((((VLOOKUP(B77,Database!$F:$AY,MATCH($D$1,Database!$F$1:$AY$1,),))))-(((VLOOKUP(EDATE(B77,-12),Database!$F:$AY,MATCH($D$1,Database!$F$1:$AY$1,),)))))/(((VLOOKUP(EDATE(B77,-12),Database!$F:$AY,MATCH($D$1,Database!$F$1:$AY$1,),))))</f>
        <v/>
      </c>
      <c r="E77" s="13">
        <f>((((VLOOKUP(B77,Database!$F:$AY,MATCH($E$1,Database!$F$1:$AY$1,),))))-(((VLOOKUP(EDATE(B77,-12),Database!$F:$AY,MATCH($E$1,Database!$F$1:$AY$1,),)))))/(((VLOOKUP(EDATE(B77,-12),Database!$F:$AY,MATCH($E$1,Database!$F$1:$AY$1,),))))</f>
        <v/>
      </c>
      <c r="F77" s="13">
        <f>((((VLOOKUP(B77,Database!$F:$AY,MATCH($F$1,Database!$F$1:$AY$1,),))))-(((VLOOKUP(EDATE(B77,-12),Database!$F:$AY,MATCH($F$1,Database!$F$1:$AY$1,),)))))/(((VLOOKUP(EDATE(B77,-12),Database!$F:$AY,MATCH($F$1,Database!$F$1:$AY$1,),))))</f>
        <v/>
      </c>
      <c r="G77" s="13">
        <f>((((VLOOKUP(B77,Database!$F:$AY,MATCH($G$1,Database!$F$1:$AY$1,),))))-(((VLOOKUP(EDATE(B77,-12),Database!$F:$AY,MATCH($G$1,Database!$F$1:$AY$1,),)))))/(((VLOOKUP(EDATE(B77,-12),Database!$F:$AY,MATCH($G$1,Database!$F$1:$AY$1,),))))</f>
        <v/>
      </c>
      <c r="H77" s="13">
        <f>((((VLOOKUP(B77,Database!$F:$AY,MATCH($H$1,Database!$F$1:$AY$1,),))))-(((VLOOKUP(EDATE(B77,-12),Database!$F:$AY,MATCH($H$1,Database!$F$1:$AY$1,),)))))/(((VLOOKUP(EDATE(B77,-12),Database!$F:$AY,MATCH($H$1,Database!$F$1:$AY$1,),))))</f>
        <v/>
      </c>
      <c r="I77" s="13">
        <f>((((VLOOKUP(B77,Database!$F:$AY,MATCH($I$1,Database!$F$1:$AY$1,),))))-(((VLOOKUP(EDATE(B77,-12),Database!$F:$AY,MATCH($I$1,Database!$F$1:$AY$1,),)))))/(((VLOOKUP(EDATE(B77,-12),Database!$F:$AY,MATCH($I$1,Database!$F$1:$AY$1,),))))</f>
        <v/>
      </c>
      <c r="J77" s="13">
        <f>((((VLOOKUP(B77,Database!$F:$AY,MATCH($J$1,Database!$F$1:$AY$1,),))))-(((VLOOKUP(EDATE(B77,-12),Database!$F:$AY,MATCH($J$1,Database!$F$1:$AY$1,),)))))/(((VLOOKUP(EDATE(B77,-12),Database!$F:$AY,MATCH($J$1,Database!$F$1:$AY$1,),))))</f>
        <v/>
      </c>
      <c r="K77" s="13">
        <f>((((VLOOKUP(B77,Database!$F:$AY,MATCH($K$1,Database!$F$1:$AY$1,),))))-(((VLOOKUP(EDATE(B77,-12),Database!$F:$AY,MATCH($K$1,Database!$F$1:$AY$1,),)))))/(((VLOOKUP(EDATE(B77,-12),Database!$F:$AY,MATCH($K$1,Database!$F$1:$AY$1,),))))</f>
        <v/>
      </c>
      <c r="L77" s="13">
        <f>((((VLOOKUP(B77,Database!$F:$AY,MATCH($L$1,Database!$F$1:$AY$1,),))))-(((VLOOKUP(EDATE(B77,-12),Database!$F:$AY,MATCH($L$1,Database!$F$1:$AY$1,),)))))/(((VLOOKUP(EDATE(B77,-12),Database!$F:$AY,MATCH($L$1,Database!$F$1:$AY$1,),))))</f>
        <v/>
      </c>
      <c r="M77" s="13">
        <f>((((VLOOKUP(B77,Database!$F:$AY,MATCH($M$1,Database!$F$1:$AY$1,),))))-(((VLOOKUP(EDATE(B77,-12),Database!$F:$AY,MATCH($M$1,Database!$F$1:$AY$1,),)))))/(((VLOOKUP(EDATE(B77,-12),Database!$F:$AY,MATCH($M$1,Database!$F$1:$AY$1,),))))</f>
        <v/>
      </c>
      <c r="N77" s="13">
        <f>((((VLOOKUP(B77,Database!$F:$AY,MATCH($N$1,Database!$F$1:$AY$1,),))))-(((VLOOKUP(EDATE(B77,-12),Database!$F:$AY,MATCH($N$1,Database!$F$1:$AY$1,),)))))/(((VLOOKUP(EDATE(B77,-12),Database!$F:$AY,MATCH($N$1,Database!$F$1:$AY$1,),))))</f>
        <v/>
      </c>
      <c r="O77" s="13">
        <f>((((VLOOKUP(B77,Database!$F:$AY,MATCH($O$1,Database!$F$1:$AY$1,),))))-(((VLOOKUP(EDATE(B77,-12),Database!$F:$AY,MATCH($O$1,Database!$F$1:$AY$1,),)))))/(((VLOOKUP(EDATE(B77,-12),Database!$F:$AY,MATCH($O$1,Database!$F$1:$AY$1,),))))</f>
        <v/>
      </c>
      <c r="P77" s="13">
        <f>((((VLOOKUP(B77,Database!$F:$AY,MATCH($P$1,Database!$F$1:$AY$1,),))))-(((VLOOKUP(EDATE(B77,-12),Database!$F:$AY,MATCH($P$1,Database!$F$1:$AY$1,),)))))/(((VLOOKUP(EDATE(B77,-12),Database!$F:$AY,MATCH($P$1,Database!$F$1:$AY$1,),))))</f>
        <v/>
      </c>
      <c r="Q77" s="13">
        <f>((((VLOOKUP(B77,Database!$F:$AY,MATCH($Q$1,Database!$F$1:$AY$1,),))))-(((VLOOKUP(EDATE(B77,-12),Database!$F:$AY,MATCH($Q$1,Database!$F$1:$AY$1,),)))))/(((VLOOKUP(EDATE(B77,-12),Database!$F:$AY,MATCH($Q$1,Database!$F$1:$AY$1,),))))</f>
        <v/>
      </c>
      <c r="R77" s="13">
        <f>((((VLOOKUP(B77,Database!$F:$AY,MATCH($R$1,Database!$F$1:$AY$1,),))))-(((VLOOKUP(EDATE(B77,-12),Database!$F:$AY,MATCH($R$1,Database!$F$1:$AY$1,),)))))/(((VLOOKUP(EDATE(B77,-12),Database!$F:$AY,MATCH($R$1,Database!$F$1:$AY$1,),))))</f>
        <v/>
      </c>
      <c r="S77" s="13">
        <f>((((VLOOKUP(B77,Database!$F:$AY,MATCH($S$1,Database!$F$1:$AY$1,),))))-(((VLOOKUP(EDATE(B77,-12),Database!$F:$AY,MATCH($S$1,Database!$F$1:$AY$1,),)))))/(((VLOOKUP(EDATE(B77,-12),Database!$F:$AY,MATCH($S$1,Database!$F$1:$AY$1,),))))</f>
        <v/>
      </c>
      <c r="T77" s="13">
        <f>((((VLOOKUP(B77,Database!$F:$AY,MATCH($T$1,Database!$F$1:$AY$1,),))))-(((VLOOKUP(EDATE(B77,-12),Database!$F:$AY,MATCH($T$1,Database!$F$1:$AY$1,),)))))/(((VLOOKUP(EDATE(B77,-12),Database!$F:$AY,MATCH($T$1,Database!$F$1:$AY$1,),))))</f>
        <v/>
      </c>
      <c r="U77" s="13">
        <f>((((VLOOKUP(B77,Database!$F:$AY,MATCH($U$1,Database!$F$1:$AY$1,),))))-(((VLOOKUP(EDATE(B77,-12),Database!$F:$AY,MATCH($U$1,Database!$F$1:$AY$1,),)))))/(((VLOOKUP(EDATE(B77,-12),Database!$F:$AY,MATCH($U$1,Database!$F$1:$AY$1,),))))</f>
        <v/>
      </c>
      <c r="V77" s="13">
        <f>((((VLOOKUP(B77,Database!$F:$AY,MATCH($V$1,Database!$F$1:$AY$1,),))))-(((VLOOKUP(EDATE(B77,-12),Database!$F:$AY,MATCH($V$1,Database!$F$1:$AY$1,),)))))/(((VLOOKUP(EDATE(B77,-12),Database!$F:$AY,MATCH($V$1,Database!$F$1:$AY$1,),))))</f>
        <v/>
      </c>
    </row>
    <row r="78" customFormat="1" s="100">
      <c r="A78" s="45" t="n"/>
      <c r="B78" s="46" t="n">
        <v>34516</v>
      </c>
      <c r="C78" s="13">
        <f>((((VLOOKUP(B78,Database!$F:$AY,MATCH($C$1,Database!$F$1:$AY$1,),))))-(((VLOOKUP(EDATE(B78,-12),Database!$F:$AY,MATCH($C$1,Database!$F$1:$AY$1,),)))))/(((VLOOKUP(EDATE(B78,-12),Database!$F:$AY,MATCH($C$1,Database!$F$1:$AY$1,),))))</f>
        <v/>
      </c>
      <c r="D78" s="13">
        <f>((((VLOOKUP(B78,Database!$F:$AY,MATCH($D$1,Database!$F$1:$AY$1,),))))-(((VLOOKUP(EDATE(B78,-12),Database!$F:$AY,MATCH($D$1,Database!$F$1:$AY$1,),)))))/(((VLOOKUP(EDATE(B78,-12),Database!$F:$AY,MATCH($D$1,Database!$F$1:$AY$1,),))))</f>
        <v/>
      </c>
      <c r="E78" s="13">
        <f>((((VLOOKUP(B78,Database!$F:$AY,MATCH($E$1,Database!$F$1:$AY$1,),))))-(((VLOOKUP(EDATE(B78,-12),Database!$F:$AY,MATCH($E$1,Database!$F$1:$AY$1,),)))))/(((VLOOKUP(EDATE(B78,-12),Database!$F:$AY,MATCH($E$1,Database!$F$1:$AY$1,),))))</f>
        <v/>
      </c>
      <c r="F78" s="13">
        <f>((((VLOOKUP(B78,Database!$F:$AY,MATCH($F$1,Database!$F$1:$AY$1,),))))-(((VLOOKUP(EDATE(B78,-12),Database!$F:$AY,MATCH($F$1,Database!$F$1:$AY$1,),)))))/(((VLOOKUP(EDATE(B78,-12),Database!$F:$AY,MATCH($F$1,Database!$F$1:$AY$1,),))))</f>
        <v/>
      </c>
      <c r="G78" s="13">
        <f>((((VLOOKUP(B78,Database!$F:$AY,MATCH($G$1,Database!$F$1:$AY$1,),))))-(((VLOOKUP(EDATE(B78,-12),Database!$F:$AY,MATCH($G$1,Database!$F$1:$AY$1,),)))))/(((VLOOKUP(EDATE(B78,-12),Database!$F:$AY,MATCH($G$1,Database!$F$1:$AY$1,),))))</f>
        <v/>
      </c>
      <c r="H78" s="13">
        <f>((((VLOOKUP(B78,Database!$F:$AY,MATCH($H$1,Database!$F$1:$AY$1,),))))-(((VLOOKUP(EDATE(B78,-12),Database!$F:$AY,MATCH($H$1,Database!$F$1:$AY$1,),)))))/(((VLOOKUP(EDATE(B78,-12),Database!$F:$AY,MATCH($H$1,Database!$F$1:$AY$1,),))))</f>
        <v/>
      </c>
      <c r="I78" s="13">
        <f>((((VLOOKUP(B78,Database!$F:$AY,MATCH($I$1,Database!$F$1:$AY$1,),))))-(((VLOOKUP(EDATE(B78,-12),Database!$F:$AY,MATCH($I$1,Database!$F$1:$AY$1,),)))))/(((VLOOKUP(EDATE(B78,-12),Database!$F:$AY,MATCH($I$1,Database!$F$1:$AY$1,),))))</f>
        <v/>
      </c>
      <c r="J78" s="13">
        <f>((((VLOOKUP(B78,Database!$F:$AY,MATCH($J$1,Database!$F$1:$AY$1,),))))-(((VLOOKUP(EDATE(B78,-12),Database!$F:$AY,MATCH($J$1,Database!$F$1:$AY$1,),)))))/(((VLOOKUP(EDATE(B78,-12),Database!$F:$AY,MATCH($J$1,Database!$F$1:$AY$1,),))))</f>
        <v/>
      </c>
      <c r="K78" s="13">
        <f>((((VLOOKUP(B78,Database!$F:$AY,MATCH($K$1,Database!$F$1:$AY$1,),))))-(((VLOOKUP(EDATE(B78,-12),Database!$F:$AY,MATCH($K$1,Database!$F$1:$AY$1,),)))))/(((VLOOKUP(EDATE(B78,-12),Database!$F:$AY,MATCH($K$1,Database!$F$1:$AY$1,),))))</f>
        <v/>
      </c>
      <c r="L78" s="13">
        <f>((((VLOOKUP(B78,Database!$F:$AY,MATCH($L$1,Database!$F$1:$AY$1,),))))-(((VLOOKUP(EDATE(B78,-12),Database!$F:$AY,MATCH($L$1,Database!$F$1:$AY$1,),)))))/(((VLOOKUP(EDATE(B78,-12),Database!$F:$AY,MATCH($L$1,Database!$F$1:$AY$1,),))))</f>
        <v/>
      </c>
      <c r="M78" s="13">
        <f>((((VLOOKUP(B78,Database!$F:$AY,MATCH($M$1,Database!$F$1:$AY$1,),))))-(((VLOOKUP(EDATE(B78,-12),Database!$F:$AY,MATCH($M$1,Database!$F$1:$AY$1,),)))))/(((VLOOKUP(EDATE(B78,-12),Database!$F:$AY,MATCH($M$1,Database!$F$1:$AY$1,),))))</f>
        <v/>
      </c>
      <c r="N78" s="13">
        <f>((((VLOOKUP(B78,Database!$F:$AY,MATCH($N$1,Database!$F$1:$AY$1,),))))-(((VLOOKUP(EDATE(B78,-12),Database!$F:$AY,MATCH($N$1,Database!$F$1:$AY$1,),)))))/(((VLOOKUP(EDATE(B78,-12),Database!$F:$AY,MATCH($N$1,Database!$F$1:$AY$1,),))))</f>
        <v/>
      </c>
      <c r="O78" s="13">
        <f>((((VLOOKUP(B78,Database!$F:$AY,MATCH($O$1,Database!$F$1:$AY$1,),))))-(((VLOOKUP(EDATE(B78,-12),Database!$F:$AY,MATCH($O$1,Database!$F$1:$AY$1,),)))))/(((VLOOKUP(EDATE(B78,-12),Database!$F:$AY,MATCH($O$1,Database!$F$1:$AY$1,),))))</f>
        <v/>
      </c>
      <c r="P78" s="13">
        <f>((((VLOOKUP(B78,Database!$F:$AY,MATCH($P$1,Database!$F$1:$AY$1,),))))-(((VLOOKUP(EDATE(B78,-12),Database!$F:$AY,MATCH($P$1,Database!$F$1:$AY$1,),)))))/(((VLOOKUP(EDATE(B78,-12),Database!$F:$AY,MATCH($P$1,Database!$F$1:$AY$1,),))))</f>
        <v/>
      </c>
      <c r="Q78" s="13">
        <f>((((VLOOKUP(B78,Database!$F:$AY,MATCH($Q$1,Database!$F$1:$AY$1,),))))-(((VLOOKUP(EDATE(B78,-12),Database!$F:$AY,MATCH($Q$1,Database!$F$1:$AY$1,),)))))/(((VLOOKUP(EDATE(B78,-12),Database!$F:$AY,MATCH($Q$1,Database!$F$1:$AY$1,),))))</f>
        <v/>
      </c>
      <c r="R78" s="13">
        <f>((((VLOOKUP(B78,Database!$F:$AY,MATCH($R$1,Database!$F$1:$AY$1,),))))-(((VLOOKUP(EDATE(B78,-12),Database!$F:$AY,MATCH($R$1,Database!$F$1:$AY$1,),)))))/(((VLOOKUP(EDATE(B78,-12),Database!$F:$AY,MATCH($R$1,Database!$F$1:$AY$1,),))))</f>
        <v/>
      </c>
      <c r="S78" s="13">
        <f>((((VLOOKUP(B78,Database!$F:$AY,MATCH($S$1,Database!$F$1:$AY$1,),))))-(((VLOOKUP(EDATE(B78,-12),Database!$F:$AY,MATCH($S$1,Database!$F$1:$AY$1,),)))))/(((VLOOKUP(EDATE(B78,-12),Database!$F:$AY,MATCH($S$1,Database!$F$1:$AY$1,),))))</f>
        <v/>
      </c>
      <c r="T78" s="13">
        <f>((((VLOOKUP(B78,Database!$F:$AY,MATCH($T$1,Database!$F$1:$AY$1,),))))-(((VLOOKUP(EDATE(B78,-12),Database!$F:$AY,MATCH($T$1,Database!$F$1:$AY$1,),)))))/(((VLOOKUP(EDATE(B78,-12),Database!$F:$AY,MATCH($T$1,Database!$F$1:$AY$1,),))))</f>
        <v/>
      </c>
      <c r="U78" s="13">
        <f>((((VLOOKUP(B78,Database!$F:$AY,MATCH($U$1,Database!$F$1:$AY$1,),))))-(((VLOOKUP(EDATE(B78,-12),Database!$F:$AY,MATCH($U$1,Database!$F$1:$AY$1,),)))))/(((VLOOKUP(EDATE(B78,-12),Database!$F:$AY,MATCH($U$1,Database!$F$1:$AY$1,),))))</f>
        <v/>
      </c>
      <c r="V78" s="13">
        <f>((((VLOOKUP(B78,Database!$F:$AY,MATCH($V$1,Database!$F$1:$AY$1,),))))-(((VLOOKUP(EDATE(B78,-12),Database!$F:$AY,MATCH($V$1,Database!$F$1:$AY$1,),)))))/(((VLOOKUP(EDATE(B78,-12),Database!$F:$AY,MATCH($V$1,Database!$F$1:$AY$1,),))))</f>
        <v/>
      </c>
    </row>
    <row r="79" customFormat="1" s="100">
      <c r="A79" s="45" t="n"/>
      <c r="B79" s="46" t="n">
        <v>34547</v>
      </c>
      <c r="C79" s="13">
        <f>((((VLOOKUP(B79,Database!$F:$AY,MATCH($C$1,Database!$F$1:$AY$1,),))))-(((VLOOKUP(EDATE(B79,-12),Database!$F:$AY,MATCH($C$1,Database!$F$1:$AY$1,),)))))/(((VLOOKUP(EDATE(B79,-12),Database!$F:$AY,MATCH($C$1,Database!$F$1:$AY$1,),))))</f>
        <v/>
      </c>
      <c r="D79" s="13">
        <f>((((VLOOKUP(B79,Database!$F:$AY,MATCH($D$1,Database!$F$1:$AY$1,),))))-(((VLOOKUP(EDATE(B79,-12),Database!$F:$AY,MATCH($D$1,Database!$F$1:$AY$1,),)))))/(((VLOOKUP(EDATE(B79,-12),Database!$F:$AY,MATCH($D$1,Database!$F$1:$AY$1,),))))</f>
        <v/>
      </c>
      <c r="E79" s="13">
        <f>((((VLOOKUP(B79,Database!$F:$AY,MATCH($E$1,Database!$F$1:$AY$1,),))))-(((VLOOKUP(EDATE(B79,-12),Database!$F:$AY,MATCH($E$1,Database!$F$1:$AY$1,),)))))/(((VLOOKUP(EDATE(B79,-12),Database!$F:$AY,MATCH($E$1,Database!$F$1:$AY$1,),))))</f>
        <v/>
      </c>
      <c r="F79" s="13">
        <f>((((VLOOKUP(B79,Database!$F:$AY,MATCH($F$1,Database!$F$1:$AY$1,),))))-(((VLOOKUP(EDATE(B79,-12),Database!$F:$AY,MATCH($F$1,Database!$F$1:$AY$1,),)))))/(((VLOOKUP(EDATE(B79,-12),Database!$F:$AY,MATCH($F$1,Database!$F$1:$AY$1,),))))</f>
        <v/>
      </c>
      <c r="G79" s="13">
        <f>((((VLOOKUP(B79,Database!$F:$AY,MATCH($G$1,Database!$F$1:$AY$1,),))))-(((VLOOKUP(EDATE(B79,-12),Database!$F:$AY,MATCH($G$1,Database!$F$1:$AY$1,),)))))/(((VLOOKUP(EDATE(B79,-12),Database!$F:$AY,MATCH($G$1,Database!$F$1:$AY$1,),))))</f>
        <v/>
      </c>
      <c r="H79" s="13">
        <f>((((VLOOKUP(B79,Database!$F:$AY,MATCH($H$1,Database!$F$1:$AY$1,),))))-(((VLOOKUP(EDATE(B79,-12),Database!$F:$AY,MATCH($H$1,Database!$F$1:$AY$1,),)))))/(((VLOOKUP(EDATE(B79,-12),Database!$F:$AY,MATCH($H$1,Database!$F$1:$AY$1,),))))</f>
        <v/>
      </c>
      <c r="I79" s="13">
        <f>((((VLOOKUP(B79,Database!$F:$AY,MATCH($I$1,Database!$F$1:$AY$1,),))))-(((VLOOKUP(EDATE(B79,-12),Database!$F:$AY,MATCH($I$1,Database!$F$1:$AY$1,),)))))/(((VLOOKUP(EDATE(B79,-12),Database!$F:$AY,MATCH($I$1,Database!$F$1:$AY$1,),))))</f>
        <v/>
      </c>
      <c r="J79" s="13">
        <f>((((VLOOKUP(B79,Database!$F:$AY,MATCH($J$1,Database!$F$1:$AY$1,),))))-(((VLOOKUP(EDATE(B79,-12),Database!$F:$AY,MATCH($J$1,Database!$F$1:$AY$1,),)))))/(((VLOOKUP(EDATE(B79,-12),Database!$F:$AY,MATCH($J$1,Database!$F$1:$AY$1,),))))</f>
        <v/>
      </c>
      <c r="K79" s="13">
        <f>((((VLOOKUP(B79,Database!$F:$AY,MATCH($K$1,Database!$F$1:$AY$1,),))))-(((VLOOKUP(EDATE(B79,-12),Database!$F:$AY,MATCH($K$1,Database!$F$1:$AY$1,),)))))/(((VLOOKUP(EDATE(B79,-12),Database!$F:$AY,MATCH($K$1,Database!$F$1:$AY$1,),))))</f>
        <v/>
      </c>
      <c r="L79" s="13">
        <f>((((VLOOKUP(B79,Database!$F:$AY,MATCH($L$1,Database!$F$1:$AY$1,),))))-(((VLOOKUP(EDATE(B79,-12),Database!$F:$AY,MATCH($L$1,Database!$F$1:$AY$1,),)))))/(((VLOOKUP(EDATE(B79,-12),Database!$F:$AY,MATCH($L$1,Database!$F$1:$AY$1,),))))</f>
        <v/>
      </c>
      <c r="M79" s="13">
        <f>((((VLOOKUP(B79,Database!$F:$AY,MATCH($M$1,Database!$F$1:$AY$1,),))))-(((VLOOKUP(EDATE(B79,-12),Database!$F:$AY,MATCH($M$1,Database!$F$1:$AY$1,),)))))/(((VLOOKUP(EDATE(B79,-12),Database!$F:$AY,MATCH($M$1,Database!$F$1:$AY$1,),))))</f>
        <v/>
      </c>
      <c r="N79" s="13">
        <f>((((VLOOKUP(B79,Database!$F:$AY,MATCH($N$1,Database!$F$1:$AY$1,),))))-(((VLOOKUP(EDATE(B79,-12),Database!$F:$AY,MATCH($N$1,Database!$F$1:$AY$1,),)))))/(((VLOOKUP(EDATE(B79,-12),Database!$F:$AY,MATCH($N$1,Database!$F$1:$AY$1,),))))</f>
        <v/>
      </c>
      <c r="O79" s="13">
        <f>((((VLOOKUP(B79,Database!$F:$AY,MATCH($O$1,Database!$F$1:$AY$1,),))))-(((VLOOKUP(EDATE(B79,-12),Database!$F:$AY,MATCH($O$1,Database!$F$1:$AY$1,),)))))/(((VLOOKUP(EDATE(B79,-12),Database!$F:$AY,MATCH($O$1,Database!$F$1:$AY$1,),))))</f>
        <v/>
      </c>
      <c r="P79" s="13">
        <f>((((VLOOKUP(B79,Database!$F:$AY,MATCH($P$1,Database!$F$1:$AY$1,),))))-(((VLOOKUP(EDATE(B79,-12),Database!$F:$AY,MATCH($P$1,Database!$F$1:$AY$1,),)))))/(((VLOOKUP(EDATE(B79,-12),Database!$F:$AY,MATCH($P$1,Database!$F$1:$AY$1,),))))</f>
        <v/>
      </c>
      <c r="Q79" s="13">
        <f>((((VLOOKUP(B79,Database!$F:$AY,MATCH($Q$1,Database!$F$1:$AY$1,),))))-(((VLOOKUP(EDATE(B79,-12),Database!$F:$AY,MATCH($Q$1,Database!$F$1:$AY$1,),)))))/(((VLOOKUP(EDATE(B79,-12),Database!$F:$AY,MATCH($Q$1,Database!$F$1:$AY$1,),))))</f>
        <v/>
      </c>
      <c r="R79" s="13">
        <f>((((VLOOKUP(B79,Database!$F:$AY,MATCH($R$1,Database!$F$1:$AY$1,),))))-(((VLOOKUP(EDATE(B79,-12),Database!$F:$AY,MATCH($R$1,Database!$F$1:$AY$1,),)))))/(((VLOOKUP(EDATE(B79,-12),Database!$F:$AY,MATCH($R$1,Database!$F$1:$AY$1,),))))</f>
        <v/>
      </c>
      <c r="S79" s="13">
        <f>((((VLOOKUP(B79,Database!$F:$AY,MATCH($S$1,Database!$F$1:$AY$1,),))))-(((VLOOKUP(EDATE(B79,-12),Database!$F:$AY,MATCH($S$1,Database!$F$1:$AY$1,),)))))/(((VLOOKUP(EDATE(B79,-12),Database!$F:$AY,MATCH($S$1,Database!$F$1:$AY$1,),))))</f>
        <v/>
      </c>
      <c r="T79" s="13">
        <f>((((VLOOKUP(B79,Database!$F:$AY,MATCH($T$1,Database!$F$1:$AY$1,),))))-(((VLOOKUP(EDATE(B79,-12),Database!$F:$AY,MATCH($T$1,Database!$F$1:$AY$1,),)))))/(((VLOOKUP(EDATE(B79,-12),Database!$F:$AY,MATCH($T$1,Database!$F$1:$AY$1,),))))</f>
        <v/>
      </c>
      <c r="U79" s="13">
        <f>((((VLOOKUP(B79,Database!$F:$AY,MATCH($U$1,Database!$F$1:$AY$1,),))))-(((VLOOKUP(EDATE(B79,-12),Database!$F:$AY,MATCH($U$1,Database!$F$1:$AY$1,),)))))/(((VLOOKUP(EDATE(B79,-12),Database!$F:$AY,MATCH($U$1,Database!$F$1:$AY$1,),))))</f>
        <v/>
      </c>
      <c r="V79" s="13">
        <f>((((VLOOKUP(B79,Database!$F:$AY,MATCH($V$1,Database!$F$1:$AY$1,),))))-(((VLOOKUP(EDATE(B79,-12),Database!$F:$AY,MATCH($V$1,Database!$F$1:$AY$1,),)))))/(((VLOOKUP(EDATE(B79,-12),Database!$F:$AY,MATCH($V$1,Database!$F$1:$AY$1,),))))</f>
        <v/>
      </c>
    </row>
    <row r="80" customFormat="1" s="100">
      <c r="A80" s="45" t="n"/>
      <c r="B80" s="46" t="n">
        <v>34578</v>
      </c>
      <c r="C80" s="13">
        <f>((((VLOOKUP(B80,Database!$F:$AY,MATCH($C$1,Database!$F$1:$AY$1,),))))-(((VLOOKUP(EDATE(B80,-12),Database!$F:$AY,MATCH($C$1,Database!$F$1:$AY$1,),)))))/(((VLOOKUP(EDATE(B80,-12),Database!$F:$AY,MATCH($C$1,Database!$F$1:$AY$1,),))))</f>
        <v/>
      </c>
      <c r="D80" s="13">
        <f>((((VLOOKUP(B80,Database!$F:$AY,MATCH($D$1,Database!$F$1:$AY$1,),))))-(((VLOOKUP(EDATE(B80,-12),Database!$F:$AY,MATCH($D$1,Database!$F$1:$AY$1,),)))))/(((VLOOKUP(EDATE(B80,-12),Database!$F:$AY,MATCH($D$1,Database!$F$1:$AY$1,),))))</f>
        <v/>
      </c>
      <c r="E80" s="13">
        <f>((((VLOOKUP(B80,Database!$F:$AY,MATCH($E$1,Database!$F$1:$AY$1,),))))-(((VLOOKUP(EDATE(B80,-12),Database!$F:$AY,MATCH($E$1,Database!$F$1:$AY$1,),)))))/(((VLOOKUP(EDATE(B80,-12),Database!$F:$AY,MATCH($E$1,Database!$F$1:$AY$1,),))))</f>
        <v/>
      </c>
      <c r="F80" s="13">
        <f>((((VLOOKUP(B80,Database!$F:$AY,MATCH($F$1,Database!$F$1:$AY$1,),))))-(((VLOOKUP(EDATE(B80,-12),Database!$F:$AY,MATCH($F$1,Database!$F$1:$AY$1,),)))))/(((VLOOKUP(EDATE(B80,-12),Database!$F:$AY,MATCH($F$1,Database!$F$1:$AY$1,),))))</f>
        <v/>
      </c>
      <c r="G80" s="13">
        <f>((((VLOOKUP(B80,Database!$F:$AY,MATCH($G$1,Database!$F$1:$AY$1,),))))-(((VLOOKUP(EDATE(B80,-12),Database!$F:$AY,MATCH($G$1,Database!$F$1:$AY$1,),)))))/(((VLOOKUP(EDATE(B80,-12),Database!$F:$AY,MATCH($G$1,Database!$F$1:$AY$1,),))))</f>
        <v/>
      </c>
      <c r="H80" s="13">
        <f>((((VLOOKUP(B80,Database!$F:$AY,MATCH($H$1,Database!$F$1:$AY$1,),))))-(((VLOOKUP(EDATE(B80,-12),Database!$F:$AY,MATCH($H$1,Database!$F$1:$AY$1,),)))))/(((VLOOKUP(EDATE(B80,-12),Database!$F:$AY,MATCH($H$1,Database!$F$1:$AY$1,),))))</f>
        <v/>
      </c>
      <c r="I80" s="13">
        <f>((((VLOOKUP(B80,Database!$F:$AY,MATCH($I$1,Database!$F$1:$AY$1,),))))-(((VLOOKUP(EDATE(B80,-12),Database!$F:$AY,MATCH($I$1,Database!$F$1:$AY$1,),)))))/(((VLOOKUP(EDATE(B80,-12),Database!$F:$AY,MATCH($I$1,Database!$F$1:$AY$1,),))))</f>
        <v/>
      </c>
      <c r="J80" s="13">
        <f>((((VLOOKUP(B80,Database!$F:$AY,MATCH($J$1,Database!$F$1:$AY$1,),))))-(((VLOOKUP(EDATE(B80,-12),Database!$F:$AY,MATCH($J$1,Database!$F$1:$AY$1,),)))))/(((VLOOKUP(EDATE(B80,-12),Database!$F:$AY,MATCH($J$1,Database!$F$1:$AY$1,),))))</f>
        <v/>
      </c>
      <c r="K80" s="13">
        <f>((((VLOOKUP(B80,Database!$F:$AY,MATCH($K$1,Database!$F$1:$AY$1,),))))-(((VLOOKUP(EDATE(B80,-12),Database!$F:$AY,MATCH($K$1,Database!$F$1:$AY$1,),)))))/(((VLOOKUP(EDATE(B80,-12),Database!$F:$AY,MATCH($K$1,Database!$F$1:$AY$1,),))))</f>
        <v/>
      </c>
      <c r="L80" s="13">
        <f>((((VLOOKUP(B80,Database!$F:$AY,MATCH($L$1,Database!$F$1:$AY$1,),))))-(((VLOOKUP(EDATE(B80,-12),Database!$F:$AY,MATCH($L$1,Database!$F$1:$AY$1,),)))))/(((VLOOKUP(EDATE(B80,-12),Database!$F:$AY,MATCH($L$1,Database!$F$1:$AY$1,),))))</f>
        <v/>
      </c>
      <c r="M80" s="13">
        <f>((((VLOOKUP(B80,Database!$F:$AY,MATCH($M$1,Database!$F$1:$AY$1,),))))-(((VLOOKUP(EDATE(B80,-12),Database!$F:$AY,MATCH($M$1,Database!$F$1:$AY$1,),)))))/(((VLOOKUP(EDATE(B80,-12),Database!$F:$AY,MATCH($M$1,Database!$F$1:$AY$1,),))))</f>
        <v/>
      </c>
      <c r="N80" s="13">
        <f>((((VLOOKUP(B80,Database!$F:$AY,MATCH($N$1,Database!$F$1:$AY$1,),))))-(((VLOOKUP(EDATE(B80,-12),Database!$F:$AY,MATCH($N$1,Database!$F$1:$AY$1,),)))))/(((VLOOKUP(EDATE(B80,-12),Database!$F:$AY,MATCH($N$1,Database!$F$1:$AY$1,),))))</f>
        <v/>
      </c>
      <c r="O80" s="13">
        <f>((((VLOOKUP(B80,Database!$F:$AY,MATCH($O$1,Database!$F$1:$AY$1,),))))-(((VLOOKUP(EDATE(B80,-12),Database!$F:$AY,MATCH($O$1,Database!$F$1:$AY$1,),)))))/(((VLOOKUP(EDATE(B80,-12),Database!$F:$AY,MATCH($O$1,Database!$F$1:$AY$1,),))))</f>
        <v/>
      </c>
      <c r="P80" s="13">
        <f>((((VLOOKUP(B80,Database!$F:$AY,MATCH($P$1,Database!$F$1:$AY$1,),))))-(((VLOOKUP(EDATE(B80,-12),Database!$F:$AY,MATCH($P$1,Database!$F$1:$AY$1,),)))))/(((VLOOKUP(EDATE(B80,-12),Database!$F:$AY,MATCH($P$1,Database!$F$1:$AY$1,),))))</f>
        <v/>
      </c>
      <c r="Q80" s="13">
        <f>((((VLOOKUP(B80,Database!$F:$AY,MATCH($Q$1,Database!$F$1:$AY$1,),))))-(((VLOOKUP(EDATE(B80,-12),Database!$F:$AY,MATCH($Q$1,Database!$F$1:$AY$1,),)))))/(((VLOOKUP(EDATE(B80,-12),Database!$F:$AY,MATCH($Q$1,Database!$F$1:$AY$1,),))))</f>
        <v/>
      </c>
      <c r="R80" s="13">
        <f>((((VLOOKUP(B80,Database!$F:$AY,MATCH($R$1,Database!$F$1:$AY$1,),))))-(((VLOOKUP(EDATE(B80,-12),Database!$F:$AY,MATCH($R$1,Database!$F$1:$AY$1,),)))))/(((VLOOKUP(EDATE(B80,-12),Database!$F:$AY,MATCH($R$1,Database!$F$1:$AY$1,),))))</f>
        <v/>
      </c>
      <c r="S80" s="13">
        <f>((((VLOOKUP(B80,Database!$F:$AY,MATCH($S$1,Database!$F$1:$AY$1,),))))-(((VLOOKUP(EDATE(B80,-12),Database!$F:$AY,MATCH($S$1,Database!$F$1:$AY$1,),)))))/(((VLOOKUP(EDATE(B80,-12),Database!$F:$AY,MATCH($S$1,Database!$F$1:$AY$1,),))))</f>
        <v/>
      </c>
      <c r="T80" s="13">
        <f>((((VLOOKUP(B80,Database!$F:$AY,MATCH($T$1,Database!$F$1:$AY$1,),))))-(((VLOOKUP(EDATE(B80,-12),Database!$F:$AY,MATCH($T$1,Database!$F$1:$AY$1,),)))))/(((VLOOKUP(EDATE(B80,-12),Database!$F:$AY,MATCH($T$1,Database!$F$1:$AY$1,),))))</f>
        <v/>
      </c>
      <c r="U80" s="13">
        <f>((((VLOOKUP(B80,Database!$F:$AY,MATCH($U$1,Database!$F$1:$AY$1,),))))-(((VLOOKUP(EDATE(B80,-12),Database!$F:$AY,MATCH($U$1,Database!$F$1:$AY$1,),)))))/(((VLOOKUP(EDATE(B80,-12),Database!$F:$AY,MATCH($U$1,Database!$F$1:$AY$1,),))))</f>
        <v/>
      </c>
      <c r="V80" s="13">
        <f>((((VLOOKUP(B80,Database!$F:$AY,MATCH($V$1,Database!$F$1:$AY$1,),))))-(((VLOOKUP(EDATE(B80,-12),Database!$F:$AY,MATCH($V$1,Database!$F$1:$AY$1,),)))))/(((VLOOKUP(EDATE(B80,-12),Database!$F:$AY,MATCH($V$1,Database!$F$1:$AY$1,),))))</f>
        <v/>
      </c>
    </row>
    <row r="81" customFormat="1" s="100">
      <c r="A81" s="45" t="n"/>
      <c r="B81" s="46" t="n">
        <v>34608</v>
      </c>
      <c r="C81" s="13">
        <f>((((VLOOKUP(B81,Database!$F:$AY,MATCH($C$1,Database!$F$1:$AY$1,),))))-(((VLOOKUP(EDATE(B81,-12),Database!$F:$AY,MATCH($C$1,Database!$F$1:$AY$1,),)))))/(((VLOOKUP(EDATE(B81,-12),Database!$F:$AY,MATCH($C$1,Database!$F$1:$AY$1,),))))</f>
        <v/>
      </c>
      <c r="D81" s="13">
        <f>((((VLOOKUP(B81,Database!$F:$AY,MATCH($D$1,Database!$F$1:$AY$1,),))))-(((VLOOKUP(EDATE(B81,-12),Database!$F:$AY,MATCH($D$1,Database!$F$1:$AY$1,),)))))/(((VLOOKUP(EDATE(B81,-12),Database!$F:$AY,MATCH($D$1,Database!$F$1:$AY$1,),))))</f>
        <v/>
      </c>
      <c r="E81" s="13">
        <f>((((VLOOKUP(B81,Database!$F:$AY,MATCH($E$1,Database!$F$1:$AY$1,),))))-(((VLOOKUP(EDATE(B81,-12),Database!$F:$AY,MATCH($E$1,Database!$F$1:$AY$1,),)))))/(((VLOOKUP(EDATE(B81,-12),Database!$F:$AY,MATCH($E$1,Database!$F$1:$AY$1,),))))</f>
        <v/>
      </c>
      <c r="F81" s="13">
        <f>((((VLOOKUP(B81,Database!$F:$AY,MATCH($F$1,Database!$F$1:$AY$1,),))))-(((VLOOKUP(EDATE(B81,-12),Database!$F:$AY,MATCH($F$1,Database!$F$1:$AY$1,),)))))/(((VLOOKUP(EDATE(B81,-12),Database!$F:$AY,MATCH($F$1,Database!$F$1:$AY$1,),))))</f>
        <v/>
      </c>
      <c r="G81" s="13">
        <f>((((VLOOKUP(B81,Database!$F:$AY,MATCH($G$1,Database!$F$1:$AY$1,),))))-(((VLOOKUP(EDATE(B81,-12),Database!$F:$AY,MATCH($G$1,Database!$F$1:$AY$1,),)))))/(((VLOOKUP(EDATE(B81,-12),Database!$F:$AY,MATCH($G$1,Database!$F$1:$AY$1,),))))</f>
        <v/>
      </c>
      <c r="H81" s="13">
        <f>((((VLOOKUP(B81,Database!$F:$AY,MATCH($H$1,Database!$F$1:$AY$1,),))))-(((VLOOKUP(EDATE(B81,-12),Database!$F:$AY,MATCH($H$1,Database!$F$1:$AY$1,),)))))/(((VLOOKUP(EDATE(B81,-12),Database!$F:$AY,MATCH($H$1,Database!$F$1:$AY$1,),))))</f>
        <v/>
      </c>
      <c r="I81" s="13">
        <f>((((VLOOKUP(B81,Database!$F:$AY,MATCH($I$1,Database!$F$1:$AY$1,),))))-(((VLOOKUP(EDATE(B81,-12),Database!$F:$AY,MATCH($I$1,Database!$F$1:$AY$1,),)))))/(((VLOOKUP(EDATE(B81,-12),Database!$F:$AY,MATCH($I$1,Database!$F$1:$AY$1,),))))</f>
        <v/>
      </c>
      <c r="J81" s="13">
        <f>((((VLOOKUP(B81,Database!$F:$AY,MATCH($J$1,Database!$F$1:$AY$1,),))))-(((VLOOKUP(EDATE(B81,-12),Database!$F:$AY,MATCH($J$1,Database!$F$1:$AY$1,),)))))/(((VLOOKUP(EDATE(B81,-12),Database!$F:$AY,MATCH($J$1,Database!$F$1:$AY$1,),))))</f>
        <v/>
      </c>
      <c r="K81" s="13">
        <f>((((VLOOKUP(B81,Database!$F:$AY,MATCH($K$1,Database!$F$1:$AY$1,),))))-(((VLOOKUP(EDATE(B81,-12),Database!$F:$AY,MATCH($K$1,Database!$F$1:$AY$1,),)))))/(((VLOOKUP(EDATE(B81,-12),Database!$F:$AY,MATCH($K$1,Database!$F$1:$AY$1,),))))</f>
        <v/>
      </c>
      <c r="L81" s="13">
        <f>((((VLOOKUP(B81,Database!$F:$AY,MATCH($L$1,Database!$F$1:$AY$1,),))))-(((VLOOKUP(EDATE(B81,-12),Database!$F:$AY,MATCH($L$1,Database!$F$1:$AY$1,),)))))/(((VLOOKUP(EDATE(B81,-12),Database!$F:$AY,MATCH($L$1,Database!$F$1:$AY$1,),))))</f>
        <v/>
      </c>
      <c r="M81" s="13">
        <f>((((VLOOKUP(B81,Database!$F:$AY,MATCH($M$1,Database!$F$1:$AY$1,),))))-(((VLOOKUP(EDATE(B81,-12),Database!$F:$AY,MATCH($M$1,Database!$F$1:$AY$1,),)))))/(((VLOOKUP(EDATE(B81,-12),Database!$F:$AY,MATCH($M$1,Database!$F$1:$AY$1,),))))</f>
        <v/>
      </c>
      <c r="N81" s="13">
        <f>((((VLOOKUP(B81,Database!$F:$AY,MATCH($N$1,Database!$F$1:$AY$1,),))))-(((VLOOKUP(EDATE(B81,-12),Database!$F:$AY,MATCH($N$1,Database!$F$1:$AY$1,),)))))/(((VLOOKUP(EDATE(B81,-12),Database!$F:$AY,MATCH($N$1,Database!$F$1:$AY$1,),))))</f>
        <v/>
      </c>
      <c r="O81" s="13">
        <f>((((VLOOKUP(B81,Database!$F:$AY,MATCH($O$1,Database!$F$1:$AY$1,),))))-(((VLOOKUP(EDATE(B81,-12),Database!$F:$AY,MATCH($O$1,Database!$F$1:$AY$1,),)))))/(((VLOOKUP(EDATE(B81,-12),Database!$F:$AY,MATCH($O$1,Database!$F$1:$AY$1,),))))</f>
        <v/>
      </c>
      <c r="P81" s="13">
        <f>((((VLOOKUP(B81,Database!$F:$AY,MATCH($P$1,Database!$F$1:$AY$1,),))))-(((VLOOKUP(EDATE(B81,-12),Database!$F:$AY,MATCH($P$1,Database!$F$1:$AY$1,),)))))/(((VLOOKUP(EDATE(B81,-12),Database!$F:$AY,MATCH($P$1,Database!$F$1:$AY$1,),))))</f>
        <v/>
      </c>
      <c r="Q81" s="13">
        <f>((((VLOOKUP(B81,Database!$F:$AY,MATCH($Q$1,Database!$F$1:$AY$1,),))))-(((VLOOKUP(EDATE(B81,-12),Database!$F:$AY,MATCH($Q$1,Database!$F$1:$AY$1,),)))))/(((VLOOKUP(EDATE(B81,-12),Database!$F:$AY,MATCH($Q$1,Database!$F$1:$AY$1,),))))</f>
        <v/>
      </c>
      <c r="R81" s="13">
        <f>((((VLOOKUP(B81,Database!$F:$AY,MATCH($R$1,Database!$F$1:$AY$1,),))))-(((VLOOKUP(EDATE(B81,-12),Database!$F:$AY,MATCH($R$1,Database!$F$1:$AY$1,),)))))/(((VLOOKUP(EDATE(B81,-12),Database!$F:$AY,MATCH($R$1,Database!$F$1:$AY$1,),))))</f>
        <v/>
      </c>
      <c r="S81" s="13">
        <f>((((VLOOKUP(B81,Database!$F:$AY,MATCH($S$1,Database!$F$1:$AY$1,),))))-(((VLOOKUP(EDATE(B81,-12),Database!$F:$AY,MATCH($S$1,Database!$F$1:$AY$1,),)))))/(((VLOOKUP(EDATE(B81,-12),Database!$F:$AY,MATCH($S$1,Database!$F$1:$AY$1,),))))</f>
        <v/>
      </c>
      <c r="T81" s="13">
        <f>((((VLOOKUP(B81,Database!$F:$AY,MATCH($T$1,Database!$F$1:$AY$1,),))))-(((VLOOKUP(EDATE(B81,-12),Database!$F:$AY,MATCH($T$1,Database!$F$1:$AY$1,),)))))/(((VLOOKUP(EDATE(B81,-12),Database!$F:$AY,MATCH($T$1,Database!$F$1:$AY$1,),))))</f>
        <v/>
      </c>
      <c r="U81" s="13">
        <f>((((VLOOKUP(B81,Database!$F:$AY,MATCH($U$1,Database!$F$1:$AY$1,),))))-(((VLOOKUP(EDATE(B81,-12),Database!$F:$AY,MATCH($U$1,Database!$F$1:$AY$1,),)))))/(((VLOOKUP(EDATE(B81,-12),Database!$F:$AY,MATCH($U$1,Database!$F$1:$AY$1,),))))</f>
        <v/>
      </c>
      <c r="V81" s="13">
        <f>((((VLOOKUP(B81,Database!$F:$AY,MATCH($V$1,Database!$F$1:$AY$1,),))))-(((VLOOKUP(EDATE(B81,-12),Database!$F:$AY,MATCH($V$1,Database!$F$1:$AY$1,),)))))/(((VLOOKUP(EDATE(B81,-12),Database!$F:$AY,MATCH($V$1,Database!$F$1:$AY$1,),))))</f>
        <v/>
      </c>
    </row>
    <row r="82" customFormat="1" s="100">
      <c r="A82" s="45" t="n"/>
      <c r="B82" s="46" t="n">
        <v>34639</v>
      </c>
      <c r="C82" s="13">
        <f>((((VLOOKUP(B82,Database!$F:$AY,MATCH($C$1,Database!$F$1:$AY$1,),))))-(((VLOOKUP(EDATE(B82,-12),Database!$F:$AY,MATCH($C$1,Database!$F$1:$AY$1,),)))))/(((VLOOKUP(EDATE(B82,-12),Database!$F:$AY,MATCH($C$1,Database!$F$1:$AY$1,),))))</f>
        <v/>
      </c>
      <c r="D82" s="13">
        <f>((((VLOOKUP(B82,Database!$F:$AY,MATCH($D$1,Database!$F$1:$AY$1,),))))-(((VLOOKUP(EDATE(B82,-12),Database!$F:$AY,MATCH($D$1,Database!$F$1:$AY$1,),)))))/(((VLOOKUP(EDATE(B82,-12),Database!$F:$AY,MATCH($D$1,Database!$F$1:$AY$1,),))))</f>
        <v/>
      </c>
      <c r="E82" s="13">
        <f>((((VLOOKUP(B82,Database!$F:$AY,MATCH($E$1,Database!$F$1:$AY$1,),))))-(((VLOOKUP(EDATE(B82,-12),Database!$F:$AY,MATCH($E$1,Database!$F$1:$AY$1,),)))))/(((VLOOKUP(EDATE(B82,-12),Database!$F:$AY,MATCH($E$1,Database!$F$1:$AY$1,),))))</f>
        <v/>
      </c>
      <c r="F82" s="13">
        <f>((((VLOOKUP(B82,Database!$F:$AY,MATCH($F$1,Database!$F$1:$AY$1,),))))-(((VLOOKUP(EDATE(B82,-12),Database!$F:$AY,MATCH($F$1,Database!$F$1:$AY$1,),)))))/(((VLOOKUP(EDATE(B82,-12),Database!$F:$AY,MATCH($F$1,Database!$F$1:$AY$1,),))))</f>
        <v/>
      </c>
      <c r="G82" s="13">
        <f>((((VLOOKUP(B82,Database!$F:$AY,MATCH($G$1,Database!$F$1:$AY$1,),))))-(((VLOOKUP(EDATE(B82,-12),Database!$F:$AY,MATCH($G$1,Database!$F$1:$AY$1,),)))))/(((VLOOKUP(EDATE(B82,-12),Database!$F:$AY,MATCH($G$1,Database!$F$1:$AY$1,),))))</f>
        <v/>
      </c>
      <c r="H82" s="13">
        <f>((((VLOOKUP(B82,Database!$F:$AY,MATCH($H$1,Database!$F$1:$AY$1,),))))-(((VLOOKUP(EDATE(B82,-12),Database!$F:$AY,MATCH($H$1,Database!$F$1:$AY$1,),)))))/(((VLOOKUP(EDATE(B82,-12),Database!$F:$AY,MATCH($H$1,Database!$F$1:$AY$1,),))))</f>
        <v/>
      </c>
      <c r="I82" s="13">
        <f>((((VLOOKUP(B82,Database!$F:$AY,MATCH($I$1,Database!$F$1:$AY$1,),))))-(((VLOOKUP(EDATE(B82,-12),Database!$F:$AY,MATCH($I$1,Database!$F$1:$AY$1,),)))))/(((VLOOKUP(EDATE(B82,-12),Database!$F:$AY,MATCH($I$1,Database!$F$1:$AY$1,),))))</f>
        <v/>
      </c>
      <c r="J82" s="13">
        <f>((((VLOOKUP(B82,Database!$F:$AY,MATCH($J$1,Database!$F$1:$AY$1,),))))-(((VLOOKUP(EDATE(B82,-12),Database!$F:$AY,MATCH($J$1,Database!$F$1:$AY$1,),)))))/(((VLOOKUP(EDATE(B82,-12),Database!$F:$AY,MATCH($J$1,Database!$F$1:$AY$1,),))))</f>
        <v/>
      </c>
      <c r="K82" s="13">
        <f>((((VLOOKUP(B82,Database!$F:$AY,MATCH($K$1,Database!$F$1:$AY$1,),))))-(((VLOOKUP(EDATE(B82,-12),Database!$F:$AY,MATCH($K$1,Database!$F$1:$AY$1,),)))))/(((VLOOKUP(EDATE(B82,-12),Database!$F:$AY,MATCH($K$1,Database!$F$1:$AY$1,),))))</f>
        <v/>
      </c>
      <c r="L82" s="13">
        <f>((((VLOOKUP(B82,Database!$F:$AY,MATCH($L$1,Database!$F$1:$AY$1,),))))-(((VLOOKUP(EDATE(B82,-12),Database!$F:$AY,MATCH($L$1,Database!$F$1:$AY$1,),)))))/(((VLOOKUP(EDATE(B82,-12),Database!$F:$AY,MATCH($L$1,Database!$F$1:$AY$1,),))))</f>
        <v/>
      </c>
      <c r="M82" s="13">
        <f>((((VLOOKUP(B82,Database!$F:$AY,MATCH($M$1,Database!$F$1:$AY$1,),))))-(((VLOOKUP(EDATE(B82,-12),Database!$F:$AY,MATCH($M$1,Database!$F$1:$AY$1,),)))))/(((VLOOKUP(EDATE(B82,-12),Database!$F:$AY,MATCH($M$1,Database!$F$1:$AY$1,),))))</f>
        <v/>
      </c>
      <c r="N82" s="13">
        <f>((((VLOOKUP(B82,Database!$F:$AY,MATCH($N$1,Database!$F$1:$AY$1,),))))-(((VLOOKUP(EDATE(B82,-12),Database!$F:$AY,MATCH($N$1,Database!$F$1:$AY$1,),)))))/(((VLOOKUP(EDATE(B82,-12),Database!$F:$AY,MATCH($N$1,Database!$F$1:$AY$1,),))))</f>
        <v/>
      </c>
      <c r="O82" s="13">
        <f>((((VLOOKUP(B82,Database!$F:$AY,MATCH($O$1,Database!$F$1:$AY$1,),))))-(((VLOOKUP(EDATE(B82,-12),Database!$F:$AY,MATCH($O$1,Database!$F$1:$AY$1,),)))))/(((VLOOKUP(EDATE(B82,-12),Database!$F:$AY,MATCH($O$1,Database!$F$1:$AY$1,),))))</f>
        <v/>
      </c>
      <c r="P82" s="13">
        <f>((((VLOOKUP(B82,Database!$F:$AY,MATCH($P$1,Database!$F$1:$AY$1,),))))-(((VLOOKUP(EDATE(B82,-12),Database!$F:$AY,MATCH($P$1,Database!$F$1:$AY$1,),)))))/(((VLOOKUP(EDATE(B82,-12),Database!$F:$AY,MATCH($P$1,Database!$F$1:$AY$1,),))))</f>
        <v/>
      </c>
      <c r="Q82" s="13">
        <f>((((VLOOKUP(B82,Database!$F:$AY,MATCH($Q$1,Database!$F$1:$AY$1,),))))-(((VLOOKUP(EDATE(B82,-12),Database!$F:$AY,MATCH($Q$1,Database!$F$1:$AY$1,),)))))/(((VLOOKUP(EDATE(B82,-12),Database!$F:$AY,MATCH($Q$1,Database!$F$1:$AY$1,),))))</f>
        <v/>
      </c>
      <c r="R82" s="13">
        <f>((((VLOOKUP(B82,Database!$F:$AY,MATCH($R$1,Database!$F$1:$AY$1,),))))-(((VLOOKUP(EDATE(B82,-12),Database!$F:$AY,MATCH($R$1,Database!$F$1:$AY$1,),)))))/(((VLOOKUP(EDATE(B82,-12),Database!$F:$AY,MATCH($R$1,Database!$F$1:$AY$1,),))))</f>
        <v/>
      </c>
      <c r="S82" s="13">
        <f>((((VLOOKUP(B82,Database!$F:$AY,MATCH($S$1,Database!$F$1:$AY$1,),))))-(((VLOOKUP(EDATE(B82,-12),Database!$F:$AY,MATCH($S$1,Database!$F$1:$AY$1,),)))))/(((VLOOKUP(EDATE(B82,-12),Database!$F:$AY,MATCH($S$1,Database!$F$1:$AY$1,),))))</f>
        <v/>
      </c>
      <c r="T82" s="13">
        <f>((((VLOOKUP(B82,Database!$F:$AY,MATCH($T$1,Database!$F$1:$AY$1,),))))-(((VLOOKUP(EDATE(B82,-12),Database!$F:$AY,MATCH($T$1,Database!$F$1:$AY$1,),)))))/(((VLOOKUP(EDATE(B82,-12),Database!$F:$AY,MATCH($T$1,Database!$F$1:$AY$1,),))))</f>
        <v/>
      </c>
      <c r="U82" s="13">
        <f>((((VLOOKUP(B82,Database!$F:$AY,MATCH($U$1,Database!$F$1:$AY$1,),))))-(((VLOOKUP(EDATE(B82,-12),Database!$F:$AY,MATCH($U$1,Database!$F$1:$AY$1,),)))))/(((VLOOKUP(EDATE(B82,-12),Database!$F:$AY,MATCH($U$1,Database!$F$1:$AY$1,),))))</f>
        <v/>
      </c>
      <c r="V82" s="13">
        <f>((((VLOOKUP(B82,Database!$F:$AY,MATCH($V$1,Database!$F$1:$AY$1,),))))-(((VLOOKUP(EDATE(B82,-12),Database!$F:$AY,MATCH($V$1,Database!$F$1:$AY$1,),)))))/(((VLOOKUP(EDATE(B82,-12),Database!$F:$AY,MATCH($V$1,Database!$F$1:$AY$1,),))))</f>
        <v/>
      </c>
    </row>
    <row r="83" customFormat="1" s="100">
      <c r="A83" s="45" t="n"/>
      <c r="B83" s="46" t="n">
        <v>34669</v>
      </c>
      <c r="C83" s="13">
        <f>((((VLOOKUP(B83,Database!$F:$AY,MATCH($C$1,Database!$F$1:$AY$1,),))))-(((VLOOKUP(EDATE(B83,-12),Database!$F:$AY,MATCH($C$1,Database!$F$1:$AY$1,),)))))/(((VLOOKUP(EDATE(B83,-12),Database!$F:$AY,MATCH($C$1,Database!$F$1:$AY$1,),))))</f>
        <v/>
      </c>
      <c r="D83" s="13">
        <f>((((VLOOKUP(B83,Database!$F:$AY,MATCH($D$1,Database!$F$1:$AY$1,),))))-(((VLOOKUP(EDATE(B83,-12),Database!$F:$AY,MATCH($D$1,Database!$F$1:$AY$1,),)))))/(((VLOOKUP(EDATE(B83,-12),Database!$F:$AY,MATCH($D$1,Database!$F$1:$AY$1,),))))</f>
        <v/>
      </c>
      <c r="E83" s="13">
        <f>((((VLOOKUP(B83,Database!$F:$AY,MATCH($E$1,Database!$F$1:$AY$1,),))))-(((VLOOKUP(EDATE(B83,-12),Database!$F:$AY,MATCH($E$1,Database!$F$1:$AY$1,),)))))/(((VLOOKUP(EDATE(B83,-12),Database!$F:$AY,MATCH($E$1,Database!$F$1:$AY$1,),))))</f>
        <v/>
      </c>
      <c r="F83" s="13">
        <f>((((VLOOKUP(B83,Database!$F:$AY,MATCH($F$1,Database!$F$1:$AY$1,),))))-(((VLOOKUP(EDATE(B83,-12),Database!$F:$AY,MATCH($F$1,Database!$F$1:$AY$1,),)))))/(((VLOOKUP(EDATE(B83,-12),Database!$F:$AY,MATCH($F$1,Database!$F$1:$AY$1,),))))</f>
        <v/>
      </c>
      <c r="G83" s="13">
        <f>((((VLOOKUP(B83,Database!$F:$AY,MATCH($G$1,Database!$F$1:$AY$1,),))))-(((VLOOKUP(EDATE(B83,-12),Database!$F:$AY,MATCH($G$1,Database!$F$1:$AY$1,),)))))/(((VLOOKUP(EDATE(B83,-12),Database!$F:$AY,MATCH($G$1,Database!$F$1:$AY$1,),))))</f>
        <v/>
      </c>
      <c r="H83" s="13">
        <f>((((VLOOKUP(B83,Database!$F:$AY,MATCH($H$1,Database!$F$1:$AY$1,),))))-(((VLOOKUP(EDATE(B83,-12),Database!$F:$AY,MATCH($H$1,Database!$F$1:$AY$1,),)))))/(((VLOOKUP(EDATE(B83,-12),Database!$F:$AY,MATCH($H$1,Database!$F$1:$AY$1,),))))</f>
        <v/>
      </c>
      <c r="I83" s="13">
        <f>((((VLOOKUP(B83,Database!$F:$AY,MATCH($I$1,Database!$F$1:$AY$1,),))))-(((VLOOKUP(EDATE(B83,-12),Database!$F:$AY,MATCH($I$1,Database!$F$1:$AY$1,),)))))/(((VLOOKUP(EDATE(B83,-12),Database!$F:$AY,MATCH($I$1,Database!$F$1:$AY$1,),))))</f>
        <v/>
      </c>
      <c r="J83" s="13">
        <f>((((VLOOKUP(B83,Database!$F:$AY,MATCH($J$1,Database!$F$1:$AY$1,),))))-(((VLOOKUP(EDATE(B83,-12),Database!$F:$AY,MATCH($J$1,Database!$F$1:$AY$1,),)))))/(((VLOOKUP(EDATE(B83,-12),Database!$F:$AY,MATCH($J$1,Database!$F$1:$AY$1,),))))</f>
        <v/>
      </c>
      <c r="K83" s="13">
        <f>((((VLOOKUP(B83,Database!$F:$AY,MATCH($K$1,Database!$F$1:$AY$1,),))))-(((VLOOKUP(EDATE(B83,-12),Database!$F:$AY,MATCH($K$1,Database!$F$1:$AY$1,),)))))/(((VLOOKUP(EDATE(B83,-12),Database!$F:$AY,MATCH($K$1,Database!$F$1:$AY$1,),))))</f>
        <v/>
      </c>
      <c r="L83" s="13">
        <f>((((VLOOKUP(B83,Database!$F:$AY,MATCH($L$1,Database!$F$1:$AY$1,),))))-(((VLOOKUP(EDATE(B83,-12),Database!$F:$AY,MATCH($L$1,Database!$F$1:$AY$1,),)))))/(((VLOOKUP(EDATE(B83,-12),Database!$F:$AY,MATCH($L$1,Database!$F$1:$AY$1,),))))</f>
        <v/>
      </c>
      <c r="M83" s="13">
        <f>((((VLOOKUP(B83,Database!$F:$AY,MATCH($M$1,Database!$F$1:$AY$1,),))))-(((VLOOKUP(EDATE(B83,-12),Database!$F:$AY,MATCH($M$1,Database!$F$1:$AY$1,),)))))/(((VLOOKUP(EDATE(B83,-12),Database!$F:$AY,MATCH($M$1,Database!$F$1:$AY$1,),))))</f>
        <v/>
      </c>
      <c r="N83" s="13">
        <f>((((VLOOKUP(B83,Database!$F:$AY,MATCH($N$1,Database!$F$1:$AY$1,),))))-(((VLOOKUP(EDATE(B83,-12),Database!$F:$AY,MATCH($N$1,Database!$F$1:$AY$1,),)))))/(((VLOOKUP(EDATE(B83,-12),Database!$F:$AY,MATCH($N$1,Database!$F$1:$AY$1,),))))</f>
        <v/>
      </c>
      <c r="O83" s="13">
        <f>((((VLOOKUP(B83,Database!$F:$AY,MATCH($O$1,Database!$F$1:$AY$1,),))))-(((VLOOKUP(EDATE(B83,-12),Database!$F:$AY,MATCH($O$1,Database!$F$1:$AY$1,),)))))/(((VLOOKUP(EDATE(B83,-12),Database!$F:$AY,MATCH($O$1,Database!$F$1:$AY$1,),))))</f>
        <v/>
      </c>
      <c r="P83" s="13">
        <f>((((VLOOKUP(B83,Database!$F:$AY,MATCH($P$1,Database!$F$1:$AY$1,),))))-(((VLOOKUP(EDATE(B83,-12),Database!$F:$AY,MATCH($P$1,Database!$F$1:$AY$1,),)))))/(((VLOOKUP(EDATE(B83,-12),Database!$F:$AY,MATCH($P$1,Database!$F$1:$AY$1,),))))</f>
        <v/>
      </c>
      <c r="Q83" s="13">
        <f>((((VLOOKUP(B83,Database!$F:$AY,MATCH($Q$1,Database!$F$1:$AY$1,),))))-(((VLOOKUP(EDATE(B83,-12),Database!$F:$AY,MATCH($Q$1,Database!$F$1:$AY$1,),)))))/(((VLOOKUP(EDATE(B83,-12),Database!$F:$AY,MATCH($Q$1,Database!$F$1:$AY$1,),))))</f>
        <v/>
      </c>
      <c r="R83" s="13">
        <f>((((VLOOKUP(B83,Database!$F:$AY,MATCH($R$1,Database!$F$1:$AY$1,),))))-(((VLOOKUP(EDATE(B83,-12),Database!$F:$AY,MATCH($R$1,Database!$F$1:$AY$1,),)))))/(((VLOOKUP(EDATE(B83,-12),Database!$F:$AY,MATCH($R$1,Database!$F$1:$AY$1,),))))</f>
        <v/>
      </c>
      <c r="S83" s="13">
        <f>((((VLOOKUP(B83,Database!$F:$AY,MATCH($S$1,Database!$F$1:$AY$1,),))))-(((VLOOKUP(EDATE(B83,-12),Database!$F:$AY,MATCH($S$1,Database!$F$1:$AY$1,),)))))/(((VLOOKUP(EDATE(B83,-12),Database!$F:$AY,MATCH($S$1,Database!$F$1:$AY$1,),))))</f>
        <v/>
      </c>
      <c r="T83" s="13">
        <f>((((VLOOKUP(B83,Database!$F:$AY,MATCH($T$1,Database!$F$1:$AY$1,),))))-(((VLOOKUP(EDATE(B83,-12),Database!$F:$AY,MATCH($T$1,Database!$F$1:$AY$1,),)))))/(((VLOOKUP(EDATE(B83,-12),Database!$F:$AY,MATCH($T$1,Database!$F$1:$AY$1,),))))</f>
        <v/>
      </c>
      <c r="U83" s="13">
        <f>((((VLOOKUP(B83,Database!$F:$AY,MATCH($U$1,Database!$F$1:$AY$1,),))))-(((VLOOKUP(EDATE(B83,-12),Database!$F:$AY,MATCH($U$1,Database!$F$1:$AY$1,),)))))/(((VLOOKUP(EDATE(B83,-12),Database!$F:$AY,MATCH($U$1,Database!$F$1:$AY$1,),))))</f>
        <v/>
      </c>
      <c r="V83" s="13">
        <f>((((VLOOKUP(B83,Database!$F:$AY,MATCH($V$1,Database!$F$1:$AY$1,),))))-(((VLOOKUP(EDATE(B83,-12),Database!$F:$AY,MATCH($V$1,Database!$F$1:$AY$1,),)))))/(((VLOOKUP(EDATE(B83,-12),Database!$F:$AY,MATCH($V$1,Database!$F$1:$AY$1,),))))</f>
        <v/>
      </c>
    </row>
    <row r="84" customFormat="1" s="100">
      <c r="A84" s="45" t="n"/>
      <c r="B84" s="46" t="n">
        <v>34700</v>
      </c>
      <c r="C84" s="13">
        <f>((((VLOOKUP(B84,Database!$F:$AY,MATCH($C$1,Database!$F$1:$AY$1,),))))-(((VLOOKUP(EDATE(B84,-12),Database!$F:$AY,MATCH($C$1,Database!$F$1:$AY$1,),)))))/(((VLOOKUP(EDATE(B84,-12),Database!$F:$AY,MATCH($C$1,Database!$F$1:$AY$1,),))))</f>
        <v/>
      </c>
      <c r="D84" s="13">
        <f>((((VLOOKUP(B84,Database!$F:$AY,MATCH($D$1,Database!$F$1:$AY$1,),))))-(((VLOOKUP(EDATE(B84,-12),Database!$F:$AY,MATCH($D$1,Database!$F$1:$AY$1,),)))))/(((VLOOKUP(EDATE(B84,-12),Database!$F:$AY,MATCH($D$1,Database!$F$1:$AY$1,),))))</f>
        <v/>
      </c>
      <c r="E84" s="13">
        <f>((((VLOOKUP(B84,Database!$F:$AY,MATCH($E$1,Database!$F$1:$AY$1,),))))-(((VLOOKUP(EDATE(B84,-12),Database!$F:$AY,MATCH($E$1,Database!$F$1:$AY$1,),)))))/(((VLOOKUP(EDATE(B84,-12),Database!$F:$AY,MATCH($E$1,Database!$F$1:$AY$1,),))))</f>
        <v/>
      </c>
      <c r="F84" s="13">
        <f>((((VLOOKUP(B84,Database!$F:$AY,MATCH($F$1,Database!$F$1:$AY$1,),))))-(((VLOOKUP(EDATE(B84,-12),Database!$F:$AY,MATCH($F$1,Database!$F$1:$AY$1,),)))))/(((VLOOKUP(EDATE(B84,-12),Database!$F:$AY,MATCH($F$1,Database!$F$1:$AY$1,),))))</f>
        <v/>
      </c>
      <c r="G84" s="13">
        <f>((((VLOOKUP(B84,Database!$F:$AY,MATCH($G$1,Database!$F$1:$AY$1,),))))-(((VLOOKUP(EDATE(B84,-12),Database!$F:$AY,MATCH($G$1,Database!$F$1:$AY$1,),)))))/(((VLOOKUP(EDATE(B84,-12),Database!$F:$AY,MATCH($G$1,Database!$F$1:$AY$1,),))))</f>
        <v/>
      </c>
      <c r="H84" s="13">
        <f>((((VLOOKUP(B84,Database!$F:$AY,MATCH($H$1,Database!$F$1:$AY$1,),))))-(((VLOOKUP(EDATE(B84,-12),Database!$F:$AY,MATCH($H$1,Database!$F$1:$AY$1,),)))))/(((VLOOKUP(EDATE(B84,-12),Database!$F:$AY,MATCH($H$1,Database!$F$1:$AY$1,),))))</f>
        <v/>
      </c>
      <c r="I84" s="13">
        <f>((((VLOOKUP(B84,Database!$F:$AY,MATCH($I$1,Database!$F$1:$AY$1,),))))-(((VLOOKUP(EDATE(B84,-12),Database!$F:$AY,MATCH($I$1,Database!$F$1:$AY$1,),)))))/(((VLOOKUP(EDATE(B84,-12),Database!$F:$AY,MATCH($I$1,Database!$F$1:$AY$1,),))))</f>
        <v/>
      </c>
      <c r="J84" s="13">
        <f>((((VLOOKUP(B84,Database!$F:$AY,MATCH($J$1,Database!$F$1:$AY$1,),))))-(((VLOOKUP(EDATE(B84,-12),Database!$F:$AY,MATCH($J$1,Database!$F$1:$AY$1,),)))))/(((VLOOKUP(EDATE(B84,-12),Database!$F:$AY,MATCH($J$1,Database!$F$1:$AY$1,),))))</f>
        <v/>
      </c>
      <c r="K84" s="13">
        <f>((((VLOOKUP(B84,Database!$F:$AY,MATCH($K$1,Database!$F$1:$AY$1,),))))-(((VLOOKUP(EDATE(B84,-12),Database!$F:$AY,MATCH($K$1,Database!$F$1:$AY$1,),)))))/(((VLOOKUP(EDATE(B84,-12),Database!$F:$AY,MATCH($K$1,Database!$F$1:$AY$1,),))))</f>
        <v/>
      </c>
      <c r="L84" s="13">
        <f>((((VLOOKUP(B84,Database!$F:$AY,MATCH($L$1,Database!$F$1:$AY$1,),))))-(((VLOOKUP(EDATE(B84,-12),Database!$F:$AY,MATCH($L$1,Database!$F$1:$AY$1,),)))))/(((VLOOKUP(EDATE(B84,-12),Database!$F:$AY,MATCH($L$1,Database!$F$1:$AY$1,),))))</f>
        <v/>
      </c>
      <c r="M84" s="13">
        <f>((((VLOOKUP(B84,Database!$F:$AY,MATCH($M$1,Database!$F$1:$AY$1,),))))-(((VLOOKUP(EDATE(B84,-12),Database!$F:$AY,MATCH($M$1,Database!$F$1:$AY$1,),)))))/(((VLOOKUP(EDATE(B84,-12),Database!$F:$AY,MATCH($M$1,Database!$F$1:$AY$1,),))))</f>
        <v/>
      </c>
      <c r="N84" s="13">
        <f>((((VLOOKUP(B84,Database!$F:$AY,MATCH($N$1,Database!$F$1:$AY$1,),))))-(((VLOOKUP(EDATE(B84,-12),Database!$F:$AY,MATCH($N$1,Database!$F$1:$AY$1,),)))))/(((VLOOKUP(EDATE(B84,-12),Database!$F:$AY,MATCH($N$1,Database!$F$1:$AY$1,),))))</f>
        <v/>
      </c>
      <c r="O84" s="13">
        <f>((((VLOOKUP(B84,Database!$F:$AY,MATCH($O$1,Database!$F$1:$AY$1,),))))-(((VLOOKUP(EDATE(B84,-12),Database!$F:$AY,MATCH($O$1,Database!$F$1:$AY$1,),)))))/(((VLOOKUP(EDATE(B84,-12),Database!$F:$AY,MATCH($O$1,Database!$F$1:$AY$1,),))))</f>
        <v/>
      </c>
      <c r="P84" s="13">
        <f>((((VLOOKUP(B84,Database!$F:$AY,MATCH($P$1,Database!$F$1:$AY$1,),))))-(((VLOOKUP(EDATE(B84,-12),Database!$F:$AY,MATCH($P$1,Database!$F$1:$AY$1,),)))))/(((VLOOKUP(EDATE(B84,-12),Database!$F:$AY,MATCH($P$1,Database!$F$1:$AY$1,),))))</f>
        <v/>
      </c>
      <c r="Q84" s="13">
        <f>((((VLOOKUP(B84,Database!$F:$AY,MATCH($Q$1,Database!$F$1:$AY$1,),))))-(((VLOOKUP(EDATE(B84,-12),Database!$F:$AY,MATCH($Q$1,Database!$F$1:$AY$1,),)))))/(((VLOOKUP(EDATE(B84,-12),Database!$F:$AY,MATCH($Q$1,Database!$F$1:$AY$1,),))))</f>
        <v/>
      </c>
      <c r="R84" s="13">
        <f>((((VLOOKUP(B84,Database!$F:$AY,MATCH($R$1,Database!$F$1:$AY$1,),))))-(((VLOOKUP(EDATE(B84,-12),Database!$F:$AY,MATCH($R$1,Database!$F$1:$AY$1,),)))))/(((VLOOKUP(EDATE(B84,-12),Database!$F:$AY,MATCH($R$1,Database!$F$1:$AY$1,),))))</f>
        <v/>
      </c>
      <c r="S84" s="13">
        <f>((((VLOOKUP(B84,Database!$F:$AY,MATCH($S$1,Database!$F$1:$AY$1,),))))-(((VLOOKUP(EDATE(B84,-12),Database!$F:$AY,MATCH($S$1,Database!$F$1:$AY$1,),)))))/(((VLOOKUP(EDATE(B84,-12),Database!$F:$AY,MATCH($S$1,Database!$F$1:$AY$1,),))))</f>
        <v/>
      </c>
      <c r="T84" s="13">
        <f>((((VLOOKUP(B84,Database!$F:$AY,MATCH($T$1,Database!$F$1:$AY$1,),))))-(((VLOOKUP(EDATE(B84,-12),Database!$F:$AY,MATCH($T$1,Database!$F$1:$AY$1,),)))))/(((VLOOKUP(EDATE(B84,-12),Database!$F:$AY,MATCH($T$1,Database!$F$1:$AY$1,),))))</f>
        <v/>
      </c>
      <c r="U84" s="13">
        <f>((((VLOOKUP(B84,Database!$F:$AY,MATCH($U$1,Database!$F$1:$AY$1,),))))-(((VLOOKUP(EDATE(B84,-12),Database!$F:$AY,MATCH($U$1,Database!$F$1:$AY$1,),)))))/(((VLOOKUP(EDATE(B84,-12),Database!$F:$AY,MATCH($U$1,Database!$F$1:$AY$1,),))))</f>
        <v/>
      </c>
      <c r="V84" s="13">
        <f>((((VLOOKUP(B84,Database!$F:$AY,MATCH($V$1,Database!$F$1:$AY$1,),))))-(((VLOOKUP(EDATE(B84,-12),Database!$F:$AY,MATCH($V$1,Database!$F$1:$AY$1,),)))))/(((VLOOKUP(EDATE(B84,-12),Database!$F:$AY,MATCH($V$1,Database!$F$1:$AY$1,),))))</f>
        <v/>
      </c>
    </row>
    <row r="85" customFormat="1" s="100">
      <c r="A85" s="45" t="n"/>
      <c r="B85" s="46" t="n">
        <v>34731</v>
      </c>
      <c r="C85" s="13">
        <f>((((VLOOKUP(B85,Database!$F:$AY,MATCH($C$1,Database!$F$1:$AY$1,),))))-(((VLOOKUP(EDATE(B85,-12),Database!$F:$AY,MATCH($C$1,Database!$F$1:$AY$1,),)))))/(((VLOOKUP(EDATE(B85,-12),Database!$F:$AY,MATCH($C$1,Database!$F$1:$AY$1,),))))</f>
        <v/>
      </c>
      <c r="D85" s="13">
        <f>((((VLOOKUP(B85,Database!$F:$AY,MATCH($D$1,Database!$F$1:$AY$1,),))))-(((VLOOKUP(EDATE(B85,-12),Database!$F:$AY,MATCH($D$1,Database!$F$1:$AY$1,),)))))/(((VLOOKUP(EDATE(B85,-12),Database!$F:$AY,MATCH($D$1,Database!$F$1:$AY$1,),))))</f>
        <v/>
      </c>
      <c r="E85" s="13">
        <f>((((VLOOKUP(B85,Database!$F:$AY,MATCH($E$1,Database!$F$1:$AY$1,),))))-(((VLOOKUP(EDATE(B85,-12),Database!$F:$AY,MATCH($E$1,Database!$F$1:$AY$1,),)))))/(((VLOOKUP(EDATE(B85,-12),Database!$F:$AY,MATCH($E$1,Database!$F$1:$AY$1,),))))</f>
        <v/>
      </c>
      <c r="F85" s="13">
        <f>((((VLOOKUP(B85,Database!$F:$AY,MATCH($F$1,Database!$F$1:$AY$1,),))))-(((VLOOKUP(EDATE(B85,-12),Database!$F:$AY,MATCH($F$1,Database!$F$1:$AY$1,),)))))/(((VLOOKUP(EDATE(B85,-12),Database!$F:$AY,MATCH($F$1,Database!$F$1:$AY$1,),))))</f>
        <v/>
      </c>
      <c r="G85" s="13">
        <f>((((VLOOKUP(B85,Database!$F:$AY,MATCH($G$1,Database!$F$1:$AY$1,),))))-(((VLOOKUP(EDATE(B85,-12),Database!$F:$AY,MATCH($G$1,Database!$F$1:$AY$1,),)))))/(((VLOOKUP(EDATE(B85,-12),Database!$F:$AY,MATCH($G$1,Database!$F$1:$AY$1,),))))</f>
        <v/>
      </c>
      <c r="H85" s="13">
        <f>((((VLOOKUP(B85,Database!$F:$AY,MATCH($H$1,Database!$F$1:$AY$1,),))))-(((VLOOKUP(EDATE(B85,-12),Database!$F:$AY,MATCH($H$1,Database!$F$1:$AY$1,),)))))/(((VLOOKUP(EDATE(B85,-12),Database!$F:$AY,MATCH($H$1,Database!$F$1:$AY$1,),))))</f>
        <v/>
      </c>
      <c r="I85" s="13">
        <f>((((VLOOKUP(B85,Database!$F:$AY,MATCH($I$1,Database!$F$1:$AY$1,),))))-(((VLOOKUP(EDATE(B85,-12),Database!$F:$AY,MATCH($I$1,Database!$F$1:$AY$1,),)))))/(((VLOOKUP(EDATE(B85,-12),Database!$F:$AY,MATCH($I$1,Database!$F$1:$AY$1,),))))</f>
        <v/>
      </c>
      <c r="J85" s="13">
        <f>((((VLOOKUP(B85,Database!$F:$AY,MATCH($J$1,Database!$F$1:$AY$1,),))))-(((VLOOKUP(EDATE(B85,-12),Database!$F:$AY,MATCH($J$1,Database!$F$1:$AY$1,),)))))/(((VLOOKUP(EDATE(B85,-12),Database!$F:$AY,MATCH($J$1,Database!$F$1:$AY$1,),))))</f>
        <v/>
      </c>
      <c r="K85" s="13">
        <f>((((VLOOKUP(B85,Database!$F:$AY,MATCH($K$1,Database!$F$1:$AY$1,),))))-(((VLOOKUP(EDATE(B85,-12),Database!$F:$AY,MATCH($K$1,Database!$F$1:$AY$1,),)))))/(((VLOOKUP(EDATE(B85,-12),Database!$F:$AY,MATCH($K$1,Database!$F$1:$AY$1,),))))</f>
        <v/>
      </c>
      <c r="L85" s="13">
        <f>((((VLOOKUP(B85,Database!$F:$AY,MATCH($L$1,Database!$F$1:$AY$1,),))))-(((VLOOKUP(EDATE(B85,-12),Database!$F:$AY,MATCH($L$1,Database!$F$1:$AY$1,),)))))/(((VLOOKUP(EDATE(B85,-12),Database!$F:$AY,MATCH($L$1,Database!$F$1:$AY$1,),))))</f>
        <v/>
      </c>
      <c r="M85" s="13">
        <f>((((VLOOKUP(B85,Database!$F:$AY,MATCH($M$1,Database!$F$1:$AY$1,),))))-(((VLOOKUP(EDATE(B85,-12),Database!$F:$AY,MATCH($M$1,Database!$F$1:$AY$1,),)))))/(((VLOOKUP(EDATE(B85,-12),Database!$F:$AY,MATCH($M$1,Database!$F$1:$AY$1,),))))</f>
        <v/>
      </c>
      <c r="N85" s="13">
        <f>((((VLOOKUP(B85,Database!$F:$AY,MATCH($N$1,Database!$F$1:$AY$1,),))))-(((VLOOKUP(EDATE(B85,-12),Database!$F:$AY,MATCH($N$1,Database!$F$1:$AY$1,),)))))/(((VLOOKUP(EDATE(B85,-12),Database!$F:$AY,MATCH($N$1,Database!$F$1:$AY$1,),))))</f>
        <v/>
      </c>
      <c r="O85" s="13">
        <f>((((VLOOKUP(B85,Database!$F:$AY,MATCH($O$1,Database!$F$1:$AY$1,),))))-(((VLOOKUP(EDATE(B85,-12),Database!$F:$AY,MATCH($O$1,Database!$F$1:$AY$1,),)))))/(((VLOOKUP(EDATE(B85,-12),Database!$F:$AY,MATCH($O$1,Database!$F$1:$AY$1,),))))</f>
        <v/>
      </c>
      <c r="P85" s="13">
        <f>((((VLOOKUP(B85,Database!$F:$AY,MATCH($P$1,Database!$F$1:$AY$1,),))))-(((VLOOKUP(EDATE(B85,-12),Database!$F:$AY,MATCH($P$1,Database!$F$1:$AY$1,),)))))/(((VLOOKUP(EDATE(B85,-12),Database!$F:$AY,MATCH($P$1,Database!$F$1:$AY$1,),))))</f>
        <v/>
      </c>
      <c r="Q85" s="13">
        <f>((((VLOOKUP(B85,Database!$F:$AY,MATCH($Q$1,Database!$F$1:$AY$1,),))))-(((VLOOKUP(EDATE(B85,-12),Database!$F:$AY,MATCH($Q$1,Database!$F$1:$AY$1,),)))))/(((VLOOKUP(EDATE(B85,-12),Database!$F:$AY,MATCH($Q$1,Database!$F$1:$AY$1,),))))</f>
        <v/>
      </c>
      <c r="R85" s="13">
        <f>((((VLOOKUP(B85,Database!$F:$AY,MATCH($R$1,Database!$F$1:$AY$1,),))))-(((VLOOKUP(EDATE(B85,-12),Database!$F:$AY,MATCH($R$1,Database!$F$1:$AY$1,),)))))/(((VLOOKUP(EDATE(B85,-12),Database!$F:$AY,MATCH($R$1,Database!$F$1:$AY$1,),))))</f>
        <v/>
      </c>
      <c r="S85" s="13">
        <f>((((VLOOKUP(B85,Database!$F:$AY,MATCH($S$1,Database!$F$1:$AY$1,),))))-(((VLOOKUP(EDATE(B85,-12),Database!$F:$AY,MATCH($S$1,Database!$F$1:$AY$1,),)))))/(((VLOOKUP(EDATE(B85,-12),Database!$F:$AY,MATCH($S$1,Database!$F$1:$AY$1,),))))</f>
        <v/>
      </c>
      <c r="T85" s="13">
        <f>((((VLOOKUP(B85,Database!$F:$AY,MATCH($T$1,Database!$F$1:$AY$1,),))))-(((VLOOKUP(EDATE(B85,-12),Database!$F:$AY,MATCH($T$1,Database!$F$1:$AY$1,),)))))/(((VLOOKUP(EDATE(B85,-12),Database!$F:$AY,MATCH($T$1,Database!$F$1:$AY$1,),))))</f>
        <v/>
      </c>
      <c r="U85" s="13">
        <f>((((VLOOKUP(B85,Database!$F:$AY,MATCH($U$1,Database!$F$1:$AY$1,),))))-(((VLOOKUP(EDATE(B85,-12),Database!$F:$AY,MATCH($U$1,Database!$F$1:$AY$1,),)))))/(((VLOOKUP(EDATE(B85,-12),Database!$F:$AY,MATCH($U$1,Database!$F$1:$AY$1,),))))</f>
        <v/>
      </c>
      <c r="V85" s="13">
        <f>((((VLOOKUP(B85,Database!$F:$AY,MATCH($V$1,Database!$F$1:$AY$1,),))))-(((VLOOKUP(EDATE(B85,-12),Database!$F:$AY,MATCH($V$1,Database!$F$1:$AY$1,),)))))/(((VLOOKUP(EDATE(B85,-12),Database!$F:$AY,MATCH($V$1,Database!$F$1:$AY$1,),))))</f>
        <v/>
      </c>
    </row>
    <row r="86" customFormat="1" s="100">
      <c r="A86" s="45" t="n"/>
      <c r="B86" s="46" t="n">
        <v>34759</v>
      </c>
      <c r="C86" s="13">
        <f>((((VLOOKUP(B86,Database!$F:$AY,MATCH($C$1,Database!$F$1:$AY$1,),))))-(((VLOOKUP(EDATE(B86,-12),Database!$F:$AY,MATCH($C$1,Database!$F$1:$AY$1,),)))))/(((VLOOKUP(EDATE(B86,-12),Database!$F:$AY,MATCH($C$1,Database!$F$1:$AY$1,),))))</f>
        <v/>
      </c>
      <c r="D86" s="13">
        <f>((((VLOOKUP(B86,Database!$F:$AY,MATCH($D$1,Database!$F$1:$AY$1,),))))-(((VLOOKUP(EDATE(B86,-12),Database!$F:$AY,MATCH($D$1,Database!$F$1:$AY$1,),)))))/(((VLOOKUP(EDATE(B86,-12),Database!$F:$AY,MATCH($D$1,Database!$F$1:$AY$1,),))))</f>
        <v/>
      </c>
      <c r="E86" s="13">
        <f>((((VLOOKUP(B86,Database!$F:$AY,MATCH($E$1,Database!$F$1:$AY$1,),))))-(((VLOOKUP(EDATE(B86,-12),Database!$F:$AY,MATCH($E$1,Database!$F$1:$AY$1,),)))))/(((VLOOKUP(EDATE(B86,-12),Database!$F:$AY,MATCH($E$1,Database!$F$1:$AY$1,),))))</f>
        <v/>
      </c>
      <c r="F86" s="13">
        <f>((((VLOOKUP(B86,Database!$F:$AY,MATCH($F$1,Database!$F$1:$AY$1,),))))-(((VLOOKUP(EDATE(B86,-12),Database!$F:$AY,MATCH($F$1,Database!$F$1:$AY$1,),)))))/(((VLOOKUP(EDATE(B86,-12),Database!$F:$AY,MATCH($F$1,Database!$F$1:$AY$1,),))))</f>
        <v/>
      </c>
      <c r="G86" s="13">
        <f>((((VLOOKUP(B86,Database!$F:$AY,MATCH($G$1,Database!$F$1:$AY$1,),))))-(((VLOOKUP(EDATE(B86,-12),Database!$F:$AY,MATCH($G$1,Database!$F$1:$AY$1,),)))))/(((VLOOKUP(EDATE(B86,-12),Database!$F:$AY,MATCH($G$1,Database!$F$1:$AY$1,),))))</f>
        <v/>
      </c>
      <c r="H86" s="13">
        <f>((((VLOOKUP(B86,Database!$F:$AY,MATCH($H$1,Database!$F$1:$AY$1,),))))-(((VLOOKUP(EDATE(B86,-12),Database!$F:$AY,MATCH($H$1,Database!$F$1:$AY$1,),)))))/(((VLOOKUP(EDATE(B86,-12),Database!$F:$AY,MATCH($H$1,Database!$F$1:$AY$1,),))))</f>
        <v/>
      </c>
      <c r="I86" s="13">
        <f>((((VLOOKUP(B86,Database!$F:$AY,MATCH($I$1,Database!$F$1:$AY$1,),))))-(((VLOOKUP(EDATE(B86,-12),Database!$F:$AY,MATCH($I$1,Database!$F$1:$AY$1,),)))))/(((VLOOKUP(EDATE(B86,-12),Database!$F:$AY,MATCH($I$1,Database!$F$1:$AY$1,),))))</f>
        <v/>
      </c>
      <c r="J86" s="13">
        <f>((((VLOOKUP(B86,Database!$F:$AY,MATCH($J$1,Database!$F$1:$AY$1,),))))-(((VLOOKUP(EDATE(B86,-12),Database!$F:$AY,MATCH($J$1,Database!$F$1:$AY$1,),)))))/(((VLOOKUP(EDATE(B86,-12),Database!$F:$AY,MATCH($J$1,Database!$F$1:$AY$1,),))))</f>
        <v/>
      </c>
      <c r="K86" s="13">
        <f>((((VLOOKUP(B86,Database!$F:$AY,MATCH($K$1,Database!$F$1:$AY$1,),))))-(((VLOOKUP(EDATE(B86,-12),Database!$F:$AY,MATCH($K$1,Database!$F$1:$AY$1,),)))))/(((VLOOKUP(EDATE(B86,-12),Database!$F:$AY,MATCH($K$1,Database!$F$1:$AY$1,),))))</f>
        <v/>
      </c>
      <c r="L86" s="13">
        <f>((((VLOOKUP(B86,Database!$F:$AY,MATCH($L$1,Database!$F$1:$AY$1,),))))-(((VLOOKUP(EDATE(B86,-12),Database!$F:$AY,MATCH($L$1,Database!$F$1:$AY$1,),)))))/(((VLOOKUP(EDATE(B86,-12),Database!$F:$AY,MATCH($L$1,Database!$F$1:$AY$1,),))))</f>
        <v/>
      </c>
      <c r="M86" s="13">
        <f>((((VLOOKUP(B86,Database!$F:$AY,MATCH($M$1,Database!$F$1:$AY$1,),))))-(((VLOOKUP(EDATE(B86,-12),Database!$F:$AY,MATCH($M$1,Database!$F$1:$AY$1,),)))))/(((VLOOKUP(EDATE(B86,-12),Database!$F:$AY,MATCH($M$1,Database!$F$1:$AY$1,),))))</f>
        <v/>
      </c>
      <c r="N86" s="13">
        <f>((((VLOOKUP(B86,Database!$F:$AY,MATCH($N$1,Database!$F$1:$AY$1,),))))-(((VLOOKUP(EDATE(B86,-12),Database!$F:$AY,MATCH($N$1,Database!$F$1:$AY$1,),)))))/(((VLOOKUP(EDATE(B86,-12),Database!$F:$AY,MATCH($N$1,Database!$F$1:$AY$1,),))))</f>
        <v/>
      </c>
      <c r="O86" s="13">
        <f>((((VLOOKUP(B86,Database!$F:$AY,MATCH($O$1,Database!$F$1:$AY$1,),))))-(((VLOOKUP(EDATE(B86,-12),Database!$F:$AY,MATCH($O$1,Database!$F$1:$AY$1,),)))))/(((VLOOKUP(EDATE(B86,-12),Database!$F:$AY,MATCH($O$1,Database!$F$1:$AY$1,),))))</f>
        <v/>
      </c>
      <c r="P86" s="13">
        <f>((((VLOOKUP(B86,Database!$F:$AY,MATCH($P$1,Database!$F$1:$AY$1,),))))-(((VLOOKUP(EDATE(B86,-12),Database!$F:$AY,MATCH($P$1,Database!$F$1:$AY$1,),)))))/(((VLOOKUP(EDATE(B86,-12),Database!$F:$AY,MATCH($P$1,Database!$F$1:$AY$1,),))))</f>
        <v/>
      </c>
      <c r="Q86" s="13">
        <f>((((VLOOKUP(B86,Database!$F:$AY,MATCH($Q$1,Database!$F$1:$AY$1,),))))-(((VLOOKUP(EDATE(B86,-12),Database!$F:$AY,MATCH($Q$1,Database!$F$1:$AY$1,),)))))/(((VLOOKUP(EDATE(B86,-12),Database!$F:$AY,MATCH($Q$1,Database!$F$1:$AY$1,),))))</f>
        <v/>
      </c>
      <c r="R86" s="13">
        <f>((((VLOOKUP(B86,Database!$F:$AY,MATCH($R$1,Database!$F$1:$AY$1,),))))-(((VLOOKUP(EDATE(B86,-12),Database!$F:$AY,MATCH($R$1,Database!$F$1:$AY$1,),)))))/(((VLOOKUP(EDATE(B86,-12),Database!$F:$AY,MATCH($R$1,Database!$F$1:$AY$1,),))))</f>
        <v/>
      </c>
      <c r="S86" s="13">
        <f>((((VLOOKUP(B86,Database!$F:$AY,MATCH($S$1,Database!$F$1:$AY$1,),))))-(((VLOOKUP(EDATE(B86,-12),Database!$F:$AY,MATCH($S$1,Database!$F$1:$AY$1,),)))))/(((VLOOKUP(EDATE(B86,-12),Database!$F:$AY,MATCH($S$1,Database!$F$1:$AY$1,),))))</f>
        <v/>
      </c>
      <c r="T86" s="13">
        <f>((((VLOOKUP(B86,Database!$F:$AY,MATCH($T$1,Database!$F$1:$AY$1,),))))-(((VLOOKUP(EDATE(B86,-12),Database!$F:$AY,MATCH($T$1,Database!$F$1:$AY$1,),)))))/(((VLOOKUP(EDATE(B86,-12),Database!$F:$AY,MATCH($T$1,Database!$F$1:$AY$1,),))))</f>
        <v/>
      </c>
      <c r="U86" s="13">
        <f>((((VLOOKUP(B86,Database!$F:$AY,MATCH($U$1,Database!$F$1:$AY$1,),))))-(((VLOOKUP(EDATE(B86,-12),Database!$F:$AY,MATCH($U$1,Database!$F$1:$AY$1,),)))))/(((VLOOKUP(EDATE(B86,-12),Database!$F:$AY,MATCH($U$1,Database!$F$1:$AY$1,),))))</f>
        <v/>
      </c>
      <c r="V86" s="13">
        <f>((((VLOOKUP(B86,Database!$F:$AY,MATCH($V$1,Database!$F$1:$AY$1,),))))-(((VLOOKUP(EDATE(B86,-12),Database!$F:$AY,MATCH($V$1,Database!$F$1:$AY$1,),)))))/(((VLOOKUP(EDATE(B86,-12),Database!$F:$AY,MATCH($V$1,Database!$F$1:$AY$1,),))))</f>
        <v/>
      </c>
    </row>
    <row r="87" customFormat="1" s="100">
      <c r="A87" s="45" t="n"/>
      <c r="B87" s="46" t="n">
        <v>34790</v>
      </c>
      <c r="C87" s="13">
        <f>((((VLOOKUP(B87,Database!$F:$AY,MATCH($C$1,Database!$F$1:$AY$1,),))))-(((VLOOKUP(EDATE(B87,-12),Database!$F:$AY,MATCH($C$1,Database!$F$1:$AY$1,),)))))/(((VLOOKUP(EDATE(B87,-12),Database!$F:$AY,MATCH($C$1,Database!$F$1:$AY$1,),))))</f>
        <v/>
      </c>
      <c r="D87" s="13">
        <f>((((VLOOKUP(B87,Database!$F:$AY,MATCH($D$1,Database!$F$1:$AY$1,),))))-(((VLOOKUP(EDATE(B87,-12),Database!$F:$AY,MATCH($D$1,Database!$F$1:$AY$1,),)))))/(((VLOOKUP(EDATE(B87,-12),Database!$F:$AY,MATCH($D$1,Database!$F$1:$AY$1,),))))</f>
        <v/>
      </c>
      <c r="E87" s="13">
        <f>((((VLOOKUP(B87,Database!$F:$AY,MATCH($E$1,Database!$F$1:$AY$1,),))))-(((VLOOKUP(EDATE(B87,-12),Database!$F:$AY,MATCH($E$1,Database!$F$1:$AY$1,),)))))/(((VLOOKUP(EDATE(B87,-12),Database!$F:$AY,MATCH($E$1,Database!$F$1:$AY$1,),))))</f>
        <v/>
      </c>
      <c r="F87" s="13">
        <f>((((VLOOKUP(B87,Database!$F:$AY,MATCH($F$1,Database!$F$1:$AY$1,),))))-(((VLOOKUP(EDATE(B87,-12),Database!$F:$AY,MATCH($F$1,Database!$F$1:$AY$1,),)))))/(((VLOOKUP(EDATE(B87,-12),Database!$F:$AY,MATCH($F$1,Database!$F$1:$AY$1,),))))</f>
        <v/>
      </c>
      <c r="G87" s="13">
        <f>((((VLOOKUP(B87,Database!$F:$AY,MATCH($G$1,Database!$F$1:$AY$1,),))))-(((VLOOKUP(EDATE(B87,-12),Database!$F:$AY,MATCH($G$1,Database!$F$1:$AY$1,),)))))/(((VLOOKUP(EDATE(B87,-12),Database!$F:$AY,MATCH($G$1,Database!$F$1:$AY$1,),))))</f>
        <v/>
      </c>
      <c r="H87" s="13">
        <f>((((VLOOKUP(B87,Database!$F:$AY,MATCH($H$1,Database!$F$1:$AY$1,),))))-(((VLOOKUP(EDATE(B87,-12),Database!$F:$AY,MATCH($H$1,Database!$F$1:$AY$1,),)))))/(((VLOOKUP(EDATE(B87,-12),Database!$F:$AY,MATCH($H$1,Database!$F$1:$AY$1,),))))</f>
        <v/>
      </c>
      <c r="I87" s="13">
        <f>((((VLOOKUP(B87,Database!$F:$AY,MATCH($I$1,Database!$F$1:$AY$1,),))))-(((VLOOKUP(EDATE(B87,-12),Database!$F:$AY,MATCH($I$1,Database!$F$1:$AY$1,),)))))/(((VLOOKUP(EDATE(B87,-12),Database!$F:$AY,MATCH($I$1,Database!$F$1:$AY$1,),))))</f>
        <v/>
      </c>
      <c r="J87" s="13">
        <f>((((VLOOKUP(B87,Database!$F:$AY,MATCH($J$1,Database!$F$1:$AY$1,),))))-(((VLOOKUP(EDATE(B87,-12),Database!$F:$AY,MATCH($J$1,Database!$F$1:$AY$1,),)))))/(((VLOOKUP(EDATE(B87,-12),Database!$F:$AY,MATCH($J$1,Database!$F$1:$AY$1,),))))</f>
        <v/>
      </c>
      <c r="K87" s="13">
        <f>((((VLOOKUP(B87,Database!$F:$AY,MATCH($K$1,Database!$F$1:$AY$1,),))))-(((VLOOKUP(EDATE(B87,-12),Database!$F:$AY,MATCH($K$1,Database!$F$1:$AY$1,),)))))/(((VLOOKUP(EDATE(B87,-12),Database!$F:$AY,MATCH($K$1,Database!$F$1:$AY$1,),))))</f>
        <v/>
      </c>
      <c r="L87" s="13">
        <f>((((VLOOKUP(B87,Database!$F:$AY,MATCH($L$1,Database!$F$1:$AY$1,),))))-(((VLOOKUP(EDATE(B87,-12),Database!$F:$AY,MATCH($L$1,Database!$F$1:$AY$1,),)))))/(((VLOOKUP(EDATE(B87,-12),Database!$F:$AY,MATCH($L$1,Database!$F$1:$AY$1,),))))</f>
        <v/>
      </c>
      <c r="M87" s="13">
        <f>((((VLOOKUP(B87,Database!$F:$AY,MATCH($M$1,Database!$F$1:$AY$1,),))))-(((VLOOKUP(EDATE(B87,-12),Database!$F:$AY,MATCH($M$1,Database!$F$1:$AY$1,),)))))/(((VLOOKUP(EDATE(B87,-12),Database!$F:$AY,MATCH($M$1,Database!$F$1:$AY$1,),))))</f>
        <v/>
      </c>
      <c r="N87" s="13">
        <f>((((VLOOKUP(B87,Database!$F:$AY,MATCH($N$1,Database!$F$1:$AY$1,),))))-(((VLOOKUP(EDATE(B87,-12),Database!$F:$AY,MATCH($N$1,Database!$F$1:$AY$1,),)))))/(((VLOOKUP(EDATE(B87,-12),Database!$F:$AY,MATCH($N$1,Database!$F$1:$AY$1,),))))</f>
        <v/>
      </c>
      <c r="O87" s="13">
        <f>((((VLOOKUP(B87,Database!$F:$AY,MATCH($O$1,Database!$F$1:$AY$1,),))))-(((VLOOKUP(EDATE(B87,-12),Database!$F:$AY,MATCH($O$1,Database!$F$1:$AY$1,),)))))/(((VLOOKUP(EDATE(B87,-12),Database!$F:$AY,MATCH($O$1,Database!$F$1:$AY$1,),))))</f>
        <v/>
      </c>
      <c r="P87" s="13">
        <f>((((VLOOKUP(B87,Database!$F:$AY,MATCH($P$1,Database!$F$1:$AY$1,),))))-(((VLOOKUP(EDATE(B87,-12),Database!$F:$AY,MATCH($P$1,Database!$F$1:$AY$1,),)))))/(((VLOOKUP(EDATE(B87,-12),Database!$F:$AY,MATCH($P$1,Database!$F$1:$AY$1,),))))</f>
        <v/>
      </c>
      <c r="Q87" s="13">
        <f>((((VLOOKUP(B87,Database!$F:$AY,MATCH($Q$1,Database!$F$1:$AY$1,),))))-(((VLOOKUP(EDATE(B87,-12),Database!$F:$AY,MATCH($Q$1,Database!$F$1:$AY$1,),)))))/(((VLOOKUP(EDATE(B87,-12),Database!$F:$AY,MATCH($Q$1,Database!$F$1:$AY$1,),))))</f>
        <v/>
      </c>
      <c r="R87" s="13">
        <f>((((VLOOKUP(B87,Database!$F:$AY,MATCH($R$1,Database!$F$1:$AY$1,),))))-(((VLOOKUP(EDATE(B87,-12),Database!$F:$AY,MATCH($R$1,Database!$F$1:$AY$1,),)))))/(((VLOOKUP(EDATE(B87,-12),Database!$F:$AY,MATCH($R$1,Database!$F$1:$AY$1,),))))</f>
        <v/>
      </c>
      <c r="S87" s="13">
        <f>((((VLOOKUP(B87,Database!$F:$AY,MATCH($S$1,Database!$F$1:$AY$1,),))))-(((VLOOKUP(EDATE(B87,-12),Database!$F:$AY,MATCH($S$1,Database!$F$1:$AY$1,),)))))/(((VLOOKUP(EDATE(B87,-12),Database!$F:$AY,MATCH($S$1,Database!$F$1:$AY$1,),))))</f>
        <v/>
      </c>
      <c r="T87" s="13">
        <f>((((VLOOKUP(B87,Database!$F:$AY,MATCH($T$1,Database!$F$1:$AY$1,),))))-(((VLOOKUP(EDATE(B87,-12),Database!$F:$AY,MATCH($T$1,Database!$F$1:$AY$1,),)))))/(((VLOOKUP(EDATE(B87,-12),Database!$F:$AY,MATCH($T$1,Database!$F$1:$AY$1,),))))</f>
        <v/>
      </c>
      <c r="U87" s="13">
        <f>((((VLOOKUP(B87,Database!$F:$AY,MATCH($U$1,Database!$F$1:$AY$1,),))))-(((VLOOKUP(EDATE(B87,-12),Database!$F:$AY,MATCH($U$1,Database!$F$1:$AY$1,),)))))/(((VLOOKUP(EDATE(B87,-12),Database!$F:$AY,MATCH($U$1,Database!$F$1:$AY$1,),))))</f>
        <v/>
      </c>
      <c r="V87" s="13">
        <f>((((VLOOKUP(B87,Database!$F:$AY,MATCH($V$1,Database!$F$1:$AY$1,),))))-(((VLOOKUP(EDATE(B87,-12),Database!$F:$AY,MATCH($V$1,Database!$F$1:$AY$1,),)))))/(((VLOOKUP(EDATE(B87,-12),Database!$F:$AY,MATCH($V$1,Database!$F$1:$AY$1,),))))</f>
        <v/>
      </c>
    </row>
    <row r="88" customFormat="1" s="100">
      <c r="A88" s="45" t="n"/>
      <c r="B88" s="46" t="n">
        <v>34820</v>
      </c>
      <c r="C88" s="13">
        <f>((((VLOOKUP(B88,Database!$F:$AY,MATCH($C$1,Database!$F$1:$AY$1,),))))-(((VLOOKUP(EDATE(B88,-12),Database!$F:$AY,MATCH($C$1,Database!$F$1:$AY$1,),)))))/(((VLOOKUP(EDATE(B88,-12),Database!$F:$AY,MATCH($C$1,Database!$F$1:$AY$1,),))))</f>
        <v/>
      </c>
      <c r="D88" s="13">
        <f>((((VLOOKUP(B88,Database!$F:$AY,MATCH($D$1,Database!$F$1:$AY$1,),))))-(((VLOOKUP(EDATE(B88,-12),Database!$F:$AY,MATCH($D$1,Database!$F$1:$AY$1,),)))))/(((VLOOKUP(EDATE(B88,-12),Database!$F:$AY,MATCH($D$1,Database!$F$1:$AY$1,),))))</f>
        <v/>
      </c>
      <c r="E88" s="13">
        <f>((((VLOOKUP(B88,Database!$F:$AY,MATCH($E$1,Database!$F$1:$AY$1,),))))-(((VLOOKUP(EDATE(B88,-12),Database!$F:$AY,MATCH($E$1,Database!$F$1:$AY$1,),)))))/(((VLOOKUP(EDATE(B88,-12),Database!$F:$AY,MATCH($E$1,Database!$F$1:$AY$1,),))))</f>
        <v/>
      </c>
      <c r="F88" s="13">
        <f>((((VLOOKUP(B88,Database!$F:$AY,MATCH($F$1,Database!$F$1:$AY$1,),))))-(((VLOOKUP(EDATE(B88,-12),Database!$F:$AY,MATCH($F$1,Database!$F$1:$AY$1,),)))))/(((VLOOKUP(EDATE(B88,-12),Database!$F:$AY,MATCH($F$1,Database!$F$1:$AY$1,),))))</f>
        <v/>
      </c>
      <c r="G88" s="13">
        <f>((((VLOOKUP(B88,Database!$F:$AY,MATCH($G$1,Database!$F$1:$AY$1,),))))-(((VLOOKUP(EDATE(B88,-12),Database!$F:$AY,MATCH($G$1,Database!$F$1:$AY$1,),)))))/(((VLOOKUP(EDATE(B88,-12),Database!$F:$AY,MATCH($G$1,Database!$F$1:$AY$1,),))))</f>
        <v/>
      </c>
      <c r="H88" s="13">
        <f>((((VLOOKUP(B88,Database!$F:$AY,MATCH($H$1,Database!$F$1:$AY$1,),))))-(((VLOOKUP(EDATE(B88,-12),Database!$F:$AY,MATCH($H$1,Database!$F$1:$AY$1,),)))))/(((VLOOKUP(EDATE(B88,-12),Database!$F:$AY,MATCH($H$1,Database!$F$1:$AY$1,),))))</f>
        <v/>
      </c>
      <c r="I88" s="13">
        <f>((((VLOOKUP(B88,Database!$F:$AY,MATCH($I$1,Database!$F$1:$AY$1,),))))-(((VLOOKUP(EDATE(B88,-12),Database!$F:$AY,MATCH($I$1,Database!$F$1:$AY$1,),)))))/(((VLOOKUP(EDATE(B88,-12),Database!$F:$AY,MATCH($I$1,Database!$F$1:$AY$1,),))))</f>
        <v/>
      </c>
      <c r="J88" s="13">
        <f>((((VLOOKUP(B88,Database!$F:$AY,MATCH($J$1,Database!$F$1:$AY$1,),))))-(((VLOOKUP(EDATE(B88,-12),Database!$F:$AY,MATCH($J$1,Database!$F$1:$AY$1,),)))))/(((VLOOKUP(EDATE(B88,-12),Database!$F:$AY,MATCH($J$1,Database!$F$1:$AY$1,),))))</f>
        <v/>
      </c>
      <c r="K88" s="13">
        <f>((((VLOOKUP(B88,Database!$F:$AY,MATCH($K$1,Database!$F$1:$AY$1,),))))-(((VLOOKUP(EDATE(B88,-12),Database!$F:$AY,MATCH($K$1,Database!$F$1:$AY$1,),)))))/(((VLOOKUP(EDATE(B88,-12),Database!$F:$AY,MATCH($K$1,Database!$F$1:$AY$1,),))))</f>
        <v/>
      </c>
      <c r="L88" s="13">
        <f>((((VLOOKUP(B88,Database!$F:$AY,MATCH($L$1,Database!$F$1:$AY$1,),))))-(((VLOOKUP(EDATE(B88,-12),Database!$F:$AY,MATCH($L$1,Database!$F$1:$AY$1,),)))))/(((VLOOKUP(EDATE(B88,-12),Database!$F:$AY,MATCH($L$1,Database!$F$1:$AY$1,),))))</f>
        <v/>
      </c>
      <c r="M88" s="13">
        <f>((((VLOOKUP(B88,Database!$F:$AY,MATCH($M$1,Database!$F$1:$AY$1,),))))-(((VLOOKUP(EDATE(B88,-12),Database!$F:$AY,MATCH($M$1,Database!$F$1:$AY$1,),)))))/(((VLOOKUP(EDATE(B88,-12),Database!$F:$AY,MATCH($M$1,Database!$F$1:$AY$1,),))))</f>
        <v/>
      </c>
      <c r="N88" s="13">
        <f>((((VLOOKUP(B88,Database!$F:$AY,MATCH($N$1,Database!$F$1:$AY$1,),))))-(((VLOOKUP(EDATE(B88,-12),Database!$F:$AY,MATCH($N$1,Database!$F$1:$AY$1,),)))))/(((VLOOKUP(EDATE(B88,-12),Database!$F:$AY,MATCH($N$1,Database!$F$1:$AY$1,),))))</f>
        <v/>
      </c>
      <c r="O88" s="13">
        <f>((((VLOOKUP(B88,Database!$F:$AY,MATCH($O$1,Database!$F$1:$AY$1,),))))-(((VLOOKUP(EDATE(B88,-12),Database!$F:$AY,MATCH($O$1,Database!$F$1:$AY$1,),)))))/(((VLOOKUP(EDATE(B88,-12),Database!$F:$AY,MATCH($O$1,Database!$F$1:$AY$1,),))))</f>
        <v/>
      </c>
      <c r="P88" s="13">
        <f>((((VLOOKUP(B88,Database!$F:$AY,MATCH($P$1,Database!$F$1:$AY$1,),))))-(((VLOOKUP(EDATE(B88,-12),Database!$F:$AY,MATCH($P$1,Database!$F$1:$AY$1,),)))))/(((VLOOKUP(EDATE(B88,-12),Database!$F:$AY,MATCH($P$1,Database!$F$1:$AY$1,),))))</f>
        <v/>
      </c>
      <c r="Q88" s="13">
        <f>((((VLOOKUP(B88,Database!$F:$AY,MATCH($Q$1,Database!$F$1:$AY$1,),))))-(((VLOOKUP(EDATE(B88,-12),Database!$F:$AY,MATCH($Q$1,Database!$F$1:$AY$1,),)))))/(((VLOOKUP(EDATE(B88,-12),Database!$F:$AY,MATCH($Q$1,Database!$F$1:$AY$1,),))))</f>
        <v/>
      </c>
      <c r="R88" s="13">
        <f>((((VLOOKUP(B88,Database!$F:$AY,MATCH($R$1,Database!$F$1:$AY$1,),))))-(((VLOOKUP(EDATE(B88,-12),Database!$F:$AY,MATCH($R$1,Database!$F$1:$AY$1,),)))))/(((VLOOKUP(EDATE(B88,-12),Database!$F:$AY,MATCH($R$1,Database!$F$1:$AY$1,),))))</f>
        <v/>
      </c>
      <c r="S88" s="13">
        <f>((((VLOOKUP(B88,Database!$F:$AY,MATCH($S$1,Database!$F$1:$AY$1,),))))-(((VLOOKUP(EDATE(B88,-12),Database!$F:$AY,MATCH($S$1,Database!$F$1:$AY$1,),)))))/(((VLOOKUP(EDATE(B88,-12),Database!$F:$AY,MATCH($S$1,Database!$F$1:$AY$1,),))))</f>
        <v/>
      </c>
      <c r="T88" s="13">
        <f>((((VLOOKUP(B88,Database!$F:$AY,MATCH($T$1,Database!$F$1:$AY$1,),))))-(((VLOOKUP(EDATE(B88,-12),Database!$F:$AY,MATCH($T$1,Database!$F$1:$AY$1,),)))))/(((VLOOKUP(EDATE(B88,-12),Database!$F:$AY,MATCH($T$1,Database!$F$1:$AY$1,),))))</f>
        <v/>
      </c>
      <c r="U88" s="13">
        <f>((((VLOOKUP(B88,Database!$F:$AY,MATCH($U$1,Database!$F$1:$AY$1,),))))-(((VLOOKUP(EDATE(B88,-12),Database!$F:$AY,MATCH($U$1,Database!$F$1:$AY$1,),)))))/(((VLOOKUP(EDATE(B88,-12),Database!$F:$AY,MATCH($U$1,Database!$F$1:$AY$1,),))))</f>
        <v/>
      </c>
      <c r="V88" s="13">
        <f>((((VLOOKUP(B88,Database!$F:$AY,MATCH($V$1,Database!$F$1:$AY$1,),))))-(((VLOOKUP(EDATE(B88,-12),Database!$F:$AY,MATCH($V$1,Database!$F$1:$AY$1,),)))))/(((VLOOKUP(EDATE(B88,-12),Database!$F:$AY,MATCH($V$1,Database!$F$1:$AY$1,),))))</f>
        <v/>
      </c>
    </row>
    <row r="89" customFormat="1" s="100">
      <c r="A89" s="45" t="n"/>
      <c r="B89" s="46" t="n">
        <v>34851</v>
      </c>
      <c r="C89" s="13">
        <f>((((VLOOKUP(B89,Database!$F:$AY,MATCH($C$1,Database!$F$1:$AY$1,),))))-(((VLOOKUP(EDATE(B89,-12),Database!$F:$AY,MATCH($C$1,Database!$F$1:$AY$1,),)))))/(((VLOOKUP(EDATE(B89,-12),Database!$F:$AY,MATCH($C$1,Database!$F$1:$AY$1,),))))</f>
        <v/>
      </c>
      <c r="D89" s="13">
        <f>((((VLOOKUP(B89,Database!$F:$AY,MATCH($D$1,Database!$F$1:$AY$1,),))))-(((VLOOKUP(EDATE(B89,-12),Database!$F:$AY,MATCH($D$1,Database!$F$1:$AY$1,),)))))/(((VLOOKUP(EDATE(B89,-12),Database!$F:$AY,MATCH($D$1,Database!$F$1:$AY$1,),))))</f>
        <v/>
      </c>
      <c r="E89" s="13">
        <f>((((VLOOKUP(B89,Database!$F:$AY,MATCH($E$1,Database!$F$1:$AY$1,),))))-(((VLOOKUP(EDATE(B89,-12),Database!$F:$AY,MATCH($E$1,Database!$F$1:$AY$1,),)))))/(((VLOOKUP(EDATE(B89,-12),Database!$F:$AY,MATCH($E$1,Database!$F$1:$AY$1,),))))</f>
        <v/>
      </c>
      <c r="F89" s="13">
        <f>((((VLOOKUP(B89,Database!$F:$AY,MATCH($F$1,Database!$F$1:$AY$1,),))))-(((VLOOKUP(EDATE(B89,-12),Database!$F:$AY,MATCH($F$1,Database!$F$1:$AY$1,),)))))/(((VLOOKUP(EDATE(B89,-12),Database!$F:$AY,MATCH($F$1,Database!$F$1:$AY$1,),))))</f>
        <v/>
      </c>
      <c r="G89" s="13">
        <f>((((VLOOKUP(B89,Database!$F:$AY,MATCH($G$1,Database!$F$1:$AY$1,),))))-(((VLOOKUP(EDATE(B89,-12),Database!$F:$AY,MATCH($G$1,Database!$F$1:$AY$1,),)))))/(((VLOOKUP(EDATE(B89,-12),Database!$F:$AY,MATCH($G$1,Database!$F$1:$AY$1,),))))</f>
        <v/>
      </c>
      <c r="H89" s="13">
        <f>((((VLOOKUP(B89,Database!$F:$AY,MATCH($H$1,Database!$F$1:$AY$1,),))))-(((VLOOKUP(EDATE(B89,-12),Database!$F:$AY,MATCH($H$1,Database!$F$1:$AY$1,),)))))/(((VLOOKUP(EDATE(B89,-12),Database!$F:$AY,MATCH($H$1,Database!$F$1:$AY$1,),))))</f>
        <v/>
      </c>
      <c r="I89" s="13">
        <f>((((VLOOKUP(B89,Database!$F:$AY,MATCH($I$1,Database!$F$1:$AY$1,),))))-(((VLOOKUP(EDATE(B89,-12),Database!$F:$AY,MATCH($I$1,Database!$F$1:$AY$1,),)))))/(((VLOOKUP(EDATE(B89,-12),Database!$F:$AY,MATCH($I$1,Database!$F$1:$AY$1,),))))</f>
        <v/>
      </c>
      <c r="J89" s="13">
        <f>((((VLOOKUP(B89,Database!$F:$AY,MATCH($J$1,Database!$F$1:$AY$1,),))))-(((VLOOKUP(EDATE(B89,-12),Database!$F:$AY,MATCH($J$1,Database!$F$1:$AY$1,),)))))/(((VLOOKUP(EDATE(B89,-12),Database!$F:$AY,MATCH($J$1,Database!$F$1:$AY$1,),))))</f>
        <v/>
      </c>
      <c r="K89" s="13">
        <f>((((VLOOKUP(B89,Database!$F:$AY,MATCH($K$1,Database!$F$1:$AY$1,),))))-(((VLOOKUP(EDATE(B89,-12),Database!$F:$AY,MATCH($K$1,Database!$F$1:$AY$1,),)))))/(((VLOOKUP(EDATE(B89,-12),Database!$F:$AY,MATCH($K$1,Database!$F$1:$AY$1,),))))</f>
        <v/>
      </c>
      <c r="L89" s="13">
        <f>((((VLOOKUP(B89,Database!$F:$AY,MATCH($L$1,Database!$F$1:$AY$1,),))))-(((VLOOKUP(EDATE(B89,-12),Database!$F:$AY,MATCH($L$1,Database!$F$1:$AY$1,),)))))/(((VLOOKUP(EDATE(B89,-12),Database!$F:$AY,MATCH($L$1,Database!$F$1:$AY$1,),))))</f>
        <v/>
      </c>
      <c r="M89" s="13">
        <f>((((VLOOKUP(B89,Database!$F:$AY,MATCH($M$1,Database!$F$1:$AY$1,),))))-(((VLOOKUP(EDATE(B89,-12),Database!$F:$AY,MATCH($M$1,Database!$F$1:$AY$1,),)))))/(((VLOOKUP(EDATE(B89,-12),Database!$F:$AY,MATCH($M$1,Database!$F$1:$AY$1,),))))</f>
        <v/>
      </c>
      <c r="N89" s="13">
        <f>((((VLOOKUP(B89,Database!$F:$AY,MATCH($N$1,Database!$F$1:$AY$1,),))))-(((VLOOKUP(EDATE(B89,-12),Database!$F:$AY,MATCH($N$1,Database!$F$1:$AY$1,),)))))/(((VLOOKUP(EDATE(B89,-12),Database!$F:$AY,MATCH($N$1,Database!$F$1:$AY$1,),))))</f>
        <v/>
      </c>
      <c r="O89" s="13">
        <f>((((VLOOKUP(B89,Database!$F:$AY,MATCH($O$1,Database!$F$1:$AY$1,),))))-(((VLOOKUP(EDATE(B89,-12),Database!$F:$AY,MATCH($O$1,Database!$F$1:$AY$1,),)))))/(((VLOOKUP(EDATE(B89,-12),Database!$F:$AY,MATCH($O$1,Database!$F$1:$AY$1,),))))</f>
        <v/>
      </c>
      <c r="P89" s="13">
        <f>((((VLOOKUP(B89,Database!$F:$AY,MATCH($P$1,Database!$F$1:$AY$1,),))))-(((VLOOKUP(EDATE(B89,-12),Database!$F:$AY,MATCH($P$1,Database!$F$1:$AY$1,),)))))/(((VLOOKUP(EDATE(B89,-12),Database!$F:$AY,MATCH($P$1,Database!$F$1:$AY$1,),))))</f>
        <v/>
      </c>
      <c r="Q89" s="13">
        <f>((((VLOOKUP(B89,Database!$F:$AY,MATCH($Q$1,Database!$F$1:$AY$1,),))))-(((VLOOKUP(EDATE(B89,-12),Database!$F:$AY,MATCH($Q$1,Database!$F$1:$AY$1,),)))))/(((VLOOKUP(EDATE(B89,-12),Database!$F:$AY,MATCH($Q$1,Database!$F$1:$AY$1,),))))</f>
        <v/>
      </c>
      <c r="R89" s="13">
        <f>((((VLOOKUP(B89,Database!$F:$AY,MATCH($R$1,Database!$F$1:$AY$1,),))))-(((VLOOKUP(EDATE(B89,-12),Database!$F:$AY,MATCH($R$1,Database!$F$1:$AY$1,),)))))/(((VLOOKUP(EDATE(B89,-12),Database!$F:$AY,MATCH($R$1,Database!$F$1:$AY$1,),))))</f>
        <v/>
      </c>
      <c r="S89" s="13">
        <f>((((VLOOKUP(B89,Database!$F:$AY,MATCH($S$1,Database!$F$1:$AY$1,),))))-(((VLOOKUP(EDATE(B89,-12),Database!$F:$AY,MATCH($S$1,Database!$F$1:$AY$1,),)))))/(((VLOOKUP(EDATE(B89,-12),Database!$F:$AY,MATCH($S$1,Database!$F$1:$AY$1,),))))</f>
        <v/>
      </c>
      <c r="T89" s="13">
        <f>((((VLOOKUP(B89,Database!$F:$AY,MATCH($T$1,Database!$F$1:$AY$1,),))))-(((VLOOKUP(EDATE(B89,-12),Database!$F:$AY,MATCH($T$1,Database!$F$1:$AY$1,),)))))/(((VLOOKUP(EDATE(B89,-12),Database!$F:$AY,MATCH($T$1,Database!$F$1:$AY$1,),))))</f>
        <v/>
      </c>
      <c r="U89" s="13">
        <f>((((VLOOKUP(B89,Database!$F:$AY,MATCH($U$1,Database!$F$1:$AY$1,),))))-(((VLOOKUP(EDATE(B89,-12),Database!$F:$AY,MATCH($U$1,Database!$F$1:$AY$1,),)))))/(((VLOOKUP(EDATE(B89,-12),Database!$F:$AY,MATCH($U$1,Database!$F$1:$AY$1,),))))</f>
        <v/>
      </c>
      <c r="V89" s="13">
        <f>((((VLOOKUP(B89,Database!$F:$AY,MATCH($V$1,Database!$F$1:$AY$1,),))))-(((VLOOKUP(EDATE(B89,-12),Database!$F:$AY,MATCH($V$1,Database!$F$1:$AY$1,),)))))/(((VLOOKUP(EDATE(B89,-12),Database!$F:$AY,MATCH($V$1,Database!$F$1:$AY$1,),))))</f>
        <v/>
      </c>
    </row>
    <row r="90" customFormat="1" s="100">
      <c r="A90" s="45" t="n"/>
      <c r="B90" s="46" t="n">
        <v>34881</v>
      </c>
      <c r="C90" s="13">
        <f>((((VLOOKUP(B90,Database!$F:$AY,MATCH($C$1,Database!$F$1:$AY$1,),))))-(((VLOOKUP(EDATE(B90,-12),Database!$F:$AY,MATCH($C$1,Database!$F$1:$AY$1,),)))))/(((VLOOKUP(EDATE(B90,-12),Database!$F:$AY,MATCH($C$1,Database!$F$1:$AY$1,),))))</f>
        <v/>
      </c>
      <c r="D90" s="13">
        <f>((((VLOOKUP(B90,Database!$F:$AY,MATCH($D$1,Database!$F$1:$AY$1,),))))-(((VLOOKUP(EDATE(B90,-12),Database!$F:$AY,MATCH($D$1,Database!$F$1:$AY$1,),)))))/(((VLOOKUP(EDATE(B90,-12),Database!$F:$AY,MATCH($D$1,Database!$F$1:$AY$1,),))))</f>
        <v/>
      </c>
      <c r="E90" s="13">
        <f>((((VLOOKUP(B90,Database!$F:$AY,MATCH($E$1,Database!$F$1:$AY$1,),))))-(((VLOOKUP(EDATE(B90,-12),Database!$F:$AY,MATCH($E$1,Database!$F$1:$AY$1,),)))))/(((VLOOKUP(EDATE(B90,-12),Database!$F:$AY,MATCH($E$1,Database!$F$1:$AY$1,),))))</f>
        <v/>
      </c>
      <c r="F90" s="13">
        <f>((((VLOOKUP(B90,Database!$F:$AY,MATCH($F$1,Database!$F$1:$AY$1,),))))-(((VLOOKUP(EDATE(B90,-12),Database!$F:$AY,MATCH($F$1,Database!$F$1:$AY$1,),)))))/(((VLOOKUP(EDATE(B90,-12),Database!$F:$AY,MATCH($F$1,Database!$F$1:$AY$1,),))))</f>
        <v/>
      </c>
      <c r="G90" s="13">
        <f>((((VLOOKUP(B90,Database!$F:$AY,MATCH($G$1,Database!$F$1:$AY$1,),))))-(((VLOOKUP(EDATE(B90,-12),Database!$F:$AY,MATCH($G$1,Database!$F$1:$AY$1,),)))))/(((VLOOKUP(EDATE(B90,-12),Database!$F:$AY,MATCH($G$1,Database!$F$1:$AY$1,),))))</f>
        <v/>
      </c>
      <c r="H90" s="13">
        <f>((((VLOOKUP(B90,Database!$F:$AY,MATCH($H$1,Database!$F$1:$AY$1,),))))-(((VLOOKUP(EDATE(B90,-12),Database!$F:$AY,MATCH($H$1,Database!$F$1:$AY$1,),)))))/(((VLOOKUP(EDATE(B90,-12),Database!$F:$AY,MATCH($H$1,Database!$F$1:$AY$1,),))))</f>
        <v/>
      </c>
      <c r="I90" s="13">
        <f>((((VLOOKUP(B90,Database!$F:$AY,MATCH($I$1,Database!$F$1:$AY$1,),))))-(((VLOOKUP(EDATE(B90,-12),Database!$F:$AY,MATCH($I$1,Database!$F$1:$AY$1,),)))))/(((VLOOKUP(EDATE(B90,-12),Database!$F:$AY,MATCH($I$1,Database!$F$1:$AY$1,),))))</f>
        <v/>
      </c>
      <c r="J90" s="13">
        <f>((((VLOOKUP(B90,Database!$F:$AY,MATCH($J$1,Database!$F$1:$AY$1,),))))-(((VLOOKUP(EDATE(B90,-12),Database!$F:$AY,MATCH($J$1,Database!$F$1:$AY$1,),)))))/(((VLOOKUP(EDATE(B90,-12),Database!$F:$AY,MATCH($J$1,Database!$F$1:$AY$1,),))))</f>
        <v/>
      </c>
      <c r="K90" s="13">
        <f>((((VLOOKUP(B90,Database!$F:$AY,MATCH($K$1,Database!$F$1:$AY$1,),))))-(((VLOOKUP(EDATE(B90,-12),Database!$F:$AY,MATCH($K$1,Database!$F$1:$AY$1,),)))))/(((VLOOKUP(EDATE(B90,-12),Database!$F:$AY,MATCH($K$1,Database!$F$1:$AY$1,),))))</f>
        <v/>
      </c>
      <c r="L90" s="13">
        <f>((((VLOOKUP(B90,Database!$F:$AY,MATCH($L$1,Database!$F$1:$AY$1,),))))-(((VLOOKUP(EDATE(B90,-12),Database!$F:$AY,MATCH($L$1,Database!$F$1:$AY$1,),)))))/(((VLOOKUP(EDATE(B90,-12),Database!$F:$AY,MATCH($L$1,Database!$F$1:$AY$1,),))))</f>
        <v/>
      </c>
      <c r="M90" s="13">
        <f>((((VLOOKUP(B90,Database!$F:$AY,MATCH($M$1,Database!$F$1:$AY$1,),))))-(((VLOOKUP(EDATE(B90,-12),Database!$F:$AY,MATCH($M$1,Database!$F$1:$AY$1,),)))))/(((VLOOKUP(EDATE(B90,-12),Database!$F:$AY,MATCH($M$1,Database!$F$1:$AY$1,),))))</f>
        <v/>
      </c>
      <c r="N90" s="13">
        <f>((((VLOOKUP(B90,Database!$F:$AY,MATCH($N$1,Database!$F$1:$AY$1,),))))-(((VLOOKUP(EDATE(B90,-12),Database!$F:$AY,MATCH($N$1,Database!$F$1:$AY$1,),)))))/(((VLOOKUP(EDATE(B90,-12),Database!$F:$AY,MATCH($N$1,Database!$F$1:$AY$1,),))))</f>
        <v/>
      </c>
      <c r="O90" s="13">
        <f>((((VLOOKUP(B90,Database!$F:$AY,MATCH($O$1,Database!$F$1:$AY$1,),))))-(((VLOOKUP(EDATE(B90,-12),Database!$F:$AY,MATCH($O$1,Database!$F$1:$AY$1,),)))))/(((VLOOKUP(EDATE(B90,-12),Database!$F:$AY,MATCH($O$1,Database!$F$1:$AY$1,),))))</f>
        <v/>
      </c>
      <c r="P90" s="13">
        <f>((((VLOOKUP(B90,Database!$F:$AY,MATCH($P$1,Database!$F$1:$AY$1,),))))-(((VLOOKUP(EDATE(B90,-12),Database!$F:$AY,MATCH($P$1,Database!$F$1:$AY$1,),)))))/(((VLOOKUP(EDATE(B90,-12),Database!$F:$AY,MATCH($P$1,Database!$F$1:$AY$1,),))))</f>
        <v/>
      </c>
      <c r="Q90" s="13">
        <f>((((VLOOKUP(B90,Database!$F:$AY,MATCH($Q$1,Database!$F$1:$AY$1,),))))-(((VLOOKUP(EDATE(B90,-12),Database!$F:$AY,MATCH($Q$1,Database!$F$1:$AY$1,),)))))/(((VLOOKUP(EDATE(B90,-12),Database!$F:$AY,MATCH($Q$1,Database!$F$1:$AY$1,),))))</f>
        <v/>
      </c>
      <c r="R90" s="13">
        <f>((((VLOOKUP(B90,Database!$F:$AY,MATCH($R$1,Database!$F$1:$AY$1,),))))-(((VLOOKUP(EDATE(B90,-12),Database!$F:$AY,MATCH($R$1,Database!$F$1:$AY$1,),)))))/(((VLOOKUP(EDATE(B90,-12),Database!$F:$AY,MATCH($R$1,Database!$F$1:$AY$1,),))))</f>
        <v/>
      </c>
      <c r="S90" s="13">
        <f>((((VLOOKUP(B90,Database!$F:$AY,MATCH($S$1,Database!$F$1:$AY$1,),))))-(((VLOOKUP(EDATE(B90,-12),Database!$F:$AY,MATCH($S$1,Database!$F$1:$AY$1,),)))))/(((VLOOKUP(EDATE(B90,-12),Database!$F:$AY,MATCH($S$1,Database!$F$1:$AY$1,),))))</f>
        <v/>
      </c>
      <c r="T90" s="13">
        <f>((((VLOOKUP(B90,Database!$F:$AY,MATCH($T$1,Database!$F$1:$AY$1,),))))-(((VLOOKUP(EDATE(B90,-12),Database!$F:$AY,MATCH($T$1,Database!$F$1:$AY$1,),)))))/(((VLOOKUP(EDATE(B90,-12),Database!$F:$AY,MATCH($T$1,Database!$F$1:$AY$1,),))))</f>
        <v/>
      </c>
      <c r="U90" s="13">
        <f>((((VLOOKUP(B90,Database!$F:$AY,MATCH($U$1,Database!$F$1:$AY$1,),))))-(((VLOOKUP(EDATE(B90,-12),Database!$F:$AY,MATCH($U$1,Database!$F$1:$AY$1,),)))))/(((VLOOKUP(EDATE(B90,-12),Database!$F:$AY,MATCH($U$1,Database!$F$1:$AY$1,),))))</f>
        <v/>
      </c>
      <c r="V90" s="13">
        <f>((((VLOOKUP(B90,Database!$F:$AY,MATCH($V$1,Database!$F$1:$AY$1,),))))-(((VLOOKUP(EDATE(B90,-12),Database!$F:$AY,MATCH($V$1,Database!$F$1:$AY$1,),)))))/(((VLOOKUP(EDATE(B90,-12),Database!$F:$AY,MATCH($V$1,Database!$F$1:$AY$1,),))))</f>
        <v/>
      </c>
    </row>
    <row r="91" customFormat="1" s="100">
      <c r="A91" s="45" t="n"/>
      <c r="B91" s="46" t="n">
        <v>34912</v>
      </c>
      <c r="C91" s="13">
        <f>((((VLOOKUP(B91,Database!$F:$AY,MATCH($C$1,Database!$F$1:$AY$1,),))))-(((VLOOKUP(EDATE(B91,-12),Database!$F:$AY,MATCH($C$1,Database!$F$1:$AY$1,),)))))/(((VLOOKUP(EDATE(B91,-12),Database!$F:$AY,MATCH($C$1,Database!$F$1:$AY$1,),))))</f>
        <v/>
      </c>
      <c r="D91" s="13">
        <f>((((VLOOKUP(B91,Database!$F:$AY,MATCH($D$1,Database!$F$1:$AY$1,),))))-(((VLOOKUP(EDATE(B91,-12),Database!$F:$AY,MATCH($D$1,Database!$F$1:$AY$1,),)))))/(((VLOOKUP(EDATE(B91,-12),Database!$F:$AY,MATCH($D$1,Database!$F$1:$AY$1,),))))</f>
        <v/>
      </c>
      <c r="E91" s="13">
        <f>((((VLOOKUP(B91,Database!$F:$AY,MATCH($E$1,Database!$F$1:$AY$1,),))))-(((VLOOKUP(EDATE(B91,-12),Database!$F:$AY,MATCH($E$1,Database!$F$1:$AY$1,),)))))/(((VLOOKUP(EDATE(B91,-12),Database!$F:$AY,MATCH($E$1,Database!$F$1:$AY$1,),))))</f>
        <v/>
      </c>
      <c r="F91" s="13">
        <f>((((VLOOKUP(B91,Database!$F:$AY,MATCH($F$1,Database!$F$1:$AY$1,),))))-(((VLOOKUP(EDATE(B91,-12),Database!$F:$AY,MATCH($F$1,Database!$F$1:$AY$1,),)))))/(((VLOOKUP(EDATE(B91,-12),Database!$F:$AY,MATCH($F$1,Database!$F$1:$AY$1,),))))</f>
        <v/>
      </c>
      <c r="G91" s="13">
        <f>((((VLOOKUP(B91,Database!$F:$AY,MATCH($G$1,Database!$F$1:$AY$1,),))))-(((VLOOKUP(EDATE(B91,-12),Database!$F:$AY,MATCH($G$1,Database!$F$1:$AY$1,),)))))/(((VLOOKUP(EDATE(B91,-12),Database!$F:$AY,MATCH($G$1,Database!$F$1:$AY$1,),))))</f>
        <v/>
      </c>
      <c r="H91" s="13">
        <f>((((VLOOKUP(B91,Database!$F:$AY,MATCH($H$1,Database!$F$1:$AY$1,),))))-(((VLOOKUP(EDATE(B91,-12),Database!$F:$AY,MATCH($H$1,Database!$F$1:$AY$1,),)))))/(((VLOOKUP(EDATE(B91,-12),Database!$F:$AY,MATCH($H$1,Database!$F$1:$AY$1,),))))</f>
        <v/>
      </c>
      <c r="I91" s="13">
        <f>((((VLOOKUP(B91,Database!$F:$AY,MATCH($I$1,Database!$F$1:$AY$1,),))))-(((VLOOKUP(EDATE(B91,-12),Database!$F:$AY,MATCH($I$1,Database!$F$1:$AY$1,),)))))/(((VLOOKUP(EDATE(B91,-12),Database!$F:$AY,MATCH($I$1,Database!$F$1:$AY$1,),))))</f>
        <v/>
      </c>
      <c r="J91" s="13">
        <f>((((VLOOKUP(B91,Database!$F:$AY,MATCH($J$1,Database!$F$1:$AY$1,),))))-(((VLOOKUP(EDATE(B91,-12),Database!$F:$AY,MATCH($J$1,Database!$F$1:$AY$1,),)))))/(((VLOOKUP(EDATE(B91,-12),Database!$F:$AY,MATCH($J$1,Database!$F$1:$AY$1,),))))</f>
        <v/>
      </c>
      <c r="K91" s="13">
        <f>((((VLOOKUP(B91,Database!$F:$AY,MATCH($K$1,Database!$F$1:$AY$1,),))))-(((VLOOKUP(EDATE(B91,-12),Database!$F:$AY,MATCH($K$1,Database!$F$1:$AY$1,),)))))/(((VLOOKUP(EDATE(B91,-12),Database!$F:$AY,MATCH($K$1,Database!$F$1:$AY$1,),))))</f>
        <v/>
      </c>
      <c r="L91" s="13">
        <f>((((VLOOKUP(B91,Database!$F:$AY,MATCH($L$1,Database!$F$1:$AY$1,),))))-(((VLOOKUP(EDATE(B91,-12),Database!$F:$AY,MATCH($L$1,Database!$F$1:$AY$1,),)))))/(((VLOOKUP(EDATE(B91,-12),Database!$F:$AY,MATCH($L$1,Database!$F$1:$AY$1,),))))</f>
        <v/>
      </c>
      <c r="M91" s="13">
        <f>((((VLOOKUP(B91,Database!$F:$AY,MATCH($M$1,Database!$F$1:$AY$1,),))))-(((VLOOKUP(EDATE(B91,-12),Database!$F:$AY,MATCH($M$1,Database!$F$1:$AY$1,),)))))/(((VLOOKUP(EDATE(B91,-12),Database!$F:$AY,MATCH($M$1,Database!$F$1:$AY$1,),))))</f>
        <v/>
      </c>
      <c r="N91" s="13">
        <f>((((VLOOKUP(B91,Database!$F:$AY,MATCH($N$1,Database!$F$1:$AY$1,),))))-(((VLOOKUP(EDATE(B91,-12),Database!$F:$AY,MATCH($N$1,Database!$F$1:$AY$1,),)))))/(((VLOOKUP(EDATE(B91,-12),Database!$F:$AY,MATCH($N$1,Database!$F$1:$AY$1,),))))</f>
        <v/>
      </c>
      <c r="O91" s="13">
        <f>((((VLOOKUP(B91,Database!$F:$AY,MATCH($O$1,Database!$F$1:$AY$1,),))))-(((VLOOKUP(EDATE(B91,-12),Database!$F:$AY,MATCH($O$1,Database!$F$1:$AY$1,),)))))/(((VLOOKUP(EDATE(B91,-12),Database!$F:$AY,MATCH($O$1,Database!$F$1:$AY$1,),))))</f>
        <v/>
      </c>
      <c r="P91" s="13">
        <f>((((VLOOKUP(B91,Database!$F:$AY,MATCH($P$1,Database!$F$1:$AY$1,),))))-(((VLOOKUP(EDATE(B91,-12),Database!$F:$AY,MATCH($P$1,Database!$F$1:$AY$1,),)))))/(((VLOOKUP(EDATE(B91,-12),Database!$F:$AY,MATCH($P$1,Database!$F$1:$AY$1,),))))</f>
        <v/>
      </c>
      <c r="Q91" s="13">
        <f>((((VLOOKUP(B91,Database!$F:$AY,MATCH($Q$1,Database!$F$1:$AY$1,),))))-(((VLOOKUP(EDATE(B91,-12),Database!$F:$AY,MATCH($Q$1,Database!$F$1:$AY$1,),)))))/(((VLOOKUP(EDATE(B91,-12),Database!$F:$AY,MATCH($Q$1,Database!$F$1:$AY$1,),))))</f>
        <v/>
      </c>
      <c r="R91" s="13">
        <f>((((VLOOKUP(B91,Database!$F:$AY,MATCH($R$1,Database!$F$1:$AY$1,),))))-(((VLOOKUP(EDATE(B91,-12),Database!$F:$AY,MATCH($R$1,Database!$F$1:$AY$1,),)))))/(((VLOOKUP(EDATE(B91,-12),Database!$F:$AY,MATCH($R$1,Database!$F$1:$AY$1,),))))</f>
        <v/>
      </c>
      <c r="S91" s="13">
        <f>((((VLOOKUP(B91,Database!$F:$AY,MATCH($S$1,Database!$F$1:$AY$1,),))))-(((VLOOKUP(EDATE(B91,-12),Database!$F:$AY,MATCH($S$1,Database!$F$1:$AY$1,),)))))/(((VLOOKUP(EDATE(B91,-12),Database!$F:$AY,MATCH($S$1,Database!$F$1:$AY$1,),))))</f>
        <v/>
      </c>
      <c r="T91" s="13">
        <f>((((VLOOKUP(B91,Database!$F:$AY,MATCH($T$1,Database!$F$1:$AY$1,),))))-(((VLOOKUP(EDATE(B91,-12),Database!$F:$AY,MATCH($T$1,Database!$F$1:$AY$1,),)))))/(((VLOOKUP(EDATE(B91,-12),Database!$F:$AY,MATCH($T$1,Database!$F$1:$AY$1,),))))</f>
        <v/>
      </c>
      <c r="U91" s="13">
        <f>((((VLOOKUP(B91,Database!$F:$AY,MATCH($U$1,Database!$F$1:$AY$1,),))))-(((VLOOKUP(EDATE(B91,-12),Database!$F:$AY,MATCH($U$1,Database!$F$1:$AY$1,),)))))/(((VLOOKUP(EDATE(B91,-12),Database!$F:$AY,MATCH($U$1,Database!$F$1:$AY$1,),))))</f>
        <v/>
      </c>
      <c r="V91" s="13">
        <f>((((VLOOKUP(B91,Database!$F:$AY,MATCH($V$1,Database!$F$1:$AY$1,),))))-(((VLOOKUP(EDATE(B91,-12),Database!$F:$AY,MATCH($V$1,Database!$F$1:$AY$1,),)))))/(((VLOOKUP(EDATE(B91,-12),Database!$F:$AY,MATCH($V$1,Database!$F$1:$AY$1,),))))</f>
        <v/>
      </c>
    </row>
    <row r="92" customFormat="1" s="100">
      <c r="A92" s="45" t="n"/>
      <c r="B92" s="46" t="n">
        <v>34943</v>
      </c>
      <c r="C92" s="13">
        <f>((((VLOOKUP(B92,Database!$F:$AY,MATCH($C$1,Database!$F$1:$AY$1,),))))-(((VLOOKUP(EDATE(B92,-12),Database!$F:$AY,MATCH($C$1,Database!$F$1:$AY$1,),)))))/(((VLOOKUP(EDATE(B92,-12),Database!$F:$AY,MATCH($C$1,Database!$F$1:$AY$1,),))))</f>
        <v/>
      </c>
      <c r="D92" s="13">
        <f>((((VLOOKUP(B92,Database!$F:$AY,MATCH($D$1,Database!$F$1:$AY$1,),))))-(((VLOOKUP(EDATE(B92,-12),Database!$F:$AY,MATCH($D$1,Database!$F$1:$AY$1,),)))))/(((VLOOKUP(EDATE(B92,-12),Database!$F:$AY,MATCH($D$1,Database!$F$1:$AY$1,),))))</f>
        <v/>
      </c>
      <c r="E92" s="13">
        <f>((((VLOOKUP(B92,Database!$F:$AY,MATCH($E$1,Database!$F$1:$AY$1,),))))-(((VLOOKUP(EDATE(B92,-12),Database!$F:$AY,MATCH($E$1,Database!$F$1:$AY$1,),)))))/(((VLOOKUP(EDATE(B92,-12),Database!$F:$AY,MATCH($E$1,Database!$F$1:$AY$1,),))))</f>
        <v/>
      </c>
      <c r="F92" s="13">
        <f>((((VLOOKUP(B92,Database!$F:$AY,MATCH($F$1,Database!$F$1:$AY$1,),))))-(((VLOOKUP(EDATE(B92,-12),Database!$F:$AY,MATCH($F$1,Database!$F$1:$AY$1,),)))))/(((VLOOKUP(EDATE(B92,-12),Database!$F:$AY,MATCH($F$1,Database!$F$1:$AY$1,),))))</f>
        <v/>
      </c>
      <c r="G92" s="13">
        <f>((((VLOOKUP(B92,Database!$F:$AY,MATCH($G$1,Database!$F$1:$AY$1,),))))-(((VLOOKUP(EDATE(B92,-12),Database!$F:$AY,MATCH($G$1,Database!$F$1:$AY$1,),)))))/(((VLOOKUP(EDATE(B92,-12),Database!$F:$AY,MATCH($G$1,Database!$F$1:$AY$1,),))))</f>
        <v/>
      </c>
      <c r="H92" s="13">
        <f>((((VLOOKUP(B92,Database!$F:$AY,MATCH($H$1,Database!$F$1:$AY$1,),))))-(((VLOOKUP(EDATE(B92,-12),Database!$F:$AY,MATCH($H$1,Database!$F$1:$AY$1,),)))))/(((VLOOKUP(EDATE(B92,-12),Database!$F:$AY,MATCH($H$1,Database!$F$1:$AY$1,),))))</f>
        <v/>
      </c>
      <c r="I92" s="13">
        <f>((((VLOOKUP(B92,Database!$F:$AY,MATCH($I$1,Database!$F$1:$AY$1,),))))-(((VLOOKUP(EDATE(B92,-12),Database!$F:$AY,MATCH($I$1,Database!$F$1:$AY$1,),)))))/(((VLOOKUP(EDATE(B92,-12),Database!$F:$AY,MATCH($I$1,Database!$F$1:$AY$1,),))))</f>
        <v/>
      </c>
      <c r="J92" s="13">
        <f>((((VLOOKUP(B92,Database!$F:$AY,MATCH($J$1,Database!$F$1:$AY$1,),))))-(((VLOOKUP(EDATE(B92,-12),Database!$F:$AY,MATCH($J$1,Database!$F$1:$AY$1,),)))))/(((VLOOKUP(EDATE(B92,-12),Database!$F:$AY,MATCH($J$1,Database!$F$1:$AY$1,),))))</f>
        <v/>
      </c>
      <c r="K92" s="13">
        <f>((((VLOOKUP(B92,Database!$F:$AY,MATCH($K$1,Database!$F$1:$AY$1,),))))-(((VLOOKUP(EDATE(B92,-12),Database!$F:$AY,MATCH($K$1,Database!$F$1:$AY$1,),)))))/(((VLOOKUP(EDATE(B92,-12),Database!$F:$AY,MATCH($K$1,Database!$F$1:$AY$1,),))))</f>
        <v/>
      </c>
      <c r="L92" s="13">
        <f>((((VLOOKUP(B92,Database!$F:$AY,MATCH($L$1,Database!$F$1:$AY$1,),))))-(((VLOOKUP(EDATE(B92,-12),Database!$F:$AY,MATCH($L$1,Database!$F$1:$AY$1,),)))))/(((VLOOKUP(EDATE(B92,-12),Database!$F:$AY,MATCH($L$1,Database!$F$1:$AY$1,),))))</f>
        <v/>
      </c>
      <c r="M92" s="13">
        <f>((((VLOOKUP(B92,Database!$F:$AY,MATCH($M$1,Database!$F$1:$AY$1,),))))-(((VLOOKUP(EDATE(B92,-12),Database!$F:$AY,MATCH($M$1,Database!$F$1:$AY$1,),)))))/(((VLOOKUP(EDATE(B92,-12),Database!$F:$AY,MATCH($M$1,Database!$F$1:$AY$1,),))))</f>
        <v/>
      </c>
      <c r="N92" s="13">
        <f>((((VLOOKUP(B92,Database!$F:$AY,MATCH($N$1,Database!$F$1:$AY$1,),))))-(((VLOOKUP(EDATE(B92,-12),Database!$F:$AY,MATCH($N$1,Database!$F$1:$AY$1,),)))))/(((VLOOKUP(EDATE(B92,-12),Database!$F:$AY,MATCH($N$1,Database!$F$1:$AY$1,),))))</f>
        <v/>
      </c>
      <c r="O92" s="13">
        <f>((((VLOOKUP(B92,Database!$F:$AY,MATCH($O$1,Database!$F$1:$AY$1,),))))-(((VLOOKUP(EDATE(B92,-12),Database!$F:$AY,MATCH($O$1,Database!$F$1:$AY$1,),)))))/(((VLOOKUP(EDATE(B92,-12),Database!$F:$AY,MATCH($O$1,Database!$F$1:$AY$1,),))))</f>
        <v/>
      </c>
      <c r="P92" s="13">
        <f>((((VLOOKUP(B92,Database!$F:$AY,MATCH($P$1,Database!$F$1:$AY$1,),))))-(((VLOOKUP(EDATE(B92,-12),Database!$F:$AY,MATCH($P$1,Database!$F$1:$AY$1,),)))))/(((VLOOKUP(EDATE(B92,-12),Database!$F:$AY,MATCH($P$1,Database!$F$1:$AY$1,),))))</f>
        <v/>
      </c>
      <c r="Q92" s="13">
        <f>((((VLOOKUP(B92,Database!$F:$AY,MATCH($Q$1,Database!$F$1:$AY$1,),))))-(((VLOOKUP(EDATE(B92,-12),Database!$F:$AY,MATCH($Q$1,Database!$F$1:$AY$1,),)))))/(((VLOOKUP(EDATE(B92,-12),Database!$F:$AY,MATCH($Q$1,Database!$F$1:$AY$1,),))))</f>
        <v/>
      </c>
      <c r="R92" s="13">
        <f>((((VLOOKUP(B92,Database!$F:$AY,MATCH($R$1,Database!$F$1:$AY$1,),))))-(((VLOOKUP(EDATE(B92,-12),Database!$F:$AY,MATCH($R$1,Database!$F$1:$AY$1,),)))))/(((VLOOKUP(EDATE(B92,-12),Database!$F:$AY,MATCH($R$1,Database!$F$1:$AY$1,),))))</f>
        <v/>
      </c>
      <c r="S92" s="13">
        <f>((((VLOOKUP(B92,Database!$F:$AY,MATCH($S$1,Database!$F$1:$AY$1,),))))-(((VLOOKUP(EDATE(B92,-12),Database!$F:$AY,MATCH($S$1,Database!$F$1:$AY$1,),)))))/(((VLOOKUP(EDATE(B92,-12),Database!$F:$AY,MATCH($S$1,Database!$F$1:$AY$1,),))))</f>
        <v/>
      </c>
      <c r="T92" s="13">
        <f>((((VLOOKUP(B92,Database!$F:$AY,MATCH($T$1,Database!$F$1:$AY$1,),))))-(((VLOOKUP(EDATE(B92,-12),Database!$F:$AY,MATCH($T$1,Database!$F$1:$AY$1,),)))))/(((VLOOKUP(EDATE(B92,-12),Database!$F:$AY,MATCH($T$1,Database!$F$1:$AY$1,),))))</f>
        <v/>
      </c>
      <c r="U92" s="13">
        <f>((((VLOOKUP(B92,Database!$F:$AY,MATCH($U$1,Database!$F$1:$AY$1,),))))-(((VLOOKUP(EDATE(B92,-12),Database!$F:$AY,MATCH($U$1,Database!$F$1:$AY$1,),)))))/(((VLOOKUP(EDATE(B92,-12),Database!$F:$AY,MATCH($U$1,Database!$F$1:$AY$1,),))))</f>
        <v/>
      </c>
      <c r="V92" s="13">
        <f>((((VLOOKUP(B92,Database!$F:$AY,MATCH($V$1,Database!$F$1:$AY$1,),))))-(((VLOOKUP(EDATE(B92,-12),Database!$F:$AY,MATCH($V$1,Database!$F$1:$AY$1,),)))))/(((VLOOKUP(EDATE(B92,-12),Database!$F:$AY,MATCH($V$1,Database!$F$1:$AY$1,),))))</f>
        <v/>
      </c>
    </row>
    <row r="93" customFormat="1" s="100">
      <c r="A93" s="45" t="n"/>
      <c r="B93" s="46" t="n">
        <v>34973</v>
      </c>
      <c r="C93" s="13">
        <f>((((VLOOKUP(B93,Database!$F:$AY,MATCH($C$1,Database!$F$1:$AY$1,),))))-(((VLOOKUP(EDATE(B93,-12),Database!$F:$AY,MATCH($C$1,Database!$F$1:$AY$1,),)))))/(((VLOOKUP(EDATE(B93,-12),Database!$F:$AY,MATCH($C$1,Database!$F$1:$AY$1,),))))</f>
        <v/>
      </c>
      <c r="D93" s="13">
        <f>((((VLOOKUP(B93,Database!$F:$AY,MATCH($D$1,Database!$F$1:$AY$1,),))))-(((VLOOKUP(EDATE(B93,-12),Database!$F:$AY,MATCH($D$1,Database!$F$1:$AY$1,),)))))/(((VLOOKUP(EDATE(B93,-12),Database!$F:$AY,MATCH($D$1,Database!$F$1:$AY$1,),))))</f>
        <v/>
      </c>
      <c r="E93" s="13">
        <f>((((VLOOKUP(B93,Database!$F:$AY,MATCH($E$1,Database!$F$1:$AY$1,),))))-(((VLOOKUP(EDATE(B93,-12),Database!$F:$AY,MATCH($E$1,Database!$F$1:$AY$1,),)))))/(((VLOOKUP(EDATE(B93,-12),Database!$F:$AY,MATCH($E$1,Database!$F$1:$AY$1,),))))</f>
        <v/>
      </c>
      <c r="F93" s="13">
        <f>((((VLOOKUP(B93,Database!$F:$AY,MATCH($F$1,Database!$F$1:$AY$1,),))))-(((VLOOKUP(EDATE(B93,-12),Database!$F:$AY,MATCH($F$1,Database!$F$1:$AY$1,),)))))/(((VLOOKUP(EDATE(B93,-12),Database!$F:$AY,MATCH($F$1,Database!$F$1:$AY$1,),))))</f>
        <v/>
      </c>
      <c r="G93" s="13">
        <f>((((VLOOKUP(B93,Database!$F:$AY,MATCH($G$1,Database!$F$1:$AY$1,),))))-(((VLOOKUP(EDATE(B93,-12),Database!$F:$AY,MATCH($G$1,Database!$F$1:$AY$1,),)))))/(((VLOOKUP(EDATE(B93,-12),Database!$F:$AY,MATCH($G$1,Database!$F$1:$AY$1,),))))</f>
        <v/>
      </c>
      <c r="H93" s="13">
        <f>((((VLOOKUP(B93,Database!$F:$AY,MATCH($H$1,Database!$F$1:$AY$1,),))))-(((VLOOKUP(EDATE(B93,-12),Database!$F:$AY,MATCH($H$1,Database!$F$1:$AY$1,),)))))/(((VLOOKUP(EDATE(B93,-12),Database!$F:$AY,MATCH($H$1,Database!$F$1:$AY$1,),))))</f>
        <v/>
      </c>
      <c r="I93" s="13">
        <f>((((VLOOKUP(B93,Database!$F:$AY,MATCH($I$1,Database!$F$1:$AY$1,),))))-(((VLOOKUP(EDATE(B93,-12),Database!$F:$AY,MATCH($I$1,Database!$F$1:$AY$1,),)))))/(((VLOOKUP(EDATE(B93,-12),Database!$F:$AY,MATCH($I$1,Database!$F$1:$AY$1,),))))</f>
        <v/>
      </c>
      <c r="J93" s="13">
        <f>((((VLOOKUP(B93,Database!$F:$AY,MATCH($J$1,Database!$F$1:$AY$1,),))))-(((VLOOKUP(EDATE(B93,-12),Database!$F:$AY,MATCH($J$1,Database!$F$1:$AY$1,),)))))/(((VLOOKUP(EDATE(B93,-12),Database!$F:$AY,MATCH($J$1,Database!$F$1:$AY$1,),))))</f>
        <v/>
      </c>
      <c r="K93" s="13">
        <f>((((VLOOKUP(B93,Database!$F:$AY,MATCH($K$1,Database!$F$1:$AY$1,),))))-(((VLOOKUP(EDATE(B93,-12),Database!$F:$AY,MATCH($K$1,Database!$F$1:$AY$1,),)))))/(((VLOOKUP(EDATE(B93,-12),Database!$F:$AY,MATCH($K$1,Database!$F$1:$AY$1,),))))</f>
        <v/>
      </c>
      <c r="L93" s="13">
        <f>((((VLOOKUP(B93,Database!$F:$AY,MATCH($L$1,Database!$F$1:$AY$1,),))))-(((VLOOKUP(EDATE(B93,-12),Database!$F:$AY,MATCH($L$1,Database!$F$1:$AY$1,),)))))/(((VLOOKUP(EDATE(B93,-12),Database!$F:$AY,MATCH($L$1,Database!$F$1:$AY$1,),))))</f>
        <v/>
      </c>
      <c r="M93" s="13">
        <f>((((VLOOKUP(B93,Database!$F:$AY,MATCH($M$1,Database!$F$1:$AY$1,),))))-(((VLOOKUP(EDATE(B93,-12),Database!$F:$AY,MATCH($M$1,Database!$F$1:$AY$1,),)))))/(((VLOOKUP(EDATE(B93,-12),Database!$F:$AY,MATCH($M$1,Database!$F$1:$AY$1,),))))</f>
        <v/>
      </c>
      <c r="N93" s="13">
        <f>((((VLOOKUP(B93,Database!$F:$AY,MATCH($N$1,Database!$F$1:$AY$1,),))))-(((VLOOKUP(EDATE(B93,-12),Database!$F:$AY,MATCH($N$1,Database!$F$1:$AY$1,),)))))/(((VLOOKUP(EDATE(B93,-12),Database!$F:$AY,MATCH($N$1,Database!$F$1:$AY$1,),))))</f>
        <v/>
      </c>
      <c r="O93" s="13">
        <f>((((VLOOKUP(B93,Database!$F:$AY,MATCH($O$1,Database!$F$1:$AY$1,),))))-(((VLOOKUP(EDATE(B93,-12),Database!$F:$AY,MATCH($O$1,Database!$F$1:$AY$1,),)))))/(((VLOOKUP(EDATE(B93,-12),Database!$F:$AY,MATCH($O$1,Database!$F$1:$AY$1,),))))</f>
        <v/>
      </c>
      <c r="P93" s="13">
        <f>((((VLOOKUP(B93,Database!$F:$AY,MATCH($P$1,Database!$F$1:$AY$1,),))))-(((VLOOKUP(EDATE(B93,-12),Database!$F:$AY,MATCH($P$1,Database!$F$1:$AY$1,),)))))/(((VLOOKUP(EDATE(B93,-12),Database!$F:$AY,MATCH($P$1,Database!$F$1:$AY$1,),))))</f>
        <v/>
      </c>
      <c r="Q93" s="13">
        <f>((((VLOOKUP(B93,Database!$F:$AY,MATCH($Q$1,Database!$F$1:$AY$1,),))))-(((VLOOKUP(EDATE(B93,-12),Database!$F:$AY,MATCH($Q$1,Database!$F$1:$AY$1,),)))))/(((VLOOKUP(EDATE(B93,-12),Database!$F:$AY,MATCH($Q$1,Database!$F$1:$AY$1,),))))</f>
        <v/>
      </c>
      <c r="R93" s="13">
        <f>((((VLOOKUP(B93,Database!$F:$AY,MATCH($R$1,Database!$F$1:$AY$1,),))))-(((VLOOKUP(EDATE(B93,-12),Database!$F:$AY,MATCH($R$1,Database!$F$1:$AY$1,),)))))/(((VLOOKUP(EDATE(B93,-12),Database!$F:$AY,MATCH($R$1,Database!$F$1:$AY$1,),))))</f>
        <v/>
      </c>
      <c r="S93" s="13">
        <f>((((VLOOKUP(B93,Database!$F:$AY,MATCH($S$1,Database!$F$1:$AY$1,),))))-(((VLOOKUP(EDATE(B93,-12),Database!$F:$AY,MATCH($S$1,Database!$F$1:$AY$1,),)))))/(((VLOOKUP(EDATE(B93,-12),Database!$F:$AY,MATCH($S$1,Database!$F$1:$AY$1,),))))</f>
        <v/>
      </c>
      <c r="T93" s="13">
        <f>((((VLOOKUP(B93,Database!$F:$AY,MATCH($T$1,Database!$F$1:$AY$1,),))))-(((VLOOKUP(EDATE(B93,-12),Database!$F:$AY,MATCH($T$1,Database!$F$1:$AY$1,),)))))/(((VLOOKUP(EDATE(B93,-12),Database!$F:$AY,MATCH($T$1,Database!$F$1:$AY$1,),))))</f>
        <v/>
      </c>
      <c r="U93" s="13">
        <f>((((VLOOKUP(B93,Database!$F:$AY,MATCH($U$1,Database!$F$1:$AY$1,),))))-(((VLOOKUP(EDATE(B93,-12),Database!$F:$AY,MATCH($U$1,Database!$F$1:$AY$1,),)))))/(((VLOOKUP(EDATE(B93,-12),Database!$F:$AY,MATCH($U$1,Database!$F$1:$AY$1,),))))</f>
        <v/>
      </c>
      <c r="V93" s="13">
        <f>((((VLOOKUP(B93,Database!$F:$AY,MATCH($V$1,Database!$F$1:$AY$1,),))))-(((VLOOKUP(EDATE(B93,-12),Database!$F:$AY,MATCH($V$1,Database!$F$1:$AY$1,),)))))/(((VLOOKUP(EDATE(B93,-12),Database!$F:$AY,MATCH($V$1,Database!$F$1:$AY$1,),))))</f>
        <v/>
      </c>
    </row>
    <row r="94" customFormat="1" s="100">
      <c r="A94" s="45" t="n"/>
      <c r="B94" s="46" t="n">
        <v>35004</v>
      </c>
      <c r="C94" s="13">
        <f>((((VLOOKUP(B94,Database!$F:$AY,MATCH($C$1,Database!$F$1:$AY$1,),))))-(((VLOOKUP(EDATE(B94,-12),Database!$F:$AY,MATCH($C$1,Database!$F$1:$AY$1,),)))))/(((VLOOKUP(EDATE(B94,-12),Database!$F:$AY,MATCH($C$1,Database!$F$1:$AY$1,),))))</f>
        <v/>
      </c>
      <c r="D94" s="13">
        <f>((((VLOOKUP(B94,Database!$F:$AY,MATCH($D$1,Database!$F$1:$AY$1,),))))-(((VLOOKUP(EDATE(B94,-12),Database!$F:$AY,MATCH($D$1,Database!$F$1:$AY$1,),)))))/(((VLOOKUP(EDATE(B94,-12),Database!$F:$AY,MATCH($D$1,Database!$F$1:$AY$1,),))))</f>
        <v/>
      </c>
      <c r="E94" s="13">
        <f>((((VLOOKUP(B94,Database!$F:$AY,MATCH($E$1,Database!$F$1:$AY$1,),))))-(((VLOOKUP(EDATE(B94,-12),Database!$F:$AY,MATCH($E$1,Database!$F$1:$AY$1,),)))))/(((VLOOKUP(EDATE(B94,-12),Database!$F:$AY,MATCH($E$1,Database!$F$1:$AY$1,),))))</f>
        <v/>
      </c>
      <c r="F94" s="13">
        <f>((((VLOOKUP(B94,Database!$F:$AY,MATCH($F$1,Database!$F$1:$AY$1,),))))-(((VLOOKUP(EDATE(B94,-12),Database!$F:$AY,MATCH($F$1,Database!$F$1:$AY$1,),)))))/(((VLOOKUP(EDATE(B94,-12),Database!$F:$AY,MATCH($F$1,Database!$F$1:$AY$1,),))))</f>
        <v/>
      </c>
      <c r="G94" s="13">
        <f>((((VLOOKUP(B94,Database!$F:$AY,MATCH($G$1,Database!$F$1:$AY$1,),))))-(((VLOOKUP(EDATE(B94,-12),Database!$F:$AY,MATCH($G$1,Database!$F$1:$AY$1,),)))))/(((VLOOKUP(EDATE(B94,-12),Database!$F:$AY,MATCH($G$1,Database!$F$1:$AY$1,),))))</f>
        <v/>
      </c>
      <c r="H94" s="13">
        <f>((((VLOOKUP(B94,Database!$F:$AY,MATCH($H$1,Database!$F$1:$AY$1,),))))-(((VLOOKUP(EDATE(B94,-12),Database!$F:$AY,MATCH($H$1,Database!$F$1:$AY$1,),)))))/(((VLOOKUP(EDATE(B94,-12),Database!$F:$AY,MATCH($H$1,Database!$F$1:$AY$1,),))))</f>
        <v/>
      </c>
      <c r="I94" s="13">
        <f>((((VLOOKUP(B94,Database!$F:$AY,MATCH($I$1,Database!$F$1:$AY$1,),))))-(((VLOOKUP(EDATE(B94,-12),Database!$F:$AY,MATCH($I$1,Database!$F$1:$AY$1,),)))))/(((VLOOKUP(EDATE(B94,-12),Database!$F:$AY,MATCH($I$1,Database!$F$1:$AY$1,),))))</f>
        <v/>
      </c>
      <c r="J94" s="13">
        <f>((((VLOOKUP(B94,Database!$F:$AY,MATCH($J$1,Database!$F$1:$AY$1,),))))-(((VLOOKUP(EDATE(B94,-12),Database!$F:$AY,MATCH($J$1,Database!$F$1:$AY$1,),)))))/(((VLOOKUP(EDATE(B94,-12),Database!$F:$AY,MATCH($J$1,Database!$F$1:$AY$1,),))))</f>
        <v/>
      </c>
      <c r="K94" s="13">
        <f>((((VLOOKUP(B94,Database!$F:$AY,MATCH($K$1,Database!$F$1:$AY$1,),))))-(((VLOOKUP(EDATE(B94,-12),Database!$F:$AY,MATCH($K$1,Database!$F$1:$AY$1,),)))))/(((VLOOKUP(EDATE(B94,-12),Database!$F:$AY,MATCH($K$1,Database!$F$1:$AY$1,),))))</f>
        <v/>
      </c>
      <c r="L94" s="13">
        <f>((((VLOOKUP(B94,Database!$F:$AY,MATCH($L$1,Database!$F$1:$AY$1,),))))-(((VLOOKUP(EDATE(B94,-12),Database!$F:$AY,MATCH($L$1,Database!$F$1:$AY$1,),)))))/(((VLOOKUP(EDATE(B94,-12),Database!$F:$AY,MATCH($L$1,Database!$F$1:$AY$1,),))))</f>
        <v/>
      </c>
      <c r="M94" s="13">
        <f>((((VLOOKUP(B94,Database!$F:$AY,MATCH($M$1,Database!$F$1:$AY$1,),))))-(((VLOOKUP(EDATE(B94,-12),Database!$F:$AY,MATCH($M$1,Database!$F$1:$AY$1,),)))))/(((VLOOKUP(EDATE(B94,-12),Database!$F:$AY,MATCH($M$1,Database!$F$1:$AY$1,),))))</f>
        <v/>
      </c>
      <c r="N94" s="13">
        <f>((((VLOOKUP(B94,Database!$F:$AY,MATCH($N$1,Database!$F$1:$AY$1,),))))-(((VLOOKUP(EDATE(B94,-12),Database!$F:$AY,MATCH($N$1,Database!$F$1:$AY$1,),)))))/(((VLOOKUP(EDATE(B94,-12),Database!$F:$AY,MATCH($N$1,Database!$F$1:$AY$1,),))))</f>
        <v/>
      </c>
      <c r="O94" s="13">
        <f>((((VLOOKUP(B94,Database!$F:$AY,MATCH($O$1,Database!$F$1:$AY$1,),))))-(((VLOOKUP(EDATE(B94,-12),Database!$F:$AY,MATCH($O$1,Database!$F$1:$AY$1,),)))))/(((VLOOKUP(EDATE(B94,-12),Database!$F:$AY,MATCH($O$1,Database!$F$1:$AY$1,),))))</f>
        <v/>
      </c>
      <c r="P94" s="13">
        <f>((((VLOOKUP(B94,Database!$F:$AY,MATCH($P$1,Database!$F$1:$AY$1,),))))-(((VLOOKUP(EDATE(B94,-12),Database!$F:$AY,MATCH($P$1,Database!$F$1:$AY$1,),)))))/(((VLOOKUP(EDATE(B94,-12),Database!$F:$AY,MATCH($P$1,Database!$F$1:$AY$1,),))))</f>
        <v/>
      </c>
      <c r="Q94" s="13">
        <f>((((VLOOKUP(B94,Database!$F:$AY,MATCH($Q$1,Database!$F$1:$AY$1,),))))-(((VLOOKUP(EDATE(B94,-12),Database!$F:$AY,MATCH($Q$1,Database!$F$1:$AY$1,),)))))/(((VLOOKUP(EDATE(B94,-12),Database!$F:$AY,MATCH($Q$1,Database!$F$1:$AY$1,),))))</f>
        <v/>
      </c>
      <c r="R94" s="13">
        <f>((((VLOOKUP(B94,Database!$F:$AY,MATCH($R$1,Database!$F$1:$AY$1,),))))-(((VLOOKUP(EDATE(B94,-12),Database!$F:$AY,MATCH($R$1,Database!$F$1:$AY$1,),)))))/(((VLOOKUP(EDATE(B94,-12),Database!$F:$AY,MATCH($R$1,Database!$F$1:$AY$1,),))))</f>
        <v/>
      </c>
      <c r="S94" s="13">
        <f>((((VLOOKUP(B94,Database!$F:$AY,MATCH($S$1,Database!$F$1:$AY$1,),))))-(((VLOOKUP(EDATE(B94,-12),Database!$F:$AY,MATCH($S$1,Database!$F$1:$AY$1,),)))))/(((VLOOKUP(EDATE(B94,-12),Database!$F:$AY,MATCH($S$1,Database!$F$1:$AY$1,),))))</f>
        <v/>
      </c>
      <c r="T94" s="13">
        <f>((((VLOOKUP(B94,Database!$F:$AY,MATCH($T$1,Database!$F$1:$AY$1,),))))-(((VLOOKUP(EDATE(B94,-12),Database!$F:$AY,MATCH($T$1,Database!$F$1:$AY$1,),)))))/(((VLOOKUP(EDATE(B94,-12),Database!$F:$AY,MATCH($T$1,Database!$F$1:$AY$1,),))))</f>
        <v/>
      </c>
      <c r="U94" s="13">
        <f>((((VLOOKUP(B94,Database!$F:$AY,MATCH($U$1,Database!$F$1:$AY$1,),))))-(((VLOOKUP(EDATE(B94,-12),Database!$F:$AY,MATCH($U$1,Database!$F$1:$AY$1,),)))))/(((VLOOKUP(EDATE(B94,-12),Database!$F:$AY,MATCH($U$1,Database!$F$1:$AY$1,),))))</f>
        <v/>
      </c>
      <c r="V94" s="13">
        <f>((((VLOOKUP(B94,Database!$F:$AY,MATCH($V$1,Database!$F$1:$AY$1,),))))-(((VLOOKUP(EDATE(B94,-12),Database!$F:$AY,MATCH($V$1,Database!$F$1:$AY$1,),)))))/(((VLOOKUP(EDATE(B94,-12),Database!$F:$AY,MATCH($V$1,Database!$F$1:$AY$1,),))))</f>
        <v/>
      </c>
    </row>
    <row r="95" customFormat="1" s="100">
      <c r="A95" s="45" t="n"/>
      <c r="B95" s="46" t="n">
        <v>35034</v>
      </c>
      <c r="C95" s="13">
        <f>((((VLOOKUP(B95,Database!$F:$AY,MATCH($C$1,Database!$F$1:$AY$1,),))))-(((VLOOKUP(EDATE(B95,-12),Database!$F:$AY,MATCH($C$1,Database!$F$1:$AY$1,),)))))/(((VLOOKUP(EDATE(B95,-12),Database!$F:$AY,MATCH($C$1,Database!$F$1:$AY$1,),))))</f>
        <v/>
      </c>
      <c r="D95" s="13">
        <f>((((VLOOKUP(B95,Database!$F:$AY,MATCH($D$1,Database!$F$1:$AY$1,),))))-(((VLOOKUP(EDATE(B95,-12),Database!$F:$AY,MATCH($D$1,Database!$F$1:$AY$1,),)))))/(((VLOOKUP(EDATE(B95,-12),Database!$F:$AY,MATCH($D$1,Database!$F$1:$AY$1,),))))</f>
        <v/>
      </c>
      <c r="E95" s="13">
        <f>((((VLOOKUP(B95,Database!$F:$AY,MATCH($E$1,Database!$F$1:$AY$1,),))))-(((VLOOKUP(EDATE(B95,-12),Database!$F:$AY,MATCH($E$1,Database!$F$1:$AY$1,),)))))/(((VLOOKUP(EDATE(B95,-12),Database!$F:$AY,MATCH($E$1,Database!$F$1:$AY$1,),))))</f>
        <v/>
      </c>
      <c r="F95" s="13">
        <f>((((VLOOKUP(B95,Database!$F:$AY,MATCH($F$1,Database!$F$1:$AY$1,),))))-(((VLOOKUP(EDATE(B95,-12),Database!$F:$AY,MATCH($F$1,Database!$F$1:$AY$1,),)))))/(((VLOOKUP(EDATE(B95,-12),Database!$F:$AY,MATCH($F$1,Database!$F$1:$AY$1,),))))</f>
        <v/>
      </c>
      <c r="G95" s="13">
        <f>((((VLOOKUP(B95,Database!$F:$AY,MATCH($G$1,Database!$F$1:$AY$1,),))))-(((VLOOKUP(EDATE(B95,-12),Database!$F:$AY,MATCH($G$1,Database!$F$1:$AY$1,),)))))/(((VLOOKUP(EDATE(B95,-12),Database!$F:$AY,MATCH($G$1,Database!$F$1:$AY$1,),))))</f>
        <v/>
      </c>
      <c r="H95" s="13">
        <f>((((VLOOKUP(B95,Database!$F:$AY,MATCH($H$1,Database!$F$1:$AY$1,),))))-(((VLOOKUP(EDATE(B95,-12),Database!$F:$AY,MATCH($H$1,Database!$F$1:$AY$1,),)))))/(((VLOOKUP(EDATE(B95,-12),Database!$F:$AY,MATCH($H$1,Database!$F$1:$AY$1,),))))</f>
        <v/>
      </c>
      <c r="I95" s="13">
        <f>((((VLOOKUP(B95,Database!$F:$AY,MATCH($I$1,Database!$F$1:$AY$1,),))))-(((VLOOKUP(EDATE(B95,-12),Database!$F:$AY,MATCH($I$1,Database!$F$1:$AY$1,),)))))/(((VLOOKUP(EDATE(B95,-12),Database!$F:$AY,MATCH($I$1,Database!$F$1:$AY$1,),))))</f>
        <v/>
      </c>
      <c r="J95" s="13">
        <f>((((VLOOKUP(B95,Database!$F:$AY,MATCH($J$1,Database!$F$1:$AY$1,),))))-(((VLOOKUP(EDATE(B95,-12),Database!$F:$AY,MATCH($J$1,Database!$F$1:$AY$1,),)))))/(((VLOOKUP(EDATE(B95,-12),Database!$F:$AY,MATCH($J$1,Database!$F$1:$AY$1,),))))</f>
        <v/>
      </c>
      <c r="K95" s="13">
        <f>((((VLOOKUP(B95,Database!$F:$AY,MATCH($K$1,Database!$F$1:$AY$1,),))))-(((VLOOKUP(EDATE(B95,-12),Database!$F:$AY,MATCH($K$1,Database!$F$1:$AY$1,),)))))/(((VLOOKUP(EDATE(B95,-12),Database!$F:$AY,MATCH($K$1,Database!$F$1:$AY$1,),))))</f>
        <v/>
      </c>
      <c r="L95" s="13">
        <f>((((VLOOKUP(B95,Database!$F:$AY,MATCH($L$1,Database!$F$1:$AY$1,),))))-(((VLOOKUP(EDATE(B95,-12),Database!$F:$AY,MATCH($L$1,Database!$F$1:$AY$1,),)))))/(((VLOOKUP(EDATE(B95,-12),Database!$F:$AY,MATCH($L$1,Database!$F$1:$AY$1,),))))</f>
        <v/>
      </c>
      <c r="M95" s="13">
        <f>((((VLOOKUP(B95,Database!$F:$AY,MATCH($M$1,Database!$F$1:$AY$1,),))))-(((VLOOKUP(EDATE(B95,-12),Database!$F:$AY,MATCH($M$1,Database!$F$1:$AY$1,),)))))/(((VLOOKUP(EDATE(B95,-12),Database!$F:$AY,MATCH($M$1,Database!$F$1:$AY$1,),))))</f>
        <v/>
      </c>
      <c r="N95" s="13">
        <f>((((VLOOKUP(B95,Database!$F:$AY,MATCH($N$1,Database!$F$1:$AY$1,),))))-(((VLOOKUP(EDATE(B95,-12),Database!$F:$AY,MATCH($N$1,Database!$F$1:$AY$1,),)))))/(((VLOOKUP(EDATE(B95,-12),Database!$F:$AY,MATCH($N$1,Database!$F$1:$AY$1,),))))</f>
        <v/>
      </c>
      <c r="O95" s="13">
        <f>((((VLOOKUP(B95,Database!$F:$AY,MATCH($O$1,Database!$F$1:$AY$1,),))))-(((VLOOKUP(EDATE(B95,-12),Database!$F:$AY,MATCH($O$1,Database!$F$1:$AY$1,),)))))/(((VLOOKUP(EDATE(B95,-12),Database!$F:$AY,MATCH($O$1,Database!$F$1:$AY$1,),))))</f>
        <v/>
      </c>
      <c r="P95" s="13">
        <f>((((VLOOKUP(B95,Database!$F:$AY,MATCH($P$1,Database!$F$1:$AY$1,),))))-(((VLOOKUP(EDATE(B95,-12),Database!$F:$AY,MATCH($P$1,Database!$F$1:$AY$1,),)))))/(((VLOOKUP(EDATE(B95,-12),Database!$F:$AY,MATCH($P$1,Database!$F$1:$AY$1,),))))</f>
        <v/>
      </c>
      <c r="Q95" s="13">
        <f>((((VLOOKUP(B95,Database!$F:$AY,MATCH($Q$1,Database!$F$1:$AY$1,),))))-(((VLOOKUP(EDATE(B95,-12),Database!$F:$AY,MATCH($Q$1,Database!$F$1:$AY$1,),)))))/(((VLOOKUP(EDATE(B95,-12),Database!$F:$AY,MATCH($Q$1,Database!$F$1:$AY$1,),))))</f>
        <v/>
      </c>
      <c r="R95" s="13">
        <f>((((VLOOKUP(B95,Database!$F:$AY,MATCH($R$1,Database!$F$1:$AY$1,),))))-(((VLOOKUP(EDATE(B95,-12),Database!$F:$AY,MATCH($R$1,Database!$F$1:$AY$1,),)))))/(((VLOOKUP(EDATE(B95,-12),Database!$F:$AY,MATCH($R$1,Database!$F$1:$AY$1,),))))</f>
        <v/>
      </c>
      <c r="S95" s="13">
        <f>((((VLOOKUP(B95,Database!$F:$AY,MATCH($S$1,Database!$F$1:$AY$1,),))))-(((VLOOKUP(EDATE(B95,-12),Database!$F:$AY,MATCH($S$1,Database!$F$1:$AY$1,),)))))/(((VLOOKUP(EDATE(B95,-12),Database!$F:$AY,MATCH($S$1,Database!$F$1:$AY$1,),))))</f>
        <v/>
      </c>
      <c r="T95" s="13">
        <f>((((VLOOKUP(B95,Database!$F:$AY,MATCH($T$1,Database!$F$1:$AY$1,),))))-(((VLOOKUP(EDATE(B95,-12),Database!$F:$AY,MATCH($T$1,Database!$F$1:$AY$1,),)))))/(((VLOOKUP(EDATE(B95,-12),Database!$F:$AY,MATCH($T$1,Database!$F$1:$AY$1,),))))</f>
        <v/>
      </c>
      <c r="U95" s="13">
        <f>((((VLOOKUP(B95,Database!$F:$AY,MATCH($U$1,Database!$F$1:$AY$1,),))))-(((VLOOKUP(EDATE(B95,-12),Database!$F:$AY,MATCH($U$1,Database!$F$1:$AY$1,),)))))/(((VLOOKUP(EDATE(B95,-12),Database!$F:$AY,MATCH($U$1,Database!$F$1:$AY$1,),))))</f>
        <v/>
      </c>
      <c r="V95" s="13">
        <f>((((VLOOKUP(B95,Database!$F:$AY,MATCH($V$1,Database!$F$1:$AY$1,),))))-(((VLOOKUP(EDATE(B95,-12),Database!$F:$AY,MATCH($V$1,Database!$F$1:$AY$1,),)))))/(((VLOOKUP(EDATE(B95,-12),Database!$F:$AY,MATCH($V$1,Database!$F$1:$AY$1,),))))</f>
        <v/>
      </c>
    </row>
    <row r="96" customFormat="1" s="100">
      <c r="A96" s="45" t="n"/>
      <c r="B96" s="46" t="n">
        <v>35065</v>
      </c>
      <c r="C96" s="13">
        <f>((((VLOOKUP(B96,Database!$F:$AY,MATCH($C$1,Database!$F$1:$AY$1,),))))-(((VLOOKUP(EDATE(B96,-12),Database!$F:$AY,MATCH($C$1,Database!$F$1:$AY$1,),)))))/(((VLOOKUP(EDATE(B96,-12),Database!$F:$AY,MATCH($C$1,Database!$F$1:$AY$1,),))))</f>
        <v/>
      </c>
      <c r="D96" s="13">
        <f>((((VLOOKUP(B96,Database!$F:$AY,MATCH($D$1,Database!$F$1:$AY$1,),))))-(((VLOOKUP(EDATE(B96,-12),Database!$F:$AY,MATCH($D$1,Database!$F$1:$AY$1,),)))))/(((VLOOKUP(EDATE(B96,-12),Database!$F:$AY,MATCH($D$1,Database!$F$1:$AY$1,),))))</f>
        <v/>
      </c>
      <c r="E96" s="13">
        <f>((((VLOOKUP(B96,Database!$F:$AY,MATCH($E$1,Database!$F$1:$AY$1,),))))-(((VLOOKUP(EDATE(B96,-12),Database!$F:$AY,MATCH($E$1,Database!$F$1:$AY$1,),)))))/(((VLOOKUP(EDATE(B96,-12),Database!$F:$AY,MATCH($E$1,Database!$F$1:$AY$1,),))))</f>
        <v/>
      </c>
      <c r="F96" s="13">
        <f>((((VLOOKUP(B96,Database!$F:$AY,MATCH($F$1,Database!$F$1:$AY$1,),))))-(((VLOOKUP(EDATE(B96,-12),Database!$F:$AY,MATCH($F$1,Database!$F$1:$AY$1,),)))))/(((VLOOKUP(EDATE(B96,-12),Database!$F:$AY,MATCH($F$1,Database!$F$1:$AY$1,),))))</f>
        <v/>
      </c>
      <c r="G96" s="13">
        <f>((((VLOOKUP(B96,Database!$F:$AY,MATCH($G$1,Database!$F$1:$AY$1,),))))-(((VLOOKUP(EDATE(B96,-12),Database!$F:$AY,MATCH($G$1,Database!$F$1:$AY$1,),)))))/(((VLOOKUP(EDATE(B96,-12),Database!$F:$AY,MATCH($G$1,Database!$F$1:$AY$1,),))))</f>
        <v/>
      </c>
      <c r="H96" s="13">
        <f>((((VLOOKUP(B96,Database!$F:$AY,MATCH($H$1,Database!$F$1:$AY$1,),))))-(((VLOOKUP(EDATE(B96,-12),Database!$F:$AY,MATCH($H$1,Database!$F$1:$AY$1,),)))))/(((VLOOKUP(EDATE(B96,-12),Database!$F:$AY,MATCH($H$1,Database!$F$1:$AY$1,),))))</f>
        <v/>
      </c>
      <c r="I96" s="13">
        <f>((((VLOOKUP(B96,Database!$F:$AY,MATCH($I$1,Database!$F$1:$AY$1,),))))-(((VLOOKUP(EDATE(B96,-12),Database!$F:$AY,MATCH($I$1,Database!$F$1:$AY$1,),)))))/(((VLOOKUP(EDATE(B96,-12),Database!$F:$AY,MATCH($I$1,Database!$F$1:$AY$1,),))))</f>
        <v/>
      </c>
      <c r="J96" s="13">
        <f>((((VLOOKUP(B96,Database!$F:$AY,MATCH($J$1,Database!$F$1:$AY$1,),))))-(((VLOOKUP(EDATE(B96,-12),Database!$F:$AY,MATCH($J$1,Database!$F$1:$AY$1,),)))))/(((VLOOKUP(EDATE(B96,-12),Database!$F:$AY,MATCH($J$1,Database!$F$1:$AY$1,),))))</f>
        <v/>
      </c>
      <c r="K96" s="13">
        <f>((((VLOOKUP(B96,Database!$F:$AY,MATCH($K$1,Database!$F$1:$AY$1,),))))-(((VLOOKUP(EDATE(B96,-12),Database!$F:$AY,MATCH($K$1,Database!$F$1:$AY$1,),)))))/(((VLOOKUP(EDATE(B96,-12),Database!$F:$AY,MATCH($K$1,Database!$F$1:$AY$1,),))))</f>
        <v/>
      </c>
      <c r="L96" s="13">
        <f>((((VLOOKUP(B96,Database!$F:$AY,MATCH($L$1,Database!$F$1:$AY$1,),))))-(((VLOOKUP(EDATE(B96,-12),Database!$F:$AY,MATCH($L$1,Database!$F$1:$AY$1,),)))))/(((VLOOKUP(EDATE(B96,-12),Database!$F:$AY,MATCH($L$1,Database!$F$1:$AY$1,),))))</f>
        <v/>
      </c>
      <c r="M96" s="13">
        <f>((((VLOOKUP(B96,Database!$F:$AY,MATCH($M$1,Database!$F$1:$AY$1,),))))-(((VLOOKUP(EDATE(B96,-12),Database!$F:$AY,MATCH($M$1,Database!$F$1:$AY$1,),)))))/(((VLOOKUP(EDATE(B96,-12),Database!$F:$AY,MATCH($M$1,Database!$F$1:$AY$1,),))))</f>
        <v/>
      </c>
      <c r="N96" s="13">
        <f>((((VLOOKUP(B96,Database!$F:$AY,MATCH($N$1,Database!$F$1:$AY$1,),))))-(((VLOOKUP(EDATE(B96,-12),Database!$F:$AY,MATCH($N$1,Database!$F$1:$AY$1,),)))))/(((VLOOKUP(EDATE(B96,-12),Database!$F:$AY,MATCH($N$1,Database!$F$1:$AY$1,),))))</f>
        <v/>
      </c>
      <c r="O96" s="13">
        <f>((((VLOOKUP(B96,Database!$F:$AY,MATCH($O$1,Database!$F$1:$AY$1,),))))-(((VLOOKUP(EDATE(B96,-12),Database!$F:$AY,MATCH($O$1,Database!$F$1:$AY$1,),)))))/(((VLOOKUP(EDATE(B96,-12),Database!$F:$AY,MATCH($O$1,Database!$F$1:$AY$1,),))))</f>
        <v/>
      </c>
      <c r="P96" s="13">
        <f>((((VLOOKUP(B96,Database!$F:$AY,MATCH($P$1,Database!$F$1:$AY$1,),))))-(((VLOOKUP(EDATE(B96,-12),Database!$F:$AY,MATCH($P$1,Database!$F$1:$AY$1,),)))))/(((VLOOKUP(EDATE(B96,-12),Database!$F:$AY,MATCH($P$1,Database!$F$1:$AY$1,),))))</f>
        <v/>
      </c>
      <c r="Q96" s="13">
        <f>((((VLOOKUP(B96,Database!$F:$AY,MATCH($Q$1,Database!$F$1:$AY$1,),))))-(((VLOOKUP(EDATE(B96,-12),Database!$F:$AY,MATCH($Q$1,Database!$F$1:$AY$1,),)))))/(((VLOOKUP(EDATE(B96,-12),Database!$F:$AY,MATCH($Q$1,Database!$F$1:$AY$1,),))))</f>
        <v/>
      </c>
      <c r="R96" s="13">
        <f>((((VLOOKUP(B96,Database!$F:$AY,MATCH($R$1,Database!$F$1:$AY$1,),))))-(((VLOOKUP(EDATE(B96,-12),Database!$F:$AY,MATCH($R$1,Database!$F$1:$AY$1,),)))))/(((VLOOKUP(EDATE(B96,-12),Database!$F:$AY,MATCH($R$1,Database!$F$1:$AY$1,),))))</f>
        <v/>
      </c>
      <c r="S96" s="13">
        <f>((((VLOOKUP(B96,Database!$F:$AY,MATCH($S$1,Database!$F$1:$AY$1,),))))-(((VLOOKUP(EDATE(B96,-12),Database!$F:$AY,MATCH($S$1,Database!$F$1:$AY$1,),)))))/(((VLOOKUP(EDATE(B96,-12),Database!$F:$AY,MATCH($S$1,Database!$F$1:$AY$1,),))))</f>
        <v/>
      </c>
      <c r="T96" s="13">
        <f>((((VLOOKUP(B96,Database!$F:$AY,MATCH($T$1,Database!$F$1:$AY$1,),))))-(((VLOOKUP(EDATE(B96,-12),Database!$F:$AY,MATCH($T$1,Database!$F$1:$AY$1,),)))))/(((VLOOKUP(EDATE(B96,-12),Database!$F:$AY,MATCH($T$1,Database!$F$1:$AY$1,),))))</f>
        <v/>
      </c>
      <c r="U96" s="13">
        <f>((((VLOOKUP(B96,Database!$F:$AY,MATCH($U$1,Database!$F$1:$AY$1,),))))-(((VLOOKUP(EDATE(B96,-12),Database!$F:$AY,MATCH($U$1,Database!$F$1:$AY$1,),)))))/(((VLOOKUP(EDATE(B96,-12),Database!$F:$AY,MATCH($U$1,Database!$F$1:$AY$1,),))))</f>
        <v/>
      </c>
      <c r="V96" s="13">
        <f>((((VLOOKUP(B96,Database!$F:$AY,MATCH($V$1,Database!$F$1:$AY$1,),))))-(((VLOOKUP(EDATE(B96,-12),Database!$F:$AY,MATCH($V$1,Database!$F$1:$AY$1,),)))))/(((VLOOKUP(EDATE(B96,-12),Database!$F:$AY,MATCH($V$1,Database!$F$1:$AY$1,),))))</f>
        <v/>
      </c>
    </row>
    <row r="97" customFormat="1" s="100">
      <c r="A97" s="45" t="n"/>
      <c r="B97" s="46" t="n">
        <v>35096</v>
      </c>
      <c r="C97" s="13">
        <f>((((VLOOKUP(B97,Database!$F:$AY,MATCH($C$1,Database!$F$1:$AY$1,),))))-(((VLOOKUP(EDATE(B97,-12),Database!$F:$AY,MATCH($C$1,Database!$F$1:$AY$1,),)))))/(((VLOOKUP(EDATE(B97,-12),Database!$F:$AY,MATCH($C$1,Database!$F$1:$AY$1,),))))</f>
        <v/>
      </c>
      <c r="D97" s="13">
        <f>((((VLOOKUP(B97,Database!$F:$AY,MATCH($D$1,Database!$F$1:$AY$1,),))))-(((VLOOKUP(EDATE(B97,-12),Database!$F:$AY,MATCH($D$1,Database!$F$1:$AY$1,),)))))/(((VLOOKUP(EDATE(B97,-12),Database!$F:$AY,MATCH($D$1,Database!$F$1:$AY$1,),))))</f>
        <v/>
      </c>
      <c r="E97" s="13">
        <f>((((VLOOKUP(B97,Database!$F:$AY,MATCH($E$1,Database!$F$1:$AY$1,),))))-(((VLOOKUP(EDATE(B97,-12),Database!$F:$AY,MATCH($E$1,Database!$F$1:$AY$1,),)))))/(((VLOOKUP(EDATE(B97,-12),Database!$F:$AY,MATCH($E$1,Database!$F$1:$AY$1,),))))</f>
        <v/>
      </c>
      <c r="F97" s="13">
        <f>((((VLOOKUP(B97,Database!$F:$AY,MATCH($F$1,Database!$F$1:$AY$1,),))))-(((VLOOKUP(EDATE(B97,-12),Database!$F:$AY,MATCH($F$1,Database!$F$1:$AY$1,),)))))/(((VLOOKUP(EDATE(B97,-12),Database!$F:$AY,MATCH($F$1,Database!$F$1:$AY$1,),))))</f>
        <v/>
      </c>
      <c r="G97" s="13">
        <f>((((VLOOKUP(B97,Database!$F:$AY,MATCH($G$1,Database!$F$1:$AY$1,),))))-(((VLOOKUP(EDATE(B97,-12),Database!$F:$AY,MATCH($G$1,Database!$F$1:$AY$1,),)))))/(((VLOOKUP(EDATE(B97,-12),Database!$F:$AY,MATCH($G$1,Database!$F$1:$AY$1,),))))</f>
        <v/>
      </c>
      <c r="H97" s="13">
        <f>((((VLOOKUP(B97,Database!$F:$AY,MATCH($H$1,Database!$F$1:$AY$1,),))))-(((VLOOKUP(EDATE(B97,-12),Database!$F:$AY,MATCH($H$1,Database!$F$1:$AY$1,),)))))/(((VLOOKUP(EDATE(B97,-12),Database!$F:$AY,MATCH($H$1,Database!$F$1:$AY$1,),))))</f>
        <v/>
      </c>
      <c r="I97" s="13">
        <f>((((VLOOKUP(B97,Database!$F:$AY,MATCH($I$1,Database!$F$1:$AY$1,),))))-(((VLOOKUP(EDATE(B97,-12),Database!$F:$AY,MATCH($I$1,Database!$F$1:$AY$1,),)))))/(((VLOOKUP(EDATE(B97,-12),Database!$F:$AY,MATCH($I$1,Database!$F$1:$AY$1,),))))</f>
        <v/>
      </c>
      <c r="J97" s="13">
        <f>((((VLOOKUP(B97,Database!$F:$AY,MATCH($J$1,Database!$F$1:$AY$1,),))))-(((VLOOKUP(EDATE(B97,-12),Database!$F:$AY,MATCH($J$1,Database!$F$1:$AY$1,),)))))/(((VLOOKUP(EDATE(B97,-12),Database!$F:$AY,MATCH($J$1,Database!$F$1:$AY$1,),))))</f>
        <v/>
      </c>
      <c r="K97" s="13">
        <f>((((VLOOKUP(B97,Database!$F:$AY,MATCH($K$1,Database!$F$1:$AY$1,),))))-(((VLOOKUP(EDATE(B97,-12),Database!$F:$AY,MATCH($K$1,Database!$F$1:$AY$1,),)))))/(((VLOOKUP(EDATE(B97,-12),Database!$F:$AY,MATCH($K$1,Database!$F$1:$AY$1,),))))</f>
        <v/>
      </c>
      <c r="L97" s="13">
        <f>((((VLOOKUP(B97,Database!$F:$AY,MATCH($L$1,Database!$F$1:$AY$1,),))))-(((VLOOKUP(EDATE(B97,-12),Database!$F:$AY,MATCH($L$1,Database!$F$1:$AY$1,),)))))/(((VLOOKUP(EDATE(B97,-12),Database!$F:$AY,MATCH($L$1,Database!$F$1:$AY$1,),))))</f>
        <v/>
      </c>
      <c r="M97" s="13">
        <f>((((VLOOKUP(B97,Database!$F:$AY,MATCH($M$1,Database!$F$1:$AY$1,),))))-(((VLOOKUP(EDATE(B97,-12),Database!$F:$AY,MATCH($M$1,Database!$F$1:$AY$1,),)))))/(((VLOOKUP(EDATE(B97,-12),Database!$F:$AY,MATCH($M$1,Database!$F$1:$AY$1,),))))</f>
        <v/>
      </c>
      <c r="N97" s="13">
        <f>((((VLOOKUP(B97,Database!$F:$AY,MATCH($N$1,Database!$F$1:$AY$1,),))))-(((VLOOKUP(EDATE(B97,-12),Database!$F:$AY,MATCH($N$1,Database!$F$1:$AY$1,),)))))/(((VLOOKUP(EDATE(B97,-12),Database!$F:$AY,MATCH($N$1,Database!$F$1:$AY$1,),))))</f>
        <v/>
      </c>
      <c r="O97" s="13">
        <f>((((VLOOKUP(B97,Database!$F:$AY,MATCH($O$1,Database!$F$1:$AY$1,),))))-(((VLOOKUP(EDATE(B97,-12),Database!$F:$AY,MATCH($O$1,Database!$F$1:$AY$1,),)))))/(((VLOOKUP(EDATE(B97,-12),Database!$F:$AY,MATCH($O$1,Database!$F$1:$AY$1,),))))</f>
        <v/>
      </c>
      <c r="P97" s="13">
        <f>((((VLOOKUP(B97,Database!$F:$AY,MATCH($P$1,Database!$F$1:$AY$1,),))))-(((VLOOKUP(EDATE(B97,-12),Database!$F:$AY,MATCH($P$1,Database!$F$1:$AY$1,),)))))/(((VLOOKUP(EDATE(B97,-12),Database!$F:$AY,MATCH($P$1,Database!$F$1:$AY$1,),))))</f>
        <v/>
      </c>
      <c r="Q97" s="13">
        <f>((((VLOOKUP(B97,Database!$F:$AY,MATCH($Q$1,Database!$F$1:$AY$1,),))))-(((VLOOKUP(EDATE(B97,-12),Database!$F:$AY,MATCH($Q$1,Database!$F$1:$AY$1,),)))))/(((VLOOKUP(EDATE(B97,-12),Database!$F:$AY,MATCH($Q$1,Database!$F$1:$AY$1,),))))</f>
        <v/>
      </c>
      <c r="R97" s="13">
        <f>((((VLOOKUP(B97,Database!$F:$AY,MATCH($R$1,Database!$F$1:$AY$1,),))))-(((VLOOKUP(EDATE(B97,-12),Database!$F:$AY,MATCH($R$1,Database!$F$1:$AY$1,),)))))/(((VLOOKUP(EDATE(B97,-12),Database!$F:$AY,MATCH($R$1,Database!$F$1:$AY$1,),))))</f>
        <v/>
      </c>
      <c r="S97" s="13">
        <f>((((VLOOKUP(B97,Database!$F:$AY,MATCH($S$1,Database!$F$1:$AY$1,),))))-(((VLOOKUP(EDATE(B97,-12),Database!$F:$AY,MATCH($S$1,Database!$F$1:$AY$1,),)))))/(((VLOOKUP(EDATE(B97,-12),Database!$F:$AY,MATCH($S$1,Database!$F$1:$AY$1,),))))</f>
        <v/>
      </c>
      <c r="T97" s="13">
        <f>((((VLOOKUP(B97,Database!$F:$AY,MATCH($T$1,Database!$F$1:$AY$1,),))))-(((VLOOKUP(EDATE(B97,-12),Database!$F:$AY,MATCH($T$1,Database!$F$1:$AY$1,),)))))/(((VLOOKUP(EDATE(B97,-12),Database!$F:$AY,MATCH($T$1,Database!$F$1:$AY$1,),))))</f>
        <v/>
      </c>
      <c r="U97" s="13">
        <f>((((VLOOKUP(B97,Database!$F:$AY,MATCH($U$1,Database!$F$1:$AY$1,),))))-(((VLOOKUP(EDATE(B97,-12),Database!$F:$AY,MATCH($U$1,Database!$F$1:$AY$1,),)))))/(((VLOOKUP(EDATE(B97,-12),Database!$F:$AY,MATCH($U$1,Database!$F$1:$AY$1,),))))</f>
        <v/>
      </c>
      <c r="V97" s="13">
        <f>((((VLOOKUP(B97,Database!$F:$AY,MATCH($V$1,Database!$F$1:$AY$1,),))))-(((VLOOKUP(EDATE(B97,-12),Database!$F:$AY,MATCH($V$1,Database!$F$1:$AY$1,),)))))/(((VLOOKUP(EDATE(B97,-12),Database!$F:$AY,MATCH($V$1,Database!$F$1:$AY$1,),))))</f>
        <v/>
      </c>
    </row>
    <row r="98" customFormat="1" s="100">
      <c r="A98" s="45" t="n"/>
      <c r="B98" s="46" t="n">
        <v>35125</v>
      </c>
      <c r="C98" s="13">
        <f>((((VLOOKUP(B98,Database!$F:$AY,MATCH($C$1,Database!$F$1:$AY$1,),))))-(((VLOOKUP(EDATE(B98,-12),Database!$F:$AY,MATCH($C$1,Database!$F$1:$AY$1,),)))))/(((VLOOKUP(EDATE(B98,-12),Database!$F:$AY,MATCH($C$1,Database!$F$1:$AY$1,),))))</f>
        <v/>
      </c>
      <c r="D98" s="13">
        <f>((((VLOOKUP(B98,Database!$F:$AY,MATCH($D$1,Database!$F$1:$AY$1,),))))-(((VLOOKUP(EDATE(B98,-12),Database!$F:$AY,MATCH($D$1,Database!$F$1:$AY$1,),)))))/(((VLOOKUP(EDATE(B98,-12),Database!$F:$AY,MATCH($D$1,Database!$F$1:$AY$1,),))))</f>
        <v/>
      </c>
      <c r="E98" s="13">
        <f>((((VLOOKUP(B98,Database!$F:$AY,MATCH($E$1,Database!$F$1:$AY$1,),))))-(((VLOOKUP(EDATE(B98,-12),Database!$F:$AY,MATCH($E$1,Database!$F$1:$AY$1,),)))))/(((VLOOKUP(EDATE(B98,-12),Database!$F:$AY,MATCH($E$1,Database!$F$1:$AY$1,),))))</f>
        <v/>
      </c>
      <c r="F98" s="13">
        <f>((((VLOOKUP(B98,Database!$F:$AY,MATCH($F$1,Database!$F$1:$AY$1,),))))-(((VLOOKUP(EDATE(B98,-12),Database!$F:$AY,MATCH($F$1,Database!$F$1:$AY$1,),)))))/(((VLOOKUP(EDATE(B98,-12),Database!$F:$AY,MATCH($F$1,Database!$F$1:$AY$1,),))))</f>
        <v/>
      </c>
      <c r="G98" s="13">
        <f>((((VLOOKUP(B98,Database!$F:$AY,MATCH($G$1,Database!$F$1:$AY$1,),))))-(((VLOOKUP(EDATE(B98,-12),Database!$F:$AY,MATCH($G$1,Database!$F$1:$AY$1,),)))))/(((VLOOKUP(EDATE(B98,-12),Database!$F:$AY,MATCH($G$1,Database!$F$1:$AY$1,),))))</f>
        <v/>
      </c>
      <c r="H98" s="13">
        <f>((((VLOOKUP(B98,Database!$F:$AY,MATCH($H$1,Database!$F$1:$AY$1,),))))-(((VLOOKUP(EDATE(B98,-12),Database!$F:$AY,MATCH($H$1,Database!$F$1:$AY$1,),)))))/(((VLOOKUP(EDATE(B98,-12),Database!$F:$AY,MATCH($H$1,Database!$F$1:$AY$1,),))))</f>
        <v/>
      </c>
      <c r="I98" s="13">
        <f>((((VLOOKUP(B98,Database!$F:$AY,MATCH($I$1,Database!$F$1:$AY$1,),))))-(((VLOOKUP(EDATE(B98,-12),Database!$F:$AY,MATCH($I$1,Database!$F$1:$AY$1,),)))))/(((VLOOKUP(EDATE(B98,-12),Database!$F:$AY,MATCH($I$1,Database!$F$1:$AY$1,),))))</f>
        <v/>
      </c>
      <c r="J98" s="13">
        <f>((((VLOOKUP(B98,Database!$F:$AY,MATCH($J$1,Database!$F$1:$AY$1,),))))-(((VLOOKUP(EDATE(B98,-12),Database!$F:$AY,MATCH($J$1,Database!$F$1:$AY$1,),)))))/(((VLOOKUP(EDATE(B98,-12),Database!$F:$AY,MATCH($J$1,Database!$F$1:$AY$1,),))))</f>
        <v/>
      </c>
      <c r="K98" s="13">
        <f>((((VLOOKUP(B98,Database!$F:$AY,MATCH($K$1,Database!$F$1:$AY$1,),))))-(((VLOOKUP(EDATE(B98,-12),Database!$F:$AY,MATCH($K$1,Database!$F$1:$AY$1,),)))))/(((VLOOKUP(EDATE(B98,-12),Database!$F:$AY,MATCH($K$1,Database!$F$1:$AY$1,),))))</f>
        <v/>
      </c>
      <c r="L98" s="13">
        <f>((((VLOOKUP(B98,Database!$F:$AY,MATCH($L$1,Database!$F$1:$AY$1,),))))-(((VLOOKUP(EDATE(B98,-12),Database!$F:$AY,MATCH($L$1,Database!$F$1:$AY$1,),)))))/(((VLOOKUP(EDATE(B98,-12),Database!$F:$AY,MATCH($L$1,Database!$F$1:$AY$1,),))))</f>
        <v/>
      </c>
      <c r="M98" s="13">
        <f>((((VLOOKUP(B98,Database!$F:$AY,MATCH($M$1,Database!$F$1:$AY$1,),))))-(((VLOOKUP(EDATE(B98,-12),Database!$F:$AY,MATCH($M$1,Database!$F$1:$AY$1,),)))))/(((VLOOKUP(EDATE(B98,-12),Database!$F:$AY,MATCH($M$1,Database!$F$1:$AY$1,),))))</f>
        <v/>
      </c>
      <c r="N98" s="13">
        <f>((((VLOOKUP(B98,Database!$F:$AY,MATCH($N$1,Database!$F$1:$AY$1,),))))-(((VLOOKUP(EDATE(B98,-12),Database!$F:$AY,MATCH($N$1,Database!$F$1:$AY$1,),)))))/(((VLOOKUP(EDATE(B98,-12),Database!$F:$AY,MATCH($N$1,Database!$F$1:$AY$1,),))))</f>
        <v/>
      </c>
      <c r="O98" s="13">
        <f>((((VLOOKUP(B98,Database!$F:$AY,MATCH($O$1,Database!$F$1:$AY$1,),))))-(((VLOOKUP(EDATE(B98,-12),Database!$F:$AY,MATCH($O$1,Database!$F$1:$AY$1,),)))))/(((VLOOKUP(EDATE(B98,-12),Database!$F:$AY,MATCH($O$1,Database!$F$1:$AY$1,),))))</f>
        <v/>
      </c>
      <c r="P98" s="13">
        <f>((((VLOOKUP(B98,Database!$F:$AY,MATCH($P$1,Database!$F$1:$AY$1,),))))-(((VLOOKUP(EDATE(B98,-12),Database!$F:$AY,MATCH($P$1,Database!$F$1:$AY$1,),)))))/(((VLOOKUP(EDATE(B98,-12),Database!$F:$AY,MATCH($P$1,Database!$F$1:$AY$1,),))))</f>
        <v/>
      </c>
      <c r="Q98" s="13">
        <f>((((VLOOKUP(B98,Database!$F:$AY,MATCH($Q$1,Database!$F$1:$AY$1,),))))-(((VLOOKUP(EDATE(B98,-12),Database!$F:$AY,MATCH($Q$1,Database!$F$1:$AY$1,),)))))/(((VLOOKUP(EDATE(B98,-12),Database!$F:$AY,MATCH($Q$1,Database!$F$1:$AY$1,),))))</f>
        <v/>
      </c>
      <c r="R98" s="13">
        <f>((((VLOOKUP(B98,Database!$F:$AY,MATCH($R$1,Database!$F$1:$AY$1,),))))-(((VLOOKUP(EDATE(B98,-12),Database!$F:$AY,MATCH($R$1,Database!$F$1:$AY$1,),)))))/(((VLOOKUP(EDATE(B98,-12),Database!$F:$AY,MATCH($R$1,Database!$F$1:$AY$1,),))))</f>
        <v/>
      </c>
      <c r="S98" s="13">
        <f>((((VLOOKUP(B98,Database!$F:$AY,MATCH($S$1,Database!$F$1:$AY$1,),))))-(((VLOOKUP(EDATE(B98,-12),Database!$F:$AY,MATCH($S$1,Database!$F$1:$AY$1,),)))))/(((VLOOKUP(EDATE(B98,-12),Database!$F:$AY,MATCH($S$1,Database!$F$1:$AY$1,),))))</f>
        <v/>
      </c>
      <c r="T98" s="13">
        <f>((((VLOOKUP(B98,Database!$F:$AY,MATCH($T$1,Database!$F$1:$AY$1,),))))-(((VLOOKUP(EDATE(B98,-12),Database!$F:$AY,MATCH($T$1,Database!$F$1:$AY$1,),)))))/(((VLOOKUP(EDATE(B98,-12),Database!$F:$AY,MATCH($T$1,Database!$F$1:$AY$1,),))))</f>
        <v/>
      </c>
      <c r="U98" s="13">
        <f>((((VLOOKUP(B98,Database!$F:$AY,MATCH($U$1,Database!$F$1:$AY$1,),))))-(((VLOOKUP(EDATE(B98,-12),Database!$F:$AY,MATCH($U$1,Database!$F$1:$AY$1,),)))))/(((VLOOKUP(EDATE(B98,-12),Database!$F:$AY,MATCH($U$1,Database!$F$1:$AY$1,),))))</f>
        <v/>
      </c>
      <c r="V98" s="13">
        <f>((((VLOOKUP(B98,Database!$F:$AY,MATCH($V$1,Database!$F$1:$AY$1,),))))-(((VLOOKUP(EDATE(B98,-12),Database!$F:$AY,MATCH($V$1,Database!$F$1:$AY$1,),)))))/(((VLOOKUP(EDATE(B98,-12),Database!$F:$AY,MATCH($V$1,Database!$F$1:$AY$1,),))))</f>
        <v/>
      </c>
    </row>
    <row r="99" customFormat="1" s="100">
      <c r="A99" s="45" t="n"/>
      <c r="B99" s="46" t="n">
        <v>35156</v>
      </c>
      <c r="C99" s="13">
        <f>((((VLOOKUP(B99,Database!$F:$AY,MATCH($C$1,Database!$F$1:$AY$1,),))))-(((VLOOKUP(EDATE(B99,-12),Database!$F:$AY,MATCH($C$1,Database!$F$1:$AY$1,),)))))/(((VLOOKUP(EDATE(B99,-12),Database!$F:$AY,MATCH($C$1,Database!$F$1:$AY$1,),))))</f>
        <v/>
      </c>
      <c r="D99" s="13">
        <f>((((VLOOKUP(B99,Database!$F:$AY,MATCH($D$1,Database!$F$1:$AY$1,),))))-(((VLOOKUP(EDATE(B99,-12),Database!$F:$AY,MATCH($D$1,Database!$F$1:$AY$1,),)))))/(((VLOOKUP(EDATE(B99,-12),Database!$F:$AY,MATCH($D$1,Database!$F$1:$AY$1,),))))</f>
        <v/>
      </c>
      <c r="E99" s="13">
        <f>((((VLOOKUP(B99,Database!$F:$AY,MATCH($E$1,Database!$F$1:$AY$1,),))))-(((VLOOKUP(EDATE(B99,-12),Database!$F:$AY,MATCH($E$1,Database!$F$1:$AY$1,),)))))/(((VLOOKUP(EDATE(B99,-12),Database!$F:$AY,MATCH($E$1,Database!$F$1:$AY$1,),))))</f>
        <v/>
      </c>
      <c r="F99" s="13">
        <f>((((VLOOKUP(B99,Database!$F:$AY,MATCH($F$1,Database!$F$1:$AY$1,),))))-(((VLOOKUP(EDATE(B99,-12),Database!$F:$AY,MATCH($F$1,Database!$F$1:$AY$1,),)))))/(((VLOOKUP(EDATE(B99,-12),Database!$F:$AY,MATCH($F$1,Database!$F$1:$AY$1,),))))</f>
        <v/>
      </c>
      <c r="G99" s="13">
        <f>((((VLOOKUP(B99,Database!$F:$AY,MATCH($G$1,Database!$F$1:$AY$1,),))))-(((VLOOKUP(EDATE(B99,-12),Database!$F:$AY,MATCH($G$1,Database!$F$1:$AY$1,),)))))/(((VLOOKUP(EDATE(B99,-12),Database!$F:$AY,MATCH($G$1,Database!$F$1:$AY$1,),))))</f>
        <v/>
      </c>
      <c r="H99" s="13">
        <f>((((VLOOKUP(B99,Database!$F:$AY,MATCH($H$1,Database!$F$1:$AY$1,),))))-(((VLOOKUP(EDATE(B99,-12),Database!$F:$AY,MATCH($H$1,Database!$F$1:$AY$1,),)))))/(((VLOOKUP(EDATE(B99,-12),Database!$F:$AY,MATCH($H$1,Database!$F$1:$AY$1,),))))</f>
        <v/>
      </c>
      <c r="I99" s="13">
        <f>((((VLOOKUP(B99,Database!$F:$AY,MATCH($I$1,Database!$F$1:$AY$1,),))))-(((VLOOKUP(EDATE(B99,-12),Database!$F:$AY,MATCH($I$1,Database!$F$1:$AY$1,),)))))/(((VLOOKUP(EDATE(B99,-12),Database!$F:$AY,MATCH($I$1,Database!$F$1:$AY$1,),))))</f>
        <v/>
      </c>
      <c r="J99" s="13">
        <f>((((VLOOKUP(B99,Database!$F:$AY,MATCH($J$1,Database!$F$1:$AY$1,),))))-(((VLOOKUP(EDATE(B99,-12),Database!$F:$AY,MATCH($J$1,Database!$F$1:$AY$1,),)))))/(((VLOOKUP(EDATE(B99,-12),Database!$F:$AY,MATCH($J$1,Database!$F$1:$AY$1,),))))</f>
        <v/>
      </c>
      <c r="K99" s="13">
        <f>((((VLOOKUP(B99,Database!$F:$AY,MATCH($K$1,Database!$F$1:$AY$1,),))))-(((VLOOKUP(EDATE(B99,-12),Database!$F:$AY,MATCH($K$1,Database!$F$1:$AY$1,),)))))/(((VLOOKUP(EDATE(B99,-12),Database!$F:$AY,MATCH($K$1,Database!$F$1:$AY$1,),))))</f>
        <v/>
      </c>
      <c r="L99" s="13">
        <f>((((VLOOKUP(B99,Database!$F:$AY,MATCH($L$1,Database!$F$1:$AY$1,),))))-(((VLOOKUP(EDATE(B99,-12),Database!$F:$AY,MATCH($L$1,Database!$F$1:$AY$1,),)))))/(((VLOOKUP(EDATE(B99,-12),Database!$F:$AY,MATCH($L$1,Database!$F$1:$AY$1,),))))</f>
        <v/>
      </c>
      <c r="M99" s="13">
        <f>((((VLOOKUP(B99,Database!$F:$AY,MATCH($M$1,Database!$F$1:$AY$1,),))))-(((VLOOKUP(EDATE(B99,-12),Database!$F:$AY,MATCH($M$1,Database!$F$1:$AY$1,),)))))/(((VLOOKUP(EDATE(B99,-12),Database!$F:$AY,MATCH($M$1,Database!$F$1:$AY$1,),))))</f>
        <v/>
      </c>
      <c r="N99" s="13">
        <f>((((VLOOKUP(B99,Database!$F:$AY,MATCH($N$1,Database!$F$1:$AY$1,),))))-(((VLOOKUP(EDATE(B99,-12),Database!$F:$AY,MATCH($N$1,Database!$F$1:$AY$1,),)))))/(((VLOOKUP(EDATE(B99,-12),Database!$F:$AY,MATCH($N$1,Database!$F$1:$AY$1,),))))</f>
        <v/>
      </c>
      <c r="O99" s="13">
        <f>((((VLOOKUP(B99,Database!$F:$AY,MATCH($O$1,Database!$F$1:$AY$1,),))))-(((VLOOKUP(EDATE(B99,-12),Database!$F:$AY,MATCH($O$1,Database!$F$1:$AY$1,),)))))/(((VLOOKUP(EDATE(B99,-12),Database!$F:$AY,MATCH($O$1,Database!$F$1:$AY$1,),))))</f>
        <v/>
      </c>
      <c r="P99" s="13">
        <f>((((VLOOKUP(B99,Database!$F:$AY,MATCH($P$1,Database!$F$1:$AY$1,),))))-(((VLOOKUP(EDATE(B99,-12),Database!$F:$AY,MATCH($P$1,Database!$F$1:$AY$1,),)))))/(((VLOOKUP(EDATE(B99,-12),Database!$F:$AY,MATCH($P$1,Database!$F$1:$AY$1,),))))</f>
        <v/>
      </c>
      <c r="Q99" s="13">
        <f>((((VLOOKUP(B99,Database!$F:$AY,MATCH($Q$1,Database!$F$1:$AY$1,),))))-(((VLOOKUP(EDATE(B99,-12),Database!$F:$AY,MATCH($Q$1,Database!$F$1:$AY$1,),)))))/(((VLOOKUP(EDATE(B99,-12),Database!$F:$AY,MATCH($Q$1,Database!$F$1:$AY$1,),))))</f>
        <v/>
      </c>
      <c r="R99" s="13">
        <f>((((VLOOKUP(B99,Database!$F:$AY,MATCH($R$1,Database!$F$1:$AY$1,),))))-(((VLOOKUP(EDATE(B99,-12),Database!$F:$AY,MATCH($R$1,Database!$F$1:$AY$1,),)))))/(((VLOOKUP(EDATE(B99,-12),Database!$F:$AY,MATCH($R$1,Database!$F$1:$AY$1,),))))</f>
        <v/>
      </c>
      <c r="S99" s="13">
        <f>((((VLOOKUP(B99,Database!$F:$AY,MATCH($S$1,Database!$F$1:$AY$1,),))))-(((VLOOKUP(EDATE(B99,-12),Database!$F:$AY,MATCH($S$1,Database!$F$1:$AY$1,),)))))/(((VLOOKUP(EDATE(B99,-12),Database!$F:$AY,MATCH($S$1,Database!$F$1:$AY$1,),))))</f>
        <v/>
      </c>
      <c r="T99" s="13">
        <f>((((VLOOKUP(B99,Database!$F:$AY,MATCH($T$1,Database!$F$1:$AY$1,),))))-(((VLOOKUP(EDATE(B99,-12),Database!$F:$AY,MATCH($T$1,Database!$F$1:$AY$1,),)))))/(((VLOOKUP(EDATE(B99,-12),Database!$F:$AY,MATCH($T$1,Database!$F$1:$AY$1,),))))</f>
        <v/>
      </c>
      <c r="U99" s="13">
        <f>((((VLOOKUP(B99,Database!$F:$AY,MATCH($U$1,Database!$F$1:$AY$1,),))))-(((VLOOKUP(EDATE(B99,-12),Database!$F:$AY,MATCH($U$1,Database!$F$1:$AY$1,),)))))/(((VLOOKUP(EDATE(B99,-12),Database!$F:$AY,MATCH($U$1,Database!$F$1:$AY$1,),))))</f>
        <v/>
      </c>
      <c r="V99" s="13">
        <f>((((VLOOKUP(B99,Database!$F:$AY,MATCH($V$1,Database!$F$1:$AY$1,),))))-(((VLOOKUP(EDATE(B99,-12),Database!$F:$AY,MATCH($V$1,Database!$F$1:$AY$1,),)))))/(((VLOOKUP(EDATE(B99,-12),Database!$F:$AY,MATCH($V$1,Database!$F$1:$AY$1,),))))</f>
        <v/>
      </c>
    </row>
    <row r="100" customFormat="1" s="100">
      <c r="A100" s="45" t="n"/>
      <c r="B100" s="46" t="n">
        <v>35186</v>
      </c>
      <c r="C100" s="13">
        <f>((((VLOOKUP(B100,Database!$F:$AY,MATCH($C$1,Database!$F$1:$AY$1,),))))-(((VLOOKUP(EDATE(B100,-12),Database!$F:$AY,MATCH($C$1,Database!$F$1:$AY$1,),)))))/(((VLOOKUP(EDATE(B100,-12),Database!$F:$AY,MATCH($C$1,Database!$F$1:$AY$1,),))))</f>
        <v/>
      </c>
      <c r="D100" s="13">
        <f>((((VLOOKUP(B100,Database!$F:$AY,MATCH($D$1,Database!$F$1:$AY$1,),))))-(((VLOOKUP(EDATE(B100,-12),Database!$F:$AY,MATCH($D$1,Database!$F$1:$AY$1,),)))))/(((VLOOKUP(EDATE(B100,-12),Database!$F:$AY,MATCH($D$1,Database!$F$1:$AY$1,),))))</f>
        <v/>
      </c>
      <c r="E100" s="13">
        <f>((((VLOOKUP(B100,Database!$F:$AY,MATCH($E$1,Database!$F$1:$AY$1,),))))-(((VLOOKUP(EDATE(B100,-12),Database!$F:$AY,MATCH($E$1,Database!$F$1:$AY$1,),)))))/(((VLOOKUP(EDATE(B100,-12),Database!$F:$AY,MATCH($E$1,Database!$F$1:$AY$1,),))))</f>
        <v/>
      </c>
      <c r="F100" s="13">
        <f>((((VLOOKUP(B100,Database!$F:$AY,MATCH($F$1,Database!$F$1:$AY$1,),))))-(((VLOOKUP(EDATE(B100,-12),Database!$F:$AY,MATCH($F$1,Database!$F$1:$AY$1,),)))))/(((VLOOKUP(EDATE(B100,-12),Database!$F:$AY,MATCH($F$1,Database!$F$1:$AY$1,),))))</f>
        <v/>
      </c>
      <c r="G100" s="13">
        <f>((((VLOOKUP(B100,Database!$F:$AY,MATCH($G$1,Database!$F$1:$AY$1,),))))-(((VLOOKUP(EDATE(B100,-12),Database!$F:$AY,MATCH($G$1,Database!$F$1:$AY$1,),)))))/(((VLOOKUP(EDATE(B100,-12),Database!$F:$AY,MATCH($G$1,Database!$F$1:$AY$1,),))))</f>
        <v/>
      </c>
      <c r="H100" s="13">
        <f>((((VLOOKUP(B100,Database!$F:$AY,MATCH($H$1,Database!$F$1:$AY$1,),))))-(((VLOOKUP(EDATE(B100,-12),Database!$F:$AY,MATCH($H$1,Database!$F$1:$AY$1,),)))))/(((VLOOKUP(EDATE(B100,-12),Database!$F:$AY,MATCH($H$1,Database!$F$1:$AY$1,),))))</f>
        <v/>
      </c>
      <c r="I100" s="13">
        <f>((((VLOOKUP(B100,Database!$F:$AY,MATCH($I$1,Database!$F$1:$AY$1,),))))-(((VLOOKUP(EDATE(B100,-12),Database!$F:$AY,MATCH($I$1,Database!$F$1:$AY$1,),)))))/(((VLOOKUP(EDATE(B100,-12),Database!$F:$AY,MATCH($I$1,Database!$F$1:$AY$1,),))))</f>
        <v/>
      </c>
      <c r="J100" s="13">
        <f>((((VLOOKUP(B100,Database!$F:$AY,MATCH($J$1,Database!$F$1:$AY$1,),))))-(((VLOOKUP(EDATE(B100,-12),Database!$F:$AY,MATCH($J$1,Database!$F$1:$AY$1,),)))))/(((VLOOKUP(EDATE(B100,-12),Database!$F:$AY,MATCH($J$1,Database!$F$1:$AY$1,),))))</f>
        <v/>
      </c>
      <c r="K100" s="13">
        <f>((((VLOOKUP(B100,Database!$F:$AY,MATCH($K$1,Database!$F$1:$AY$1,),))))-(((VLOOKUP(EDATE(B100,-12),Database!$F:$AY,MATCH($K$1,Database!$F$1:$AY$1,),)))))/(((VLOOKUP(EDATE(B100,-12),Database!$F:$AY,MATCH($K$1,Database!$F$1:$AY$1,),))))</f>
        <v/>
      </c>
      <c r="L100" s="13">
        <f>((((VLOOKUP(B100,Database!$F:$AY,MATCH($L$1,Database!$F$1:$AY$1,),))))-(((VLOOKUP(EDATE(B100,-12),Database!$F:$AY,MATCH($L$1,Database!$F$1:$AY$1,),)))))/(((VLOOKUP(EDATE(B100,-12),Database!$F:$AY,MATCH($L$1,Database!$F$1:$AY$1,),))))</f>
        <v/>
      </c>
      <c r="M100" s="13">
        <f>((((VLOOKUP(B100,Database!$F:$AY,MATCH($M$1,Database!$F$1:$AY$1,),))))-(((VLOOKUP(EDATE(B100,-12),Database!$F:$AY,MATCH($M$1,Database!$F$1:$AY$1,),)))))/(((VLOOKUP(EDATE(B100,-12),Database!$F:$AY,MATCH($M$1,Database!$F$1:$AY$1,),))))</f>
        <v/>
      </c>
      <c r="N100" s="13">
        <f>((((VLOOKUP(B100,Database!$F:$AY,MATCH($N$1,Database!$F$1:$AY$1,),))))-(((VLOOKUP(EDATE(B100,-12),Database!$F:$AY,MATCH($N$1,Database!$F$1:$AY$1,),)))))/(((VLOOKUP(EDATE(B100,-12),Database!$F:$AY,MATCH($N$1,Database!$F$1:$AY$1,),))))</f>
        <v/>
      </c>
      <c r="O100" s="13">
        <f>((((VLOOKUP(B100,Database!$F:$AY,MATCH($O$1,Database!$F$1:$AY$1,),))))-(((VLOOKUP(EDATE(B100,-12),Database!$F:$AY,MATCH($O$1,Database!$F$1:$AY$1,),)))))/(((VLOOKUP(EDATE(B100,-12),Database!$F:$AY,MATCH($O$1,Database!$F$1:$AY$1,),))))</f>
        <v/>
      </c>
      <c r="P100" s="13">
        <f>((((VLOOKUP(B100,Database!$F:$AY,MATCH($P$1,Database!$F$1:$AY$1,),))))-(((VLOOKUP(EDATE(B100,-12),Database!$F:$AY,MATCH($P$1,Database!$F$1:$AY$1,),)))))/(((VLOOKUP(EDATE(B100,-12),Database!$F:$AY,MATCH($P$1,Database!$F$1:$AY$1,),))))</f>
        <v/>
      </c>
      <c r="Q100" s="13">
        <f>((((VLOOKUP(B100,Database!$F:$AY,MATCH($Q$1,Database!$F$1:$AY$1,),))))-(((VLOOKUP(EDATE(B100,-12),Database!$F:$AY,MATCH($Q$1,Database!$F$1:$AY$1,),)))))/(((VLOOKUP(EDATE(B100,-12),Database!$F:$AY,MATCH($Q$1,Database!$F$1:$AY$1,),))))</f>
        <v/>
      </c>
      <c r="R100" s="13">
        <f>((((VLOOKUP(B100,Database!$F:$AY,MATCH($R$1,Database!$F$1:$AY$1,),))))-(((VLOOKUP(EDATE(B100,-12),Database!$F:$AY,MATCH($R$1,Database!$F$1:$AY$1,),)))))/(((VLOOKUP(EDATE(B100,-12),Database!$F:$AY,MATCH($R$1,Database!$F$1:$AY$1,),))))</f>
        <v/>
      </c>
      <c r="S100" s="13">
        <f>((((VLOOKUP(B100,Database!$F:$AY,MATCH($S$1,Database!$F$1:$AY$1,),))))-(((VLOOKUP(EDATE(B100,-12),Database!$F:$AY,MATCH($S$1,Database!$F$1:$AY$1,),)))))/(((VLOOKUP(EDATE(B100,-12),Database!$F:$AY,MATCH($S$1,Database!$F$1:$AY$1,),))))</f>
        <v/>
      </c>
      <c r="T100" s="13">
        <f>((((VLOOKUP(B100,Database!$F:$AY,MATCH($T$1,Database!$F$1:$AY$1,),))))-(((VLOOKUP(EDATE(B100,-12),Database!$F:$AY,MATCH($T$1,Database!$F$1:$AY$1,),)))))/(((VLOOKUP(EDATE(B100,-12),Database!$F:$AY,MATCH($T$1,Database!$F$1:$AY$1,),))))</f>
        <v/>
      </c>
      <c r="U100" s="13">
        <f>((((VLOOKUP(B100,Database!$F:$AY,MATCH($U$1,Database!$F$1:$AY$1,),))))-(((VLOOKUP(EDATE(B100,-12),Database!$F:$AY,MATCH($U$1,Database!$F$1:$AY$1,),)))))/(((VLOOKUP(EDATE(B100,-12),Database!$F:$AY,MATCH($U$1,Database!$F$1:$AY$1,),))))</f>
        <v/>
      </c>
      <c r="V100" s="13">
        <f>((((VLOOKUP(B100,Database!$F:$AY,MATCH($V$1,Database!$F$1:$AY$1,),))))-(((VLOOKUP(EDATE(B100,-12),Database!$F:$AY,MATCH($V$1,Database!$F$1:$AY$1,),)))))/(((VLOOKUP(EDATE(B100,-12),Database!$F:$AY,MATCH($V$1,Database!$F$1:$AY$1,),))))</f>
        <v/>
      </c>
    </row>
    <row r="101" customFormat="1" s="100">
      <c r="A101" s="45" t="n"/>
      <c r="B101" s="46" t="n">
        <v>35217</v>
      </c>
      <c r="C101" s="13">
        <f>((((VLOOKUP(B101,Database!$F:$AY,MATCH($C$1,Database!$F$1:$AY$1,),))))-(((VLOOKUP(EDATE(B101,-12),Database!$F:$AY,MATCH($C$1,Database!$F$1:$AY$1,),)))))/(((VLOOKUP(EDATE(B101,-12),Database!$F:$AY,MATCH($C$1,Database!$F$1:$AY$1,),))))</f>
        <v/>
      </c>
      <c r="D101" s="13">
        <f>((((VLOOKUP(B101,Database!$F:$AY,MATCH($D$1,Database!$F$1:$AY$1,),))))-(((VLOOKUP(EDATE(B101,-12),Database!$F:$AY,MATCH($D$1,Database!$F$1:$AY$1,),)))))/(((VLOOKUP(EDATE(B101,-12),Database!$F:$AY,MATCH($D$1,Database!$F$1:$AY$1,),))))</f>
        <v/>
      </c>
      <c r="E101" s="13">
        <f>((((VLOOKUP(B101,Database!$F:$AY,MATCH($E$1,Database!$F$1:$AY$1,),))))-(((VLOOKUP(EDATE(B101,-12),Database!$F:$AY,MATCH($E$1,Database!$F$1:$AY$1,),)))))/(((VLOOKUP(EDATE(B101,-12),Database!$F:$AY,MATCH($E$1,Database!$F$1:$AY$1,),))))</f>
        <v/>
      </c>
      <c r="F101" s="13">
        <f>((((VLOOKUP(B101,Database!$F:$AY,MATCH($F$1,Database!$F$1:$AY$1,),))))-(((VLOOKUP(EDATE(B101,-12),Database!$F:$AY,MATCH($F$1,Database!$F$1:$AY$1,),)))))/(((VLOOKUP(EDATE(B101,-12),Database!$F:$AY,MATCH($F$1,Database!$F$1:$AY$1,),))))</f>
        <v/>
      </c>
      <c r="G101" s="13">
        <f>((((VLOOKUP(B101,Database!$F:$AY,MATCH($G$1,Database!$F$1:$AY$1,),))))-(((VLOOKUP(EDATE(B101,-12),Database!$F:$AY,MATCH($G$1,Database!$F$1:$AY$1,),)))))/(((VLOOKUP(EDATE(B101,-12),Database!$F:$AY,MATCH($G$1,Database!$F$1:$AY$1,),))))</f>
        <v/>
      </c>
      <c r="H101" s="13">
        <f>((((VLOOKUP(B101,Database!$F:$AY,MATCH($H$1,Database!$F$1:$AY$1,),))))-(((VLOOKUP(EDATE(B101,-12),Database!$F:$AY,MATCH($H$1,Database!$F$1:$AY$1,),)))))/(((VLOOKUP(EDATE(B101,-12),Database!$F:$AY,MATCH($H$1,Database!$F$1:$AY$1,),))))</f>
        <v/>
      </c>
      <c r="I101" s="13">
        <f>((((VLOOKUP(B101,Database!$F:$AY,MATCH($I$1,Database!$F$1:$AY$1,),))))-(((VLOOKUP(EDATE(B101,-12),Database!$F:$AY,MATCH($I$1,Database!$F$1:$AY$1,),)))))/(((VLOOKUP(EDATE(B101,-12),Database!$F:$AY,MATCH($I$1,Database!$F$1:$AY$1,),))))</f>
        <v/>
      </c>
      <c r="J101" s="13">
        <f>((((VLOOKUP(B101,Database!$F:$AY,MATCH($J$1,Database!$F$1:$AY$1,),))))-(((VLOOKUP(EDATE(B101,-12),Database!$F:$AY,MATCH($J$1,Database!$F$1:$AY$1,),)))))/(((VLOOKUP(EDATE(B101,-12),Database!$F:$AY,MATCH($J$1,Database!$F$1:$AY$1,),))))</f>
        <v/>
      </c>
      <c r="K101" s="13">
        <f>((((VLOOKUP(B101,Database!$F:$AY,MATCH($K$1,Database!$F$1:$AY$1,),))))-(((VLOOKUP(EDATE(B101,-12),Database!$F:$AY,MATCH($K$1,Database!$F$1:$AY$1,),)))))/(((VLOOKUP(EDATE(B101,-12),Database!$F:$AY,MATCH($K$1,Database!$F$1:$AY$1,),))))</f>
        <v/>
      </c>
      <c r="L101" s="13">
        <f>((((VLOOKUP(B101,Database!$F:$AY,MATCH($L$1,Database!$F$1:$AY$1,),))))-(((VLOOKUP(EDATE(B101,-12),Database!$F:$AY,MATCH($L$1,Database!$F$1:$AY$1,),)))))/(((VLOOKUP(EDATE(B101,-12),Database!$F:$AY,MATCH($L$1,Database!$F$1:$AY$1,),))))</f>
        <v/>
      </c>
      <c r="M101" s="13">
        <f>((((VLOOKUP(B101,Database!$F:$AY,MATCH($M$1,Database!$F$1:$AY$1,),))))-(((VLOOKUP(EDATE(B101,-12),Database!$F:$AY,MATCH($M$1,Database!$F$1:$AY$1,),)))))/(((VLOOKUP(EDATE(B101,-12),Database!$F:$AY,MATCH($M$1,Database!$F$1:$AY$1,),))))</f>
        <v/>
      </c>
      <c r="N101" s="13">
        <f>((((VLOOKUP(B101,Database!$F:$AY,MATCH($N$1,Database!$F$1:$AY$1,),))))-(((VLOOKUP(EDATE(B101,-12),Database!$F:$AY,MATCH($N$1,Database!$F$1:$AY$1,),)))))/(((VLOOKUP(EDATE(B101,-12),Database!$F:$AY,MATCH($N$1,Database!$F$1:$AY$1,),))))</f>
        <v/>
      </c>
      <c r="O101" s="13">
        <f>((((VLOOKUP(B101,Database!$F:$AY,MATCH($O$1,Database!$F$1:$AY$1,),))))-(((VLOOKUP(EDATE(B101,-12),Database!$F:$AY,MATCH($O$1,Database!$F$1:$AY$1,),)))))/(((VLOOKUP(EDATE(B101,-12),Database!$F:$AY,MATCH($O$1,Database!$F$1:$AY$1,),))))</f>
        <v/>
      </c>
      <c r="P101" s="13">
        <f>((((VLOOKUP(B101,Database!$F:$AY,MATCH($P$1,Database!$F$1:$AY$1,),))))-(((VLOOKUP(EDATE(B101,-12),Database!$F:$AY,MATCH($P$1,Database!$F$1:$AY$1,),)))))/(((VLOOKUP(EDATE(B101,-12),Database!$F:$AY,MATCH($P$1,Database!$F$1:$AY$1,),))))</f>
        <v/>
      </c>
      <c r="Q101" s="13">
        <f>((((VLOOKUP(B101,Database!$F:$AY,MATCH($Q$1,Database!$F$1:$AY$1,),))))-(((VLOOKUP(EDATE(B101,-12),Database!$F:$AY,MATCH($Q$1,Database!$F$1:$AY$1,),)))))/(((VLOOKUP(EDATE(B101,-12),Database!$F:$AY,MATCH($Q$1,Database!$F$1:$AY$1,),))))</f>
        <v/>
      </c>
      <c r="R101" s="13">
        <f>((((VLOOKUP(B101,Database!$F:$AY,MATCH($R$1,Database!$F$1:$AY$1,),))))-(((VLOOKUP(EDATE(B101,-12),Database!$F:$AY,MATCH($R$1,Database!$F$1:$AY$1,),)))))/(((VLOOKUP(EDATE(B101,-12),Database!$F:$AY,MATCH($R$1,Database!$F$1:$AY$1,),))))</f>
        <v/>
      </c>
      <c r="S101" s="13">
        <f>((((VLOOKUP(B101,Database!$F:$AY,MATCH($S$1,Database!$F$1:$AY$1,),))))-(((VLOOKUP(EDATE(B101,-12),Database!$F:$AY,MATCH($S$1,Database!$F$1:$AY$1,),)))))/(((VLOOKUP(EDATE(B101,-12),Database!$F:$AY,MATCH($S$1,Database!$F$1:$AY$1,),))))</f>
        <v/>
      </c>
      <c r="T101" s="13">
        <f>((((VLOOKUP(B101,Database!$F:$AY,MATCH($T$1,Database!$F$1:$AY$1,),))))-(((VLOOKUP(EDATE(B101,-12),Database!$F:$AY,MATCH($T$1,Database!$F$1:$AY$1,),)))))/(((VLOOKUP(EDATE(B101,-12),Database!$F:$AY,MATCH($T$1,Database!$F$1:$AY$1,),))))</f>
        <v/>
      </c>
      <c r="U101" s="13">
        <f>((((VLOOKUP(B101,Database!$F:$AY,MATCH($U$1,Database!$F$1:$AY$1,),))))-(((VLOOKUP(EDATE(B101,-12),Database!$F:$AY,MATCH($U$1,Database!$F$1:$AY$1,),)))))/(((VLOOKUP(EDATE(B101,-12),Database!$F:$AY,MATCH($U$1,Database!$F$1:$AY$1,),))))</f>
        <v/>
      </c>
      <c r="V101" s="13">
        <f>((((VLOOKUP(B101,Database!$F:$AY,MATCH($V$1,Database!$F$1:$AY$1,),))))-(((VLOOKUP(EDATE(B101,-12),Database!$F:$AY,MATCH($V$1,Database!$F$1:$AY$1,),)))))/(((VLOOKUP(EDATE(B101,-12),Database!$F:$AY,MATCH($V$1,Database!$F$1:$AY$1,),))))</f>
        <v/>
      </c>
    </row>
    <row r="102" customFormat="1" s="100">
      <c r="A102" s="45" t="n"/>
      <c r="B102" s="46" t="n">
        <v>35247</v>
      </c>
      <c r="C102" s="13">
        <f>((((VLOOKUP(B102,Database!$F:$AY,MATCH($C$1,Database!$F$1:$AY$1,),))))-(((VLOOKUP(EDATE(B102,-12),Database!$F:$AY,MATCH($C$1,Database!$F$1:$AY$1,),)))))/(((VLOOKUP(EDATE(B102,-12),Database!$F:$AY,MATCH($C$1,Database!$F$1:$AY$1,),))))</f>
        <v/>
      </c>
      <c r="D102" s="13">
        <f>((((VLOOKUP(B102,Database!$F:$AY,MATCH($D$1,Database!$F$1:$AY$1,),))))-(((VLOOKUP(EDATE(B102,-12),Database!$F:$AY,MATCH($D$1,Database!$F$1:$AY$1,),)))))/(((VLOOKUP(EDATE(B102,-12),Database!$F:$AY,MATCH($D$1,Database!$F$1:$AY$1,),))))</f>
        <v/>
      </c>
      <c r="E102" s="13">
        <f>((((VLOOKUP(B102,Database!$F:$AY,MATCH($E$1,Database!$F$1:$AY$1,),))))-(((VLOOKUP(EDATE(B102,-12),Database!$F:$AY,MATCH($E$1,Database!$F$1:$AY$1,),)))))/(((VLOOKUP(EDATE(B102,-12),Database!$F:$AY,MATCH($E$1,Database!$F$1:$AY$1,),))))</f>
        <v/>
      </c>
      <c r="F102" s="13">
        <f>((((VLOOKUP(B102,Database!$F:$AY,MATCH($F$1,Database!$F$1:$AY$1,),))))-(((VLOOKUP(EDATE(B102,-12),Database!$F:$AY,MATCH($F$1,Database!$F$1:$AY$1,),)))))/(((VLOOKUP(EDATE(B102,-12),Database!$F:$AY,MATCH($F$1,Database!$F$1:$AY$1,),))))</f>
        <v/>
      </c>
      <c r="G102" s="13">
        <f>((((VLOOKUP(B102,Database!$F:$AY,MATCH($G$1,Database!$F$1:$AY$1,),))))-(((VLOOKUP(EDATE(B102,-12),Database!$F:$AY,MATCH($G$1,Database!$F$1:$AY$1,),)))))/(((VLOOKUP(EDATE(B102,-12),Database!$F:$AY,MATCH($G$1,Database!$F$1:$AY$1,),))))</f>
        <v/>
      </c>
      <c r="H102" s="13">
        <f>((((VLOOKUP(B102,Database!$F:$AY,MATCH($H$1,Database!$F$1:$AY$1,),))))-(((VLOOKUP(EDATE(B102,-12),Database!$F:$AY,MATCH($H$1,Database!$F$1:$AY$1,),)))))/(((VLOOKUP(EDATE(B102,-12),Database!$F:$AY,MATCH($H$1,Database!$F$1:$AY$1,),))))</f>
        <v/>
      </c>
      <c r="I102" s="13">
        <f>((((VLOOKUP(B102,Database!$F:$AY,MATCH($I$1,Database!$F$1:$AY$1,),))))-(((VLOOKUP(EDATE(B102,-12),Database!$F:$AY,MATCH($I$1,Database!$F$1:$AY$1,),)))))/(((VLOOKUP(EDATE(B102,-12),Database!$F:$AY,MATCH($I$1,Database!$F$1:$AY$1,),))))</f>
        <v/>
      </c>
      <c r="J102" s="13">
        <f>((((VLOOKUP(B102,Database!$F:$AY,MATCH($J$1,Database!$F$1:$AY$1,),))))-(((VLOOKUP(EDATE(B102,-12),Database!$F:$AY,MATCH($J$1,Database!$F$1:$AY$1,),)))))/(((VLOOKUP(EDATE(B102,-12),Database!$F:$AY,MATCH($J$1,Database!$F$1:$AY$1,),))))</f>
        <v/>
      </c>
      <c r="K102" s="13">
        <f>((((VLOOKUP(B102,Database!$F:$AY,MATCH($K$1,Database!$F$1:$AY$1,),))))-(((VLOOKUP(EDATE(B102,-12),Database!$F:$AY,MATCH($K$1,Database!$F$1:$AY$1,),)))))/(((VLOOKUP(EDATE(B102,-12),Database!$F:$AY,MATCH($K$1,Database!$F$1:$AY$1,),))))</f>
        <v/>
      </c>
      <c r="L102" s="13">
        <f>((((VLOOKUP(B102,Database!$F:$AY,MATCH($L$1,Database!$F$1:$AY$1,),))))-(((VLOOKUP(EDATE(B102,-12),Database!$F:$AY,MATCH($L$1,Database!$F$1:$AY$1,),)))))/(((VLOOKUP(EDATE(B102,-12),Database!$F:$AY,MATCH($L$1,Database!$F$1:$AY$1,),))))</f>
        <v/>
      </c>
      <c r="M102" s="13">
        <f>((((VLOOKUP(B102,Database!$F:$AY,MATCH($M$1,Database!$F$1:$AY$1,),))))-(((VLOOKUP(EDATE(B102,-12),Database!$F:$AY,MATCH($M$1,Database!$F$1:$AY$1,),)))))/(((VLOOKUP(EDATE(B102,-12),Database!$F:$AY,MATCH($M$1,Database!$F$1:$AY$1,),))))</f>
        <v/>
      </c>
      <c r="N102" s="13">
        <f>((((VLOOKUP(B102,Database!$F:$AY,MATCH($N$1,Database!$F$1:$AY$1,),))))-(((VLOOKUP(EDATE(B102,-12),Database!$F:$AY,MATCH($N$1,Database!$F$1:$AY$1,),)))))/(((VLOOKUP(EDATE(B102,-12),Database!$F:$AY,MATCH($N$1,Database!$F$1:$AY$1,),))))</f>
        <v/>
      </c>
      <c r="O102" s="13">
        <f>((((VLOOKUP(B102,Database!$F:$AY,MATCH($O$1,Database!$F$1:$AY$1,),))))-(((VLOOKUP(EDATE(B102,-12),Database!$F:$AY,MATCH($O$1,Database!$F$1:$AY$1,),)))))/(((VLOOKUP(EDATE(B102,-12),Database!$F:$AY,MATCH($O$1,Database!$F$1:$AY$1,),))))</f>
        <v/>
      </c>
      <c r="P102" s="13">
        <f>((((VLOOKUP(B102,Database!$F:$AY,MATCH($P$1,Database!$F$1:$AY$1,),))))-(((VLOOKUP(EDATE(B102,-12),Database!$F:$AY,MATCH($P$1,Database!$F$1:$AY$1,),)))))/(((VLOOKUP(EDATE(B102,-12),Database!$F:$AY,MATCH($P$1,Database!$F$1:$AY$1,),))))</f>
        <v/>
      </c>
      <c r="Q102" s="13">
        <f>((((VLOOKUP(B102,Database!$F:$AY,MATCH($Q$1,Database!$F$1:$AY$1,),))))-(((VLOOKUP(EDATE(B102,-12),Database!$F:$AY,MATCH($Q$1,Database!$F$1:$AY$1,),)))))/(((VLOOKUP(EDATE(B102,-12),Database!$F:$AY,MATCH($Q$1,Database!$F$1:$AY$1,),))))</f>
        <v/>
      </c>
      <c r="R102" s="13">
        <f>((((VLOOKUP(B102,Database!$F:$AY,MATCH($R$1,Database!$F$1:$AY$1,),))))-(((VLOOKUP(EDATE(B102,-12),Database!$F:$AY,MATCH($R$1,Database!$F$1:$AY$1,),)))))/(((VLOOKUP(EDATE(B102,-12),Database!$F:$AY,MATCH($R$1,Database!$F$1:$AY$1,),))))</f>
        <v/>
      </c>
      <c r="S102" s="13">
        <f>((((VLOOKUP(B102,Database!$F:$AY,MATCH($S$1,Database!$F$1:$AY$1,),))))-(((VLOOKUP(EDATE(B102,-12),Database!$F:$AY,MATCH($S$1,Database!$F$1:$AY$1,),)))))/(((VLOOKUP(EDATE(B102,-12),Database!$F:$AY,MATCH($S$1,Database!$F$1:$AY$1,),))))</f>
        <v/>
      </c>
      <c r="T102" s="13">
        <f>((((VLOOKUP(B102,Database!$F:$AY,MATCH($T$1,Database!$F$1:$AY$1,),))))-(((VLOOKUP(EDATE(B102,-12),Database!$F:$AY,MATCH($T$1,Database!$F$1:$AY$1,),)))))/(((VLOOKUP(EDATE(B102,-12),Database!$F:$AY,MATCH($T$1,Database!$F$1:$AY$1,),))))</f>
        <v/>
      </c>
      <c r="U102" s="13">
        <f>((((VLOOKUP(B102,Database!$F:$AY,MATCH($U$1,Database!$F$1:$AY$1,),))))-(((VLOOKUP(EDATE(B102,-12),Database!$F:$AY,MATCH($U$1,Database!$F$1:$AY$1,),)))))/(((VLOOKUP(EDATE(B102,-12),Database!$F:$AY,MATCH($U$1,Database!$F$1:$AY$1,),))))</f>
        <v/>
      </c>
      <c r="V102" s="13">
        <f>((((VLOOKUP(B102,Database!$F:$AY,MATCH($V$1,Database!$F$1:$AY$1,),))))-(((VLOOKUP(EDATE(B102,-12),Database!$F:$AY,MATCH($V$1,Database!$F$1:$AY$1,),)))))/(((VLOOKUP(EDATE(B102,-12),Database!$F:$AY,MATCH($V$1,Database!$F$1:$AY$1,),))))</f>
        <v/>
      </c>
    </row>
    <row r="103" customFormat="1" s="100">
      <c r="A103" s="45" t="n"/>
      <c r="B103" s="46" t="n">
        <v>35278</v>
      </c>
      <c r="C103" s="13">
        <f>((((VLOOKUP(B103,Database!$F:$AY,MATCH($C$1,Database!$F$1:$AY$1,),))))-(((VLOOKUP(EDATE(B103,-12),Database!$F:$AY,MATCH($C$1,Database!$F$1:$AY$1,),)))))/(((VLOOKUP(EDATE(B103,-12),Database!$F:$AY,MATCH($C$1,Database!$F$1:$AY$1,),))))</f>
        <v/>
      </c>
      <c r="D103" s="13">
        <f>((((VLOOKUP(B103,Database!$F:$AY,MATCH($D$1,Database!$F$1:$AY$1,),))))-(((VLOOKUP(EDATE(B103,-12),Database!$F:$AY,MATCH($D$1,Database!$F$1:$AY$1,),)))))/(((VLOOKUP(EDATE(B103,-12),Database!$F:$AY,MATCH($D$1,Database!$F$1:$AY$1,),))))</f>
        <v/>
      </c>
      <c r="E103" s="13">
        <f>((((VLOOKUP(B103,Database!$F:$AY,MATCH($E$1,Database!$F$1:$AY$1,),))))-(((VLOOKUP(EDATE(B103,-12),Database!$F:$AY,MATCH($E$1,Database!$F$1:$AY$1,),)))))/(((VLOOKUP(EDATE(B103,-12),Database!$F:$AY,MATCH($E$1,Database!$F$1:$AY$1,),))))</f>
        <v/>
      </c>
      <c r="F103" s="13">
        <f>((((VLOOKUP(B103,Database!$F:$AY,MATCH($F$1,Database!$F$1:$AY$1,),))))-(((VLOOKUP(EDATE(B103,-12),Database!$F:$AY,MATCH($F$1,Database!$F$1:$AY$1,),)))))/(((VLOOKUP(EDATE(B103,-12),Database!$F:$AY,MATCH($F$1,Database!$F$1:$AY$1,),))))</f>
        <v/>
      </c>
      <c r="G103" s="13">
        <f>((((VLOOKUP(B103,Database!$F:$AY,MATCH($G$1,Database!$F$1:$AY$1,),))))-(((VLOOKUP(EDATE(B103,-12),Database!$F:$AY,MATCH($G$1,Database!$F$1:$AY$1,),)))))/(((VLOOKUP(EDATE(B103,-12),Database!$F:$AY,MATCH($G$1,Database!$F$1:$AY$1,),))))</f>
        <v/>
      </c>
      <c r="H103" s="13">
        <f>((((VLOOKUP(B103,Database!$F:$AY,MATCH($H$1,Database!$F$1:$AY$1,),))))-(((VLOOKUP(EDATE(B103,-12),Database!$F:$AY,MATCH($H$1,Database!$F$1:$AY$1,),)))))/(((VLOOKUP(EDATE(B103,-12),Database!$F:$AY,MATCH($H$1,Database!$F$1:$AY$1,),))))</f>
        <v/>
      </c>
      <c r="I103" s="13">
        <f>((((VLOOKUP(B103,Database!$F:$AY,MATCH($I$1,Database!$F$1:$AY$1,),))))-(((VLOOKUP(EDATE(B103,-12),Database!$F:$AY,MATCH($I$1,Database!$F$1:$AY$1,),)))))/(((VLOOKUP(EDATE(B103,-12),Database!$F:$AY,MATCH($I$1,Database!$F$1:$AY$1,),))))</f>
        <v/>
      </c>
      <c r="J103" s="13">
        <f>((((VLOOKUP(B103,Database!$F:$AY,MATCH($J$1,Database!$F$1:$AY$1,),))))-(((VLOOKUP(EDATE(B103,-12),Database!$F:$AY,MATCH($J$1,Database!$F$1:$AY$1,),)))))/(((VLOOKUP(EDATE(B103,-12),Database!$F:$AY,MATCH($J$1,Database!$F$1:$AY$1,),))))</f>
        <v/>
      </c>
      <c r="K103" s="13">
        <f>((((VLOOKUP(B103,Database!$F:$AY,MATCH($K$1,Database!$F$1:$AY$1,),))))-(((VLOOKUP(EDATE(B103,-12),Database!$F:$AY,MATCH($K$1,Database!$F$1:$AY$1,),)))))/(((VLOOKUP(EDATE(B103,-12),Database!$F:$AY,MATCH($K$1,Database!$F$1:$AY$1,),))))</f>
        <v/>
      </c>
      <c r="L103" s="13">
        <f>((((VLOOKUP(B103,Database!$F:$AY,MATCH($L$1,Database!$F$1:$AY$1,),))))-(((VLOOKUP(EDATE(B103,-12),Database!$F:$AY,MATCH($L$1,Database!$F$1:$AY$1,),)))))/(((VLOOKUP(EDATE(B103,-12),Database!$F:$AY,MATCH($L$1,Database!$F$1:$AY$1,),))))</f>
        <v/>
      </c>
      <c r="M103" s="13">
        <f>((((VLOOKUP(B103,Database!$F:$AY,MATCH($M$1,Database!$F$1:$AY$1,),))))-(((VLOOKUP(EDATE(B103,-12),Database!$F:$AY,MATCH($M$1,Database!$F$1:$AY$1,),)))))/(((VLOOKUP(EDATE(B103,-12),Database!$F:$AY,MATCH($M$1,Database!$F$1:$AY$1,),))))</f>
        <v/>
      </c>
      <c r="N103" s="13">
        <f>((((VLOOKUP(B103,Database!$F:$AY,MATCH($N$1,Database!$F$1:$AY$1,),))))-(((VLOOKUP(EDATE(B103,-12),Database!$F:$AY,MATCH($N$1,Database!$F$1:$AY$1,),)))))/(((VLOOKUP(EDATE(B103,-12),Database!$F:$AY,MATCH($N$1,Database!$F$1:$AY$1,),))))</f>
        <v/>
      </c>
      <c r="O103" s="13">
        <f>((((VLOOKUP(B103,Database!$F:$AY,MATCH($O$1,Database!$F$1:$AY$1,),))))-(((VLOOKUP(EDATE(B103,-12),Database!$F:$AY,MATCH($O$1,Database!$F$1:$AY$1,),)))))/(((VLOOKUP(EDATE(B103,-12),Database!$F:$AY,MATCH($O$1,Database!$F$1:$AY$1,),))))</f>
        <v/>
      </c>
      <c r="P103" s="13">
        <f>((((VLOOKUP(B103,Database!$F:$AY,MATCH($P$1,Database!$F$1:$AY$1,),))))-(((VLOOKUP(EDATE(B103,-12),Database!$F:$AY,MATCH($P$1,Database!$F$1:$AY$1,),)))))/(((VLOOKUP(EDATE(B103,-12),Database!$F:$AY,MATCH($P$1,Database!$F$1:$AY$1,),))))</f>
        <v/>
      </c>
      <c r="Q103" s="13">
        <f>((((VLOOKUP(B103,Database!$F:$AY,MATCH($Q$1,Database!$F$1:$AY$1,),))))-(((VLOOKUP(EDATE(B103,-12),Database!$F:$AY,MATCH($Q$1,Database!$F$1:$AY$1,),)))))/(((VLOOKUP(EDATE(B103,-12),Database!$F:$AY,MATCH($Q$1,Database!$F$1:$AY$1,),))))</f>
        <v/>
      </c>
      <c r="R103" s="13">
        <f>((((VLOOKUP(B103,Database!$F:$AY,MATCH($R$1,Database!$F$1:$AY$1,),))))-(((VLOOKUP(EDATE(B103,-12),Database!$F:$AY,MATCH($R$1,Database!$F$1:$AY$1,),)))))/(((VLOOKUP(EDATE(B103,-12),Database!$F:$AY,MATCH($R$1,Database!$F$1:$AY$1,),))))</f>
        <v/>
      </c>
      <c r="S103" s="13">
        <f>((((VLOOKUP(B103,Database!$F:$AY,MATCH($S$1,Database!$F$1:$AY$1,),))))-(((VLOOKUP(EDATE(B103,-12),Database!$F:$AY,MATCH($S$1,Database!$F$1:$AY$1,),)))))/(((VLOOKUP(EDATE(B103,-12),Database!$F:$AY,MATCH($S$1,Database!$F$1:$AY$1,),))))</f>
        <v/>
      </c>
      <c r="T103" s="13">
        <f>((((VLOOKUP(B103,Database!$F:$AY,MATCH($T$1,Database!$F$1:$AY$1,),))))-(((VLOOKUP(EDATE(B103,-12),Database!$F:$AY,MATCH($T$1,Database!$F$1:$AY$1,),)))))/(((VLOOKUP(EDATE(B103,-12),Database!$F:$AY,MATCH($T$1,Database!$F$1:$AY$1,),))))</f>
        <v/>
      </c>
      <c r="U103" s="13">
        <f>((((VLOOKUP(B103,Database!$F:$AY,MATCH($U$1,Database!$F$1:$AY$1,),))))-(((VLOOKUP(EDATE(B103,-12),Database!$F:$AY,MATCH($U$1,Database!$F$1:$AY$1,),)))))/(((VLOOKUP(EDATE(B103,-12),Database!$F:$AY,MATCH($U$1,Database!$F$1:$AY$1,),))))</f>
        <v/>
      </c>
      <c r="V103" s="13">
        <f>((((VLOOKUP(B103,Database!$F:$AY,MATCH($V$1,Database!$F$1:$AY$1,),))))-(((VLOOKUP(EDATE(B103,-12),Database!$F:$AY,MATCH($V$1,Database!$F$1:$AY$1,),)))))/(((VLOOKUP(EDATE(B103,-12),Database!$F:$AY,MATCH($V$1,Database!$F$1:$AY$1,),))))</f>
        <v/>
      </c>
    </row>
    <row r="104" customFormat="1" s="100">
      <c r="A104" s="45" t="n"/>
      <c r="B104" s="46" t="n">
        <v>35309</v>
      </c>
      <c r="C104" s="13">
        <f>((((VLOOKUP(B104,Database!$F:$AY,MATCH($C$1,Database!$F$1:$AY$1,),))))-(((VLOOKUP(EDATE(B104,-12),Database!$F:$AY,MATCH($C$1,Database!$F$1:$AY$1,),)))))/(((VLOOKUP(EDATE(B104,-12),Database!$F:$AY,MATCH($C$1,Database!$F$1:$AY$1,),))))</f>
        <v/>
      </c>
      <c r="D104" s="13">
        <f>((((VLOOKUP(B104,Database!$F:$AY,MATCH($D$1,Database!$F$1:$AY$1,),))))-(((VLOOKUP(EDATE(B104,-12),Database!$F:$AY,MATCH($D$1,Database!$F$1:$AY$1,),)))))/(((VLOOKUP(EDATE(B104,-12),Database!$F:$AY,MATCH($D$1,Database!$F$1:$AY$1,),))))</f>
        <v/>
      </c>
      <c r="E104" s="13">
        <f>((((VLOOKUP(B104,Database!$F:$AY,MATCH($E$1,Database!$F$1:$AY$1,),))))-(((VLOOKUP(EDATE(B104,-12),Database!$F:$AY,MATCH($E$1,Database!$F$1:$AY$1,),)))))/(((VLOOKUP(EDATE(B104,-12),Database!$F:$AY,MATCH($E$1,Database!$F$1:$AY$1,),))))</f>
        <v/>
      </c>
      <c r="F104" s="13">
        <f>((((VLOOKUP(B104,Database!$F:$AY,MATCH($F$1,Database!$F$1:$AY$1,),))))-(((VLOOKUP(EDATE(B104,-12),Database!$F:$AY,MATCH($F$1,Database!$F$1:$AY$1,),)))))/(((VLOOKUP(EDATE(B104,-12),Database!$F:$AY,MATCH($F$1,Database!$F$1:$AY$1,),))))</f>
        <v/>
      </c>
      <c r="G104" s="13">
        <f>((((VLOOKUP(B104,Database!$F:$AY,MATCH($G$1,Database!$F$1:$AY$1,),))))-(((VLOOKUP(EDATE(B104,-12),Database!$F:$AY,MATCH($G$1,Database!$F$1:$AY$1,),)))))/(((VLOOKUP(EDATE(B104,-12),Database!$F:$AY,MATCH($G$1,Database!$F$1:$AY$1,),))))</f>
        <v/>
      </c>
      <c r="H104" s="13">
        <f>((((VLOOKUP(B104,Database!$F:$AY,MATCH($H$1,Database!$F$1:$AY$1,),))))-(((VLOOKUP(EDATE(B104,-12),Database!$F:$AY,MATCH($H$1,Database!$F$1:$AY$1,),)))))/(((VLOOKUP(EDATE(B104,-12),Database!$F:$AY,MATCH($H$1,Database!$F$1:$AY$1,),))))</f>
        <v/>
      </c>
      <c r="I104" s="13">
        <f>((((VLOOKUP(B104,Database!$F:$AY,MATCH($I$1,Database!$F$1:$AY$1,),))))-(((VLOOKUP(EDATE(B104,-12),Database!$F:$AY,MATCH($I$1,Database!$F$1:$AY$1,),)))))/(((VLOOKUP(EDATE(B104,-12),Database!$F:$AY,MATCH($I$1,Database!$F$1:$AY$1,),))))</f>
        <v/>
      </c>
      <c r="J104" s="13">
        <f>((((VLOOKUP(B104,Database!$F:$AY,MATCH($J$1,Database!$F$1:$AY$1,),))))-(((VLOOKUP(EDATE(B104,-12),Database!$F:$AY,MATCH($J$1,Database!$F$1:$AY$1,),)))))/(((VLOOKUP(EDATE(B104,-12),Database!$F:$AY,MATCH($J$1,Database!$F$1:$AY$1,),))))</f>
        <v/>
      </c>
      <c r="K104" s="13">
        <f>((((VLOOKUP(B104,Database!$F:$AY,MATCH($K$1,Database!$F$1:$AY$1,),))))-(((VLOOKUP(EDATE(B104,-12),Database!$F:$AY,MATCH($K$1,Database!$F$1:$AY$1,),)))))/(((VLOOKUP(EDATE(B104,-12),Database!$F:$AY,MATCH($K$1,Database!$F$1:$AY$1,),))))</f>
        <v/>
      </c>
      <c r="L104" s="13">
        <f>((((VLOOKUP(B104,Database!$F:$AY,MATCH($L$1,Database!$F$1:$AY$1,),))))-(((VLOOKUP(EDATE(B104,-12),Database!$F:$AY,MATCH($L$1,Database!$F$1:$AY$1,),)))))/(((VLOOKUP(EDATE(B104,-12),Database!$F:$AY,MATCH($L$1,Database!$F$1:$AY$1,),))))</f>
        <v/>
      </c>
      <c r="M104" s="13">
        <f>((((VLOOKUP(B104,Database!$F:$AY,MATCH($M$1,Database!$F$1:$AY$1,),))))-(((VLOOKUP(EDATE(B104,-12),Database!$F:$AY,MATCH($M$1,Database!$F$1:$AY$1,),)))))/(((VLOOKUP(EDATE(B104,-12),Database!$F:$AY,MATCH($M$1,Database!$F$1:$AY$1,),))))</f>
        <v/>
      </c>
      <c r="N104" s="13">
        <f>((((VLOOKUP(B104,Database!$F:$AY,MATCH($N$1,Database!$F$1:$AY$1,),))))-(((VLOOKUP(EDATE(B104,-12),Database!$F:$AY,MATCH($N$1,Database!$F$1:$AY$1,),)))))/(((VLOOKUP(EDATE(B104,-12),Database!$F:$AY,MATCH($N$1,Database!$F$1:$AY$1,),))))</f>
        <v/>
      </c>
      <c r="O104" s="13">
        <f>((((VLOOKUP(B104,Database!$F:$AY,MATCH($O$1,Database!$F$1:$AY$1,),))))-(((VLOOKUP(EDATE(B104,-12),Database!$F:$AY,MATCH($O$1,Database!$F$1:$AY$1,),)))))/(((VLOOKUP(EDATE(B104,-12),Database!$F:$AY,MATCH($O$1,Database!$F$1:$AY$1,),))))</f>
        <v/>
      </c>
      <c r="P104" s="13">
        <f>((((VLOOKUP(B104,Database!$F:$AY,MATCH($P$1,Database!$F$1:$AY$1,),))))-(((VLOOKUP(EDATE(B104,-12),Database!$F:$AY,MATCH($P$1,Database!$F$1:$AY$1,),)))))/(((VLOOKUP(EDATE(B104,-12),Database!$F:$AY,MATCH($P$1,Database!$F$1:$AY$1,),))))</f>
        <v/>
      </c>
      <c r="Q104" s="13">
        <f>((((VLOOKUP(B104,Database!$F:$AY,MATCH($Q$1,Database!$F$1:$AY$1,),))))-(((VLOOKUP(EDATE(B104,-12),Database!$F:$AY,MATCH($Q$1,Database!$F$1:$AY$1,),)))))/(((VLOOKUP(EDATE(B104,-12),Database!$F:$AY,MATCH($Q$1,Database!$F$1:$AY$1,),))))</f>
        <v/>
      </c>
      <c r="R104" s="13">
        <f>((((VLOOKUP(B104,Database!$F:$AY,MATCH($R$1,Database!$F$1:$AY$1,),))))-(((VLOOKUP(EDATE(B104,-12),Database!$F:$AY,MATCH($R$1,Database!$F$1:$AY$1,),)))))/(((VLOOKUP(EDATE(B104,-12),Database!$F:$AY,MATCH($R$1,Database!$F$1:$AY$1,),))))</f>
        <v/>
      </c>
      <c r="S104" s="13">
        <f>((((VLOOKUP(B104,Database!$F:$AY,MATCH($S$1,Database!$F$1:$AY$1,),))))-(((VLOOKUP(EDATE(B104,-12),Database!$F:$AY,MATCH($S$1,Database!$F$1:$AY$1,),)))))/(((VLOOKUP(EDATE(B104,-12),Database!$F:$AY,MATCH($S$1,Database!$F$1:$AY$1,),))))</f>
        <v/>
      </c>
      <c r="T104" s="13">
        <f>((((VLOOKUP(B104,Database!$F:$AY,MATCH($T$1,Database!$F$1:$AY$1,),))))-(((VLOOKUP(EDATE(B104,-12),Database!$F:$AY,MATCH($T$1,Database!$F$1:$AY$1,),)))))/(((VLOOKUP(EDATE(B104,-12),Database!$F:$AY,MATCH($T$1,Database!$F$1:$AY$1,),))))</f>
        <v/>
      </c>
      <c r="U104" s="13">
        <f>((((VLOOKUP(B104,Database!$F:$AY,MATCH($U$1,Database!$F$1:$AY$1,),))))-(((VLOOKUP(EDATE(B104,-12),Database!$F:$AY,MATCH($U$1,Database!$F$1:$AY$1,),)))))/(((VLOOKUP(EDATE(B104,-12),Database!$F:$AY,MATCH($U$1,Database!$F$1:$AY$1,),))))</f>
        <v/>
      </c>
      <c r="V104" s="13">
        <f>((((VLOOKUP(B104,Database!$F:$AY,MATCH($V$1,Database!$F$1:$AY$1,),))))-(((VLOOKUP(EDATE(B104,-12),Database!$F:$AY,MATCH($V$1,Database!$F$1:$AY$1,),)))))/(((VLOOKUP(EDATE(B104,-12),Database!$F:$AY,MATCH($V$1,Database!$F$1:$AY$1,),))))</f>
        <v/>
      </c>
    </row>
    <row r="105" customFormat="1" s="100">
      <c r="A105" s="45" t="n"/>
      <c r="B105" s="46" t="n">
        <v>35339</v>
      </c>
      <c r="C105" s="13">
        <f>((((VLOOKUP(B105,Database!$F:$AY,MATCH($C$1,Database!$F$1:$AY$1,),))))-(((VLOOKUP(EDATE(B105,-12),Database!$F:$AY,MATCH($C$1,Database!$F$1:$AY$1,),)))))/(((VLOOKUP(EDATE(B105,-12),Database!$F:$AY,MATCH($C$1,Database!$F$1:$AY$1,),))))</f>
        <v/>
      </c>
      <c r="D105" s="13">
        <f>((((VLOOKUP(B105,Database!$F:$AY,MATCH($D$1,Database!$F$1:$AY$1,),))))-(((VLOOKUP(EDATE(B105,-12),Database!$F:$AY,MATCH($D$1,Database!$F$1:$AY$1,),)))))/(((VLOOKUP(EDATE(B105,-12),Database!$F:$AY,MATCH($D$1,Database!$F$1:$AY$1,),))))</f>
        <v/>
      </c>
      <c r="E105" s="13">
        <f>((((VLOOKUP(B105,Database!$F:$AY,MATCH($E$1,Database!$F$1:$AY$1,),))))-(((VLOOKUP(EDATE(B105,-12),Database!$F:$AY,MATCH($E$1,Database!$F$1:$AY$1,),)))))/(((VLOOKUP(EDATE(B105,-12),Database!$F:$AY,MATCH($E$1,Database!$F$1:$AY$1,),))))</f>
        <v/>
      </c>
      <c r="F105" s="13">
        <f>((((VLOOKUP(B105,Database!$F:$AY,MATCH($F$1,Database!$F$1:$AY$1,),))))-(((VLOOKUP(EDATE(B105,-12),Database!$F:$AY,MATCH($F$1,Database!$F$1:$AY$1,),)))))/(((VLOOKUP(EDATE(B105,-12),Database!$F:$AY,MATCH($F$1,Database!$F$1:$AY$1,),))))</f>
        <v/>
      </c>
      <c r="G105" s="13">
        <f>((((VLOOKUP(B105,Database!$F:$AY,MATCH($G$1,Database!$F$1:$AY$1,),))))-(((VLOOKUP(EDATE(B105,-12),Database!$F:$AY,MATCH($G$1,Database!$F$1:$AY$1,),)))))/(((VLOOKUP(EDATE(B105,-12),Database!$F:$AY,MATCH($G$1,Database!$F$1:$AY$1,),))))</f>
        <v/>
      </c>
      <c r="H105" s="13">
        <f>((((VLOOKUP(B105,Database!$F:$AY,MATCH($H$1,Database!$F$1:$AY$1,),))))-(((VLOOKUP(EDATE(B105,-12),Database!$F:$AY,MATCH($H$1,Database!$F$1:$AY$1,),)))))/(((VLOOKUP(EDATE(B105,-12),Database!$F:$AY,MATCH($H$1,Database!$F$1:$AY$1,),))))</f>
        <v/>
      </c>
      <c r="I105" s="13">
        <f>((((VLOOKUP(B105,Database!$F:$AY,MATCH($I$1,Database!$F$1:$AY$1,),))))-(((VLOOKUP(EDATE(B105,-12),Database!$F:$AY,MATCH($I$1,Database!$F$1:$AY$1,),)))))/(((VLOOKUP(EDATE(B105,-12),Database!$F:$AY,MATCH($I$1,Database!$F$1:$AY$1,),))))</f>
        <v/>
      </c>
      <c r="J105" s="13">
        <f>((((VLOOKUP(B105,Database!$F:$AY,MATCH($J$1,Database!$F$1:$AY$1,),))))-(((VLOOKUP(EDATE(B105,-12),Database!$F:$AY,MATCH($J$1,Database!$F$1:$AY$1,),)))))/(((VLOOKUP(EDATE(B105,-12),Database!$F:$AY,MATCH($J$1,Database!$F$1:$AY$1,),))))</f>
        <v/>
      </c>
      <c r="K105" s="13">
        <f>((((VLOOKUP(B105,Database!$F:$AY,MATCH($K$1,Database!$F$1:$AY$1,),))))-(((VLOOKUP(EDATE(B105,-12),Database!$F:$AY,MATCH($K$1,Database!$F$1:$AY$1,),)))))/(((VLOOKUP(EDATE(B105,-12),Database!$F:$AY,MATCH($K$1,Database!$F$1:$AY$1,),))))</f>
        <v/>
      </c>
      <c r="L105" s="13">
        <f>((((VLOOKUP(B105,Database!$F:$AY,MATCH($L$1,Database!$F$1:$AY$1,),))))-(((VLOOKUP(EDATE(B105,-12),Database!$F:$AY,MATCH($L$1,Database!$F$1:$AY$1,),)))))/(((VLOOKUP(EDATE(B105,-12),Database!$F:$AY,MATCH($L$1,Database!$F$1:$AY$1,),))))</f>
        <v/>
      </c>
      <c r="M105" s="13">
        <f>((((VLOOKUP(B105,Database!$F:$AY,MATCH($M$1,Database!$F$1:$AY$1,),))))-(((VLOOKUP(EDATE(B105,-12),Database!$F:$AY,MATCH($M$1,Database!$F$1:$AY$1,),)))))/(((VLOOKUP(EDATE(B105,-12),Database!$F:$AY,MATCH($M$1,Database!$F$1:$AY$1,),))))</f>
        <v/>
      </c>
      <c r="N105" s="13">
        <f>((((VLOOKUP(B105,Database!$F:$AY,MATCH($N$1,Database!$F$1:$AY$1,),))))-(((VLOOKUP(EDATE(B105,-12),Database!$F:$AY,MATCH($N$1,Database!$F$1:$AY$1,),)))))/(((VLOOKUP(EDATE(B105,-12),Database!$F:$AY,MATCH($N$1,Database!$F$1:$AY$1,),))))</f>
        <v/>
      </c>
      <c r="O105" s="13">
        <f>((((VLOOKUP(B105,Database!$F:$AY,MATCH($O$1,Database!$F$1:$AY$1,),))))-(((VLOOKUP(EDATE(B105,-12),Database!$F:$AY,MATCH($O$1,Database!$F$1:$AY$1,),)))))/(((VLOOKUP(EDATE(B105,-12),Database!$F:$AY,MATCH($O$1,Database!$F$1:$AY$1,),))))</f>
        <v/>
      </c>
      <c r="P105" s="13">
        <f>((((VLOOKUP(B105,Database!$F:$AY,MATCH($P$1,Database!$F$1:$AY$1,),))))-(((VLOOKUP(EDATE(B105,-12),Database!$F:$AY,MATCH($P$1,Database!$F$1:$AY$1,),)))))/(((VLOOKUP(EDATE(B105,-12),Database!$F:$AY,MATCH($P$1,Database!$F$1:$AY$1,),))))</f>
        <v/>
      </c>
      <c r="Q105" s="13">
        <f>((((VLOOKUP(B105,Database!$F:$AY,MATCH($Q$1,Database!$F$1:$AY$1,),))))-(((VLOOKUP(EDATE(B105,-12),Database!$F:$AY,MATCH($Q$1,Database!$F$1:$AY$1,),)))))/(((VLOOKUP(EDATE(B105,-12),Database!$F:$AY,MATCH($Q$1,Database!$F$1:$AY$1,),))))</f>
        <v/>
      </c>
      <c r="R105" s="13">
        <f>((((VLOOKUP(B105,Database!$F:$AY,MATCH($R$1,Database!$F$1:$AY$1,),))))-(((VLOOKUP(EDATE(B105,-12),Database!$F:$AY,MATCH($R$1,Database!$F$1:$AY$1,),)))))/(((VLOOKUP(EDATE(B105,-12),Database!$F:$AY,MATCH($R$1,Database!$F$1:$AY$1,),))))</f>
        <v/>
      </c>
      <c r="S105" s="13">
        <f>((((VLOOKUP(B105,Database!$F:$AY,MATCH($S$1,Database!$F$1:$AY$1,),))))-(((VLOOKUP(EDATE(B105,-12),Database!$F:$AY,MATCH($S$1,Database!$F$1:$AY$1,),)))))/(((VLOOKUP(EDATE(B105,-12),Database!$F:$AY,MATCH($S$1,Database!$F$1:$AY$1,),))))</f>
        <v/>
      </c>
      <c r="T105" s="13">
        <f>((((VLOOKUP(B105,Database!$F:$AY,MATCH($T$1,Database!$F$1:$AY$1,),))))-(((VLOOKUP(EDATE(B105,-12),Database!$F:$AY,MATCH($T$1,Database!$F$1:$AY$1,),)))))/(((VLOOKUP(EDATE(B105,-12),Database!$F:$AY,MATCH($T$1,Database!$F$1:$AY$1,),))))</f>
        <v/>
      </c>
      <c r="U105" s="13">
        <f>((((VLOOKUP(B105,Database!$F:$AY,MATCH($U$1,Database!$F$1:$AY$1,),))))-(((VLOOKUP(EDATE(B105,-12),Database!$F:$AY,MATCH($U$1,Database!$F$1:$AY$1,),)))))/(((VLOOKUP(EDATE(B105,-12),Database!$F:$AY,MATCH($U$1,Database!$F$1:$AY$1,),))))</f>
        <v/>
      </c>
      <c r="V105" s="13">
        <f>((((VLOOKUP(B105,Database!$F:$AY,MATCH($V$1,Database!$F$1:$AY$1,),))))-(((VLOOKUP(EDATE(B105,-12),Database!$F:$AY,MATCH($V$1,Database!$F$1:$AY$1,),)))))/(((VLOOKUP(EDATE(B105,-12),Database!$F:$AY,MATCH($V$1,Database!$F$1:$AY$1,),))))</f>
        <v/>
      </c>
    </row>
    <row r="106" customFormat="1" s="100">
      <c r="A106" s="45" t="n"/>
      <c r="B106" s="46" t="n">
        <v>35370</v>
      </c>
      <c r="C106" s="13">
        <f>((((VLOOKUP(B106,Database!$F:$AY,MATCH($C$1,Database!$F$1:$AY$1,),))))-(((VLOOKUP(EDATE(B106,-12),Database!$F:$AY,MATCH($C$1,Database!$F$1:$AY$1,),)))))/(((VLOOKUP(EDATE(B106,-12),Database!$F:$AY,MATCH($C$1,Database!$F$1:$AY$1,),))))</f>
        <v/>
      </c>
      <c r="D106" s="13">
        <f>((((VLOOKUP(B106,Database!$F:$AY,MATCH($D$1,Database!$F$1:$AY$1,),))))-(((VLOOKUP(EDATE(B106,-12),Database!$F:$AY,MATCH($D$1,Database!$F$1:$AY$1,),)))))/(((VLOOKUP(EDATE(B106,-12),Database!$F:$AY,MATCH($D$1,Database!$F$1:$AY$1,),))))</f>
        <v/>
      </c>
      <c r="E106" s="13">
        <f>((((VLOOKUP(B106,Database!$F:$AY,MATCH($E$1,Database!$F$1:$AY$1,),))))-(((VLOOKUP(EDATE(B106,-12),Database!$F:$AY,MATCH($E$1,Database!$F$1:$AY$1,),)))))/(((VLOOKUP(EDATE(B106,-12),Database!$F:$AY,MATCH($E$1,Database!$F$1:$AY$1,),))))</f>
        <v/>
      </c>
      <c r="F106" s="13">
        <f>((((VLOOKUP(B106,Database!$F:$AY,MATCH($F$1,Database!$F$1:$AY$1,),))))-(((VLOOKUP(EDATE(B106,-12),Database!$F:$AY,MATCH($F$1,Database!$F$1:$AY$1,),)))))/(((VLOOKUP(EDATE(B106,-12),Database!$F:$AY,MATCH($F$1,Database!$F$1:$AY$1,),))))</f>
        <v/>
      </c>
      <c r="G106" s="13">
        <f>((((VLOOKUP(B106,Database!$F:$AY,MATCH($G$1,Database!$F$1:$AY$1,),))))-(((VLOOKUP(EDATE(B106,-12),Database!$F:$AY,MATCH($G$1,Database!$F$1:$AY$1,),)))))/(((VLOOKUP(EDATE(B106,-12),Database!$F:$AY,MATCH($G$1,Database!$F$1:$AY$1,),))))</f>
        <v/>
      </c>
      <c r="H106" s="13">
        <f>((((VLOOKUP(B106,Database!$F:$AY,MATCH($H$1,Database!$F$1:$AY$1,),))))-(((VLOOKUP(EDATE(B106,-12),Database!$F:$AY,MATCH($H$1,Database!$F$1:$AY$1,),)))))/(((VLOOKUP(EDATE(B106,-12),Database!$F:$AY,MATCH($H$1,Database!$F$1:$AY$1,),))))</f>
        <v/>
      </c>
      <c r="I106" s="13">
        <f>((((VLOOKUP(B106,Database!$F:$AY,MATCH($I$1,Database!$F$1:$AY$1,),))))-(((VLOOKUP(EDATE(B106,-12),Database!$F:$AY,MATCH($I$1,Database!$F$1:$AY$1,),)))))/(((VLOOKUP(EDATE(B106,-12),Database!$F:$AY,MATCH($I$1,Database!$F$1:$AY$1,),))))</f>
        <v/>
      </c>
      <c r="J106" s="13">
        <f>((((VLOOKUP(B106,Database!$F:$AY,MATCH($J$1,Database!$F$1:$AY$1,),))))-(((VLOOKUP(EDATE(B106,-12),Database!$F:$AY,MATCH($J$1,Database!$F$1:$AY$1,),)))))/(((VLOOKUP(EDATE(B106,-12),Database!$F:$AY,MATCH($J$1,Database!$F$1:$AY$1,),))))</f>
        <v/>
      </c>
      <c r="K106" s="13">
        <f>((((VLOOKUP(B106,Database!$F:$AY,MATCH($K$1,Database!$F$1:$AY$1,),))))-(((VLOOKUP(EDATE(B106,-12),Database!$F:$AY,MATCH($K$1,Database!$F$1:$AY$1,),)))))/(((VLOOKUP(EDATE(B106,-12),Database!$F:$AY,MATCH($K$1,Database!$F$1:$AY$1,),))))</f>
        <v/>
      </c>
      <c r="L106" s="13">
        <f>((((VLOOKUP(B106,Database!$F:$AY,MATCH($L$1,Database!$F$1:$AY$1,),))))-(((VLOOKUP(EDATE(B106,-12),Database!$F:$AY,MATCH($L$1,Database!$F$1:$AY$1,),)))))/(((VLOOKUP(EDATE(B106,-12),Database!$F:$AY,MATCH($L$1,Database!$F$1:$AY$1,),))))</f>
        <v/>
      </c>
      <c r="M106" s="13">
        <f>((((VLOOKUP(B106,Database!$F:$AY,MATCH($M$1,Database!$F$1:$AY$1,),))))-(((VLOOKUP(EDATE(B106,-12),Database!$F:$AY,MATCH($M$1,Database!$F$1:$AY$1,),)))))/(((VLOOKUP(EDATE(B106,-12),Database!$F:$AY,MATCH($M$1,Database!$F$1:$AY$1,),))))</f>
        <v/>
      </c>
      <c r="N106" s="13">
        <f>((((VLOOKUP(B106,Database!$F:$AY,MATCH($N$1,Database!$F$1:$AY$1,),))))-(((VLOOKUP(EDATE(B106,-12),Database!$F:$AY,MATCH($N$1,Database!$F$1:$AY$1,),)))))/(((VLOOKUP(EDATE(B106,-12),Database!$F:$AY,MATCH($N$1,Database!$F$1:$AY$1,),))))</f>
        <v/>
      </c>
      <c r="O106" s="13">
        <f>((((VLOOKUP(B106,Database!$F:$AY,MATCH($O$1,Database!$F$1:$AY$1,),))))-(((VLOOKUP(EDATE(B106,-12),Database!$F:$AY,MATCH($O$1,Database!$F$1:$AY$1,),)))))/(((VLOOKUP(EDATE(B106,-12),Database!$F:$AY,MATCH($O$1,Database!$F$1:$AY$1,),))))</f>
        <v/>
      </c>
      <c r="P106" s="13">
        <f>((((VLOOKUP(B106,Database!$F:$AY,MATCH($P$1,Database!$F$1:$AY$1,),))))-(((VLOOKUP(EDATE(B106,-12),Database!$F:$AY,MATCH($P$1,Database!$F$1:$AY$1,),)))))/(((VLOOKUP(EDATE(B106,-12),Database!$F:$AY,MATCH($P$1,Database!$F$1:$AY$1,),))))</f>
        <v/>
      </c>
      <c r="Q106" s="13">
        <f>((((VLOOKUP(B106,Database!$F:$AY,MATCH($Q$1,Database!$F$1:$AY$1,),))))-(((VLOOKUP(EDATE(B106,-12),Database!$F:$AY,MATCH($Q$1,Database!$F$1:$AY$1,),)))))/(((VLOOKUP(EDATE(B106,-12),Database!$F:$AY,MATCH($Q$1,Database!$F$1:$AY$1,),))))</f>
        <v/>
      </c>
      <c r="R106" s="13">
        <f>((((VLOOKUP(B106,Database!$F:$AY,MATCH($R$1,Database!$F$1:$AY$1,),))))-(((VLOOKUP(EDATE(B106,-12),Database!$F:$AY,MATCH($R$1,Database!$F$1:$AY$1,),)))))/(((VLOOKUP(EDATE(B106,-12),Database!$F:$AY,MATCH($R$1,Database!$F$1:$AY$1,),))))</f>
        <v/>
      </c>
      <c r="S106" s="13">
        <f>((((VLOOKUP(B106,Database!$F:$AY,MATCH($S$1,Database!$F$1:$AY$1,),))))-(((VLOOKUP(EDATE(B106,-12),Database!$F:$AY,MATCH($S$1,Database!$F$1:$AY$1,),)))))/(((VLOOKUP(EDATE(B106,-12),Database!$F:$AY,MATCH($S$1,Database!$F$1:$AY$1,),))))</f>
        <v/>
      </c>
      <c r="T106" s="13">
        <f>((((VLOOKUP(B106,Database!$F:$AY,MATCH($T$1,Database!$F$1:$AY$1,),))))-(((VLOOKUP(EDATE(B106,-12),Database!$F:$AY,MATCH($T$1,Database!$F$1:$AY$1,),)))))/(((VLOOKUP(EDATE(B106,-12),Database!$F:$AY,MATCH($T$1,Database!$F$1:$AY$1,),))))</f>
        <v/>
      </c>
      <c r="U106" s="13">
        <f>((((VLOOKUP(B106,Database!$F:$AY,MATCH($U$1,Database!$F$1:$AY$1,),))))-(((VLOOKUP(EDATE(B106,-12),Database!$F:$AY,MATCH($U$1,Database!$F$1:$AY$1,),)))))/(((VLOOKUP(EDATE(B106,-12),Database!$F:$AY,MATCH($U$1,Database!$F$1:$AY$1,),))))</f>
        <v/>
      </c>
      <c r="V106" s="13">
        <f>((((VLOOKUP(B106,Database!$F:$AY,MATCH($V$1,Database!$F$1:$AY$1,),))))-(((VLOOKUP(EDATE(B106,-12),Database!$F:$AY,MATCH($V$1,Database!$F$1:$AY$1,),)))))/(((VLOOKUP(EDATE(B106,-12),Database!$F:$AY,MATCH($V$1,Database!$F$1:$AY$1,),))))</f>
        <v/>
      </c>
    </row>
    <row r="107" customFormat="1" s="100">
      <c r="A107" s="45" t="n"/>
      <c r="B107" s="46" t="n">
        <v>35400</v>
      </c>
      <c r="C107" s="13">
        <f>((((VLOOKUP(B107,Database!$F:$AY,MATCH($C$1,Database!$F$1:$AY$1,),))))-(((VLOOKUP(EDATE(B107,-12),Database!$F:$AY,MATCH($C$1,Database!$F$1:$AY$1,),)))))/(((VLOOKUP(EDATE(B107,-12),Database!$F:$AY,MATCH($C$1,Database!$F$1:$AY$1,),))))</f>
        <v/>
      </c>
      <c r="D107" s="13">
        <f>((((VLOOKUP(B107,Database!$F:$AY,MATCH($D$1,Database!$F$1:$AY$1,),))))-(((VLOOKUP(EDATE(B107,-12),Database!$F:$AY,MATCH($D$1,Database!$F$1:$AY$1,),)))))/(((VLOOKUP(EDATE(B107,-12),Database!$F:$AY,MATCH($D$1,Database!$F$1:$AY$1,),))))</f>
        <v/>
      </c>
      <c r="E107" s="13">
        <f>((((VLOOKUP(B107,Database!$F:$AY,MATCH($E$1,Database!$F$1:$AY$1,),))))-(((VLOOKUP(EDATE(B107,-12),Database!$F:$AY,MATCH($E$1,Database!$F$1:$AY$1,),)))))/(((VLOOKUP(EDATE(B107,-12),Database!$F:$AY,MATCH($E$1,Database!$F$1:$AY$1,),))))</f>
        <v/>
      </c>
      <c r="F107" s="13">
        <f>((((VLOOKUP(B107,Database!$F:$AY,MATCH($F$1,Database!$F$1:$AY$1,),))))-(((VLOOKUP(EDATE(B107,-12),Database!$F:$AY,MATCH($F$1,Database!$F$1:$AY$1,),)))))/(((VLOOKUP(EDATE(B107,-12),Database!$F:$AY,MATCH($F$1,Database!$F$1:$AY$1,),))))</f>
        <v/>
      </c>
      <c r="G107" s="13">
        <f>((((VLOOKUP(B107,Database!$F:$AY,MATCH($G$1,Database!$F$1:$AY$1,),))))-(((VLOOKUP(EDATE(B107,-12),Database!$F:$AY,MATCH($G$1,Database!$F$1:$AY$1,),)))))/(((VLOOKUP(EDATE(B107,-12),Database!$F:$AY,MATCH($G$1,Database!$F$1:$AY$1,),))))</f>
        <v/>
      </c>
      <c r="H107" s="13">
        <f>((((VLOOKUP(B107,Database!$F:$AY,MATCH($H$1,Database!$F$1:$AY$1,),))))-(((VLOOKUP(EDATE(B107,-12),Database!$F:$AY,MATCH($H$1,Database!$F$1:$AY$1,),)))))/(((VLOOKUP(EDATE(B107,-12),Database!$F:$AY,MATCH($H$1,Database!$F$1:$AY$1,),))))</f>
        <v/>
      </c>
      <c r="I107" s="13">
        <f>((((VLOOKUP(B107,Database!$F:$AY,MATCH($I$1,Database!$F$1:$AY$1,),))))-(((VLOOKUP(EDATE(B107,-12),Database!$F:$AY,MATCH($I$1,Database!$F$1:$AY$1,),)))))/(((VLOOKUP(EDATE(B107,-12),Database!$F:$AY,MATCH($I$1,Database!$F$1:$AY$1,),))))</f>
        <v/>
      </c>
      <c r="J107" s="13">
        <f>((((VLOOKUP(B107,Database!$F:$AY,MATCH($J$1,Database!$F$1:$AY$1,),))))-(((VLOOKUP(EDATE(B107,-12),Database!$F:$AY,MATCH($J$1,Database!$F$1:$AY$1,),)))))/(((VLOOKUP(EDATE(B107,-12),Database!$F:$AY,MATCH($J$1,Database!$F$1:$AY$1,),))))</f>
        <v/>
      </c>
      <c r="K107" s="13">
        <f>((((VLOOKUP(B107,Database!$F:$AY,MATCH($K$1,Database!$F$1:$AY$1,),))))-(((VLOOKUP(EDATE(B107,-12),Database!$F:$AY,MATCH($K$1,Database!$F$1:$AY$1,),)))))/(((VLOOKUP(EDATE(B107,-12),Database!$F:$AY,MATCH($K$1,Database!$F$1:$AY$1,),))))</f>
        <v/>
      </c>
      <c r="L107" s="13">
        <f>((((VLOOKUP(B107,Database!$F:$AY,MATCH($L$1,Database!$F$1:$AY$1,),))))-(((VLOOKUP(EDATE(B107,-12),Database!$F:$AY,MATCH($L$1,Database!$F$1:$AY$1,),)))))/(((VLOOKUP(EDATE(B107,-12),Database!$F:$AY,MATCH($L$1,Database!$F$1:$AY$1,),))))</f>
        <v/>
      </c>
      <c r="M107" s="13">
        <f>((((VLOOKUP(B107,Database!$F:$AY,MATCH($M$1,Database!$F$1:$AY$1,),))))-(((VLOOKUP(EDATE(B107,-12),Database!$F:$AY,MATCH($M$1,Database!$F$1:$AY$1,),)))))/(((VLOOKUP(EDATE(B107,-12),Database!$F:$AY,MATCH($M$1,Database!$F$1:$AY$1,),))))</f>
        <v/>
      </c>
      <c r="N107" s="13">
        <f>((((VLOOKUP(B107,Database!$F:$AY,MATCH($N$1,Database!$F$1:$AY$1,),))))-(((VLOOKUP(EDATE(B107,-12),Database!$F:$AY,MATCH($N$1,Database!$F$1:$AY$1,),)))))/(((VLOOKUP(EDATE(B107,-12),Database!$F:$AY,MATCH($N$1,Database!$F$1:$AY$1,),))))</f>
        <v/>
      </c>
      <c r="O107" s="13">
        <f>((((VLOOKUP(B107,Database!$F:$AY,MATCH($O$1,Database!$F$1:$AY$1,),))))-(((VLOOKUP(EDATE(B107,-12),Database!$F:$AY,MATCH($O$1,Database!$F$1:$AY$1,),)))))/(((VLOOKUP(EDATE(B107,-12),Database!$F:$AY,MATCH($O$1,Database!$F$1:$AY$1,),))))</f>
        <v/>
      </c>
      <c r="P107" s="13">
        <f>((((VLOOKUP(B107,Database!$F:$AY,MATCH($P$1,Database!$F$1:$AY$1,),))))-(((VLOOKUP(EDATE(B107,-12),Database!$F:$AY,MATCH($P$1,Database!$F$1:$AY$1,),)))))/(((VLOOKUP(EDATE(B107,-12),Database!$F:$AY,MATCH($P$1,Database!$F$1:$AY$1,),))))</f>
        <v/>
      </c>
      <c r="Q107" s="13">
        <f>((((VLOOKUP(B107,Database!$F:$AY,MATCH($Q$1,Database!$F$1:$AY$1,),))))-(((VLOOKUP(EDATE(B107,-12),Database!$F:$AY,MATCH($Q$1,Database!$F$1:$AY$1,),)))))/(((VLOOKUP(EDATE(B107,-12),Database!$F:$AY,MATCH($Q$1,Database!$F$1:$AY$1,),))))</f>
        <v/>
      </c>
      <c r="R107" s="13">
        <f>((((VLOOKUP(B107,Database!$F:$AY,MATCH($R$1,Database!$F$1:$AY$1,),))))-(((VLOOKUP(EDATE(B107,-12),Database!$F:$AY,MATCH($R$1,Database!$F$1:$AY$1,),)))))/(((VLOOKUP(EDATE(B107,-12),Database!$F:$AY,MATCH($R$1,Database!$F$1:$AY$1,),))))</f>
        <v/>
      </c>
      <c r="S107" s="13">
        <f>((((VLOOKUP(B107,Database!$F:$AY,MATCH($S$1,Database!$F$1:$AY$1,),))))-(((VLOOKUP(EDATE(B107,-12),Database!$F:$AY,MATCH($S$1,Database!$F$1:$AY$1,),)))))/(((VLOOKUP(EDATE(B107,-12),Database!$F:$AY,MATCH($S$1,Database!$F$1:$AY$1,),))))</f>
        <v/>
      </c>
      <c r="T107" s="13">
        <f>((((VLOOKUP(B107,Database!$F:$AY,MATCH($T$1,Database!$F$1:$AY$1,),))))-(((VLOOKUP(EDATE(B107,-12),Database!$F:$AY,MATCH($T$1,Database!$F$1:$AY$1,),)))))/(((VLOOKUP(EDATE(B107,-12),Database!$F:$AY,MATCH($T$1,Database!$F$1:$AY$1,),))))</f>
        <v/>
      </c>
      <c r="U107" s="13">
        <f>((((VLOOKUP(B107,Database!$F:$AY,MATCH($U$1,Database!$F$1:$AY$1,),))))-(((VLOOKUP(EDATE(B107,-12),Database!$F:$AY,MATCH($U$1,Database!$F$1:$AY$1,),)))))/(((VLOOKUP(EDATE(B107,-12),Database!$F:$AY,MATCH($U$1,Database!$F$1:$AY$1,),))))</f>
        <v/>
      </c>
      <c r="V107" s="13">
        <f>((((VLOOKUP(B107,Database!$F:$AY,MATCH($V$1,Database!$F$1:$AY$1,),))))-(((VLOOKUP(EDATE(B107,-12),Database!$F:$AY,MATCH($V$1,Database!$F$1:$AY$1,),)))))/(((VLOOKUP(EDATE(B107,-12),Database!$F:$AY,MATCH($V$1,Database!$F$1:$AY$1,),))))</f>
        <v/>
      </c>
    </row>
    <row r="108" customFormat="1" s="100">
      <c r="A108" s="45" t="n"/>
      <c r="B108" s="46" t="n">
        <v>35431</v>
      </c>
      <c r="C108" s="13">
        <f>((((VLOOKUP(B108,Database!$F:$AY,MATCH($C$1,Database!$F$1:$AY$1,),))))-(((VLOOKUP(EDATE(B108,-12),Database!$F:$AY,MATCH($C$1,Database!$F$1:$AY$1,),)))))/(((VLOOKUP(EDATE(B108,-12),Database!$F:$AY,MATCH($C$1,Database!$F$1:$AY$1,),))))</f>
        <v/>
      </c>
      <c r="D108" s="13">
        <f>((((VLOOKUP(B108,Database!$F:$AY,MATCH($D$1,Database!$F$1:$AY$1,),))))-(((VLOOKUP(EDATE(B108,-12),Database!$F:$AY,MATCH($D$1,Database!$F$1:$AY$1,),)))))/(((VLOOKUP(EDATE(B108,-12),Database!$F:$AY,MATCH($D$1,Database!$F$1:$AY$1,),))))</f>
        <v/>
      </c>
      <c r="E108" s="13">
        <f>((((VLOOKUP(B108,Database!$F:$AY,MATCH($E$1,Database!$F$1:$AY$1,),))))-(((VLOOKUP(EDATE(B108,-12),Database!$F:$AY,MATCH($E$1,Database!$F$1:$AY$1,),)))))/(((VLOOKUP(EDATE(B108,-12),Database!$F:$AY,MATCH($E$1,Database!$F$1:$AY$1,),))))</f>
        <v/>
      </c>
      <c r="F108" s="13">
        <f>((((VLOOKUP(B108,Database!$F:$AY,MATCH($F$1,Database!$F$1:$AY$1,),))))-(((VLOOKUP(EDATE(B108,-12),Database!$F:$AY,MATCH($F$1,Database!$F$1:$AY$1,),)))))/(((VLOOKUP(EDATE(B108,-12),Database!$F:$AY,MATCH($F$1,Database!$F$1:$AY$1,),))))</f>
        <v/>
      </c>
      <c r="G108" s="13">
        <f>((((VLOOKUP(B108,Database!$F:$AY,MATCH($G$1,Database!$F$1:$AY$1,),))))-(((VLOOKUP(EDATE(B108,-12),Database!$F:$AY,MATCH($G$1,Database!$F$1:$AY$1,),)))))/(((VLOOKUP(EDATE(B108,-12),Database!$F:$AY,MATCH($G$1,Database!$F$1:$AY$1,),))))</f>
        <v/>
      </c>
      <c r="H108" s="13">
        <f>((((VLOOKUP(B108,Database!$F:$AY,MATCH($H$1,Database!$F$1:$AY$1,),))))-(((VLOOKUP(EDATE(B108,-12),Database!$F:$AY,MATCH($H$1,Database!$F$1:$AY$1,),)))))/(((VLOOKUP(EDATE(B108,-12),Database!$F:$AY,MATCH($H$1,Database!$F$1:$AY$1,),))))</f>
        <v/>
      </c>
      <c r="I108" s="13">
        <f>((((VLOOKUP(B108,Database!$F:$AY,MATCH($I$1,Database!$F$1:$AY$1,),))))-(((VLOOKUP(EDATE(B108,-12),Database!$F:$AY,MATCH($I$1,Database!$F$1:$AY$1,),)))))/(((VLOOKUP(EDATE(B108,-12),Database!$F:$AY,MATCH($I$1,Database!$F$1:$AY$1,),))))</f>
        <v/>
      </c>
      <c r="J108" s="13">
        <f>((((VLOOKUP(B108,Database!$F:$AY,MATCH($J$1,Database!$F$1:$AY$1,),))))-(((VLOOKUP(EDATE(B108,-12),Database!$F:$AY,MATCH($J$1,Database!$F$1:$AY$1,),)))))/(((VLOOKUP(EDATE(B108,-12),Database!$F:$AY,MATCH($J$1,Database!$F$1:$AY$1,),))))</f>
        <v/>
      </c>
      <c r="K108" s="13">
        <f>((((VLOOKUP(B108,Database!$F:$AY,MATCH($K$1,Database!$F$1:$AY$1,),))))-(((VLOOKUP(EDATE(B108,-12),Database!$F:$AY,MATCH($K$1,Database!$F$1:$AY$1,),)))))/(((VLOOKUP(EDATE(B108,-12),Database!$F:$AY,MATCH($K$1,Database!$F$1:$AY$1,),))))</f>
        <v/>
      </c>
      <c r="L108" s="13">
        <f>((((VLOOKUP(B108,Database!$F:$AY,MATCH($L$1,Database!$F$1:$AY$1,),))))-(((VLOOKUP(EDATE(B108,-12),Database!$F:$AY,MATCH($L$1,Database!$F$1:$AY$1,),)))))/(((VLOOKUP(EDATE(B108,-12),Database!$F:$AY,MATCH($L$1,Database!$F$1:$AY$1,),))))</f>
        <v/>
      </c>
      <c r="M108" s="13">
        <f>((((VLOOKUP(B108,Database!$F:$AY,MATCH($M$1,Database!$F$1:$AY$1,),))))-(((VLOOKUP(EDATE(B108,-12),Database!$F:$AY,MATCH($M$1,Database!$F$1:$AY$1,),)))))/(((VLOOKUP(EDATE(B108,-12),Database!$F:$AY,MATCH($M$1,Database!$F$1:$AY$1,),))))</f>
        <v/>
      </c>
      <c r="N108" s="13">
        <f>((((VLOOKUP(B108,Database!$F:$AY,MATCH($N$1,Database!$F$1:$AY$1,),))))-(((VLOOKUP(EDATE(B108,-12),Database!$F:$AY,MATCH($N$1,Database!$F$1:$AY$1,),)))))/(((VLOOKUP(EDATE(B108,-12),Database!$F:$AY,MATCH($N$1,Database!$F$1:$AY$1,),))))</f>
        <v/>
      </c>
      <c r="O108" s="13">
        <f>((((VLOOKUP(B108,Database!$F:$AY,MATCH($O$1,Database!$F$1:$AY$1,),))))-(((VLOOKUP(EDATE(B108,-12),Database!$F:$AY,MATCH($O$1,Database!$F$1:$AY$1,),)))))/(((VLOOKUP(EDATE(B108,-12),Database!$F:$AY,MATCH($O$1,Database!$F$1:$AY$1,),))))</f>
        <v/>
      </c>
      <c r="P108" s="13">
        <f>((((VLOOKUP(B108,Database!$F:$AY,MATCH($P$1,Database!$F$1:$AY$1,),))))-(((VLOOKUP(EDATE(B108,-12),Database!$F:$AY,MATCH($P$1,Database!$F$1:$AY$1,),)))))/(((VLOOKUP(EDATE(B108,-12),Database!$F:$AY,MATCH($P$1,Database!$F$1:$AY$1,),))))</f>
        <v/>
      </c>
      <c r="Q108" s="13">
        <f>((((VLOOKUP(B108,Database!$F:$AY,MATCH($Q$1,Database!$F$1:$AY$1,),))))-(((VLOOKUP(EDATE(B108,-12),Database!$F:$AY,MATCH($Q$1,Database!$F$1:$AY$1,),)))))/(((VLOOKUP(EDATE(B108,-12),Database!$F:$AY,MATCH($Q$1,Database!$F$1:$AY$1,),))))</f>
        <v/>
      </c>
      <c r="R108" s="13">
        <f>((((VLOOKUP(B108,Database!$F:$AY,MATCH($R$1,Database!$F$1:$AY$1,),))))-(((VLOOKUP(EDATE(B108,-12),Database!$F:$AY,MATCH($R$1,Database!$F$1:$AY$1,),)))))/(((VLOOKUP(EDATE(B108,-12),Database!$F:$AY,MATCH($R$1,Database!$F$1:$AY$1,),))))</f>
        <v/>
      </c>
      <c r="S108" s="13">
        <f>((((VLOOKUP(B108,Database!$F:$AY,MATCH($S$1,Database!$F$1:$AY$1,),))))-(((VLOOKUP(EDATE(B108,-12),Database!$F:$AY,MATCH($S$1,Database!$F$1:$AY$1,),)))))/(((VLOOKUP(EDATE(B108,-12),Database!$F:$AY,MATCH($S$1,Database!$F$1:$AY$1,),))))</f>
        <v/>
      </c>
      <c r="T108" s="13">
        <f>((((VLOOKUP(B108,Database!$F:$AY,MATCH($T$1,Database!$F$1:$AY$1,),))))-(((VLOOKUP(EDATE(B108,-12),Database!$F:$AY,MATCH($T$1,Database!$F$1:$AY$1,),)))))/(((VLOOKUP(EDATE(B108,-12),Database!$F:$AY,MATCH($T$1,Database!$F$1:$AY$1,),))))</f>
        <v/>
      </c>
      <c r="U108" s="13">
        <f>((((VLOOKUP(B108,Database!$F:$AY,MATCH($U$1,Database!$F$1:$AY$1,),))))-(((VLOOKUP(EDATE(B108,-12),Database!$F:$AY,MATCH($U$1,Database!$F$1:$AY$1,),)))))/(((VLOOKUP(EDATE(B108,-12),Database!$F:$AY,MATCH($U$1,Database!$F$1:$AY$1,),))))</f>
        <v/>
      </c>
      <c r="V108" s="13">
        <f>((((VLOOKUP(B108,Database!$F:$AY,MATCH($V$1,Database!$F$1:$AY$1,),))))-(((VLOOKUP(EDATE(B108,-12),Database!$F:$AY,MATCH($V$1,Database!$F$1:$AY$1,),)))))/(((VLOOKUP(EDATE(B108,-12),Database!$F:$AY,MATCH($V$1,Database!$F$1:$AY$1,),))))</f>
        <v/>
      </c>
    </row>
    <row r="109" customFormat="1" s="100">
      <c r="A109" s="45" t="n"/>
      <c r="B109" s="46" t="n">
        <v>35462</v>
      </c>
      <c r="C109" s="13">
        <f>((((VLOOKUP(B109,Database!$F:$AY,MATCH($C$1,Database!$F$1:$AY$1,),))))-(((VLOOKUP(EDATE(B109,-12),Database!$F:$AY,MATCH($C$1,Database!$F$1:$AY$1,),)))))/(((VLOOKUP(EDATE(B109,-12),Database!$F:$AY,MATCH($C$1,Database!$F$1:$AY$1,),))))</f>
        <v/>
      </c>
      <c r="D109" s="13">
        <f>((((VLOOKUP(B109,Database!$F:$AY,MATCH($D$1,Database!$F$1:$AY$1,),))))-(((VLOOKUP(EDATE(B109,-12),Database!$F:$AY,MATCH($D$1,Database!$F$1:$AY$1,),)))))/(((VLOOKUP(EDATE(B109,-12),Database!$F:$AY,MATCH($D$1,Database!$F$1:$AY$1,),))))</f>
        <v/>
      </c>
      <c r="E109" s="13">
        <f>((((VLOOKUP(B109,Database!$F:$AY,MATCH($E$1,Database!$F$1:$AY$1,),))))-(((VLOOKUP(EDATE(B109,-12),Database!$F:$AY,MATCH($E$1,Database!$F$1:$AY$1,),)))))/(((VLOOKUP(EDATE(B109,-12),Database!$F:$AY,MATCH($E$1,Database!$F$1:$AY$1,),))))</f>
        <v/>
      </c>
      <c r="F109" s="13">
        <f>((((VLOOKUP(B109,Database!$F:$AY,MATCH($F$1,Database!$F$1:$AY$1,),))))-(((VLOOKUP(EDATE(B109,-12),Database!$F:$AY,MATCH($F$1,Database!$F$1:$AY$1,),)))))/(((VLOOKUP(EDATE(B109,-12),Database!$F:$AY,MATCH($F$1,Database!$F$1:$AY$1,),))))</f>
        <v/>
      </c>
      <c r="G109" s="13">
        <f>((((VLOOKUP(B109,Database!$F:$AY,MATCH($G$1,Database!$F$1:$AY$1,),))))-(((VLOOKUP(EDATE(B109,-12),Database!$F:$AY,MATCH($G$1,Database!$F$1:$AY$1,),)))))/(((VLOOKUP(EDATE(B109,-12),Database!$F:$AY,MATCH($G$1,Database!$F$1:$AY$1,),))))</f>
        <v/>
      </c>
      <c r="H109" s="13">
        <f>((((VLOOKUP(B109,Database!$F:$AY,MATCH($H$1,Database!$F$1:$AY$1,),))))-(((VLOOKUP(EDATE(B109,-12),Database!$F:$AY,MATCH($H$1,Database!$F$1:$AY$1,),)))))/(((VLOOKUP(EDATE(B109,-12),Database!$F:$AY,MATCH($H$1,Database!$F$1:$AY$1,),))))</f>
        <v/>
      </c>
      <c r="I109" s="13">
        <f>((((VLOOKUP(B109,Database!$F:$AY,MATCH($I$1,Database!$F$1:$AY$1,),))))-(((VLOOKUP(EDATE(B109,-12),Database!$F:$AY,MATCH($I$1,Database!$F$1:$AY$1,),)))))/(((VLOOKUP(EDATE(B109,-12),Database!$F:$AY,MATCH($I$1,Database!$F$1:$AY$1,),))))</f>
        <v/>
      </c>
      <c r="J109" s="13">
        <f>((((VLOOKUP(B109,Database!$F:$AY,MATCH($J$1,Database!$F$1:$AY$1,),))))-(((VLOOKUP(EDATE(B109,-12),Database!$F:$AY,MATCH($J$1,Database!$F$1:$AY$1,),)))))/(((VLOOKUP(EDATE(B109,-12),Database!$F:$AY,MATCH($J$1,Database!$F$1:$AY$1,),))))</f>
        <v/>
      </c>
      <c r="K109" s="13">
        <f>((((VLOOKUP(B109,Database!$F:$AY,MATCH($K$1,Database!$F$1:$AY$1,),))))-(((VLOOKUP(EDATE(B109,-12),Database!$F:$AY,MATCH($K$1,Database!$F$1:$AY$1,),)))))/(((VLOOKUP(EDATE(B109,-12),Database!$F:$AY,MATCH($K$1,Database!$F$1:$AY$1,),))))</f>
        <v/>
      </c>
      <c r="L109" s="13">
        <f>((((VLOOKUP(B109,Database!$F:$AY,MATCH($L$1,Database!$F$1:$AY$1,),))))-(((VLOOKUP(EDATE(B109,-12),Database!$F:$AY,MATCH($L$1,Database!$F$1:$AY$1,),)))))/(((VLOOKUP(EDATE(B109,-12),Database!$F:$AY,MATCH($L$1,Database!$F$1:$AY$1,),))))</f>
        <v/>
      </c>
      <c r="M109" s="13">
        <f>((((VLOOKUP(B109,Database!$F:$AY,MATCH($M$1,Database!$F$1:$AY$1,),))))-(((VLOOKUP(EDATE(B109,-12),Database!$F:$AY,MATCH($M$1,Database!$F$1:$AY$1,),)))))/(((VLOOKUP(EDATE(B109,-12),Database!$F:$AY,MATCH($M$1,Database!$F$1:$AY$1,),))))</f>
        <v/>
      </c>
      <c r="N109" s="13">
        <f>((((VLOOKUP(B109,Database!$F:$AY,MATCH($N$1,Database!$F$1:$AY$1,),))))-(((VLOOKUP(EDATE(B109,-12),Database!$F:$AY,MATCH($N$1,Database!$F$1:$AY$1,),)))))/(((VLOOKUP(EDATE(B109,-12),Database!$F:$AY,MATCH($N$1,Database!$F$1:$AY$1,),))))</f>
        <v/>
      </c>
      <c r="O109" s="13">
        <f>((((VLOOKUP(B109,Database!$F:$AY,MATCH($O$1,Database!$F$1:$AY$1,),))))-(((VLOOKUP(EDATE(B109,-12),Database!$F:$AY,MATCH($O$1,Database!$F$1:$AY$1,),)))))/(((VLOOKUP(EDATE(B109,-12),Database!$F:$AY,MATCH($O$1,Database!$F$1:$AY$1,),))))</f>
        <v/>
      </c>
      <c r="P109" s="13">
        <f>((((VLOOKUP(B109,Database!$F:$AY,MATCH($P$1,Database!$F$1:$AY$1,),))))-(((VLOOKUP(EDATE(B109,-12),Database!$F:$AY,MATCH($P$1,Database!$F$1:$AY$1,),)))))/(((VLOOKUP(EDATE(B109,-12),Database!$F:$AY,MATCH($P$1,Database!$F$1:$AY$1,),))))</f>
        <v/>
      </c>
      <c r="Q109" s="13">
        <f>((((VLOOKUP(B109,Database!$F:$AY,MATCH($Q$1,Database!$F$1:$AY$1,),))))-(((VLOOKUP(EDATE(B109,-12),Database!$F:$AY,MATCH($Q$1,Database!$F$1:$AY$1,),)))))/(((VLOOKUP(EDATE(B109,-12),Database!$F:$AY,MATCH($Q$1,Database!$F$1:$AY$1,),))))</f>
        <v/>
      </c>
      <c r="R109" s="13">
        <f>((((VLOOKUP(B109,Database!$F:$AY,MATCH($R$1,Database!$F$1:$AY$1,),))))-(((VLOOKUP(EDATE(B109,-12),Database!$F:$AY,MATCH($R$1,Database!$F$1:$AY$1,),)))))/(((VLOOKUP(EDATE(B109,-12),Database!$F:$AY,MATCH($R$1,Database!$F$1:$AY$1,),))))</f>
        <v/>
      </c>
      <c r="S109" s="13">
        <f>((((VLOOKUP(B109,Database!$F:$AY,MATCH($S$1,Database!$F$1:$AY$1,),))))-(((VLOOKUP(EDATE(B109,-12),Database!$F:$AY,MATCH($S$1,Database!$F$1:$AY$1,),)))))/(((VLOOKUP(EDATE(B109,-12),Database!$F:$AY,MATCH($S$1,Database!$F$1:$AY$1,),))))</f>
        <v/>
      </c>
      <c r="T109" s="13">
        <f>((((VLOOKUP(B109,Database!$F:$AY,MATCH($T$1,Database!$F$1:$AY$1,),))))-(((VLOOKUP(EDATE(B109,-12),Database!$F:$AY,MATCH($T$1,Database!$F$1:$AY$1,),)))))/(((VLOOKUP(EDATE(B109,-12),Database!$F:$AY,MATCH($T$1,Database!$F$1:$AY$1,),))))</f>
        <v/>
      </c>
      <c r="U109" s="13">
        <f>((((VLOOKUP(B109,Database!$F:$AY,MATCH($U$1,Database!$F$1:$AY$1,),))))-(((VLOOKUP(EDATE(B109,-12),Database!$F:$AY,MATCH($U$1,Database!$F$1:$AY$1,),)))))/(((VLOOKUP(EDATE(B109,-12),Database!$F:$AY,MATCH($U$1,Database!$F$1:$AY$1,),))))</f>
        <v/>
      </c>
      <c r="V109" s="13">
        <f>((((VLOOKUP(B109,Database!$F:$AY,MATCH($V$1,Database!$F$1:$AY$1,),))))-(((VLOOKUP(EDATE(B109,-12),Database!$F:$AY,MATCH($V$1,Database!$F$1:$AY$1,),)))))/(((VLOOKUP(EDATE(B109,-12),Database!$F:$AY,MATCH($V$1,Database!$F$1:$AY$1,),))))</f>
        <v/>
      </c>
    </row>
    <row r="110" customFormat="1" s="100">
      <c r="A110" s="45" t="n"/>
      <c r="B110" s="46" t="n">
        <v>35490</v>
      </c>
      <c r="C110" s="13">
        <f>((((VLOOKUP(B110,Database!$F:$AY,MATCH($C$1,Database!$F$1:$AY$1,),))))-(((VLOOKUP(EDATE(B110,-12),Database!$F:$AY,MATCH($C$1,Database!$F$1:$AY$1,),)))))/(((VLOOKUP(EDATE(B110,-12),Database!$F:$AY,MATCH($C$1,Database!$F$1:$AY$1,),))))</f>
        <v/>
      </c>
      <c r="D110" s="13">
        <f>((((VLOOKUP(B110,Database!$F:$AY,MATCH($D$1,Database!$F$1:$AY$1,),))))-(((VLOOKUP(EDATE(B110,-12),Database!$F:$AY,MATCH($D$1,Database!$F$1:$AY$1,),)))))/(((VLOOKUP(EDATE(B110,-12),Database!$F:$AY,MATCH($D$1,Database!$F$1:$AY$1,),))))</f>
        <v/>
      </c>
      <c r="E110" s="13">
        <f>((((VLOOKUP(B110,Database!$F:$AY,MATCH($E$1,Database!$F$1:$AY$1,),))))-(((VLOOKUP(EDATE(B110,-12),Database!$F:$AY,MATCH($E$1,Database!$F$1:$AY$1,),)))))/(((VLOOKUP(EDATE(B110,-12),Database!$F:$AY,MATCH($E$1,Database!$F$1:$AY$1,),))))</f>
        <v/>
      </c>
      <c r="F110" s="13">
        <f>((((VLOOKUP(B110,Database!$F:$AY,MATCH($F$1,Database!$F$1:$AY$1,),))))-(((VLOOKUP(EDATE(B110,-12),Database!$F:$AY,MATCH($F$1,Database!$F$1:$AY$1,),)))))/(((VLOOKUP(EDATE(B110,-12),Database!$F:$AY,MATCH($F$1,Database!$F$1:$AY$1,),))))</f>
        <v/>
      </c>
      <c r="G110" s="13">
        <f>((((VLOOKUP(B110,Database!$F:$AY,MATCH($G$1,Database!$F$1:$AY$1,),))))-(((VLOOKUP(EDATE(B110,-12),Database!$F:$AY,MATCH($G$1,Database!$F$1:$AY$1,),)))))/(((VLOOKUP(EDATE(B110,-12),Database!$F:$AY,MATCH($G$1,Database!$F$1:$AY$1,),))))</f>
        <v/>
      </c>
      <c r="H110" s="13">
        <f>((((VLOOKUP(B110,Database!$F:$AY,MATCH($H$1,Database!$F$1:$AY$1,),))))-(((VLOOKUP(EDATE(B110,-12),Database!$F:$AY,MATCH($H$1,Database!$F$1:$AY$1,),)))))/(((VLOOKUP(EDATE(B110,-12),Database!$F:$AY,MATCH($H$1,Database!$F$1:$AY$1,),))))</f>
        <v/>
      </c>
      <c r="I110" s="13">
        <f>((((VLOOKUP(B110,Database!$F:$AY,MATCH($I$1,Database!$F$1:$AY$1,),))))-(((VLOOKUP(EDATE(B110,-12),Database!$F:$AY,MATCH($I$1,Database!$F$1:$AY$1,),)))))/(((VLOOKUP(EDATE(B110,-12),Database!$F:$AY,MATCH($I$1,Database!$F$1:$AY$1,),))))</f>
        <v/>
      </c>
      <c r="J110" s="13">
        <f>((((VLOOKUP(B110,Database!$F:$AY,MATCH($J$1,Database!$F$1:$AY$1,),))))-(((VLOOKUP(EDATE(B110,-12),Database!$F:$AY,MATCH($J$1,Database!$F$1:$AY$1,),)))))/(((VLOOKUP(EDATE(B110,-12),Database!$F:$AY,MATCH($J$1,Database!$F$1:$AY$1,),))))</f>
        <v/>
      </c>
      <c r="K110" s="13">
        <f>((((VLOOKUP(B110,Database!$F:$AY,MATCH($K$1,Database!$F$1:$AY$1,),))))-(((VLOOKUP(EDATE(B110,-12),Database!$F:$AY,MATCH($K$1,Database!$F$1:$AY$1,),)))))/(((VLOOKUP(EDATE(B110,-12),Database!$F:$AY,MATCH($K$1,Database!$F$1:$AY$1,),))))</f>
        <v/>
      </c>
      <c r="L110" s="13">
        <f>((((VLOOKUP(B110,Database!$F:$AY,MATCH($L$1,Database!$F$1:$AY$1,),))))-(((VLOOKUP(EDATE(B110,-12),Database!$F:$AY,MATCH($L$1,Database!$F$1:$AY$1,),)))))/(((VLOOKUP(EDATE(B110,-12),Database!$F:$AY,MATCH($L$1,Database!$F$1:$AY$1,),))))</f>
        <v/>
      </c>
      <c r="M110" s="13">
        <f>((((VLOOKUP(B110,Database!$F:$AY,MATCH($M$1,Database!$F$1:$AY$1,),))))-(((VLOOKUP(EDATE(B110,-12),Database!$F:$AY,MATCH($M$1,Database!$F$1:$AY$1,),)))))/(((VLOOKUP(EDATE(B110,-12),Database!$F:$AY,MATCH($M$1,Database!$F$1:$AY$1,),))))</f>
        <v/>
      </c>
      <c r="N110" s="13">
        <f>((((VLOOKUP(B110,Database!$F:$AY,MATCH($N$1,Database!$F$1:$AY$1,),))))-(((VLOOKUP(EDATE(B110,-12),Database!$F:$AY,MATCH($N$1,Database!$F$1:$AY$1,),)))))/(((VLOOKUP(EDATE(B110,-12),Database!$F:$AY,MATCH($N$1,Database!$F$1:$AY$1,),))))</f>
        <v/>
      </c>
      <c r="O110" s="13">
        <f>((((VLOOKUP(B110,Database!$F:$AY,MATCH($O$1,Database!$F$1:$AY$1,),))))-(((VLOOKUP(EDATE(B110,-12),Database!$F:$AY,MATCH($O$1,Database!$F$1:$AY$1,),)))))/(((VLOOKUP(EDATE(B110,-12),Database!$F:$AY,MATCH($O$1,Database!$F$1:$AY$1,),))))</f>
        <v/>
      </c>
      <c r="P110" s="13">
        <f>((((VLOOKUP(B110,Database!$F:$AY,MATCH($P$1,Database!$F$1:$AY$1,),))))-(((VLOOKUP(EDATE(B110,-12),Database!$F:$AY,MATCH($P$1,Database!$F$1:$AY$1,),)))))/(((VLOOKUP(EDATE(B110,-12),Database!$F:$AY,MATCH($P$1,Database!$F$1:$AY$1,),))))</f>
        <v/>
      </c>
      <c r="Q110" s="13">
        <f>((((VLOOKUP(B110,Database!$F:$AY,MATCH($Q$1,Database!$F$1:$AY$1,),))))-(((VLOOKUP(EDATE(B110,-12),Database!$F:$AY,MATCH($Q$1,Database!$F$1:$AY$1,),)))))/(((VLOOKUP(EDATE(B110,-12),Database!$F:$AY,MATCH($Q$1,Database!$F$1:$AY$1,),))))</f>
        <v/>
      </c>
      <c r="R110" s="13">
        <f>((((VLOOKUP(B110,Database!$F:$AY,MATCH($R$1,Database!$F$1:$AY$1,),))))-(((VLOOKUP(EDATE(B110,-12),Database!$F:$AY,MATCH($R$1,Database!$F$1:$AY$1,),)))))/(((VLOOKUP(EDATE(B110,-12),Database!$F:$AY,MATCH($R$1,Database!$F$1:$AY$1,),))))</f>
        <v/>
      </c>
      <c r="S110" s="13">
        <f>((((VLOOKUP(B110,Database!$F:$AY,MATCH($S$1,Database!$F$1:$AY$1,),))))-(((VLOOKUP(EDATE(B110,-12),Database!$F:$AY,MATCH($S$1,Database!$F$1:$AY$1,),)))))/(((VLOOKUP(EDATE(B110,-12),Database!$F:$AY,MATCH($S$1,Database!$F$1:$AY$1,),))))</f>
        <v/>
      </c>
      <c r="T110" s="13">
        <f>((((VLOOKUP(B110,Database!$F:$AY,MATCH($T$1,Database!$F$1:$AY$1,),))))-(((VLOOKUP(EDATE(B110,-12),Database!$F:$AY,MATCH($T$1,Database!$F$1:$AY$1,),)))))/(((VLOOKUP(EDATE(B110,-12),Database!$F:$AY,MATCH($T$1,Database!$F$1:$AY$1,),))))</f>
        <v/>
      </c>
      <c r="U110" s="13">
        <f>((((VLOOKUP(B110,Database!$F:$AY,MATCH($U$1,Database!$F$1:$AY$1,),))))-(((VLOOKUP(EDATE(B110,-12),Database!$F:$AY,MATCH($U$1,Database!$F$1:$AY$1,),)))))/(((VLOOKUP(EDATE(B110,-12),Database!$F:$AY,MATCH($U$1,Database!$F$1:$AY$1,),))))</f>
        <v/>
      </c>
      <c r="V110" s="13">
        <f>((((VLOOKUP(B110,Database!$F:$AY,MATCH($V$1,Database!$F$1:$AY$1,),))))-(((VLOOKUP(EDATE(B110,-12),Database!$F:$AY,MATCH($V$1,Database!$F$1:$AY$1,),)))))/(((VLOOKUP(EDATE(B110,-12),Database!$F:$AY,MATCH($V$1,Database!$F$1:$AY$1,),))))</f>
        <v/>
      </c>
    </row>
    <row r="111" customFormat="1" s="100">
      <c r="A111" s="45" t="n"/>
      <c r="B111" s="46" t="n">
        <v>35521</v>
      </c>
      <c r="C111" s="13">
        <f>((((VLOOKUP(B111,Database!$F:$AY,MATCH($C$1,Database!$F$1:$AY$1,),))))-(((VLOOKUP(EDATE(B111,-12),Database!$F:$AY,MATCH($C$1,Database!$F$1:$AY$1,),)))))/(((VLOOKUP(EDATE(B111,-12),Database!$F:$AY,MATCH($C$1,Database!$F$1:$AY$1,),))))</f>
        <v/>
      </c>
      <c r="D111" s="13">
        <f>((((VLOOKUP(B111,Database!$F:$AY,MATCH($D$1,Database!$F$1:$AY$1,),))))-(((VLOOKUP(EDATE(B111,-12),Database!$F:$AY,MATCH($D$1,Database!$F$1:$AY$1,),)))))/(((VLOOKUP(EDATE(B111,-12),Database!$F:$AY,MATCH($D$1,Database!$F$1:$AY$1,),))))</f>
        <v/>
      </c>
      <c r="E111" s="13">
        <f>((((VLOOKUP(B111,Database!$F:$AY,MATCH($E$1,Database!$F$1:$AY$1,),))))-(((VLOOKUP(EDATE(B111,-12),Database!$F:$AY,MATCH($E$1,Database!$F$1:$AY$1,),)))))/(((VLOOKUP(EDATE(B111,-12),Database!$F:$AY,MATCH($E$1,Database!$F$1:$AY$1,),))))</f>
        <v/>
      </c>
      <c r="F111" s="13">
        <f>((((VLOOKUP(B111,Database!$F:$AY,MATCH($F$1,Database!$F$1:$AY$1,),))))-(((VLOOKUP(EDATE(B111,-12),Database!$F:$AY,MATCH($F$1,Database!$F$1:$AY$1,),)))))/(((VLOOKUP(EDATE(B111,-12),Database!$F:$AY,MATCH($F$1,Database!$F$1:$AY$1,),))))</f>
        <v/>
      </c>
      <c r="G111" s="13">
        <f>((((VLOOKUP(B111,Database!$F:$AY,MATCH($G$1,Database!$F$1:$AY$1,),))))-(((VLOOKUP(EDATE(B111,-12),Database!$F:$AY,MATCH($G$1,Database!$F$1:$AY$1,),)))))/(((VLOOKUP(EDATE(B111,-12),Database!$F:$AY,MATCH($G$1,Database!$F$1:$AY$1,),))))</f>
        <v/>
      </c>
      <c r="H111" s="13">
        <f>((((VLOOKUP(B111,Database!$F:$AY,MATCH($H$1,Database!$F$1:$AY$1,),))))-(((VLOOKUP(EDATE(B111,-12),Database!$F:$AY,MATCH($H$1,Database!$F$1:$AY$1,),)))))/(((VLOOKUP(EDATE(B111,-12),Database!$F:$AY,MATCH($H$1,Database!$F$1:$AY$1,),))))</f>
        <v/>
      </c>
      <c r="I111" s="13">
        <f>((((VLOOKUP(B111,Database!$F:$AY,MATCH($I$1,Database!$F$1:$AY$1,),))))-(((VLOOKUP(EDATE(B111,-12),Database!$F:$AY,MATCH($I$1,Database!$F$1:$AY$1,),)))))/(((VLOOKUP(EDATE(B111,-12),Database!$F:$AY,MATCH($I$1,Database!$F$1:$AY$1,),))))</f>
        <v/>
      </c>
      <c r="J111" s="13">
        <f>((((VLOOKUP(B111,Database!$F:$AY,MATCH($J$1,Database!$F$1:$AY$1,),))))-(((VLOOKUP(EDATE(B111,-12),Database!$F:$AY,MATCH($J$1,Database!$F$1:$AY$1,),)))))/(((VLOOKUP(EDATE(B111,-12),Database!$F:$AY,MATCH($J$1,Database!$F$1:$AY$1,),))))</f>
        <v/>
      </c>
      <c r="K111" s="13">
        <f>((((VLOOKUP(B111,Database!$F:$AY,MATCH($K$1,Database!$F$1:$AY$1,),))))-(((VLOOKUP(EDATE(B111,-12),Database!$F:$AY,MATCH($K$1,Database!$F$1:$AY$1,),)))))/(((VLOOKUP(EDATE(B111,-12),Database!$F:$AY,MATCH($K$1,Database!$F$1:$AY$1,),))))</f>
        <v/>
      </c>
      <c r="L111" s="13">
        <f>((((VLOOKUP(B111,Database!$F:$AY,MATCH($L$1,Database!$F$1:$AY$1,),))))-(((VLOOKUP(EDATE(B111,-12),Database!$F:$AY,MATCH($L$1,Database!$F$1:$AY$1,),)))))/(((VLOOKUP(EDATE(B111,-12),Database!$F:$AY,MATCH($L$1,Database!$F$1:$AY$1,),))))</f>
        <v/>
      </c>
      <c r="M111" s="13">
        <f>((((VLOOKUP(B111,Database!$F:$AY,MATCH($M$1,Database!$F$1:$AY$1,),))))-(((VLOOKUP(EDATE(B111,-12),Database!$F:$AY,MATCH($M$1,Database!$F$1:$AY$1,),)))))/(((VLOOKUP(EDATE(B111,-12),Database!$F:$AY,MATCH($M$1,Database!$F$1:$AY$1,),))))</f>
        <v/>
      </c>
      <c r="N111" s="13">
        <f>((((VLOOKUP(B111,Database!$F:$AY,MATCH($N$1,Database!$F$1:$AY$1,),))))-(((VLOOKUP(EDATE(B111,-12),Database!$F:$AY,MATCH($N$1,Database!$F$1:$AY$1,),)))))/(((VLOOKUP(EDATE(B111,-12),Database!$F:$AY,MATCH($N$1,Database!$F$1:$AY$1,),))))</f>
        <v/>
      </c>
      <c r="O111" s="13">
        <f>((((VLOOKUP(B111,Database!$F:$AY,MATCH($O$1,Database!$F$1:$AY$1,),))))-(((VLOOKUP(EDATE(B111,-12),Database!$F:$AY,MATCH($O$1,Database!$F$1:$AY$1,),)))))/(((VLOOKUP(EDATE(B111,-12),Database!$F:$AY,MATCH($O$1,Database!$F$1:$AY$1,),))))</f>
        <v/>
      </c>
      <c r="P111" s="13">
        <f>((((VLOOKUP(B111,Database!$F:$AY,MATCH($P$1,Database!$F$1:$AY$1,),))))-(((VLOOKUP(EDATE(B111,-12),Database!$F:$AY,MATCH($P$1,Database!$F$1:$AY$1,),)))))/(((VLOOKUP(EDATE(B111,-12),Database!$F:$AY,MATCH($P$1,Database!$F$1:$AY$1,),))))</f>
        <v/>
      </c>
      <c r="Q111" s="13">
        <f>((((VLOOKUP(B111,Database!$F:$AY,MATCH($Q$1,Database!$F$1:$AY$1,),))))-(((VLOOKUP(EDATE(B111,-12),Database!$F:$AY,MATCH($Q$1,Database!$F$1:$AY$1,),)))))/(((VLOOKUP(EDATE(B111,-12),Database!$F:$AY,MATCH($Q$1,Database!$F$1:$AY$1,),))))</f>
        <v/>
      </c>
      <c r="R111" s="13">
        <f>((((VLOOKUP(B111,Database!$F:$AY,MATCH($R$1,Database!$F$1:$AY$1,),))))-(((VLOOKUP(EDATE(B111,-12),Database!$F:$AY,MATCH($R$1,Database!$F$1:$AY$1,),)))))/(((VLOOKUP(EDATE(B111,-12),Database!$F:$AY,MATCH($R$1,Database!$F$1:$AY$1,),))))</f>
        <v/>
      </c>
      <c r="S111" s="13">
        <f>((((VLOOKUP(B111,Database!$F:$AY,MATCH($S$1,Database!$F$1:$AY$1,),))))-(((VLOOKUP(EDATE(B111,-12),Database!$F:$AY,MATCH($S$1,Database!$F$1:$AY$1,),)))))/(((VLOOKUP(EDATE(B111,-12),Database!$F:$AY,MATCH($S$1,Database!$F$1:$AY$1,),))))</f>
        <v/>
      </c>
      <c r="T111" s="13">
        <f>((((VLOOKUP(B111,Database!$F:$AY,MATCH($T$1,Database!$F$1:$AY$1,),))))-(((VLOOKUP(EDATE(B111,-12),Database!$F:$AY,MATCH($T$1,Database!$F$1:$AY$1,),)))))/(((VLOOKUP(EDATE(B111,-12),Database!$F:$AY,MATCH($T$1,Database!$F$1:$AY$1,),))))</f>
        <v/>
      </c>
      <c r="U111" s="13">
        <f>((((VLOOKUP(B111,Database!$F:$AY,MATCH($U$1,Database!$F$1:$AY$1,),))))-(((VLOOKUP(EDATE(B111,-12),Database!$F:$AY,MATCH($U$1,Database!$F$1:$AY$1,),)))))/(((VLOOKUP(EDATE(B111,-12),Database!$F:$AY,MATCH($U$1,Database!$F$1:$AY$1,),))))</f>
        <v/>
      </c>
      <c r="V111" s="13">
        <f>((((VLOOKUP(B111,Database!$F:$AY,MATCH($V$1,Database!$F$1:$AY$1,),))))-(((VLOOKUP(EDATE(B111,-12),Database!$F:$AY,MATCH($V$1,Database!$F$1:$AY$1,),)))))/(((VLOOKUP(EDATE(B111,-12),Database!$F:$AY,MATCH($V$1,Database!$F$1:$AY$1,),))))</f>
        <v/>
      </c>
    </row>
    <row r="112" customFormat="1" s="100">
      <c r="A112" s="45" t="n"/>
      <c r="B112" s="46" t="n">
        <v>35551</v>
      </c>
      <c r="C112" s="13">
        <f>((((VLOOKUP(B112,Database!$F:$AY,MATCH($C$1,Database!$F$1:$AY$1,),))))-(((VLOOKUP(EDATE(B112,-12),Database!$F:$AY,MATCH($C$1,Database!$F$1:$AY$1,),)))))/(((VLOOKUP(EDATE(B112,-12),Database!$F:$AY,MATCH($C$1,Database!$F$1:$AY$1,),))))</f>
        <v/>
      </c>
      <c r="D112" s="13">
        <f>((((VLOOKUP(B112,Database!$F:$AY,MATCH($D$1,Database!$F$1:$AY$1,),))))-(((VLOOKUP(EDATE(B112,-12),Database!$F:$AY,MATCH($D$1,Database!$F$1:$AY$1,),)))))/(((VLOOKUP(EDATE(B112,-12),Database!$F:$AY,MATCH($D$1,Database!$F$1:$AY$1,),))))</f>
        <v/>
      </c>
      <c r="E112" s="13">
        <f>((((VLOOKUP(B112,Database!$F:$AY,MATCH($E$1,Database!$F$1:$AY$1,),))))-(((VLOOKUP(EDATE(B112,-12),Database!$F:$AY,MATCH($E$1,Database!$F$1:$AY$1,),)))))/(((VLOOKUP(EDATE(B112,-12),Database!$F:$AY,MATCH($E$1,Database!$F$1:$AY$1,),))))</f>
        <v/>
      </c>
      <c r="F112" s="13">
        <f>((((VLOOKUP(B112,Database!$F:$AY,MATCH($F$1,Database!$F$1:$AY$1,),))))-(((VLOOKUP(EDATE(B112,-12),Database!$F:$AY,MATCH($F$1,Database!$F$1:$AY$1,),)))))/(((VLOOKUP(EDATE(B112,-12),Database!$F:$AY,MATCH($F$1,Database!$F$1:$AY$1,),))))</f>
        <v/>
      </c>
      <c r="G112" s="13">
        <f>((((VLOOKUP(B112,Database!$F:$AY,MATCH($G$1,Database!$F$1:$AY$1,),))))-(((VLOOKUP(EDATE(B112,-12),Database!$F:$AY,MATCH($G$1,Database!$F$1:$AY$1,),)))))/(((VLOOKUP(EDATE(B112,-12),Database!$F:$AY,MATCH($G$1,Database!$F$1:$AY$1,),))))</f>
        <v/>
      </c>
      <c r="H112" s="13">
        <f>((((VLOOKUP(B112,Database!$F:$AY,MATCH($H$1,Database!$F$1:$AY$1,),))))-(((VLOOKUP(EDATE(B112,-12),Database!$F:$AY,MATCH($H$1,Database!$F$1:$AY$1,),)))))/(((VLOOKUP(EDATE(B112,-12),Database!$F:$AY,MATCH($H$1,Database!$F$1:$AY$1,),))))</f>
        <v/>
      </c>
      <c r="I112" s="13">
        <f>((((VLOOKUP(B112,Database!$F:$AY,MATCH($I$1,Database!$F$1:$AY$1,),))))-(((VLOOKUP(EDATE(B112,-12),Database!$F:$AY,MATCH($I$1,Database!$F$1:$AY$1,),)))))/(((VLOOKUP(EDATE(B112,-12),Database!$F:$AY,MATCH($I$1,Database!$F$1:$AY$1,),))))</f>
        <v/>
      </c>
      <c r="J112" s="13">
        <f>((((VLOOKUP(B112,Database!$F:$AY,MATCH($J$1,Database!$F$1:$AY$1,),))))-(((VLOOKUP(EDATE(B112,-12),Database!$F:$AY,MATCH($J$1,Database!$F$1:$AY$1,),)))))/(((VLOOKUP(EDATE(B112,-12),Database!$F:$AY,MATCH($J$1,Database!$F$1:$AY$1,),))))</f>
        <v/>
      </c>
      <c r="K112" s="13">
        <f>((((VLOOKUP(B112,Database!$F:$AY,MATCH($K$1,Database!$F$1:$AY$1,),))))-(((VLOOKUP(EDATE(B112,-12),Database!$F:$AY,MATCH($K$1,Database!$F$1:$AY$1,),)))))/(((VLOOKUP(EDATE(B112,-12),Database!$F:$AY,MATCH($K$1,Database!$F$1:$AY$1,),))))</f>
        <v/>
      </c>
      <c r="L112" s="13">
        <f>((((VLOOKUP(B112,Database!$F:$AY,MATCH($L$1,Database!$F$1:$AY$1,),))))-(((VLOOKUP(EDATE(B112,-12),Database!$F:$AY,MATCH($L$1,Database!$F$1:$AY$1,),)))))/(((VLOOKUP(EDATE(B112,-12),Database!$F:$AY,MATCH($L$1,Database!$F$1:$AY$1,),))))</f>
        <v/>
      </c>
      <c r="M112" s="13">
        <f>((((VLOOKUP(B112,Database!$F:$AY,MATCH($M$1,Database!$F$1:$AY$1,),))))-(((VLOOKUP(EDATE(B112,-12),Database!$F:$AY,MATCH($M$1,Database!$F$1:$AY$1,),)))))/(((VLOOKUP(EDATE(B112,-12),Database!$F:$AY,MATCH($M$1,Database!$F$1:$AY$1,),))))</f>
        <v/>
      </c>
      <c r="N112" s="13">
        <f>((((VLOOKUP(B112,Database!$F:$AY,MATCH($N$1,Database!$F$1:$AY$1,),))))-(((VLOOKUP(EDATE(B112,-12),Database!$F:$AY,MATCH($N$1,Database!$F$1:$AY$1,),)))))/(((VLOOKUP(EDATE(B112,-12),Database!$F:$AY,MATCH($N$1,Database!$F$1:$AY$1,),))))</f>
        <v/>
      </c>
      <c r="O112" s="13">
        <f>((((VLOOKUP(B112,Database!$F:$AY,MATCH($O$1,Database!$F$1:$AY$1,),))))-(((VLOOKUP(EDATE(B112,-12),Database!$F:$AY,MATCH($O$1,Database!$F$1:$AY$1,),)))))/(((VLOOKUP(EDATE(B112,-12),Database!$F:$AY,MATCH($O$1,Database!$F$1:$AY$1,),))))</f>
        <v/>
      </c>
      <c r="P112" s="13">
        <f>((((VLOOKUP(B112,Database!$F:$AY,MATCH($P$1,Database!$F$1:$AY$1,),))))-(((VLOOKUP(EDATE(B112,-12),Database!$F:$AY,MATCH($P$1,Database!$F$1:$AY$1,),)))))/(((VLOOKUP(EDATE(B112,-12),Database!$F:$AY,MATCH($P$1,Database!$F$1:$AY$1,),))))</f>
        <v/>
      </c>
      <c r="Q112" s="13">
        <f>((((VLOOKUP(B112,Database!$F:$AY,MATCH($Q$1,Database!$F$1:$AY$1,),))))-(((VLOOKUP(EDATE(B112,-12),Database!$F:$AY,MATCH($Q$1,Database!$F$1:$AY$1,),)))))/(((VLOOKUP(EDATE(B112,-12),Database!$F:$AY,MATCH($Q$1,Database!$F$1:$AY$1,),))))</f>
        <v/>
      </c>
      <c r="R112" s="13">
        <f>((((VLOOKUP(B112,Database!$F:$AY,MATCH($R$1,Database!$F$1:$AY$1,),))))-(((VLOOKUP(EDATE(B112,-12),Database!$F:$AY,MATCH($R$1,Database!$F$1:$AY$1,),)))))/(((VLOOKUP(EDATE(B112,-12),Database!$F:$AY,MATCH($R$1,Database!$F$1:$AY$1,),))))</f>
        <v/>
      </c>
      <c r="S112" s="13">
        <f>((((VLOOKUP(B112,Database!$F:$AY,MATCH($S$1,Database!$F$1:$AY$1,),))))-(((VLOOKUP(EDATE(B112,-12),Database!$F:$AY,MATCH($S$1,Database!$F$1:$AY$1,),)))))/(((VLOOKUP(EDATE(B112,-12),Database!$F:$AY,MATCH($S$1,Database!$F$1:$AY$1,),))))</f>
        <v/>
      </c>
      <c r="T112" s="13">
        <f>((((VLOOKUP(B112,Database!$F:$AY,MATCH($T$1,Database!$F$1:$AY$1,),))))-(((VLOOKUP(EDATE(B112,-12),Database!$F:$AY,MATCH($T$1,Database!$F$1:$AY$1,),)))))/(((VLOOKUP(EDATE(B112,-12),Database!$F:$AY,MATCH($T$1,Database!$F$1:$AY$1,),))))</f>
        <v/>
      </c>
      <c r="U112" s="13">
        <f>((((VLOOKUP(B112,Database!$F:$AY,MATCH($U$1,Database!$F$1:$AY$1,),))))-(((VLOOKUP(EDATE(B112,-12),Database!$F:$AY,MATCH($U$1,Database!$F$1:$AY$1,),)))))/(((VLOOKUP(EDATE(B112,-12),Database!$F:$AY,MATCH($U$1,Database!$F$1:$AY$1,),))))</f>
        <v/>
      </c>
      <c r="V112" s="13">
        <f>((((VLOOKUP(B112,Database!$F:$AY,MATCH($V$1,Database!$F$1:$AY$1,),))))-(((VLOOKUP(EDATE(B112,-12),Database!$F:$AY,MATCH($V$1,Database!$F$1:$AY$1,),)))))/(((VLOOKUP(EDATE(B112,-12),Database!$F:$AY,MATCH($V$1,Database!$F$1:$AY$1,),))))</f>
        <v/>
      </c>
    </row>
    <row r="113" customFormat="1" s="100">
      <c r="A113" s="45" t="n"/>
      <c r="B113" s="46" t="n">
        <v>35582</v>
      </c>
      <c r="C113" s="13">
        <f>((((VLOOKUP(B113,Database!$F:$AY,MATCH($C$1,Database!$F$1:$AY$1,),))))-(((VLOOKUP(EDATE(B113,-12),Database!$F:$AY,MATCH($C$1,Database!$F$1:$AY$1,),)))))/(((VLOOKUP(EDATE(B113,-12),Database!$F:$AY,MATCH($C$1,Database!$F$1:$AY$1,),))))</f>
        <v/>
      </c>
      <c r="D113" s="13">
        <f>((((VLOOKUP(B113,Database!$F:$AY,MATCH($D$1,Database!$F$1:$AY$1,),))))-(((VLOOKUP(EDATE(B113,-12),Database!$F:$AY,MATCH($D$1,Database!$F$1:$AY$1,),)))))/(((VLOOKUP(EDATE(B113,-12),Database!$F:$AY,MATCH($D$1,Database!$F$1:$AY$1,),))))</f>
        <v/>
      </c>
      <c r="E113" s="13">
        <f>((((VLOOKUP(B113,Database!$F:$AY,MATCH($E$1,Database!$F$1:$AY$1,),))))-(((VLOOKUP(EDATE(B113,-12),Database!$F:$AY,MATCH($E$1,Database!$F$1:$AY$1,),)))))/(((VLOOKUP(EDATE(B113,-12),Database!$F:$AY,MATCH($E$1,Database!$F$1:$AY$1,),))))</f>
        <v/>
      </c>
      <c r="F113" s="13">
        <f>((((VLOOKUP(B113,Database!$F:$AY,MATCH($F$1,Database!$F$1:$AY$1,),))))-(((VLOOKUP(EDATE(B113,-12),Database!$F:$AY,MATCH($F$1,Database!$F$1:$AY$1,),)))))/(((VLOOKUP(EDATE(B113,-12),Database!$F:$AY,MATCH($F$1,Database!$F$1:$AY$1,),))))</f>
        <v/>
      </c>
      <c r="G113" s="13">
        <f>((((VLOOKUP(B113,Database!$F:$AY,MATCH($G$1,Database!$F$1:$AY$1,),))))-(((VLOOKUP(EDATE(B113,-12),Database!$F:$AY,MATCH($G$1,Database!$F$1:$AY$1,),)))))/(((VLOOKUP(EDATE(B113,-12),Database!$F:$AY,MATCH($G$1,Database!$F$1:$AY$1,),))))</f>
        <v/>
      </c>
      <c r="H113" s="13">
        <f>((((VLOOKUP(B113,Database!$F:$AY,MATCH($H$1,Database!$F$1:$AY$1,),))))-(((VLOOKUP(EDATE(B113,-12),Database!$F:$AY,MATCH($H$1,Database!$F$1:$AY$1,),)))))/(((VLOOKUP(EDATE(B113,-12),Database!$F:$AY,MATCH($H$1,Database!$F$1:$AY$1,),))))</f>
        <v/>
      </c>
      <c r="I113" s="13">
        <f>((((VLOOKUP(B113,Database!$F:$AY,MATCH($I$1,Database!$F$1:$AY$1,),))))-(((VLOOKUP(EDATE(B113,-12),Database!$F:$AY,MATCH($I$1,Database!$F$1:$AY$1,),)))))/(((VLOOKUP(EDATE(B113,-12),Database!$F:$AY,MATCH($I$1,Database!$F$1:$AY$1,),))))</f>
        <v/>
      </c>
      <c r="J113" s="13">
        <f>((((VLOOKUP(B113,Database!$F:$AY,MATCH($J$1,Database!$F$1:$AY$1,),))))-(((VLOOKUP(EDATE(B113,-12),Database!$F:$AY,MATCH($J$1,Database!$F$1:$AY$1,),)))))/(((VLOOKUP(EDATE(B113,-12),Database!$F:$AY,MATCH($J$1,Database!$F$1:$AY$1,),))))</f>
        <v/>
      </c>
      <c r="K113" s="13">
        <f>((((VLOOKUP(B113,Database!$F:$AY,MATCH($K$1,Database!$F$1:$AY$1,),))))-(((VLOOKUP(EDATE(B113,-12),Database!$F:$AY,MATCH($K$1,Database!$F$1:$AY$1,),)))))/(((VLOOKUP(EDATE(B113,-12),Database!$F:$AY,MATCH($K$1,Database!$F$1:$AY$1,),))))</f>
        <v/>
      </c>
      <c r="L113" s="13">
        <f>((((VLOOKUP(B113,Database!$F:$AY,MATCH($L$1,Database!$F$1:$AY$1,),))))-(((VLOOKUP(EDATE(B113,-12),Database!$F:$AY,MATCH($L$1,Database!$F$1:$AY$1,),)))))/(((VLOOKUP(EDATE(B113,-12),Database!$F:$AY,MATCH($L$1,Database!$F$1:$AY$1,),))))</f>
        <v/>
      </c>
      <c r="M113" s="13">
        <f>((((VLOOKUP(B113,Database!$F:$AY,MATCH($M$1,Database!$F$1:$AY$1,),))))-(((VLOOKUP(EDATE(B113,-12),Database!$F:$AY,MATCH($M$1,Database!$F$1:$AY$1,),)))))/(((VLOOKUP(EDATE(B113,-12),Database!$F:$AY,MATCH($M$1,Database!$F$1:$AY$1,),))))</f>
        <v/>
      </c>
      <c r="N113" s="13">
        <f>((((VLOOKUP(B113,Database!$F:$AY,MATCH($N$1,Database!$F$1:$AY$1,),))))-(((VLOOKUP(EDATE(B113,-12),Database!$F:$AY,MATCH($N$1,Database!$F$1:$AY$1,),)))))/(((VLOOKUP(EDATE(B113,-12),Database!$F:$AY,MATCH($N$1,Database!$F$1:$AY$1,),))))</f>
        <v/>
      </c>
      <c r="O113" s="13">
        <f>((((VLOOKUP(B113,Database!$F:$AY,MATCH($O$1,Database!$F$1:$AY$1,),))))-(((VLOOKUP(EDATE(B113,-12),Database!$F:$AY,MATCH($O$1,Database!$F$1:$AY$1,),)))))/(((VLOOKUP(EDATE(B113,-12),Database!$F:$AY,MATCH($O$1,Database!$F$1:$AY$1,),))))</f>
        <v/>
      </c>
      <c r="P113" s="13">
        <f>((((VLOOKUP(B113,Database!$F:$AY,MATCH($P$1,Database!$F$1:$AY$1,),))))-(((VLOOKUP(EDATE(B113,-12),Database!$F:$AY,MATCH($P$1,Database!$F$1:$AY$1,),)))))/(((VLOOKUP(EDATE(B113,-12),Database!$F:$AY,MATCH($P$1,Database!$F$1:$AY$1,),))))</f>
        <v/>
      </c>
      <c r="Q113" s="13">
        <f>((((VLOOKUP(B113,Database!$F:$AY,MATCH($Q$1,Database!$F$1:$AY$1,),))))-(((VLOOKUP(EDATE(B113,-12),Database!$F:$AY,MATCH($Q$1,Database!$F$1:$AY$1,),)))))/(((VLOOKUP(EDATE(B113,-12),Database!$F:$AY,MATCH($Q$1,Database!$F$1:$AY$1,),))))</f>
        <v/>
      </c>
      <c r="R113" s="13">
        <f>((((VLOOKUP(B113,Database!$F:$AY,MATCH($R$1,Database!$F$1:$AY$1,),))))-(((VLOOKUP(EDATE(B113,-12),Database!$F:$AY,MATCH($R$1,Database!$F$1:$AY$1,),)))))/(((VLOOKUP(EDATE(B113,-12),Database!$F:$AY,MATCH($R$1,Database!$F$1:$AY$1,),))))</f>
        <v/>
      </c>
      <c r="S113" s="13">
        <f>((((VLOOKUP(B113,Database!$F:$AY,MATCH($S$1,Database!$F$1:$AY$1,),))))-(((VLOOKUP(EDATE(B113,-12),Database!$F:$AY,MATCH($S$1,Database!$F$1:$AY$1,),)))))/(((VLOOKUP(EDATE(B113,-12),Database!$F:$AY,MATCH($S$1,Database!$F$1:$AY$1,),))))</f>
        <v/>
      </c>
      <c r="T113" s="13">
        <f>((((VLOOKUP(B113,Database!$F:$AY,MATCH($T$1,Database!$F$1:$AY$1,),))))-(((VLOOKUP(EDATE(B113,-12),Database!$F:$AY,MATCH($T$1,Database!$F$1:$AY$1,),)))))/(((VLOOKUP(EDATE(B113,-12),Database!$F:$AY,MATCH($T$1,Database!$F$1:$AY$1,),))))</f>
        <v/>
      </c>
      <c r="U113" s="13">
        <f>((((VLOOKUP(B113,Database!$F:$AY,MATCH($U$1,Database!$F$1:$AY$1,),))))-(((VLOOKUP(EDATE(B113,-12),Database!$F:$AY,MATCH($U$1,Database!$F$1:$AY$1,),)))))/(((VLOOKUP(EDATE(B113,-12),Database!$F:$AY,MATCH($U$1,Database!$F$1:$AY$1,),))))</f>
        <v/>
      </c>
      <c r="V113" s="13">
        <f>((((VLOOKUP(B113,Database!$F:$AY,MATCH($V$1,Database!$F$1:$AY$1,),))))-(((VLOOKUP(EDATE(B113,-12),Database!$F:$AY,MATCH($V$1,Database!$F$1:$AY$1,),)))))/(((VLOOKUP(EDATE(B113,-12),Database!$F:$AY,MATCH($V$1,Database!$F$1:$AY$1,),))))</f>
        <v/>
      </c>
    </row>
    <row r="114" customFormat="1" s="100">
      <c r="A114" s="45" t="n"/>
      <c r="B114" s="46" t="n">
        <v>35612</v>
      </c>
      <c r="C114" s="13">
        <f>((((VLOOKUP(B114,Database!$F:$AY,MATCH($C$1,Database!$F$1:$AY$1,),))))-(((VLOOKUP(EDATE(B114,-12),Database!$F:$AY,MATCH($C$1,Database!$F$1:$AY$1,),)))))/(((VLOOKUP(EDATE(B114,-12),Database!$F:$AY,MATCH($C$1,Database!$F$1:$AY$1,),))))</f>
        <v/>
      </c>
      <c r="D114" s="13">
        <f>((((VLOOKUP(B114,Database!$F:$AY,MATCH($D$1,Database!$F$1:$AY$1,),))))-(((VLOOKUP(EDATE(B114,-12),Database!$F:$AY,MATCH($D$1,Database!$F$1:$AY$1,),)))))/(((VLOOKUP(EDATE(B114,-12),Database!$F:$AY,MATCH($D$1,Database!$F$1:$AY$1,),))))</f>
        <v/>
      </c>
      <c r="E114" s="13">
        <f>((((VLOOKUP(B114,Database!$F:$AY,MATCH($E$1,Database!$F$1:$AY$1,),))))-(((VLOOKUP(EDATE(B114,-12),Database!$F:$AY,MATCH($E$1,Database!$F$1:$AY$1,),)))))/(((VLOOKUP(EDATE(B114,-12),Database!$F:$AY,MATCH($E$1,Database!$F$1:$AY$1,),))))</f>
        <v/>
      </c>
      <c r="F114" s="13">
        <f>((((VLOOKUP(B114,Database!$F:$AY,MATCH($F$1,Database!$F$1:$AY$1,),))))-(((VLOOKUP(EDATE(B114,-12),Database!$F:$AY,MATCH($F$1,Database!$F$1:$AY$1,),)))))/(((VLOOKUP(EDATE(B114,-12),Database!$F:$AY,MATCH($F$1,Database!$F$1:$AY$1,),))))</f>
        <v/>
      </c>
      <c r="G114" s="13">
        <f>((((VLOOKUP(B114,Database!$F:$AY,MATCH($G$1,Database!$F$1:$AY$1,),))))-(((VLOOKUP(EDATE(B114,-12),Database!$F:$AY,MATCH($G$1,Database!$F$1:$AY$1,),)))))/(((VLOOKUP(EDATE(B114,-12),Database!$F:$AY,MATCH($G$1,Database!$F$1:$AY$1,),))))</f>
        <v/>
      </c>
      <c r="H114" s="13">
        <f>((((VLOOKUP(B114,Database!$F:$AY,MATCH($H$1,Database!$F$1:$AY$1,),))))-(((VLOOKUP(EDATE(B114,-12),Database!$F:$AY,MATCH($H$1,Database!$F$1:$AY$1,),)))))/(((VLOOKUP(EDATE(B114,-12),Database!$F:$AY,MATCH($H$1,Database!$F$1:$AY$1,),))))</f>
        <v/>
      </c>
      <c r="I114" s="13">
        <f>((((VLOOKUP(B114,Database!$F:$AY,MATCH($I$1,Database!$F$1:$AY$1,),))))-(((VLOOKUP(EDATE(B114,-12),Database!$F:$AY,MATCH($I$1,Database!$F$1:$AY$1,),)))))/(((VLOOKUP(EDATE(B114,-12),Database!$F:$AY,MATCH($I$1,Database!$F$1:$AY$1,),))))</f>
        <v/>
      </c>
      <c r="J114" s="13">
        <f>((((VLOOKUP(B114,Database!$F:$AY,MATCH($J$1,Database!$F$1:$AY$1,),))))-(((VLOOKUP(EDATE(B114,-12),Database!$F:$AY,MATCH($J$1,Database!$F$1:$AY$1,),)))))/(((VLOOKUP(EDATE(B114,-12),Database!$F:$AY,MATCH($J$1,Database!$F$1:$AY$1,),))))</f>
        <v/>
      </c>
      <c r="K114" s="13">
        <f>((((VLOOKUP(B114,Database!$F:$AY,MATCH($K$1,Database!$F$1:$AY$1,),))))-(((VLOOKUP(EDATE(B114,-12),Database!$F:$AY,MATCH($K$1,Database!$F$1:$AY$1,),)))))/(((VLOOKUP(EDATE(B114,-12),Database!$F:$AY,MATCH($K$1,Database!$F$1:$AY$1,),))))</f>
        <v/>
      </c>
      <c r="L114" s="13">
        <f>((((VLOOKUP(B114,Database!$F:$AY,MATCH($L$1,Database!$F$1:$AY$1,),))))-(((VLOOKUP(EDATE(B114,-12),Database!$F:$AY,MATCH($L$1,Database!$F$1:$AY$1,),)))))/(((VLOOKUP(EDATE(B114,-12),Database!$F:$AY,MATCH($L$1,Database!$F$1:$AY$1,),))))</f>
        <v/>
      </c>
      <c r="M114" s="13">
        <f>((((VLOOKUP(B114,Database!$F:$AY,MATCH($M$1,Database!$F$1:$AY$1,),))))-(((VLOOKUP(EDATE(B114,-12),Database!$F:$AY,MATCH($M$1,Database!$F$1:$AY$1,),)))))/(((VLOOKUP(EDATE(B114,-12),Database!$F:$AY,MATCH($M$1,Database!$F$1:$AY$1,),))))</f>
        <v/>
      </c>
      <c r="N114" s="13">
        <f>((((VLOOKUP(B114,Database!$F:$AY,MATCH($N$1,Database!$F$1:$AY$1,),))))-(((VLOOKUP(EDATE(B114,-12),Database!$F:$AY,MATCH($N$1,Database!$F$1:$AY$1,),)))))/(((VLOOKUP(EDATE(B114,-12),Database!$F:$AY,MATCH($N$1,Database!$F$1:$AY$1,),))))</f>
        <v/>
      </c>
      <c r="O114" s="13">
        <f>((((VLOOKUP(B114,Database!$F:$AY,MATCH($O$1,Database!$F$1:$AY$1,),))))-(((VLOOKUP(EDATE(B114,-12),Database!$F:$AY,MATCH($O$1,Database!$F$1:$AY$1,),)))))/(((VLOOKUP(EDATE(B114,-12),Database!$F:$AY,MATCH($O$1,Database!$F$1:$AY$1,),))))</f>
        <v/>
      </c>
      <c r="P114" s="13">
        <f>((((VLOOKUP(B114,Database!$F:$AY,MATCH($P$1,Database!$F$1:$AY$1,),))))-(((VLOOKUP(EDATE(B114,-12),Database!$F:$AY,MATCH($P$1,Database!$F$1:$AY$1,),)))))/(((VLOOKUP(EDATE(B114,-12),Database!$F:$AY,MATCH($P$1,Database!$F$1:$AY$1,),))))</f>
        <v/>
      </c>
      <c r="Q114" s="13">
        <f>((((VLOOKUP(B114,Database!$F:$AY,MATCH($Q$1,Database!$F$1:$AY$1,),))))-(((VLOOKUP(EDATE(B114,-12),Database!$F:$AY,MATCH($Q$1,Database!$F$1:$AY$1,),)))))/(((VLOOKUP(EDATE(B114,-12),Database!$F:$AY,MATCH($Q$1,Database!$F$1:$AY$1,),))))</f>
        <v/>
      </c>
      <c r="R114" s="13">
        <f>((((VLOOKUP(B114,Database!$F:$AY,MATCH($R$1,Database!$F$1:$AY$1,),))))-(((VLOOKUP(EDATE(B114,-12),Database!$F:$AY,MATCH($R$1,Database!$F$1:$AY$1,),)))))/(((VLOOKUP(EDATE(B114,-12),Database!$F:$AY,MATCH($R$1,Database!$F$1:$AY$1,),))))</f>
        <v/>
      </c>
      <c r="S114" s="13">
        <f>((((VLOOKUP(B114,Database!$F:$AY,MATCH($S$1,Database!$F$1:$AY$1,),))))-(((VLOOKUP(EDATE(B114,-12),Database!$F:$AY,MATCH($S$1,Database!$F$1:$AY$1,),)))))/(((VLOOKUP(EDATE(B114,-12),Database!$F:$AY,MATCH($S$1,Database!$F$1:$AY$1,),))))</f>
        <v/>
      </c>
      <c r="T114" s="13">
        <f>((((VLOOKUP(B114,Database!$F:$AY,MATCH($T$1,Database!$F$1:$AY$1,),))))-(((VLOOKUP(EDATE(B114,-12),Database!$F:$AY,MATCH($T$1,Database!$F$1:$AY$1,),)))))/(((VLOOKUP(EDATE(B114,-12),Database!$F:$AY,MATCH($T$1,Database!$F$1:$AY$1,),))))</f>
        <v/>
      </c>
      <c r="U114" s="13">
        <f>((((VLOOKUP(B114,Database!$F:$AY,MATCH($U$1,Database!$F$1:$AY$1,),))))-(((VLOOKUP(EDATE(B114,-12),Database!$F:$AY,MATCH($U$1,Database!$F$1:$AY$1,),)))))/(((VLOOKUP(EDATE(B114,-12),Database!$F:$AY,MATCH($U$1,Database!$F$1:$AY$1,),))))</f>
        <v/>
      </c>
      <c r="V114" s="13">
        <f>((((VLOOKUP(B114,Database!$F:$AY,MATCH($V$1,Database!$F$1:$AY$1,),))))-(((VLOOKUP(EDATE(B114,-12),Database!$F:$AY,MATCH($V$1,Database!$F$1:$AY$1,),)))))/(((VLOOKUP(EDATE(B114,-12),Database!$F:$AY,MATCH($V$1,Database!$F$1:$AY$1,),))))</f>
        <v/>
      </c>
    </row>
    <row r="115" customFormat="1" s="100">
      <c r="A115" s="45" t="n"/>
      <c r="B115" s="46" t="n">
        <v>35643</v>
      </c>
      <c r="C115" s="13">
        <f>((((VLOOKUP(B115,Database!$F:$AY,MATCH($C$1,Database!$F$1:$AY$1,),))))-(((VLOOKUP(EDATE(B115,-12),Database!$F:$AY,MATCH($C$1,Database!$F$1:$AY$1,),)))))/(((VLOOKUP(EDATE(B115,-12),Database!$F:$AY,MATCH($C$1,Database!$F$1:$AY$1,),))))</f>
        <v/>
      </c>
      <c r="D115" s="13">
        <f>((((VLOOKUP(B115,Database!$F:$AY,MATCH($D$1,Database!$F$1:$AY$1,),))))-(((VLOOKUP(EDATE(B115,-12),Database!$F:$AY,MATCH($D$1,Database!$F$1:$AY$1,),)))))/(((VLOOKUP(EDATE(B115,-12),Database!$F:$AY,MATCH($D$1,Database!$F$1:$AY$1,),))))</f>
        <v/>
      </c>
      <c r="E115" s="13">
        <f>((((VLOOKUP(B115,Database!$F:$AY,MATCH($E$1,Database!$F$1:$AY$1,),))))-(((VLOOKUP(EDATE(B115,-12),Database!$F:$AY,MATCH($E$1,Database!$F$1:$AY$1,),)))))/(((VLOOKUP(EDATE(B115,-12),Database!$F:$AY,MATCH($E$1,Database!$F$1:$AY$1,),))))</f>
        <v/>
      </c>
      <c r="F115" s="13">
        <f>((((VLOOKUP(B115,Database!$F:$AY,MATCH($F$1,Database!$F$1:$AY$1,),))))-(((VLOOKUP(EDATE(B115,-12),Database!$F:$AY,MATCH($F$1,Database!$F$1:$AY$1,),)))))/(((VLOOKUP(EDATE(B115,-12),Database!$F:$AY,MATCH($F$1,Database!$F$1:$AY$1,),))))</f>
        <v/>
      </c>
      <c r="G115" s="13">
        <f>((((VLOOKUP(B115,Database!$F:$AY,MATCH($G$1,Database!$F$1:$AY$1,),))))-(((VLOOKUP(EDATE(B115,-12),Database!$F:$AY,MATCH($G$1,Database!$F$1:$AY$1,),)))))/(((VLOOKUP(EDATE(B115,-12),Database!$F:$AY,MATCH($G$1,Database!$F$1:$AY$1,),))))</f>
        <v/>
      </c>
      <c r="H115" s="13">
        <f>((((VLOOKUP(B115,Database!$F:$AY,MATCH($H$1,Database!$F$1:$AY$1,),))))-(((VLOOKUP(EDATE(B115,-12),Database!$F:$AY,MATCH($H$1,Database!$F$1:$AY$1,),)))))/(((VLOOKUP(EDATE(B115,-12),Database!$F:$AY,MATCH($H$1,Database!$F$1:$AY$1,),))))</f>
        <v/>
      </c>
      <c r="I115" s="13">
        <f>((((VLOOKUP(B115,Database!$F:$AY,MATCH($I$1,Database!$F$1:$AY$1,),))))-(((VLOOKUP(EDATE(B115,-12),Database!$F:$AY,MATCH($I$1,Database!$F$1:$AY$1,),)))))/(((VLOOKUP(EDATE(B115,-12),Database!$F:$AY,MATCH($I$1,Database!$F$1:$AY$1,),))))</f>
        <v/>
      </c>
      <c r="J115" s="13">
        <f>((((VLOOKUP(B115,Database!$F:$AY,MATCH($J$1,Database!$F$1:$AY$1,),))))-(((VLOOKUP(EDATE(B115,-12),Database!$F:$AY,MATCH($J$1,Database!$F$1:$AY$1,),)))))/(((VLOOKUP(EDATE(B115,-12),Database!$F:$AY,MATCH($J$1,Database!$F$1:$AY$1,),))))</f>
        <v/>
      </c>
      <c r="K115" s="13">
        <f>((((VLOOKUP(B115,Database!$F:$AY,MATCH($K$1,Database!$F$1:$AY$1,),))))-(((VLOOKUP(EDATE(B115,-12),Database!$F:$AY,MATCH($K$1,Database!$F$1:$AY$1,),)))))/(((VLOOKUP(EDATE(B115,-12),Database!$F:$AY,MATCH($K$1,Database!$F$1:$AY$1,),))))</f>
        <v/>
      </c>
      <c r="L115" s="13">
        <f>((((VLOOKUP(B115,Database!$F:$AY,MATCH($L$1,Database!$F$1:$AY$1,),))))-(((VLOOKUP(EDATE(B115,-12),Database!$F:$AY,MATCH($L$1,Database!$F$1:$AY$1,),)))))/(((VLOOKUP(EDATE(B115,-12),Database!$F:$AY,MATCH($L$1,Database!$F$1:$AY$1,),))))</f>
        <v/>
      </c>
      <c r="M115" s="13">
        <f>((((VLOOKUP(B115,Database!$F:$AY,MATCH($M$1,Database!$F$1:$AY$1,),))))-(((VLOOKUP(EDATE(B115,-12),Database!$F:$AY,MATCH($M$1,Database!$F$1:$AY$1,),)))))/(((VLOOKUP(EDATE(B115,-12),Database!$F:$AY,MATCH($M$1,Database!$F$1:$AY$1,),))))</f>
        <v/>
      </c>
      <c r="N115" s="13">
        <f>((((VLOOKUP(B115,Database!$F:$AY,MATCH($N$1,Database!$F$1:$AY$1,),))))-(((VLOOKUP(EDATE(B115,-12),Database!$F:$AY,MATCH($N$1,Database!$F$1:$AY$1,),)))))/(((VLOOKUP(EDATE(B115,-12),Database!$F:$AY,MATCH($N$1,Database!$F$1:$AY$1,),))))</f>
        <v/>
      </c>
      <c r="O115" s="13">
        <f>((((VLOOKUP(B115,Database!$F:$AY,MATCH($O$1,Database!$F$1:$AY$1,),))))-(((VLOOKUP(EDATE(B115,-12),Database!$F:$AY,MATCH($O$1,Database!$F$1:$AY$1,),)))))/(((VLOOKUP(EDATE(B115,-12),Database!$F:$AY,MATCH($O$1,Database!$F$1:$AY$1,),))))</f>
        <v/>
      </c>
      <c r="P115" s="13">
        <f>((((VLOOKUP(B115,Database!$F:$AY,MATCH($P$1,Database!$F$1:$AY$1,),))))-(((VLOOKUP(EDATE(B115,-12),Database!$F:$AY,MATCH($P$1,Database!$F$1:$AY$1,),)))))/(((VLOOKUP(EDATE(B115,-12),Database!$F:$AY,MATCH($P$1,Database!$F$1:$AY$1,),))))</f>
        <v/>
      </c>
      <c r="Q115" s="13">
        <f>((((VLOOKUP(B115,Database!$F:$AY,MATCH($Q$1,Database!$F$1:$AY$1,),))))-(((VLOOKUP(EDATE(B115,-12),Database!$F:$AY,MATCH($Q$1,Database!$F$1:$AY$1,),)))))/(((VLOOKUP(EDATE(B115,-12),Database!$F:$AY,MATCH($Q$1,Database!$F$1:$AY$1,),))))</f>
        <v/>
      </c>
      <c r="R115" s="13">
        <f>((((VLOOKUP(B115,Database!$F:$AY,MATCH($R$1,Database!$F$1:$AY$1,),))))-(((VLOOKUP(EDATE(B115,-12),Database!$F:$AY,MATCH($R$1,Database!$F$1:$AY$1,),)))))/(((VLOOKUP(EDATE(B115,-12),Database!$F:$AY,MATCH($R$1,Database!$F$1:$AY$1,),))))</f>
        <v/>
      </c>
      <c r="S115" s="13">
        <f>((((VLOOKUP(B115,Database!$F:$AY,MATCH($S$1,Database!$F$1:$AY$1,),))))-(((VLOOKUP(EDATE(B115,-12),Database!$F:$AY,MATCH($S$1,Database!$F$1:$AY$1,),)))))/(((VLOOKUP(EDATE(B115,-12),Database!$F:$AY,MATCH($S$1,Database!$F$1:$AY$1,),))))</f>
        <v/>
      </c>
      <c r="T115" s="13">
        <f>((((VLOOKUP(B115,Database!$F:$AY,MATCH($T$1,Database!$F$1:$AY$1,),))))-(((VLOOKUP(EDATE(B115,-12),Database!$F:$AY,MATCH($T$1,Database!$F$1:$AY$1,),)))))/(((VLOOKUP(EDATE(B115,-12),Database!$F:$AY,MATCH($T$1,Database!$F$1:$AY$1,),))))</f>
        <v/>
      </c>
      <c r="U115" s="13">
        <f>((((VLOOKUP(B115,Database!$F:$AY,MATCH($U$1,Database!$F$1:$AY$1,),))))-(((VLOOKUP(EDATE(B115,-12),Database!$F:$AY,MATCH($U$1,Database!$F$1:$AY$1,),)))))/(((VLOOKUP(EDATE(B115,-12),Database!$F:$AY,MATCH($U$1,Database!$F$1:$AY$1,),))))</f>
        <v/>
      </c>
      <c r="V115" s="13">
        <f>((((VLOOKUP(B115,Database!$F:$AY,MATCH($V$1,Database!$F$1:$AY$1,),))))-(((VLOOKUP(EDATE(B115,-12),Database!$F:$AY,MATCH($V$1,Database!$F$1:$AY$1,),)))))/(((VLOOKUP(EDATE(B115,-12),Database!$F:$AY,MATCH($V$1,Database!$F$1:$AY$1,),))))</f>
        <v/>
      </c>
    </row>
    <row r="116" customFormat="1" s="100">
      <c r="A116" s="45" t="n"/>
      <c r="B116" s="46" t="n">
        <v>35674</v>
      </c>
      <c r="C116" s="13">
        <f>((((VLOOKUP(B116,Database!$F:$AY,MATCH($C$1,Database!$F$1:$AY$1,),))))-(((VLOOKUP(EDATE(B116,-12),Database!$F:$AY,MATCH($C$1,Database!$F$1:$AY$1,),)))))/(((VLOOKUP(EDATE(B116,-12),Database!$F:$AY,MATCH($C$1,Database!$F$1:$AY$1,),))))</f>
        <v/>
      </c>
      <c r="D116" s="13">
        <f>((((VLOOKUP(B116,Database!$F:$AY,MATCH($D$1,Database!$F$1:$AY$1,),))))-(((VLOOKUP(EDATE(B116,-12),Database!$F:$AY,MATCH($D$1,Database!$F$1:$AY$1,),)))))/(((VLOOKUP(EDATE(B116,-12),Database!$F:$AY,MATCH($D$1,Database!$F$1:$AY$1,),))))</f>
        <v/>
      </c>
      <c r="E116" s="13">
        <f>((((VLOOKUP(B116,Database!$F:$AY,MATCH($E$1,Database!$F$1:$AY$1,),))))-(((VLOOKUP(EDATE(B116,-12),Database!$F:$AY,MATCH($E$1,Database!$F$1:$AY$1,),)))))/(((VLOOKUP(EDATE(B116,-12),Database!$F:$AY,MATCH($E$1,Database!$F$1:$AY$1,),))))</f>
        <v/>
      </c>
      <c r="F116" s="13">
        <f>((((VLOOKUP(B116,Database!$F:$AY,MATCH($F$1,Database!$F$1:$AY$1,),))))-(((VLOOKUP(EDATE(B116,-12),Database!$F:$AY,MATCH($F$1,Database!$F$1:$AY$1,),)))))/(((VLOOKUP(EDATE(B116,-12),Database!$F:$AY,MATCH($F$1,Database!$F$1:$AY$1,),))))</f>
        <v/>
      </c>
      <c r="G116" s="13">
        <f>((((VLOOKUP(B116,Database!$F:$AY,MATCH($G$1,Database!$F$1:$AY$1,),))))-(((VLOOKUP(EDATE(B116,-12),Database!$F:$AY,MATCH($G$1,Database!$F$1:$AY$1,),)))))/(((VLOOKUP(EDATE(B116,-12),Database!$F:$AY,MATCH($G$1,Database!$F$1:$AY$1,),))))</f>
        <v/>
      </c>
      <c r="H116" s="13">
        <f>((((VLOOKUP(B116,Database!$F:$AY,MATCH($H$1,Database!$F$1:$AY$1,),))))-(((VLOOKUP(EDATE(B116,-12),Database!$F:$AY,MATCH($H$1,Database!$F$1:$AY$1,),)))))/(((VLOOKUP(EDATE(B116,-12),Database!$F:$AY,MATCH($H$1,Database!$F$1:$AY$1,),))))</f>
        <v/>
      </c>
      <c r="I116" s="13">
        <f>((((VLOOKUP(B116,Database!$F:$AY,MATCH($I$1,Database!$F$1:$AY$1,),))))-(((VLOOKUP(EDATE(B116,-12),Database!$F:$AY,MATCH($I$1,Database!$F$1:$AY$1,),)))))/(((VLOOKUP(EDATE(B116,-12),Database!$F:$AY,MATCH($I$1,Database!$F$1:$AY$1,),))))</f>
        <v/>
      </c>
      <c r="J116" s="13">
        <f>((((VLOOKUP(B116,Database!$F:$AY,MATCH($J$1,Database!$F$1:$AY$1,),))))-(((VLOOKUP(EDATE(B116,-12),Database!$F:$AY,MATCH($J$1,Database!$F$1:$AY$1,),)))))/(((VLOOKUP(EDATE(B116,-12),Database!$F:$AY,MATCH($J$1,Database!$F$1:$AY$1,),))))</f>
        <v/>
      </c>
      <c r="K116" s="13">
        <f>((((VLOOKUP(B116,Database!$F:$AY,MATCH($K$1,Database!$F$1:$AY$1,),))))-(((VLOOKUP(EDATE(B116,-12),Database!$F:$AY,MATCH($K$1,Database!$F$1:$AY$1,),)))))/(((VLOOKUP(EDATE(B116,-12),Database!$F:$AY,MATCH($K$1,Database!$F$1:$AY$1,),))))</f>
        <v/>
      </c>
      <c r="L116" s="13">
        <f>((((VLOOKUP(B116,Database!$F:$AY,MATCH($L$1,Database!$F$1:$AY$1,),))))-(((VLOOKUP(EDATE(B116,-12),Database!$F:$AY,MATCH($L$1,Database!$F$1:$AY$1,),)))))/(((VLOOKUP(EDATE(B116,-12),Database!$F:$AY,MATCH($L$1,Database!$F$1:$AY$1,),))))</f>
        <v/>
      </c>
      <c r="M116" s="13">
        <f>((((VLOOKUP(B116,Database!$F:$AY,MATCH($M$1,Database!$F$1:$AY$1,),))))-(((VLOOKUP(EDATE(B116,-12),Database!$F:$AY,MATCH($M$1,Database!$F$1:$AY$1,),)))))/(((VLOOKUP(EDATE(B116,-12),Database!$F:$AY,MATCH($M$1,Database!$F$1:$AY$1,),))))</f>
        <v/>
      </c>
      <c r="N116" s="13">
        <f>((((VLOOKUP(B116,Database!$F:$AY,MATCH($N$1,Database!$F$1:$AY$1,),))))-(((VLOOKUP(EDATE(B116,-12),Database!$F:$AY,MATCH($N$1,Database!$F$1:$AY$1,),)))))/(((VLOOKUP(EDATE(B116,-12),Database!$F:$AY,MATCH($N$1,Database!$F$1:$AY$1,),))))</f>
        <v/>
      </c>
      <c r="O116" s="13">
        <f>((((VLOOKUP(B116,Database!$F:$AY,MATCH($O$1,Database!$F$1:$AY$1,),))))-(((VLOOKUP(EDATE(B116,-12),Database!$F:$AY,MATCH($O$1,Database!$F$1:$AY$1,),)))))/(((VLOOKUP(EDATE(B116,-12),Database!$F:$AY,MATCH($O$1,Database!$F$1:$AY$1,),))))</f>
        <v/>
      </c>
      <c r="P116" s="13">
        <f>((((VLOOKUP(B116,Database!$F:$AY,MATCH($P$1,Database!$F$1:$AY$1,),))))-(((VLOOKUP(EDATE(B116,-12),Database!$F:$AY,MATCH($P$1,Database!$F$1:$AY$1,),)))))/(((VLOOKUP(EDATE(B116,-12),Database!$F:$AY,MATCH($P$1,Database!$F$1:$AY$1,),))))</f>
        <v/>
      </c>
      <c r="Q116" s="13">
        <f>((((VLOOKUP(B116,Database!$F:$AY,MATCH($Q$1,Database!$F$1:$AY$1,),))))-(((VLOOKUP(EDATE(B116,-12),Database!$F:$AY,MATCH($Q$1,Database!$F$1:$AY$1,),)))))/(((VLOOKUP(EDATE(B116,-12),Database!$F:$AY,MATCH($Q$1,Database!$F$1:$AY$1,),))))</f>
        <v/>
      </c>
      <c r="R116" s="13">
        <f>((((VLOOKUP(B116,Database!$F:$AY,MATCH($R$1,Database!$F$1:$AY$1,),))))-(((VLOOKUP(EDATE(B116,-12),Database!$F:$AY,MATCH($R$1,Database!$F$1:$AY$1,),)))))/(((VLOOKUP(EDATE(B116,-12),Database!$F:$AY,MATCH($R$1,Database!$F$1:$AY$1,),))))</f>
        <v/>
      </c>
      <c r="S116" s="13">
        <f>((((VLOOKUP(B116,Database!$F:$AY,MATCH($S$1,Database!$F$1:$AY$1,),))))-(((VLOOKUP(EDATE(B116,-12),Database!$F:$AY,MATCH($S$1,Database!$F$1:$AY$1,),)))))/(((VLOOKUP(EDATE(B116,-12),Database!$F:$AY,MATCH($S$1,Database!$F$1:$AY$1,),))))</f>
        <v/>
      </c>
      <c r="T116" s="13">
        <f>((((VLOOKUP(B116,Database!$F:$AY,MATCH($T$1,Database!$F$1:$AY$1,),))))-(((VLOOKUP(EDATE(B116,-12),Database!$F:$AY,MATCH($T$1,Database!$F$1:$AY$1,),)))))/(((VLOOKUP(EDATE(B116,-12),Database!$F:$AY,MATCH($T$1,Database!$F$1:$AY$1,),))))</f>
        <v/>
      </c>
      <c r="U116" s="13">
        <f>((((VLOOKUP(B116,Database!$F:$AY,MATCH($U$1,Database!$F$1:$AY$1,),))))-(((VLOOKUP(EDATE(B116,-12),Database!$F:$AY,MATCH($U$1,Database!$F$1:$AY$1,),)))))/(((VLOOKUP(EDATE(B116,-12),Database!$F:$AY,MATCH($U$1,Database!$F$1:$AY$1,),))))</f>
        <v/>
      </c>
      <c r="V116" s="13">
        <f>((((VLOOKUP(B116,Database!$F:$AY,MATCH($V$1,Database!$F$1:$AY$1,),))))-(((VLOOKUP(EDATE(B116,-12),Database!$F:$AY,MATCH($V$1,Database!$F$1:$AY$1,),)))))/(((VLOOKUP(EDATE(B116,-12),Database!$F:$AY,MATCH($V$1,Database!$F$1:$AY$1,),))))</f>
        <v/>
      </c>
    </row>
    <row r="117" customFormat="1" s="100">
      <c r="A117" s="45" t="n"/>
      <c r="B117" s="46" t="n">
        <v>35704</v>
      </c>
      <c r="C117" s="13">
        <f>((((VLOOKUP(B117,Database!$F:$AY,MATCH($C$1,Database!$F$1:$AY$1,),))))-(((VLOOKUP(EDATE(B117,-12),Database!$F:$AY,MATCH($C$1,Database!$F$1:$AY$1,),)))))/(((VLOOKUP(EDATE(B117,-12),Database!$F:$AY,MATCH($C$1,Database!$F$1:$AY$1,),))))</f>
        <v/>
      </c>
      <c r="D117" s="13">
        <f>((((VLOOKUP(B117,Database!$F:$AY,MATCH($D$1,Database!$F$1:$AY$1,),))))-(((VLOOKUP(EDATE(B117,-12),Database!$F:$AY,MATCH($D$1,Database!$F$1:$AY$1,),)))))/(((VLOOKUP(EDATE(B117,-12),Database!$F:$AY,MATCH($D$1,Database!$F$1:$AY$1,),))))</f>
        <v/>
      </c>
      <c r="E117" s="13">
        <f>((((VLOOKUP(B117,Database!$F:$AY,MATCH($E$1,Database!$F$1:$AY$1,),))))-(((VLOOKUP(EDATE(B117,-12),Database!$F:$AY,MATCH($E$1,Database!$F$1:$AY$1,),)))))/(((VLOOKUP(EDATE(B117,-12),Database!$F:$AY,MATCH($E$1,Database!$F$1:$AY$1,),))))</f>
        <v/>
      </c>
      <c r="F117" s="13">
        <f>((((VLOOKUP(B117,Database!$F:$AY,MATCH($F$1,Database!$F$1:$AY$1,),))))-(((VLOOKUP(EDATE(B117,-12),Database!$F:$AY,MATCH($F$1,Database!$F$1:$AY$1,),)))))/(((VLOOKUP(EDATE(B117,-12),Database!$F:$AY,MATCH($F$1,Database!$F$1:$AY$1,),))))</f>
        <v/>
      </c>
      <c r="G117" s="13">
        <f>((((VLOOKUP(B117,Database!$F:$AY,MATCH($G$1,Database!$F$1:$AY$1,),))))-(((VLOOKUP(EDATE(B117,-12),Database!$F:$AY,MATCH($G$1,Database!$F$1:$AY$1,),)))))/(((VLOOKUP(EDATE(B117,-12),Database!$F:$AY,MATCH($G$1,Database!$F$1:$AY$1,),))))</f>
        <v/>
      </c>
      <c r="H117" s="13">
        <f>((((VLOOKUP(B117,Database!$F:$AY,MATCH($H$1,Database!$F$1:$AY$1,),))))-(((VLOOKUP(EDATE(B117,-12),Database!$F:$AY,MATCH($H$1,Database!$F$1:$AY$1,),)))))/(((VLOOKUP(EDATE(B117,-12),Database!$F:$AY,MATCH($H$1,Database!$F$1:$AY$1,),))))</f>
        <v/>
      </c>
      <c r="I117" s="13">
        <f>((((VLOOKUP(B117,Database!$F:$AY,MATCH($I$1,Database!$F$1:$AY$1,),))))-(((VLOOKUP(EDATE(B117,-12),Database!$F:$AY,MATCH($I$1,Database!$F$1:$AY$1,),)))))/(((VLOOKUP(EDATE(B117,-12),Database!$F:$AY,MATCH($I$1,Database!$F$1:$AY$1,),))))</f>
        <v/>
      </c>
      <c r="J117" s="13">
        <f>((((VLOOKUP(B117,Database!$F:$AY,MATCH($J$1,Database!$F$1:$AY$1,),))))-(((VLOOKUP(EDATE(B117,-12),Database!$F:$AY,MATCH($J$1,Database!$F$1:$AY$1,),)))))/(((VLOOKUP(EDATE(B117,-12),Database!$F:$AY,MATCH($J$1,Database!$F$1:$AY$1,),))))</f>
        <v/>
      </c>
      <c r="K117" s="13">
        <f>((((VLOOKUP(B117,Database!$F:$AY,MATCH($K$1,Database!$F$1:$AY$1,),))))-(((VLOOKUP(EDATE(B117,-12),Database!$F:$AY,MATCH($K$1,Database!$F$1:$AY$1,),)))))/(((VLOOKUP(EDATE(B117,-12),Database!$F:$AY,MATCH($K$1,Database!$F$1:$AY$1,),))))</f>
        <v/>
      </c>
      <c r="L117" s="13">
        <f>((((VLOOKUP(B117,Database!$F:$AY,MATCH($L$1,Database!$F$1:$AY$1,),))))-(((VLOOKUP(EDATE(B117,-12),Database!$F:$AY,MATCH($L$1,Database!$F$1:$AY$1,),)))))/(((VLOOKUP(EDATE(B117,-12),Database!$F:$AY,MATCH($L$1,Database!$F$1:$AY$1,),))))</f>
        <v/>
      </c>
      <c r="M117" s="13">
        <f>((((VLOOKUP(B117,Database!$F:$AY,MATCH($M$1,Database!$F$1:$AY$1,),))))-(((VLOOKUP(EDATE(B117,-12),Database!$F:$AY,MATCH($M$1,Database!$F$1:$AY$1,),)))))/(((VLOOKUP(EDATE(B117,-12),Database!$F:$AY,MATCH($M$1,Database!$F$1:$AY$1,),))))</f>
        <v/>
      </c>
      <c r="N117" s="13">
        <f>((((VLOOKUP(B117,Database!$F:$AY,MATCH($N$1,Database!$F$1:$AY$1,),))))-(((VLOOKUP(EDATE(B117,-12),Database!$F:$AY,MATCH($N$1,Database!$F$1:$AY$1,),)))))/(((VLOOKUP(EDATE(B117,-12),Database!$F:$AY,MATCH($N$1,Database!$F$1:$AY$1,),))))</f>
        <v/>
      </c>
      <c r="O117" s="13">
        <f>((((VLOOKUP(B117,Database!$F:$AY,MATCH($O$1,Database!$F$1:$AY$1,),))))-(((VLOOKUP(EDATE(B117,-12),Database!$F:$AY,MATCH($O$1,Database!$F$1:$AY$1,),)))))/(((VLOOKUP(EDATE(B117,-12),Database!$F:$AY,MATCH($O$1,Database!$F$1:$AY$1,),))))</f>
        <v/>
      </c>
      <c r="P117" s="13">
        <f>((((VLOOKUP(B117,Database!$F:$AY,MATCH($P$1,Database!$F$1:$AY$1,),))))-(((VLOOKUP(EDATE(B117,-12),Database!$F:$AY,MATCH($P$1,Database!$F$1:$AY$1,),)))))/(((VLOOKUP(EDATE(B117,-12),Database!$F:$AY,MATCH($P$1,Database!$F$1:$AY$1,),))))</f>
        <v/>
      </c>
      <c r="Q117" s="13">
        <f>((((VLOOKUP(B117,Database!$F:$AY,MATCH($Q$1,Database!$F$1:$AY$1,),))))-(((VLOOKUP(EDATE(B117,-12),Database!$F:$AY,MATCH($Q$1,Database!$F$1:$AY$1,),)))))/(((VLOOKUP(EDATE(B117,-12),Database!$F:$AY,MATCH($Q$1,Database!$F$1:$AY$1,),))))</f>
        <v/>
      </c>
      <c r="R117" s="13">
        <f>((((VLOOKUP(B117,Database!$F:$AY,MATCH($R$1,Database!$F$1:$AY$1,),))))-(((VLOOKUP(EDATE(B117,-12),Database!$F:$AY,MATCH($R$1,Database!$F$1:$AY$1,),)))))/(((VLOOKUP(EDATE(B117,-12),Database!$F:$AY,MATCH($R$1,Database!$F$1:$AY$1,),))))</f>
        <v/>
      </c>
      <c r="S117" s="13">
        <f>((((VLOOKUP(B117,Database!$F:$AY,MATCH($S$1,Database!$F$1:$AY$1,),))))-(((VLOOKUP(EDATE(B117,-12),Database!$F:$AY,MATCH($S$1,Database!$F$1:$AY$1,),)))))/(((VLOOKUP(EDATE(B117,-12),Database!$F:$AY,MATCH($S$1,Database!$F$1:$AY$1,),))))</f>
        <v/>
      </c>
      <c r="T117" s="13">
        <f>((((VLOOKUP(B117,Database!$F:$AY,MATCH($T$1,Database!$F$1:$AY$1,),))))-(((VLOOKUP(EDATE(B117,-12),Database!$F:$AY,MATCH($T$1,Database!$F$1:$AY$1,),)))))/(((VLOOKUP(EDATE(B117,-12),Database!$F:$AY,MATCH($T$1,Database!$F$1:$AY$1,),))))</f>
        <v/>
      </c>
      <c r="U117" s="13">
        <f>((((VLOOKUP(B117,Database!$F:$AY,MATCH($U$1,Database!$F$1:$AY$1,),))))-(((VLOOKUP(EDATE(B117,-12),Database!$F:$AY,MATCH($U$1,Database!$F$1:$AY$1,),)))))/(((VLOOKUP(EDATE(B117,-12),Database!$F:$AY,MATCH($U$1,Database!$F$1:$AY$1,),))))</f>
        <v/>
      </c>
      <c r="V117" s="13">
        <f>((((VLOOKUP(B117,Database!$F:$AY,MATCH($V$1,Database!$F$1:$AY$1,),))))-(((VLOOKUP(EDATE(B117,-12),Database!$F:$AY,MATCH($V$1,Database!$F$1:$AY$1,),)))))/(((VLOOKUP(EDATE(B117,-12),Database!$F:$AY,MATCH($V$1,Database!$F$1:$AY$1,),))))</f>
        <v/>
      </c>
    </row>
    <row r="118" customFormat="1" s="100">
      <c r="A118" s="45" t="n"/>
      <c r="B118" s="46" t="n">
        <v>35735</v>
      </c>
      <c r="C118" s="13">
        <f>((((VLOOKUP(B118,Database!$F:$AY,MATCH($C$1,Database!$F$1:$AY$1,),))))-(((VLOOKUP(EDATE(B118,-12),Database!$F:$AY,MATCH($C$1,Database!$F$1:$AY$1,),)))))/(((VLOOKUP(EDATE(B118,-12),Database!$F:$AY,MATCH($C$1,Database!$F$1:$AY$1,),))))</f>
        <v/>
      </c>
      <c r="D118" s="13">
        <f>((((VLOOKUP(B118,Database!$F:$AY,MATCH($D$1,Database!$F$1:$AY$1,),))))-(((VLOOKUP(EDATE(B118,-12),Database!$F:$AY,MATCH($D$1,Database!$F$1:$AY$1,),)))))/(((VLOOKUP(EDATE(B118,-12),Database!$F:$AY,MATCH($D$1,Database!$F$1:$AY$1,),))))</f>
        <v/>
      </c>
      <c r="E118" s="13">
        <f>((((VLOOKUP(B118,Database!$F:$AY,MATCH($E$1,Database!$F$1:$AY$1,),))))-(((VLOOKUP(EDATE(B118,-12),Database!$F:$AY,MATCH($E$1,Database!$F$1:$AY$1,),)))))/(((VLOOKUP(EDATE(B118,-12),Database!$F:$AY,MATCH($E$1,Database!$F$1:$AY$1,),))))</f>
        <v/>
      </c>
      <c r="F118" s="13">
        <f>((((VLOOKUP(B118,Database!$F:$AY,MATCH($F$1,Database!$F$1:$AY$1,),))))-(((VLOOKUP(EDATE(B118,-12),Database!$F:$AY,MATCH($F$1,Database!$F$1:$AY$1,),)))))/(((VLOOKUP(EDATE(B118,-12),Database!$F:$AY,MATCH($F$1,Database!$F$1:$AY$1,),))))</f>
        <v/>
      </c>
      <c r="G118" s="13">
        <f>((((VLOOKUP(B118,Database!$F:$AY,MATCH($G$1,Database!$F$1:$AY$1,),))))-(((VLOOKUP(EDATE(B118,-12),Database!$F:$AY,MATCH($G$1,Database!$F$1:$AY$1,),)))))/(((VLOOKUP(EDATE(B118,-12),Database!$F:$AY,MATCH($G$1,Database!$F$1:$AY$1,),))))</f>
        <v/>
      </c>
      <c r="H118" s="13">
        <f>((((VLOOKUP(B118,Database!$F:$AY,MATCH($H$1,Database!$F$1:$AY$1,),))))-(((VLOOKUP(EDATE(B118,-12),Database!$F:$AY,MATCH($H$1,Database!$F$1:$AY$1,),)))))/(((VLOOKUP(EDATE(B118,-12),Database!$F:$AY,MATCH($H$1,Database!$F$1:$AY$1,),))))</f>
        <v/>
      </c>
      <c r="I118" s="13">
        <f>((((VLOOKUP(B118,Database!$F:$AY,MATCH($I$1,Database!$F$1:$AY$1,),))))-(((VLOOKUP(EDATE(B118,-12),Database!$F:$AY,MATCH($I$1,Database!$F$1:$AY$1,),)))))/(((VLOOKUP(EDATE(B118,-12),Database!$F:$AY,MATCH($I$1,Database!$F$1:$AY$1,),))))</f>
        <v/>
      </c>
      <c r="J118" s="13">
        <f>((((VLOOKUP(B118,Database!$F:$AY,MATCH($J$1,Database!$F$1:$AY$1,),))))-(((VLOOKUP(EDATE(B118,-12),Database!$F:$AY,MATCH($J$1,Database!$F$1:$AY$1,),)))))/(((VLOOKUP(EDATE(B118,-12),Database!$F:$AY,MATCH($J$1,Database!$F$1:$AY$1,),))))</f>
        <v/>
      </c>
      <c r="K118" s="13">
        <f>((((VLOOKUP(B118,Database!$F:$AY,MATCH($K$1,Database!$F$1:$AY$1,),))))-(((VLOOKUP(EDATE(B118,-12),Database!$F:$AY,MATCH($K$1,Database!$F$1:$AY$1,),)))))/(((VLOOKUP(EDATE(B118,-12),Database!$F:$AY,MATCH($K$1,Database!$F$1:$AY$1,),))))</f>
        <v/>
      </c>
      <c r="L118" s="13">
        <f>((((VLOOKUP(B118,Database!$F:$AY,MATCH($L$1,Database!$F$1:$AY$1,),))))-(((VLOOKUP(EDATE(B118,-12),Database!$F:$AY,MATCH($L$1,Database!$F$1:$AY$1,),)))))/(((VLOOKUP(EDATE(B118,-12),Database!$F:$AY,MATCH($L$1,Database!$F$1:$AY$1,),))))</f>
        <v/>
      </c>
      <c r="M118" s="13">
        <f>((((VLOOKUP(B118,Database!$F:$AY,MATCH($M$1,Database!$F$1:$AY$1,),))))-(((VLOOKUP(EDATE(B118,-12),Database!$F:$AY,MATCH($M$1,Database!$F$1:$AY$1,),)))))/(((VLOOKUP(EDATE(B118,-12),Database!$F:$AY,MATCH($M$1,Database!$F$1:$AY$1,),))))</f>
        <v/>
      </c>
      <c r="N118" s="13">
        <f>((((VLOOKUP(B118,Database!$F:$AY,MATCH($N$1,Database!$F$1:$AY$1,),))))-(((VLOOKUP(EDATE(B118,-12),Database!$F:$AY,MATCH($N$1,Database!$F$1:$AY$1,),)))))/(((VLOOKUP(EDATE(B118,-12),Database!$F:$AY,MATCH($N$1,Database!$F$1:$AY$1,),))))</f>
        <v/>
      </c>
      <c r="O118" s="13">
        <f>((((VLOOKUP(B118,Database!$F:$AY,MATCH($O$1,Database!$F$1:$AY$1,),))))-(((VLOOKUP(EDATE(B118,-12),Database!$F:$AY,MATCH($O$1,Database!$F$1:$AY$1,),)))))/(((VLOOKUP(EDATE(B118,-12),Database!$F:$AY,MATCH($O$1,Database!$F$1:$AY$1,),))))</f>
        <v/>
      </c>
      <c r="P118" s="13">
        <f>((((VLOOKUP(B118,Database!$F:$AY,MATCH($P$1,Database!$F$1:$AY$1,),))))-(((VLOOKUP(EDATE(B118,-12),Database!$F:$AY,MATCH($P$1,Database!$F$1:$AY$1,),)))))/(((VLOOKUP(EDATE(B118,-12),Database!$F:$AY,MATCH($P$1,Database!$F$1:$AY$1,),))))</f>
        <v/>
      </c>
      <c r="Q118" s="13">
        <f>((((VLOOKUP(B118,Database!$F:$AY,MATCH($Q$1,Database!$F$1:$AY$1,),))))-(((VLOOKUP(EDATE(B118,-12),Database!$F:$AY,MATCH($Q$1,Database!$F$1:$AY$1,),)))))/(((VLOOKUP(EDATE(B118,-12),Database!$F:$AY,MATCH($Q$1,Database!$F$1:$AY$1,),))))</f>
        <v/>
      </c>
      <c r="R118" s="13">
        <f>((((VLOOKUP(B118,Database!$F:$AY,MATCH($R$1,Database!$F$1:$AY$1,),))))-(((VLOOKUP(EDATE(B118,-12),Database!$F:$AY,MATCH($R$1,Database!$F$1:$AY$1,),)))))/(((VLOOKUP(EDATE(B118,-12),Database!$F:$AY,MATCH($R$1,Database!$F$1:$AY$1,),))))</f>
        <v/>
      </c>
      <c r="S118" s="13">
        <f>((((VLOOKUP(B118,Database!$F:$AY,MATCH($S$1,Database!$F$1:$AY$1,),))))-(((VLOOKUP(EDATE(B118,-12),Database!$F:$AY,MATCH($S$1,Database!$F$1:$AY$1,),)))))/(((VLOOKUP(EDATE(B118,-12),Database!$F:$AY,MATCH($S$1,Database!$F$1:$AY$1,),))))</f>
        <v/>
      </c>
      <c r="T118" s="13">
        <f>((((VLOOKUP(B118,Database!$F:$AY,MATCH($T$1,Database!$F$1:$AY$1,),))))-(((VLOOKUP(EDATE(B118,-12),Database!$F:$AY,MATCH($T$1,Database!$F$1:$AY$1,),)))))/(((VLOOKUP(EDATE(B118,-12),Database!$F:$AY,MATCH($T$1,Database!$F$1:$AY$1,),))))</f>
        <v/>
      </c>
      <c r="U118" s="13">
        <f>((((VLOOKUP(B118,Database!$F:$AY,MATCH($U$1,Database!$F$1:$AY$1,),))))-(((VLOOKUP(EDATE(B118,-12),Database!$F:$AY,MATCH($U$1,Database!$F$1:$AY$1,),)))))/(((VLOOKUP(EDATE(B118,-12),Database!$F:$AY,MATCH($U$1,Database!$F$1:$AY$1,),))))</f>
        <v/>
      </c>
      <c r="V118" s="13">
        <f>((((VLOOKUP(B118,Database!$F:$AY,MATCH($V$1,Database!$F$1:$AY$1,),))))-(((VLOOKUP(EDATE(B118,-12),Database!$F:$AY,MATCH($V$1,Database!$F$1:$AY$1,),)))))/(((VLOOKUP(EDATE(B118,-12),Database!$F:$AY,MATCH($V$1,Database!$F$1:$AY$1,),))))</f>
        <v/>
      </c>
    </row>
    <row r="119" customFormat="1" s="100">
      <c r="A119" s="45" t="n"/>
      <c r="B119" s="46" t="n">
        <v>35765</v>
      </c>
      <c r="C119" s="13">
        <f>((((VLOOKUP(B119,Database!$F:$AY,MATCH($C$1,Database!$F$1:$AY$1,),))))-(((VLOOKUP(EDATE(B119,-12),Database!$F:$AY,MATCH($C$1,Database!$F$1:$AY$1,),)))))/(((VLOOKUP(EDATE(B119,-12),Database!$F:$AY,MATCH($C$1,Database!$F$1:$AY$1,),))))</f>
        <v/>
      </c>
      <c r="D119" s="13">
        <f>((((VLOOKUP(B119,Database!$F:$AY,MATCH($D$1,Database!$F$1:$AY$1,),))))-(((VLOOKUP(EDATE(B119,-12),Database!$F:$AY,MATCH($D$1,Database!$F$1:$AY$1,),)))))/(((VLOOKUP(EDATE(B119,-12),Database!$F:$AY,MATCH($D$1,Database!$F$1:$AY$1,),))))</f>
        <v/>
      </c>
      <c r="E119" s="13">
        <f>((((VLOOKUP(B119,Database!$F:$AY,MATCH($E$1,Database!$F$1:$AY$1,),))))-(((VLOOKUP(EDATE(B119,-12),Database!$F:$AY,MATCH($E$1,Database!$F$1:$AY$1,),)))))/(((VLOOKUP(EDATE(B119,-12),Database!$F:$AY,MATCH($E$1,Database!$F$1:$AY$1,),))))</f>
        <v/>
      </c>
      <c r="F119" s="13">
        <f>((((VLOOKUP(B119,Database!$F:$AY,MATCH($F$1,Database!$F$1:$AY$1,),))))-(((VLOOKUP(EDATE(B119,-12),Database!$F:$AY,MATCH($F$1,Database!$F$1:$AY$1,),)))))/(((VLOOKUP(EDATE(B119,-12),Database!$F:$AY,MATCH($F$1,Database!$F$1:$AY$1,),))))</f>
        <v/>
      </c>
      <c r="G119" s="13">
        <f>((((VLOOKUP(B119,Database!$F:$AY,MATCH($G$1,Database!$F$1:$AY$1,),))))-(((VLOOKUP(EDATE(B119,-12),Database!$F:$AY,MATCH($G$1,Database!$F$1:$AY$1,),)))))/(((VLOOKUP(EDATE(B119,-12),Database!$F:$AY,MATCH($G$1,Database!$F$1:$AY$1,),))))</f>
        <v/>
      </c>
      <c r="H119" s="13">
        <f>((((VLOOKUP(B119,Database!$F:$AY,MATCH($H$1,Database!$F$1:$AY$1,),))))-(((VLOOKUP(EDATE(B119,-12),Database!$F:$AY,MATCH($H$1,Database!$F$1:$AY$1,),)))))/(((VLOOKUP(EDATE(B119,-12),Database!$F:$AY,MATCH($H$1,Database!$F$1:$AY$1,),))))</f>
        <v/>
      </c>
      <c r="I119" s="13">
        <f>((((VLOOKUP(B119,Database!$F:$AY,MATCH($I$1,Database!$F$1:$AY$1,),))))-(((VLOOKUP(EDATE(B119,-12),Database!$F:$AY,MATCH($I$1,Database!$F$1:$AY$1,),)))))/(((VLOOKUP(EDATE(B119,-12),Database!$F:$AY,MATCH($I$1,Database!$F$1:$AY$1,),))))</f>
        <v/>
      </c>
      <c r="J119" s="13">
        <f>((((VLOOKUP(B119,Database!$F:$AY,MATCH($J$1,Database!$F$1:$AY$1,),))))-(((VLOOKUP(EDATE(B119,-12),Database!$F:$AY,MATCH($J$1,Database!$F$1:$AY$1,),)))))/(((VLOOKUP(EDATE(B119,-12),Database!$F:$AY,MATCH($J$1,Database!$F$1:$AY$1,),))))</f>
        <v/>
      </c>
      <c r="K119" s="13">
        <f>((((VLOOKUP(B119,Database!$F:$AY,MATCH($K$1,Database!$F$1:$AY$1,),))))-(((VLOOKUP(EDATE(B119,-12),Database!$F:$AY,MATCH($K$1,Database!$F$1:$AY$1,),)))))/(((VLOOKUP(EDATE(B119,-12),Database!$F:$AY,MATCH($K$1,Database!$F$1:$AY$1,),))))</f>
        <v/>
      </c>
      <c r="L119" s="13">
        <f>((((VLOOKUP(B119,Database!$F:$AY,MATCH($L$1,Database!$F$1:$AY$1,),))))-(((VLOOKUP(EDATE(B119,-12),Database!$F:$AY,MATCH($L$1,Database!$F$1:$AY$1,),)))))/(((VLOOKUP(EDATE(B119,-12),Database!$F:$AY,MATCH($L$1,Database!$F$1:$AY$1,),))))</f>
        <v/>
      </c>
      <c r="M119" s="13">
        <f>((((VLOOKUP(B119,Database!$F:$AY,MATCH($M$1,Database!$F$1:$AY$1,),))))-(((VLOOKUP(EDATE(B119,-12),Database!$F:$AY,MATCH($M$1,Database!$F$1:$AY$1,),)))))/(((VLOOKUP(EDATE(B119,-12),Database!$F:$AY,MATCH($M$1,Database!$F$1:$AY$1,),))))</f>
        <v/>
      </c>
      <c r="N119" s="13">
        <f>((((VLOOKUP(B119,Database!$F:$AY,MATCH($N$1,Database!$F$1:$AY$1,),))))-(((VLOOKUP(EDATE(B119,-12),Database!$F:$AY,MATCH($N$1,Database!$F$1:$AY$1,),)))))/(((VLOOKUP(EDATE(B119,-12),Database!$F:$AY,MATCH($N$1,Database!$F$1:$AY$1,),))))</f>
        <v/>
      </c>
      <c r="O119" s="13">
        <f>((((VLOOKUP(B119,Database!$F:$AY,MATCH($O$1,Database!$F$1:$AY$1,),))))-(((VLOOKUP(EDATE(B119,-12),Database!$F:$AY,MATCH($O$1,Database!$F$1:$AY$1,),)))))/(((VLOOKUP(EDATE(B119,-12),Database!$F:$AY,MATCH($O$1,Database!$F$1:$AY$1,),))))</f>
        <v/>
      </c>
      <c r="P119" s="13">
        <f>((((VLOOKUP(B119,Database!$F:$AY,MATCH($P$1,Database!$F$1:$AY$1,),))))-(((VLOOKUP(EDATE(B119,-12),Database!$F:$AY,MATCH($P$1,Database!$F$1:$AY$1,),)))))/(((VLOOKUP(EDATE(B119,-12),Database!$F:$AY,MATCH($P$1,Database!$F$1:$AY$1,),))))</f>
        <v/>
      </c>
      <c r="Q119" s="13">
        <f>((((VLOOKUP(B119,Database!$F:$AY,MATCH($Q$1,Database!$F$1:$AY$1,),))))-(((VLOOKUP(EDATE(B119,-12),Database!$F:$AY,MATCH($Q$1,Database!$F$1:$AY$1,),)))))/(((VLOOKUP(EDATE(B119,-12),Database!$F:$AY,MATCH($Q$1,Database!$F$1:$AY$1,),))))</f>
        <v/>
      </c>
      <c r="R119" s="13">
        <f>((((VLOOKUP(B119,Database!$F:$AY,MATCH($R$1,Database!$F$1:$AY$1,),))))-(((VLOOKUP(EDATE(B119,-12),Database!$F:$AY,MATCH($R$1,Database!$F$1:$AY$1,),)))))/(((VLOOKUP(EDATE(B119,-12),Database!$F:$AY,MATCH($R$1,Database!$F$1:$AY$1,),))))</f>
        <v/>
      </c>
      <c r="S119" s="13">
        <f>((((VLOOKUP(B119,Database!$F:$AY,MATCH($S$1,Database!$F$1:$AY$1,),))))-(((VLOOKUP(EDATE(B119,-12),Database!$F:$AY,MATCH($S$1,Database!$F$1:$AY$1,),)))))/(((VLOOKUP(EDATE(B119,-12),Database!$F:$AY,MATCH($S$1,Database!$F$1:$AY$1,),))))</f>
        <v/>
      </c>
      <c r="T119" s="13">
        <f>((((VLOOKUP(B119,Database!$F:$AY,MATCH($T$1,Database!$F$1:$AY$1,),))))-(((VLOOKUP(EDATE(B119,-12),Database!$F:$AY,MATCH($T$1,Database!$F$1:$AY$1,),)))))/(((VLOOKUP(EDATE(B119,-12),Database!$F:$AY,MATCH($T$1,Database!$F$1:$AY$1,),))))</f>
        <v/>
      </c>
      <c r="U119" s="13">
        <f>((((VLOOKUP(B119,Database!$F:$AY,MATCH($U$1,Database!$F$1:$AY$1,),))))-(((VLOOKUP(EDATE(B119,-12),Database!$F:$AY,MATCH($U$1,Database!$F$1:$AY$1,),)))))/(((VLOOKUP(EDATE(B119,-12),Database!$F:$AY,MATCH($U$1,Database!$F$1:$AY$1,),))))</f>
        <v/>
      </c>
      <c r="V119" s="13">
        <f>((((VLOOKUP(B119,Database!$F:$AY,MATCH($V$1,Database!$F$1:$AY$1,),))))-(((VLOOKUP(EDATE(B119,-12),Database!$F:$AY,MATCH($V$1,Database!$F$1:$AY$1,),)))))/(((VLOOKUP(EDATE(B119,-12),Database!$F:$AY,MATCH($V$1,Database!$F$1:$AY$1,),))))</f>
        <v/>
      </c>
    </row>
    <row r="120" customFormat="1" s="100">
      <c r="A120" s="45" t="n"/>
      <c r="B120" s="46" t="n">
        <v>35796</v>
      </c>
      <c r="C120" s="13">
        <f>((((VLOOKUP(B120,Database!$F:$AY,MATCH($C$1,Database!$F$1:$AY$1,),))))-(((VLOOKUP(EDATE(B120,-12),Database!$F:$AY,MATCH($C$1,Database!$F$1:$AY$1,),)))))/(((VLOOKUP(EDATE(B120,-12),Database!$F:$AY,MATCH($C$1,Database!$F$1:$AY$1,),))))</f>
        <v/>
      </c>
      <c r="D120" s="13">
        <f>((((VLOOKUP(B120,Database!$F:$AY,MATCH($D$1,Database!$F$1:$AY$1,),))))-(((VLOOKUP(EDATE(B120,-12),Database!$F:$AY,MATCH($D$1,Database!$F$1:$AY$1,),)))))/(((VLOOKUP(EDATE(B120,-12),Database!$F:$AY,MATCH($D$1,Database!$F$1:$AY$1,),))))</f>
        <v/>
      </c>
      <c r="E120" s="13">
        <f>((((VLOOKUP(B120,Database!$F:$AY,MATCH($E$1,Database!$F$1:$AY$1,),))))-(((VLOOKUP(EDATE(B120,-12),Database!$F:$AY,MATCH($E$1,Database!$F$1:$AY$1,),)))))/(((VLOOKUP(EDATE(B120,-12),Database!$F:$AY,MATCH($E$1,Database!$F$1:$AY$1,),))))</f>
        <v/>
      </c>
      <c r="F120" s="13">
        <f>((((VLOOKUP(B120,Database!$F:$AY,MATCH($F$1,Database!$F$1:$AY$1,),))))-(((VLOOKUP(EDATE(B120,-12),Database!$F:$AY,MATCH($F$1,Database!$F$1:$AY$1,),)))))/(((VLOOKUP(EDATE(B120,-12),Database!$F:$AY,MATCH($F$1,Database!$F$1:$AY$1,),))))</f>
        <v/>
      </c>
      <c r="G120" s="13">
        <f>((((VLOOKUP(B120,Database!$F:$AY,MATCH($G$1,Database!$F$1:$AY$1,),))))-(((VLOOKUP(EDATE(B120,-12),Database!$F:$AY,MATCH($G$1,Database!$F$1:$AY$1,),)))))/(((VLOOKUP(EDATE(B120,-12),Database!$F:$AY,MATCH($G$1,Database!$F$1:$AY$1,),))))</f>
        <v/>
      </c>
      <c r="H120" s="13">
        <f>((((VLOOKUP(B120,Database!$F:$AY,MATCH($H$1,Database!$F$1:$AY$1,),))))-(((VLOOKUP(EDATE(B120,-12),Database!$F:$AY,MATCH($H$1,Database!$F$1:$AY$1,),)))))/(((VLOOKUP(EDATE(B120,-12),Database!$F:$AY,MATCH($H$1,Database!$F$1:$AY$1,),))))</f>
        <v/>
      </c>
      <c r="I120" s="13">
        <f>((((VLOOKUP(B120,Database!$F:$AY,MATCH($I$1,Database!$F$1:$AY$1,),))))-(((VLOOKUP(EDATE(B120,-12),Database!$F:$AY,MATCH($I$1,Database!$F$1:$AY$1,),)))))/(((VLOOKUP(EDATE(B120,-12),Database!$F:$AY,MATCH($I$1,Database!$F$1:$AY$1,),))))</f>
        <v/>
      </c>
      <c r="J120" s="13">
        <f>((((VLOOKUP(B120,Database!$F:$AY,MATCH($J$1,Database!$F$1:$AY$1,),))))-(((VLOOKUP(EDATE(B120,-12),Database!$F:$AY,MATCH($J$1,Database!$F$1:$AY$1,),)))))/(((VLOOKUP(EDATE(B120,-12),Database!$F:$AY,MATCH($J$1,Database!$F$1:$AY$1,),))))</f>
        <v/>
      </c>
      <c r="K120" s="13">
        <f>((((VLOOKUP(B120,Database!$F:$AY,MATCH($K$1,Database!$F$1:$AY$1,),))))-(((VLOOKUP(EDATE(B120,-12),Database!$F:$AY,MATCH($K$1,Database!$F$1:$AY$1,),)))))/(((VLOOKUP(EDATE(B120,-12),Database!$F:$AY,MATCH($K$1,Database!$F$1:$AY$1,),))))</f>
        <v/>
      </c>
      <c r="L120" s="13">
        <f>((((VLOOKUP(B120,Database!$F:$AY,MATCH($L$1,Database!$F$1:$AY$1,),))))-(((VLOOKUP(EDATE(B120,-12),Database!$F:$AY,MATCH($L$1,Database!$F$1:$AY$1,),)))))/(((VLOOKUP(EDATE(B120,-12),Database!$F:$AY,MATCH($L$1,Database!$F$1:$AY$1,),))))</f>
        <v/>
      </c>
      <c r="M120" s="13">
        <f>((((VLOOKUP(B120,Database!$F:$AY,MATCH($M$1,Database!$F$1:$AY$1,),))))-(((VLOOKUP(EDATE(B120,-12),Database!$F:$AY,MATCH($M$1,Database!$F$1:$AY$1,),)))))/(((VLOOKUP(EDATE(B120,-12),Database!$F:$AY,MATCH($M$1,Database!$F$1:$AY$1,),))))</f>
        <v/>
      </c>
      <c r="N120" s="13">
        <f>((((VLOOKUP(B120,Database!$F:$AY,MATCH($N$1,Database!$F$1:$AY$1,),))))-(((VLOOKUP(EDATE(B120,-12),Database!$F:$AY,MATCH($N$1,Database!$F$1:$AY$1,),)))))/(((VLOOKUP(EDATE(B120,-12),Database!$F:$AY,MATCH($N$1,Database!$F$1:$AY$1,),))))</f>
        <v/>
      </c>
      <c r="O120" s="13">
        <f>((((VLOOKUP(B120,Database!$F:$AY,MATCH($O$1,Database!$F$1:$AY$1,),))))-(((VLOOKUP(EDATE(B120,-12),Database!$F:$AY,MATCH($O$1,Database!$F$1:$AY$1,),)))))/(((VLOOKUP(EDATE(B120,-12),Database!$F:$AY,MATCH($O$1,Database!$F$1:$AY$1,),))))</f>
        <v/>
      </c>
      <c r="P120" s="13">
        <f>((((VLOOKUP(B120,Database!$F:$AY,MATCH($P$1,Database!$F$1:$AY$1,),))))-(((VLOOKUP(EDATE(B120,-12),Database!$F:$AY,MATCH($P$1,Database!$F$1:$AY$1,),)))))/(((VLOOKUP(EDATE(B120,-12),Database!$F:$AY,MATCH($P$1,Database!$F$1:$AY$1,),))))</f>
        <v/>
      </c>
      <c r="Q120" s="13">
        <f>((((VLOOKUP(B120,Database!$F:$AY,MATCH($Q$1,Database!$F$1:$AY$1,),))))-(((VLOOKUP(EDATE(B120,-12),Database!$F:$AY,MATCH($Q$1,Database!$F$1:$AY$1,),)))))/(((VLOOKUP(EDATE(B120,-12),Database!$F:$AY,MATCH($Q$1,Database!$F$1:$AY$1,),))))</f>
        <v/>
      </c>
      <c r="R120" s="13">
        <f>((((VLOOKUP(B120,Database!$F:$AY,MATCH($R$1,Database!$F$1:$AY$1,),))))-(((VLOOKUP(EDATE(B120,-12),Database!$F:$AY,MATCH($R$1,Database!$F$1:$AY$1,),)))))/(((VLOOKUP(EDATE(B120,-12),Database!$F:$AY,MATCH($R$1,Database!$F$1:$AY$1,),))))</f>
        <v/>
      </c>
      <c r="S120" s="13">
        <f>((((VLOOKUP(B120,Database!$F:$AY,MATCH($S$1,Database!$F$1:$AY$1,),))))-(((VLOOKUP(EDATE(B120,-12),Database!$F:$AY,MATCH($S$1,Database!$F$1:$AY$1,),)))))/(((VLOOKUP(EDATE(B120,-12),Database!$F:$AY,MATCH($S$1,Database!$F$1:$AY$1,),))))</f>
        <v/>
      </c>
      <c r="T120" s="13">
        <f>((((VLOOKUP(B120,Database!$F:$AY,MATCH($T$1,Database!$F$1:$AY$1,),))))-(((VLOOKUP(EDATE(B120,-12),Database!$F:$AY,MATCH($T$1,Database!$F$1:$AY$1,),)))))/(((VLOOKUP(EDATE(B120,-12),Database!$F:$AY,MATCH($T$1,Database!$F$1:$AY$1,),))))</f>
        <v/>
      </c>
      <c r="U120" s="13">
        <f>((((VLOOKUP(B120,Database!$F:$AY,MATCH($U$1,Database!$F$1:$AY$1,),))))-(((VLOOKUP(EDATE(B120,-12),Database!$F:$AY,MATCH($U$1,Database!$F$1:$AY$1,),)))))/(((VLOOKUP(EDATE(B120,-12),Database!$F:$AY,MATCH($U$1,Database!$F$1:$AY$1,),))))</f>
        <v/>
      </c>
      <c r="V120" s="13">
        <f>((((VLOOKUP(B120,Database!$F:$AY,MATCH($V$1,Database!$F$1:$AY$1,),))))-(((VLOOKUP(EDATE(B120,-12),Database!$F:$AY,MATCH($V$1,Database!$F$1:$AY$1,),)))))/(((VLOOKUP(EDATE(B120,-12),Database!$F:$AY,MATCH($V$1,Database!$F$1:$AY$1,),))))</f>
        <v/>
      </c>
    </row>
    <row r="121" customFormat="1" s="100">
      <c r="A121" s="45" t="n"/>
      <c r="B121" s="46" t="n">
        <v>35827</v>
      </c>
      <c r="C121" s="13">
        <f>((((VLOOKUP(B121,Database!$F:$AY,MATCH($C$1,Database!$F$1:$AY$1,),))))-(((VLOOKUP(EDATE(B121,-12),Database!$F:$AY,MATCH($C$1,Database!$F$1:$AY$1,),)))))/(((VLOOKUP(EDATE(B121,-12),Database!$F:$AY,MATCH($C$1,Database!$F$1:$AY$1,),))))</f>
        <v/>
      </c>
      <c r="D121" s="13">
        <f>((((VLOOKUP(B121,Database!$F:$AY,MATCH($D$1,Database!$F$1:$AY$1,),))))-(((VLOOKUP(EDATE(B121,-12),Database!$F:$AY,MATCH($D$1,Database!$F$1:$AY$1,),)))))/(((VLOOKUP(EDATE(B121,-12),Database!$F:$AY,MATCH($D$1,Database!$F$1:$AY$1,),))))</f>
        <v/>
      </c>
      <c r="E121" s="13">
        <f>((((VLOOKUP(B121,Database!$F:$AY,MATCH($E$1,Database!$F$1:$AY$1,),))))-(((VLOOKUP(EDATE(B121,-12),Database!$F:$AY,MATCH($E$1,Database!$F$1:$AY$1,),)))))/(((VLOOKUP(EDATE(B121,-12),Database!$F:$AY,MATCH($E$1,Database!$F$1:$AY$1,),))))</f>
        <v/>
      </c>
      <c r="F121" s="13">
        <f>((((VLOOKUP(B121,Database!$F:$AY,MATCH($F$1,Database!$F$1:$AY$1,),))))-(((VLOOKUP(EDATE(B121,-12),Database!$F:$AY,MATCH($F$1,Database!$F$1:$AY$1,),)))))/(((VLOOKUP(EDATE(B121,-12),Database!$F:$AY,MATCH($F$1,Database!$F$1:$AY$1,),))))</f>
        <v/>
      </c>
      <c r="G121" s="13">
        <f>((((VLOOKUP(B121,Database!$F:$AY,MATCH($G$1,Database!$F$1:$AY$1,),))))-(((VLOOKUP(EDATE(B121,-12),Database!$F:$AY,MATCH($G$1,Database!$F$1:$AY$1,),)))))/(((VLOOKUP(EDATE(B121,-12),Database!$F:$AY,MATCH($G$1,Database!$F$1:$AY$1,),))))</f>
        <v/>
      </c>
      <c r="H121" s="13">
        <f>((((VLOOKUP(B121,Database!$F:$AY,MATCH($H$1,Database!$F$1:$AY$1,),))))-(((VLOOKUP(EDATE(B121,-12),Database!$F:$AY,MATCH($H$1,Database!$F$1:$AY$1,),)))))/(((VLOOKUP(EDATE(B121,-12),Database!$F:$AY,MATCH($H$1,Database!$F$1:$AY$1,),))))</f>
        <v/>
      </c>
      <c r="I121" s="13">
        <f>((((VLOOKUP(B121,Database!$F:$AY,MATCH($I$1,Database!$F$1:$AY$1,),))))-(((VLOOKUP(EDATE(B121,-12),Database!$F:$AY,MATCH($I$1,Database!$F$1:$AY$1,),)))))/(((VLOOKUP(EDATE(B121,-12),Database!$F:$AY,MATCH($I$1,Database!$F$1:$AY$1,),))))</f>
        <v/>
      </c>
      <c r="J121" s="13">
        <f>((((VLOOKUP(B121,Database!$F:$AY,MATCH($J$1,Database!$F$1:$AY$1,),))))-(((VLOOKUP(EDATE(B121,-12),Database!$F:$AY,MATCH($J$1,Database!$F$1:$AY$1,),)))))/(((VLOOKUP(EDATE(B121,-12),Database!$F:$AY,MATCH($J$1,Database!$F$1:$AY$1,),))))</f>
        <v/>
      </c>
      <c r="K121" s="13">
        <f>((((VLOOKUP(B121,Database!$F:$AY,MATCH($K$1,Database!$F$1:$AY$1,),))))-(((VLOOKUP(EDATE(B121,-12),Database!$F:$AY,MATCH($K$1,Database!$F$1:$AY$1,),)))))/(((VLOOKUP(EDATE(B121,-12),Database!$F:$AY,MATCH($K$1,Database!$F$1:$AY$1,),))))</f>
        <v/>
      </c>
      <c r="L121" s="13">
        <f>((((VLOOKUP(B121,Database!$F:$AY,MATCH($L$1,Database!$F$1:$AY$1,),))))-(((VLOOKUP(EDATE(B121,-12),Database!$F:$AY,MATCH($L$1,Database!$F$1:$AY$1,),)))))/(((VLOOKUP(EDATE(B121,-12),Database!$F:$AY,MATCH($L$1,Database!$F$1:$AY$1,),))))</f>
        <v/>
      </c>
      <c r="M121" s="13">
        <f>((((VLOOKUP(B121,Database!$F:$AY,MATCH($M$1,Database!$F$1:$AY$1,),))))-(((VLOOKUP(EDATE(B121,-12),Database!$F:$AY,MATCH($M$1,Database!$F$1:$AY$1,),)))))/(((VLOOKUP(EDATE(B121,-12),Database!$F:$AY,MATCH($M$1,Database!$F$1:$AY$1,),))))</f>
        <v/>
      </c>
      <c r="N121" s="13">
        <f>((((VLOOKUP(B121,Database!$F:$AY,MATCH($N$1,Database!$F$1:$AY$1,),))))-(((VLOOKUP(EDATE(B121,-12),Database!$F:$AY,MATCH($N$1,Database!$F$1:$AY$1,),)))))/(((VLOOKUP(EDATE(B121,-12),Database!$F:$AY,MATCH($N$1,Database!$F$1:$AY$1,),))))</f>
        <v/>
      </c>
      <c r="O121" s="13">
        <f>((((VLOOKUP(B121,Database!$F:$AY,MATCH($O$1,Database!$F$1:$AY$1,),))))-(((VLOOKUP(EDATE(B121,-12),Database!$F:$AY,MATCH($O$1,Database!$F$1:$AY$1,),)))))/(((VLOOKUP(EDATE(B121,-12),Database!$F:$AY,MATCH($O$1,Database!$F$1:$AY$1,),))))</f>
        <v/>
      </c>
      <c r="P121" s="13">
        <f>((((VLOOKUP(B121,Database!$F:$AY,MATCH($P$1,Database!$F$1:$AY$1,),))))-(((VLOOKUP(EDATE(B121,-12),Database!$F:$AY,MATCH($P$1,Database!$F$1:$AY$1,),)))))/(((VLOOKUP(EDATE(B121,-12),Database!$F:$AY,MATCH($P$1,Database!$F$1:$AY$1,),))))</f>
        <v/>
      </c>
      <c r="Q121" s="13">
        <f>((((VLOOKUP(B121,Database!$F:$AY,MATCH($Q$1,Database!$F$1:$AY$1,),))))-(((VLOOKUP(EDATE(B121,-12),Database!$F:$AY,MATCH($Q$1,Database!$F$1:$AY$1,),)))))/(((VLOOKUP(EDATE(B121,-12),Database!$F:$AY,MATCH($Q$1,Database!$F$1:$AY$1,),))))</f>
        <v/>
      </c>
      <c r="R121" s="13">
        <f>((((VLOOKUP(B121,Database!$F:$AY,MATCH($R$1,Database!$F$1:$AY$1,),))))-(((VLOOKUP(EDATE(B121,-12),Database!$F:$AY,MATCH($R$1,Database!$F$1:$AY$1,),)))))/(((VLOOKUP(EDATE(B121,-12),Database!$F:$AY,MATCH($R$1,Database!$F$1:$AY$1,),))))</f>
        <v/>
      </c>
      <c r="S121" s="13">
        <f>((((VLOOKUP(B121,Database!$F:$AY,MATCH($S$1,Database!$F$1:$AY$1,),))))-(((VLOOKUP(EDATE(B121,-12),Database!$F:$AY,MATCH($S$1,Database!$F$1:$AY$1,),)))))/(((VLOOKUP(EDATE(B121,-12),Database!$F:$AY,MATCH($S$1,Database!$F$1:$AY$1,),))))</f>
        <v/>
      </c>
      <c r="T121" s="13">
        <f>((((VLOOKUP(B121,Database!$F:$AY,MATCH($T$1,Database!$F$1:$AY$1,),))))-(((VLOOKUP(EDATE(B121,-12),Database!$F:$AY,MATCH($T$1,Database!$F$1:$AY$1,),)))))/(((VLOOKUP(EDATE(B121,-12),Database!$F:$AY,MATCH($T$1,Database!$F$1:$AY$1,),))))</f>
        <v/>
      </c>
      <c r="U121" s="13">
        <f>((((VLOOKUP(B121,Database!$F:$AY,MATCH($U$1,Database!$F$1:$AY$1,),))))-(((VLOOKUP(EDATE(B121,-12),Database!$F:$AY,MATCH($U$1,Database!$F$1:$AY$1,),)))))/(((VLOOKUP(EDATE(B121,-12),Database!$F:$AY,MATCH($U$1,Database!$F$1:$AY$1,),))))</f>
        <v/>
      </c>
      <c r="V121" s="13">
        <f>((((VLOOKUP(B121,Database!$F:$AY,MATCH($V$1,Database!$F$1:$AY$1,),))))-(((VLOOKUP(EDATE(B121,-12),Database!$F:$AY,MATCH($V$1,Database!$F$1:$AY$1,),)))))/(((VLOOKUP(EDATE(B121,-12),Database!$F:$AY,MATCH($V$1,Database!$F$1:$AY$1,),))))</f>
        <v/>
      </c>
    </row>
    <row r="122" customFormat="1" s="100">
      <c r="A122" s="45" t="n"/>
      <c r="B122" s="46" t="n">
        <v>35855</v>
      </c>
      <c r="C122" s="13">
        <f>((((VLOOKUP(B122,Database!$F:$AY,MATCH($C$1,Database!$F$1:$AY$1,),))))-(((VLOOKUP(EDATE(B122,-12),Database!$F:$AY,MATCH($C$1,Database!$F$1:$AY$1,),)))))/(((VLOOKUP(EDATE(B122,-12),Database!$F:$AY,MATCH($C$1,Database!$F$1:$AY$1,),))))</f>
        <v/>
      </c>
      <c r="D122" s="13">
        <f>((((VLOOKUP(B122,Database!$F:$AY,MATCH($D$1,Database!$F$1:$AY$1,),))))-(((VLOOKUP(EDATE(B122,-12),Database!$F:$AY,MATCH($D$1,Database!$F$1:$AY$1,),)))))/(((VLOOKUP(EDATE(B122,-12),Database!$F:$AY,MATCH($D$1,Database!$F$1:$AY$1,),))))</f>
        <v/>
      </c>
      <c r="E122" s="13">
        <f>((((VLOOKUP(B122,Database!$F:$AY,MATCH($E$1,Database!$F$1:$AY$1,),))))-(((VLOOKUP(EDATE(B122,-12),Database!$F:$AY,MATCH($E$1,Database!$F$1:$AY$1,),)))))/(((VLOOKUP(EDATE(B122,-12),Database!$F:$AY,MATCH($E$1,Database!$F$1:$AY$1,),))))</f>
        <v/>
      </c>
      <c r="F122" s="13">
        <f>((((VLOOKUP(B122,Database!$F:$AY,MATCH($F$1,Database!$F$1:$AY$1,),))))-(((VLOOKUP(EDATE(B122,-12),Database!$F:$AY,MATCH($F$1,Database!$F$1:$AY$1,),)))))/(((VLOOKUP(EDATE(B122,-12),Database!$F:$AY,MATCH($F$1,Database!$F$1:$AY$1,),))))</f>
        <v/>
      </c>
      <c r="G122" s="13">
        <f>((((VLOOKUP(B122,Database!$F:$AY,MATCH($G$1,Database!$F$1:$AY$1,),))))-(((VLOOKUP(EDATE(B122,-12),Database!$F:$AY,MATCH($G$1,Database!$F$1:$AY$1,),)))))/(((VLOOKUP(EDATE(B122,-12),Database!$F:$AY,MATCH($G$1,Database!$F$1:$AY$1,),))))</f>
        <v/>
      </c>
      <c r="H122" s="13">
        <f>((((VLOOKUP(B122,Database!$F:$AY,MATCH($H$1,Database!$F$1:$AY$1,),))))-(((VLOOKUP(EDATE(B122,-12),Database!$F:$AY,MATCH($H$1,Database!$F$1:$AY$1,),)))))/(((VLOOKUP(EDATE(B122,-12),Database!$F:$AY,MATCH($H$1,Database!$F$1:$AY$1,),))))</f>
        <v/>
      </c>
      <c r="I122" s="13">
        <f>((((VLOOKUP(B122,Database!$F:$AY,MATCH($I$1,Database!$F$1:$AY$1,),))))-(((VLOOKUP(EDATE(B122,-12),Database!$F:$AY,MATCH($I$1,Database!$F$1:$AY$1,),)))))/(((VLOOKUP(EDATE(B122,-12),Database!$F:$AY,MATCH($I$1,Database!$F$1:$AY$1,),))))</f>
        <v/>
      </c>
      <c r="J122" s="13">
        <f>((((VLOOKUP(B122,Database!$F:$AY,MATCH($J$1,Database!$F$1:$AY$1,),))))-(((VLOOKUP(EDATE(B122,-12),Database!$F:$AY,MATCH($J$1,Database!$F$1:$AY$1,),)))))/(((VLOOKUP(EDATE(B122,-12),Database!$F:$AY,MATCH($J$1,Database!$F$1:$AY$1,),))))</f>
        <v/>
      </c>
      <c r="K122" s="13">
        <f>((((VLOOKUP(B122,Database!$F:$AY,MATCH($K$1,Database!$F$1:$AY$1,),))))-(((VLOOKUP(EDATE(B122,-12),Database!$F:$AY,MATCH($K$1,Database!$F$1:$AY$1,),)))))/(((VLOOKUP(EDATE(B122,-12),Database!$F:$AY,MATCH($K$1,Database!$F$1:$AY$1,),))))</f>
        <v/>
      </c>
      <c r="L122" s="13">
        <f>((((VLOOKUP(B122,Database!$F:$AY,MATCH($L$1,Database!$F$1:$AY$1,),))))-(((VLOOKUP(EDATE(B122,-12),Database!$F:$AY,MATCH($L$1,Database!$F$1:$AY$1,),)))))/(((VLOOKUP(EDATE(B122,-12),Database!$F:$AY,MATCH($L$1,Database!$F$1:$AY$1,),))))</f>
        <v/>
      </c>
      <c r="M122" s="13">
        <f>((((VLOOKUP(B122,Database!$F:$AY,MATCH($M$1,Database!$F$1:$AY$1,),))))-(((VLOOKUP(EDATE(B122,-12),Database!$F:$AY,MATCH($M$1,Database!$F$1:$AY$1,),)))))/(((VLOOKUP(EDATE(B122,-12),Database!$F:$AY,MATCH($M$1,Database!$F$1:$AY$1,),))))</f>
        <v/>
      </c>
      <c r="N122" s="13">
        <f>((((VLOOKUP(B122,Database!$F:$AY,MATCH($N$1,Database!$F$1:$AY$1,),))))-(((VLOOKUP(EDATE(B122,-12),Database!$F:$AY,MATCH($N$1,Database!$F$1:$AY$1,),)))))/(((VLOOKUP(EDATE(B122,-12),Database!$F:$AY,MATCH($N$1,Database!$F$1:$AY$1,),))))</f>
        <v/>
      </c>
      <c r="O122" s="13">
        <f>((((VLOOKUP(B122,Database!$F:$AY,MATCH($O$1,Database!$F$1:$AY$1,),))))-(((VLOOKUP(EDATE(B122,-12),Database!$F:$AY,MATCH($O$1,Database!$F$1:$AY$1,),)))))/(((VLOOKUP(EDATE(B122,-12),Database!$F:$AY,MATCH($O$1,Database!$F$1:$AY$1,),))))</f>
        <v/>
      </c>
      <c r="P122" s="13">
        <f>((((VLOOKUP(B122,Database!$F:$AY,MATCH($P$1,Database!$F$1:$AY$1,),))))-(((VLOOKUP(EDATE(B122,-12),Database!$F:$AY,MATCH($P$1,Database!$F$1:$AY$1,),)))))/(((VLOOKUP(EDATE(B122,-12),Database!$F:$AY,MATCH($P$1,Database!$F$1:$AY$1,),))))</f>
        <v/>
      </c>
      <c r="Q122" s="13">
        <f>((((VLOOKUP(B122,Database!$F:$AY,MATCH($Q$1,Database!$F$1:$AY$1,),))))-(((VLOOKUP(EDATE(B122,-12),Database!$F:$AY,MATCH($Q$1,Database!$F$1:$AY$1,),)))))/(((VLOOKUP(EDATE(B122,-12),Database!$F:$AY,MATCH($Q$1,Database!$F$1:$AY$1,),))))</f>
        <v/>
      </c>
      <c r="R122" s="13">
        <f>((((VLOOKUP(B122,Database!$F:$AY,MATCH($R$1,Database!$F$1:$AY$1,),))))-(((VLOOKUP(EDATE(B122,-12),Database!$F:$AY,MATCH($R$1,Database!$F$1:$AY$1,),)))))/(((VLOOKUP(EDATE(B122,-12),Database!$F:$AY,MATCH($R$1,Database!$F$1:$AY$1,),))))</f>
        <v/>
      </c>
      <c r="S122" s="13">
        <f>((((VLOOKUP(B122,Database!$F:$AY,MATCH($S$1,Database!$F$1:$AY$1,),))))-(((VLOOKUP(EDATE(B122,-12),Database!$F:$AY,MATCH($S$1,Database!$F$1:$AY$1,),)))))/(((VLOOKUP(EDATE(B122,-12),Database!$F:$AY,MATCH($S$1,Database!$F$1:$AY$1,),))))</f>
        <v/>
      </c>
      <c r="T122" s="13">
        <f>((((VLOOKUP(B122,Database!$F:$AY,MATCH($T$1,Database!$F$1:$AY$1,),))))-(((VLOOKUP(EDATE(B122,-12),Database!$F:$AY,MATCH($T$1,Database!$F$1:$AY$1,),)))))/(((VLOOKUP(EDATE(B122,-12),Database!$F:$AY,MATCH($T$1,Database!$F$1:$AY$1,),))))</f>
        <v/>
      </c>
      <c r="U122" s="13">
        <f>((((VLOOKUP(B122,Database!$F:$AY,MATCH($U$1,Database!$F$1:$AY$1,),))))-(((VLOOKUP(EDATE(B122,-12),Database!$F:$AY,MATCH($U$1,Database!$F$1:$AY$1,),)))))/(((VLOOKUP(EDATE(B122,-12),Database!$F:$AY,MATCH($U$1,Database!$F$1:$AY$1,),))))</f>
        <v/>
      </c>
      <c r="V122" s="13">
        <f>((((VLOOKUP(B122,Database!$F:$AY,MATCH($V$1,Database!$F$1:$AY$1,),))))-(((VLOOKUP(EDATE(B122,-12),Database!$F:$AY,MATCH($V$1,Database!$F$1:$AY$1,),)))))/(((VLOOKUP(EDATE(B122,-12),Database!$F:$AY,MATCH($V$1,Database!$F$1:$AY$1,),))))</f>
        <v/>
      </c>
    </row>
    <row r="123" customFormat="1" s="100">
      <c r="A123" s="45" t="n"/>
      <c r="B123" s="46" t="n">
        <v>35886</v>
      </c>
      <c r="C123" s="13">
        <f>((((VLOOKUP(B123,Database!$F:$AY,MATCH($C$1,Database!$F$1:$AY$1,),))))-(((VLOOKUP(EDATE(B123,-12),Database!$F:$AY,MATCH($C$1,Database!$F$1:$AY$1,),)))))/(((VLOOKUP(EDATE(B123,-12),Database!$F:$AY,MATCH($C$1,Database!$F$1:$AY$1,),))))</f>
        <v/>
      </c>
      <c r="D123" s="13">
        <f>((((VLOOKUP(B123,Database!$F:$AY,MATCH($D$1,Database!$F$1:$AY$1,),))))-(((VLOOKUP(EDATE(B123,-12),Database!$F:$AY,MATCH($D$1,Database!$F$1:$AY$1,),)))))/(((VLOOKUP(EDATE(B123,-12),Database!$F:$AY,MATCH($D$1,Database!$F$1:$AY$1,),))))</f>
        <v/>
      </c>
      <c r="E123" s="13">
        <f>((((VLOOKUP(B123,Database!$F:$AY,MATCH($E$1,Database!$F$1:$AY$1,),))))-(((VLOOKUP(EDATE(B123,-12),Database!$F:$AY,MATCH($E$1,Database!$F$1:$AY$1,),)))))/(((VLOOKUP(EDATE(B123,-12),Database!$F:$AY,MATCH($E$1,Database!$F$1:$AY$1,),))))</f>
        <v/>
      </c>
      <c r="F123" s="13">
        <f>((((VLOOKUP(B123,Database!$F:$AY,MATCH($F$1,Database!$F$1:$AY$1,),))))-(((VLOOKUP(EDATE(B123,-12),Database!$F:$AY,MATCH($F$1,Database!$F$1:$AY$1,),)))))/(((VLOOKUP(EDATE(B123,-12),Database!$F:$AY,MATCH($F$1,Database!$F$1:$AY$1,),))))</f>
        <v/>
      </c>
      <c r="G123" s="13">
        <f>((((VLOOKUP(B123,Database!$F:$AY,MATCH($G$1,Database!$F$1:$AY$1,),))))-(((VLOOKUP(EDATE(B123,-12),Database!$F:$AY,MATCH($G$1,Database!$F$1:$AY$1,),)))))/(((VLOOKUP(EDATE(B123,-12),Database!$F:$AY,MATCH($G$1,Database!$F$1:$AY$1,),))))</f>
        <v/>
      </c>
      <c r="H123" s="13">
        <f>((((VLOOKUP(B123,Database!$F:$AY,MATCH($H$1,Database!$F$1:$AY$1,),))))-(((VLOOKUP(EDATE(B123,-12),Database!$F:$AY,MATCH($H$1,Database!$F$1:$AY$1,),)))))/(((VLOOKUP(EDATE(B123,-12),Database!$F:$AY,MATCH($H$1,Database!$F$1:$AY$1,),))))</f>
        <v/>
      </c>
      <c r="I123" s="13">
        <f>((((VLOOKUP(B123,Database!$F:$AY,MATCH($I$1,Database!$F$1:$AY$1,),))))-(((VLOOKUP(EDATE(B123,-12),Database!$F:$AY,MATCH($I$1,Database!$F$1:$AY$1,),)))))/(((VLOOKUP(EDATE(B123,-12),Database!$F:$AY,MATCH($I$1,Database!$F$1:$AY$1,),))))</f>
        <v/>
      </c>
      <c r="J123" s="13">
        <f>((((VLOOKUP(B123,Database!$F:$AY,MATCH($J$1,Database!$F$1:$AY$1,),))))-(((VLOOKUP(EDATE(B123,-12),Database!$F:$AY,MATCH($J$1,Database!$F$1:$AY$1,),)))))/(((VLOOKUP(EDATE(B123,-12),Database!$F:$AY,MATCH($J$1,Database!$F$1:$AY$1,),))))</f>
        <v/>
      </c>
      <c r="K123" s="13">
        <f>((((VLOOKUP(B123,Database!$F:$AY,MATCH($K$1,Database!$F$1:$AY$1,),))))-(((VLOOKUP(EDATE(B123,-12),Database!$F:$AY,MATCH($K$1,Database!$F$1:$AY$1,),)))))/(((VLOOKUP(EDATE(B123,-12),Database!$F:$AY,MATCH($K$1,Database!$F$1:$AY$1,),))))</f>
        <v/>
      </c>
      <c r="L123" s="13">
        <f>((((VLOOKUP(B123,Database!$F:$AY,MATCH($L$1,Database!$F$1:$AY$1,),))))-(((VLOOKUP(EDATE(B123,-12),Database!$F:$AY,MATCH($L$1,Database!$F$1:$AY$1,),)))))/(((VLOOKUP(EDATE(B123,-12),Database!$F:$AY,MATCH($L$1,Database!$F$1:$AY$1,),))))</f>
        <v/>
      </c>
      <c r="M123" s="13">
        <f>((((VLOOKUP(B123,Database!$F:$AY,MATCH($M$1,Database!$F$1:$AY$1,),))))-(((VLOOKUP(EDATE(B123,-12),Database!$F:$AY,MATCH($M$1,Database!$F$1:$AY$1,),)))))/(((VLOOKUP(EDATE(B123,-12),Database!$F:$AY,MATCH($M$1,Database!$F$1:$AY$1,),))))</f>
        <v/>
      </c>
      <c r="N123" s="13">
        <f>((((VLOOKUP(B123,Database!$F:$AY,MATCH($N$1,Database!$F$1:$AY$1,),))))-(((VLOOKUP(EDATE(B123,-12),Database!$F:$AY,MATCH($N$1,Database!$F$1:$AY$1,),)))))/(((VLOOKUP(EDATE(B123,-12),Database!$F:$AY,MATCH($N$1,Database!$F$1:$AY$1,),))))</f>
        <v/>
      </c>
      <c r="O123" s="13">
        <f>((((VLOOKUP(B123,Database!$F:$AY,MATCH($O$1,Database!$F$1:$AY$1,),))))-(((VLOOKUP(EDATE(B123,-12),Database!$F:$AY,MATCH($O$1,Database!$F$1:$AY$1,),)))))/(((VLOOKUP(EDATE(B123,-12),Database!$F:$AY,MATCH($O$1,Database!$F$1:$AY$1,),))))</f>
        <v/>
      </c>
      <c r="P123" s="13">
        <f>((((VLOOKUP(B123,Database!$F:$AY,MATCH($P$1,Database!$F$1:$AY$1,),))))-(((VLOOKUP(EDATE(B123,-12),Database!$F:$AY,MATCH($P$1,Database!$F$1:$AY$1,),)))))/(((VLOOKUP(EDATE(B123,-12),Database!$F:$AY,MATCH($P$1,Database!$F$1:$AY$1,),))))</f>
        <v/>
      </c>
      <c r="Q123" s="13">
        <f>((((VLOOKUP(B123,Database!$F:$AY,MATCH($Q$1,Database!$F$1:$AY$1,),))))-(((VLOOKUP(EDATE(B123,-12),Database!$F:$AY,MATCH($Q$1,Database!$F$1:$AY$1,),)))))/(((VLOOKUP(EDATE(B123,-12),Database!$F:$AY,MATCH($Q$1,Database!$F$1:$AY$1,),))))</f>
        <v/>
      </c>
      <c r="R123" s="13">
        <f>((((VLOOKUP(B123,Database!$F:$AY,MATCH($R$1,Database!$F$1:$AY$1,),))))-(((VLOOKUP(EDATE(B123,-12),Database!$F:$AY,MATCH($R$1,Database!$F$1:$AY$1,),)))))/(((VLOOKUP(EDATE(B123,-12),Database!$F:$AY,MATCH($R$1,Database!$F$1:$AY$1,),))))</f>
        <v/>
      </c>
      <c r="S123" s="13">
        <f>((((VLOOKUP(B123,Database!$F:$AY,MATCH($S$1,Database!$F$1:$AY$1,),))))-(((VLOOKUP(EDATE(B123,-12),Database!$F:$AY,MATCH($S$1,Database!$F$1:$AY$1,),)))))/(((VLOOKUP(EDATE(B123,-12),Database!$F:$AY,MATCH($S$1,Database!$F$1:$AY$1,),))))</f>
        <v/>
      </c>
      <c r="T123" s="13">
        <f>((((VLOOKUP(B123,Database!$F:$AY,MATCH($T$1,Database!$F$1:$AY$1,),))))-(((VLOOKUP(EDATE(B123,-12),Database!$F:$AY,MATCH($T$1,Database!$F$1:$AY$1,),)))))/(((VLOOKUP(EDATE(B123,-12),Database!$F:$AY,MATCH($T$1,Database!$F$1:$AY$1,),))))</f>
        <v/>
      </c>
      <c r="U123" s="13">
        <f>((((VLOOKUP(B123,Database!$F:$AY,MATCH($U$1,Database!$F$1:$AY$1,),))))-(((VLOOKUP(EDATE(B123,-12),Database!$F:$AY,MATCH($U$1,Database!$F$1:$AY$1,),)))))/(((VLOOKUP(EDATE(B123,-12),Database!$F:$AY,MATCH($U$1,Database!$F$1:$AY$1,),))))</f>
        <v/>
      </c>
      <c r="V123" s="13">
        <f>((((VLOOKUP(B123,Database!$F:$AY,MATCH($V$1,Database!$F$1:$AY$1,),))))-(((VLOOKUP(EDATE(B123,-12),Database!$F:$AY,MATCH($V$1,Database!$F$1:$AY$1,),)))))/(((VLOOKUP(EDATE(B123,-12),Database!$F:$AY,MATCH($V$1,Database!$F$1:$AY$1,),))))</f>
        <v/>
      </c>
    </row>
    <row r="124" customFormat="1" s="100">
      <c r="A124" s="45" t="n"/>
      <c r="B124" s="46" t="n">
        <v>35916</v>
      </c>
      <c r="C124" s="13">
        <f>((((VLOOKUP(B124,Database!$F:$AY,MATCH($C$1,Database!$F$1:$AY$1,),))))-(((VLOOKUP(EDATE(B124,-12),Database!$F:$AY,MATCH($C$1,Database!$F$1:$AY$1,),)))))/(((VLOOKUP(EDATE(B124,-12),Database!$F:$AY,MATCH($C$1,Database!$F$1:$AY$1,),))))</f>
        <v/>
      </c>
      <c r="D124" s="13">
        <f>((((VLOOKUP(B124,Database!$F:$AY,MATCH($D$1,Database!$F$1:$AY$1,),))))-(((VLOOKUP(EDATE(B124,-12),Database!$F:$AY,MATCH($D$1,Database!$F$1:$AY$1,),)))))/(((VLOOKUP(EDATE(B124,-12),Database!$F:$AY,MATCH($D$1,Database!$F$1:$AY$1,),))))</f>
        <v/>
      </c>
      <c r="E124" s="13">
        <f>((((VLOOKUP(B124,Database!$F:$AY,MATCH($E$1,Database!$F$1:$AY$1,),))))-(((VLOOKUP(EDATE(B124,-12),Database!$F:$AY,MATCH($E$1,Database!$F$1:$AY$1,),)))))/(((VLOOKUP(EDATE(B124,-12),Database!$F:$AY,MATCH($E$1,Database!$F$1:$AY$1,),))))</f>
        <v/>
      </c>
      <c r="F124" s="13">
        <f>((((VLOOKUP(B124,Database!$F:$AY,MATCH($F$1,Database!$F$1:$AY$1,),))))-(((VLOOKUP(EDATE(B124,-12),Database!$F:$AY,MATCH($F$1,Database!$F$1:$AY$1,),)))))/(((VLOOKUP(EDATE(B124,-12),Database!$F:$AY,MATCH($F$1,Database!$F$1:$AY$1,),))))</f>
        <v/>
      </c>
      <c r="G124" s="13">
        <f>((((VLOOKUP(B124,Database!$F:$AY,MATCH($G$1,Database!$F$1:$AY$1,),))))-(((VLOOKUP(EDATE(B124,-12),Database!$F:$AY,MATCH($G$1,Database!$F$1:$AY$1,),)))))/(((VLOOKUP(EDATE(B124,-12),Database!$F:$AY,MATCH($G$1,Database!$F$1:$AY$1,),))))</f>
        <v/>
      </c>
      <c r="H124" s="13">
        <f>((((VLOOKUP(B124,Database!$F:$AY,MATCH($H$1,Database!$F$1:$AY$1,),))))-(((VLOOKUP(EDATE(B124,-12),Database!$F:$AY,MATCH($H$1,Database!$F$1:$AY$1,),)))))/(((VLOOKUP(EDATE(B124,-12),Database!$F:$AY,MATCH($H$1,Database!$F$1:$AY$1,),))))</f>
        <v/>
      </c>
      <c r="I124" s="13">
        <f>((((VLOOKUP(B124,Database!$F:$AY,MATCH($I$1,Database!$F$1:$AY$1,),))))-(((VLOOKUP(EDATE(B124,-12),Database!$F:$AY,MATCH($I$1,Database!$F$1:$AY$1,),)))))/(((VLOOKUP(EDATE(B124,-12),Database!$F:$AY,MATCH($I$1,Database!$F$1:$AY$1,),))))</f>
        <v/>
      </c>
      <c r="J124" s="13">
        <f>((((VLOOKUP(B124,Database!$F:$AY,MATCH($J$1,Database!$F$1:$AY$1,),))))-(((VLOOKUP(EDATE(B124,-12),Database!$F:$AY,MATCH($J$1,Database!$F$1:$AY$1,),)))))/(((VLOOKUP(EDATE(B124,-12),Database!$F:$AY,MATCH($J$1,Database!$F$1:$AY$1,),))))</f>
        <v/>
      </c>
      <c r="K124" s="13">
        <f>((((VLOOKUP(B124,Database!$F:$AY,MATCH($K$1,Database!$F$1:$AY$1,),))))-(((VLOOKUP(EDATE(B124,-12),Database!$F:$AY,MATCH($K$1,Database!$F$1:$AY$1,),)))))/(((VLOOKUP(EDATE(B124,-12),Database!$F:$AY,MATCH($K$1,Database!$F$1:$AY$1,),))))</f>
        <v/>
      </c>
      <c r="L124" s="13">
        <f>((((VLOOKUP(B124,Database!$F:$AY,MATCH($L$1,Database!$F$1:$AY$1,),))))-(((VLOOKUP(EDATE(B124,-12),Database!$F:$AY,MATCH($L$1,Database!$F$1:$AY$1,),)))))/(((VLOOKUP(EDATE(B124,-12),Database!$F:$AY,MATCH($L$1,Database!$F$1:$AY$1,),))))</f>
        <v/>
      </c>
      <c r="M124" s="13">
        <f>((((VLOOKUP(B124,Database!$F:$AY,MATCH($M$1,Database!$F$1:$AY$1,),))))-(((VLOOKUP(EDATE(B124,-12),Database!$F:$AY,MATCH($M$1,Database!$F$1:$AY$1,),)))))/(((VLOOKUP(EDATE(B124,-12),Database!$F:$AY,MATCH($M$1,Database!$F$1:$AY$1,),))))</f>
        <v/>
      </c>
      <c r="N124" s="13">
        <f>((((VLOOKUP(B124,Database!$F:$AY,MATCH($N$1,Database!$F$1:$AY$1,),))))-(((VLOOKUP(EDATE(B124,-12),Database!$F:$AY,MATCH($N$1,Database!$F$1:$AY$1,),)))))/(((VLOOKUP(EDATE(B124,-12),Database!$F:$AY,MATCH($N$1,Database!$F$1:$AY$1,),))))</f>
        <v/>
      </c>
      <c r="O124" s="13">
        <f>((((VLOOKUP(B124,Database!$F:$AY,MATCH($O$1,Database!$F$1:$AY$1,),))))-(((VLOOKUP(EDATE(B124,-12),Database!$F:$AY,MATCH($O$1,Database!$F$1:$AY$1,),)))))/(((VLOOKUP(EDATE(B124,-12),Database!$F:$AY,MATCH($O$1,Database!$F$1:$AY$1,),))))</f>
        <v/>
      </c>
      <c r="P124" s="13">
        <f>((((VLOOKUP(B124,Database!$F:$AY,MATCH($P$1,Database!$F$1:$AY$1,),))))-(((VLOOKUP(EDATE(B124,-12),Database!$F:$AY,MATCH($P$1,Database!$F$1:$AY$1,),)))))/(((VLOOKUP(EDATE(B124,-12),Database!$F:$AY,MATCH($P$1,Database!$F$1:$AY$1,),))))</f>
        <v/>
      </c>
      <c r="Q124" s="13">
        <f>((((VLOOKUP(B124,Database!$F:$AY,MATCH($Q$1,Database!$F$1:$AY$1,),))))-(((VLOOKUP(EDATE(B124,-12),Database!$F:$AY,MATCH($Q$1,Database!$F$1:$AY$1,),)))))/(((VLOOKUP(EDATE(B124,-12),Database!$F:$AY,MATCH($Q$1,Database!$F$1:$AY$1,),))))</f>
        <v/>
      </c>
      <c r="R124" s="13">
        <f>((((VLOOKUP(B124,Database!$F:$AY,MATCH($R$1,Database!$F$1:$AY$1,),))))-(((VLOOKUP(EDATE(B124,-12),Database!$F:$AY,MATCH($R$1,Database!$F$1:$AY$1,),)))))/(((VLOOKUP(EDATE(B124,-12),Database!$F:$AY,MATCH($R$1,Database!$F$1:$AY$1,),))))</f>
        <v/>
      </c>
      <c r="S124" s="13">
        <f>((((VLOOKUP(B124,Database!$F:$AY,MATCH($S$1,Database!$F$1:$AY$1,),))))-(((VLOOKUP(EDATE(B124,-12),Database!$F:$AY,MATCH($S$1,Database!$F$1:$AY$1,),)))))/(((VLOOKUP(EDATE(B124,-12),Database!$F:$AY,MATCH($S$1,Database!$F$1:$AY$1,),))))</f>
        <v/>
      </c>
      <c r="T124" s="13">
        <f>((((VLOOKUP(B124,Database!$F:$AY,MATCH($T$1,Database!$F$1:$AY$1,),))))-(((VLOOKUP(EDATE(B124,-12),Database!$F:$AY,MATCH($T$1,Database!$F$1:$AY$1,),)))))/(((VLOOKUP(EDATE(B124,-12),Database!$F:$AY,MATCH($T$1,Database!$F$1:$AY$1,),))))</f>
        <v/>
      </c>
      <c r="U124" s="13">
        <f>((((VLOOKUP(B124,Database!$F:$AY,MATCH($U$1,Database!$F$1:$AY$1,),))))-(((VLOOKUP(EDATE(B124,-12),Database!$F:$AY,MATCH($U$1,Database!$F$1:$AY$1,),)))))/(((VLOOKUP(EDATE(B124,-12),Database!$F:$AY,MATCH($U$1,Database!$F$1:$AY$1,),))))</f>
        <v/>
      </c>
      <c r="V124" s="13">
        <f>((((VLOOKUP(B124,Database!$F:$AY,MATCH($V$1,Database!$F$1:$AY$1,),))))-(((VLOOKUP(EDATE(B124,-12),Database!$F:$AY,MATCH($V$1,Database!$F$1:$AY$1,),)))))/(((VLOOKUP(EDATE(B124,-12),Database!$F:$AY,MATCH($V$1,Database!$F$1:$AY$1,),))))</f>
        <v/>
      </c>
    </row>
    <row r="125" customFormat="1" s="100">
      <c r="A125" s="45" t="n"/>
      <c r="B125" s="46" t="n">
        <v>35947</v>
      </c>
      <c r="C125" s="13">
        <f>((((VLOOKUP(B125,Database!$F:$AY,MATCH($C$1,Database!$F$1:$AY$1,),))))-(((VLOOKUP(EDATE(B125,-12),Database!$F:$AY,MATCH($C$1,Database!$F$1:$AY$1,),)))))/(((VLOOKUP(EDATE(B125,-12),Database!$F:$AY,MATCH($C$1,Database!$F$1:$AY$1,),))))</f>
        <v/>
      </c>
      <c r="D125" s="13">
        <f>((((VLOOKUP(B125,Database!$F:$AY,MATCH($D$1,Database!$F$1:$AY$1,),))))-(((VLOOKUP(EDATE(B125,-12),Database!$F:$AY,MATCH($D$1,Database!$F$1:$AY$1,),)))))/(((VLOOKUP(EDATE(B125,-12),Database!$F:$AY,MATCH($D$1,Database!$F$1:$AY$1,),))))</f>
        <v/>
      </c>
      <c r="E125" s="13">
        <f>((((VLOOKUP(B125,Database!$F:$AY,MATCH($E$1,Database!$F$1:$AY$1,),))))-(((VLOOKUP(EDATE(B125,-12),Database!$F:$AY,MATCH($E$1,Database!$F$1:$AY$1,),)))))/(((VLOOKUP(EDATE(B125,-12),Database!$F:$AY,MATCH($E$1,Database!$F$1:$AY$1,),))))</f>
        <v/>
      </c>
      <c r="F125" s="13">
        <f>((((VLOOKUP(B125,Database!$F:$AY,MATCH($F$1,Database!$F$1:$AY$1,),))))-(((VLOOKUP(EDATE(B125,-12),Database!$F:$AY,MATCH($F$1,Database!$F$1:$AY$1,),)))))/(((VLOOKUP(EDATE(B125,-12),Database!$F:$AY,MATCH($F$1,Database!$F$1:$AY$1,),))))</f>
        <v/>
      </c>
      <c r="G125" s="13">
        <f>((((VLOOKUP(B125,Database!$F:$AY,MATCH($G$1,Database!$F$1:$AY$1,),))))-(((VLOOKUP(EDATE(B125,-12),Database!$F:$AY,MATCH($G$1,Database!$F$1:$AY$1,),)))))/(((VLOOKUP(EDATE(B125,-12),Database!$F:$AY,MATCH($G$1,Database!$F$1:$AY$1,),))))</f>
        <v/>
      </c>
      <c r="H125" s="13">
        <f>((((VLOOKUP(B125,Database!$F:$AY,MATCH($H$1,Database!$F$1:$AY$1,),))))-(((VLOOKUP(EDATE(B125,-12),Database!$F:$AY,MATCH($H$1,Database!$F$1:$AY$1,),)))))/(((VLOOKUP(EDATE(B125,-12),Database!$F:$AY,MATCH($H$1,Database!$F$1:$AY$1,),))))</f>
        <v/>
      </c>
      <c r="I125" s="13">
        <f>((((VLOOKUP(B125,Database!$F:$AY,MATCH($I$1,Database!$F$1:$AY$1,),))))-(((VLOOKUP(EDATE(B125,-12),Database!$F:$AY,MATCH($I$1,Database!$F$1:$AY$1,),)))))/(((VLOOKUP(EDATE(B125,-12),Database!$F:$AY,MATCH($I$1,Database!$F$1:$AY$1,),))))</f>
        <v/>
      </c>
      <c r="J125" s="13">
        <f>((((VLOOKUP(B125,Database!$F:$AY,MATCH($J$1,Database!$F$1:$AY$1,),))))-(((VLOOKUP(EDATE(B125,-12),Database!$F:$AY,MATCH($J$1,Database!$F$1:$AY$1,),)))))/(((VLOOKUP(EDATE(B125,-12),Database!$F:$AY,MATCH($J$1,Database!$F$1:$AY$1,),))))</f>
        <v/>
      </c>
      <c r="K125" s="13">
        <f>((((VLOOKUP(B125,Database!$F:$AY,MATCH($K$1,Database!$F$1:$AY$1,),))))-(((VLOOKUP(EDATE(B125,-12),Database!$F:$AY,MATCH($K$1,Database!$F$1:$AY$1,),)))))/(((VLOOKUP(EDATE(B125,-12),Database!$F:$AY,MATCH($K$1,Database!$F$1:$AY$1,),))))</f>
        <v/>
      </c>
      <c r="L125" s="13">
        <f>((((VLOOKUP(B125,Database!$F:$AY,MATCH($L$1,Database!$F$1:$AY$1,),))))-(((VLOOKUP(EDATE(B125,-12),Database!$F:$AY,MATCH($L$1,Database!$F$1:$AY$1,),)))))/(((VLOOKUP(EDATE(B125,-12),Database!$F:$AY,MATCH($L$1,Database!$F$1:$AY$1,),))))</f>
        <v/>
      </c>
      <c r="M125" s="13">
        <f>((((VLOOKUP(B125,Database!$F:$AY,MATCH($M$1,Database!$F$1:$AY$1,),))))-(((VLOOKUP(EDATE(B125,-12),Database!$F:$AY,MATCH($M$1,Database!$F$1:$AY$1,),)))))/(((VLOOKUP(EDATE(B125,-12),Database!$F:$AY,MATCH($M$1,Database!$F$1:$AY$1,),))))</f>
        <v/>
      </c>
      <c r="N125" s="13">
        <f>((((VLOOKUP(B125,Database!$F:$AY,MATCH($N$1,Database!$F$1:$AY$1,),))))-(((VLOOKUP(EDATE(B125,-12),Database!$F:$AY,MATCH($N$1,Database!$F$1:$AY$1,),)))))/(((VLOOKUP(EDATE(B125,-12),Database!$F:$AY,MATCH($N$1,Database!$F$1:$AY$1,),))))</f>
        <v/>
      </c>
      <c r="O125" s="13">
        <f>((((VLOOKUP(B125,Database!$F:$AY,MATCH($O$1,Database!$F$1:$AY$1,),))))-(((VLOOKUP(EDATE(B125,-12),Database!$F:$AY,MATCH($O$1,Database!$F$1:$AY$1,),)))))/(((VLOOKUP(EDATE(B125,-12),Database!$F:$AY,MATCH($O$1,Database!$F$1:$AY$1,),))))</f>
        <v/>
      </c>
      <c r="P125" s="13">
        <f>((((VLOOKUP(B125,Database!$F:$AY,MATCH($P$1,Database!$F$1:$AY$1,),))))-(((VLOOKUP(EDATE(B125,-12),Database!$F:$AY,MATCH($P$1,Database!$F$1:$AY$1,),)))))/(((VLOOKUP(EDATE(B125,-12),Database!$F:$AY,MATCH($P$1,Database!$F$1:$AY$1,),))))</f>
        <v/>
      </c>
      <c r="Q125" s="13">
        <f>((((VLOOKUP(B125,Database!$F:$AY,MATCH($Q$1,Database!$F$1:$AY$1,),))))-(((VLOOKUP(EDATE(B125,-12),Database!$F:$AY,MATCH($Q$1,Database!$F$1:$AY$1,),)))))/(((VLOOKUP(EDATE(B125,-12),Database!$F:$AY,MATCH($Q$1,Database!$F$1:$AY$1,),))))</f>
        <v/>
      </c>
      <c r="R125" s="13">
        <f>((((VLOOKUP(B125,Database!$F:$AY,MATCH($R$1,Database!$F$1:$AY$1,),))))-(((VLOOKUP(EDATE(B125,-12),Database!$F:$AY,MATCH($R$1,Database!$F$1:$AY$1,),)))))/(((VLOOKUP(EDATE(B125,-12),Database!$F:$AY,MATCH($R$1,Database!$F$1:$AY$1,),))))</f>
        <v/>
      </c>
      <c r="S125" s="13">
        <f>((((VLOOKUP(B125,Database!$F:$AY,MATCH($S$1,Database!$F$1:$AY$1,),))))-(((VLOOKUP(EDATE(B125,-12),Database!$F:$AY,MATCH($S$1,Database!$F$1:$AY$1,),)))))/(((VLOOKUP(EDATE(B125,-12),Database!$F:$AY,MATCH($S$1,Database!$F$1:$AY$1,),))))</f>
        <v/>
      </c>
      <c r="T125" s="13">
        <f>((((VLOOKUP(B125,Database!$F:$AY,MATCH($T$1,Database!$F$1:$AY$1,),))))-(((VLOOKUP(EDATE(B125,-12),Database!$F:$AY,MATCH($T$1,Database!$F$1:$AY$1,),)))))/(((VLOOKUP(EDATE(B125,-12),Database!$F:$AY,MATCH($T$1,Database!$F$1:$AY$1,),))))</f>
        <v/>
      </c>
      <c r="U125" s="13">
        <f>((((VLOOKUP(B125,Database!$F:$AY,MATCH($U$1,Database!$F$1:$AY$1,),))))-(((VLOOKUP(EDATE(B125,-12),Database!$F:$AY,MATCH($U$1,Database!$F$1:$AY$1,),)))))/(((VLOOKUP(EDATE(B125,-12),Database!$F:$AY,MATCH($U$1,Database!$F$1:$AY$1,),))))</f>
        <v/>
      </c>
      <c r="V125" s="13">
        <f>((((VLOOKUP(B125,Database!$F:$AY,MATCH($V$1,Database!$F$1:$AY$1,),))))-(((VLOOKUP(EDATE(B125,-12),Database!$F:$AY,MATCH($V$1,Database!$F$1:$AY$1,),)))))/(((VLOOKUP(EDATE(B125,-12),Database!$F:$AY,MATCH($V$1,Database!$F$1:$AY$1,),))))</f>
        <v/>
      </c>
    </row>
    <row r="126" customFormat="1" s="100">
      <c r="A126" s="45" t="n"/>
      <c r="B126" s="46" t="n">
        <v>35977</v>
      </c>
      <c r="C126" s="13">
        <f>((((VLOOKUP(B126,Database!$F:$AY,MATCH($C$1,Database!$F$1:$AY$1,),))))-(((VLOOKUP(EDATE(B126,-12),Database!$F:$AY,MATCH($C$1,Database!$F$1:$AY$1,),)))))/(((VLOOKUP(EDATE(B126,-12),Database!$F:$AY,MATCH($C$1,Database!$F$1:$AY$1,),))))</f>
        <v/>
      </c>
      <c r="D126" s="13">
        <f>((((VLOOKUP(B126,Database!$F:$AY,MATCH($D$1,Database!$F$1:$AY$1,),))))-(((VLOOKUP(EDATE(B126,-12),Database!$F:$AY,MATCH($D$1,Database!$F$1:$AY$1,),)))))/(((VLOOKUP(EDATE(B126,-12),Database!$F:$AY,MATCH($D$1,Database!$F$1:$AY$1,),))))</f>
        <v/>
      </c>
      <c r="E126" s="13">
        <f>((((VLOOKUP(B126,Database!$F:$AY,MATCH($E$1,Database!$F$1:$AY$1,),))))-(((VLOOKUP(EDATE(B126,-12),Database!$F:$AY,MATCH($E$1,Database!$F$1:$AY$1,),)))))/(((VLOOKUP(EDATE(B126,-12),Database!$F:$AY,MATCH($E$1,Database!$F$1:$AY$1,),))))</f>
        <v/>
      </c>
      <c r="F126" s="13">
        <f>((((VLOOKUP(B126,Database!$F:$AY,MATCH($F$1,Database!$F$1:$AY$1,),))))-(((VLOOKUP(EDATE(B126,-12),Database!$F:$AY,MATCH($F$1,Database!$F$1:$AY$1,),)))))/(((VLOOKUP(EDATE(B126,-12),Database!$F:$AY,MATCH($F$1,Database!$F$1:$AY$1,),))))</f>
        <v/>
      </c>
      <c r="G126" s="13">
        <f>((((VLOOKUP(B126,Database!$F:$AY,MATCH($G$1,Database!$F$1:$AY$1,),))))-(((VLOOKUP(EDATE(B126,-12),Database!$F:$AY,MATCH($G$1,Database!$F$1:$AY$1,),)))))/(((VLOOKUP(EDATE(B126,-12),Database!$F:$AY,MATCH($G$1,Database!$F$1:$AY$1,),))))</f>
        <v/>
      </c>
      <c r="H126" s="13">
        <f>((((VLOOKUP(B126,Database!$F:$AY,MATCH($H$1,Database!$F$1:$AY$1,),))))-(((VLOOKUP(EDATE(B126,-12),Database!$F:$AY,MATCH($H$1,Database!$F$1:$AY$1,),)))))/(((VLOOKUP(EDATE(B126,-12),Database!$F:$AY,MATCH($H$1,Database!$F$1:$AY$1,),))))</f>
        <v/>
      </c>
      <c r="I126" s="13">
        <f>((((VLOOKUP(B126,Database!$F:$AY,MATCH($I$1,Database!$F$1:$AY$1,),))))-(((VLOOKUP(EDATE(B126,-12),Database!$F:$AY,MATCH($I$1,Database!$F$1:$AY$1,),)))))/(((VLOOKUP(EDATE(B126,-12),Database!$F:$AY,MATCH($I$1,Database!$F$1:$AY$1,),))))</f>
        <v/>
      </c>
      <c r="J126" s="13">
        <f>((((VLOOKUP(B126,Database!$F:$AY,MATCH($J$1,Database!$F$1:$AY$1,),))))-(((VLOOKUP(EDATE(B126,-12),Database!$F:$AY,MATCH($J$1,Database!$F$1:$AY$1,),)))))/(((VLOOKUP(EDATE(B126,-12),Database!$F:$AY,MATCH($J$1,Database!$F$1:$AY$1,),))))</f>
        <v/>
      </c>
      <c r="K126" s="13">
        <f>((((VLOOKUP(B126,Database!$F:$AY,MATCH($K$1,Database!$F$1:$AY$1,),))))-(((VLOOKUP(EDATE(B126,-12),Database!$F:$AY,MATCH($K$1,Database!$F$1:$AY$1,),)))))/(((VLOOKUP(EDATE(B126,-12),Database!$F:$AY,MATCH($K$1,Database!$F$1:$AY$1,),))))</f>
        <v/>
      </c>
      <c r="L126" s="13">
        <f>((((VLOOKUP(B126,Database!$F:$AY,MATCH($L$1,Database!$F$1:$AY$1,),))))-(((VLOOKUP(EDATE(B126,-12),Database!$F:$AY,MATCH($L$1,Database!$F$1:$AY$1,),)))))/(((VLOOKUP(EDATE(B126,-12),Database!$F:$AY,MATCH($L$1,Database!$F$1:$AY$1,),))))</f>
        <v/>
      </c>
      <c r="M126" s="13">
        <f>((((VLOOKUP(B126,Database!$F:$AY,MATCH($M$1,Database!$F$1:$AY$1,),))))-(((VLOOKUP(EDATE(B126,-12),Database!$F:$AY,MATCH($M$1,Database!$F$1:$AY$1,),)))))/(((VLOOKUP(EDATE(B126,-12),Database!$F:$AY,MATCH($M$1,Database!$F$1:$AY$1,),))))</f>
        <v/>
      </c>
      <c r="N126" s="13">
        <f>((((VLOOKUP(B126,Database!$F:$AY,MATCH($N$1,Database!$F$1:$AY$1,),))))-(((VLOOKUP(EDATE(B126,-12),Database!$F:$AY,MATCH($N$1,Database!$F$1:$AY$1,),)))))/(((VLOOKUP(EDATE(B126,-12),Database!$F:$AY,MATCH($N$1,Database!$F$1:$AY$1,),))))</f>
        <v/>
      </c>
      <c r="O126" s="13">
        <f>((((VLOOKUP(B126,Database!$F:$AY,MATCH($O$1,Database!$F$1:$AY$1,),))))-(((VLOOKUP(EDATE(B126,-12),Database!$F:$AY,MATCH($O$1,Database!$F$1:$AY$1,),)))))/(((VLOOKUP(EDATE(B126,-12),Database!$F:$AY,MATCH($O$1,Database!$F$1:$AY$1,),))))</f>
        <v/>
      </c>
      <c r="P126" s="13">
        <f>((((VLOOKUP(B126,Database!$F:$AY,MATCH($P$1,Database!$F$1:$AY$1,),))))-(((VLOOKUP(EDATE(B126,-12),Database!$F:$AY,MATCH($P$1,Database!$F$1:$AY$1,),)))))/(((VLOOKUP(EDATE(B126,-12),Database!$F:$AY,MATCH($P$1,Database!$F$1:$AY$1,),))))</f>
        <v/>
      </c>
      <c r="Q126" s="13">
        <f>((((VLOOKUP(B126,Database!$F:$AY,MATCH($Q$1,Database!$F$1:$AY$1,),))))-(((VLOOKUP(EDATE(B126,-12),Database!$F:$AY,MATCH($Q$1,Database!$F$1:$AY$1,),)))))/(((VLOOKUP(EDATE(B126,-12),Database!$F:$AY,MATCH($Q$1,Database!$F$1:$AY$1,),))))</f>
        <v/>
      </c>
      <c r="R126" s="13">
        <f>((((VLOOKUP(B126,Database!$F:$AY,MATCH($R$1,Database!$F$1:$AY$1,),))))-(((VLOOKUP(EDATE(B126,-12),Database!$F:$AY,MATCH($R$1,Database!$F$1:$AY$1,),)))))/(((VLOOKUP(EDATE(B126,-12),Database!$F:$AY,MATCH($R$1,Database!$F$1:$AY$1,),))))</f>
        <v/>
      </c>
      <c r="S126" s="13">
        <f>((((VLOOKUP(B126,Database!$F:$AY,MATCH($S$1,Database!$F$1:$AY$1,),))))-(((VLOOKUP(EDATE(B126,-12),Database!$F:$AY,MATCH($S$1,Database!$F$1:$AY$1,),)))))/(((VLOOKUP(EDATE(B126,-12),Database!$F:$AY,MATCH($S$1,Database!$F$1:$AY$1,),))))</f>
        <v/>
      </c>
      <c r="T126" s="13">
        <f>((((VLOOKUP(B126,Database!$F:$AY,MATCH($T$1,Database!$F$1:$AY$1,),))))-(((VLOOKUP(EDATE(B126,-12),Database!$F:$AY,MATCH($T$1,Database!$F$1:$AY$1,),)))))/(((VLOOKUP(EDATE(B126,-12),Database!$F:$AY,MATCH($T$1,Database!$F$1:$AY$1,),))))</f>
        <v/>
      </c>
      <c r="U126" s="13">
        <f>((((VLOOKUP(B126,Database!$F:$AY,MATCH($U$1,Database!$F$1:$AY$1,),))))-(((VLOOKUP(EDATE(B126,-12),Database!$F:$AY,MATCH($U$1,Database!$F$1:$AY$1,),)))))/(((VLOOKUP(EDATE(B126,-12),Database!$F:$AY,MATCH($U$1,Database!$F$1:$AY$1,),))))</f>
        <v/>
      </c>
      <c r="V126" s="13">
        <f>((((VLOOKUP(B126,Database!$F:$AY,MATCH($V$1,Database!$F$1:$AY$1,),))))-(((VLOOKUP(EDATE(B126,-12),Database!$F:$AY,MATCH($V$1,Database!$F$1:$AY$1,),)))))/(((VLOOKUP(EDATE(B126,-12),Database!$F:$AY,MATCH($V$1,Database!$F$1:$AY$1,),))))</f>
        <v/>
      </c>
    </row>
    <row r="127" customFormat="1" s="100">
      <c r="A127" s="45" t="n"/>
      <c r="B127" s="46" t="n">
        <v>36008</v>
      </c>
      <c r="C127" s="13">
        <f>((((VLOOKUP(B127,Database!$F:$AY,MATCH($C$1,Database!$F$1:$AY$1,),))))-(((VLOOKUP(EDATE(B127,-12),Database!$F:$AY,MATCH($C$1,Database!$F$1:$AY$1,),)))))/(((VLOOKUP(EDATE(B127,-12),Database!$F:$AY,MATCH($C$1,Database!$F$1:$AY$1,),))))</f>
        <v/>
      </c>
      <c r="D127" s="13">
        <f>((((VLOOKUP(B127,Database!$F:$AY,MATCH($D$1,Database!$F$1:$AY$1,),))))-(((VLOOKUP(EDATE(B127,-12),Database!$F:$AY,MATCH($D$1,Database!$F$1:$AY$1,),)))))/(((VLOOKUP(EDATE(B127,-12),Database!$F:$AY,MATCH($D$1,Database!$F$1:$AY$1,),))))</f>
        <v/>
      </c>
      <c r="E127" s="13">
        <f>((((VLOOKUP(B127,Database!$F:$AY,MATCH($E$1,Database!$F$1:$AY$1,),))))-(((VLOOKUP(EDATE(B127,-12),Database!$F:$AY,MATCH($E$1,Database!$F$1:$AY$1,),)))))/(((VLOOKUP(EDATE(B127,-12),Database!$F:$AY,MATCH($E$1,Database!$F$1:$AY$1,),))))</f>
        <v/>
      </c>
      <c r="F127" s="13">
        <f>((((VLOOKUP(B127,Database!$F:$AY,MATCH($F$1,Database!$F$1:$AY$1,),))))-(((VLOOKUP(EDATE(B127,-12),Database!$F:$AY,MATCH($F$1,Database!$F$1:$AY$1,),)))))/(((VLOOKUP(EDATE(B127,-12),Database!$F:$AY,MATCH($F$1,Database!$F$1:$AY$1,),))))</f>
        <v/>
      </c>
      <c r="G127" s="13">
        <f>((((VLOOKUP(B127,Database!$F:$AY,MATCH($G$1,Database!$F$1:$AY$1,),))))-(((VLOOKUP(EDATE(B127,-12),Database!$F:$AY,MATCH($G$1,Database!$F$1:$AY$1,),)))))/(((VLOOKUP(EDATE(B127,-12),Database!$F:$AY,MATCH($G$1,Database!$F$1:$AY$1,),))))</f>
        <v/>
      </c>
      <c r="H127" s="13">
        <f>((((VLOOKUP(B127,Database!$F:$AY,MATCH($H$1,Database!$F$1:$AY$1,),))))-(((VLOOKUP(EDATE(B127,-12),Database!$F:$AY,MATCH($H$1,Database!$F$1:$AY$1,),)))))/(((VLOOKUP(EDATE(B127,-12),Database!$F:$AY,MATCH($H$1,Database!$F$1:$AY$1,),))))</f>
        <v/>
      </c>
      <c r="I127" s="13">
        <f>((((VLOOKUP(B127,Database!$F:$AY,MATCH($I$1,Database!$F$1:$AY$1,),))))-(((VLOOKUP(EDATE(B127,-12),Database!$F:$AY,MATCH($I$1,Database!$F$1:$AY$1,),)))))/(((VLOOKUP(EDATE(B127,-12),Database!$F:$AY,MATCH($I$1,Database!$F$1:$AY$1,),))))</f>
        <v/>
      </c>
      <c r="J127" s="13">
        <f>((((VLOOKUP(B127,Database!$F:$AY,MATCH($J$1,Database!$F$1:$AY$1,),))))-(((VLOOKUP(EDATE(B127,-12),Database!$F:$AY,MATCH($J$1,Database!$F$1:$AY$1,),)))))/(((VLOOKUP(EDATE(B127,-12),Database!$F:$AY,MATCH($J$1,Database!$F$1:$AY$1,),))))</f>
        <v/>
      </c>
      <c r="K127" s="13">
        <f>((((VLOOKUP(B127,Database!$F:$AY,MATCH($K$1,Database!$F$1:$AY$1,),))))-(((VLOOKUP(EDATE(B127,-12),Database!$F:$AY,MATCH($K$1,Database!$F$1:$AY$1,),)))))/(((VLOOKUP(EDATE(B127,-12),Database!$F:$AY,MATCH($K$1,Database!$F$1:$AY$1,),))))</f>
        <v/>
      </c>
      <c r="L127" s="13">
        <f>((((VLOOKUP(B127,Database!$F:$AY,MATCH($L$1,Database!$F$1:$AY$1,),))))-(((VLOOKUP(EDATE(B127,-12),Database!$F:$AY,MATCH($L$1,Database!$F$1:$AY$1,),)))))/(((VLOOKUP(EDATE(B127,-12),Database!$F:$AY,MATCH($L$1,Database!$F$1:$AY$1,),))))</f>
        <v/>
      </c>
      <c r="M127" s="13">
        <f>((((VLOOKUP(B127,Database!$F:$AY,MATCH($M$1,Database!$F$1:$AY$1,),))))-(((VLOOKUP(EDATE(B127,-12),Database!$F:$AY,MATCH($M$1,Database!$F$1:$AY$1,),)))))/(((VLOOKUP(EDATE(B127,-12),Database!$F:$AY,MATCH($M$1,Database!$F$1:$AY$1,),))))</f>
        <v/>
      </c>
      <c r="N127" s="13">
        <f>((((VLOOKUP(B127,Database!$F:$AY,MATCH($N$1,Database!$F$1:$AY$1,),))))-(((VLOOKUP(EDATE(B127,-12),Database!$F:$AY,MATCH($N$1,Database!$F$1:$AY$1,),)))))/(((VLOOKUP(EDATE(B127,-12),Database!$F:$AY,MATCH($N$1,Database!$F$1:$AY$1,),))))</f>
        <v/>
      </c>
      <c r="O127" s="13">
        <f>((((VLOOKUP(B127,Database!$F:$AY,MATCH($O$1,Database!$F$1:$AY$1,),))))-(((VLOOKUP(EDATE(B127,-12),Database!$F:$AY,MATCH($O$1,Database!$F$1:$AY$1,),)))))/(((VLOOKUP(EDATE(B127,-12),Database!$F:$AY,MATCH($O$1,Database!$F$1:$AY$1,),))))</f>
        <v/>
      </c>
      <c r="P127" s="13">
        <f>((((VLOOKUP(B127,Database!$F:$AY,MATCH($P$1,Database!$F$1:$AY$1,),))))-(((VLOOKUP(EDATE(B127,-12),Database!$F:$AY,MATCH($P$1,Database!$F$1:$AY$1,),)))))/(((VLOOKUP(EDATE(B127,-12),Database!$F:$AY,MATCH($P$1,Database!$F$1:$AY$1,),))))</f>
        <v/>
      </c>
      <c r="Q127" s="13">
        <f>((((VLOOKUP(B127,Database!$F:$AY,MATCH($Q$1,Database!$F$1:$AY$1,),))))-(((VLOOKUP(EDATE(B127,-12),Database!$F:$AY,MATCH($Q$1,Database!$F$1:$AY$1,),)))))/(((VLOOKUP(EDATE(B127,-12),Database!$F:$AY,MATCH($Q$1,Database!$F$1:$AY$1,),))))</f>
        <v/>
      </c>
      <c r="R127" s="13">
        <f>((((VLOOKUP(B127,Database!$F:$AY,MATCH($R$1,Database!$F$1:$AY$1,),))))-(((VLOOKUP(EDATE(B127,-12),Database!$F:$AY,MATCH($R$1,Database!$F$1:$AY$1,),)))))/(((VLOOKUP(EDATE(B127,-12),Database!$F:$AY,MATCH($R$1,Database!$F$1:$AY$1,),))))</f>
        <v/>
      </c>
      <c r="S127" s="13">
        <f>((((VLOOKUP(B127,Database!$F:$AY,MATCH($S$1,Database!$F$1:$AY$1,),))))-(((VLOOKUP(EDATE(B127,-12),Database!$F:$AY,MATCH($S$1,Database!$F$1:$AY$1,),)))))/(((VLOOKUP(EDATE(B127,-12),Database!$F:$AY,MATCH($S$1,Database!$F$1:$AY$1,),))))</f>
        <v/>
      </c>
      <c r="T127" s="13">
        <f>((((VLOOKUP(B127,Database!$F:$AY,MATCH($T$1,Database!$F$1:$AY$1,),))))-(((VLOOKUP(EDATE(B127,-12),Database!$F:$AY,MATCH($T$1,Database!$F$1:$AY$1,),)))))/(((VLOOKUP(EDATE(B127,-12),Database!$F:$AY,MATCH($T$1,Database!$F$1:$AY$1,),))))</f>
        <v/>
      </c>
      <c r="U127" s="13">
        <f>((((VLOOKUP(B127,Database!$F:$AY,MATCH($U$1,Database!$F$1:$AY$1,),))))-(((VLOOKUP(EDATE(B127,-12),Database!$F:$AY,MATCH($U$1,Database!$F$1:$AY$1,),)))))/(((VLOOKUP(EDATE(B127,-12),Database!$F:$AY,MATCH($U$1,Database!$F$1:$AY$1,),))))</f>
        <v/>
      </c>
      <c r="V127" s="13">
        <f>((((VLOOKUP(B127,Database!$F:$AY,MATCH($V$1,Database!$F$1:$AY$1,),))))-(((VLOOKUP(EDATE(B127,-12),Database!$F:$AY,MATCH($V$1,Database!$F$1:$AY$1,),)))))/(((VLOOKUP(EDATE(B127,-12),Database!$F:$AY,MATCH($V$1,Database!$F$1:$AY$1,),))))</f>
        <v/>
      </c>
    </row>
    <row r="128" customFormat="1" s="100">
      <c r="A128" s="45" t="n"/>
      <c r="B128" s="46" t="n">
        <v>36039</v>
      </c>
      <c r="C128" s="13">
        <f>((((VLOOKUP(B128,Database!$F:$AY,MATCH($C$1,Database!$F$1:$AY$1,),))))-(((VLOOKUP(EDATE(B128,-12),Database!$F:$AY,MATCH($C$1,Database!$F$1:$AY$1,),)))))/(((VLOOKUP(EDATE(B128,-12),Database!$F:$AY,MATCH($C$1,Database!$F$1:$AY$1,),))))</f>
        <v/>
      </c>
      <c r="D128" s="13">
        <f>((((VLOOKUP(B128,Database!$F:$AY,MATCH($D$1,Database!$F$1:$AY$1,),))))-(((VLOOKUP(EDATE(B128,-12),Database!$F:$AY,MATCH($D$1,Database!$F$1:$AY$1,),)))))/(((VLOOKUP(EDATE(B128,-12),Database!$F:$AY,MATCH($D$1,Database!$F$1:$AY$1,),))))</f>
        <v/>
      </c>
      <c r="E128" s="13">
        <f>((((VLOOKUP(B128,Database!$F:$AY,MATCH($E$1,Database!$F$1:$AY$1,),))))-(((VLOOKUP(EDATE(B128,-12),Database!$F:$AY,MATCH($E$1,Database!$F$1:$AY$1,),)))))/(((VLOOKUP(EDATE(B128,-12),Database!$F:$AY,MATCH($E$1,Database!$F$1:$AY$1,),))))</f>
        <v/>
      </c>
      <c r="F128" s="13">
        <f>((((VLOOKUP(B128,Database!$F:$AY,MATCH($F$1,Database!$F$1:$AY$1,),))))-(((VLOOKUP(EDATE(B128,-12),Database!$F:$AY,MATCH($F$1,Database!$F$1:$AY$1,),)))))/(((VLOOKUP(EDATE(B128,-12),Database!$F:$AY,MATCH($F$1,Database!$F$1:$AY$1,),))))</f>
        <v/>
      </c>
      <c r="G128" s="13">
        <f>((((VLOOKUP(B128,Database!$F:$AY,MATCH($G$1,Database!$F$1:$AY$1,),))))-(((VLOOKUP(EDATE(B128,-12),Database!$F:$AY,MATCH($G$1,Database!$F$1:$AY$1,),)))))/(((VLOOKUP(EDATE(B128,-12),Database!$F:$AY,MATCH($G$1,Database!$F$1:$AY$1,),))))</f>
        <v/>
      </c>
      <c r="H128" s="13">
        <f>((((VLOOKUP(B128,Database!$F:$AY,MATCH($H$1,Database!$F$1:$AY$1,),))))-(((VLOOKUP(EDATE(B128,-12),Database!$F:$AY,MATCH($H$1,Database!$F$1:$AY$1,),)))))/(((VLOOKUP(EDATE(B128,-12),Database!$F:$AY,MATCH($H$1,Database!$F$1:$AY$1,),))))</f>
        <v/>
      </c>
      <c r="I128" s="13">
        <f>((((VLOOKUP(B128,Database!$F:$AY,MATCH($I$1,Database!$F$1:$AY$1,),))))-(((VLOOKUP(EDATE(B128,-12),Database!$F:$AY,MATCH($I$1,Database!$F$1:$AY$1,),)))))/(((VLOOKUP(EDATE(B128,-12),Database!$F:$AY,MATCH($I$1,Database!$F$1:$AY$1,),))))</f>
        <v/>
      </c>
      <c r="J128" s="13">
        <f>((((VLOOKUP(B128,Database!$F:$AY,MATCH($J$1,Database!$F$1:$AY$1,),))))-(((VLOOKUP(EDATE(B128,-12),Database!$F:$AY,MATCH($J$1,Database!$F$1:$AY$1,),)))))/(((VLOOKUP(EDATE(B128,-12),Database!$F:$AY,MATCH($J$1,Database!$F$1:$AY$1,),))))</f>
        <v/>
      </c>
      <c r="K128" s="13">
        <f>((((VLOOKUP(B128,Database!$F:$AY,MATCH($K$1,Database!$F$1:$AY$1,),))))-(((VLOOKUP(EDATE(B128,-12),Database!$F:$AY,MATCH($K$1,Database!$F$1:$AY$1,),)))))/(((VLOOKUP(EDATE(B128,-12),Database!$F:$AY,MATCH($K$1,Database!$F$1:$AY$1,),))))</f>
        <v/>
      </c>
      <c r="L128" s="13">
        <f>((((VLOOKUP(B128,Database!$F:$AY,MATCH($L$1,Database!$F$1:$AY$1,),))))-(((VLOOKUP(EDATE(B128,-12),Database!$F:$AY,MATCH($L$1,Database!$F$1:$AY$1,),)))))/(((VLOOKUP(EDATE(B128,-12),Database!$F:$AY,MATCH($L$1,Database!$F$1:$AY$1,),))))</f>
        <v/>
      </c>
      <c r="M128" s="13">
        <f>((((VLOOKUP(B128,Database!$F:$AY,MATCH($M$1,Database!$F$1:$AY$1,),))))-(((VLOOKUP(EDATE(B128,-12),Database!$F:$AY,MATCH($M$1,Database!$F$1:$AY$1,),)))))/(((VLOOKUP(EDATE(B128,-12),Database!$F:$AY,MATCH($M$1,Database!$F$1:$AY$1,),))))</f>
        <v/>
      </c>
      <c r="N128" s="13">
        <f>((((VLOOKUP(B128,Database!$F:$AY,MATCH($N$1,Database!$F$1:$AY$1,),))))-(((VLOOKUP(EDATE(B128,-12),Database!$F:$AY,MATCH($N$1,Database!$F$1:$AY$1,),)))))/(((VLOOKUP(EDATE(B128,-12),Database!$F:$AY,MATCH($N$1,Database!$F$1:$AY$1,),))))</f>
        <v/>
      </c>
      <c r="O128" s="13">
        <f>((((VLOOKUP(B128,Database!$F:$AY,MATCH($O$1,Database!$F$1:$AY$1,),))))-(((VLOOKUP(EDATE(B128,-12),Database!$F:$AY,MATCH($O$1,Database!$F$1:$AY$1,),)))))/(((VLOOKUP(EDATE(B128,-12),Database!$F:$AY,MATCH($O$1,Database!$F$1:$AY$1,),))))</f>
        <v/>
      </c>
      <c r="P128" s="13">
        <f>((((VLOOKUP(B128,Database!$F:$AY,MATCH($P$1,Database!$F$1:$AY$1,),))))-(((VLOOKUP(EDATE(B128,-12),Database!$F:$AY,MATCH($P$1,Database!$F$1:$AY$1,),)))))/(((VLOOKUP(EDATE(B128,-12),Database!$F:$AY,MATCH($P$1,Database!$F$1:$AY$1,),))))</f>
        <v/>
      </c>
      <c r="Q128" s="13">
        <f>((((VLOOKUP(B128,Database!$F:$AY,MATCH($Q$1,Database!$F$1:$AY$1,),))))-(((VLOOKUP(EDATE(B128,-12),Database!$F:$AY,MATCH($Q$1,Database!$F$1:$AY$1,),)))))/(((VLOOKUP(EDATE(B128,-12),Database!$F:$AY,MATCH($Q$1,Database!$F$1:$AY$1,),))))</f>
        <v/>
      </c>
      <c r="R128" s="13">
        <f>((((VLOOKUP(B128,Database!$F:$AY,MATCH($R$1,Database!$F$1:$AY$1,),))))-(((VLOOKUP(EDATE(B128,-12),Database!$F:$AY,MATCH($R$1,Database!$F$1:$AY$1,),)))))/(((VLOOKUP(EDATE(B128,-12),Database!$F:$AY,MATCH($R$1,Database!$F$1:$AY$1,),))))</f>
        <v/>
      </c>
      <c r="S128" s="13">
        <f>((((VLOOKUP(B128,Database!$F:$AY,MATCH($S$1,Database!$F$1:$AY$1,),))))-(((VLOOKUP(EDATE(B128,-12),Database!$F:$AY,MATCH($S$1,Database!$F$1:$AY$1,),)))))/(((VLOOKUP(EDATE(B128,-12),Database!$F:$AY,MATCH($S$1,Database!$F$1:$AY$1,),))))</f>
        <v/>
      </c>
      <c r="T128" s="13">
        <f>((((VLOOKUP(B128,Database!$F:$AY,MATCH($T$1,Database!$F$1:$AY$1,),))))-(((VLOOKUP(EDATE(B128,-12),Database!$F:$AY,MATCH($T$1,Database!$F$1:$AY$1,),)))))/(((VLOOKUP(EDATE(B128,-12),Database!$F:$AY,MATCH($T$1,Database!$F$1:$AY$1,),))))</f>
        <v/>
      </c>
      <c r="U128" s="13">
        <f>((((VLOOKUP(B128,Database!$F:$AY,MATCH($U$1,Database!$F$1:$AY$1,),))))-(((VLOOKUP(EDATE(B128,-12),Database!$F:$AY,MATCH($U$1,Database!$F$1:$AY$1,),)))))/(((VLOOKUP(EDATE(B128,-12),Database!$F:$AY,MATCH($U$1,Database!$F$1:$AY$1,),))))</f>
        <v/>
      </c>
      <c r="V128" s="13">
        <f>((((VLOOKUP(B128,Database!$F:$AY,MATCH($V$1,Database!$F$1:$AY$1,),))))-(((VLOOKUP(EDATE(B128,-12),Database!$F:$AY,MATCH($V$1,Database!$F$1:$AY$1,),)))))/(((VLOOKUP(EDATE(B128,-12),Database!$F:$AY,MATCH($V$1,Database!$F$1:$AY$1,),))))</f>
        <v/>
      </c>
    </row>
    <row r="129" customFormat="1" s="100">
      <c r="A129" s="45" t="n"/>
      <c r="B129" s="46" t="n">
        <v>36069</v>
      </c>
      <c r="C129" s="13">
        <f>((((VLOOKUP(B129,Database!$F:$AY,MATCH($C$1,Database!$F$1:$AY$1,),))))-(((VLOOKUP(EDATE(B129,-12),Database!$F:$AY,MATCH($C$1,Database!$F$1:$AY$1,),)))))/(((VLOOKUP(EDATE(B129,-12),Database!$F:$AY,MATCH($C$1,Database!$F$1:$AY$1,),))))</f>
        <v/>
      </c>
      <c r="D129" s="13">
        <f>((((VLOOKUP(B129,Database!$F:$AY,MATCH($D$1,Database!$F$1:$AY$1,),))))-(((VLOOKUP(EDATE(B129,-12),Database!$F:$AY,MATCH($D$1,Database!$F$1:$AY$1,),)))))/(((VLOOKUP(EDATE(B129,-12),Database!$F:$AY,MATCH($D$1,Database!$F$1:$AY$1,),))))</f>
        <v/>
      </c>
      <c r="E129" s="13">
        <f>((((VLOOKUP(B129,Database!$F:$AY,MATCH($E$1,Database!$F$1:$AY$1,),))))-(((VLOOKUP(EDATE(B129,-12),Database!$F:$AY,MATCH($E$1,Database!$F$1:$AY$1,),)))))/(((VLOOKUP(EDATE(B129,-12),Database!$F:$AY,MATCH($E$1,Database!$F$1:$AY$1,),))))</f>
        <v/>
      </c>
      <c r="F129" s="13">
        <f>((((VLOOKUP(B129,Database!$F:$AY,MATCH($F$1,Database!$F$1:$AY$1,),))))-(((VLOOKUP(EDATE(B129,-12),Database!$F:$AY,MATCH($F$1,Database!$F$1:$AY$1,),)))))/(((VLOOKUP(EDATE(B129,-12),Database!$F:$AY,MATCH($F$1,Database!$F$1:$AY$1,),))))</f>
        <v/>
      </c>
      <c r="G129" s="13">
        <f>((((VLOOKUP(B129,Database!$F:$AY,MATCH($G$1,Database!$F$1:$AY$1,),))))-(((VLOOKUP(EDATE(B129,-12),Database!$F:$AY,MATCH($G$1,Database!$F$1:$AY$1,),)))))/(((VLOOKUP(EDATE(B129,-12),Database!$F:$AY,MATCH($G$1,Database!$F$1:$AY$1,),))))</f>
        <v/>
      </c>
      <c r="H129" s="13">
        <f>((((VLOOKUP(B129,Database!$F:$AY,MATCH($H$1,Database!$F$1:$AY$1,),))))-(((VLOOKUP(EDATE(B129,-12),Database!$F:$AY,MATCH($H$1,Database!$F$1:$AY$1,),)))))/(((VLOOKUP(EDATE(B129,-12),Database!$F:$AY,MATCH($H$1,Database!$F$1:$AY$1,),))))</f>
        <v/>
      </c>
      <c r="I129" s="13">
        <f>((((VLOOKUP(B129,Database!$F:$AY,MATCH($I$1,Database!$F$1:$AY$1,),))))-(((VLOOKUP(EDATE(B129,-12),Database!$F:$AY,MATCH($I$1,Database!$F$1:$AY$1,),)))))/(((VLOOKUP(EDATE(B129,-12),Database!$F:$AY,MATCH($I$1,Database!$F$1:$AY$1,),))))</f>
        <v/>
      </c>
      <c r="J129" s="13">
        <f>((((VLOOKUP(B129,Database!$F:$AY,MATCH($J$1,Database!$F$1:$AY$1,),))))-(((VLOOKUP(EDATE(B129,-12),Database!$F:$AY,MATCH($J$1,Database!$F$1:$AY$1,),)))))/(((VLOOKUP(EDATE(B129,-12),Database!$F:$AY,MATCH($J$1,Database!$F$1:$AY$1,),))))</f>
        <v/>
      </c>
      <c r="K129" s="13">
        <f>((((VLOOKUP(B129,Database!$F:$AY,MATCH($K$1,Database!$F$1:$AY$1,),))))-(((VLOOKUP(EDATE(B129,-12),Database!$F:$AY,MATCH($K$1,Database!$F$1:$AY$1,),)))))/(((VLOOKUP(EDATE(B129,-12),Database!$F:$AY,MATCH($K$1,Database!$F$1:$AY$1,),))))</f>
        <v/>
      </c>
      <c r="L129" s="13">
        <f>((((VLOOKUP(B129,Database!$F:$AY,MATCH($L$1,Database!$F$1:$AY$1,),))))-(((VLOOKUP(EDATE(B129,-12),Database!$F:$AY,MATCH($L$1,Database!$F$1:$AY$1,),)))))/(((VLOOKUP(EDATE(B129,-12),Database!$F:$AY,MATCH($L$1,Database!$F$1:$AY$1,),))))</f>
        <v/>
      </c>
      <c r="M129" s="13">
        <f>((((VLOOKUP(B129,Database!$F:$AY,MATCH($M$1,Database!$F$1:$AY$1,),))))-(((VLOOKUP(EDATE(B129,-12),Database!$F:$AY,MATCH($M$1,Database!$F$1:$AY$1,),)))))/(((VLOOKUP(EDATE(B129,-12),Database!$F:$AY,MATCH($M$1,Database!$F$1:$AY$1,),))))</f>
        <v/>
      </c>
      <c r="N129" s="13">
        <f>((((VLOOKUP(B129,Database!$F:$AY,MATCH($N$1,Database!$F$1:$AY$1,),))))-(((VLOOKUP(EDATE(B129,-12),Database!$F:$AY,MATCH($N$1,Database!$F$1:$AY$1,),)))))/(((VLOOKUP(EDATE(B129,-12),Database!$F:$AY,MATCH($N$1,Database!$F$1:$AY$1,),))))</f>
        <v/>
      </c>
      <c r="O129" s="13">
        <f>((((VLOOKUP(B129,Database!$F:$AY,MATCH($O$1,Database!$F$1:$AY$1,),))))-(((VLOOKUP(EDATE(B129,-12),Database!$F:$AY,MATCH($O$1,Database!$F$1:$AY$1,),)))))/(((VLOOKUP(EDATE(B129,-12),Database!$F:$AY,MATCH($O$1,Database!$F$1:$AY$1,),))))</f>
        <v/>
      </c>
      <c r="P129" s="13">
        <f>((((VLOOKUP(B129,Database!$F:$AY,MATCH($P$1,Database!$F$1:$AY$1,),))))-(((VLOOKUP(EDATE(B129,-12),Database!$F:$AY,MATCH($P$1,Database!$F$1:$AY$1,),)))))/(((VLOOKUP(EDATE(B129,-12),Database!$F:$AY,MATCH($P$1,Database!$F$1:$AY$1,),))))</f>
        <v/>
      </c>
      <c r="Q129" s="13">
        <f>((((VLOOKUP(B129,Database!$F:$AY,MATCH($Q$1,Database!$F$1:$AY$1,),))))-(((VLOOKUP(EDATE(B129,-12),Database!$F:$AY,MATCH($Q$1,Database!$F$1:$AY$1,),)))))/(((VLOOKUP(EDATE(B129,-12),Database!$F:$AY,MATCH($Q$1,Database!$F$1:$AY$1,),))))</f>
        <v/>
      </c>
      <c r="R129" s="13">
        <f>((((VLOOKUP(B129,Database!$F:$AY,MATCH($R$1,Database!$F$1:$AY$1,),))))-(((VLOOKUP(EDATE(B129,-12),Database!$F:$AY,MATCH($R$1,Database!$F$1:$AY$1,),)))))/(((VLOOKUP(EDATE(B129,-12),Database!$F:$AY,MATCH($R$1,Database!$F$1:$AY$1,),))))</f>
        <v/>
      </c>
      <c r="S129" s="13">
        <f>((((VLOOKUP(B129,Database!$F:$AY,MATCH($S$1,Database!$F$1:$AY$1,),))))-(((VLOOKUP(EDATE(B129,-12),Database!$F:$AY,MATCH($S$1,Database!$F$1:$AY$1,),)))))/(((VLOOKUP(EDATE(B129,-12),Database!$F:$AY,MATCH($S$1,Database!$F$1:$AY$1,),))))</f>
        <v/>
      </c>
      <c r="T129" s="13">
        <f>((((VLOOKUP(B129,Database!$F:$AY,MATCH($T$1,Database!$F$1:$AY$1,),))))-(((VLOOKUP(EDATE(B129,-12),Database!$F:$AY,MATCH($T$1,Database!$F$1:$AY$1,),)))))/(((VLOOKUP(EDATE(B129,-12),Database!$F:$AY,MATCH($T$1,Database!$F$1:$AY$1,),))))</f>
        <v/>
      </c>
      <c r="U129" s="13">
        <f>((((VLOOKUP(B129,Database!$F:$AY,MATCH($U$1,Database!$F$1:$AY$1,),))))-(((VLOOKUP(EDATE(B129,-12),Database!$F:$AY,MATCH($U$1,Database!$F$1:$AY$1,),)))))/(((VLOOKUP(EDATE(B129,-12),Database!$F:$AY,MATCH($U$1,Database!$F$1:$AY$1,),))))</f>
        <v/>
      </c>
      <c r="V129" s="13">
        <f>((((VLOOKUP(B129,Database!$F:$AY,MATCH($V$1,Database!$F$1:$AY$1,),))))-(((VLOOKUP(EDATE(B129,-12),Database!$F:$AY,MATCH($V$1,Database!$F$1:$AY$1,),)))))/(((VLOOKUP(EDATE(B129,-12),Database!$F:$AY,MATCH($V$1,Database!$F$1:$AY$1,),))))</f>
        <v/>
      </c>
    </row>
    <row r="130" customFormat="1" s="100">
      <c r="A130" s="45" t="n"/>
      <c r="B130" s="46" t="n">
        <v>36100</v>
      </c>
      <c r="C130" s="13">
        <f>((((VLOOKUP(B130,Database!$F:$AY,MATCH($C$1,Database!$F$1:$AY$1,),))))-(((VLOOKUP(EDATE(B130,-12),Database!$F:$AY,MATCH($C$1,Database!$F$1:$AY$1,),)))))/(((VLOOKUP(EDATE(B130,-12),Database!$F:$AY,MATCH($C$1,Database!$F$1:$AY$1,),))))</f>
        <v/>
      </c>
      <c r="D130" s="13">
        <f>((((VLOOKUP(B130,Database!$F:$AY,MATCH($D$1,Database!$F$1:$AY$1,),))))-(((VLOOKUP(EDATE(B130,-12),Database!$F:$AY,MATCH($D$1,Database!$F$1:$AY$1,),)))))/(((VLOOKUP(EDATE(B130,-12),Database!$F:$AY,MATCH($D$1,Database!$F$1:$AY$1,),))))</f>
        <v/>
      </c>
      <c r="E130" s="13">
        <f>((((VLOOKUP(B130,Database!$F:$AY,MATCH($E$1,Database!$F$1:$AY$1,),))))-(((VLOOKUP(EDATE(B130,-12),Database!$F:$AY,MATCH($E$1,Database!$F$1:$AY$1,),)))))/(((VLOOKUP(EDATE(B130,-12),Database!$F:$AY,MATCH($E$1,Database!$F$1:$AY$1,),))))</f>
        <v/>
      </c>
      <c r="F130" s="13">
        <f>((((VLOOKUP(B130,Database!$F:$AY,MATCH($F$1,Database!$F$1:$AY$1,),))))-(((VLOOKUP(EDATE(B130,-12),Database!$F:$AY,MATCH($F$1,Database!$F$1:$AY$1,),)))))/(((VLOOKUP(EDATE(B130,-12),Database!$F:$AY,MATCH($F$1,Database!$F$1:$AY$1,),))))</f>
        <v/>
      </c>
      <c r="G130" s="13">
        <f>((((VLOOKUP(B130,Database!$F:$AY,MATCH($G$1,Database!$F$1:$AY$1,),))))-(((VLOOKUP(EDATE(B130,-12),Database!$F:$AY,MATCH($G$1,Database!$F$1:$AY$1,),)))))/(((VLOOKUP(EDATE(B130,-12),Database!$F:$AY,MATCH($G$1,Database!$F$1:$AY$1,),))))</f>
        <v/>
      </c>
      <c r="H130" s="13">
        <f>((((VLOOKUP(B130,Database!$F:$AY,MATCH($H$1,Database!$F$1:$AY$1,),))))-(((VLOOKUP(EDATE(B130,-12),Database!$F:$AY,MATCH($H$1,Database!$F$1:$AY$1,),)))))/(((VLOOKUP(EDATE(B130,-12),Database!$F:$AY,MATCH($H$1,Database!$F$1:$AY$1,),))))</f>
        <v/>
      </c>
      <c r="I130" s="13">
        <f>((((VLOOKUP(B130,Database!$F:$AY,MATCH($I$1,Database!$F$1:$AY$1,),))))-(((VLOOKUP(EDATE(B130,-12),Database!$F:$AY,MATCH($I$1,Database!$F$1:$AY$1,),)))))/(((VLOOKUP(EDATE(B130,-12),Database!$F:$AY,MATCH($I$1,Database!$F$1:$AY$1,),))))</f>
        <v/>
      </c>
      <c r="J130" s="13">
        <f>((((VLOOKUP(B130,Database!$F:$AY,MATCH($J$1,Database!$F$1:$AY$1,),))))-(((VLOOKUP(EDATE(B130,-12),Database!$F:$AY,MATCH($J$1,Database!$F$1:$AY$1,),)))))/(((VLOOKUP(EDATE(B130,-12),Database!$F:$AY,MATCH($J$1,Database!$F$1:$AY$1,),))))</f>
        <v/>
      </c>
      <c r="K130" s="13">
        <f>((((VLOOKUP(B130,Database!$F:$AY,MATCH($K$1,Database!$F$1:$AY$1,),))))-(((VLOOKUP(EDATE(B130,-12),Database!$F:$AY,MATCH($K$1,Database!$F$1:$AY$1,),)))))/(((VLOOKUP(EDATE(B130,-12),Database!$F:$AY,MATCH($K$1,Database!$F$1:$AY$1,),))))</f>
        <v/>
      </c>
      <c r="L130" s="13">
        <f>((((VLOOKUP(B130,Database!$F:$AY,MATCH($L$1,Database!$F$1:$AY$1,),))))-(((VLOOKUP(EDATE(B130,-12),Database!$F:$AY,MATCH($L$1,Database!$F$1:$AY$1,),)))))/(((VLOOKUP(EDATE(B130,-12),Database!$F:$AY,MATCH($L$1,Database!$F$1:$AY$1,),))))</f>
        <v/>
      </c>
      <c r="M130" s="13">
        <f>((((VLOOKUP(B130,Database!$F:$AY,MATCH($M$1,Database!$F$1:$AY$1,),))))-(((VLOOKUP(EDATE(B130,-12),Database!$F:$AY,MATCH($M$1,Database!$F$1:$AY$1,),)))))/(((VLOOKUP(EDATE(B130,-12),Database!$F:$AY,MATCH($M$1,Database!$F$1:$AY$1,),))))</f>
        <v/>
      </c>
      <c r="N130" s="13">
        <f>((((VLOOKUP(B130,Database!$F:$AY,MATCH($N$1,Database!$F$1:$AY$1,),))))-(((VLOOKUP(EDATE(B130,-12),Database!$F:$AY,MATCH($N$1,Database!$F$1:$AY$1,),)))))/(((VLOOKUP(EDATE(B130,-12),Database!$F:$AY,MATCH($N$1,Database!$F$1:$AY$1,),))))</f>
        <v/>
      </c>
      <c r="O130" s="13">
        <f>((((VLOOKUP(B130,Database!$F:$AY,MATCH($O$1,Database!$F$1:$AY$1,),))))-(((VLOOKUP(EDATE(B130,-12),Database!$F:$AY,MATCH($O$1,Database!$F$1:$AY$1,),)))))/(((VLOOKUP(EDATE(B130,-12),Database!$F:$AY,MATCH($O$1,Database!$F$1:$AY$1,),))))</f>
        <v/>
      </c>
      <c r="P130" s="13">
        <f>((((VLOOKUP(B130,Database!$F:$AY,MATCH($P$1,Database!$F$1:$AY$1,),))))-(((VLOOKUP(EDATE(B130,-12),Database!$F:$AY,MATCH($P$1,Database!$F$1:$AY$1,),)))))/(((VLOOKUP(EDATE(B130,-12),Database!$F:$AY,MATCH($P$1,Database!$F$1:$AY$1,),))))</f>
        <v/>
      </c>
      <c r="Q130" s="13">
        <f>((((VLOOKUP(B130,Database!$F:$AY,MATCH($Q$1,Database!$F$1:$AY$1,),))))-(((VLOOKUP(EDATE(B130,-12),Database!$F:$AY,MATCH($Q$1,Database!$F$1:$AY$1,),)))))/(((VLOOKUP(EDATE(B130,-12),Database!$F:$AY,MATCH($Q$1,Database!$F$1:$AY$1,),))))</f>
        <v/>
      </c>
      <c r="R130" s="13">
        <f>((((VLOOKUP(B130,Database!$F:$AY,MATCH($R$1,Database!$F$1:$AY$1,),))))-(((VLOOKUP(EDATE(B130,-12),Database!$F:$AY,MATCH($R$1,Database!$F$1:$AY$1,),)))))/(((VLOOKUP(EDATE(B130,-12),Database!$F:$AY,MATCH($R$1,Database!$F$1:$AY$1,),))))</f>
        <v/>
      </c>
      <c r="S130" s="13">
        <f>((((VLOOKUP(B130,Database!$F:$AY,MATCH($S$1,Database!$F$1:$AY$1,),))))-(((VLOOKUP(EDATE(B130,-12),Database!$F:$AY,MATCH($S$1,Database!$F$1:$AY$1,),)))))/(((VLOOKUP(EDATE(B130,-12),Database!$F:$AY,MATCH($S$1,Database!$F$1:$AY$1,),))))</f>
        <v/>
      </c>
      <c r="T130" s="13">
        <f>((((VLOOKUP(B130,Database!$F:$AY,MATCH($T$1,Database!$F$1:$AY$1,),))))-(((VLOOKUP(EDATE(B130,-12),Database!$F:$AY,MATCH($T$1,Database!$F$1:$AY$1,),)))))/(((VLOOKUP(EDATE(B130,-12),Database!$F:$AY,MATCH($T$1,Database!$F$1:$AY$1,),))))</f>
        <v/>
      </c>
      <c r="U130" s="13">
        <f>((((VLOOKUP(B130,Database!$F:$AY,MATCH($U$1,Database!$F$1:$AY$1,),))))-(((VLOOKUP(EDATE(B130,-12),Database!$F:$AY,MATCH($U$1,Database!$F$1:$AY$1,),)))))/(((VLOOKUP(EDATE(B130,-12),Database!$F:$AY,MATCH($U$1,Database!$F$1:$AY$1,),))))</f>
        <v/>
      </c>
      <c r="V130" s="13">
        <f>((((VLOOKUP(B130,Database!$F:$AY,MATCH($V$1,Database!$F$1:$AY$1,),))))-(((VLOOKUP(EDATE(B130,-12),Database!$F:$AY,MATCH($V$1,Database!$F$1:$AY$1,),)))))/(((VLOOKUP(EDATE(B130,-12),Database!$F:$AY,MATCH($V$1,Database!$F$1:$AY$1,),))))</f>
        <v/>
      </c>
    </row>
    <row r="131" customFormat="1" s="100">
      <c r="A131" s="45" t="n"/>
      <c r="B131" s="46" t="n">
        <v>36130</v>
      </c>
      <c r="C131" s="13">
        <f>((((VLOOKUP(B131,Database!$F:$AY,MATCH($C$1,Database!$F$1:$AY$1,),))))-(((VLOOKUP(EDATE(B131,-12),Database!$F:$AY,MATCH($C$1,Database!$F$1:$AY$1,),)))))/(((VLOOKUP(EDATE(B131,-12),Database!$F:$AY,MATCH($C$1,Database!$F$1:$AY$1,),))))</f>
        <v/>
      </c>
      <c r="D131" s="13">
        <f>((((VLOOKUP(B131,Database!$F:$AY,MATCH($D$1,Database!$F$1:$AY$1,),))))-(((VLOOKUP(EDATE(B131,-12),Database!$F:$AY,MATCH($D$1,Database!$F$1:$AY$1,),)))))/(((VLOOKUP(EDATE(B131,-12),Database!$F:$AY,MATCH($D$1,Database!$F$1:$AY$1,),))))</f>
        <v/>
      </c>
      <c r="E131" s="13">
        <f>((((VLOOKUP(B131,Database!$F:$AY,MATCH($E$1,Database!$F$1:$AY$1,),))))-(((VLOOKUP(EDATE(B131,-12),Database!$F:$AY,MATCH($E$1,Database!$F$1:$AY$1,),)))))/(((VLOOKUP(EDATE(B131,-12),Database!$F:$AY,MATCH($E$1,Database!$F$1:$AY$1,),))))</f>
        <v/>
      </c>
      <c r="F131" s="13">
        <f>((((VLOOKUP(B131,Database!$F:$AY,MATCH($F$1,Database!$F$1:$AY$1,),))))-(((VLOOKUP(EDATE(B131,-12),Database!$F:$AY,MATCH($F$1,Database!$F$1:$AY$1,),)))))/(((VLOOKUP(EDATE(B131,-12),Database!$F:$AY,MATCH($F$1,Database!$F$1:$AY$1,),))))</f>
        <v/>
      </c>
      <c r="G131" s="13">
        <f>((((VLOOKUP(B131,Database!$F:$AY,MATCH($G$1,Database!$F$1:$AY$1,),))))-(((VLOOKUP(EDATE(B131,-12),Database!$F:$AY,MATCH($G$1,Database!$F$1:$AY$1,),)))))/(((VLOOKUP(EDATE(B131,-12),Database!$F:$AY,MATCH($G$1,Database!$F$1:$AY$1,),))))</f>
        <v/>
      </c>
      <c r="H131" s="13">
        <f>((((VLOOKUP(B131,Database!$F:$AY,MATCH($H$1,Database!$F$1:$AY$1,),))))-(((VLOOKUP(EDATE(B131,-12),Database!$F:$AY,MATCH($H$1,Database!$F$1:$AY$1,),)))))/(((VLOOKUP(EDATE(B131,-12),Database!$F:$AY,MATCH($H$1,Database!$F$1:$AY$1,),))))</f>
        <v/>
      </c>
      <c r="I131" s="13">
        <f>((((VLOOKUP(B131,Database!$F:$AY,MATCH($I$1,Database!$F$1:$AY$1,),))))-(((VLOOKUP(EDATE(B131,-12),Database!$F:$AY,MATCH($I$1,Database!$F$1:$AY$1,),)))))/(((VLOOKUP(EDATE(B131,-12),Database!$F:$AY,MATCH($I$1,Database!$F$1:$AY$1,),))))</f>
        <v/>
      </c>
      <c r="J131" s="13">
        <f>((((VLOOKUP(B131,Database!$F:$AY,MATCH($J$1,Database!$F$1:$AY$1,),))))-(((VLOOKUP(EDATE(B131,-12),Database!$F:$AY,MATCH($J$1,Database!$F$1:$AY$1,),)))))/(((VLOOKUP(EDATE(B131,-12),Database!$F:$AY,MATCH($J$1,Database!$F$1:$AY$1,),))))</f>
        <v/>
      </c>
      <c r="K131" s="13">
        <f>((((VLOOKUP(B131,Database!$F:$AY,MATCH($K$1,Database!$F$1:$AY$1,),))))-(((VLOOKUP(EDATE(B131,-12),Database!$F:$AY,MATCH($K$1,Database!$F$1:$AY$1,),)))))/(((VLOOKUP(EDATE(B131,-12),Database!$F:$AY,MATCH($K$1,Database!$F$1:$AY$1,),))))</f>
        <v/>
      </c>
      <c r="L131" s="13">
        <f>((((VLOOKUP(B131,Database!$F:$AY,MATCH($L$1,Database!$F$1:$AY$1,),))))-(((VLOOKUP(EDATE(B131,-12),Database!$F:$AY,MATCH($L$1,Database!$F$1:$AY$1,),)))))/(((VLOOKUP(EDATE(B131,-12),Database!$F:$AY,MATCH($L$1,Database!$F$1:$AY$1,),))))</f>
        <v/>
      </c>
      <c r="M131" s="13">
        <f>((((VLOOKUP(B131,Database!$F:$AY,MATCH($M$1,Database!$F$1:$AY$1,),))))-(((VLOOKUP(EDATE(B131,-12),Database!$F:$AY,MATCH($M$1,Database!$F$1:$AY$1,),)))))/(((VLOOKUP(EDATE(B131,-12),Database!$F:$AY,MATCH($M$1,Database!$F$1:$AY$1,),))))</f>
        <v/>
      </c>
      <c r="N131" s="13">
        <f>((((VLOOKUP(B131,Database!$F:$AY,MATCH($N$1,Database!$F$1:$AY$1,),))))-(((VLOOKUP(EDATE(B131,-12),Database!$F:$AY,MATCH($N$1,Database!$F$1:$AY$1,),)))))/(((VLOOKUP(EDATE(B131,-12),Database!$F:$AY,MATCH($N$1,Database!$F$1:$AY$1,),))))</f>
        <v/>
      </c>
      <c r="O131" s="13">
        <f>((((VLOOKUP(B131,Database!$F:$AY,MATCH($O$1,Database!$F$1:$AY$1,),))))-(((VLOOKUP(EDATE(B131,-12),Database!$F:$AY,MATCH($O$1,Database!$F$1:$AY$1,),)))))/(((VLOOKUP(EDATE(B131,-12),Database!$F:$AY,MATCH($O$1,Database!$F$1:$AY$1,),))))</f>
        <v/>
      </c>
      <c r="P131" s="13">
        <f>((((VLOOKUP(B131,Database!$F:$AY,MATCH($P$1,Database!$F$1:$AY$1,),))))-(((VLOOKUP(EDATE(B131,-12),Database!$F:$AY,MATCH($P$1,Database!$F$1:$AY$1,),)))))/(((VLOOKUP(EDATE(B131,-12),Database!$F:$AY,MATCH($P$1,Database!$F$1:$AY$1,),))))</f>
        <v/>
      </c>
      <c r="Q131" s="13">
        <f>((((VLOOKUP(B131,Database!$F:$AY,MATCH($Q$1,Database!$F$1:$AY$1,),))))-(((VLOOKUP(EDATE(B131,-12),Database!$F:$AY,MATCH($Q$1,Database!$F$1:$AY$1,),)))))/(((VLOOKUP(EDATE(B131,-12),Database!$F:$AY,MATCH($Q$1,Database!$F$1:$AY$1,),))))</f>
        <v/>
      </c>
      <c r="R131" s="13">
        <f>((((VLOOKUP(B131,Database!$F:$AY,MATCH($R$1,Database!$F$1:$AY$1,),))))-(((VLOOKUP(EDATE(B131,-12),Database!$F:$AY,MATCH($R$1,Database!$F$1:$AY$1,),)))))/(((VLOOKUP(EDATE(B131,-12),Database!$F:$AY,MATCH($R$1,Database!$F$1:$AY$1,),))))</f>
        <v/>
      </c>
      <c r="S131" s="13">
        <f>((((VLOOKUP(B131,Database!$F:$AY,MATCH($S$1,Database!$F$1:$AY$1,),))))-(((VLOOKUP(EDATE(B131,-12),Database!$F:$AY,MATCH($S$1,Database!$F$1:$AY$1,),)))))/(((VLOOKUP(EDATE(B131,-12),Database!$F:$AY,MATCH($S$1,Database!$F$1:$AY$1,),))))</f>
        <v/>
      </c>
      <c r="T131" s="13">
        <f>((((VLOOKUP(B131,Database!$F:$AY,MATCH($T$1,Database!$F$1:$AY$1,),))))-(((VLOOKUP(EDATE(B131,-12),Database!$F:$AY,MATCH($T$1,Database!$F$1:$AY$1,),)))))/(((VLOOKUP(EDATE(B131,-12),Database!$F:$AY,MATCH($T$1,Database!$F$1:$AY$1,),))))</f>
        <v/>
      </c>
      <c r="U131" s="13">
        <f>((((VLOOKUP(B131,Database!$F:$AY,MATCH($U$1,Database!$F$1:$AY$1,),))))-(((VLOOKUP(EDATE(B131,-12),Database!$F:$AY,MATCH($U$1,Database!$F$1:$AY$1,),)))))/(((VLOOKUP(EDATE(B131,-12),Database!$F:$AY,MATCH($U$1,Database!$F$1:$AY$1,),))))</f>
        <v/>
      </c>
      <c r="V131" s="13">
        <f>((((VLOOKUP(B131,Database!$F:$AY,MATCH($V$1,Database!$F$1:$AY$1,),))))-(((VLOOKUP(EDATE(B131,-12),Database!$F:$AY,MATCH($V$1,Database!$F$1:$AY$1,),)))))/(((VLOOKUP(EDATE(B131,-12),Database!$F:$AY,MATCH($V$1,Database!$F$1:$AY$1,),))))</f>
        <v/>
      </c>
    </row>
    <row r="132" customFormat="1" s="100">
      <c r="A132" s="45" t="n"/>
      <c r="B132" s="46" t="n">
        <v>36161</v>
      </c>
      <c r="C132" s="13">
        <f>((((VLOOKUP(B132,Database!$F:$AY,MATCH($C$1,Database!$F$1:$AY$1,),))))-(((VLOOKUP(EDATE(B132,-12),Database!$F:$AY,MATCH($C$1,Database!$F$1:$AY$1,),)))))/(((VLOOKUP(EDATE(B132,-12),Database!$F:$AY,MATCH($C$1,Database!$F$1:$AY$1,),))))</f>
        <v/>
      </c>
      <c r="D132" s="13">
        <f>((((VLOOKUP(B132,Database!$F:$AY,MATCH($D$1,Database!$F$1:$AY$1,),))))-(((VLOOKUP(EDATE(B132,-12),Database!$F:$AY,MATCH($D$1,Database!$F$1:$AY$1,),)))))/(((VLOOKUP(EDATE(B132,-12),Database!$F:$AY,MATCH($D$1,Database!$F$1:$AY$1,),))))</f>
        <v/>
      </c>
      <c r="E132" s="13">
        <f>((((VLOOKUP(B132,Database!$F:$AY,MATCH($E$1,Database!$F$1:$AY$1,),))))-(((VLOOKUP(EDATE(B132,-12),Database!$F:$AY,MATCH($E$1,Database!$F$1:$AY$1,),)))))/(((VLOOKUP(EDATE(B132,-12),Database!$F:$AY,MATCH($E$1,Database!$F$1:$AY$1,),))))</f>
        <v/>
      </c>
      <c r="F132" s="13">
        <f>((((VLOOKUP(B132,Database!$F:$AY,MATCH($F$1,Database!$F$1:$AY$1,),))))-(((VLOOKUP(EDATE(B132,-12),Database!$F:$AY,MATCH($F$1,Database!$F$1:$AY$1,),)))))/(((VLOOKUP(EDATE(B132,-12),Database!$F:$AY,MATCH($F$1,Database!$F$1:$AY$1,),))))</f>
        <v/>
      </c>
      <c r="G132" s="13">
        <f>((((VLOOKUP(B132,Database!$F:$AY,MATCH($G$1,Database!$F$1:$AY$1,),))))-(((VLOOKUP(EDATE(B132,-12),Database!$F:$AY,MATCH($G$1,Database!$F$1:$AY$1,),)))))/(((VLOOKUP(EDATE(B132,-12),Database!$F:$AY,MATCH($G$1,Database!$F$1:$AY$1,),))))</f>
        <v/>
      </c>
      <c r="H132" s="13">
        <f>((((VLOOKUP(B132,Database!$F:$AY,MATCH($H$1,Database!$F$1:$AY$1,),))))-(((VLOOKUP(EDATE(B132,-12),Database!$F:$AY,MATCH($H$1,Database!$F$1:$AY$1,),)))))/(((VLOOKUP(EDATE(B132,-12),Database!$F:$AY,MATCH($H$1,Database!$F$1:$AY$1,),))))</f>
        <v/>
      </c>
      <c r="I132" s="13">
        <f>((((VLOOKUP(B132,Database!$F:$AY,MATCH($I$1,Database!$F$1:$AY$1,),))))-(((VLOOKUP(EDATE(B132,-12),Database!$F:$AY,MATCH($I$1,Database!$F$1:$AY$1,),)))))/(((VLOOKUP(EDATE(B132,-12),Database!$F:$AY,MATCH($I$1,Database!$F$1:$AY$1,),))))</f>
        <v/>
      </c>
      <c r="J132" s="13">
        <f>((((VLOOKUP(B132,Database!$F:$AY,MATCH($J$1,Database!$F$1:$AY$1,),))))-(((VLOOKUP(EDATE(B132,-12),Database!$F:$AY,MATCH($J$1,Database!$F$1:$AY$1,),)))))/(((VLOOKUP(EDATE(B132,-12),Database!$F:$AY,MATCH($J$1,Database!$F$1:$AY$1,),))))</f>
        <v/>
      </c>
      <c r="K132" s="13">
        <f>((((VLOOKUP(B132,Database!$F:$AY,MATCH($K$1,Database!$F$1:$AY$1,),))))-(((VLOOKUP(EDATE(B132,-12),Database!$F:$AY,MATCH($K$1,Database!$F$1:$AY$1,),)))))/(((VLOOKUP(EDATE(B132,-12),Database!$F:$AY,MATCH($K$1,Database!$F$1:$AY$1,),))))</f>
        <v/>
      </c>
      <c r="L132" s="13">
        <f>((((VLOOKUP(B132,Database!$F:$AY,MATCH($L$1,Database!$F$1:$AY$1,),))))-(((VLOOKUP(EDATE(B132,-12),Database!$F:$AY,MATCH($L$1,Database!$F$1:$AY$1,),)))))/(((VLOOKUP(EDATE(B132,-12),Database!$F:$AY,MATCH($L$1,Database!$F$1:$AY$1,),))))</f>
        <v/>
      </c>
      <c r="M132" s="13">
        <f>((((VLOOKUP(B132,Database!$F:$AY,MATCH($M$1,Database!$F$1:$AY$1,),))))-(((VLOOKUP(EDATE(B132,-12),Database!$F:$AY,MATCH($M$1,Database!$F$1:$AY$1,),)))))/(((VLOOKUP(EDATE(B132,-12),Database!$F:$AY,MATCH($M$1,Database!$F$1:$AY$1,),))))</f>
        <v/>
      </c>
      <c r="N132" s="13">
        <f>((((VLOOKUP(B132,Database!$F:$AY,MATCH($N$1,Database!$F$1:$AY$1,),))))-(((VLOOKUP(EDATE(B132,-12),Database!$F:$AY,MATCH($N$1,Database!$F$1:$AY$1,),)))))/(((VLOOKUP(EDATE(B132,-12),Database!$F:$AY,MATCH($N$1,Database!$F$1:$AY$1,),))))</f>
        <v/>
      </c>
      <c r="O132" s="13">
        <f>((((VLOOKUP(B132,Database!$F:$AY,MATCH($O$1,Database!$F$1:$AY$1,),))))-(((VLOOKUP(EDATE(B132,-12),Database!$F:$AY,MATCH($O$1,Database!$F$1:$AY$1,),)))))/(((VLOOKUP(EDATE(B132,-12),Database!$F:$AY,MATCH($O$1,Database!$F$1:$AY$1,),))))</f>
        <v/>
      </c>
      <c r="P132" s="13">
        <f>((((VLOOKUP(B132,Database!$F:$AY,MATCH($P$1,Database!$F$1:$AY$1,),))))-(((VLOOKUP(EDATE(B132,-12),Database!$F:$AY,MATCH($P$1,Database!$F$1:$AY$1,),)))))/(((VLOOKUP(EDATE(B132,-12),Database!$F:$AY,MATCH($P$1,Database!$F$1:$AY$1,),))))</f>
        <v/>
      </c>
      <c r="Q132" s="13">
        <f>((((VLOOKUP(B132,Database!$F:$AY,MATCH($Q$1,Database!$F$1:$AY$1,),))))-(((VLOOKUP(EDATE(B132,-12),Database!$F:$AY,MATCH($Q$1,Database!$F$1:$AY$1,),)))))/(((VLOOKUP(EDATE(B132,-12),Database!$F:$AY,MATCH($Q$1,Database!$F$1:$AY$1,),))))</f>
        <v/>
      </c>
      <c r="R132" s="13">
        <f>((((VLOOKUP(B132,Database!$F:$AY,MATCH($R$1,Database!$F$1:$AY$1,),))))-(((VLOOKUP(EDATE(B132,-12),Database!$F:$AY,MATCH($R$1,Database!$F$1:$AY$1,),)))))/(((VLOOKUP(EDATE(B132,-12),Database!$F:$AY,MATCH($R$1,Database!$F$1:$AY$1,),))))</f>
        <v/>
      </c>
      <c r="S132" s="13">
        <f>((((VLOOKUP(B132,Database!$F:$AY,MATCH($S$1,Database!$F$1:$AY$1,),))))-(((VLOOKUP(EDATE(B132,-12),Database!$F:$AY,MATCH($S$1,Database!$F$1:$AY$1,),)))))/(((VLOOKUP(EDATE(B132,-12),Database!$F:$AY,MATCH($S$1,Database!$F$1:$AY$1,),))))</f>
        <v/>
      </c>
      <c r="T132" s="13">
        <f>((((VLOOKUP(B132,Database!$F:$AY,MATCH($T$1,Database!$F$1:$AY$1,),))))-(((VLOOKUP(EDATE(B132,-12),Database!$F:$AY,MATCH($T$1,Database!$F$1:$AY$1,),)))))/(((VLOOKUP(EDATE(B132,-12),Database!$F:$AY,MATCH($T$1,Database!$F$1:$AY$1,),))))</f>
        <v/>
      </c>
      <c r="U132" s="13">
        <f>((((VLOOKUP(B132,Database!$F:$AY,MATCH($U$1,Database!$F$1:$AY$1,),))))-(((VLOOKUP(EDATE(B132,-12),Database!$F:$AY,MATCH($U$1,Database!$F$1:$AY$1,),)))))/(((VLOOKUP(EDATE(B132,-12),Database!$F:$AY,MATCH($U$1,Database!$F$1:$AY$1,),))))</f>
        <v/>
      </c>
      <c r="V132" s="13">
        <f>((((VLOOKUP(B132,Database!$F:$AY,MATCH($V$1,Database!$F$1:$AY$1,),))))-(((VLOOKUP(EDATE(B132,-12),Database!$F:$AY,MATCH($V$1,Database!$F$1:$AY$1,),)))))/(((VLOOKUP(EDATE(B132,-12),Database!$F:$AY,MATCH($V$1,Database!$F$1:$AY$1,),))))</f>
        <v/>
      </c>
    </row>
    <row r="133" customFormat="1" s="100">
      <c r="A133" s="45" t="n"/>
      <c r="B133" s="46" t="n">
        <v>36192</v>
      </c>
      <c r="C133" s="13">
        <f>((((VLOOKUP(B133,Database!$F:$AY,MATCH($C$1,Database!$F$1:$AY$1,),))))-(((VLOOKUP(EDATE(B133,-12),Database!$F:$AY,MATCH($C$1,Database!$F$1:$AY$1,),)))))/(((VLOOKUP(EDATE(B133,-12),Database!$F:$AY,MATCH($C$1,Database!$F$1:$AY$1,),))))</f>
        <v/>
      </c>
      <c r="D133" s="13">
        <f>((((VLOOKUP(B133,Database!$F:$AY,MATCH($D$1,Database!$F$1:$AY$1,),))))-(((VLOOKUP(EDATE(B133,-12),Database!$F:$AY,MATCH($D$1,Database!$F$1:$AY$1,),)))))/(((VLOOKUP(EDATE(B133,-12),Database!$F:$AY,MATCH($D$1,Database!$F$1:$AY$1,),))))</f>
        <v/>
      </c>
      <c r="E133" s="13">
        <f>((((VLOOKUP(B133,Database!$F:$AY,MATCH($E$1,Database!$F$1:$AY$1,),))))-(((VLOOKUP(EDATE(B133,-12),Database!$F:$AY,MATCH($E$1,Database!$F$1:$AY$1,),)))))/(((VLOOKUP(EDATE(B133,-12),Database!$F:$AY,MATCH($E$1,Database!$F$1:$AY$1,),))))</f>
        <v/>
      </c>
      <c r="F133" s="13">
        <f>((((VLOOKUP(B133,Database!$F:$AY,MATCH($F$1,Database!$F$1:$AY$1,),))))-(((VLOOKUP(EDATE(B133,-12),Database!$F:$AY,MATCH($F$1,Database!$F$1:$AY$1,),)))))/(((VLOOKUP(EDATE(B133,-12),Database!$F:$AY,MATCH($F$1,Database!$F$1:$AY$1,),))))</f>
        <v/>
      </c>
      <c r="G133" s="13">
        <f>((((VLOOKUP(B133,Database!$F:$AY,MATCH($G$1,Database!$F$1:$AY$1,),))))-(((VLOOKUP(EDATE(B133,-12),Database!$F:$AY,MATCH($G$1,Database!$F$1:$AY$1,),)))))/(((VLOOKUP(EDATE(B133,-12),Database!$F:$AY,MATCH($G$1,Database!$F$1:$AY$1,),))))</f>
        <v/>
      </c>
      <c r="H133" s="13">
        <f>((((VLOOKUP(B133,Database!$F:$AY,MATCH($H$1,Database!$F$1:$AY$1,),))))-(((VLOOKUP(EDATE(B133,-12),Database!$F:$AY,MATCH($H$1,Database!$F$1:$AY$1,),)))))/(((VLOOKUP(EDATE(B133,-12),Database!$F:$AY,MATCH($H$1,Database!$F$1:$AY$1,),))))</f>
        <v/>
      </c>
      <c r="I133" s="13">
        <f>((((VLOOKUP(B133,Database!$F:$AY,MATCH($I$1,Database!$F$1:$AY$1,),))))-(((VLOOKUP(EDATE(B133,-12),Database!$F:$AY,MATCH($I$1,Database!$F$1:$AY$1,),)))))/(((VLOOKUP(EDATE(B133,-12),Database!$F:$AY,MATCH($I$1,Database!$F$1:$AY$1,),))))</f>
        <v/>
      </c>
      <c r="J133" s="13">
        <f>((((VLOOKUP(B133,Database!$F:$AY,MATCH($J$1,Database!$F$1:$AY$1,),))))-(((VLOOKUP(EDATE(B133,-12),Database!$F:$AY,MATCH($J$1,Database!$F$1:$AY$1,),)))))/(((VLOOKUP(EDATE(B133,-12),Database!$F:$AY,MATCH($J$1,Database!$F$1:$AY$1,),))))</f>
        <v/>
      </c>
      <c r="K133" s="13">
        <f>((((VLOOKUP(B133,Database!$F:$AY,MATCH($K$1,Database!$F$1:$AY$1,),))))-(((VLOOKUP(EDATE(B133,-12),Database!$F:$AY,MATCH($K$1,Database!$F$1:$AY$1,),)))))/(((VLOOKUP(EDATE(B133,-12),Database!$F:$AY,MATCH($K$1,Database!$F$1:$AY$1,),))))</f>
        <v/>
      </c>
      <c r="L133" s="13">
        <f>((((VLOOKUP(B133,Database!$F:$AY,MATCH($L$1,Database!$F$1:$AY$1,),))))-(((VLOOKUP(EDATE(B133,-12),Database!$F:$AY,MATCH($L$1,Database!$F$1:$AY$1,),)))))/(((VLOOKUP(EDATE(B133,-12),Database!$F:$AY,MATCH($L$1,Database!$F$1:$AY$1,),))))</f>
        <v/>
      </c>
      <c r="M133" s="13">
        <f>((((VLOOKUP(B133,Database!$F:$AY,MATCH($M$1,Database!$F$1:$AY$1,),))))-(((VLOOKUP(EDATE(B133,-12),Database!$F:$AY,MATCH($M$1,Database!$F$1:$AY$1,),)))))/(((VLOOKUP(EDATE(B133,-12),Database!$F:$AY,MATCH($M$1,Database!$F$1:$AY$1,),))))</f>
        <v/>
      </c>
      <c r="N133" s="13">
        <f>((((VLOOKUP(B133,Database!$F:$AY,MATCH($N$1,Database!$F$1:$AY$1,),))))-(((VLOOKUP(EDATE(B133,-12),Database!$F:$AY,MATCH($N$1,Database!$F$1:$AY$1,),)))))/(((VLOOKUP(EDATE(B133,-12),Database!$F:$AY,MATCH($N$1,Database!$F$1:$AY$1,),))))</f>
        <v/>
      </c>
      <c r="O133" s="13">
        <f>((((VLOOKUP(B133,Database!$F:$AY,MATCH($O$1,Database!$F$1:$AY$1,),))))-(((VLOOKUP(EDATE(B133,-12),Database!$F:$AY,MATCH($O$1,Database!$F$1:$AY$1,),)))))/(((VLOOKUP(EDATE(B133,-12),Database!$F:$AY,MATCH($O$1,Database!$F$1:$AY$1,),))))</f>
        <v/>
      </c>
      <c r="P133" s="13">
        <f>((((VLOOKUP(B133,Database!$F:$AY,MATCH($P$1,Database!$F$1:$AY$1,),))))-(((VLOOKUP(EDATE(B133,-12),Database!$F:$AY,MATCH($P$1,Database!$F$1:$AY$1,),)))))/(((VLOOKUP(EDATE(B133,-12),Database!$F:$AY,MATCH($P$1,Database!$F$1:$AY$1,),))))</f>
        <v/>
      </c>
      <c r="Q133" s="13">
        <f>((((VLOOKUP(B133,Database!$F:$AY,MATCH($Q$1,Database!$F$1:$AY$1,),))))-(((VLOOKUP(EDATE(B133,-12),Database!$F:$AY,MATCH($Q$1,Database!$F$1:$AY$1,),)))))/(((VLOOKUP(EDATE(B133,-12),Database!$F:$AY,MATCH($Q$1,Database!$F$1:$AY$1,),))))</f>
        <v/>
      </c>
      <c r="R133" s="13">
        <f>((((VLOOKUP(B133,Database!$F:$AY,MATCH($R$1,Database!$F$1:$AY$1,),))))-(((VLOOKUP(EDATE(B133,-12),Database!$F:$AY,MATCH($R$1,Database!$F$1:$AY$1,),)))))/(((VLOOKUP(EDATE(B133,-12),Database!$F:$AY,MATCH($R$1,Database!$F$1:$AY$1,),))))</f>
        <v/>
      </c>
      <c r="S133" s="13">
        <f>((((VLOOKUP(B133,Database!$F:$AY,MATCH($S$1,Database!$F$1:$AY$1,),))))-(((VLOOKUP(EDATE(B133,-12),Database!$F:$AY,MATCH($S$1,Database!$F$1:$AY$1,),)))))/(((VLOOKUP(EDATE(B133,-12),Database!$F:$AY,MATCH($S$1,Database!$F$1:$AY$1,),))))</f>
        <v/>
      </c>
      <c r="T133" s="13">
        <f>((((VLOOKUP(B133,Database!$F:$AY,MATCH($T$1,Database!$F$1:$AY$1,),))))-(((VLOOKUP(EDATE(B133,-12),Database!$F:$AY,MATCH($T$1,Database!$F$1:$AY$1,),)))))/(((VLOOKUP(EDATE(B133,-12),Database!$F:$AY,MATCH($T$1,Database!$F$1:$AY$1,),))))</f>
        <v/>
      </c>
      <c r="U133" s="13">
        <f>((((VLOOKUP(B133,Database!$F:$AY,MATCH($U$1,Database!$F$1:$AY$1,),))))-(((VLOOKUP(EDATE(B133,-12),Database!$F:$AY,MATCH($U$1,Database!$F$1:$AY$1,),)))))/(((VLOOKUP(EDATE(B133,-12),Database!$F:$AY,MATCH($U$1,Database!$F$1:$AY$1,),))))</f>
        <v/>
      </c>
      <c r="V133" s="13">
        <f>((((VLOOKUP(B133,Database!$F:$AY,MATCH($V$1,Database!$F$1:$AY$1,),))))-(((VLOOKUP(EDATE(B133,-12),Database!$F:$AY,MATCH($V$1,Database!$F$1:$AY$1,),)))))/(((VLOOKUP(EDATE(B133,-12),Database!$F:$AY,MATCH($V$1,Database!$F$1:$AY$1,),))))</f>
        <v/>
      </c>
    </row>
    <row r="134" customFormat="1" s="100">
      <c r="A134" s="45" t="n"/>
      <c r="B134" s="46" t="n">
        <v>36220</v>
      </c>
      <c r="C134" s="13">
        <f>((((VLOOKUP(B134,Database!$F:$AY,MATCH($C$1,Database!$F$1:$AY$1,),))))-(((VLOOKUP(EDATE(B134,-12),Database!$F:$AY,MATCH($C$1,Database!$F$1:$AY$1,),)))))/(((VLOOKUP(EDATE(B134,-12),Database!$F:$AY,MATCH($C$1,Database!$F$1:$AY$1,),))))</f>
        <v/>
      </c>
      <c r="D134" s="13">
        <f>((((VLOOKUP(B134,Database!$F:$AY,MATCH($D$1,Database!$F$1:$AY$1,),))))-(((VLOOKUP(EDATE(B134,-12),Database!$F:$AY,MATCH($D$1,Database!$F$1:$AY$1,),)))))/(((VLOOKUP(EDATE(B134,-12),Database!$F:$AY,MATCH($D$1,Database!$F$1:$AY$1,),))))</f>
        <v/>
      </c>
      <c r="E134" s="13">
        <f>((((VLOOKUP(B134,Database!$F:$AY,MATCH($E$1,Database!$F$1:$AY$1,),))))-(((VLOOKUP(EDATE(B134,-12),Database!$F:$AY,MATCH($E$1,Database!$F$1:$AY$1,),)))))/(((VLOOKUP(EDATE(B134,-12),Database!$F:$AY,MATCH($E$1,Database!$F$1:$AY$1,),))))</f>
        <v/>
      </c>
      <c r="F134" s="13">
        <f>((((VLOOKUP(B134,Database!$F:$AY,MATCH($F$1,Database!$F$1:$AY$1,),))))-(((VLOOKUP(EDATE(B134,-12),Database!$F:$AY,MATCH($F$1,Database!$F$1:$AY$1,),)))))/(((VLOOKUP(EDATE(B134,-12),Database!$F:$AY,MATCH($F$1,Database!$F$1:$AY$1,),))))</f>
        <v/>
      </c>
      <c r="G134" s="13">
        <f>((((VLOOKUP(B134,Database!$F:$AY,MATCH($G$1,Database!$F$1:$AY$1,),))))-(((VLOOKUP(EDATE(B134,-12),Database!$F:$AY,MATCH($G$1,Database!$F$1:$AY$1,),)))))/(((VLOOKUP(EDATE(B134,-12),Database!$F:$AY,MATCH($G$1,Database!$F$1:$AY$1,),))))</f>
        <v/>
      </c>
      <c r="H134" s="13">
        <f>((((VLOOKUP(B134,Database!$F:$AY,MATCH($H$1,Database!$F$1:$AY$1,),))))-(((VLOOKUP(EDATE(B134,-12),Database!$F:$AY,MATCH($H$1,Database!$F$1:$AY$1,),)))))/(((VLOOKUP(EDATE(B134,-12),Database!$F:$AY,MATCH($H$1,Database!$F$1:$AY$1,),))))</f>
        <v/>
      </c>
      <c r="I134" s="13">
        <f>((((VLOOKUP(B134,Database!$F:$AY,MATCH($I$1,Database!$F$1:$AY$1,),))))-(((VLOOKUP(EDATE(B134,-12),Database!$F:$AY,MATCH($I$1,Database!$F$1:$AY$1,),)))))/(((VLOOKUP(EDATE(B134,-12),Database!$F:$AY,MATCH($I$1,Database!$F$1:$AY$1,),))))</f>
        <v/>
      </c>
      <c r="J134" s="13">
        <f>((((VLOOKUP(B134,Database!$F:$AY,MATCH($J$1,Database!$F$1:$AY$1,),))))-(((VLOOKUP(EDATE(B134,-12),Database!$F:$AY,MATCH($J$1,Database!$F$1:$AY$1,),)))))/(((VLOOKUP(EDATE(B134,-12),Database!$F:$AY,MATCH($J$1,Database!$F$1:$AY$1,),))))</f>
        <v/>
      </c>
      <c r="K134" s="13">
        <f>((((VLOOKUP(B134,Database!$F:$AY,MATCH($K$1,Database!$F$1:$AY$1,),))))-(((VLOOKUP(EDATE(B134,-12),Database!$F:$AY,MATCH($K$1,Database!$F$1:$AY$1,),)))))/(((VLOOKUP(EDATE(B134,-12),Database!$F:$AY,MATCH($K$1,Database!$F$1:$AY$1,),))))</f>
        <v/>
      </c>
      <c r="L134" s="13">
        <f>((((VLOOKUP(B134,Database!$F:$AY,MATCH($L$1,Database!$F$1:$AY$1,),))))-(((VLOOKUP(EDATE(B134,-12),Database!$F:$AY,MATCH($L$1,Database!$F$1:$AY$1,),)))))/(((VLOOKUP(EDATE(B134,-12),Database!$F:$AY,MATCH($L$1,Database!$F$1:$AY$1,),))))</f>
        <v/>
      </c>
      <c r="M134" s="13">
        <f>((((VLOOKUP(B134,Database!$F:$AY,MATCH($M$1,Database!$F$1:$AY$1,),))))-(((VLOOKUP(EDATE(B134,-12),Database!$F:$AY,MATCH($M$1,Database!$F$1:$AY$1,),)))))/(((VLOOKUP(EDATE(B134,-12),Database!$F:$AY,MATCH($M$1,Database!$F$1:$AY$1,),))))</f>
        <v/>
      </c>
      <c r="N134" s="13">
        <f>((((VLOOKUP(B134,Database!$F:$AY,MATCH($N$1,Database!$F$1:$AY$1,),))))-(((VLOOKUP(EDATE(B134,-12),Database!$F:$AY,MATCH($N$1,Database!$F$1:$AY$1,),)))))/(((VLOOKUP(EDATE(B134,-12),Database!$F:$AY,MATCH($N$1,Database!$F$1:$AY$1,),))))</f>
        <v/>
      </c>
      <c r="O134" s="13">
        <f>((((VLOOKUP(B134,Database!$F:$AY,MATCH($O$1,Database!$F$1:$AY$1,),))))-(((VLOOKUP(EDATE(B134,-12),Database!$F:$AY,MATCH($O$1,Database!$F$1:$AY$1,),)))))/(((VLOOKUP(EDATE(B134,-12),Database!$F:$AY,MATCH($O$1,Database!$F$1:$AY$1,),))))</f>
        <v/>
      </c>
      <c r="P134" s="13">
        <f>((((VLOOKUP(B134,Database!$F:$AY,MATCH($P$1,Database!$F$1:$AY$1,),))))-(((VLOOKUP(EDATE(B134,-12),Database!$F:$AY,MATCH($P$1,Database!$F$1:$AY$1,),)))))/(((VLOOKUP(EDATE(B134,-12),Database!$F:$AY,MATCH($P$1,Database!$F$1:$AY$1,),))))</f>
        <v/>
      </c>
      <c r="Q134" s="13">
        <f>((((VLOOKUP(B134,Database!$F:$AY,MATCH($Q$1,Database!$F$1:$AY$1,),))))-(((VLOOKUP(EDATE(B134,-12),Database!$F:$AY,MATCH($Q$1,Database!$F$1:$AY$1,),)))))/(((VLOOKUP(EDATE(B134,-12),Database!$F:$AY,MATCH($Q$1,Database!$F$1:$AY$1,),))))</f>
        <v/>
      </c>
      <c r="R134" s="13">
        <f>((((VLOOKUP(B134,Database!$F:$AY,MATCH($R$1,Database!$F$1:$AY$1,),))))-(((VLOOKUP(EDATE(B134,-12),Database!$F:$AY,MATCH($R$1,Database!$F$1:$AY$1,),)))))/(((VLOOKUP(EDATE(B134,-12),Database!$F:$AY,MATCH($R$1,Database!$F$1:$AY$1,),))))</f>
        <v/>
      </c>
      <c r="S134" s="13">
        <f>((((VLOOKUP(B134,Database!$F:$AY,MATCH($S$1,Database!$F$1:$AY$1,),))))-(((VLOOKUP(EDATE(B134,-12),Database!$F:$AY,MATCH($S$1,Database!$F$1:$AY$1,),)))))/(((VLOOKUP(EDATE(B134,-12),Database!$F:$AY,MATCH($S$1,Database!$F$1:$AY$1,),))))</f>
        <v/>
      </c>
      <c r="T134" s="13">
        <f>((((VLOOKUP(B134,Database!$F:$AY,MATCH($T$1,Database!$F$1:$AY$1,),))))-(((VLOOKUP(EDATE(B134,-12),Database!$F:$AY,MATCH($T$1,Database!$F$1:$AY$1,),)))))/(((VLOOKUP(EDATE(B134,-12),Database!$F:$AY,MATCH($T$1,Database!$F$1:$AY$1,),))))</f>
        <v/>
      </c>
      <c r="U134" s="13">
        <f>((((VLOOKUP(B134,Database!$F:$AY,MATCH($U$1,Database!$F$1:$AY$1,),))))-(((VLOOKUP(EDATE(B134,-12),Database!$F:$AY,MATCH($U$1,Database!$F$1:$AY$1,),)))))/(((VLOOKUP(EDATE(B134,-12),Database!$F:$AY,MATCH($U$1,Database!$F$1:$AY$1,),))))</f>
        <v/>
      </c>
      <c r="V134" s="13">
        <f>((((VLOOKUP(B134,Database!$F:$AY,MATCH($V$1,Database!$F$1:$AY$1,),))))-(((VLOOKUP(EDATE(B134,-12),Database!$F:$AY,MATCH($V$1,Database!$F$1:$AY$1,),)))))/(((VLOOKUP(EDATE(B134,-12),Database!$F:$AY,MATCH($V$1,Database!$F$1:$AY$1,),))))</f>
        <v/>
      </c>
    </row>
    <row r="135" customFormat="1" s="100">
      <c r="A135" s="45" t="n"/>
      <c r="B135" s="46" t="n">
        <v>36251</v>
      </c>
      <c r="C135" s="13">
        <f>((((VLOOKUP(B135,Database!$F:$AY,MATCH($C$1,Database!$F$1:$AY$1,),))))-(((VLOOKUP(EDATE(B135,-12),Database!$F:$AY,MATCH($C$1,Database!$F$1:$AY$1,),)))))/(((VLOOKUP(EDATE(B135,-12),Database!$F:$AY,MATCH($C$1,Database!$F$1:$AY$1,),))))</f>
        <v/>
      </c>
      <c r="D135" s="13">
        <f>((((VLOOKUP(B135,Database!$F:$AY,MATCH($D$1,Database!$F$1:$AY$1,),))))-(((VLOOKUP(EDATE(B135,-12),Database!$F:$AY,MATCH($D$1,Database!$F$1:$AY$1,),)))))/(((VLOOKUP(EDATE(B135,-12),Database!$F:$AY,MATCH($D$1,Database!$F$1:$AY$1,),))))</f>
        <v/>
      </c>
      <c r="E135" s="13">
        <f>((((VLOOKUP(B135,Database!$F:$AY,MATCH($E$1,Database!$F$1:$AY$1,),))))-(((VLOOKUP(EDATE(B135,-12),Database!$F:$AY,MATCH($E$1,Database!$F$1:$AY$1,),)))))/(((VLOOKUP(EDATE(B135,-12),Database!$F:$AY,MATCH($E$1,Database!$F$1:$AY$1,),))))</f>
        <v/>
      </c>
      <c r="F135" s="13">
        <f>((((VLOOKUP(B135,Database!$F:$AY,MATCH($F$1,Database!$F$1:$AY$1,),))))-(((VLOOKUP(EDATE(B135,-12),Database!$F:$AY,MATCH($F$1,Database!$F$1:$AY$1,),)))))/(((VLOOKUP(EDATE(B135,-12),Database!$F:$AY,MATCH($F$1,Database!$F$1:$AY$1,),))))</f>
        <v/>
      </c>
      <c r="G135" s="13">
        <f>((((VLOOKUP(B135,Database!$F:$AY,MATCH($G$1,Database!$F$1:$AY$1,),))))-(((VLOOKUP(EDATE(B135,-12),Database!$F:$AY,MATCH($G$1,Database!$F$1:$AY$1,),)))))/(((VLOOKUP(EDATE(B135,-12),Database!$F:$AY,MATCH($G$1,Database!$F$1:$AY$1,),))))</f>
        <v/>
      </c>
      <c r="H135" s="13">
        <f>((((VLOOKUP(B135,Database!$F:$AY,MATCH($H$1,Database!$F$1:$AY$1,),))))-(((VLOOKUP(EDATE(B135,-12),Database!$F:$AY,MATCH($H$1,Database!$F$1:$AY$1,),)))))/(((VLOOKUP(EDATE(B135,-12),Database!$F:$AY,MATCH($H$1,Database!$F$1:$AY$1,),))))</f>
        <v/>
      </c>
      <c r="I135" s="13">
        <f>((((VLOOKUP(B135,Database!$F:$AY,MATCH($I$1,Database!$F$1:$AY$1,),))))-(((VLOOKUP(EDATE(B135,-12),Database!$F:$AY,MATCH($I$1,Database!$F$1:$AY$1,),)))))/(((VLOOKUP(EDATE(B135,-12),Database!$F:$AY,MATCH($I$1,Database!$F$1:$AY$1,),))))</f>
        <v/>
      </c>
      <c r="J135" s="13">
        <f>((((VLOOKUP(B135,Database!$F:$AY,MATCH($J$1,Database!$F$1:$AY$1,),))))-(((VLOOKUP(EDATE(B135,-12),Database!$F:$AY,MATCH($J$1,Database!$F$1:$AY$1,),)))))/(((VLOOKUP(EDATE(B135,-12),Database!$F:$AY,MATCH($J$1,Database!$F$1:$AY$1,),))))</f>
        <v/>
      </c>
      <c r="K135" s="13">
        <f>((((VLOOKUP(B135,Database!$F:$AY,MATCH($K$1,Database!$F$1:$AY$1,),))))-(((VLOOKUP(EDATE(B135,-12),Database!$F:$AY,MATCH($K$1,Database!$F$1:$AY$1,),)))))/(((VLOOKUP(EDATE(B135,-12),Database!$F:$AY,MATCH($K$1,Database!$F$1:$AY$1,),))))</f>
        <v/>
      </c>
      <c r="L135" s="13">
        <f>((((VLOOKUP(B135,Database!$F:$AY,MATCH($L$1,Database!$F$1:$AY$1,),))))-(((VLOOKUP(EDATE(B135,-12),Database!$F:$AY,MATCH($L$1,Database!$F$1:$AY$1,),)))))/(((VLOOKUP(EDATE(B135,-12),Database!$F:$AY,MATCH($L$1,Database!$F$1:$AY$1,),))))</f>
        <v/>
      </c>
      <c r="M135" s="13">
        <f>((((VLOOKUP(B135,Database!$F:$AY,MATCH($M$1,Database!$F$1:$AY$1,),))))-(((VLOOKUP(EDATE(B135,-12),Database!$F:$AY,MATCH($M$1,Database!$F$1:$AY$1,),)))))/(((VLOOKUP(EDATE(B135,-12),Database!$F:$AY,MATCH($M$1,Database!$F$1:$AY$1,),))))</f>
        <v/>
      </c>
      <c r="N135" s="13">
        <f>((((VLOOKUP(B135,Database!$F:$AY,MATCH($N$1,Database!$F$1:$AY$1,),))))-(((VLOOKUP(EDATE(B135,-12),Database!$F:$AY,MATCH($N$1,Database!$F$1:$AY$1,),)))))/(((VLOOKUP(EDATE(B135,-12),Database!$F:$AY,MATCH($N$1,Database!$F$1:$AY$1,),))))</f>
        <v/>
      </c>
      <c r="O135" s="13">
        <f>((((VLOOKUP(B135,Database!$F:$AY,MATCH($O$1,Database!$F$1:$AY$1,),))))-(((VLOOKUP(EDATE(B135,-12),Database!$F:$AY,MATCH($O$1,Database!$F$1:$AY$1,),)))))/(((VLOOKUP(EDATE(B135,-12),Database!$F:$AY,MATCH($O$1,Database!$F$1:$AY$1,),))))</f>
        <v/>
      </c>
      <c r="P135" s="13">
        <f>((((VLOOKUP(B135,Database!$F:$AY,MATCH($P$1,Database!$F$1:$AY$1,),))))-(((VLOOKUP(EDATE(B135,-12),Database!$F:$AY,MATCH($P$1,Database!$F$1:$AY$1,),)))))/(((VLOOKUP(EDATE(B135,-12),Database!$F:$AY,MATCH($P$1,Database!$F$1:$AY$1,),))))</f>
        <v/>
      </c>
      <c r="Q135" s="13">
        <f>((((VLOOKUP(B135,Database!$F:$AY,MATCH($Q$1,Database!$F$1:$AY$1,),))))-(((VLOOKUP(EDATE(B135,-12),Database!$F:$AY,MATCH($Q$1,Database!$F$1:$AY$1,),)))))/(((VLOOKUP(EDATE(B135,-12),Database!$F:$AY,MATCH($Q$1,Database!$F$1:$AY$1,),))))</f>
        <v/>
      </c>
      <c r="R135" s="13">
        <f>((((VLOOKUP(B135,Database!$F:$AY,MATCH($R$1,Database!$F$1:$AY$1,),))))-(((VLOOKUP(EDATE(B135,-12),Database!$F:$AY,MATCH($R$1,Database!$F$1:$AY$1,),)))))/(((VLOOKUP(EDATE(B135,-12),Database!$F:$AY,MATCH($R$1,Database!$F$1:$AY$1,),))))</f>
        <v/>
      </c>
      <c r="S135" s="13">
        <f>((((VLOOKUP(B135,Database!$F:$AY,MATCH($S$1,Database!$F$1:$AY$1,),))))-(((VLOOKUP(EDATE(B135,-12),Database!$F:$AY,MATCH($S$1,Database!$F$1:$AY$1,),)))))/(((VLOOKUP(EDATE(B135,-12),Database!$F:$AY,MATCH($S$1,Database!$F$1:$AY$1,),))))</f>
        <v/>
      </c>
      <c r="T135" s="13">
        <f>((((VLOOKUP(B135,Database!$F:$AY,MATCH($T$1,Database!$F$1:$AY$1,),))))-(((VLOOKUP(EDATE(B135,-12),Database!$F:$AY,MATCH($T$1,Database!$F$1:$AY$1,),)))))/(((VLOOKUP(EDATE(B135,-12),Database!$F:$AY,MATCH($T$1,Database!$F$1:$AY$1,),))))</f>
        <v/>
      </c>
      <c r="U135" s="13">
        <f>((((VLOOKUP(B135,Database!$F:$AY,MATCH($U$1,Database!$F$1:$AY$1,),))))-(((VLOOKUP(EDATE(B135,-12),Database!$F:$AY,MATCH($U$1,Database!$F$1:$AY$1,),)))))/(((VLOOKUP(EDATE(B135,-12),Database!$F:$AY,MATCH($U$1,Database!$F$1:$AY$1,),))))</f>
        <v/>
      </c>
      <c r="V135" s="13">
        <f>((((VLOOKUP(B135,Database!$F:$AY,MATCH($V$1,Database!$F$1:$AY$1,),))))-(((VLOOKUP(EDATE(B135,-12),Database!$F:$AY,MATCH($V$1,Database!$F$1:$AY$1,),)))))/(((VLOOKUP(EDATE(B135,-12),Database!$F:$AY,MATCH($V$1,Database!$F$1:$AY$1,),))))</f>
        <v/>
      </c>
    </row>
    <row r="136" customFormat="1" s="100">
      <c r="A136" s="45" t="n"/>
      <c r="B136" s="46" t="n">
        <v>36281</v>
      </c>
      <c r="C136" s="13">
        <f>((((VLOOKUP(B136,Database!$F:$AY,MATCH($C$1,Database!$F$1:$AY$1,),))))-(((VLOOKUP(EDATE(B136,-12),Database!$F:$AY,MATCH($C$1,Database!$F$1:$AY$1,),)))))/(((VLOOKUP(EDATE(B136,-12),Database!$F:$AY,MATCH($C$1,Database!$F$1:$AY$1,),))))</f>
        <v/>
      </c>
      <c r="D136" s="13">
        <f>((((VLOOKUP(B136,Database!$F:$AY,MATCH($D$1,Database!$F$1:$AY$1,),))))-(((VLOOKUP(EDATE(B136,-12),Database!$F:$AY,MATCH($D$1,Database!$F$1:$AY$1,),)))))/(((VLOOKUP(EDATE(B136,-12),Database!$F:$AY,MATCH($D$1,Database!$F$1:$AY$1,),))))</f>
        <v/>
      </c>
      <c r="E136" s="13">
        <f>((((VLOOKUP(B136,Database!$F:$AY,MATCH($E$1,Database!$F$1:$AY$1,),))))-(((VLOOKUP(EDATE(B136,-12),Database!$F:$AY,MATCH($E$1,Database!$F$1:$AY$1,),)))))/(((VLOOKUP(EDATE(B136,-12),Database!$F:$AY,MATCH($E$1,Database!$F$1:$AY$1,),))))</f>
        <v/>
      </c>
      <c r="F136" s="13">
        <f>((((VLOOKUP(B136,Database!$F:$AY,MATCH($F$1,Database!$F$1:$AY$1,),))))-(((VLOOKUP(EDATE(B136,-12),Database!$F:$AY,MATCH($F$1,Database!$F$1:$AY$1,),)))))/(((VLOOKUP(EDATE(B136,-12),Database!$F:$AY,MATCH($F$1,Database!$F$1:$AY$1,),))))</f>
        <v/>
      </c>
      <c r="G136" s="13">
        <f>((((VLOOKUP(B136,Database!$F:$AY,MATCH($G$1,Database!$F$1:$AY$1,),))))-(((VLOOKUP(EDATE(B136,-12),Database!$F:$AY,MATCH($G$1,Database!$F$1:$AY$1,),)))))/(((VLOOKUP(EDATE(B136,-12),Database!$F:$AY,MATCH($G$1,Database!$F$1:$AY$1,),))))</f>
        <v/>
      </c>
      <c r="H136" s="13">
        <f>((((VLOOKUP(B136,Database!$F:$AY,MATCH($H$1,Database!$F$1:$AY$1,),))))-(((VLOOKUP(EDATE(B136,-12),Database!$F:$AY,MATCH($H$1,Database!$F$1:$AY$1,),)))))/(((VLOOKUP(EDATE(B136,-12),Database!$F:$AY,MATCH($H$1,Database!$F$1:$AY$1,),))))</f>
        <v/>
      </c>
      <c r="I136" s="13">
        <f>((((VLOOKUP(B136,Database!$F:$AY,MATCH($I$1,Database!$F$1:$AY$1,),))))-(((VLOOKUP(EDATE(B136,-12),Database!$F:$AY,MATCH($I$1,Database!$F$1:$AY$1,),)))))/(((VLOOKUP(EDATE(B136,-12),Database!$F:$AY,MATCH($I$1,Database!$F$1:$AY$1,),))))</f>
        <v/>
      </c>
      <c r="J136" s="13">
        <f>((((VLOOKUP(B136,Database!$F:$AY,MATCH($J$1,Database!$F$1:$AY$1,),))))-(((VLOOKUP(EDATE(B136,-12),Database!$F:$AY,MATCH($J$1,Database!$F$1:$AY$1,),)))))/(((VLOOKUP(EDATE(B136,-12),Database!$F:$AY,MATCH($J$1,Database!$F$1:$AY$1,),))))</f>
        <v/>
      </c>
      <c r="K136" s="13">
        <f>((((VLOOKUP(B136,Database!$F:$AY,MATCH($K$1,Database!$F$1:$AY$1,),))))-(((VLOOKUP(EDATE(B136,-12),Database!$F:$AY,MATCH($K$1,Database!$F$1:$AY$1,),)))))/(((VLOOKUP(EDATE(B136,-12),Database!$F:$AY,MATCH($K$1,Database!$F$1:$AY$1,),))))</f>
        <v/>
      </c>
      <c r="L136" s="13">
        <f>((((VLOOKUP(B136,Database!$F:$AY,MATCH($L$1,Database!$F$1:$AY$1,),))))-(((VLOOKUP(EDATE(B136,-12),Database!$F:$AY,MATCH($L$1,Database!$F$1:$AY$1,),)))))/(((VLOOKUP(EDATE(B136,-12),Database!$F:$AY,MATCH($L$1,Database!$F$1:$AY$1,),))))</f>
        <v/>
      </c>
      <c r="M136" s="13">
        <f>((((VLOOKUP(B136,Database!$F:$AY,MATCH($M$1,Database!$F$1:$AY$1,),))))-(((VLOOKUP(EDATE(B136,-12),Database!$F:$AY,MATCH($M$1,Database!$F$1:$AY$1,),)))))/(((VLOOKUP(EDATE(B136,-12),Database!$F:$AY,MATCH($M$1,Database!$F$1:$AY$1,),))))</f>
        <v/>
      </c>
      <c r="N136" s="13">
        <f>((((VLOOKUP(B136,Database!$F:$AY,MATCH($N$1,Database!$F$1:$AY$1,),))))-(((VLOOKUP(EDATE(B136,-12),Database!$F:$AY,MATCH($N$1,Database!$F$1:$AY$1,),)))))/(((VLOOKUP(EDATE(B136,-12),Database!$F:$AY,MATCH($N$1,Database!$F$1:$AY$1,),))))</f>
        <v/>
      </c>
      <c r="O136" s="13">
        <f>((((VLOOKUP(B136,Database!$F:$AY,MATCH($O$1,Database!$F$1:$AY$1,),))))-(((VLOOKUP(EDATE(B136,-12),Database!$F:$AY,MATCH($O$1,Database!$F$1:$AY$1,),)))))/(((VLOOKUP(EDATE(B136,-12),Database!$F:$AY,MATCH($O$1,Database!$F$1:$AY$1,),))))</f>
        <v/>
      </c>
      <c r="P136" s="13">
        <f>((((VLOOKUP(B136,Database!$F:$AY,MATCH($P$1,Database!$F$1:$AY$1,),))))-(((VLOOKUP(EDATE(B136,-12),Database!$F:$AY,MATCH($P$1,Database!$F$1:$AY$1,),)))))/(((VLOOKUP(EDATE(B136,-12),Database!$F:$AY,MATCH($P$1,Database!$F$1:$AY$1,),))))</f>
        <v/>
      </c>
      <c r="Q136" s="13">
        <f>((((VLOOKUP(B136,Database!$F:$AY,MATCH($Q$1,Database!$F$1:$AY$1,),))))-(((VLOOKUP(EDATE(B136,-12),Database!$F:$AY,MATCH($Q$1,Database!$F$1:$AY$1,),)))))/(((VLOOKUP(EDATE(B136,-12),Database!$F:$AY,MATCH($Q$1,Database!$F$1:$AY$1,),))))</f>
        <v/>
      </c>
      <c r="R136" s="13">
        <f>((((VLOOKUP(B136,Database!$F:$AY,MATCH($R$1,Database!$F$1:$AY$1,),))))-(((VLOOKUP(EDATE(B136,-12),Database!$F:$AY,MATCH($R$1,Database!$F$1:$AY$1,),)))))/(((VLOOKUP(EDATE(B136,-12),Database!$F:$AY,MATCH($R$1,Database!$F$1:$AY$1,),))))</f>
        <v/>
      </c>
      <c r="S136" s="13">
        <f>((((VLOOKUP(B136,Database!$F:$AY,MATCH($S$1,Database!$F$1:$AY$1,),))))-(((VLOOKUP(EDATE(B136,-12),Database!$F:$AY,MATCH($S$1,Database!$F$1:$AY$1,),)))))/(((VLOOKUP(EDATE(B136,-12),Database!$F:$AY,MATCH($S$1,Database!$F$1:$AY$1,),))))</f>
        <v/>
      </c>
      <c r="T136" s="13">
        <f>((((VLOOKUP(B136,Database!$F:$AY,MATCH($T$1,Database!$F$1:$AY$1,),))))-(((VLOOKUP(EDATE(B136,-12),Database!$F:$AY,MATCH($T$1,Database!$F$1:$AY$1,),)))))/(((VLOOKUP(EDATE(B136,-12),Database!$F:$AY,MATCH($T$1,Database!$F$1:$AY$1,),))))</f>
        <v/>
      </c>
      <c r="U136" s="13">
        <f>((((VLOOKUP(B136,Database!$F:$AY,MATCH($U$1,Database!$F$1:$AY$1,),))))-(((VLOOKUP(EDATE(B136,-12),Database!$F:$AY,MATCH($U$1,Database!$F$1:$AY$1,),)))))/(((VLOOKUP(EDATE(B136,-12),Database!$F:$AY,MATCH($U$1,Database!$F$1:$AY$1,),))))</f>
        <v/>
      </c>
      <c r="V136" s="13">
        <f>((((VLOOKUP(B136,Database!$F:$AY,MATCH($V$1,Database!$F$1:$AY$1,),))))-(((VLOOKUP(EDATE(B136,-12),Database!$F:$AY,MATCH($V$1,Database!$F$1:$AY$1,),)))))/(((VLOOKUP(EDATE(B136,-12),Database!$F:$AY,MATCH($V$1,Database!$F$1:$AY$1,),))))</f>
        <v/>
      </c>
    </row>
    <row r="137" customFormat="1" s="100">
      <c r="A137" s="45" t="n"/>
      <c r="B137" s="46" t="n">
        <v>36312</v>
      </c>
      <c r="C137" s="13">
        <f>((((VLOOKUP(B137,Database!$F:$AY,MATCH($C$1,Database!$F$1:$AY$1,),))))-(((VLOOKUP(EDATE(B137,-12),Database!$F:$AY,MATCH($C$1,Database!$F$1:$AY$1,),)))))/(((VLOOKUP(EDATE(B137,-12),Database!$F:$AY,MATCH($C$1,Database!$F$1:$AY$1,),))))</f>
        <v/>
      </c>
      <c r="D137" s="13">
        <f>((((VLOOKUP(B137,Database!$F:$AY,MATCH($D$1,Database!$F$1:$AY$1,),))))-(((VLOOKUP(EDATE(B137,-12),Database!$F:$AY,MATCH($D$1,Database!$F$1:$AY$1,),)))))/(((VLOOKUP(EDATE(B137,-12),Database!$F:$AY,MATCH($D$1,Database!$F$1:$AY$1,),))))</f>
        <v/>
      </c>
      <c r="E137" s="13">
        <f>((((VLOOKUP(B137,Database!$F:$AY,MATCH($E$1,Database!$F$1:$AY$1,),))))-(((VLOOKUP(EDATE(B137,-12),Database!$F:$AY,MATCH($E$1,Database!$F$1:$AY$1,),)))))/(((VLOOKUP(EDATE(B137,-12),Database!$F:$AY,MATCH($E$1,Database!$F$1:$AY$1,),))))</f>
        <v/>
      </c>
      <c r="F137" s="13">
        <f>((((VLOOKUP(B137,Database!$F:$AY,MATCH($F$1,Database!$F$1:$AY$1,),))))-(((VLOOKUP(EDATE(B137,-12),Database!$F:$AY,MATCH($F$1,Database!$F$1:$AY$1,),)))))/(((VLOOKUP(EDATE(B137,-12),Database!$F:$AY,MATCH($F$1,Database!$F$1:$AY$1,),))))</f>
        <v/>
      </c>
      <c r="G137" s="13">
        <f>((((VLOOKUP(B137,Database!$F:$AY,MATCH($G$1,Database!$F$1:$AY$1,),))))-(((VLOOKUP(EDATE(B137,-12),Database!$F:$AY,MATCH($G$1,Database!$F$1:$AY$1,),)))))/(((VLOOKUP(EDATE(B137,-12),Database!$F:$AY,MATCH($G$1,Database!$F$1:$AY$1,),))))</f>
        <v/>
      </c>
      <c r="H137" s="13">
        <f>((((VLOOKUP(B137,Database!$F:$AY,MATCH($H$1,Database!$F$1:$AY$1,),))))-(((VLOOKUP(EDATE(B137,-12),Database!$F:$AY,MATCH($H$1,Database!$F$1:$AY$1,),)))))/(((VLOOKUP(EDATE(B137,-12),Database!$F:$AY,MATCH($H$1,Database!$F$1:$AY$1,),))))</f>
        <v/>
      </c>
      <c r="I137" s="13">
        <f>((((VLOOKUP(B137,Database!$F:$AY,MATCH($I$1,Database!$F$1:$AY$1,),))))-(((VLOOKUP(EDATE(B137,-12),Database!$F:$AY,MATCH($I$1,Database!$F$1:$AY$1,),)))))/(((VLOOKUP(EDATE(B137,-12),Database!$F:$AY,MATCH($I$1,Database!$F$1:$AY$1,),))))</f>
        <v/>
      </c>
      <c r="J137" s="13">
        <f>((((VLOOKUP(B137,Database!$F:$AY,MATCH($J$1,Database!$F$1:$AY$1,),))))-(((VLOOKUP(EDATE(B137,-12),Database!$F:$AY,MATCH($J$1,Database!$F$1:$AY$1,),)))))/(((VLOOKUP(EDATE(B137,-12),Database!$F:$AY,MATCH($J$1,Database!$F$1:$AY$1,),))))</f>
        <v/>
      </c>
      <c r="K137" s="13">
        <f>((((VLOOKUP(B137,Database!$F:$AY,MATCH($K$1,Database!$F$1:$AY$1,),))))-(((VLOOKUP(EDATE(B137,-12),Database!$F:$AY,MATCH($K$1,Database!$F$1:$AY$1,),)))))/(((VLOOKUP(EDATE(B137,-12),Database!$F:$AY,MATCH($K$1,Database!$F$1:$AY$1,),))))</f>
        <v/>
      </c>
      <c r="L137" s="13">
        <f>((((VLOOKUP(B137,Database!$F:$AY,MATCH($L$1,Database!$F$1:$AY$1,),))))-(((VLOOKUP(EDATE(B137,-12),Database!$F:$AY,MATCH($L$1,Database!$F$1:$AY$1,),)))))/(((VLOOKUP(EDATE(B137,-12),Database!$F:$AY,MATCH($L$1,Database!$F$1:$AY$1,),))))</f>
        <v/>
      </c>
      <c r="M137" s="13">
        <f>((((VLOOKUP(B137,Database!$F:$AY,MATCH($M$1,Database!$F$1:$AY$1,),))))-(((VLOOKUP(EDATE(B137,-12),Database!$F:$AY,MATCH($M$1,Database!$F$1:$AY$1,),)))))/(((VLOOKUP(EDATE(B137,-12),Database!$F:$AY,MATCH($M$1,Database!$F$1:$AY$1,),))))</f>
        <v/>
      </c>
      <c r="N137" s="13">
        <f>((((VLOOKUP(B137,Database!$F:$AY,MATCH($N$1,Database!$F$1:$AY$1,),))))-(((VLOOKUP(EDATE(B137,-12),Database!$F:$AY,MATCH($N$1,Database!$F$1:$AY$1,),)))))/(((VLOOKUP(EDATE(B137,-12),Database!$F:$AY,MATCH($N$1,Database!$F$1:$AY$1,),))))</f>
        <v/>
      </c>
      <c r="O137" s="13">
        <f>((((VLOOKUP(B137,Database!$F:$AY,MATCH($O$1,Database!$F$1:$AY$1,),))))-(((VLOOKUP(EDATE(B137,-12),Database!$F:$AY,MATCH($O$1,Database!$F$1:$AY$1,),)))))/(((VLOOKUP(EDATE(B137,-12),Database!$F:$AY,MATCH($O$1,Database!$F$1:$AY$1,),))))</f>
        <v/>
      </c>
      <c r="P137" s="13">
        <f>((((VLOOKUP(B137,Database!$F:$AY,MATCH($P$1,Database!$F$1:$AY$1,),))))-(((VLOOKUP(EDATE(B137,-12),Database!$F:$AY,MATCH($P$1,Database!$F$1:$AY$1,),)))))/(((VLOOKUP(EDATE(B137,-12),Database!$F:$AY,MATCH($P$1,Database!$F$1:$AY$1,),))))</f>
        <v/>
      </c>
      <c r="Q137" s="13">
        <f>((((VLOOKUP(B137,Database!$F:$AY,MATCH($Q$1,Database!$F$1:$AY$1,),))))-(((VLOOKUP(EDATE(B137,-12),Database!$F:$AY,MATCH($Q$1,Database!$F$1:$AY$1,),)))))/(((VLOOKUP(EDATE(B137,-12),Database!$F:$AY,MATCH($Q$1,Database!$F$1:$AY$1,),))))</f>
        <v/>
      </c>
      <c r="R137" s="13">
        <f>((((VLOOKUP(B137,Database!$F:$AY,MATCH($R$1,Database!$F$1:$AY$1,),))))-(((VLOOKUP(EDATE(B137,-12),Database!$F:$AY,MATCH($R$1,Database!$F$1:$AY$1,),)))))/(((VLOOKUP(EDATE(B137,-12),Database!$F:$AY,MATCH($R$1,Database!$F$1:$AY$1,),))))</f>
        <v/>
      </c>
      <c r="S137" s="13">
        <f>((((VLOOKUP(B137,Database!$F:$AY,MATCH($S$1,Database!$F$1:$AY$1,),))))-(((VLOOKUP(EDATE(B137,-12),Database!$F:$AY,MATCH($S$1,Database!$F$1:$AY$1,),)))))/(((VLOOKUP(EDATE(B137,-12),Database!$F:$AY,MATCH($S$1,Database!$F$1:$AY$1,),))))</f>
        <v/>
      </c>
      <c r="T137" s="13">
        <f>((((VLOOKUP(B137,Database!$F:$AY,MATCH($T$1,Database!$F$1:$AY$1,),))))-(((VLOOKUP(EDATE(B137,-12),Database!$F:$AY,MATCH($T$1,Database!$F$1:$AY$1,),)))))/(((VLOOKUP(EDATE(B137,-12),Database!$F:$AY,MATCH($T$1,Database!$F$1:$AY$1,),))))</f>
        <v/>
      </c>
      <c r="U137" s="13">
        <f>((((VLOOKUP(B137,Database!$F:$AY,MATCH($U$1,Database!$F$1:$AY$1,),))))-(((VLOOKUP(EDATE(B137,-12),Database!$F:$AY,MATCH($U$1,Database!$F$1:$AY$1,),)))))/(((VLOOKUP(EDATE(B137,-12),Database!$F:$AY,MATCH($U$1,Database!$F$1:$AY$1,),))))</f>
        <v/>
      </c>
      <c r="V137" s="13">
        <f>((((VLOOKUP(B137,Database!$F:$AY,MATCH($V$1,Database!$F$1:$AY$1,),))))-(((VLOOKUP(EDATE(B137,-12),Database!$F:$AY,MATCH($V$1,Database!$F$1:$AY$1,),)))))/(((VLOOKUP(EDATE(B137,-12),Database!$F:$AY,MATCH($V$1,Database!$F$1:$AY$1,),))))</f>
        <v/>
      </c>
    </row>
    <row r="138" customFormat="1" s="100">
      <c r="A138" s="45" t="n"/>
      <c r="B138" s="46" t="n">
        <v>36342</v>
      </c>
      <c r="C138" s="13">
        <f>((((VLOOKUP(B138,Database!$F:$AY,MATCH($C$1,Database!$F$1:$AY$1,),))))-(((VLOOKUP(EDATE(B138,-12),Database!$F:$AY,MATCH($C$1,Database!$F$1:$AY$1,),)))))/(((VLOOKUP(EDATE(B138,-12),Database!$F:$AY,MATCH($C$1,Database!$F$1:$AY$1,),))))</f>
        <v/>
      </c>
      <c r="D138" s="13">
        <f>((((VLOOKUP(B138,Database!$F:$AY,MATCH($D$1,Database!$F$1:$AY$1,),))))-(((VLOOKUP(EDATE(B138,-12),Database!$F:$AY,MATCH($D$1,Database!$F$1:$AY$1,),)))))/(((VLOOKUP(EDATE(B138,-12),Database!$F:$AY,MATCH($D$1,Database!$F$1:$AY$1,),))))</f>
        <v/>
      </c>
      <c r="E138" s="13">
        <f>((((VLOOKUP(B138,Database!$F:$AY,MATCH($E$1,Database!$F$1:$AY$1,),))))-(((VLOOKUP(EDATE(B138,-12),Database!$F:$AY,MATCH($E$1,Database!$F$1:$AY$1,),)))))/(((VLOOKUP(EDATE(B138,-12),Database!$F:$AY,MATCH($E$1,Database!$F$1:$AY$1,),))))</f>
        <v/>
      </c>
      <c r="F138" s="13">
        <f>((((VLOOKUP(B138,Database!$F:$AY,MATCH($F$1,Database!$F$1:$AY$1,),))))-(((VLOOKUP(EDATE(B138,-12),Database!$F:$AY,MATCH($F$1,Database!$F$1:$AY$1,),)))))/(((VLOOKUP(EDATE(B138,-12),Database!$F:$AY,MATCH($F$1,Database!$F$1:$AY$1,),))))</f>
        <v/>
      </c>
      <c r="G138" s="13">
        <f>((((VLOOKUP(B138,Database!$F:$AY,MATCH($G$1,Database!$F$1:$AY$1,),))))-(((VLOOKUP(EDATE(B138,-12),Database!$F:$AY,MATCH($G$1,Database!$F$1:$AY$1,),)))))/(((VLOOKUP(EDATE(B138,-12),Database!$F:$AY,MATCH($G$1,Database!$F$1:$AY$1,),))))</f>
        <v/>
      </c>
      <c r="H138" s="13">
        <f>((((VLOOKUP(B138,Database!$F:$AY,MATCH($H$1,Database!$F$1:$AY$1,),))))-(((VLOOKUP(EDATE(B138,-12),Database!$F:$AY,MATCH($H$1,Database!$F$1:$AY$1,),)))))/(((VLOOKUP(EDATE(B138,-12),Database!$F:$AY,MATCH($H$1,Database!$F$1:$AY$1,),))))</f>
        <v/>
      </c>
      <c r="I138" s="13">
        <f>((((VLOOKUP(B138,Database!$F:$AY,MATCH($I$1,Database!$F$1:$AY$1,),))))-(((VLOOKUP(EDATE(B138,-12),Database!$F:$AY,MATCH($I$1,Database!$F$1:$AY$1,),)))))/(((VLOOKUP(EDATE(B138,-12),Database!$F:$AY,MATCH($I$1,Database!$F$1:$AY$1,),))))</f>
        <v/>
      </c>
      <c r="J138" s="13">
        <f>((((VLOOKUP(B138,Database!$F:$AY,MATCH($J$1,Database!$F$1:$AY$1,),))))-(((VLOOKUP(EDATE(B138,-12),Database!$F:$AY,MATCH($J$1,Database!$F$1:$AY$1,),)))))/(((VLOOKUP(EDATE(B138,-12),Database!$F:$AY,MATCH($J$1,Database!$F$1:$AY$1,),))))</f>
        <v/>
      </c>
      <c r="K138" s="13">
        <f>((((VLOOKUP(B138,Database!$F:$AY,MATCH($K$1,Database!$F$1:$AY$1,),))))-(((VLOOKUP(EDATE(B138,-12),Database!$F:$AY,MATCH($K$1,Database!$F$1:$AY$1,),)))))/(((VLOOKUP(EDATE(B138,-12),Database!$F:$AY,MATCH($K$1,Database!$F$1:$AY$1,),))))</f>
        <v/>
      </c>
      <c r="L138" s="13">
        <f>((((VLOOKUP(B138,Database!$F:$AY,MATCH($L$1,Database!$F$1:$AY$1,),))))-(((VLOOKUP(EDATE(B138,-12),Database!$F:$AY,MATCH($L$1,Database!$F$1:$AY$1,),)))))/(((VLOOKUP(EDATE(B138,-12),Database!$F:$AY,MATCH($L$1,Database!$F$1:$AY$1,),))))</f>
        <v/>
      </c>
      <c r="M138" s="13">
        <f>((((VLOOKUP(B138,Database!$F:$AY,MATCH($M$1,Database!$F$1:$AY$1,),))))-(((VLOOKUP(EDATE(B138,-12),Database!$F:$AY,MATCH($M$1,Database!$F$1:$AY$1,),)))))/(((VLOOKUP(EDATE(B138,-12),Database!$F:$AY,MATCH($M$1,Database!$F$1:$AY$1,),))))</f>
        <v/>
      </c>
      <c r="N138" s="13">
        <f>((((VLOOKUP(B138,Database!$F:$AY,MATCH($N$1,Database!$F$1:$AY$1,),))))-(((VLOOKUP(EDATE(B138,-12),Database!$F:$AY,MATCH($N$1,Database!$F$1:$AY$1,),)))))/(((VLOOKUP(EDATE(B138,-12),Database!$F:$AY,MATCH($N$1,Database!$F$1:$AY$1,),))))</f>
        <v/>
      </c>
      <c r="O138" s="13">
        <f>((((VLOOKUP(B138,Database!$F:$AY,MATCH($O$1,Database!$F$1:$AY$1,),))))-(((VLOOKUP(EDATE(B138,-12),Database!$F:$AY,MATCH($O$1,Database!$F$1:$AY$1,),)))))/(((VLOOKUP(EDATE(B138,-12),Database!$F:$AY,MATCH($O$1,Database!$F$1:$AY$1,),))))</f>
        <v/>
      </c>
      <c r="P138" s="13">
        <f>((((VLOOKUP(B138,Database!$F:$AY,MATCH($P$1,Database!$F$1:$AY$1,),))))-(((VLOOKUP(EDATE(B138,-12),Database!$F:$AY,MATCH($P$1,Database!$F$1:$AY$1,),)))))/(((VLOOKUP(EDATE(B138,-12),Database!$F:$AY,MATCH($P$1,Database!$F$1:$AY$1,),))))</f>
        <v/>
      </c>
      <c r="Q138" s="13">
        <f>((((VLOOKUP(B138,Database!$F:$AY,MATCH($Q$1,Database!$F$1:$AY$1,),))))-(((VLOOKUP(EDATE(B138,-12),Database!$F:$AY,MATCH($Q$1,Database!$F$1:$AY$1,),)))))/(((VLOOKUP(EDATE(B138,-12),Database!$F:$AY,MATCH($Q$1,Database!$F$1:$AY$1,),))))</f>
        <v/>
      </c>
      <c r="R138" s="13">
        <f>((((VLOOKUP(B138,Database!$F:$AY,MATCH($R$1,Database!$F$1:$AY$1,),))))-(((VLOOKUP(EDATE(B138,-12),Database!$F:$AY,MATCH($R$1,Database!$F$1:$AY$1,),)))))/(((VLOOKUP(EDATE(B138,-12),Database!$F:$AY,MATCH($R$1,Database!$F$1:$AY$1,),))))</f>
        <v/>
      </c>
      <c r="S138" s="13">
        <f>((((VLOOKUP(B138,Database!$F:$AY,MATCH($S$1,Database!$F$1:$AY$1,),))))-(((VLOOKUP(EDATE(B138,-12),Database!$F:$AY,MATCH($S$1,Database!$F$1:$AY$1,),)))))/(((VLOOKUP(EDATE(B138,-12),Database!$F:$AY,MATCH($S$1,Database!$F$1:$AY$1,),))))</f>
        <v/>
      </c>
      <c r="T138" s="13">
        <f>((((VLOOKUP(B138,Database!$F:$AY,MATCH($T$1,Database!$F$1:$AY$1,),))))-(((VLOOKUP(EDATE(B138,-12),Database!$F:$AY,MATCH($T$1,Database!$F$1:$AY$1,),)))))/(((VLOOKUP(EDATE(B138,-12),Database!$F:$AY,MATCH($T$1,Database!$F$1:$AY$1,),))))</f>
        <v/>
      </c>
      <c r="U138" s="13">
        <f>((((VLOOKUP(B138,Database!$F:$AY,MATCH($U$1,Database!$F$1:$AY$1,),))))-(((VLOOKUP(EDATE(B138,-12),Database!$F:$AY,MATCH($U$1,Database!$F$1:$AY$1,),)))))/(((VLOOKUP(EDATE(B138,-12),Database!$F:$AY,MATCH($U$1,Database!$F$1:$AY$1,),))))</f>
        <v/>
      </c>
      <c r="V138" s="13">
        <f>((((VLOOKUP(B138,Database!$F:$AY,MATCH($V$1,Database!$F$1:$AY$1,),))))-(((VLOOKUP(EDATE(B138,-12),Database!$F:$AY,MATCH($V$1,Database!$F$1:$AY$1,),)))))/(((VLOOKUP(EDATE(B138,-12),Database!$F:$AY,MATCH($V$1,Database!$F$1:$AY$1,),))))</f>
        <v/>
      </c>
    </row>
    <row r="139" customFormat="1" s="100">
      <c r="A139" s="45" t="n"/>
      <c r="B139" s="46" t="n">
        <v>36373</v>
      </c>
      <c r="C139" s="13">
        <f>((((VLOOKUP(B139,Database!$F:$AY,MATCH($C$1,Database!$F$1:$AY$1,),))))-(((VLOOKUP(EDATE(B139,-12),Database!$F:$AY,MATCH($C$1,Database!$F$1:$AY$1,),)))))/(((VLOOKUP(EDATE(B139,-12),Database!$F:$AY,MATCH($C$1,Database!$F$1:$AY$1,),))))</f>
        <v/>
      </c>
      <c r="D139" s="13">
        <f>((((VLOOKUP(B139,Database!$F:$AY,MATCH($D$1,Database!$F$1:$AY$1,),))))-(((VLOOKUP(EDATE(B139,-12),Database!$F:$AY,MATCH($D$1,Database!$F$1:$AY$1,),)))))/(((VLOOKUP(EDATE(B139,-12),Database!$F:$AY,MATCH($D$1,Database!$F$1:$AY$1,),))))</f>
        <v/>
      </c>
      <c r="E139" s="13">
        <f>((((VLOOKUP(B139,Database!$F:$AY,MATCH($E$1,Database!$F$1:$AY$1,),))))-(((VLOOKUP(EDATE(B139,-12),Database!$F:$AY,MATCH($E$1,Database!$F$1:$AY$1,),)))))/(((VLOOKUP(EDATE(B139,-12),Database!$F:$AY,MATCH($E$1,Database!$F$1:$AY$1,),))))</f>
        <v/>
      </c>
      <c r="F139" s="13">
        <f>((((VLOOKUP(B139,Database!$F:$AY,MATCH($F$1,Database!$F$1:$AY$1,),))))-(((VLOOKUP(EDATE(B139,-12),Database!$F:$AY,MATCH($F$1,Database!$F$1:$AY$1,),)))))/(((VLOOKUP(EDATE(B139,-12),Database!$F:$AY,MATCH($F$1,Database!$F$1:$AY$1,),))))</f>
        <v/>
      </c>
      <c r="G139" s="13">
        <f>((((VLOOKUP(B139,Database!$F:$AY,MATCH($G$1,Database!$F$1:$AY$1,),))))-(((VLOOKUP(EDATE(B139,-12),Database!$F:$AY,MATCH($G$1,Database!$F$1:$AY$1,),)))))/(((VLOOKUP(EDATE(B139,-12),Database!$F:$AY,MATCH($G$1,Database!$F$1:$AY$1,),))))</f>
        <v/>
      </c>
      <c r="H139" s="13">
        <f>((((VLOOKUP(B139,Database!$F:$AY,MATCH($H$1,Database!$F$1:$AY$1,),))))-(((VLOOKUP(EDATE(B139,-12),Database!$F:$AY,MATCH($H$1,Database!$F$1:$AY$1,),)))))/(((VLOOKUP(EDATE(B139,-12),Database!$F:$AY,MATCH($H$1,Database!$F$1:$AY$1,),))))</f>
        <v/>
      </c>
      <c r="I139" s="13">
        <f>((((VLOOKUP(B139,Database!$F:$AY,MATCH($I$1,Database!$F$1:$AY$1,),))))-(((VLOOKUP(EDATE(B139,-12),Database!$F:$AY,MATCH($I$1,Database!$F$1:$AY$1,),)))))/(((VLOOKUP(EDATE(B139,-12),Database!$F:$AY,MATCH($I$1,Database!$F$1:$AY$1,),))))</f>
        <v/>
      </c>
      <c r="J139" s="13">
        <f>((((VLOOKUP(B139,Database!$F:$AY,MATCH($J$1,Database!$F$1:$AY$1,),))))-(((VLOOKUP(EDATE(B139,-12),Database!$F:$AY,MATCH($J$1,Database!$F$1:$AY$1,),)))))/(((VLOOKUP(EDATE(B139,-12),Database!$F:$AY,MATCH($J$1,Database!$F$1:$AY$1,),))))</f>
        <v/>
      </c>
      <c r="K139" s="13">
        <f>((((VLOOKUP(B139,Database!$F:$AY,MATCH($K$1,Database!$F$1:$AY$1,),))))-(((VLOOKUP(EDATE(B139,-12),Database!$F:$AY,MATCH($K$1,Database!$F$1:$AY$1,),)))))/(((VLOOKUP(EDATE(B139,-12),Database!$F:$AY,MATCH($K$1,Database!$F$1:$AY$1,),))))</f>
        <v/>
      </c>
      <c r="L139" s="13">
        <f>((((VLOOKUP(B139,Database!$F:$AY,MATCH($L$1,Database!$F$1:$AY$1,),))))-(((VLOOKUP(EDATE(B139,-12),Database!$F:$AY,MATCH($L$1,Database!$F$1:$AY$1,),)))))/(((VLOOKUP(EDATE(B139,-12),Database!$F:$AY,MATCH($L$1,Database!$F$1:$AY$1,),))))</f>
        <v/>
      </c>
      <c r="M139" s="13">
        <f>((((VLOOKUP(B139,Database!$F:$AY,MATCH($M$1,Database!$F$1:$AY$1,),))))-(((VLOOKUP(EDATE(B139,-12),Database!$F:$AY,MATCH($M$1,Database!$F$1:$AY$1,),)))))/(((VLOOKUP(EDATE(B139,-12),Database!$F:$AY,MATCH($M$1,Database!$F$1:$AY$1,),))))</f>
        <v/>
      </c>
      <c r="N139" s="13">
        <f>((((VLOOKUP(B139,Database!$F:$AY,MATCH($N$1,Database!$F$1:$AY$1,),))))-(((VLOOKUP(EDATE(B139,-12),Database!$F:$AY,MATCH($N$1,Database!$F$1:$AY$1,),)))))/(((VLOOKUP(EDATE(B139,-12),Database!$F:$AY,MATCH($N$1,Database!$F$1:$AY$1,),))))</f>
        <v/>
      </c>
      <c r="O139" s="13">
        <f>((((VLOOKUP(B139,Database!$F:$AY,MATCH($O$1,Database!$F$1:$AY$1,),))))-(((VLOOKUP(EDATE(B139,-12),Database!$F:$AY,MATCH($O$1,Database!$F$1:$AY$1,),)))))/(((VLOOKUP(EDATE(B139,-12),Database!$F:$AY,MATCH($O$1,Database!$F$1:$AY$1,),))))</f>
        <v/>
      </c>
      <c r="P139" s="13">
        <f>((((VLOOKUP(B139,Database!$F:$AY,MATCH($P$1,Database!$F$1:$AY$1,),))))-(((VLOOKUP(EDATE(B139,-12),Database!$F:$AY,MATCH($P$1,Database!$F$1:$AY$1,),)))))/(((VLOOKUP(EDATE(B139,-12),Database!$F:$AY,MATCH($P$1,Database!$F$1:$AY$1,),))))</f>
        <v/>
      </c>
      <c r="Q139" s="13">
        <f>((((VLOOKUP(B139,Database!$F:$AY,MATCH($Q$1,Database!$F$1:$AY$1,),))))-(((VLOOKUP(EDATE(B139,-12),Database!$F:$AY,MATCH($Q$1,Database!$F$1:$AY$1,),)))))/(((VLOOKUP(EDATE(B139,-12),Database!$F:$AY,MATCH($Q$1,Database!$F$1:$AY$1,),))))</f>
        <v/>
      </c>
      <c r="R139" s="13">
        <f>((((VLOOKUP(B139,Database!$F:$AY,MATCH($R$1,Database!$F$1:$AY$1,),))))-(((VLOOKUP(EDATE(B139,-12),Database!$F:$AY,MATCH($R$1,Database!$F$1:$AY$1,),)))))/(((VLOOKUP(EDATE(B139,-12),Database!$F:$AY,MATCH($R$1,Database!$F$1:$AY$1,),))))</f>
        <v/>
      </c>
      <c r="S139" s="13">
        <f>((((VLOOKUP(B139,Database!$F:$AY,MATCH($S$1,Database!$F$1:$AY$1,),))))-(((VLOOKUP(EDATE(B139,-12),Database!$F:$AY,MATCH($S$1,Database!$F$1:$AY$1,),)))))/(((VLOOKUP(EDATE(B139,-12),Database!$F:$AY,MATCH($S$1,Database!$F$1:$AY$1,),))))</f>
        <v/>
      </c>
      <c r="T139" s="13">
        <f>((((VLOOKUP(B139,Database!$F:$AY,MATCH($T$1,Database!$F$1:$AY$1,),))))-(((VLOOKUP(EDATE(B139,-12),Database!$F:$AY,MATCH($T$1,Database!$F$1:$AY$1,),)))))/(((VLOOKUP(EDATE(B139,-12),Database!$F:$AY,MATCH($T$1,Database!$F$1:$AY$1,),))))</f>
        <v/>
      </c>
      <c r="U139" s="13">
        <f>((((VLOOKUP(B139,Database!$F:$AY,MATCH($U$1,Database!$F$1:$AY$1,),))))-(((VLOOKUP(EDATE(B139,-12),Database!$F:$AY,MATCH($U$1,Database!$F$1:$AY$1,),)))))/(((VLOOKUP(EDATE(B139,-12),Database!$F:$AY,MATCH($U$1,Database!$F$1:$AY$1,),))))</f>
        <v/>
      </c>
      <c r="V139" s="13">
        <f>((((VLOOKUP(B139,Database!$F:$AY,MATCH($V$1,Database!$F$1:$AY$1,),))))-(((VLOOKUP(EDATE(B139,-12),Database!$F:$AY,MATCH($V$1,Database!$F$1:$AY$1,),)))))/(((VLOOKUP(EDATE(B139,-12),Database!$F:$AY,MATCH($V$1,Database!$F$1:$AY$1,),))))</f>
        <v/>
      </c>
    </row>
    <row r="140" customFormat="1" s="100">
      <c r="A140" s="45" t="n"/>
      <c r="B140" s="46" t="n">
        <v>36404</v>
      </c>
      <c r="C140" s="13">
        <f>((((VLOOKUP(B140,Database!$F:$AY,MATCH($C$1,Database!$F$1:$AY$1,),))))-(((VLOOKUP(EDATE(B140,-12),Database!$F:$AY,MATCH($C$1,Database!$F$1:$AY$1,),)))))/(((VLOOKUP(EDATE(B140,-12),Database!$F:$AY,MATCH($C$1,Database!$F$1:$AY$1,),))))</f>
        <v/>
      </c>
      <c r="D140" s="13">
        <f>((((VLOOKUP(B140,Database!$F:$AY,MATCH($D$1,Database!$F$1:$AY$1,),))))-(((VLOOKUP(EDATE(B140,-12),Database!$F:$AY,MATCH($D$1,Database!$F$1:$AY$1,),)))))/(((VLOOKUP(EDATE(B140,-12),Database!$F:$AY,MATCH($D$1,Database!$F$1:$AY$1,),))))</f>
        <v/>
      </c>
      <c r="E140" s="13">
        <f>((((VLOOKUP(B140,Database!$F:$AY,MATCH($E$1,Database!$F$1:$AY$1,),))))-(((VLOOKUP(EDATE(B140,-12),Database!$F:$AY,MATCH($E$1,Database!$F$1:$AY$1,),)))))/(((VLOOKUP(EDATE(B140,-12),Database!$F:$AY,MATCH($E$1,Database!$F$1:$AY$1,),))))</f>
        <v/>
      </c>
      <c r="F140" s="13">
        <f>((((VLOOKUP(B140,Database!$F:$AY,MATCH($F$1,Database!$F$1:$AY$1,),))))-(((VLOOKUP(EDATE(B140,-12),Database!$F:$AY,MATCH($F$1,Database!$F$1:$AY$1,),)))))/(((VLOOKUP(EDATE(B140,-12),Database!$F:$AY,MATCH($F$1,Database!$F$1:$AY$1,),))))</f>
        <v/>
      </c>
      <c r="G140" s="13">
        <f>((((VLOOKUP(B140,Database!$F:$AY,MATCH($G$1,Database!$F$1:$AY$1,),))))-(((VLOOKUP(EDATE(B140,-12),Database!$F:$AY,MATCH($G$1,Database!$F$1:$AY$1,),)))))/(((VLOOKUP(EDATE(B140,-12),Database!$F:$AY,MATCH($G$1,Database!$F$1:$AY$1,),))))</f>
        <v/>
      </c>
      <c r="H140" s="13">
        <f>((((VLOOKUP(B140,Database!$F:$AY,MATCH($H$1,Database!$F$1:$AY$1,),))))-(((VLOOKUP(EDATE(B140,-12),Database!$F:$AY,MATCH($H$1,Database!$F$1:$AY$1,),)))))/(((VLOOKUP(EDATE(B140,-12),Database!$F:$AY,MATCH($H$1,Database!$F$1:$AY$1,),))))</f>
        <v/>
      </c>
      <c r="I140" s="13">
        <f>((((VLOOKUP(B140,Database!$F:$AY,MATCH($I$1,Database!$F$1:$AY$1,),))))-(((VLOOKUP(EDATE(B140,-12),Database!$F:$AY,MATCH($I$1,Database!$F$1:$AY$1,),)))))/(((VLOOKUP(EDATE(B140,-12),Database!$F:$AY,MATCH($I$1,Database!$F$1:$AY$1,),))))</f>
        <v/>
      </c>
      <c r="J140" s="13">
        <f>((((VLOOKUP(B140,Database!$F:$AY,MATCH($J$1,Database!$F$1:$AY$1,),))))-(((VLOOKUP(EDATE(B140,-12),Database!$F:$AY,MATCH($J$1,Database!$F$1:$AY$1,),)))))/(((VLOOKUP(EDATE(B140,-12),Database!$F:$AY,MATCH($J$1,Database!$F$1:$AY$1,),))))</f>
        <v/>
      </c>
      <c r="K140" s="13">
        <f>((((VLOOKUP(B140,Database!$F:$AY,MATCH($K$1,Database!$F$1:$AY$1,),))))-(((VLOOKUP(EDATE(B140,-12),Database!$F:$AY,MATCH($K$1,Database!$F$1:$AY$1,),)))))/(((VLOOKUP(EDATE(B140,-12),Database!$F:$AY,MATCH($K$1,Database!$F$1:$AY$1,),))))</f>
        <v/>
      </c>
      <c r="L140" s="13">
        <f>((((VLOOKUP(B140,Database!$F:$AY,MATCH($L$1,Database!$F$1:$AY$1,),))))-(((VLOOKUP(EDATE(B140,-12),Database!$F:$AY,MATCH($L$1,Database!$F$1:$AY$1,),)))))/(((VLOOKUP(EDATE(B140,-12),Database!$F:$AY,MATCH($L$1,Database!$F$1:$AY$1,),))))</f>
        <v/>
      </c>
      <c r="M140" s="13">
        <f>((((VLOOKUP(B140,Database!$F:$AY,MATCH($M$1,Database!$F$1:$AY$1,),))))-(((VLOOKUP(EDATE(B140,-12),Database!$F:$AY,MATCH($M$1,Database!$F$1:$AY$1,),)))))/(((VLOOKUP(EDATE(B140,-12),Database!$F:$AY,MATCH($M$1,Database!$F$1:$AY$1,),))))</f>
        <v/>
      </c>
      <c r="N140" s="13">
        <f>((((VLOOKUP(B140,Database!$F:$AY,MATCH($N$1,Database!$F$1:$AY$1,),))))-(((VLOOKUP(EDATE(B140,-12),Database!$F:$AY,MATCH($N$1,Database!$F$1:$AY$1,),)))))/(((VLOOKUP(EDATE(B140,-12),Database!$F:$AY,MATCH($N$1,Database!$F$1:$AY$1,),))))</f>
        <v/>
      </c>
      <c r="O140" s="13">
        <f>((((VLOOKUP(B140,Database!$F:$AY,MATCH($O$1,Database!$F$1:$AY$1,),))))-(((VLOOKUP(EDATE(B140,-12),Database!$F:$AY,MATCH($O$1,Database!$F$1:$AY$1,),)))))/(((VLOOKUP(EDATE(B140,-12),Database!$F:$AY,MATCH($O$1,Database!$F$1:$AY$1,),))))</f>
        <v/>
      </c>
      <c r="P140" s="13">
        <f>((((VLOOKUP(B140,Database!$F:$AY,MATCH($P$1,Database!$F$1:$AY$1,),))))-(((VLOOKUP(EDATE(B140,-12),Database!$F:$AY,MATCH($P$1,Database!$F$1:$AY$1,),)))))/(((VLOOKUP(EDATE(B140,-12),Database!$F:$AY,MATCH($P$1,Database!$F$1:$AY$1,),))))</f>
        <v/>
      </c>
      <c r="Q140" s="13">
        <f>((((VLOOKUP(B140,Database!$F:$AY,MATCH($Q$1,Database!$F$1:$AY$1,),))))-(((VLOOKUP(EDATE(B140,-12),Database!$F:$AY,MATCH($Q$1,Database!$F$1:$AY$1,),)))))/(((VLOOKUP(EDATE(B140,-12),Database!$F:$AY,MATCH($Q$1,Database!$F$1:$AY$1,),))))</f>
        <v/>
      </c>
      <c r="R140" s="13">
        <f>((((VLOOKUP(B140,Database!$F:$AY,MATCH($R$1,Database!$F$1:$AY$1,),))))-(((VLOOKUP(EDATE(B140,-12),Database!$F:$AY,MATCH($R$1,Database!$F$1:$AY$1,),)))))/(((VLOOKUP(EDATE(B140,-12),Database!$F:$AY,MATCH($R$1,Database!$F$1:$AY$1,),))))</f>
        <v/>
      </c>
      <c r="S140" s="13">
        <f>((((VLOOKUP(B140,Database!$F:$AY,MATCH($S$1,Database!$F$1:$AY$1,),))))-(((VLOOKUP(EDATE(B140,-12),Database!$F:$AY,MATCH($S$1,Database!$F$1:$AY$1,),)))))/(((VLOOKUP(EDATE(B140,-12),Database!$F:$AY,MATCH($S$1,Database!$F$1:$AY$1,),))))</f>
        <v/>
      </c>
      <c r="T140" s="13">
        <f>((((VLOOKUP(B140,Database!$F:$AY,MATCH($T$1,Database!$F$1:$AY$1,),))))-(((VLOOKUP(EDATE(B140,-12),Database!$F:$AY,MATCH($T$1,Database!$F$1:$AY$1,),)))))/(((VLOOKUP(EDATE(B140,-12),Database!$F:$AY,MATCH($T$1,Database!$F$1:$AY$1,),))))</f>
        <v/>
      </c>
      <c r="U140" s="13">
        <f>((((VLOOKUP(B140,Database!$F:$AY,MATCH($U$1,Database!$F$1:$AY$1,),))))-(((VLOOKUP(EDATE(B140,-12),Database!$F:$AY,MATCH($U$1,Database!$F$1:$AY$1,),)))))/(((VLOOKUP(EDATE(B140,-12),Database!$F:$AY,MATCH($U$1,Database!$F$1:$AY$1,),))))</f>
        <v/>
      </c>
      <c r="V140" s="13">
        <f>((((VLOOKUP(B140,Database!$F:$AY,MATCH($V$1,Database!$F$1:$AY$1,),))))-(((VLOOKUP(EDATE(B140,-12),Database!$F:$AY,MATCH($V$1,Database!$F$1:$AY$1,),)))))/(((VLOOKUP(EDATE(B140,-12),Database!$F:$AY,MATCH($V$1,Database!$F$1:$AY$1,),))))</f>
        <v/>
      </c>
    </row>
    <row r="141" customFormat="1" s="100">
      <c r="A141" s="45" t="n"/>
      <c r="B141" s="46" t="n">
        <v>36434</v>
      </c>
      <c r="C141" s="13">
        <f>((((VLOOKUP(B141,Database!$F:$AY,MATCH($C$1,Database!$F$1:$AY$1,),))))-(((VLOOKUP(EDATE(B141,-12),Database!$F:$AY,MATCH($C$1,Database!$F$1:$AY$1,),)))))/(((VLOOKUP(EDATE(B141,-12),Database!$F:$AY,MATCH($C$1,Database!$F$1:$AY$1,),))))</f>
        <v/>
      </c>
      <c r="D141" s="13">
        <f>((((VLOOKUP(B141,Database!$F:$AY,MATCH($D$1,Database!$F$1:$AY$1,),))))-(((VLOOKUP(EDATE(B141,-12),Database!$F:$AY,MATCH($D$1,Database!$F$1:$AY$1,),)))))/(((VLOOKUP(EDATE(B141,-12),Database!$F:$AY,MATCH($D$1,Database!$F$1:$AY$1,),))))</f>
        <v/>
      </c>
      <c r="E141" s="13">
        <f>((((VLOOKUP(B141,Database!$F:$AY,MATCH($E$1,Database!$F$1:$AY$1,),))))-(((VLOOKUP(EDATE(B141,-12),Database!$F:$AY,MATCH($E$1,Database!$F$1:$AY$1,),)))))/(((VLOOKUP(EDATE(B141,-12),Database!$F:$AY,MATCH($E$1,Database!$F$1:$AY$1,),))))</f>
        <v/>
      </c>
      <c r="F141" s="13">
        <f>((((VLOOKUP(B141,Database!$F:$AY,MATCH($F$1,Database!$F$1:$AY$1,),))))-(((VLOOKUP(EDATE(B141,-12),Database!$F:$AY,MATCH($F$1,Database!$F$1:$AY$1,),)))))/(((VLOOKUP(EDATE(B141,-12),Database!$F:$AY,MATCH($F$1,Database!$F$1:$AY$1,),))))</f>
        <v/>
      </c>
      <c r="G141" s="13">
        <f>((((VLOOKUP(B141,Database!$F:$AY,MATCH($G$1,Database!$F$1:$AY$1,),))))-(((VLOOKUP(EDATE(B141,-12),Database!$F:$AY,MATCH($G$1,Database!$F$1:$AY$1,),)))))/(((VLOOKUP(EDATE(B141,-12),Database!$F:$AY,MATCH($G$1,Database!$F$1:$AY$1,),))))</f>
        <v/>
      </c>
      <c r="H141" s="13">
        <f>((((VLOOKUP(B141,Database!$F:$AY,MATCH($H$1,Database!$F$1:$AY$1,),))))-(((VLOOKUP(EDATE(B141,-12),Database!$F:$AY,MATCH($H$1,Database!$F$1:$AY$1,),)))))/(((VLOOKUP(EDATE(B141,-12),Database!$F:$AY,MATCH($H$1,Database!$F$1:$AY$1,),))))</f>
        <v/>
      </c>
      <c r="I141" s="13">
        <f>((((VLOOKUP(B141,Database!$F:$AY,MATCH($I$1,Database!$F$1:$AY$1,),))))-(((VLOOKUP(EDATE(B141,-12),Database!$F:$AY,MATCH($I$1,Database!$F$1:$AY$1,),)))))/(((VLOOKUP(EDATE(B141,-12),Database!$F:$AY,MATCH($I$1,Database!$F$1:$AY$1,),))))</f>
        <v/>
      </c>
      <c r="J141" s="13">
        <f>((((VLOOKUP(B141,Database!$F:$AY,MATCH($J$1,Database!$F$1:$AY$1,),))))-(((VLOOKUP(EDATE(B141,-12),Database!$F:$AY,MATCH($J$1,Database!$F$1:$AY$1,),)))))/(((VLOOKUP(EDATE(B141,-12),Database!$F:$AY,MATCH($J$1,Database!$F$1:$AY$1,),))))</f>
        <v/>
      </c>
      <c r="K141" s="13">
        <f>((((VLOOKUP(B141,Database!$F:$AY,MATCH($K$1,Database!$F$1:$AY$1,),))))-(((VLOOKUP(EDATE(B141,-12),Database!$F:$AY,MATCH($K$1,Database!$F$1:$AY$1,),)))))/(((VLOOKUP(EDATE(B141,-12),Database!$F:$AY,MATCH($K$1,Database!$F$1:$AY$1,),))))</f>
        <v/>
      </c>
      <c r="L141" s="13">
        <f>((((VLOOKUP(B141,Database!$F:$AY,MATCH($L$1,Database!$F$1:$AY$1,),))))-(((VLOOKUP(EDATE(B141,-12),Database!$F:$AY,MATCH($L$1,Database!$F$1:$AY$1,),)))))/(((VLOOKUP(EDATE(B141,-12),Database!$F:$AY,MATCH($L$1,Database!$F$1:$AY$1,),))))</f>
        <v/>
      </c>
      <c r="M141" s="13">
        <f>((((VLOOKUP(B141,Database!$F:$AY,MATCH($M$1,Database!$F$1:$AY$1,),))))-(((VLOOKUP(EDATE(B141,-12),Database!$F:$AY,MATCH($M$1,Database!$F$1:$AY$1,),)))))/(((VLOOKUP(EDATE(B141,-12),Database!$F:$AY,MATCH($M$1,Database!$F$1:$AY$1,),))))</f>
        <v/>
      </c>
      <c r="N141" s="13">
        <f>((((VLOOKUP(B141,Database!$F:$AY,MATCH($N$1,Database!$F$1:$AY$1,),))))-(((VLOOKUP(EDATE(B141,-12),Database!$F:$AY,MATCH($N$1,Database!$F$1:$AY$1,),)))))/(((VLOOKUP(EDATE(B141,-12),Database!$F:$AY,MATCH($N$1,Database!$F$1:$AY$1,),))))</f>
        <v/>
      </c>
      <c r="O141" s="13">
        <f>((((VLOOKUP(B141,Database!$F:$AY,MATCH($O$1,Database!$F$1:$AY$1,),))))-(((VLOOKUP(EDATE(B141,-12),Database!$F:$AY,MATCH($O$1,Database!$F$1:$AY$1,),)))))/(((VLOOKUP(EDATE(B141,-12),Database!$F:$AY,MATCH($O$1,Database!$F$1:$AY$1,),))))</f>
        <v/>
      </c>
      <c r="P141" s="13">
        <f>((((VLOOKUP(B141,Database!$F:$AY,MATCH($P$1,Database!$F$1:$AY$1,),))))-(((VLOOKUP(EDATE(B141,-12),Database!$F:$AY,MATCH($P$1,Database!$F$1:$AY$1,),)))))/(((VLOOKUP(EDATE(B141,-12),Database!$F:$AY,MATCH($P$1,Database!$F$1:$AY$1,),))))</f>
        <v/>
      </c>
      <c r="Q141" s="13">
        <f>((((VLOOKUP(B141,Database!$F:$AY,MATCH($Q$1,Database!$F$1:$AY$1,),))))-(((VLOOKUP(EDATE(B141,-12),Database!$F:$AY,MATCH($Q$1,Database!$F$1:$AY$1,),)))))/(((VLOOKUP(EDATE(B141,-12),Database!$F:$AY,MATCH($Q$1,Database!$F$1:$AY$1,),))))</f>
        <v/>
      </c>
      <c r="R141" s="13">
        <f>((((VLOOKUP(B141,Database!$F:$AY,MATCH($R$1,Database!$F$1:$AY$1,),))))-(((VLOOKUP(EDATE(B141,-12),Database!$F:$AY,MATCH($R$1,Database!$F$1:$AY$1,),)))))/(((VLOOKUP(EDATE(B141,-12),Database!$F:$AY,MATCH($R$1,Database!$F$1:$AY$1,),))))</f>
        <v/>
      </c>
      <c r="S141" s="13">
        <f>((((VLOOKUP(B141,Database!$F:$AY,MATCH($S$1,Database!$F$1:$AY$1,),))))-(((VLOOKUP(EDATE(B141,-12),Database!$F:$AY,MATCH($S$1,Database!$F$1:$AY$1,),)))))/(((VLOOKUP(EDATE(B141,-12),Database!$F:$AY,MATCH($S$1,Database!$F$1:$AY$1,),))))</f>
        <v/>
      </c>
      <c r="T141" s="13">
        <f>((((VLOOKUP(B141,Database!$F:$AY,MATCH($T$1,Database!$F$1:$AY$1,),))))-(((VLOOKUP(EDATE(B141,-12),Database!$F:$AY,MATCH($T$1,Database!$F$1:$AY$1,),)))))/(((VLOOKUP(EDATE(B141,-12),Database!$F:$AY,MATCH($T$1,Database!$F$1:$AY$1,),))))</f>
        <v/>
      </c>
      <c r="U141" s="13">
        <f>((((VLOOKUP(B141,Database!$F:$AY,MATCH($U$1,Database!$F$1:$AY$1,),))))-(((VLOOKUP(EDATE(B141,-12),Database!$F:$AY,MATCH($U$1,Database!$F$1:$AY$1,),)))))/(((VLOOKUP(EDATE(B141,-12),Database!$F:$AY,MATCH($U$1,Database!$F$1:$AY$1,),))))</f>
        <v/>
      </c>
      <c r="V141" s="13">
        <f>((((VLOOKUP(B141,Database!$F:$AY,MATCH($V$1,Database!$F$1:$AY$1,),))))-(((VLOOKUP(EDATE(B141,-12),Database!$F:$AY,MATCH($V$1,Database!$F$1:$AY$1,),)))))/(((VLOOKUP(EDATE(B141,-12),Database!$F:$AY,MATCH($V$1,Database!$F$1:$AY$1,),))))</f>
        <v/>
      </c>
    </row>
    <row r="142" customFormat="1" s="100">
      <c r="A142" s="45" t="n"/>
      <c r="B142" s="46" t="n">
        <v>36465</v>
      </c>
      <c r="C142" s="13">
        <f>((((VLOOKUP(B142,Database!$F:$AY,MATCH($C$1,Database!$F$1:$AY$1,),))))-(((VLOOKUP(EDATE(B142,-12),Database!$F:$AY,MATCH($C$1,Database!$F$1:$AY$1,),)))))/(((VLOOKUP(EDATE(B142,-12),Database!$F:$AY,MATCH($C$1,Database!$F$1:$AY$1,),))))</f>
        <v/>
      </c>
      <c r="D142" s="13">
        <f>((((VLOOKUP(B142,Database!$F:$AY,MATCH($D$1,Database!$F$1:$AY$1,),))))-(((VLOOKUP(EDATE(B142,-12),Database!$F:$AY,MATCH($D$1,Database!$F$1:$AY$1,),)))))/(((VLOOKUP(EDATE(B142,-12),Database!$F:$AY,MATCH($D$1,Database!$F$1:$AY$1,),))))</f>
        <v/>
      </c>
      <c r="E142" s="13">
        <f>((((VLOOKUP(B142,Database!$F:$AY,MATCH($E$1,Database!$F$1:$AY$1,),))))-(((VLOOKUP(EDATE(B142,-12),Database!$F:$AY,MATCH($E$1,Database!$F$1:$AY$1,),)))))/(((VLOOKUP(EDATE(B142,-12),Database!$F:$AY,MATCH($E$1,Database!$F$1:$AY$1,),))))</f>
        <v/>
      </c>
      <c r="F142" s="13">
        <f>((((VLOOKUP(B142,Database!$F:$AY,MATCH($F$1,Database!$F$1:$AY$1,),))))-(((VLOOKUP(EDATE(B142,-12),Database!$F:$AY,MATCH($F$1,Database!$F$1:$AY$1,),)))))/(((VLOOKUP(EDATE(B142,-12),Database!$F:$AY,MATCH($F$1,Database!$F$1:$AY$1,),))))</f>
        <v/>
      </c>
      <c r="G142" s="13">
        <f>((((VLOOKUP(B142,Database!$F:$AY,MATCH($G$1,Database!$F$1:$AY$1,),))))-(((VLOOKUP(EDATE(B142,-12),Database!$F:$AY,MATCH($G$1,Database!$F$1:$AY$1,),)))))/(((VLOOKUP(EDATE(B142,-12),Database!$F:$AY,MATCH($G$1,Database!$F$1:$AY$1,),))))</f>
        <v/>
      </c>
      <c r="H142" s="13">
        <f>((((VLOOKUP(B142,Database!$F:$AY,MATCH($H$1,Database!$F$1:$AY$1,),))))-(((VLOOKUP(EDATE(B142,-12),Database!$F:$AY,MATCH($H$1,Database!$F$1:$AY$1,),)))))/(((VLOOKUP(EDATE(B142,-12),Database!$F:$AY,MATCH($H$1,Database!$F$1:$AY$1,),))))</f>
        <v/>
      </c>
      <c r="I142" s="13">
        <f>((((VLOOKUP(B142,Database!$F:$AY,MATCH($I$1,Database!$F$1:$AY$1,),))))-(((VLOOKUP(EDATE(B142,-12),Database!$F:$AY,MATCH($I$1,Database!$F$1:$AY$1,),)))))/(((VLOOKUP(EDATE(B142,-12),Database!$F:$AY,MATCH($I$1,Database!$F$1:$AY$1,),))))</f>
        <v/>
      </c>
      <c r="J142" s="13">
        <f>((((VLOOKUP(B142,Database!$F:$AY,MATCH($J$1,Database!$F$1:$AY$1,),))))-(((VLOOKUP(EDATE(B142,-12),Database!$F:$AY,MATCH($J$1,Database!$F$1:$AY$1,),)))))/(((VLOOKUP(EDATE(B142,-12),Database!$F:$AY,MATCH($J$1,Database!$F$1:$AY$1,),))))</f>
        <v/>
      </c>
      <c r="K142" s="13">
        <f>((((VLOOKUP(B142,Database!$F:$AY,MATCH($K$1,Database!$F$1:$AY$1,),))))-(((VLOOKUP(EDATE(B142,-12),Database!$F:$AY,MATCH($K$1,Database!$F$1:$AY$1,),)))))/(((VLOOKUP(EDATE(B142,-12),Database!$F:$AY,MATCH($K$1,Database!$F$1:$AY$1,),))))</f>
        <v/>
      </c>
      <c r="L142" s="13">
        <f>((((VLOOKUP(B142,Database!$F:$AY,MATCH($L$1,Database!$F$1:$AY$1,),))))-(((VLOOKUP(EDATE(B142,-12),Database!$F:$AY,MATCH($L$1,Database!$F$1:$AY$1,),)))))/(((VLOOKUP(EDATE(B142,-12),Database!$F:$AY,MATCH($L$1,Database!$F$1:$AY$1,),))))</f>
        <v/>
      </c>
      <c r="M142" s="13">
        <f>((((VLOOKUP(B142,Database!$F:$AY,MATCH($M$1,Database!$F$1:$AY$1,),))))-(((VLOOKUP(EDATE(B142,-12),Database!$F:$AY,MATCH($M$1,Database!$F$1:$AY$1,),)))))/(((VLOOKUP(EDATE(B142,-12),Database!$F:$AY,MATCH($M$1,Database!$F$1:$AY$1,),))))</f>
        <v/>
      </c>
      <c r="N142" s="13">
        <f>((((VLOOKUP(B142,Database!$F:$AY,MATCH($N$1,Database!$F$1:$AY$1,),))))-(((VLOOKUP(EDATE(B142,-12),Database!$F:$AY,MATCH($N$1,Database!$F$1:$AY$1,),)))))/(((VLOOKUP(EDATE(B142,-12),Database!$F:$AY,MATCH($N$1,Database!$F$1:$AY$1,),))))</f>
        <v/>
      </c>
      <c r="O142" s="13">
        <f>((((VLOOKUP(B142,Database!$F:$AY,MATCH($O$1,Database!$F$1:$AY$1,),))))-(((VLOOKUP(EDATE(B142,-12),Database!$F:$AY,MATCH($O$1,Database!$F$1:$AY$1,),)))))/(((VLOOKUP(EDATE(B142,-12),Database!$F:$AY,MATCH($O$1,Database!$F$1:$AY$1,),))))</f>
        <v/>
      </c>
      <c r="P142" s="13">
        <f>((((VLOOKUP(B142,Database!$F:$AY,MATCH($P$1,Database!$F$1:$AY$1,),))))-(((VLOOKUP(EDATE(B142,-12),Database!$F:$AY,MATCH($P$1,Database!$F$1:$AY$1,),)))))/(((VLOOKUP(EDATE(B142,-12),Database!$F:$AY,MATCH($P$1,Database!$F$1:$AY$1,),))))</f>
        <v/>
      </c>
      <c r="Q142" s="13">
        <f>((((VLOOKUP(B142,Database!$F:$AY,MATCH($Q$1,Database!$F$1:$AY$1,),))))-(((VLOOKUP(EDATE(B142,-12),Database!$F:$AY,MATCH($Q$1,Database!$F$1:$AY$1,),)))))/(((VLOOKUP(EDATE(B142,-12),Database!$F:$AY,MATCH($Q$1,Database!$F$1:$AY$1,),))))</f>
        <v/>
      </c>
      <c r="R142" s="13">
        <f>((((VLOOKUP(B142,Database!$F:$AY,MATCH($R$1,Database!$F$1:$AY$1,),))))-(((VLOOKUP(EDATE(B142,-12),Database!$F:$AY,MATCH($R$1,Database!$F$1:$AY$1,),)))))/(((VLOOKUP(EDATE(B142,-12),Database!$F:$AY,MATCH($R$1,Database!$F$1:$AY$1,),))))</f>
        <v/>
      </c>
      <c r="S142" s="13">
        <f>((((VLOOKUP(B142,Database!$F:$AY,MATCH($S$1,Database!$F$1:$AY$1,),))))-(((VLOOKUP(EDATE(B142,-12),Database!$F:$AY,MATCH($S$1,Database!$F$1:$AY$1,),)))))/(((VLOOKUP(EDATE(B142,-12),Database!$F:$AY,MATCH($S$1,Database!$F$1:$AY$1,),))))</f>
        <v/>
      </c>
      <c r="T142" s="13">
        <f>((((VLOOKUP(B142,Database!$F:$AY,MATCH($T$1,Database!$F$1:$AY$1,),))))-(((VLOOKUP(EDATE(B142,-12),Database!$F:$AY,MATCH($T$1,Database!$F$1:$AY$1,),)))))/(((VLOOKUP(EDATE(B142,-12),Database!$F:$AY,MATCH($T$1,Database!$F$1:$AY$1,),))))</f>
        <v/>
      </c>
      <c r="U142" s="13">
        <f>((((VLOOKUP(B142,Database!$F:$AY,MATCH($U$1,Database!$F$1:$AY$1,),))))-(((VLOOKUP(EDATE(B142,-12),Database!$F:$AY,MATCH($U$1,Database!$F$1:$AY$1,),)))))/(((VLOOKUP(EDATE(B142,-12),Database!$F:$AY,MATCH($U$1,Database!$F$1:$AY$1,),))))</f>
        <v/>
      </c>
      <c r="V142" s="13">
        <f>((((VLOOKUP(B142,Database!$F:$AY,MATCH($V$1,Database!$F$1:$AY$1,),))))-(((VLOOKUP(EDATE(B142,-12),Database!$F:$AY,MATCH($V$1,Database!$F$1:$AY$1,),)))))/(((VLOOKUP(EDATE(B142,-12),Database!$F:$AY,MATCH($V$1,Database!$F$1:$AY$1,),))))</f>
        <v/>
      </c>
    </row>
    <row r="143" customFormat="1" s="100">
      <c r="A143" s="45" t="n"/>
      <c r="B143" s="46" t="n">
        <v>36495</v>
      </c>
      <c r="C143" s="13">
        <f>((((VLOOKUP(B143,Database!$F:$AY,MATCH($C$1,Database!$F$1:$AY$1,),))))-(((VLOOKUP(EDATE(B143,-12),Database!$F:$AY,MATCH($C$1,Database!$F$1:$AY$1,),)))))/(((VLOOKUP(EDATE(B143,-12),Database!$F:$AY,MATCH($C$1,Database!$F$1:$AY$1,),))))</f>
        <v/>
      </c>
      <c r="D143" s="13">
        <f>((((VLOOKUP(B143,Database!$F:$AY,MATCH($D$1,Database!$F$1:$AY$1,),))))-(((VLOOKUP(EDATE(B143,-12),Database!$F:$AY,MATCH($D$1,Database!$F$1:$AY$1,),)))))/(((VLOOKUP(EDATE(B143,-12),Database!$F:$AY,MATCH($D$1,Database!$F$1:$AY$1,),))))</f>
        <v/>
      </c>
      <c r="E143" s="13">
        <f>((((VLOOKUP(B143,Database!$F:$AY,MATCH($E$1,Database!$F$1:$AY$1,),))))-(((VLOOKUP(EDATE(B143,-12),Database!$F:$AY,MATCH($E$1,Database!$F$1:$AY$1,),)))))/(((VLOOKUP(EDATE(B143,-12),Database!$F:$AY,MATCH($E$1,Database!$F$1:$AY$1,),))))</f>
        <v/>
      </c>
      <c r="F143" s="13">
        <f>((((VLOOKUP(B143,Database!$F:$AY,MATCH($F$1,Database!$F$1:$AY$1,),))))-(((VLOOKUP(EDATE(B143,-12),Database!$F:$AY,MATCH($F$1,Database!$F$1:$AY$1,),)))))/(((VLOOKUP(EDATE(B143,-12),Database!$F:$AY,MATCH($F$1,Database!$F$1:$AY$1,),))))</f>
        <v/>
      </c>
      <c r="G143" s="13">
        <f>((((VLOOKUP(B143,Database!$F:$AY,MATCH($G$1,Database!$F$1:$AY$1,),))))-(((VLOOKUP(EDATE(B143,-12),Database!$F:$AY,MATCH($G$1,Database!$F$1:$AY$1,),)))))/(((VLOOKUP(EDATE(B143,-12),Database!$F:$AY,MATCH($G$1,Database!$F$1:$AY$1,),))))</f>
        <v/>
      </c>
      <c r="H143" s="13">
        <f>((((VLOOKUP(B143,Database!$F:$AY,MATCH($H$1,Database!$F$1:$AY$1,),))))-(((VLOOKUP(EDATE(B143,-12),Database!$F:$AY,MATCH($H$1,Database!$F$1:$AY$1,),)))))/(((VLOOKUP(EDATE(B143,-12),Database!$F:$AY,MATCH($H$1,Database!$F$1:$AY$1,),))))</f>
        <v/>
      </c>
      <c r="I143" s="13">
        <f>((((VLOOKUP(B143,Database!$F:$AY,MATCH($I$1,Database!$F$1:$AY$1,),))))-(((VLOOKUP(EDATE(B143,-12),Database!$F:$AY,MATCH($I$1,Database!$F$1:$AY$1,),)))))/(((VLOOKUP(EDATE(B143,-12),Database!$F:$AY,MATCH($I$1,Database!$F$1:$AY$1,),))))</f>
        <v/>
      </c>
      <c r="J143" s="13">
        <f>((((VLOOKUP(B143,Database!$F:$AY,MATCH($J$1,Database!$F$1:$AY$1,),))))-(((VLOOKUP(EDATE(B143,-12),Database!$F:$AY,MATCH($J$1,Database!$F$1:$AY$1,),)))))/(((VLOOKUP(EDATE(B143,-12),Database!$F:$AY,MATCH($J$1,Database!$F$1:$AY$1,),))))</f>
        <v/>
      </c>
      <c r="K143" s="13">
        <f>((((VLOOKUP(B143,Database!$F:$AY,MATCH($K$1,Database!$F$1:$AY$1,),))))-(((VLOOKUP(EDATE(B143,-12),Database!$F:$AY,MATCH($K$1,Database!$F$1:$AY$1,),)))))/(((VLOOKUP(EDATE(B143,-12),Database!$F:$AY,MATCH($K$1,Database!$F$1:$AY$1,),))))</f>
        <v/>
      </c>
      <c r="L143" s="13">
        <f>((((VLOOKUP(B143,Database!$F:$AY,MATCH($L$1,Database!$F$1:$AY$1,),))))-(((VLOOKUP(EDATE(B143,-12),Database!$F:$AY,MATCH($L$1,Database!$F$1:$AY$1,),)))))/(((VLOOKUP(EDATE(B143,-12),Database!$F:$AY,MATCH($L$1,Database!$F$1:$AY$1,),))))</f>
        <v/>
      </c>
      <c r="M143" s="13">
        <f>((((VLOOKUP(B143,Database!$F:$AY,MATCH($M$1,Database!$F$1:$AY$1,),))))-(((VLOOKUP(EDATE(B143,-12),Database!$F:$AY,MATCH($M$1,Database!$F$1:$AY$1,),)))))/(((VLOOKUP(EDATE(B143,-12),Database!$F:$AY,MATCH($M$1,Database!$F$1:$AY$1,),))))</f>
        <v/>
      </c>
      <c r="N143" s="13">
        <f>((((VLOOKUP(B143,Database!$F:$AY,MATCH($N$1,Database!$F$1:$AY$1,),))))-(((VLOOKUP(EDATE(B143,-12),Database!$F:$AY,MATCH($N$1,Database!$F$1:$AY$1,),)))))/(((VLOOKUP(EDATE(B143,-12),Database!$F:$AY,MATCH($N$1,Database!$F$1:$AY$1,),))))</f>
        <v/>
      </c>
      <c r="O143" s="13">
        <f>((((VLOOKUP(B143,Database!$F:$AY,MATCH($O$1,Database!$F$1:$AY$1,),))))-(((VLOOKUP(EDATE(B143,-12),Database!$F:$AY,MATCH($O$1,Database!$F$1:$AY$1,),)))))/(((VLOOKUP(EDATE(B143,-12),Database!$F:$AY,MATCH($O$1,Database!$F$1:$AY$1,),))))</f>
        <v/>
      </c>
      <c r="P143" s="13">
        <f>((((VLOOKUP(B143,Database!$F:$AY,MATCH($P$1,Database!$F$1:$AY$1,),))))-(((VLOOKUP(EDATE(B143,-12),Database!$F:$AY,MATCH($P$1,Database!$F$1:$AY$1,),)))))/(((VLOOKUP(EDATE(B143,-12),Database!$F:$AY,MATCH($P$1,Database!$F$1:$AY$1,),))))</f>
        <v/>
      </c>
      <c r="Q143" s="13">
        <f>((((VLOOKUP(B143,Database!$F:$AY,MATCH($Q$1,Database!$F$1:$AY$1,),))))-(((VLOOKUP(EDATE(B143,-12),Database!$F:$AY,MATCH($Q$1,Database!$F$1:$AY$1,),)))))/(((VLOOKUP(EDATE(B143,-12),Database!$F:$AY,MATCH($Q$1,Database!$F$1:$AY$1,),))))</f>
        <v/>
      </c>
      <c r="R143" s="13">
        <f>((((VLOOKUP(B143,Database!$F:$AY,MATCH($R$1,Database!$F$1:$AY$1,),))))-(((VLOOKUP(EDATE(B143,-12),Database!$F:$AY,MATCH($R$1,Database!$F$1:$AY$1,),)))))/(((VLOOKUP(EDATE(B143,-12),Database!$F:$AY,MATCH($R$1,Database!$F$1:$AY$1,),))))</f>
        <v/>
      </c>
      <c r="S143" s="13">
        <f>((((VLOOKUP(B143,Database!$F:$AY,MATCH($S$1,Database!$F$1:$AY$1,),))))-(((VLOOKUP(EDATE(B143,-12),Database!$F:$AY,MATCH($S$1,Database!$F$1:$AY$1,),)))))/(((VLOOKUP(EDATE(B143,-12),Database!$F:$AY,MATCH($S$1,Database!$F$1:$AY$1,),))))</f>
        <v/>
      </c>
      <c r="T143" s="13">
        <f>((((VLOOKUP(B143,Database!$F:$AY,MATCH($T$1,Database!$F$1:$AY$1,),))))-(((VLOOKUP(EDATE(B143,-12),Database!$F:$AY,MATCH($T$1,Database!$F$1:$AY$1,),)))))/(((VLOOKUP(EDATE(B143,-12),Database!$F:$AY,MATCH($T$1,Database!$F$1:$AY$1,),))))</f>
        <v/>
      </c>
      <c r="U143" s="13">
        <f>((((VLOOKUP(B143,Database!$F:$AY,MATCH($U$1,Database!$F$1:$AY$1,),))))-(((VLOOKUP(EDATE(B143,-12),Database!$F:$AY,MATCH($U$1,Database!$F$1:$AY$1,),)))))/(((VLOOKUP(EDATE(B143,-12),Database!$F:$AY,MATCH($U$1,Database!$F$1:$AY$1,),))))</f>
        <v/>
      </c>
      <c r="V143" s="13">
        <f>((((VLOOKUP(B143,Database!$F:$AY,MATCH($V$1,Database!$F$1:$AY$1,),))))-(((VLOOKUP(EDATE(B143,-12),Database!$F:$AY,MATCH($V$1,Database!$F$1:$AY$1,),)))))/(((VLOOKUP(EDATE(B143,-12),Database!$F:$AY,MATCH($V$1,Database!$F$1:$AY$1,),))))</f>
        <v/>
      </c>
    </row>
    <row r="144" customFormat="1" s="100">
      <c r="A144" s="45" t="n"/>
      <c r="B144" s="46" t="n">
        <v>36526</v>
      </c>
      <c r="C144" s="13">
        <f>((((VLOOKUP(B144,Database!$F:$AY,MATCH($C$1,Database!$F$1:$AY$1,),))))-(((VLOOKUP(EDATE(B144,-12),Database!$F:$AY,MATCH($C$1,Database!$F$1:$AY$1,),)))))/(((VLOOKUP(EDATE(B144,-12),Database!$F:$AY,MATCH($C$1,Database!$F$1:$AY$1,),))))</f>
        <v/>
      </c>
      <c r="D144" s="13">
        <f>((((VLOOKUP(B144,Database!$F:$AY,MATCH($D$1,Database!$F$1:$AY$1,),))))-(((VLOOKUP(EDATE(B144,-12),Database!$F:$AY,MATCH($D$1,Database!$F$1:$AY$1,),)))))/(((VLOOKUP(EDATE(B144,-12),Database!$F:$AY,MATCH($D$1,Database!$F$1:$AY$1,),))))</f>
        <v/>
      </c>
      <c r="E144" s="13">
        <f>((((VLOOKUP(B144,Database!$F:$AY,MATCH($E$1,Database!$F$1:$AY$1,),))))-(((VLOOKUP(EDATE(B144,-12),Database!$F:$AY,MATCH($E$1,Database!$F$1:$AY$1,),)))))/(((VLOOKUP(EDATE(B144,-12),Database!$F:$AY,MATCH($E$1,Database!$F$1:$AY$1,),))))</f>
        <v/>
      </c>
      <c r="F144" s="13">
        <f>((((VLOOKUP(B144,Database!$F:$AY,MATCH($F$1,Database!$F$1:$AY$1,),))))-(((VLOOKUP(EDATE(B144,-12),Database!$F:$AY,MATCH($F$1,Database!$F$1:$AY$1,),)))))/(((VLOOKUP(EDATE(B144,-12),Database!$F:$AY,MATCH($F$1,Database!$F$1:$AY$1,),))))</f>
        <v/>
      </c>
      <c r="G144" s="13">
        <f>((((VLOOKUP(B144,Database!$F:$AY,MATCH($G$1,Database!$F$1:$AY$1,),))))-(((VLOOKUP(EDATE(B144,-12),Database!$F:$AY,MATCH($G$1,Database!$F$1:$AY$1,),)))))/(((VLOOKUP(EDATE(B144,-12),Database!$F:$AY,MATCH($G$1,Database!$F$1:$AY$1,),))))</f>
        <v/>
      </c>
      <c r="H144" s="13">
        <f>((((VLOOKUP(B144,Database!$F:$AY,MATCH($H$1,Database!$F$1:$AY$1,),))))-(((VLOOKUP(EDATE(B144,-12),Database!$F:$AY,MATCH($H$1,Database!$F$1:$AY$1,),)))))/(((VLOOKUP(EDATE(B144,-12),Database!$F:$AY,MATCH($H$1,Database!$F$1:$AY$1,),))))</f>
        <v/>
      </c>
      <c r="I144" s="13">
        <f>((((VLOOKUP(B144,Database!$F:$AY,MATCH($I$1,Database!$F$1:$AY$1,),))))-(((VLOOKUP(EDATE(B144,-12),Database!$F:$AY,MATCH($I$1,Database!$F$1:$AY$1,),)))))/(((VLOOKUP(EDATE(B144,-12),Database!$F:$AY,MATCH($I$1,Database!$F$1:$AY$1,),))))</f>
        <v/>
      </c>
      <c r="J144" s="13">
        <f>((((VLOOKUP(B144,Database!$F:$AY,MATCH($J$1,Database!$F$1:$AY$1,),))))-(((VLOOKUP(EDATE(B144,-12),Database!$F:$AY,MATCH($J$1,Database!$F$1:$AY$1,),)))))/(((VLOOKUP(EDATE(B144,-12),Database!$F:$AY,MATCH($J$1,Database!$F$1:$AY$1,),))))</f>
        <v/>
      </c>
      <c r="K144" s="13">
        <f>((((VLOOKUP(B144,Database!$F:$AY,MATCH($K$1,Database!$F$1:$AY$1,),))))-(((VLOOKUP(EDATE(B144,-12),Database!$F:$AY,MATCH($K$1,Database!$F$1:$AY$1,),)))))/(((VLOOKUP(EDATE(B144,-12),Database!$F:$AY,MATCH($K$1,Database!$F$1:$AY$1,),))))</f>
        <v/>
      </c>
      <c r="L144" s="13">
        <f>((((VLOOKUP(B144,Database!$F:$AY,MATCH($L$1,Database!$F$1:$AY$1,),))))-(((VLOOKUP(EDATE(B144,-12),Database!$F:$AY,MATCH($L$1,Database!$F$1:$AY$1,),)))))/(((VLOOKUP(EDATE(B144,-12),Database!$F:$AY,MATCH($L$1,Database!$F$1:$AY$1,),))))</f>
        <v/>
      </c>
      <c r="M144" s="13">
        <f>((((VLOOKUP(B144,Database!$F:$AY,MATCH($M$1,Database!$F$1:$AY$1,),))))-(((VLOOKUP(EDATE(B144,-12),Database!$F:$AY,MATCH($M$1,Database!$F$1:$AY$1,),)))))/(((VLOOKUP(EDATE(B144,-12),Database!$F:$AY,MATCH($M$1,Database!$F$1:$AY$1,),))))</f>
        <v/>
      </c>
      <c r="N144" s="13">
        <f>((((VLOOKUP(B144,Database!$F:$AY,MATCH($N$1,Database!$F$1:$AY$1,),))))-(((VLOOKUP(EDATE(B144,-12),Database!$F:$AY,MATCH($N$1,Database!$F$1:$AY$1,),)))))/(((VLOOKUP(EDATE(B144,-12),Database!$F:$AY,MATCH($N$1,Database!$F$1:$AY$1,),))))</f>
        <v/>
      </c>
      <c r="O144" s="13">
        <f>((((VLOOKUP(B144,Database!$F:$AY,MATCH($O$1,Database!$F$1:$AY$1,),))))-(((VLOOKUP(EDATE(B144,-12),Database!$F:$AY,MATCH($O$1,Database!$F$1:$AY$1,),)))))/(((VLOOKUP(EDATE(B144,-12),Database!$F:$AY,MATCH($O$1,Database!$F$1:$AY$1,),))))</f>
        <v/>
      </c>
      <c r="P144" s="13">
        <f>((((VLOOKUP(B144,Database!$F:$AY,MATCH($P$1,Database!$F$1:$AY$1,),))))-(((VLOOKUP(EDATE(B144,-12),Database!$F:$AY,MATCH($P$1,Database!$F$1:$AY$1,),)))))/(((VLOOKUP(EDATE(B144,-12),Database!$F:$AY,MATCH($P$1,Database!$F$1:$AY$1,),))))</f>
        <v/>
      </c>
      <c r="Q144" s="13">
        <f>((((VLOOKUP(B144,Database!$F:$AY,MATCH($Q$1,Database!$F$1:$AY$1,),))))-(((VLOOKUP(EDATE(B144,-12),Database!$F:$AY,MATCH($Q$1,Database!$F$1:$AY$1,),)))))/(((VLOOKUP(EDATE(B144,-12),Database!$F:$AY,MATCH($Q$1,Database!$F$1:$AY$1,),))))</f>
        <v/>
      </c>
      <c r="R144" s="13">
        <f>((((VLOOKUP(B144,Database!$F:$AY,MATCH($R$1,Database!$F$1:$AY$1,),))))-(((VLOOKUP(EDATE(B144,-12),Database!$F:$AY,MATCH($R$1,Database!$F$1:$AY$1,),)))))/(((VLOOKUP(EDATE(B144,-12),Database!$F:$AY,MATCH($R$1,Database!$F$1:$AY$1,),))))</f>
        <v/>
      </c>
      <c r="S144" s="13">
        <f>((((VLOOKUP(B144,Database!$F:$AY,MATCH($S$1,Database!$F$1:$AY$1,),))))-(((VLOOKUP(EDATE(B144,-12),Database!$F:$AY,MATCH($S$1,Database!$F$1:$AY$1,),)))))/(((VLOOKUP(EDATE(B144,-12),Database!$F:$AY,MATCH($S$1,Database!$F$1:$AY$1,),))))</f>
        <v/>
      </c>
      <c r="T144" s="13">
        <f>((((VLOOKUP(B144,Database!$F:$AY,MATCH($T$1,Database!$F$1:$AY$1,),))))-(((VLOOKUP(EDATE(B144,-12),Database!$F:$AY,MATCH($T$1,Database!$F$1:$AY$1,),)))))/(((VLOOKUP(EDATE(B144,-12),Database!$F:$AY,MATCH($T$1,Database!$F$1:$AY$1,),))))</f>
        <v/>
      </c>
      <c r="U144" s="13">
        <f>((((VLOOKUP(B144,Database!$F:$AY,MATCH($U$1,Database!$F$1:$AY$1,),))))-(((VLOOKUP(EDATE(B144,-12),Database!$F:$AY,MATCH($U$1,Database!$F$1:$AY$1,),)))))/(((VLOOKUP(EDATE(B144,-12),Database!$F:$AY,MATCH($U$1,Database!$F$1:$AY$1,),))))</f>
        <v/>
      </c>
      <c r="V144" s="13">
        <f>((((VLOOKUP(B144,Database!$F:$AY,MATCH($V$1,Database!$F$1:$AY$1,),))))-(((VLOOKUP(EDATE(B144,-12),Database!$F:$AY,MATCH($V$1,Database!$F$1:$AY$1,),)))))/(((VLOOKUP(EDATE(B144,-12),Database!$F:$AY,MATCH($V$1,Database!$F$1:$AY$1,),))))</f>
        <v/>
      </c>
    </row>
    <row r="145" customFormat="1" s="100">
      <c r="A145" s="45" t="n"/>
      <c r="B145" s="46" t="n">
        <v>36557</v>
      </c>
      <c r="C145" s="13">
        <f>((((VLOOKUP(B145,Database!$F:$AY,MATCH($C$1,Database!$F$1:$AY$1,),))))-(((VLOOKUP(EDATE(B145,-12),Database!$F:$AY,MATCH($C$1,Database!$F$1:$AY$1,),)))))/(((VLOOKUP(EDATE(B145,-12),Database!$F:$AY,MATCH($C$1,Database!$F$1:$AY$1,),))))</f>
        <v/>
      </c>
      <c r="D145" s="13">
        <f>((((VLOOKUP(B145,Database!$F:$AY,MATCH($D$1,Database!$F$1:$AY$1,),))))-(((VLOOKUP(EDATE(B145,-12),Database!$F:$AY,MATCH($D$1,Database!$F$1:$AY$1,),)))))/(((VLOOKUP(EDATE(B145,-12),Database!$F:$AY,MATCH($D$1,Database!$F$1:$AY$1,),))))</f>
        <v/>
      </c>
      <c r="E145" s="13">
        <f>((((VLOOKUP(B145,Database!$F:$AY,MATCH($E$1,Database!$F$1:$AY$1,),))))-(((VLOOKUP(EDATE(B145,-12),Database!$F:$AY,MATCH($E$1,Database!$F$1:$AY$1,),)))))/(((VLOOKUP(EDATE(B145,-12),Database!$F:$AY,MATCH($E$1,Database!$F$1:$AY$1,),))))</f>
        <v/>
      </c>
      <c r="F145" s="13">
        <f>((((VLOOKUP(B145,Database!$F:$AY,MATCH($F$1,Database!$F$1:$AY$1,),))))-(((VLOOKUP(EDATE(B145,-12),Database!$F:$AY,MATCH($F$1,Database!$F$1:$AY$1,),)))))/(((VLOOKUP(EDATE(B145,-12),Database!$F:$AY,MATCH($F$1,Database!$F$1:$AY$1,),))))</f>
        <v/>
      </c>
      <c r="G145" s="13">
        <f>((((VLOOKUP(B145,Database!$F:$AY,MATCH($G$1,Database!$F$1:$AY$1,),))))-(((VLOOKUP(EDATE(B145,-12),Database!$F:$AY,MATCH($G$1,Database!$F$1:$AY$1,),)))))/(((VLOOKUP(EDATE(B145,-12),Database!$F:$AY,MATCH($G$1,Database!$F$1:$AY$1,),))))</f>
        <v/>
      </c>
      <c r="H145" s="13">
        <f>((((VLOOKUP(B145,Database!$F:$AY,MATCH($H$1,Database!$F$1:$AY$1,),))))-(((VLOOKUP(EDATE(B145,-12),Database!$F:$AY,MATCH($H$1,Database!$F$1:$AY$1,),)))))/(((VLOOKUP(EDATE(B145,-12),Database!$F:$AY,MATCH($H$1,Database!$F$1:$AY$1,),))))</f>
        <v/>
      </c>
      <c r="I145" s="13">
        <f>((((VLOOKUP(B145,Database!$F:$AY,MATCH($I$1,Database!$F$1:$AY$1,),))))-(((VLOOKUP(EDATE(B145,-12),Database!$F:$AY,MATCH($I$1,Database!$F$1:$AY$1,),)))))/(((VLOOKUP(EDATE(B145,-12),Database!$F:$AY,MATCH($I$1,Database!$F$1:$AY$1,),))))</f>
        <v/>
      </c>
      <c r="J145" s="13">
        <f>((((VLOOKUP(B145,Database!$F:$AY,MATCH($J$1,Database!$F$1:$AY$1,),))))-(((VLOOKUP(EDATE(B145,-12),Database!$F:$AY,MATCH($J$1,Database!$F$1:$AY$1,),)))))/(((VLOOKUP(EDATE(B145,-12),Database!$F:$AY,MATCH($J$1,Database!$F$1:$AY$1,),))))</f>
        <v/>
      </c>
      <c r="K145" s="13">
        <f>((((VLOOKUP(B145,Database!$F:$AY,MATCH($K$1,Database!$F$1:$AY$1,),))))-(((VLOOKUP(EDATE(B145,-12),Database!$F:$AY,MATCH($K$1,Database!$F$1:$AY$1,),)))))/(((VLOOKUP(EDATE(B145,-12),Database!$F:$AY,MATCH($K$1,Database!$F$1:$AY$1,),))))</f>
        <v/>
      </c>
      <c r="L145" s="13">
        <f>((((VLOOKUP(B145,Database!$F:$AY,MATCH($L$1,Database!$F$1:$AY$1,),))))-(((VLOOKUP(EDATE(B145,-12),Database!$F:$AY,MATCH($L$1,Database!$F$1:$AY$1,),)))))/(((VLOOKUP(EDATE(B145,-12),Database!$F:$AY,MATCH($L$1,Database!$F$1:$AY$1,),))))</f>
        <v/>
      </c>
      <c r="M145" s="13">
        <f>((((VLOOKUP(B145,Database!$F:$AY,MATCH($M$1,Database!$F$1:$AY$1,),))))-(((VLOOKUP(EDATE(B145,-12),Database!$F:$AY,MATCH($M$1,Database!$F$1:$AY$1,),)))))/(((VLOOKUP(EDATE(B145,-12),Database!$F:$AY,MATCH($M$1,Database!$F$1:$AY$1,),))))</f>
        <v/>
      </c>
      <c r="N145" s="13">
        <f>((((VLOOKUP(B145,Database!$F:$AY,MATCH($N$1,Database!$F$1:$AY$1,),))))-(((VLOOKUP(EDATE(B145,-12),Database!$F:$AY,MATCH($N$1,Database!$F$1:$AY$1,),)))))/(((VLOOKUP(EDATE(B145,-12),Database!$F:$AY,MATCH($N$1,Database!$F$1:$AY$1,),))))</f>
        <v/>
      </c>
      <c r="O145" s="13">
        <f>((((VLOOKUP(B145,Database!$F:$AY,MATCH($O$1,Database!$F$1:$AY$1,),))))-(((VLOOKUP(EDATE(B145,-12),Database!$F:$AY,MATCH($O$1,Database!$F$1:$AY$1,),)))))/(((VLOOKUP(EDATE(B145,-12),Database!$F:$AY,MATCH($O$1,Database!$F$1:$AY$1,),))))</f>
        <v/>
      </c>
      <c r="P145" s="13">
        <f>((((VLOOKUP(B145,Database!$F:$AY,MATCH($P$1,Database!$F$1:$AY$1,),))))-(((VLOOKUP(EDATE(B145,-12),Database!$F:$AY,MATCH($P$1,Database!$F$1:$AY$1,),)))))/(((VLOOKUP(EDATE(B145,-12),Database!$F:$AY,MATCH($P$1,Database!$F$1:$AY$1,),))))</f>
        <v/>
      </c>
      <c r="Q145" s="13">
        <f>((((VLOOKUP(B145,Database!$F:$AY,MATCH($Q$1,Database!$F$1:$AY$1,),))))-(((VLOOKUP(EDATE(B145,-12),Database!$F:$AY,MATCH($Q$1,Database!$F$1:$AY$1,),)))))/(((VLOOKUP(EDATE(B145,-12),Database!$F:$AY,MATCH($Q$1,Database!$F$1:$AY$1,),))))</f>
        <v/>
      </c>
      <c r="R145" s="13">
        <f>((((VLOOKUP(B145,Database!$F:$AY,MATCH($R$1,Database!$F$1:$AY$1,),))))-(((VLOOKUP(EDATE(B145,-12),Database!$F:$AY,MATCH($R$1,Database!$F$1:$AY$1,),)))))/(((VLOOKUP(EDATE(B145,-12),Database!$F:$AY,MATCH($R$1,Database!$F$1:$AY$1,),))))</f>
        <v/>
      </c>
      <c r="S145" s="13">
        <f>((((VLOOKUP(B145,Database!$F:$AY,MATCH($S$1,Database!$F$1:$AY$1,),))))-(((VLOOKUP(EDATE(B145,-12),Database!$F:$AY,MATCH($S$1,Database!$F$1:$AY$1,),)))))/(((VLOOKUP(EDATE(B145,-12),Database!$F:$AY,MATCH($S$1,Database!$F$1:$AY$1,),))))</f>
        <v/>
      </c>
      <c r="T145" s="13">
        <f>((((VLOOKUP(B145,Database!$F:$AY,MATCH($T$1,Database!$F$1:$AY$1,),))))-(((VLOOKUP(EDATE(B145,-12),Database!$F:$AY,MATCH($T$1,Database!$F$1:$AY$1,),)))))/(((VLOOKUP(EDATE(B145,-12),Database!$F:$AY,MATCH($T$1,Database!$F$1:$AY$1,),))))</f>
        <v/>
      </c>
      <c r="U145" s="13">
        <f>((((VLOOKUP(B145,Database!$F:$AY,MATCH($U$1,Database!$F$1:$AY$1,),))))-(((VLOOKUP(EDATE(B145,-12),Database!$F:$AY,MATCH($U$1,Database!$F$1:$AY$1,),)))))/(((VLOOKUP(EDATE(B145,-12),Database!$F:$AY,MATCH($U$1,Database!$F$1:$AY$1,),))))</f>
        <v/>
      </c>
      <c r="V145" s="13">
        <f>((((VLOOKUP(B145,Database!$F:$AY,MATCH($V$1,Database!$F$1:$AY$1,),))))-(((VLOOKUP(EDATE(B145,-12),Database!$F:$AY,MATCH($V$1,Database!$F$1:$AY$1,),)))))/(((VLOOKUP(EDATE(B145,-12),Database!$F:$AY,MATCH($V$1,Database!$F$1:$AY$1,),))))</f>
        <v/>
      </c>
    </row>
    <row r="146" customFormat="1" s="100">
      <c r="A146" s="45" t="n"/>
      <c r="B146" s="46" t="n">
        <v>36586</v>
      </c>
      <c r="C146" s="13">
        <f>((((VLOOKUP(B146,Database!$F:$AY,MATCH($C$1,Database!$F$1:$AY$1,),))))-(((VLOOKUP(EDATE(B146,-12),Database!$F:$AY,MATCH($C$1,Database!$F$1:$AY$1,),)))))/(((VLOOKUP(EDATE(B146,-12),Database!$F:$AY,MATCH($C$1,Database!$F$1:$AY$1,),))))</f>
        <v/>
      </c>
      <c r="D146" s="13">
        <f>((((VLOOKUP(B146,Database!$F:$AY,MATCH($D$1,Database!$F$1:$AY$1,),))))-(((VLOOKUP(EDATE(B146,-12),Database!$F:$AY,MATCH($D$1,Database!$F$1:$AY$1,),)))))/(((VLOOKUP(EDATE(B146,-12),Database!$F:$AY,MATCH($D$1,Database!$F$1:$AY$1,),))))</f>
        <v/>
      </c>
      <c r="E146" s="13">
        <f>((((VLOOKUP(B146,Database!$F:$AY,MATCH($E$1,Database!$F$1:$AY$1,),))))-(((VLOOKUP(EDATE(B146,-12),Database!$F:$AY,MATCH($E$1,Database!$F$1:$AY$1,),)))))/(((VLOOKUP(EDATE(B146,-12),Database!$F:$AY,MATCH($E$1,Database!$F$1:$AY$1,),))))</f>
        <v/>
      </c>
      <c r="F146" s="13">
        <f>((((VLOOKUP(B146,Database!$F:$AY,MATCH($F$1,Database!$F$1:$AY$1,),))))-(((VLOOKUP(EDATE(B146,-12),Database!$F:$AY,MATCH($F$1,Database!$F$1:$AY$1,),)))))/(((VLOOKUP(EDATE(B146,-12),Database!$F:$AY,MATCH($F$1,Database!$F$1:$AY$1,),))))</f>
        <v/>
      </c>
      <c r="G146" s="13">
        <f>((((VLOOKUP(B146,Database!$F:$AY,MATCH($G$1,Database!$F$1:$AY$1,),))))-(((VLOOKUP(EDATE(B146,-12),Database!$F:$AY,MATCH($G$1,Database!$F$1:$AY$1,),)))))/(((VLOOKUP(EDATE(B146,-12),Database!$F:$AY,MATCH($G$1,Database!$F$1:$AY$1,),))))</f>
        <v/>
      </c>
      <c r="H146" s="13">
        <f>((((VLOOKUP(B146,Database!$F:$AY,MATCH($H$1,Database!$F$1:$AY$1,),))))-(((VLOOKUP(EDATE(B146,-12),Database!$F:$AY,MATCH($H$1,Database!$F$1:$AY$1,),)))))/(((VLOOKUP(EDATE(B146,-12),Database!$F:$AY,MATCH($H$1,Database!$F$1:$AY$1,),))))</f>
        <v/>
      </c>
      <c r="I146" s="13">
        <f>((((VLOOKUP(B146,Database!$F:$AY,MATCH($I$1,Database!$F$1:$AY$1,),))))-(((VLOOKUP(EDATE(B146,-12),Database!$F:$AY,MATCH($I$1,Database!$F$1:$AY$1,),)))))/(((VLOOKUP(EDATE(B146,-12),Database!$F:$AY,MATCH($I$1,Database!$F$1:$AY$1,),))))</f>
        <v/>
      </c>
      <c r="J146" s="13">
        <f>((((VLOOKUP(B146,Database!$F:$AY,MATCH($J$1,Database!$F$1:$AY$1,),))))-(((VLOOKUP(EDATE(B146,-12),Database!$F:$AY,MATCH($J$1,Database!$F$1:$AY$1,),)))))/(((VLOOKUP(EDATE(B146,-12),Database!$F:$AY,MATCH($J$1,Database!$F$1:$AY$1,),))))</f>
        <v/>
      </c>
      <c r="K146" s="13">
        <f>((((VLOOKUP(B146,Database!$F:$AY,MATCH($K$1,Database!$F$1:$AY$1,),))))-(((VLOOKUP(EDATE(B146,-12),Database!$F:$AY,MATCH($K$1,Database!$F$1:$AY$1,),)))))/(((VLOOKUP(EDATE(B146,-12),Database!$F:$AY,MATCH($K$1,Database!$F$1:$AY$1,),))))</f>
        <v/>
      </c>
      <c r="L146" s="13">
        <f>((((VLOOKUP(B146,Database!$F:$AY,MATCH($L$1,Database!$F$1:$AY$1,),))))-(((VLOOKUP(EDATE(B146,-12),Database!$F:$AY,MATCH($L$1,Database!$F$1:$AY$1,),)))))/(((VLOOKUP(EDATE(B146,-12),Database!$F:$AY,MATCH($L$1,Database!$F$1:$AY$1,),))))</f>
        <v/>
      </c>
      <c r="M146" s="13">
        <f>((((VLOOKUP(B146,Database!$F:$AY,MATCH($M$1,Database!$F$1:$AY$1,),))))-(((VLOOKUP(EDATE(B146,-12),Database!$F:$AY,MATCH($M$1,Database!$F$1:$AY$1,),)))))/(((VLOOKUP(EDATE(B146,-12),Database!$F:$AY,MATCH($M$1,Database!$F$1:$AY$1,),))))</f>
        <v/>
      </c>
      <c r="N146" s="13">
        <f>((((VLOOKUP(B146,Database!$F:$AY,MATCH($N$1,Database!$F$1:$AY$1,),))))-(((VLOOKUP(EDATE(B146,-12),Database!$F:$AY,MATCH($N$1,Database!$F$1:$AY$1,),)))))/(((VLOOKUP(EDATE(B146,-12),Database!$F:$AY,MATCH($N$1,Database!$F$1:$AY$1,),))))</f>
        <v/>
      </c>
      <c r="O146" s="13">
        <f>((((VLOOKUP(B146,Database!$F:$AY,MATCH($O$1,Database!$F$1:$AY$1,),))))-(((VLOOKUP(EDATE(B146,-12),Database!$F:$AY,MATCH($O$1,Database!$F$1:$AY$1,),)))))/(((VLOOKUP(EDATE(B146,-12),Database!$F:$AY,MATCH($O$1,Database!$F$1:$AY$1,),))))</f>
        <v/>
      </c>
      <c r="P146" s="13">
        <f>((((VLOOKUP(B146,Database!$F:$AY,MATCH($P$1,Database!$F$1:$AY$1,),))))-(((VLOOKUP(EDATE(B146,-12),Database!$F:$AY,MATCH($P$1,Database!$F$1:$AY$1,),)))))/(((VLOOKUP(EDATE(B146,-12),Database!$F:$AY,MATCH($P$1,Database!$F$1:$AY$1,),))))</f>
        <v/>
      </c>
      <c r="Q146" s="13">
        <f>((((VLOOKUP(B146,Database!$F:$AY,MATCH($Q$1,Database!$F$1:$AY$1,),))))-(((VLOOKUP(EDATE(B146,-12),Database!$F:$AY,MATCH($Q$1,Database!$F$1:$AY$1,),)))))/(((VLOOKUP(EDATE(B146,-12),Database!$F:$AY,MATCH($Q$1,Database!$F$1:$AY$1,),))))</f>
        <v/>
      </c>
      <c r="R146" s="13">
        <f>((((VLOOKUP(B146,Database!$F:$AY,MATCH($R$1,Database!$F$1:$AY$1,),))))-(((VLOOKUP(EDATE(B146,-12),Database!$F:$AY,MATCH($R$1,Database!$F$1:$AY$1,),)))))/(((VLOOKUP(EDATE(B146,-12),Database!$F:$AY,MATCH($R$1,Database!$F$1:$AY$1,),))))</f>
        <v/>
      </c>
      <c r="S146" s="13">
        <f>((((VLOOKUP(B146,Database!$F:$AY,MATCH($S$1,Database!$F$1:$AY$1,),))))-(((VLOOKUP(EDATE(B146,-12),Database!$F:$AY,MATCH($S$1,Database!$F$1:$AY$1,),)))))/(((VLOOKUP(EDATE(B146,-12),Database!$F:$AY,MATCH($S$1,Database!$F$1:$AY$1,),))))</f>
        <v/>
      </c>
      <c r="T146" s="13">
        <f>((((VLOOKUP(B146,Database!$F:$AY,MATCH($T$1,Database!$F$1:$AY$1,),))))-(((VLOOKUP(EDATE(B146,-12),Database!$F:$AY,MATCH($T$1,Database!$F$1:$AY$1,),)))))/(((VLOOKUP(EDATE(B146,-12),Database!$F:$AY,MATCH($T$1,Database!$F$1:$AY$1,),))))</f>
        <v/>
      </c>
      <c r="U146" s="13">
        <f>((((VLOOKUP(B146,Database!$F:$AY,MATCH($U$1,Database!$F$1:$AY$1,),))))-(((VLOOKUP(EDATE(B146,-12),Database!$F:$AY,MATCH($U$1,Database!$F$1:$AY$1,),)))))/(((VLOOKUP(EDATE(B146,-12),Database!$F:$AY,MATCH($U$1,Database!$F$1:$AY$1,),))))</f>
        <v/>
      </c>
      <c r="V146" s="13">
        <f>((((VLOOKUP(B146,Database!$F:$AY,MATCH($V$1,Database!$F$1:$AY$1,),))))-(((VLOOKUP(EDATE(B146,-12),Database!$F:$AY,MATCH($V$1,Database!$F$1:$AY$1,),)))))/(((VLOOKUP(EDATE(B146,-12),Database!$F:$AY,MATCH($V$1,Database!$F$1:$AY$1,),))))</f>
        <v/>
      </c>
    </row>
    <row r="147" customFormat="1" s="100">
      <c r="A147" s="45" t="n"/>
      <c r="B147" s="46" t="n">
        <v>36617</v>
      </c>
      <c r="C147" s="13">
        <f>((((VLOOKUP(B147,Database!$F:$AY,MATCH($C$1,Database!$F$1:$AY$1,),))))-(((VLOOKUP(EDATE(B147,-12),Database!$F:$AY,MATCH($C$1,Database!$F$1:$AY$1,),)))))/(((VLOOKUP(EDATE(B147,-12),Database!$F:$AY,MATCH($C$1,Database!$F$1:$AY$1,),))))</f>
        <v/>
      </c>
      <c r="D147" s="13">
        <f>((((VLOOKUP(B147,Database!$F:$AY,MATCH($D$1,Database!$F$1:$AY$1,),))))-(((VLOOKUP(EDATE(B147,-12),Database!$F:$AY,MATCH($D$1,Database!$F$1:$AY$1,),)))))/(((VLOOKUP(EDATE(B147,-12),Database!$F:$AY,MATCH($D$1,Database!$F$1:$AY$1,),))))</f>
        <v/>
      </c>
      <c r="E147" s="13">
        <f>((((VLOOKUP(B147,Database!$F:$AY,MATCH($E$1,Database!$F$1:$AY$1,),))))-(((VLOOKUP(EDATE(B147,-12),Database!$F:$AY,MATCH($E$1,Database!$F$1:$AY$1,),)))))/(((VLOOKUP(EDATE(B147,-12),Database!$F:$AY,MATCH($E$1,Database!$F$1:$AY$1,),))))</f>
        <v/>
      </c>
      <c r="F147" s="13">
        <f>((((VLOOKUP(B147,Database!$F:$AY,MATCH($F$1,Database!$F$1:$AY$1,),))))-(((VLOOKUP(EDATE(B147,-12),Database!$F:$AY,MATCH($F$1,Database!$F$1:$AY$1,),)))))/(((VLOOKUP(EDATE(B147,-12),Database!$F:$AY,MATCH($F$1,Database!$F$1:$AY$1,),))))</f>
        <v/>
      </c>
      <c r="G147" s="13">
        <f>((((VLOOKUP(B147,Database!$F:$AY,MATCH($G$1,Database!$F$1:$AY$1,),))))-(((VLOOKUP(EDATE(B147,-12),Database!$F:$AY,MATCH($G$1,Database!$F$1:$AY$1,),)))))/(((VLOOKUP(EDATE(B147,-12),Database!$F:$AY,MATCH($G$1,Database!$F$1:$AY$1,),))))</f>
        <v/>
      </c>
      <c r="H147" s="13">
        <f>((((VLOOKUP(B147,Database!$F:$AY,MATCH($H$1,Database!$F$1:$AY$1,),))))-(((VLOOKUP(EDATE(B147,-12),Database!$F:$AY,MATCH($H$1,Database!$F$1:$AY$1,),)))))/(((VLOOKUP(EDATE(B147,-12),Database!$F:$AY,MATCH($H$1,Database!$F$1:$AY$1,),))))</f>
        <v/>
      </c>
      <c r="I147" s="13">
        <f>((((VLOOKUP(B147,Database!$F:$AY,MATCH($I$1,Database!$F$1:$AY$1,),))))-(((VLOOKUP(EDATE(B147,-12),Database!$F:$AY,MATCH($I$1,Database!$F$1:$AY$1,),)))))/(((VLOOKUP(EDATE(B147,-12),Database!$F:$AY,MATCH($I$1,Database!$F$1:$AY$1,),))))</f>
        <v/>
      </c>
      <c r="J147" s="13">
        <f>((((VLOOKUP(B147,Database!$F:$AY,MATCH($J$1,Database!$F$1:$AY$1,),))))-(((VLOOKUP(EDATE(B147,-12),Database!$F:$AY,MATCH($J$1,Database!$F$1:$AY$1,),)))))/(((VLOOKUP(EDATE(B147,-12),Database!$F:$AY,MATCH($J$1,Database!$F$1:$AY$1,),))))</f>
        <v/>
      </c>
      <c r="K147" s="13">
        <f>((((VLOOKUP(B147,Database!$F:$AY,MATCH($K$1,Database!$F$1:$AY$1,),))))-(((VLOOKUP(EDATE(B147,-12),Database!$F:$AY,MATCH($K$1,Database!$F$1:$AY$1,),)))))/(((VLOOKUP(EDATE(B147,-12),Database!$F:$AY,MATCH($K$1,Database!$F$1:$AY$1,),))))</f>
        <v/>
      </c>
      <c r="L147" s="13">
        <f>((((VLOOKUP(B147,Database!$F:$AY,MATCH($L$1,Database!$F$1:$AY$1,),))))-(((VLOOKUP(EDATE(B147,-12),Database!$F:$AY,MATCH($L$1,Database!$F$1:$AY$1,),)))))/(((VLOOKUP(EDATE(B147,-12),Database!$F:$AY,MATCH($L$1,Database!$F$1:$AY$1,),))))</f>
        <v/>
      </c>
      <c r="M147" s="13">
        <f>((((VLOOKUP(B147,Database!$F:$AY,MATCH($M$1,Database!$F$1:$AY$1,),))))-(((VLOOKUP(EDATE(B147,-12),Database!$F:$AY,MATCH($M$1,Database!$F$1:$AY$1,),)))))/(((VLOOKUP(EDATE(B147,-12),Database!$F:$AY,MATCH($M$1,Database!$F$1:$AY$1,),))))</f>
        <v/>
      </c>
      <c r="N147" s="13">
        <f>((((VLOOKUP(B147,Database!$F:$AY,MATCH($N$1,Database!$F$1:$AY$1,),))))-(((VLOOKUP(EDATE(B147,-12),Database!$F:$AY,MATCH($N$1,Database!$F$1:$AY$1,),)))))/(((VLOOKUP(EDATE(B147,-12),Database!$F:$AY,MATCH($N$1,Database!$F$1:$AY$1,),))))</f>
        <v/>
      </c>
      <c r="O147" s="13">
        <f>((((VLOOKUP(B147,Database!$F:$AY,MATCH($O$1,Database!$F$1:$AY$1,),))))-(((VLOOKUP(EDATE(B147,-12),Database!$F:$AY,MATCH($O$1,Database!$F$1:$AY$1,),)))))/(((VLOOKUP(EDATE(B147,-12),Database!$F:$AY,MATCH($O$1,Database!$F$1:$AY$1,),))))</f>
        <v/>
      </c>
      <c r="P147" s="13">
        <f>((((VLOOKUP(B147,Database!$F:$AY,MATCH($P$1,Database!$F$1:$AY$1,),))))-(((VLOOKUP(EDATE(B147,-12),Database!$F:$AY,MATCH($P$1,Database!$F$1:$AY$1,),)))))/(((VLOOKUP(EDATE(B147,-12),Database!$F:$AY,MATCH($P$1,Database!$F$1:$AY$1,),))))</f>
        <v/>
      </c>
      <c r="Q147" s="13">
        <f>((((VLOOKUP(B147,Database!$F:$AY,MATCH($Q$1,Database!$F$1:$AY$1,),))))-(((VLOOKUP(EDATE(B147,-12),Database!$F:$AY,MATCH($Q$1,Database!$F$1:$AY$1,),)))))/(((VLOOKUP(EDATE(B147,-12),Database!$F:$AY,MATCH($Q$1,Database!$F$1:$AY$1,),))))</f>
        <v/>
      </c>
      <c r="R147" s="13">
        <f>((((VLOOKUP(B147,Database!$F:$AY,MATCH($R$1,Database!$F$1:$AY$1,),))))-(((VLOOKUP(EDATE(B147,-12),Database!$F:$AY,MATCH($R$1,Database!$F$1:$AY$1,),)))))/(((VLOOKUP(EDATE(B147,-12),Database!$F:$AY,MATCH($R$1,Database!$F$1:$AY$1,),))))</f>
        <v/>
      </c>
      <c r="S147" s="13">
        <f>((((VLOOKUP(B147,Database!$F:$AY,MATCH($S$1,Database!$F$1:$AY$1,),))))-(((VLOOKUP(EDATE(B147,-12),Database!$F:$AY,MATCH($S$1,Database!$F$1:$AY$1,),)))))/(((VLOOKUP(EDATE(B147,-12),Database!$F:$AY,MATCH($S$1,Database!$F$1:$AY$1,),))))</f>
        <v/>
      </c>
      <c r="T147" s="13">
        <f>((((VLOOKUP(B147,Database!$F:$AY,MATCH($T$1,Database!$F$1:$AY$1,),))))-(((VLOOKUP(EDATE(B147,-12),Database!$F:$AY,MATCH($T$1,Database!$F$1:$AY$1,),)))))/(((VLOOKUP(EDATE(B147,-12),Database!$F:$AY,MATCH($T$1,Database!$F$1:$AY$1,),))))</f>
        <v/>
      </c>
      <c r="U147" s="13">
        <f>((((VLOOKUP(B147,Database!$F:$AY,MATCH($U$1,Database!$F$1:$AY$1,),))))-(((VLOOKUP(EDATE(B147,-12),Database!$F:$AY,MATCH($U$1,Database!$F$1:$AY$1,),)))))/(((VLOOKUP(EDATE(B147,-12),Database!$F:$AY,MATCH($U$1,Database!$F$1:$AY$1,),))))</f>
        <v/>
      </c>
      <c r="V147" s="13">
        <f>((((VLOOKUP(B147,Database!$F:$AY,MATCH($V$1,Database!$F$1:$AY$1,),))))-(((VLOOKUP(EDATE(B147,-12),Database!$F:$AY,MATCH($V$1,Database!$F$1:$AY$1,),)))))/(((VLOOKUP(EDATE(B147,-12),Database!$F:$AY,MATCH($V$1,Database!$F$1:$AY$1,),))))</f>
        <v/>
      </c>
    </row>
    <row r="148" customFormat="1" s="100">
      <c r="A148" s="45" t="n"/>
      <c r="B148" s="46" t="n">
        <v>36647</v>
      </c>
      <c r="C148" s="13">
        <f>((((VLOOKUP(B148,Database!$F:$AY,MATCH($C$1,Database!$F$1:$AY$1,),))))-(((VLOOKUP(EDATE(B148,-12),Database!$F:$AY,MATCH($C$1,Database!$F$1:$AY$1,),)))))/(((VLOOKUP(EDATE(B148,-12),Database!$F:$AY,MATCH($C$1,Database!$F$1:$AY$1,),))))</f>
        <v/>
      </c>
      <c r="D148" s="13">
        <f>((((VLOOKUP(B148,Database!$F:$AY,MATCH($D$1,Database!$F$1:$AY$1,),))))-(((VLOOKUP(EDATE(B148,-12),Database!$F:$AY,MATCH($D$1,Database!$F$1:$AY$1,),)))))/(((VLOOKUP(EDATE(B148,-12),Database!$F:$AY,MATCH($D$1,Database!$F$1:$AY$1,),))))</f>
        <v/>
      </c>
      <c r="E148" s="13">
        <f>((((VLOOKUP(B148,Database!$F:$AY,MATCH($E$1,Database!$F$1:$AY$1,),))))-(((VLOOKUP(EDATE(B148,-12),Database!$F:$AY,MATCH($E$1,Database!$F$1:$AY$1,),)))))/(((VLOOKUP(EDATE(B148,-12),Database!$F:$AY,MATCH($E$1,Database!$F$1:$AY$1,),))))</f>
        <v/>
      </c>
      <c r="F148" s="13">
        <f>((((VLOOKUP(B148,Database!$F:$AY,MATCH($F$1,Database!$F$1:$AY$1,),))))-(((VLOOKUP(EDATE(B148,-12),Database!$F:$AY,MATCH($F$1,Database!$F$1:$AY$1,),)))))/(((VLOOKUP(EDATE(B148,-12),Database!$F:$AY,MATCH($F$1,Database!$F$1:$AY$1,),))))</f>
        <v/>
      </c>
      <c r="G148" s="13">
        <f>((((VLOOKUP(B148,Database!$F:$AY,MATCH($G$1,Database!$F$1:$AY$1,),))))-(((VLOOKUP(EDATE(B148,-12),Database!$F:$AY,MATCH($G$1,Database!$F$1:$AY$1,),)))))/(((VLOOKUP(EDATE(B148,-12),Database!$F:$AY,MATCH($G$1,Database!$F$1:$AY$1,),))))</f>
        <v/>
      </c>
      <c r="H148" s="13">
        <f>((((VLOOKUP(B148,Database!$F:$AY,MATCH($H$1,Database!$F$1:$AY$1,),))))-(((VLOOKUP(EDATE(B148,-12),Database!$F:$AY,MATCH($H$1,Database!$F$1:$AY$1,),)))))/(((VLOOKUP(EDATE(B148,-12),Database!$F:$AY,MATCH($H$1,Database!$F$1:$AY$1,),))))</f>
        <v/>
      </c>
      <c r="I148" s="13">
        <f>((((VLOOKUP(B148,Database!$F:$AY,MATCH($I$1,Database!$F$1:$AY$1,),))))-(((VLOOKUP(EDATE(B148,-12),Database!$F:$AY,MATCH($I$1,Database!$F$1:$AY$1,),)))))/(((VLOOKUP(EDATE(B148,-12),Database!$F:$AY,MATCH($I$1,Database!$F$1:$AY$1,),))))</f>
        <v/>
      </c>
      <c r="J148" s="13">
        <f>((((VLOOKUP(B148,Database!$F:$AY,MATCH($J$1,Database!$F$1:$AY$1,),))))-(((VLOOKUP(EDATE(B148,-12),Database!$F:$AY,MATCH($J$1,Database!$F$1:$AY$1,),)))))/(((VLOOKUP(EDATE(B148,-12),Database!$F:$AY,MATCH($J$1,Database!$F$1:$AY$1,),))))</f>
        <v/>
      </c>
      <c r="K148" s="13">
        <f>((((VLOOKUP(B148,Database!$F:$AY,MATCH($K$1,Database!$F$1:$AY$1,),))))-(((VLOOKUP(EDATE(B148,-12),Database!$F:$AY,MATCH($K$1,Database!$F$1:$AY$1,),)))))/(((VLOOKUP(EDATE(B148,-12),Database!$F:$AY,MATCH($K$1,Database!$F$1:$AY$1,),))))</f>
        <v/>
      </c>
      <c r="L148" s="13">
        <f>((((VLOOKUP(B148,Database!$F:$AY,MATCH($L$1,Database!$F$1:$AY$1,),))))-(((VLOOKUP(EDATE(B148,-12),Database!$F:$AY,MATCH($L$1,Database!$F$1:$AY$1,),)))))/(((VLOOKUP(EDATE(B148,-12),Database!$F:$AY,MATCH($L$1,Database!$F$1:$AY$1,),))))</f>
        <v/>
      </c>
      <c r="M148" s="13">
        <f>((((VLOOKUP(B148,Database!$F:$AY,MATCH($M$1,Database!$F$1:$AY$1,),))))-(((VLOOKUP(EDATE(B148,-12),Database!$F:$AY,MATCH($M$1,Database!$F$1:$AY$1,),)))))/(((VLOOKUP(EDATE(B148,-12),Database!$F:$AY,MATCH($M$1,Database!$F$1:$AY$1,),))))</f>
        <v/>
      </c>
      <c r="N148" s="13">
        <f>((((VLOOKUP(B148,Database!$F:$AY,MATCH($N$1,Database!$F$1:$AY$1,),))))-(((VLOOKUP(EDATE(B148,-12),Database!$F:$AY,MATCH($N$1,Database!$F$1:$AY$1,),)))))/(((VLOOKUP(EDATE(B148,-12),Database!$F:$AY,MATCH($N$1,Database!$F$1:$AY$1,),))))</f>
        <v/>
      </c>
      <c r="O148" s="13">
        <f>((((VLOOKUP(B148,Database!$F:$AY,MATCH($O$1,Database!$F$1:$AY$1,),))))-(((VLOOKUP(EDATE(B148,-12),Database!$F:$AY,MATCH($O$1,Database!$F$1:$AY$1,),)))))/(((VLOOKUP(EDATE(B148,-12),Database!$F:$AY,MATCH($O$1,Database!$F$1:$AY$1,),))))</f>
        <v/>
      </c>
      <c r="P148" s="13">
        <f>((((VLOOKUP(B148,Database!$F:$AY,MATCH($P$1,Database!$F$1:$AY$1,),))))-(((VLOOKUP(EDATE(B148,-12),Database!$F:$AY,MATCH($P$1,Database!$F$1:$AY$1,),)))))/(((VLOOKUP(EDATE(B148,-12),Database!$F:$AY,MATCH($P$1,Database!$F$1:$AY$1,),))))</f>
        <v/>
      </c>
      <c r="Q148" s="13">
        <f>((((VLOOKUP(B148,Database!$F:$AY,MATCH($Q$1,Database!$F$1:$AY$1,),))))-(((VLOOKUP(EDATE(B148,-12),Database!$F:$AY,MATCH($Q$1,Database!$F$1:$AY$1,),)))))/(((VLOOKUP(EDATE(B148,-12),Database!$F:$AY,MATCH($Q$1,Database!$F$1:$AY$1,),))))</f>
        <v/>
      </c>
      <c r="R148" s="13">
        <f>((((VLOOKUP(B148,Database!$F:$AY,MATCH($R$1,Database!$F$1:$AY$1,),))))-(((VLOOKUP(EDATE(B148,-12),Database!$F:$AY,MATCH($R$1,Database!$F$1:$AY$1,),)))))/(((VLOOKUP(EDATE(B148,-12),Database!$F:$AY,MATCH($R$1,Database!$F$1:$AY$1,),))))</f>
        <v/>
      </c>
      <c r="S148" s="13">
        <f>((((VLOOKUP(B148,Database!$F:$AY,MATCH($S$1,Database!$F$1:$AY$1,),))))-(((VLOOKUP(EDATE(B148,-12),Database!$F:$AY,MATCH($S$1,Database!$F$1:$AY$1,),)))))/(((VLOOKUP(EDATE(B148,-12),Database!$F:$AY,MATCH($S$1,Database!$F$1:$AY$1,),))))</f>
        <v/>
      </c>
      <c r="T148" s="13">
        <f>((((VLOOKUP(B148,Database!$F:$AY,MATCH($T$1,Database!$F$1:$AY$1,),))))-(((VLOOKUP(EDATE(B148,-12),Database!$F:$AY,MATCH($T$1,Database!$F$1:$AY$1,),)))))/(((VLOOKUP(EDATE(B148,-12),Database!$F:$AY,MATCH($T$1,Database!$F$1:$AY$1,),))))</f>
        <v/>
      </c>
      <c r="U148" s="13">
        <f>((((VLOOKUP(B148,Database!$F:$AY,MATCH($U$1,Database!$F$1:$AY$1,),))))-(((VLOOKUP(EDATE(B148,-12),Database!$F:$AY,MATCH($U$1,Database!$F$1:$AY$1,),)))))/(((VLOOKUP(EDATE(B148,-12),Database!$F:$AY,MATCH($U$1,Database!$F$1:$AY$1,),))))</f>
        <v/>
      </c>
      <c r="V148" s="13">
        <f>((((VLOOKUP(B148,Database!$F:$AY,MATCH($V$1,Database!$F$1:$AY$1,),))))-(((VLOOKUP(EDATE(B148,-12),Database!$F:$AY,MATCH($V$1,Database!$F$1:$AY$1,),)))))/(((VLOOKUP(EDATE(B148,-12),Database!$F:$AY,MATCH($V$1,Database!$F$1:$AY$1,),))))</f>
        <v/>
      </c>
    </row>
    <row r="149" customFormat="1" s="100">
      <c r="A149" s="45" t="n"/>
      <c r="B149" s="46" t="n">
        <v>36678</v>
      </c>
      <c r="C149" s="13">
        <f>((((VLOOKUP(B149,Database!$F:$AY,MATCH($C$1,Database!$F$1:$AY$1,),))))-(((VLOOKUP(EDATE(B149,-12),Database!$F:$AY,MATCH($C$1,Database!$F$1:$AY$1,),)))))/(((VLOOKUP(EDATE(B149,-12),Database!$F:$AY,MATCH($C$1,Database!$F$1:$AY$1,),))))</f>
        <v/>
      </c>
      <c r="D149" s="13">
        <f>((((VLOOKUP(B149,Database!$F:$AY,MATCH($D$1,Database!$F$1:$AY$1,),))))-(((VLOOKUP(EDATE(B149,-12),Database!$F:$AY,MATCH($D$1,Database!$F$1:$AY$1,),)))))/(((VLOOKUP(EDATE(B149,-12),Database!$F:$AY,MATCH($D$1,Database!$F$1:$AY$1,),))))</f>
        <v/>
      </c>
      <c r="E149" s="13">
        <f>((((VLOOKUP(B149,Database!$F:$AY,MATCH($E$1,Database!$F$1:$AY$1,),))))-(((VLOOKUP(EDATE(B149,-12),Database!$F:$AY,MATCH($E$1,Database!$F$1:$AY$1,),)))))/(((VLOOKUP(EDATE(B149,-12),Database!$F:$AY,MATCH($E$1,Database!$F$1:$AY$1,),))))</f>
        <v/>
      </c>
      <c r="F149" s="13">
        <f>((((VLOOKUP(B149,Database!$F:$AY,MATCH($F$1,Database!$F$1:$AY$1,),))))-(((VLOOKUP(EDATE(B149,-12),Database!$F:$AY,MATCH($F$1,Database!$F$1:$AY$1,),)))))/(((VLOOKUP(EDATE(B149,-12),Database!$F:$AY,MATCH($F$1,Database!$F$1:$AY$1,),))))</f>
        <v/>
      </c>
      <c r="G149" s="13">
        <f>((((VLOOKUP(B149,Database!$F:$AY,MATCH($G$1,Database!$F$1:$AY$1,),))))-(((VLOOKUP(EDATE(B149,-12),Database!$F:$AY,MATCH($G$1,Database!$F$1:$AY$1,),)))))/(((VLOOKUP(EDATE(B149,-12),Database!$F:$AY,MATCH($G$1,Database!$F$1:$AY$1,),))))</f>
        <v/>
      </c>
      <c r="H149" s="13">
        <f>((((VLOOKUP(B149,Database!$F:$AY,MATCH($H$1,Database!$F$1:$AY$1,),))))-(((VLOOKUP(EDATE(B149,-12),Database!$F:$AY,MATCH($H$1,Database!$F$1:$AY$1,),)))))/(((VLOOKUP(EDATE(B149,-12),Database!$F:$AY,MATCH($H$1,Database!$F$1:$AY$1,),))))</f>
        <v/>
      </c>
      <c r="I149" s="13">
        <f>((((VLOOKUP(B149,Database!$F:$AY,MATCH($I$1,Database!$F$1:$AY$1,),))))-(((VLOOKUP(EDATE(B149,-12),Database!$F:$AY,MATCH($I$1,Database!$F$1:$AY$1,),)))))/(((VLOOKUP(EDATE(B149,-12),Database!$F:$AY,MATCH($I$1,Database!$F$1:$AY$1,),))))</f>
        <v/>
      </c>
      <c r="J149" s="13">
        <f>((((VLOOKUP(B149,Database!$F:$AY,MATCH($J$1,Database!$F$1:$AY$1,),))))-(((VLOOKUP(EDATE(B149,-12),Database!$F:$AY,MATCH($J$1,Database!$F$1:$AY$1,),)))))/(((VLOOKUP(EDATE(B149,-12),Database!$F:$AY,MATCH($J$1,Database!$F$1:$AY$1,),))))</f>
        <v/>
      </c>
      <c r="K149" s="13">
        <f>((((VLOOKUP(B149,Database!$F:$AY,MATCH($K$1,Database!$F$1:$AY$1,),))))-(((VLOOKUP(EDATE(B149,-12),Database!$F:$AY,MATCH($K$1,Database!$F$1:$AY$1,),)))))/(((VLOOKUP(EDATE(B149,-12),Database!$F:$AY,MATCH($K$1,Database!$F$1:$AY$1,),))))</f>
        <v/>
      </c>
      <c r="L149" s="13">
        <f>((((VLOOKUP(B149,Database!$F:$AY,MATCH($L$1,Database!$F$1:$AY$1,),))))-(((VLOOKUP(EDATE(B149,-12),Database!$F:$AY,MATCH($L$1,Database!$F$1:$AY$1,),)))))/(((VLOOKUP(EDATE(B149,-12),Database!$F:$AY,MATCH($L$1,Database!$F$1:$AY$1,),))))</f>
        <v/>
      </c>
      <c r="M149" s="13">
        <f>((((VLOOKUP(B149,Database!$F:$AY,MATCH($M$1,Database!$F$1:$AY$1,),))))-(((VLOOKUP(EDATE(B149,-12),Database!$F:$AY,MATCH($M$1,Database!$F$1:$AY$1,),)))))/(((VLOOKUP(EDATE(B149,-12),Database!$F:$AY,MATCH($M$1,Database!$F$1:$AY$1,),))))</f>
        <v/>
      </c>
      <c r="N149" s="13">
        <f>((((VLOOKUP(B149,Database!$F:$AY,MATCH($N$1,Database!$F$1:$AY$1,),))))-(((VLOOKUP(EDATE(B149,-12),Database!$F:$AY,MATCH($N$1,Database!$F$1:$AY$1,),)))))/(((VLOOKUP(EDATE(B149,-12),Database!$F:$AY,MATCH($N$1,Database!$F$1:$AY$1,),))))</f>
        <v/>
      </c>
      <c r="O149" s="13">
        <f>((((VLOOKUP(B149,Database!$F:$AY,MATCH($O$1,Database!$F$1:$AY$1,),))))-(((VLOOKUP(EDATE(B149,-12),Database!$F:$AY,MATCH($O$1,Database!$F$1:$AY$1,),)))))/(((VLOOKUP(EDATE(B149,-12),Database!$F:$AY,MATCH($O$1,Database!$F$1:$AY$1,),))))</f>
        <v/>
      </c>
      <c r="P149" s="13">
        <f>((((VLOOKUP(B149,Database!$F:$AY,MATCH($P$1,Database!$F$1:$AY$1,),))))-(((VLOOKUP(EDATE(B149,-12),Database!$F:$AY,MATCH($P$1,Database!$F$1:$AY$1,),)))))/(((VLOOKUP(EDATE(B149,-12),Database!$F:$AY,MATCH($P$1,Database!$F$1:$AY$1,),))))</f>
        <v/>
      </c>
      <c r="Q149" s="13">
        <f>((((VLOOKUP(B149,Database!$F:$AY,MATCH($Q$1,Database!$F$1:$AY$1,),))))-(((VLOOKUP(EDATE(B149,-12),Database!$F:$AY,MATCH($Q$1,Database!$F$1:$AY$1,),)))))/(((VLOOKUP(EDATE(B149,-12),Database!$F:$AY,MATCH($Q$1,Database!$F$1:$AY$1,),))))</f>
        <v/>
      </c>
      <c r="R149" s="13">
        <f>((((VLOOKUP(B149,Database!$F:$AY,MATCH($R$1,Database!$F$1:$AY$1,),))))-(((VLOOKUP(EDATE(B149,-12),Database!$F:$AY,MATCH($R$1,Database!$F$1:$AY$1,),)))))/(((VLOOKUP(EDATE(B149,-12),Database!$F:$AY,MATCH($R$1,Database!$F$1:$AY$1,),))))</f>
        <v/>
      </c>
      <c r="S149" s="13">
        <f>((((VLOOKUP(B149,Database!$F:$AY,MATCH($S$1,Database!$F$1:$AY$1,),))))-(((VLOOKUP(EDATE(B149,-12),Database!$F:$AY,MATCH($S$1,Database!$F$1:$AY$1,),)))))/(((VLOOKUP(EDATE(B149,-12),Database!$F:$AY,MATCH($S$1,Database!$F$1:$AY$1,),))))</f>
        <v/>
      </c>
      <c r="T149" s="13">
        <f>((((VLOOKUP(B149,Database!$F:$AY,MATCH($T$1,Database!$F$1:$AY$1,),))))-(((VLOOKUP(EDATE(B149,-12),Database!$F:$AY,MATCH($T$1,Database!$F$1:$AY$1,),)))))/(((VLOOKUP(EDATE(B149,-12),Database!$F:$AY,MATCH($T$1,Database!$F$1:$AY$1,),))))</f>
        <v/>
      </c>
      <c r="U149" s="13">
        <f>((((VLOOKUP(B149,Database!$F:$AY,MATCH($U$1,Database!$F$1:$AY$1,),))))-(((VLOOKUP(EDATE(B149,-12),Database!$F:$AY,MATCH($U$1,Database!$F$1:$AY$1,),)))))/(((VLOOKUP(EDATE(B149,-12),Database!$F:$AY,MATCH($U$1,Database!$F$1:$AY$1,),))))</f>
        <v/>
      </c>
      <c r="V149" s="13">
        <f>((((VLOOKUP(B149,Database!$F:$AY,MATCH($V$1,Database!$F$1:$AY$1,),))))-(((VLOOKUP(EDATE(B149,-12),Database!$F:$AY,MATCH($V$1,Database!$F$1:$AY$1,),)))))/(((VLOOKUP(EDATE(B149,-12),Database!$F:$AY,MATCH($V$1,Database!$F$1:$AY$1,),))))</f>
        <v/>
      </c>
    </row>
    <row r="150" customFormat="1" s="100">
      <c r="A150" s="45" t="n"/>
      <c r="B150" s="46" t="n">
        <v>36708</v>
      </c>
      <c r="C150" s="13">
        <f>((((VLOOKUP(B150,Database!$F:$AY,MATCH($C$1,Database!$F$1:$AY$1,),))))-(((VLOOKUP(EDATE(B150,-12),Database!$F:$AY,MATCH($C$1,Database!$F$1:$AY$1,),)))))/(((VLOOKUP(EDATE(B150,-12),Database!$F:$AY,MATCH($C$1,Database!$F$1:$AY$1,),))))</f>
        <v/>
      </c>
      <c r="D150" s="13">
        <f>((((VLOOKUP(B150,Database!$F:$AY,MATCH($D$1,Database!$F$1:$AY$1,),))))-(((VLOOKUP(EDATE(B150,-12),Database!$F:$AY,MATCH($D$1,Database!$F$1:$AY$1,),)))))/(((VLOOKUP(EDATE(B150,-12),Database!$F:$AY,MATCH($D$1,Database!$F$1:$AY$1,),))))</f>
        <v/>
      </c>
      <c r="E150" s="13">
        <f>((((VLOOKUP(B150,Database!$F:$AY,MATCH($E$1,Database!$F$1:$AY$1,),))))-(((VLOOKUP(EDATE(B150,-12),Database!$F:$AY,MATCH($E$1,Database!$F$1:$AY$1,),)))))/(((VLOOKUP(EDATE(B150,-12),Database!$F:$AY,MATCH($E$1,Database!$F$1:$AY$1,),))))</f>
        <v/>
      </c>
      <c r="F150" s="13">
        <f>((((VLOOKUP(B150,Database!$F:$AY,MATCH($F$1,Database!$F$1:$AY$1,),))))-(((VLOOKUP(EDATE(B150,-12),Database!$F:$AY,MATCH($F$1,Database!$F$1:$AY$1,),)))))/(((VLOOKUP(EDATE(B150,-12),Database!$F:$AY,MATCH($F$1,Database!$F$1:$AY$1,),))))</f>
        <v/>
      </c>
      <c r="G150" s="13">
        <f>((((VLOOKUP(B150,Database!$F:$AY,MATCH($G$1,Database!$F$1:$AY$1,),))))-(((VLOOKUP(EDATE(B150,-12),Database!$F:$AY,MATCH($G$1,Database!$F$1:$AY$1,),)))))/(((VLOOKUP(EDATE(B150,-12),Database!$F:$AY,MATCH($G$1,Database!$F$1:$AY$1,),))))</f>
        <v/>
      </c>
      <c r="H150" s="13">
        <f>((((VLOOKUP(B150,Database!$F:$AY,MATCH($H$1,Database!$F$1:$AY$1,),))))-(((VLOOKUP(EDATE(B150,-12),Database!$F:$AY,MATCH($H$1,Database!$F$1:$AY$1,),)))))/(((VLOOKUP(EDATE(B150,-12),Database!$F:$AY,MATCH($H$1,Database!$F$1:$AY$1,),))))</f>
        <v/>
      </c>
      <c r="I150" s="13">
        <f>((((VLOOKUP(B150,Database!$F:$AY,MATCH($I$1,Database!$F$1:$AY$1,),))))-(((VLOOKUP(EDATE(B150,-12),Database!$F:$AY,MATCH($I$1,Database!$F$1:$AY$1,),)))))/(((VLOOKUP(EDATE(B150,-12),Database!$F:$AY,MATCH($I$1,Database!$F$1:$AY$1,),))))</f>
        <v/>
      </c>
      <c r="J150" s="13">
        <f>((((VLOOKUP(B150,Database!$F:$AY,MATCH($J$1,Database!$F$1:$AY$1,),))))-(((VLOOKUP(EDATE(B150,-12),Database!$F:$AY,MATCH($J$1,Database!$F$1:$AY$1,),)))))/(((VLOOKUP(EDATE(B150,-12),Database!$F:$AY,MATCH($J$1,Database!$F$1:$AY$1,),))))</f>
        <v/>
      </c>
      <c r="K150" s="13">
        <f>((((VLOOKUP(B150,Database!$F:$AY,MATCH($K$1,Database!$F$1:$AY$1,),))))-(((VLOOKUP(EDATE(B150,-12),Database!$F:$AY,MATCH($K$1,Database!$F$1:$AY$1,),)))))/(((VLOOKUP(EDATE(B150,-12),Database!$F:$AY,MATCH($K$1,Database!$F$1:$AY$1,),))))</f>
        <v/>
      </c>
      <c r="L150" s="13">
        <f>((((VLOOKUP(B150,Database!$F:$AY,MATCH($L$1,Database!$F$1:$AY$1,),))))-(((VLOOKUP(EDATE(B150,-12),Database!$F:$AY,MATCH($L$1,Database!$F$1:$AY$1,),)))))/(((VLOOKUP(EDATE(B150,-12),Database!$F:$AY,MATCH($L$1,Database!$F$1:$AY$1,),))))</f>
        <v/>
      </c>
      <c r="M150" s="13">
        <f>((((VLOOKUP(B150,Database!$F:$AY,MATCH($M$1,Database!$F$1:$AY$1,),))))-(((VLOOKUP(EDATE(B150,-12),Database!$F:$AY,MATCH($M$1,Database!$F$1:$AY$1,),)))))/(((VLOOKUP(EDATE(B150,-12),Database!$F:$AY,MATCH($M$1,Database!$F$1:$AY$1,),))))</f>
        <v/>
      </c>
      <c r="N150" s="13">
        <f>((((VLOOKUP(B150,Database!$F:$AY,MATCH($N$1,Database!$F$1:$AY$1,),))))-(((VLOOKUP(EDATE(B150,-12),Database!$F:$AY,MATCH($N$1,Database!$F$1:$AY$1,),)))))/(((VLOOKUP(EDATE(B150,-12),Database!$F:$AY,MATCH($N$1,Database!$F$1:$AY$1,),))))</f>
        <v/>
      </c>
      <c r="O150" s="13">
        <f>((((VLOOKUP(B150,Database!$F:$AY,MATCH($O$1,Database!$F$1:$AY$1,),))))-(((VLOOKUP(EDATE(B150,-12),Database!$F:$AY,MATCH($O$1,Database!$F$1:$AY$1,),)))))/(((VLOOKUP(EDATE(B150,-12),Database!$F:$AY,MATCH($O$1,Database!$F$1:$AY$1,),))))</f>
        <v/>
      </c>
      <c r="P150" s="13">
        <f>((((VLOOKUP(B150,Database!$F:$AY,MATCH($P$1,Database!$F$1:$AY$1,),))))-(((VLOOKUP(EDATE(B150,-12),Database!$F:$AY,MATCH($P$1,Database!$F$1:$AY$1,),)))))/(((VLOOKUP(EDATE(B150,-12),Database!$F:$AY,MATCH($P$1,Database!$F$1:$AY$1,),))))</f>
        <v/>
      </c>
      <c r="Q150" s="13">
        <f>((((VLOOKUP(B150,Database!$F:$AY,MATCH($Q$1,Database!$F$1:$AY$1,),))))-(((VLOOKUP(EDATE(B150,-12),Database!$F:$AY,MATCH($Q$1,Database!$F$1:$AY$1,),)))))/(((VLOOKUP(EDATE(B150,-12),Database!$F:$AY,MATCH($Q$1,Database!$F$1:$AY$1,),))))</f>
        <v/>
      </c>
      <c r="R150" s="13">
        <f>((((VLOOKUP(B150,Database!$F:$AY,MATCH($R$1,Database!$F$1:$AY$1,),))))-(((VLOOKUP(EDATE(B150,-12),Database!$F:$AY,MATCH($R$1,Database!$F$1:$AY$1,),)))))/(((VLOOKUP(EDATE(B150,-12),Database!$F:$AY,MATCH($R$1,Database!$F$1:$AY$1,),))))</f>
        <v/>
      </c>
      <c r="S150" s="13">
        <f>((((VLOOKUP(B150,Database!$F:$AY,MATCH($S$1,Database!$F$1:$AY$1,),))))-(((VLOOKUP(EDATE(B150,-12),Database!$F:$AY,MATCH($S$1,Database!$F$1:$AY$1,),)))))/(((VLOOKUP(EDATE(B150,-12),Database!$F:$AY,MATCH($S$1,Database!$F$1:$AY$1,),))))</f>
        <v/>
      </c>
      <c r="T150" s="13">
        <f>((((VLOOKUP(B150,Database!$F:$AY,MATCH($T$1,Database!$F$1:$AY$1,),))))-(((VLOOKUP(EDATE(B150,-12),Database!$F:$AY,MATCH($T$1,Database!$F$1:$AY$1,),)))))/(((VLOOKUP(EDATE(B150,-12),Database!$F:$AY,MATCH($T$1,Database!$F$1:$AY$1,),))))</f>
        <v/>
      </c>
      <c r="U150" s="13">
        <f>((((VLOOKUP(B150,Database!$F:$AY,MATCH($U$1,Database!$F$1:$AY$1,),))))-(((VLOOKUP(EDATE(B150,-12),Database!$F:$AY,MATCH($U$1,Database!$F$1:$AY$1,),)))))/(((VLOOKUP(EDATE(B150,-12),Database!$F:$AY,MATCH($U$1,Database!$F$1:$AY$1,),))))</f>
        <v/>
      </c>
      <c r="V150" s="13">
        <f>((((VLOOKUP(B150,Database!$F:$AY,MATCH($V$1,Database!$F$1:$AY$1,),))))-(((VLOOKUP(EDATE(B150,-12),Database!$F:$AY,MATCH($V$1,Database!$F$1:$AY$1,),)))))/(((VLOOKUP(EDATE(B150,-12),Database!$F:$AY,MATCH($V$1,Database!$F$1:$AY$1,),))))</f>
        <v/>
      </c>
    </row>
    <row r="151" customFormat="1" s="100">
      <c r="A151" s="45" t="n"/>
      <c r="B151" s="46" t="n">
        <v>36739</v>
      </c>
      <c r="C151" s="13">
        <f>((((VLOOKUP(B151,Database!$F:$AY,MATCH($C$1,Database!$F$1:$AY$1,),))))-(((VLOOKUP(EDATE(B151,-12),Database!$F:$AY,MATCH($C$1,Database!$F$1:$AY$1,),)))))/(((VLOOKUP(EDATE(B151,-12),Database!$F:$AY,MATCH($C$1,Database!$F$1:$AY$1,),))))</f>
        <v/>
      </c>
      <c r="D151" s="13">
        <f>((((VLOOKUP(B151,Database!$F:$AY,MATCH($D$1,Database!$F$1:$AY$1,),))))-(((VLOOKUP(EDATE(B151,-12),Database!$F:$AY,MATCH($D$1,Database!$F$1:$AY$1,),)))))/(((VLOOKUP(EDATE(B151,-12),Database!$F:$AY,MATCH($D$1,Database!$F$1:$AY$1,),))))</f>
        <v/>
      </c>
      <c r="E151" s="13">
        <f>((((VLOOKUP(B151,Database!$F:$AY,MATCH($E$1,Database!$F$1:$AY$1,),))))-(((VLOOKUP(EDATE(B151,-12),Database!$F:$AY,MATCH($E$1,Database!$F$1:$AY$1,),)))))/(((VLOOKUP(EDATE(B151,-12),Database!$F:$AY,MATCH($E$1,Database!$F$1:$AY$1,),))))</f>
        <v/>
      </c>
      <c r="F151" s="13">
        <f>((((VLOOKUP(B151,Database!$F:$AY,MATCH($F$1,Database!$F$1:$AY$1,),))))-(((VLOOKUP(EDATE(B151,-12),Database!$F:$AY,MATCH($F$1,Database!$F$1:$AY$1,),)))))/(((VLOOKUP(EDATE(B151,-12),Database!$F:$AY,MATCH($F$1,Database!$F$1:$AY$1,),))))</f>
        <v/>
      </c>
      <c r="G151" s="13">
        <f>((((VLOOKUP(B151,Database!$F:$AY,MATCH($G$1,Database!$F$1:$AY$1,),))))-(((VLOOKUP(EDATE(B151,-12),Database!$F:$AY,MATCH($G$1,Database!$F$1:$AY$1,),)))))/(((VLOOKUP(EDATE(B151,-12),Database!$F:$AY,MATCH($G$1,Database!$F$1:$AY$1,),))))</f>
        <v/>
      </c>
      <c r="H151" s="13">
        <f>((((VLOOKUP(B151,Database!$F:$AY,MATCH($H$1,Database!$F$1:$AY$1,),))))-(((VLOOKUP(EDATE(B151,-12),Database!$F:$AY,MATCH($H$1,Database!$F$1:$AY$1,),)))))/(((VLOOKUP(EDATE(B151,-12),Database!$F:$AY,MATCH($H$1,Database!$F$1:$AY$1,),))))</f>
        <v/>
      </c>
      <c r="I151" s="13">
        <f>((((VLOOKUP(B151,Database!$F:$AY,MATCH($I$1,Database!$F$1:$AY$1,),))))-(((VLOOKUP(EDATE(B151,-12),Database!$F:$AY,MATCH($I$1,Database!$F$1:$AY$1,),)))))/(((VLOOKUP(EDATE(B151,-12),Database!$F:$AY,MATCH($I$1,Database!$F$1:$AY$1,),))))</f>
        <v/>
      </c>
      <c r="J151" s="13">
        <f>((((VLOOKUP(B151,Database!$F:$AY,MATCH($J$1,Database!$F$1:$AY$1,),))))-(((VLOOKUP(EDATE(B151,-12),Database!$F:$AY,MATCH($J$1,Database!$F$1:$AY$1,),)))))/(((VLOOKUP(EDATE(B151,-12),Database!$F:$AY,MATCH($J$1,Database!$F$1:$AY$1,),))))</f>
        <v/>
      </c>
      <c r="K151" s="13">
        <f>((((VLOOKUP(B151,Database!$F:$AY,MATCH($K$1,Database!$F$1:$AY$1,),))))-(((VLOOKUP(EDATE(B151,-12),Database!$F:$AY,MATCH($K$1,Database!$F$1:$AY$1,),)))))/(((VLOOKUP(EDATE(B151,-12),Database!$F:$AY,MATCH($K$1,Database!$F$1:$AY$1,),))))</f>
        <v/>
      </c>
      <c r="L151" s="13">
        <f>((((VLOOKUP(B151,Database!$F:$AY,MATCH($L$1,Database!$F$1:$AY$1,),))))-(((VLOOKUP(EDATE(B151,-12),Database!$F:$AY,MATCH($L$1,Database!$F$1:$AY$1,),)))))/(((VLOOKUP(EDATE(B151,-12),Database!$F:$AY,MATCH($L$1,Database!$F$1:$AY$1,),))))</f>
        <v/>
      </c>
      <c r="M151" s="13">
        <f>((((VLOOKUP(B151,Database!$F:$AY,MATCH($M$1,Database!$F$1:$AY$1,),))))-(((VLOOKUP(EDATE(B151,-12),Database!$F:$AY,MATCH($M$1,Database!$F$1:$AY$1,),)))))/(((VLOOKUP(EDATE(B151,-12),Database!$F:$AY,MATCH($M$1,Database!$F$1:$AY$1,),))))</f>
        <v/>
      </c>
      <c r="N151" s="13">
        <f>((((VLOOKUP(B151,Database!$F:$AY,MATCH($N$1,Database!$F$1:$AY$1,),))))-(((VLOOKUP(EDATE(B151,-12),Database!$F:$AY,MATCH($N$1,Database!$F$1:$AY$1,),)))))/(((VLOOKUP(EDATE(B151,-12),Database!$F:$AY,MATCH($N$1,Database!$F$1:$AY$1,),))))</f>
        <v/>
      </c>
      <c r="O151" s="13">
        <f>((((VLOOKUP(B151,Database!$F:$AY,MATCH($O$1,Database!$F$1:$AY$1,),))))-(((VLOOKUP(EDATE(B151,-12),Database!$F:$AY,MATCH($O$1,Database!$F$1:$AY$1,),)))))/(((VLOOKUP(EDATE(B151,-12),Database!$F:$AY,MATCH($O$1,Database!$F$1:$AY$1,),))))</f>
        <v/>
      </c>
      <c r="P151" s="13">
        <f>((((VLOOKUP(B151,Database!$F:$AY,MATCH($P$1,Database!$F$1:$AY$1,),))))-(((VLOOKUP(EDATE(B151,-12),Database!$F:$AY,MATCH($P$1,Database!$F$1:$AY$1,),)))))/(((VLOOKUP(EDATE(B151,-12),Database!$F:$AY,MATCH($P$1,Database!$F$1:$AY$1,),))))</f>
        <v/>
      </c>
      <c r="Q151" s="13">
        <f>((((VLOOKUP(B151,Database!$F:$AY,MATCH($Q$1,Database!$F$1:$AY$1,),))))-(((VLOOKUP(EDATE(B151,-12),Database!$F:$AY,MATCH($Q$1,Database!$F$1:$AY$1,),)))))/(((VLOOKUP(EDATE(B151,-12),Database!$F:$AY,MATCH($Q$1,Database!$F$1:$AY$1,),))))</f>
        <v/>
      </c>
      <c r="R151" s="13">
        <f>((((VLOOKUP(B151,Database!$F:$AY,MATCH($R$1,Database!$F$1:$AY$1,),))))-(((VLOOKUP(EDATE(B151,-12),Database!$F:$AY,MATCH($R$1,Database!$F$1:$AY$1,),)))))/(((VLOOKUP(EDATE(B151,-12),Database!$F:$AY,MATCH($R$1,Database!$F$1:$AY$1,),))))</f>
        <v/>
      </c>
      <c r="S151" s="13">
        <f>((((VLOOKUP(B151,Database!$F:$AY,MATCH($S$1,Database!$F$1:$AY$1,),))))-(((VLOOKUP(EDATE(B151,-12),Database!$F:$AY,MATCH($S$1,Database!$F$1:$AY$1,),)))))/(((VLOOKUP(EDATE(B151,-12),Database!$F:$AY,MATCH($S$1,Database!$F$1:$AY$1,),))))</f>
        <v/>
      </c>
      <c r="T151" s="13">
        <f>((((VLOOKUP(B151,Database!$F:$AY,MATCH($T$1,Database!$F$1:$AY$1,),))))-(((VLOOKUP(EDATE(B151,-12),Database!$F:$AY,MATCH($T$1,Database!$F$1:$AY$1,),)))))/(((VLOOKUP(EDATE(B151,-12),Database!$F:$AY,MATCH($T$1,Database!$F$1:$AY$1,),))))</f>
        <v/>
      </c>
      <c r="U151" s="13">
        <f>((((VLOOKUP(B151,Database!$F:$AY,MATCH($U$1,Database!$F$1:$AY$1,),))))-(((VLOOKUP(EDATE(B151,-12),Database!$F:$AY,MATCH($U$1,Database!$F$1:$AY$1,),)))))/(((VLOOKUP(EDATE(B151,-12),Database!$F:$AY,MATCH($U$1,Database!$F$1:$AY$1,),))))</f>
        <v/>
      </c>
      <c r="V151" s="13">
        <f>((((VLOOKUP(B151,Database!$F:$AY,MATCH($V$1,Database!$F$1:$AY$1,),))))-(((VLOOKUP(EDATE(B151,-12),Database!$F:$AY,MATCH($V$1,Database!$F$1:$AY$1,),)))))/(((VLOOKUP(EDATE(B151,-12),Database!$F:$AY,MATCH($V$1,Database!$F$1:$AY$1,),))))</f>
        <v/>
      </c>
    </row>
    <row r="152" customFormat="1" s="100">
      <c r="A152" s="45" t="n"/>
      <c r="B152" s="46" t="n">
        <v>36770</v>
      </c>
      <c r="C152" s="13">
        <f>((((VLOOKUP(B152,Database!$F:$AY,MATCH($C$1,Database!$F$1:$AY$1,),))))-(((VLOOKUP(EDATE(B152,-12),Database!$F:$AY,MATCH($C$1,Database!$F$1:$AY$1,),)))))/(((VLOOKUP(EDATE(B152,-12),Database!$F:$AY,MATCH($C$1,Database!$F$1:$AY$1,),))))</f>
        <v/>
      </c>
      <c r="D152" s="13">
        <f>((((VLOOKUP(B152,Database!$F:$AY,MATCH($D$1,Database!$F$1:$AY$1,),))))-(((VLOOKUP(EDATE(B152,-12),Database!$F:$AY,MATCH($D$1,Database!$F$1:$AY$1,),)))))/(((VLOOKUP(EDATE(B152,-12),Database!$F:$AY,MATCH($D$1,Database!$F$1:$AY$1,),))))</f>
        <v/>
      </c>
      <c r="E152" s="13">
        <f>((((VLOOKUP(B152,Database!$F:$AY,MATCH($E$1,Database!$F$1:$AY$1,),))))-(((VLOOKUP(EDATE(B152,-12),Database!$F:$AY,MATCH($E$1,Database!$F$1:$AY$1,),)))))/(((VLOOKUP(EDATE(B152,-12),Database!$F:$AY,MATCH($E$1,Database!$F$1:$AY$1,),))))</f>
        <v/>
      </c>
      <c r="F152" s="13">
        <f>((((VLOOKUP(B152,Database!$F:$AY,MATCH($F$1,Database!$F$1:$AY$1,),))))-(((VLOOKUP(EDATE(B152,-12),Database!$F:$AY,MATCH($F$1,Database!$F$1:$AY$1,),)))))/(((VLOOKUP(EDATE(B152,-12),Database!$F:$AY,MATCH($F$1,Database!$F$1:$AY$1,),))))</f>
        <v/>
      </c>
      <c r="G152" s="13">
        <f>((((VLOOKUP(B152,Database!$F:$AY,MATCH($G$1,Database!$F$1:$AY$1,),))))-(((VLOOKUP(EDATE(B152,-12),Database!$F:$AY,MATCH($G$1,Database!$F$1:$AY$1,),)))))/(((VLOOKUP(EDATE(B152,-12),Database!$F:$AY,MATCH($G$1,Database!$F$1:$AY$1,),))))</f>
        <v/>
      </c>
      <c r="H152" s="13">
        <f>((((VLOOKUP(B152,Database!$F:$AY,MATCH($H$1,Database!$F$1:$AY$1,),))))-(((VLOOKUP(EDATE(B152,-12),Database!$F:$AY,MATCH($H$1,Database!$F$1:$AY$1,),)))))/(((VLOOKUP(EDATE(B152,-12),Database!$F:$AY,MATCH($H$1,Database!$F$1:$AY$1,),))))</f>
        <v/>
      </c>
      <c r="I152" s="13">
        <f>((((VLOOKUP(B152,Database!$F:$AY,MATCH($I$1,Database!$F$1:$AY$1,),))))-(((VLOOKUP(EDATE(B152,-12),Database!$F:$AY,MATCH($I$1,Database!$F$1:$AY$1,),)))))/(((VLOOKUP(EDATE(B152,-12),Database!$F:$AY,MATCH($I$1,Database!$F$1:$AY$1,),))))</f>
        <v/>
      </c>
      <c r="J152" s="13">
        <f>((((VLOOKUP(B152,Database!$F:$AY,MATCH($J$1,Database!$F$1:$AY$1,),))))-(((VLOOKUP(EDATE(B152,-12),Database!$F:$AY,MATCH($J$1,Database!$F$1:$AY$1,),)))))/(((VLOOKUP(EDATE(B152,-12),Database!$F:$AY,MATCH($J$1,Database!$F$1:$AY$1,),))))</f>
        <v/>
      </c>
      <c r="K152" s="13">
        <f>((((VLOOKUP(B152,Database!$F:$AY,MATCH($K$1,Database!$F$1:$AY$1,),))))-(((VLOOKUP(EDATE(B152,-12),Database!$F:$AY,MATCH($K$1,Database!$F$1:$AY$1,),)))))/(((VLOOKUP(EDATE(B152,-12),Database!$F:$AY,MATCH($K$1,Database!$F$1:$AY$1,),))))</f>
        <v/>
      </c>
      <c r="L152" s="13">
        <f>((((VLOOKUP(B152,Database!$F:$AY,MATCH($L$1,Database!$F$1:$AY$1,),))))-(((VLOOKUP(EDATE(B152,-12),Database!$F:$AY,MATCH($L$1,Database!$F$1:$AY$1,),)))))/(((VLOOKUP(EDATE(B152,-12),Database!$F:$AY,MATCH($L$1,Database!$F$1:$AY$1,),))))</f>
        <v/>
      </c>
      <c r="M152" s="13">
        <f>((((VLOOKUP(B152,Database!$F:$AY,MATCH($M$1,Database!$F$1:$AY$1,),))))-(((VLOOKUP(EDATE(B152,-12),Database!$F:$AY,MATCH($M$1,Database!$F$1:$AY$1,),)))))/(((VLOOKUP(EDATE(B152,-12),Database!$F:$AY,MATCH($M$1,Database!$F$1:$AY$1,),))))</f>
        <v/>
      </c>
      <c r="N152" s="13">
        <f>((((VLOOKUP(B152,Database!$F:$AY,MATCH($N$1,Database!$F$1:$AY$1,),))))-(((VLOOKUP(EDATE(B152,-12),Database!$F:$AY,MATCH($N$1,Database!$F$1:$AY$1,),)))))/(((VLOOKUP(EDATE(B152,-12),Database!$F:$AY,MATCH($N$1,Database!$F$1:$AY$1,),))))</f>
        <v/>
      </c>
      <c r="O152" s="13">
        <f>((((VLOOKUP(B152,Database!$F:$AY,MATCH($O$1,Database!$F$1:$AY$1,),))))-(((VLOOKUP(EDATE(B152,-12),Database!$F:$AY,MATCH($O$1,Database!$F$1:$AY$1,),)))))/(((VLOOKUP(EDATE(B152,-12),Database!$F:$AY,MATCH($O$1,Database!$F$1:$AY$1,),))))</f>
        <v/>
      </c>
      <c r="P152" s="13">
        <f>((((VLOOKUP(B152,Database!$F:$AY,MATCH($P$1,Database!$F$1:$AY$1,),))))-(((VLOOKUP(EDATE(B152,-12),Database!$F:$AY,MATCH($P$1,Database!$F$1:$AY$1,),)))))/(((VLOOKUP(EDATE(B152,-12),Database!$F:$AY,MATCH($P$1,Database!$F$1:$AY$1,),))))</f>
        <v/>
      </c>
      <c r="Q152" s="13">
        <f>((((VLOOKUP(B152,Database!$F:$AY,MATCH($Q$1,Database!$F$1:$AY$1,),))))-(((VLOOKUP(EDATE(B152,-12),Database!$F:$AY,MATCH($Q$1,Database!$F$1:$AY$1,),)))))/(((VLOOKUP(EDATE(B152,-12),Database!$F:$AY,MATCH($Q$1,Database!$F$1:$AY$1,),))))</f>
        <v/>
      </c>
      <c r="R152" s="13">
        <f>((((VLOOKUP(B152,Database!$F:$AY,MATCH($R$1,Database!$F$1:$AY$1,),))))-(((VLOOKUP(EDATE(B152,-12),Database!$F:$AY,MATCH($R$1,Database!$F$1:$AY$1,),)))))/(((VLOOKUP(EDATE(B152,-12),Database!$F:$AY,MATCH($R$1,Database!$F$1:$AY$1,),))))</f>
        <v/>
      </c>
      <c r="S152" s="13">
        <f>((((VLOOKUP(B152,Database!$F:$AY,MATCH($S$1,Database!$F$1:$AY$1,),))))-(((VLOOKUP(EDATE(B152,-12),Database!$F:$AY,MATCH($S$1,Database!$F$1:$AY$1,),)))))/(((VLOOKUP(EDATE(B152,-12),Database!$F:$AY,MATCH($S$1,Database!$F$1:$AY$1,),))))</f>
        <v/>
      </c>
      <c r="T152" s="13">
        <f>((((VLOOKUP(B152,Database!$F:$AY,MATCH($T$1,Database!$F$1:$AY$1,),))))-(((VLOOKUP(EDATE(B152,-12),Database!$F:$AY,MATCH($T$1,Database!$F$1:$AY$1,),)))))/(((VLOOKUP(EDATE(B152,-12),Database!$F:$AY,MATCH($T$1,Database!$F$1:$AY$1,),))))</f>
        <v/>
      </c>
      <c r="U152" s="13">
        <f>((((VLOOKUP(B152,Database!$F:$AY,MATCH($U$1,Database!$F$1:$AY$1,),))))-(((VLOOKUP(EDATE(B152,-12),Database!$F:$AY,MATCH($U$1,Database!$F$1:$AY$1,),)))))/(((VLOOKUP(EDATE(B152,-12),Database!$F:$AY,MATCH($U$1,Database!$F$1:$AY$1,),))))</f>
        <v/>
      </c>
      <c r="V152" s="13">
        <f>((((VLOOKUP(B152,Database!$F:$AY,MATCH($V$1,Database!$F$1:$AY$1,),))))-(((VLOOKUP(EDATE(B152,-12),Database!$F:$AY,MATCH($V$1,Database!$F$1:$AY$1,),)))))/(((VLOOKUP(EDATE(B152,-12),Database!$F:$AY,MATCH($V$1,Database!$F$1:$AY$1,),))))</f>
        <v/>
      </c>
    </row>
    <row r="153" customFormat="1" s="100">
      <c r="A153" s="45" t="n"/>
      <c r="B153" s="46" t="n">
        <v>36800</v>
      </c>
      <c r="C153" s="13">
        <f>((((VLOOKUP(B153,Database!$F:$AY,MATCH($C$1,Database!$F$1:$AY$1,),))))-(((VLOOKUP(EDATE(B153,-12),Database!$F:$AY,MATCH($C$1,Database!$F$1:$AY$1,),)))))/(((VLOOKUP(EDATE(B153,-12),Database!$F:$AY,MATCH($C$1,Database!$F$1:$AY$1,),))))</f>
        <v/>
      </c>
      <c r="D153" s="13">
        <f>((((VLOOKUP(B153,Database!$F:$AY,MATCH($D$1,Database!$F$1:$AY$1,),))))-(((VLOOKUP(EDATE(B153,-12),Database!$F:$AY,MATCH($D$1,Database!$F$1:$AY$1,),)))))/(((VLOOKUP(EDATE(B153,-12),Database!$F:$AY,MATCH($D$1,Database!$F$1:$AY$1,),))))</f>
        <v/>
      </c>
      <c r="E153" s="13">
        <f>((((VLOOKUP(B153,Database!$F:$AY,MATCH($E$1,Database!$F$1:$AY$1,),))))-(((VLOOKUP(EDATE(B153,-12),Database!$F:$AY,MATCH($E$1,Database!$F$1:$AY$1,),)))))/(((VLOOKUP(EDATE(B153,-12),Database!$F:$AY,MATCH($E$1,Database!$F$1:$AY$1,),))))</f>
        <v/>
      </c>
      <c r="F153" s="13">
        <f>((((VLOOKUP(B153,Database!$F:$AY,MATCH($F$1,Database!$F$1:$AY$1,),))))-(((VLOOKUP(EDATE(B153,-12),Database!$F:$AY,MATCH($F$1,Database!$F$1:$AY$1,),)))))/(((VLOOKUP(EDATE(B153,-12),Database!$F:$AY,MATCH($F$1,Database!$F$1:$AY$1,),))))</f>
        <v/>
      </c>
      <c r="G153" s="13">
        <f>((((VLOOKUP(B153,Database!$F:$AY,MATCH($G$1,Database!$F$1:$AY$1,),))))-(((VLOOKUP(EDATE(B153,-12),Database!$F:$AY,MATCH($G$1,Database!$F$1:$AY$1,),)))))/(((VLOOKUP(EDATE(B153,-12),Database!$F:$AY,MATCH($G$1,Database!$F$1:$AY$1,),))))</f>
        <v/>
      </c>
      <c r="H153" s="13">
        <f>((((VLOOKUP(B153,Database!$F:$AY,MATCH($H$1,Database!$F$1:$AY$1,),))))-(((VLOOKUP(EDATE(B153,-12),Database!$F:$AY,MATCH($H$1,Database!$F$1:$AY$1,),)))))/(((VLOOKUP(EDATE(B153,-12),Database!$F:$AY,MATCH($H$1,Database!$F$1:$AY$1,),))))</f>
        <v/>
      </c>
      <c r="I153" s="13">
        <f>((((VLOOKUP(B153,Database!$F:$AY,MATCH($I$1,Database!$F$1:$AY$1,),))))-(((VLOOKUP(EDATE(B153,-12),Database!$F:$AY,MATCH($I$1,Database!$F$1:$AY$1,),)))))/(((VLOOKUP(EDATE(B153,-12),Database!$F:$AY,MATCH($I$1,Database!$F$1:$AY$1,),))))</f>
        <v/>
      </c>
      <c r="J153" s="13">
        <f>((((VLOOKUP(B153,Database!$F:$AY,MATCH($J$1,Database!$F$1:$AY$1,),))))-(((VLOOKUP(EDATE(B153,-12),Database!$F:$AY,MATCH($J$1,Database!$F$1:$AY$1,),)))))/(((VLOOKUP(EDATE(B153,-12),Database!$F:$AY,MATCH($J$1,Database!$F$1:$AY$1,),))))</f>
        <v/>
      </c>
      <c r="K153" s="13">
        <f>((((VLOOKUP(B153,Database!$F:$AY,MATCH($K$1,Database!$F$1:$AY$1,),))))-(((VLOOKUP(EDATE(B153,-12),Database!$F:$AY,MATCH($K$1,Database!$F$1:$AY$1,),)))))/(((VLOOKUP(EDATE(B153,-12),Database!$F:$AY,MATCH($K$1,Database!$F$1:$AY$1,),))))</f>
        <v/>
      </c>
      <c r="L153" s="13">
        <f>((((VLOOKUP(B153,Database!$F:$AY,MATCH($L$1,Database!$F$1:$AY$1,),))))-(((VLOOKUP(EDATE(B153,-12),Database!$F:$AY,MATCH($L$1,Database!$F$1:$AY$1,),)))))/(((VLOOKUP(EDATE(B153,-12),Database!$F:$AY,MATCH($L$1,Database!$F$1:$AY$1,),))))</f>
        <v/>
      </c>
      <c r="M153" s="13">
        <f>((((VLOOKUP(B153,Database!$F:$AY,MATCH($M$1,Database!$F$1:$AY$1,),))))-(((VLOOKUP(EDATE(B153,-12),Database!$F:$AY,MATCH($M$1,Database!$F$1:$AY$1,),)))))/(((VLOOKUP(EDATE(B153,-12),Database!$F:$AY,MATCH($M$1,Database!$F$1:$AY$1,),))))</f>
        <v/>
      </c>
      <c r="N153" s="13">
        <f>((((VLOOKUP(B153,Database!$F:$AY,MATCH($N$1,Database!$F$1:$AY$1,),))))-(((VLOOKUP(EDATE(B153,-12),Database!$F:$AY,MATCH($N$1,Database!$F$1:$AY$1,),)))))/(((VLOOKUP(EDATE(B153,-12),Database!$F:$AY,MATCH($N$1,Database!$F$1:$AY$1,),))))</f>
        <v/>
      </c>
      <c r="O153" s="13">
        <f>((((VLOOKUP(B153,Database!$F:$AY,MATCH($O$1,Database!$F$1:$AY$1,),))))-(((VLOOKUP(EDATE(B153,-12),Database!$F:$AY,MATCH($O$1,Database!$F$1:$AY$1,),)))))/(((VLOOKUP(EDATE(B153,-12),Database!$F:$AY,MATCH($O$1,Database!$F$1:$AY$1,),))))</f>
        <v/>
      </c>
      <c r="P153" s="13">
        <f>((((VLOOKUP(B153,Database!$F:$AY,MATCH($P$1,Database!$F$1:$AY$1,),))))-(((VLOOKUP(EDATE(B153,-12),Database!$F:$AY,MATCH($P$1,Database!$F$1:$AY$1,),)))))/(((VLOOKUP(EDATE(B153,-12),Database!$F:$AY,MATCH($P$1,Database!$F$1:$AY$1,),))))</f>
        <v/>
      </c>
      <c r="Q153" s="13">
        <f>((((VLOOKUP(B153,Database!$F:$AY,MATCH($Q$1,Database!$F$1:$AY$1,),))))-(((VLOOKUP(EDATE(B153,-12),Database!$F:$AY,MATCH($Q$1,Database!$F$1:$AY$1,),)))))/(((VLOOKUP(EDATE(B153,-12),Database!$F:$AY,MATCH($Q$1,Database!$F$1:$AY$1,),))))</f>
        <v/>
      </c>
      <c r="R153" s="13">
        <f>((((VLOOKUP(B153,Database!$F:$AY,MATCH($R$1,Database!$F$1:$AY$1,),))))-(((VLOOKUP(EDATE(B153,-12),Database!$F:$AY,MATCH($R$1,Database!$F$1:$AY$1,),)))))/(((VLOOKUP(EDATE(B153,-12),Database!$F:$AY,MATCH($R$1,Database!$F$1:$AY$1,),))))</f>
        <v/>
      </c>
      <c r="S153" s="13">
        <f>((((VLOOKUP(B153,Database!$F:$AY,MATCH($S$1,Database!$F$1:$AY$1,),))))-(((VLOOKUP(EDATE(B153,-12),Database!$F:$AY,MATCH($S$1,Database!$F$1:$AY$1,),)))))/(((VLOOKUP(EDATE(B153,-12),Database!$F:$AY,MATCH($S$1,Database!$F$1:$AY$1,),))))</f>
        <v/>
      </c>
      <c r="T153" s="13">
        <f>((((VLOOKUP(B153,Database!$F:$AY,MATCH($T$1,Database!$F$1:$AY$1,),))))-(((VLOOKUP(EDATE(B153,-12),Database!$F:$AY,MATCH($T$1,Database!$F$1:$AY$1,),)))))/(((VLOOKUP(EDATE(B153,-12),Database!$F:$AY,MATCH($T$1,Database!$F$1:$AY$1,),))))</f>
        <v/>
      </c>
      <c r="U153" s="13">
        <f>((((VLOOKUP(B153,Database!$F:$AY,MATCH($U$1,Database!$F$1:$AY$1,),))))-(((VLOOKUP(EDATE(B153,-12),Database!$F:$AY,MATCH($U$1,Database!$F$1:$AY$1,),)))))/(((VLOOKUP(EDATE(B153,-12),Database!$F:$AY,MATCH($U$1,Database!$F$1:$AY$1,),))))</f>
        <v/>
      </c>
      <c r="V153" s="13">
        <f>((((VLOOKUP(B153,Database!$F:$AY,MATCH($V$1,Database!$F$1:$AY$1,),))))-(((VLOOKUP(EDATE(B153,-12),Database!$F:$AY,MATCH($V$1,Database!$F$1:$AY$1,),)))))/(((VLOOKUP(EDATE(B153,-12),Database!$F:$AY,MATCH($V$1,Database!$F$1:$AY$1,),))))</f>
        <v/>
      </c>
    </row>
    <row r="154" customFormat="1" s="100">
      <c r="A154" s="45" t="n"/>
      <c r="B154" s="46" t="n">
        <v>36831</v>
      </c>
      <c r="C154" s="13">
        <f>((((VLOOKUP(B154,Database!$F:$AY,MATCH($C$1,Database!$F$1:$AY$1,),))))-(((VLOOKUP(EDATE(B154,-12),Database!$F:$AY,MATCH($C$1,Database!$F$1:$AY$1,),)))))/(((VLOOKUP(EDATE(B154,-12),Database!$F:$AY,MATCH($C$1,Database!$F$1:$AY$1,),))))</f>
        <v/>
      </c>
      <c r="D154" s="13">
        <f>((((VLOOKUP(B154,Database!$F:$AY,MATCH($D$1,Database!$F$1:$AY$1,),))))-(((VLOOKUP(EDATE(B154,-12),Database!$F:$AY,MATCH($D$1,Database!$F$1:$AY$1,),)))))/(((VLOOKUP(EDATE(B154,-12),Database!$F:$AY,MATCH($D$1,Database!$F$1:$AY$1,),))))</f>
        <v/>
      </c>
      <c r="E154" s="13">
        <f>((((VLOOKUP(B154,Database!$F:$AY,MATCH($E$1,Database!$F$1:$AY$1,),))))-(((VLOOKUP(EDATE(B154,-12),Database!$F:$AY,MATCH($E$1,Database!$F$1:$AY$1,),)))))/(((VLOOKUP(EDATE(B154,-12),Database!$F:$AY,MATCH($E$1,Database!$F$1:$AY$1,),))))</f>
        <v/>
      </c>
      <c r="F154" s="13">
        <f>((((VLOOKUP(B154,Database!$F:$AY,MATCH($F$1,Database!$F$1:$AY$1,),))))-(((VLOOKUP(EDATE(B154,-12),Database!$F:$AY,MATCH($F$1,Database!$F$1:$AY$1,),)))))/(((VLOOKUP(EDATE(B154,-12),Database!$F:$AY,MATCH($F$1,Database!$F$1:$AY$1,),))))</f>
        <v/>
      </c>
      <c r="G154" s="13">
        <f>((((VLOOKUP(B154,Database!$F:$AY,MATCH($G$1,Database!$F$1:$AY$1,),))))-(((VLOOKUP(EDATE(B154,-12),Database!$F:$AY,MATCH($G$1,Database!$F$1:$AY$1,),)))))/(((VLOOKUP(EDATE(B154,-12),Database!$F:$AY,MATCH($G$1,Database!$F$1:$AY$1,),))))</f>
        <v/>
      </c>
      <c r="H154" s="13">
        <f>((((VLOOKUP(B154,Database!$F:$AY,MATCH($H$1,Database!$F$1:$AY$1,),))))-(((VLOOKUP(EDATE(B154,-12),Database!$F:$AY,MATCH($H$1,Database!$F$1:$AY$1,),)))))/(((VLOOKUP(EDATE(B154,-12),Database!$F:$AY,MATCH($H$1,Database!$F$1:$AY$1,),))))</f>
        <v/>
      </c>
      <c r="I154" s="13">
        <f>((((VLOOKUP(B154,Database!$F:$AY,MATCH($I$1,Database!$F$1:$AY$1,),))))-(((VLOOKUP(EDATE(B154,-12),Database!$F:$AY,MATCH($I$1,Database!$F$1:$AY$1,),)))))/(((VLOOKUP(EDATE(B154,-12),Database!$F:$AY,MATCH($I$1,Database!$F$1:$AY$1,),))))</f>
        <v/>
      </c>
      <c r="J154" s="13">
        <f>((((VLOOKUP(B154,Database!$F:$AY,MATCH($J$1,Database!$F$1:$AY$1,),))))-(((VLOOKUP(EDATE(B154,-12),Database!$F:$AY,MATCH($J$1,Database!$F$1:$AY$1,),)))))/(((VLOOKUP(EDATE(B154,-12),Database!$F:$AY,MATCH($J$1,Database!$F$1:$AY$1,),))))</f>
        <v/>
      </c>
      <c r="K154" s="13">
        <f>((((VLOOKUP(B154,Database!$F:$AY,MATCH($K$1,Database!$F$1:$AY$1,),))))-(((VLOOKUP(EDATE(B154,-12),Database!$F:$AY,MATCH($K$1,Database!$F$1:$AY$1,),)))))/(((VLOOKUP(EDATE(B154,-12),Database!$F:$AY,MATCH($K$1,Database!$F$1:$AY$1,),))))</f>
        <v/>
      </c>
      <c r="L154" s="13">
        <f>((((VLOOKUP(B154,Database!$F:$AY,MATCH($L$1,Database!$F$1:$AY$1,),))))-(((VLOOKUP(EDATE(B154,-12),Database!$F:$AY,MATCH($L$1,Database!$F$1:$AY$1,),)))))/(((VLOOKUP(EDATE(B154,-12),Database!$F:$AY,MATCH($L$1,Database!$F$1:$AY$1,),))))</f>
        <v/>
      </c>
      <c r="M154" s="13">
        <f>((((VLOOKUP(B154,Database!$F:$AY,MATCH($M$1,Database!$F$1:$AY$1,),))))-(((VLOOKUP(EDATE(B154,-12),Database!$F:$AY,MATCH($M$1,Database!$F$1:$AY$1,),)))))/(((VLOOKUP(EDATE(B154,-12),Database!$F:$AY,MATCH($M$1,Database!$F$1:$AY$1,),))))</f>
        <v/>
      </c>
      <c r="N154" s="13">
        <f>((((VLOOKUP(B154,Database!$F:$AY,MATCH($N$1,Database!$F$1:$AY$1,),))))-(((VLOOKUP(EDATE(B154,-12),Database!$F:$AY,MATCH($N$1,Database!$F$1:$AY$1,),)))))/(((VLOOKUP(EDATE(B154,-12),Database!$F:$AY,MATCH($N$1,Database!$F$1:$AY$1,),))))</f>
        <v/>
      </c>
      <c r="O154" s="13">
        <f>((((VLOOKUP(B154,Database!$F:$AY,MATCH($O$1,Database!$F$1:$AY$1,),))))-(((VLOOKUP(EDATE(B154,-12),Database!$F:$AY,MATCH($O$1,Database!$F$1:$AY$1,),)))))/(((VLOOKUP(EDATE(B154,-12),Database!$F:$AY,MATCH($O$1,Database!$F$1:$AY$1,),))))</f>
        <v/>
      </c>
      <c r="P154" s="13">
        <f>((((VLOOKUP(B154,Database!$F:$AY,MATCH($P$1,Database!$F$1:$AY$1,),))))-(((VLOOKUP(EDATE(B154,-12),Database!$F:$AY,MATCH($P$1,Database!$F$1:$AY$1,),)))))/(((VLOOKUP(EDATE(B154,-12),Database!$F:$AY,MATCH($P$1,Database!$F$1:$AY$1,),))))</f>
        <v/>
      </c>
      <c r="Q154" s="13">
        <f>((((VLOOKUP(B154,Database!$F:$AY,MATCH($Q$1,Database!$F$1:$AY$1,),))))-(((VLOOKUP(EDATE(B154,-12),Database!$F:$AY,MATCH($Q$1,Database!$F$1:$AY$1,),)))))/(((VLOOKUP(EDATE(B154,-12),Database!$F:$AY,MATCH($Q$1,Database!$F$1:$AY$1,),))))</f>
        <v/>
      </c>
      <c r="R154" s="13">
        <f>((((VLOOKUP(B154,Database!$F:$AY,MATCH($R$1,Database!$F$1:$AY$1,),))))-(((VLOOKUP(EDATE(B154,-12),Database!$F:$AY,MATCH($R$1,Database!$F$1:$AY$1,),)))))/(((VLOOKUP(EDATE(B154,-12),Database!$F:$AY,MATCH($R$1,Database!$F$1:$AY$1,),))))</f>
        <v/>
      </c>
      <c r="S154" s="13">
        <f>((((VLOOKUP(B154,Database!$F:$AY,MATCH($S$1,Database!$F$1:$AY$1,),))))-(((VLOOKUP(EDATE(B154,-12),Database!$F:$AY,MATCH($S$1,Database!$F$1:$AY$1,),)))))/(((VLOOKUP(EDATE(B154,-12),Database!$F:$AY,MATCH($S$1,Database!$F$1:$AY$1,),))))</f>
        <v/>
      </c>
      <c r="T154" s="13">
        <f>((((VLOOKUP(B154,Database!$F:$AY,MATCH($T$1,Database!$F$1:$AY$1,),))))-(((VLOOKUP(EDATE(B154,-12),Database!$F:$AY,MATCH($T$1,Database!$F$1:$AY$1,),)))))/(((VLOOKUP(EDATE(B154,-12),Database!$F:$AY,MATCH($T$1,Database!$F$1:$AY$1,),))))</f>
        <v/>
      </c>
      <c r="U154" s="13">
        <f>((((VLOOKUP(B154,Database!$F:$AY,MATCH($U$1,Database!$F$1:$AY$1,),))))-(((VLOOKUP(EDATE(B154,-12),Database!$F:$AY,MATCH($U$1,Database!$F$1:$AY$1,),)))))/(((VLOOKUP(EDATE(B154,-12),Database!$F:$AY,MATCH($U$1,Database!$F$1:$AY$1,),))))</f>
        <v/>
      </c>
      <c r="V154" s="13">
        <f>((((VLOOKUP(B154,Database!$F:$AY,MATCH($V$1,Database!$F$1:$AY$1,),))))-(((VLOOKUP(EDATE(B154,-12),Database!$F:$AY,MATCH($V$1,Database!$F$1:$AY$1,),)))))/(((VLOOKUP(EDATE(B154,-12),Database!$F:$AY,MATCH($V$1,Database!$F$1:$AY$1,),))))</f>
        <v/>
      </c>
    </row>
    <row r="155" customFormat="1" s="100">
      <c r="A155" s="45" t="n"/>
      <c r="B155" s="46" t="n">
        <v>36861</v>
      </c>
      <c r="C155" s="13">
        <f>((((VLOOKUP(B155,Database!$F:$AY,MATCH($C$1,Database!$F$1:$AY$1,),))))-(((VLOOKUP(EDATE(B155,-12),Database!$F:$AY,MATCH($C$1,Database!$F$1:$AY$1,),)))))/(((VLOOKUP(EDATE(B155,-12),Database!$F:$AY,MATCH($C$1,Database!$F$1:$AY$1,),))))</f>
        <v/>
      </c>
      <c r="D155" s="13">
        <f>((((VLOOKUP(B155,Database!$F:$AY,MATCH($D$1,Database!$F$1:$AY$1,),))))-(((VLOOKUP(EDATE(B155,-12),Database!$F:$AY,MATCH($D$1,Database!$F$1:$AY$1,),)))))/(((VLOOKUP(EDATE(B155,-12),Database!$F:$AY,MATCH($D$1,Database!$F$1:$AY$1,),))))</f>
        <v/>
      </c>
      <c r="E155" s="13">
        <f>((((VLOOKUP(B155,Database!$F:$AY,MATCH($E$1,Database!$F$1:$AY$1,),))))-(((VLOOKUP(EDATE(B155,-12),Database!$F:$AY,MATCH($E$1,Database!$F$1:$AY$1,),)))))/(((VLOOKUP(EDATE(B155,-12),Database!$F:$AY,MATCH($E$1,Database!$F$1:$AY$1,),))))</f>
        <v/>
      </c>
      <c r="F155" s="13">
        <f>((((VLOOKUP(B155,Database!$F:$AY,MATCH($F$1,Database!$F$1:$AY$1,),))))-(((VLOOKUP(EDATE(B155,-12),Database!$F:$AY,MATCH($F$1,Database!$F$1:$AY$1,),)))))/(((VLOOKUP(EDATE(B155,-12),Database!$F:$AY,MATCH($F$1,Database!$F$1:$AY$1,),))))</f>
        <v/>
      </c>
      <c r="G155" s="13">
        <f>((((VLOOKUP(B155,Database!$F:$AY,MATCH($G$1,Database!$F$1:$AY$1,),))))-(((VLOOKUP(EDATE(B155,-12),Database!$F:$AY,MATCH($G$1,Database!$F$1:$AY$1,),)))))/(((VLOOKUP(EDATE(B155,-12),Database!$F:$AY,MATCH($G$1,Database!$F$1:$AY$1,),))))</f>
        <v/>
      </c>
      <c r="H155" s="13">
        <f>((((VLOOKUP(B155,Database!$F:$AY,MATCH($H$1,Database!$F$1:$AY$1,),))))-(((VLOOKUP(EDATE(B155,-12),Database!$F:$AY,MATCH($H$1,Database!$F$1:$AY$1,),)))))/(((VLOOKUP(EDATE(B155,-12),Database!$F:$AY,MATCH($H$1,Database!$F$1:$AY$1,),))))</f>
        <v/>
      </c>
      <c r="I155" s="13">
        <f>((((VLOOKUP(B155,Database!$F:$AY,MATCH($I$1,Database!$F$1:$AY$1,),))))-(((VLOOKUP(EDATE(B155,-12),Database!$F:$AY,MATCH($I$1,Database!$F$1:$AY$1,),)))))/(((VLOOKUP(EDATE(B155,-12),Database!$F:$AY,MATCH($I$1,Database!$F$1:$AY$1,),))))</f>
        <v/>
      </c>
      <c r="J155" s="13">
        <f>((((VLOOKUP(B155,Database!$F:$AY,MATCH($J$1,Database!$F$1:$AY$1,),))))-(((VLOOKUP(EDATE(B155,-12),Database!$F:$AY,MATCH($J$1,Database!$F$1:$AY$1,),)))))/(((VLOOKUP(EDATE(B155,-12),Database!$F:$AY,MATCH($J$1,Database!$F$1:$AY$1,),))))</f>
        <v/>
      </c>
      <c r="K155" s="13">
        <f>((((VLOOKUP(B155,Database!$F:$AY,MATCH($K$1,Database!$F$1:$AY$1,),))))-(((VLOOKUP(EDATE(B155,-12),Database!$F:$AY,MATCH($K$1,Database!$F$1:$AY$1,),)))))/(((VLOOKUP(EDATE(B155,-12),Database!$F:$AY,MATCH($K$1,Database!$F$1:$AY$1,),))))</f>
        <v/>
      </c>
      <c r="L155" s="13">
        <f>((((VLOOKUP(B155,Database!$F:$AY,MATCH($L$1,Database!$F$1:$AY$1,),))))-(((VLOOKUP(EDATE(B155,-12),Database!$F:$AY,MATCH($L$1,Database!$F$1:$AY$1,),)))))/(((VLOOKUP(EDATE(B155,-12),Database!$F:$AY,MATCH($L$1,Database!$F$1:$AY$1,),))))</f>
        <v/>
      </c>
      <c r="M155" s="13">
        <f>((((VLOOKUP(B155,Database!$F:$AY,MATCH($M$1,Database!$F$1:$AY$1,),))))-(((VLOOKUP(EDATE(B155,-12),Database!$F:$AY,MATCH($M$1,Database!$F$1:$AY$1,),)))))/(((VLOOKUP(EDATE(B155,-12),Database!$F:$AY,MATCH($M$1,Database!$F$1:$AY$1,),))))</f>
        <v/>
      </c>
      <c r="N155" s="13">
        <f>((((VLOOKUP(B155,Database!$F:$AY,MATCH($N$1,Database!$F$1:$AY$1,),))))-(((VLOOKUP(EDATE(B155,-12),Database!$F:$AY,MATCH($N$1,Database!$F$1:$AY$1,),)))))/(((VLOOKUP(EDATE(B155,-12),Database!$F:$AY,MATCH($N$1,Database!$F$1:$AY$1,),))))</f>
        <v/>
      </c>
      <c r="O155" s="13">
        <f>((((VLOOKUP(B155,Database!$F:$AY,MATCH($O$1,Database!$F$1:$AY$1,),))))-(((VLOOKUP(EDATE(B155,-12),Database!$F:$AY,MATCH($O$1,Database!$F$1:$AY$1,),)))))/(((VLOOKUP(EDATE(B155,-12),Database!$F:$AY,MATCH($O$1,Database!$F$1:$AY$1,),))))</f>
        <v/>
      </c>
      <c r="P155" s="13">
        <f>((((VLOOKUP(B155,Database!$F:$AY,MATCH($P$1,Database!$F$1:$AY$1,),))))-(((VLOOKUP(EDATE(B155,-12),Database!$F:$AY,MATCH($P$1,Database!$F$1:$AY$1,),)))))/(((VLOOKUP(EDATE(B155,-12),Database!$F:$AY,MATCH($P$1,Database!$F$1:$AY$1,),))))</f>
        <v/>
      </c>
      <c r="Q155" s="13">
        <f>((((VLOOKUP(B155,Database!$F:$AY,MATCH($Q$1,Database!$F$1:$AY$1,),))))-(((VLOOKUP(EDATE(B155,-12),Database!$F:$AY,MATCH($Q$1,Database!$F$1:$AY$1,),)))))/(((VLOOKUP(EDATE(B155,-12),Database!$F:$AY,MATCH($Q$1,Database!$F$1:$AY$1,),))))</f>
        <v/>
      </c>
      <c r="R155" s="13">
        <f>((((VLOOKUP(B155,Database!$F:$AY,MATCH($R$1,Database!$F$1:$AY$1,),))))-(((VLOOKUP(EDATE(B155,-12),Database!$F:$AY,MATCH($R$1,Database!$F$1:$AY$1,),)))))/(((VLOOKUP(EDATE(B155,-12),Database!$F:$AY,MATCH($R$1,Database!$F$1:$AY$1,),))))</f>
        <v/>
      </c>
      <c r="S155" s="13">
        <f>((((VLOOKUP(B155,Database!$F:$AY,MATCH($S$1,Database!$F$1:$AY$1,),))))-(((VLOOKUP(EDATE(B155,-12),Database!$F:$AY,MATCH($S$1,Database!$F$1:$AY$1,),)))))/(((VLOOKUP(EDATE(B155,-12),Database!$F:$AY,MATCH($S$1,Database!$F$1:$AY$1,),))))</f>
        <v/>
      </c>
      <c r="T155" s="13">
        <f>((((VLOOKUP(B155,Database!$F:$AY,MATCH($T$1,Database!$F$1:$AY$1,),))))-(((VLOOKUP(EDATE(B155,-12),Database!$F:$AY,MATCH($T$1,Database!$F$1:$AY$1,),)))))/(((VLOOKUP(EDATE(B155,-12),Database!$F:$AY,MATCH($T$1,Database!$F$1:$AY$1,),))))</f>
        <v/>
      </c>
      <c r="U155" s="13">
        <f>((((VLOOKUP(B155,Database!$F:$AY,MATCH($U$1,Database!$F$1:$AY$1,),))))-(((VLOOKUP(EDATE(B155,-12),Database!$F:$AY,MATCH($U$1,Database!$F$1:$AY$1,),)))))/(((VLOOKUP(EDATE(B155,-12),Database!$F:$AY,MATCH($U$1,Database!$F$1:$AY$1,),))))</f>
        <v/>
      </c>
      <c r="V155" s="13">
        <f>((((VLOOKUP(B155,Database!$F:$AY,MATCH($V$1,Database!$F$1:$AY$1,),))))-(((VLOOKUP(EDATE(B155,-12),Database!$F:$AY,MATCH($V$1,Database!$F$1:$AY$1,),)))))/(((VLOOKUP(EDATE(B155,-12),Database!$F:$AY,MATCH($V$1,Database!$F$1:$AY$1,),))))</f>
        <v/>
      </c>
    </row>
    <row r="156" customFormat="1" s="100">
      <c r="A156" s="45" t="n"/>
      <c r="B156" s="46" t="n">
        <v>36892</v>
      </c>
      <c r="C156" s="13">
        <f>((((VLOOKUP(B156,Database!$F:$AY,MATCH($C$1,Database!$F$1:$AY$1,),))))-(((VLOOKUP(EDATE(B156,-12),Database!$F:$AY,MATCH($C$1,Database!$F$1:$AY$1,),)))))/(((VLOOKUP(EDATE(B156,-12),Database!$F:$AY,MATCH($C$1,Database!$F$1:$AY$1,),))))</f>
        <v/>
      </c>
      <c r="D156" s="13">
        <f>((((VLOOKUP(B156,Database!$F:$AY,MATCH($D$1,Database!$F$1:$AY$1,),))))-(((VLOOKUP(EDATE(B156,-12),Database!$F:$AY,MATCH($D$1,Database!$F$1:$AY$1,),)))))/(((VLOOKUP(EDATE(B156,-12),Database!$F:$AY,MATCH($D$1,Database!$F$1:$AY$1,),))))</f>
        <v/>
      </c>
      <c r="E156" s="13">
        <f>((((VLOOKUP(B156,Database!$F:$AY,MATCH($E$1,Database!$F$1:$AY$1,),))))-(((VLOOKUP(EDATE(B156,-12),Database!$F:$AY,MATCH($E$1,Database!$F$1:$AY$1,),)))))/(((VLOOKUP(EDATE(B156,-12),Database!$F:$AY,MATCH($E$1,Database!$F$1:$AY$1,),))))</f>
        <v/>
      </c>
      <c r="F156" s="13">
        <f>((((VLOOKUP(B156,Database!$F:$AY,MATCH($F$1,Database!$F$1:$AY$1,),))))-(((VLOOKUP(EDATE(B156,-12),Database!$F:$AY,MATCH($F$1,Database!$F$1:$AY$1,),)))))/(((VLOOKUP(EDATE(B156,-12),Database!$F:$AY,MATCH($F$1,Database!$F$1:$AY$1,),))))</f>
        <v/>
      </c>
      <c r="G156" s="13">
        <f>((((VLOOKUP(B156,Database!$F:$AY,MATCH($G$1,Database!$F$1:$AY$1,),))))-(((VLOOKUP(EDATE(B156,-12),Database!$F:$AY,MATCH($G$1,Database!$F$1:$AY$1,),)))))/(((VLOOKUP(EDATE(B156,-12),Database!$F:$AY,MATCH($G$1,Database!$F$1:$AY$1,),))))</f>
        <v/>
      </c>
      <c r="H156" s="13">
        <f>((((VLOOKUP(B156,Database!$F:$AY,MATCH($H$1,Database!$F$1:$AY$1,),))))-(((VLOOKUP(EDATE(B156,-12),Database!$F:$AY,MATCH($H$1,Database!$F$1:$AY$1,),)))))/(((VLOOKUP(EDATE(B156,-12),Database!$F:$AY,MATCH($H$1,Database!$F$1:$AY$1,),))))</f>
        <v/>
      </c>
      <c r="I156" s="13">
        <f>((((VLOOKUP(B156,Database!$F:$AY,MATCH($I$1,Database!$F$1:$AY$1,),))))-(((VLOOKUP(EDATE(B156,-12),Database!$F:$AY,MATCH($I$1,Database!$F$1:$AY$1,),)))))/(((VLOOKUP(EDATE(B156,-12),Database!$F:$AY,MATCH($I$1,Database!$F$1:$AY$1,),))))</f>
        <v/>
      </c>
      <c r="J156" s="13">
        <f>((((VLOOKUP(B156,Database!$F:$AY,MATCH($J$1,Database!$F$1:$AY$1,),))))-(((VLOOKUP(EDATE(B156,-12),Database!$F:$AY,MATCH($J$1,Database!$F$1:$AY$1,),)))))/(((VLOOKUP(EDATE(B156,-12),Database!$F:$AY,MATCH($J$1,Database!$F$1:$AY$1,),))))</f>
        <v/>
      </c>
      <c r="K156" s="13">
        <f>((((VLOOKUP(B156,Database!$F:$AY,MATCH($K$1,Database!$F$1:$AY$1,),))))-(((VLOOKUP(EDATE(B156,-12),Database!$F:$AY,MATCH($K$1,Database!$F$1:$AY$1,),)))))/(((VLOOKUP(EDATE(B156,-12),Database!$F:$AY,MATCH($K$1,Database!$F$1:$AY$1,),))))</f>
        <v/>
      </c>
      <c r="L156" s="13">
        <f>((((VLOOKUP(B156,Database!$F:$AY,MATCH($L$1,Database!$F$1:$AY$1,),))))-(((VLOOKUP(EDATE(B156,-12),Database!$F:$AY,MATCH($L$1,Database!$F$1:$AY$1,),)))))/(((VLOOKUP(EDATE(B156,-12),Database!$F:$AY,MATCH($L$1,Database!$F$1:$AY$1,),))))</f>
        <v/>
      </c>
      <c r="M156" s="13">
        <f>((((VLOOKUP(B156,Database!$F:$AY,MATCH($M$1,Database!$F$1:$AY$1,),))))-(((VLOOKUP(EDATE(B156,-12),Database!$F:$AY,MATCH($M$1,Database!$F$1:$AY$1,),)))))/(((VLOOKUP(EDATE(B156,-12),Database!$F:$AY,MATCH($M$1,Database!$F$1:$AY$1,),))))</f>
        <v/>
      </c>
      <c r="N156" s="13">
        <f>((((VLOOKUP(B156,Database!$F:$AY,MATCH($N$1,Database!$F$1:$AY$1,),))))-(((VLOOKUP(EDATE(B156,-12),Database!$F:$AY,MATCH($N$1,Database!$F$1:$AY$1,),)))))/(((VLOOKUP(EDATE(B156,-12),Database!$F:$AY,MATCH($N$1,Database!$F$1:$AY$1,),))))</f>
        <v/>
      </c>
      <c r="O156" s="13">
        <f>((((VLOOKUP(B156,Database!$F:$AY,MATCH($O$1,Database!$F$1:$AY$1,),))))-(((VLOOKUP(EDATE(B156,-12),Database!$F:$AY,MATCH($O$1,Database!$F$1:$AY$1,),)))))/(((VLOOKUP(EDATE(B156,-12),Database!$F:$AY,MATCH($O$1,Database!$F$1:$AY$1,),))))</f>
        <v/>
      </c>
      <c r="P156" s="13">
        <f>((((VLOOKUP(B156,Database!$F:$AY,MATCH($P$1,Database!$F$1:$AY$1,),))))-(((VLOOKUP(EDATE(B156,-12),Database!$F:$AY,MATCH($P$1,Database!$F$1:$AY$1,),)))))/(((VLOOKUP(EDATE(B156,-12),Database!$F:$AY,MATCH($P$1,Database!$F$1:$AY$1,),))))</f>
        <v/>
      </c>
      <c r="Q156" s="13">
        <f>((((VLOOKUP(B156,Database!$F:$AY,MATCH($Q$1,Database!$F$1:$AY$1,),))))-(((VLOOKUP(EDATE(B156,-12),Database!$F:$AY,MATCH($Q$1,Database!$F$1:$AY$1,),)))))/(((VLOOKUP(EDATE(B156,-12),Database!$F:$AY,MATCH($Q$1,Database!$F$1:$AY$1,),))))</f>
        <v/>
      </c>
      <c r="R156" s="13">
        <f>((((VLOOKUP(B156,Database!$F:$AY,MATCH($R$1,Database!$F$1:$AY$1,),))))-(((VLOOKUP(EDATE(B156,-12),Database!$F:$AY,MATCH($R$1,Database!$F$1:$AY$1,),)))))/(((VLOOKUP(EDATE(B156,-12),Database!$F:$AY,MATCH($R$1,Database!$F$1:$AY$1,),))))</f>
        <v/>
      </c>
      <c r="S156" s="13">
        <f>((((VLOOKUP(B156,Database!$F:$AY,MATCH($S$1,Database!$F$1:$AY$1,),))))-(((VLOOKUP(EDATE(B156,-12),Database!$F:$AY,MATCH($S$1,Database!$F$1:$AY$1,),)))))/(((VLOOKUP(EDATE(B156,-12),Database!$F:$AY,MATCH($S$1,Database!$F$1:$AY$1,),))))</f>
        <v/>
      </c>
      <c r="T156" s="13">
        <f>((((VLOOKUP(B156,Database!$F:$AY,MATCH($T$1,Database!$F$1:$AY$1,),))))-(((VLOOKUP(EDATE(B156,-12),Database!$F:$AY,MATCH($T$1,Database!$F$1:$AY$1,),)))))/(((VLOOKUP(EDATE(B156,-12),Database!$F:$AY,MATCH($T$1,Database!$F$1:$AY$1,),))))</f>
        <v/>
      </c>
      <c r="U156" s="13">
        <f>((((VLOOKUP(B156,Database!$F:$AY,MATCH($U$1,Database!$F$1:$AY$1,),))))-(((VLOOKUP(EDATE(B156,-12),Database!$F:$AY,MATCH($U$1,Database!$F$1:$AY$1,),)))))/(((VLOOKUP(EDATE(B156,-12),Database!$F:$AY,MATCH($U$1,Database!$F$1:$AY$1,),))))</f>
        <v/>
      </c>
      <c r="V156" s="13">
        <f>((((VLOOKUP(B156,Database!$F:$AY,MATCH($V$1,Database!$F$1:$AY$1,),))))-(((VLOOKUP(EDATE(B156,-12),Database!$F:$AY,MATCH($V$1,Database!$F$1:$AY$1,),)))))/(((VLOOKUP(EDATE(B156,-12),Database!$F:$AY,MATCH($V$1,Database!$F$1:$AY$1,),))))</f>
        <v/>
      </c>
    </row>
    <row r="157" customFormat="1" s="100">
      <c r="A157" s="45" t="n"/>
      <c r="B157" s="46" t="n">
        <v>36923</v>
      </c>
      <c r="C157" s="13">
        <f>((((VLOOKUP(B157,Database!$F:$AY,MATCH($C$1,Database!$F$1:$AY$1,),))))-(((VLOOKUP(EDATE(B157,-12),Database!$F:$AY,MATCH($C$1,Database!$F$1:$AY$1,),)))))/(((VLOOKUP(EDATE(B157,-12),Database!$F:$AY,MATCH($C$1,Database!$F$1:$AY$1,),))))</f>
        <v/>
      </c>
      <c r="D157" s="13">
        <f>((((VLOOKUP(B157,Database!$F:$AY,MATCH($D$1,Database!$F$1:$AY$1,),))))-(((VLOOKUP(EDATE(B157,-12),Database!$F:$AY,MATCH($D$1,Database!$F$1:$AY$1,),)))))/(((VLOOKUP(EDATE(B157,-12),Database!$F:$AY,MATCH($D$1,Database!$F$1:$AY$1,),))))</f>
        <v/>
      </c>
      <c r="E157" s="13">
        <f>((((VLOOKUP(B157,Database!$F:$AY,MATCH($E$1,Database!$F$1:$AY$1,),))))-(((VLOOKUP(EDATE(B157,-12),Database!$F:$AY,MATCH($E$1,Database!$F$1:$AY$1,),)))))/(((VLOOKUP(EDATE(B157,-12),Database!$F:$AY,MATCH($E$1,Database!$F$1:$AY$1,),))))</f>
        <v/>
      </c>
      <c r="F157" s="13">
        <f>((((VLOOKUP(B157,Database!$F:$AY,MATCH($F$1,Database!$F$1:$AY$1,),))))-(((VLOOKUP(EDATE(B157,-12),Database!$F:$AY,MATCH($F$1,Database!$F$1:$AY$1,),)))))/(((VLOOKUP(EDATE(B157,-12),Database!$F:$AY,MATCH($F$1,Database!$F$1:$AY$1,),))))</f>
        <v/>
      </c>
      <c r="G157" s="13">
        <f>((((VLOOKUP(B157,Database!$F:$AY,MATCH($G$1,Database!$F$1:$AY$1,),))))-(((VLOOKUP(EDATE(B157,-12),Database!$F:$AY,MATCH($G$1,Database!$F$1:$AY$1,),)))))/(((VLOOKUP(EDATE(B157,-12),Database!$F:$AY,MATCH($G$1,Database!$F$1:$AY$1,),))))</f>
        <v/>
      </c>
      <c r="H157" s="13">
        <f>((((VLOOKUP(B157,Database!$F:$AY,MATCH($H$1,Database!$F$1:$AY$1,),))))-(((VLOOKUP(EDATE(B157,-12),Database!$F:$AY,MATCH($H$1,Database!$F$1:$AY$1,),)))))/(((VLOOKUP(EDATE(B157,-12),Database!$F:$AY,MATCH($H$1,Database!$F$1:$AY$1,),))))</f>
        <v/>
      </c>
      <c r="I157" s="13">
        <f>((((VLOOKUP(B157,Database!$F:$AY,MATCH($I$1,Database!$F$1:$AY$1,),))))-(((VLOOKUP(EDATE(B157,-12),Database!$F:$AY,MATCH($I$1,Database!$F$1:$AY$1,),)))))/(((VLOOKUP(EDATE(B157,-12),Database!$F:$AY,MATCH($I$1,Database!$F$1:$AY$1,),))))</f>
        <v/>
      </c>
      <c r="J157" s="13">
        <f>((((VLOOKUP(B157,Database!$F:$AY,MATCH($J$1,Database!$F$1:$AY$1,),))))-(((VLOOKUP(EDATE(B157,-12),Database!$F:$AY,MATCH($J$1,Database!$F$1:$AY$1,),)))))/(((VLOOKUP(EDATE(B157,-12),Database!$F:$AY,MATCH($J$1,Database!$F$1:$AY$1,),))))</f>
        <v/>
      </c>
      <c r="K157" s="13">
        <f>((((VLOOKUP(B157,Database!$F:$AY,MATCH($K$1,Database!$F$1:$AY$1,),))))-(((VLOOKUP(EDATE(B157,-12),Database!$F:$AY,MATCH($K$1,Database!$F$1:$AY$1,),)))))/(((VLOOKUP(EDATE(B157,-12),Database!$F:$AY,MATCH($K$1,Database!$F$1:$AY$1,),))))</f>
        <v/>
      </c>
      <c r="L157" s="13">
        <f>((((VLOOKUP(B157,Database!$F:$AY,MATCH($L$1,Database!$F$1:$AY$1,),))))-(((VLOOKUP(EDATE(B157,-12),Database!$F:$AY,MATCH($L$1,Database!$F$1:$AY$1,),)))))/(((VLOOKUP(EDATE(B157,-12),Database!$F:$AY,MATCH($L$1,Database!$F$1:$AY$1,),))))</f>
        <v/>
      </c>
      <c r="M157" s="13">
        <f>((((VLOOKUP(B157,Database!$F:$AY,MATCH($M$1,Database!$F$1:$AY$1,),))))-(((VLOOKUP(EDATE(B157,-12),Database!$F:$AY,MATCH($M$1,Database!$F$1:$AY$1,),)))))/(((VLOOKUP(EDATE(B157,-12),Database!$F:$AY,MATCH($M$1,Database!$F$1:$AY$1,),))))</f>
        <v/>
      </c>
      <c r="N157" s="13">
        <f>((((VLOOKUP(B157,Database!$F:$AY,MATCH($N$1,Database!$F$1:$AY$1,),))))-(((VLOOKUP(EDATE(B157,-12),Database!$F:$AY,MATCH($N$1,Database!$F$1:$AY$1,),)))))/(((VLOOKUP(EDATE(B157,-12),Database!$F:$AY,MATCH($N$1,Database!$F$1:$AY$1,),))))</f>
        <v/>
      </c>
      <c r="O157" s="13">
        <f>((((VLOOKUP(B157,Database!$F:$AY,MATCH($O$1,Database!$F$1:$AY$1,),))))-(((VLOOKUP(EDATE(B157,-12),Database!$F:$AY,MATCH($O$1,Database!$F$1:$AY$1,),)))))/(((VLOOKUP(EDATE(B157,-12),Database!$F:$AY,MATCH($O$1,Database!$F$1:$AY$1,),))))</f>
        <v/>
      </c>
      <c r="P157" s="13">
        <f>((((VLOOKUP(B157,Database!$F:$AY,MATCH($P$1,Database!$F$1:$AY$1,),))))-(((VLOOKUP(EDATE(B157,-12),Database!$F:$AY,MATCH($P$1,Database!$F$1:$AY$1,),)))))/(((VLOOKUP(EDATE(B157,-12),Database!$F:$AY,MATCH($P$1,Database!$F$1:$AY$1,),))))</f>
        <v/>
      </c>
      <c r="Q157" s="13">
        <f>((((VLOOKUP(B157,Database!$F:$AY,MATCH($Q$1,Database!$F$1:$AY$1,),))))-(((VLOOKUP(EDATE(B157,-12),Database!$F:$AY,MATCH($Q$1,Database!$F$1:$AY$1,),)))))/(((VLOOKUP(EDATE(B157,-12),Database!$F:$AY,MATCH($Q$1,Database!$F$1:$AY$1,),))))</f>
        <v/>
      </c>
      <c r="R157" s="13">
        <f>((((VLOOKUP(B157,Database!$F:$AY,MATCH($R$1,Database!$F$1:$AY$1,),))))-(((VLOOKUP(EDATE(B157,-12),Database!$F:$AY,MATCH($R$1,Database!$F$1:$AY$1,),)))))/(((VLOOKUP(EDATE(B157,-12),Database!$F:$AY,MATCH($R$1,Database!$F$1:$AY$1,),))))</f>
        <v/>
      </c>
      <c r="S157" s="13">
        <f>((((VLOOKUP(B157,Database!$F:$AY,MATCH($S$1,Database!$F$1:$AY$1,),))))-(((VLOOKUP(EDATE(B157,-12),Database!$F:$AY,MATCH($S$1,Database!$F$1:$AY$1,),)))))/(((VLOOKUP(EDATE(B157,-12),Database!$F:$AY,MATCH($S$1,Database!$F$1:$AY$1,),))))</f>
        <v/>
      </c>
      <c r="T157" s="13">
        <f>((((VLOOKUP(B157,Database!$F:$AY,MATCH($T$1,Database!$F$1:$AY$1,),))))-(((VLOOKUP(EDATE(B157,-12),Database!$F:$AY,MATCH($T$1,Database!$F$1:$AY$1,),)))))/(((VLOOKUP(EDATE(B157,-12),Database!$F:$AY,MATCH($T$1,Database!$F$1:$AY$1,),))))</f>
        <v/>
      </c>
      <c r="U157" s="13">
        <f>((((VLOOKUP(B157,Database!$F:$AY,MATCH($U$1,Database!$F$1:$AY$1,),))))-(((VLOOKUP(EDATE(B157,-12),Database!$F:$AY,MATCH($U$1,Database!$F$1:$AY$1,),)))))/(((VLOOKUP(EDATE(B157,-12),Database!$F:$AY,MATCH($U$1,Database!$F$1:$AY$1,),))))</f>
        <v/>
      </c>
      <c r="V157" s="13">
        <f>((((VLOOKUP(B157,Database!$F:$AY,MATCH($V$1,Database!$F$1:$AY$1,),))))-(((VLOOKUP(EDATE(B157,-12),Database!$F:$AY,MATCH($V$1,Database!$F$1:$AY$1,),)))))/(((VLOOKUP(EDATE(B157,-12),Database!$F:$AY,MATCH($V$1,Database!$F$1:$AY$1,),))))</f>
        <v/>
      </c>
    </row>
    <row r="158" customFormat="1" s="100">
      <c r="A158" s="45" t="n"/>
      <c r="B158" s="46" t="n">
        <v>36951</v>
      </c>
      <c r="C158" s="13">
        <f>((((VLOOKUP(B158,Database!$F:$AY,MATCH($C$1,Database!$F$1:$AY$1,),))))-(((VLOOKUP(EDATE(B158,-12),Database!$F:$AY,MATCH($C$1,Database!$F$1:$AY$1,),)))))/(((VLOOKUP(EDATE(B158,-12),Database!$F:$AY,MATCH($C$1,Database!$F$1:$AY$1,),))))</f>
        <v/>
      </c>
      <c r="D158" s="13">
        <f>((((VLOOKUP(B158,Database!$F:$AY,MATCH($D$1,Database!$F$1:$AY$1,),))))-(((VLOOKUP(EDATE(B158,-12),Database!$F:$AY,MATCH($D$1,Database!$F$1:$AY$1,),)))))/(((VLOOKUP(EDATE(B158,-12),Database!$F:$AY,MATCH($D$1,Database!$F$1:$AY$1,),))))</f>
        <v/>
      </c>
      <c r="E158" s="13">
        <f>((((VLOOKUP(B158,Database!$F:$AY,MATCH($E$1,Database!$F$1:$AY$1,),))))-(((VLOOKUP(EDATE(B158,-12),Database!$F:$AY,MATCH($E$1,Database!$F$1:$AY$1,),)))))/(((VLOOKUP(EDATE(B158,-12),Database!$F:$AY,MATCH($E$1,Database!$F$1:$AY$1,),))))</f>
        <v/>
      </c>
      <c r="F158" s="13">
        <f>((((VLOOKUP(B158,Database!$F:$AY,MATCH($F$1,Database!$F$1:$AY$1,),))))-(((VLOOKUP(EDATE(B158,-12),Database!$F:$AY,MATCH($F$1,Database!$F$1:$AY$1,),)))))/(((VLOOKUP(EDATE(B158,-12),Database!$F:$AY,MATCH($F$1,Database!$F$1:$AY$1,),))))</f>
        <v/>
      </c>
      <c r="G158" s="13">
        <f>((((VLOOKUP(B158,Database!$F:$AY,MATCH($G$1,Database!$F$1:$AY$1,),))))-(((VLOOKUP(EDATE(B158,-12),Database!$F:$AY,MATCH($G$1,Database!$F$1:$AY$1,),)))))/(((VLOOKUP(EDATE(B158,-12),Database!$F:$AY,MATCH($G$1,Database!$F$1:$AY$1,),))))</f>
        <v/>
      </c>
      <c r="H158" s="13">
        <f>((((VLOOKUP(B158,Database!$F:$AY,MATCH($H$1,Database!$F$1:$AY$1,),))))-(((VLOOKUP(EDATE(B158,-12),Database!$F:$AY,MATCH($H$1,Database!$F$1:$AY$1,),)))))/(((VLOOKUP(EDATE(B158,-12),Database!$F:$AY,MATCH($H$1,Database!$F$1:$AY$1,),))))</f>
        <v/>
      </c>
      <c r="I158" s="13">
        <f>((((VLOOKUP(B158,Database!$F:$AY,MATCH($I$1,Database!$F$1:$AY$1,),))))-(((VLOOKUP(EDATE(B158,-12),Database!$F:$AY,MATCH($I$1,Database!$F$1:$AY$1,),)))))/(((VLOOKUP(EDATE(B158,-12),Database!$F:$AY,MATCH($I$1,Database!$F$1:$AY$1,),))))</f>
        <v/>
      </c>
      <c r="J158" s="13">
        <f>((((VLOOKUP(B158,Database!$F:$AY,MATCH($J$1,Database!$F$1:$AY$1,),))))-(((VLOOKUP(EDATE(B158,-12),Database!$F:$AY,MATCH($J$1,Database!$F$1:$AY$1,),)))))/(((VLOOKUP(EDATE(B158,-12),Database!$F:$AY,MATCH($J$1,Database!$F$1:$AY$1,),))))</f>
        <v/>
      </c>
      <c r="K158" s="13">
        <f>((((VLOOKUP(B158,Database!$F:$AY,MATCH($K$1,Database!$F$1:$AY$1,),))))-(((VLOOKUP(EDATE(B158,-12),Database!$F:$AY,MATCH($K$1,Database!$F$1:$AY$1,),)))))/(((VLOOKUP(EDATE(B158,-12),Database!$F:$AY,MATCH($K$1,Database!$F$1:$AY$1,),))))</f>
        <v/>
      </c>
      <c r="L158" s="13">
        <f>((((VLOOKUP(B158,Database!$F:$AY,MATCH($L$1,Database!$F$1:$AY$1,),))))-(((VLOOKUP(EDATE(B158,-12),Database!$F:$AY,MATCH($L$1,Database!$F$1:$AY$1,),)))))/(((VLOOKUP(EDATE(B158,-12),Database!$F:$AY,MATCH($L$1,Database!$F$1:$AY$1,),))))</f>
        <v/>
      </c>
      <c r="M158" s="13">
        <f>((((VLOOKUP(B158,Database!$F:$AY,MATCH($M$1,Database!$F$1:$AY$1,),))))-(((VLOOKUP(EDATE(B158,-12),Database!$F:$AY,MATCH($M$1,Database!$F$1:$AY$1,),)))))/(((VLOOKUP(EDATE(B158,-12),Database!$F:$AY,MATCH($M$1,Database!$F$1:$AY$1,),))))</f>
        <v/>
      </c>
      <c r="N158" s="13">
        <f>((((VLOOKUP(B158,Database!$F:$AY,MATCH($N$1,Database!$F$1:$AY$1,),))))-(((VLOOKUP(EDATE(B158,-12),Database!$F:$AY,MATCH($N$1,Database!$F$1:$AY$1,),)))))/(((VLOOKUP(EDATE(B158,-12),Database!$F:$AY,MATCH($N$1,Database!$F$1:$AY$1,),))))</f>
        <v/>
      </c>
      <c r="O158" s="13">
        <f>((((VLOOKUP(B158,Database!$F:$AY,MATCH($O$1,Database!$F$1:$AY$1,),))))-(((VLOOKUP(EDATE(B158,-12),Database!$F:$AY,MATCH($O$1,Database!$F$1:$AY$1,),)))))/(((VLOOKUP(EDATE(B158,-12),Database!$F:$AY,MATCH($O$1,Database!$F$1:$AY$1,),))))</f>
        <v/>
      </c>
      <c r="P158" s="13">
        <f>((((VLOOKUP(B158,Database!$F:$AY,MATCH($P$1,Database!$F$1:$AY$1,),))))-(((VLOOKUP(EDATE(B158,-12),Database!$F:$AY,MATCH($P$1,Database!$F$1:$AY$1,),)))))/(((VLOOKUP(EDATE(B158,-12),Database!$F:$AY,MATCH($P$1,Database!$F$1:$AY$1,),))))</f>
        <v/>
      </c>
      <c r="Q158" s="13">
        <f>((((VLOOKUP(B158,Database!$F:$AY,MATCH($Q$1,Database!$F$1:$AY$1,),))))-(((VLOOKUP(EDATE(B158,-12),Database!$F:$AY,MATCH($Q$1,Database!$F$1:$AY$1,),)))))/(((VLOOKUP(EDATE(B158,-12),Database!$F:$AY,MATCH($Q$1,Database!$F$1:$AY$1,),))))</f>
        <v/>
      </c>
      <c r="R158" s="13">
        <f>((((VLOOKUP(B158,Database!$F:$AY,MATCH($R$1,Database!$F$1:$AY$1,),))))-(((VLOOKUP(EDATE(B158,-12),Database!$F:$AY,MATCH($R$1,Database!$F$1:$AY$1,),)))))/(((VLOOKUP(EDATE(B158,-12),Database!$F:$AY,MATCH($R$1,Database!$F$1:$AY$1,),))))</f>
        <v/>
      </c>
      <c r="S158" s="13">
        <f>((((VLOOKUP(B158,Database!$F:$AY,MATCH($S$1,Database!$F$1:$AY$1,),))))-(((VLOOKUP(EDATE(B158,-12),Database!$F:$AY,MATCH($S$1,Database!$F$1:$AY$1,),)))))/(((VLOOKUP(EDATE(B158,-12),Database!$F:$AY,MATCH($S$1,Database!$F$1:$AY$1,),))))</f>
        <v/>
      </c>
      <c r="T158" s="13">
        <f>((((VLOOKUP(B158,Database!$F:$AY,MATCH($T$1,Database!$F$1:$AY$1,),))))-(((VLOOKUP(EDATE(B158,-12),Database!$F:$AY,MATCH($T$1,Database!$F$1:$AY$1,),)))))/(((VLOOKUP(EDATE(B158,-12),Database!$F:$AY,MATCH($T$1,Database!$F$1:$AY$1,),))))</f>
        <v/>
      </c>
      <c r="U158" s="13">
        <f>((((VLOOKUP(B158,Database!$F:$AY,MATCH($U$1,Database!$F$1:$AY$1,),))))-(((VLOOKUP(EDATE(B158,-12),Database!$F:$AY,MATCH($U$1,Database!$F$1:$AY$1,),)))))/(((VLOOKUP(EDATE(B158,-12),Database!$F:$AY,MATCH($U$1,Database!$F$1:$AY$1,),))))</f>
        <v/>
      </c>
      <c r="V158" s="13">
        <f>((((VLOOKUP(B158,Database!$F:$AY,MATCH($V$1,Database!$F$1:$AY$1,),))))-(((VLOOKUP(EDATE(B158,-12),Database!$F:$AY,MATCH($V$1,Database!$F$1:$AY$1,),)))))/(((VLOOKUP(EDATE(B158,-12),Database!$F:$AY,MATCH($V$1,Database!$F$1:$AY$1,),))))</f>
        <v/>
      </c>
    </row>
    <row r="159" customFormat="1" s="100">
      <c r="A159" s="45" t="n"/>
      <c r="B159" s="46" t="n">
        <v>36982</v>
      </c>
      <c r="C159" s="13">
        <f>((((VLOOKUP(B159,Database!$F:$AY,MATCH($C$1,Database!$F$1:$AY$1,),))))-(((VLOOKUP(EDATE(B159,-12),Database!$F:$AY,MATCH($C$1,Database!$F$1:$AY$1,),)))))/(((VLOOKUP(EDATE(B159,-12),Database!$F:$AY,MATCH($C$1,Database!$F$1:$AY$1,),))))</f>
        <v/>
      </c>
      <c r="D159" s="13">
        <f>((((VLOOKUP(B159,Database!$F:$AY,MATCH($D$1,Database!$F$1:$AY$1,),))))-(((VLOOKUP(EDATE(B159,-12),Database!$F:$AY,MATCH($D$1,Database!$F$1:$AY$1,),)))))/(((VLOOKUP(EDATE(B159,-12),Database!$F:$AY,MATCH($D$1,Database!$F$1:$AY$1,),))))</f>
        <v/>
      </c>
      <c r="E159" s="13">
        <f>((((VLOOKUP(B159,Database!$F:$AY,MATCH($E$1,Database!$F$1:$AY$1,),))))-(((VLOOKUP(EDATE(B159,-12),Database!$F:$AY,MATCH($E$1,Database!$F$1:$AY$1,),)))))/(((VLOOKUP(EDATE(B159,-12),Database!$F:$AY,MATCH($E$1,Database!$F$1:$AY$1,),))))</f>
        <v/>
      </c>
      <c r="F159" s="13">
        <f>((((VLOOKUP(B159,Database!$F:$AY,MATCH($F$1,Database!$F$1:$AY$1,),))))-(((VLOOKUP(EDATE(B159,-12),Database!$F:$AY,MATCH($F$1,Database!$F$1:$AY$1,),)))))/(((VLOOKUP(EDATE(B159,-12),Database!$F:$AY,MATCH($F$1,Database!$F$1:$AY$1,),))))</f>
        <v/>
      </c>
      <c r="G159" s="13">
        <f>((((VLOOKUP(B159,Database!$F:$AY,MATCH($G$1,Database!$F$1:$AY$1,),))))-(((VLOOKUP(EDATE(B159,-12),Database!$F:$AY,MATCH($G$1,Database!$F$1:$AY$1,),)))))/(((VLOOKUP(EDATE(B159,-12),Database!$F:$AY,MATCH($G$1,Database!$F$1:$AY$1,),))))</f>
        <v/>
      </c>
      <c r="H159" s="13">
        <f>((((VLOOKUP(B159,Database!$F:$AY,MATCH($H$1,Database!$F$1:$AY$1,),))))-(((VLOOKUP(EDATE(B159,-12),Database!$F:$AY,MATCH($H$1,Database!$F$1:$AY$1,),)))))/(((VLOOKUP(EDATE(B159,-12),Database!$F:$AY,MATCH($H$1,Database!$F$1:$AY$1,),))))</f>
        <v/>
      </c>
      <c r="I159" s="13">
        <f>((((VLOOKUP(B159,Database!$F:$AY,MATCH($I$1,Database!$F$1:$AY$1,),))))-(((VLOOKUP(EDATE(B159,-12),Database!$F:$AY,MATCH($I$1,Database!$F$1:$AY$1,),)))))/(((VLOOKUP(EDATE(B159,-12),Database!$F:$AY,MATCH($I$1,Database!$F$1:$AY$1,),))))</f>
        <v/>
      </c>
      <c r="J159" s="13">
        <f>((((VLOOKUP(B159,Database!$F:$AY,MATCH($J$1,Database!$F$1:$AY$1,),))))-(((VLOOKUP(EDATE(B159,-12),Database!$F:$AY,MATCH($J$1,Database!$F$1:$AY$1,),)))))/(((VLOOKUP(EDATE(B159,-12),Database!$F:$AY,MATCH($J$1,Database!$F$1:$AY$1,),))))</f>
        <v/>
      </c>
      <c r="K159" s="13">
        <f>((((VLOOKUP(B159,Database!$F:$AY,MATCH($K$1,Database!$F$1:$AY$1,),))))-(((VLOOKUP(EDATE(B159,-12),Database!$F:$AY,MATCH($K$1,Database!$F$1:$AY$1,),)))))/(((VLOOKUP(EDATE(B159,-12),Database!$F:$AY,MATCH($K$1,Database!$F$1:$AY$1,),))))</f>
        <v/>
      </c>
      <c r="L159" s="13">
        <f>((((VLOOKUP(B159,Database!$F:$AY,MATCH($L$1,Database!$F$1:$AY$1,),))))-(((VLOOKUP(EDATE(B159,-12),Database!$F:$AY,MATCH($L$1,Database!$F$1:$AY$1,),)))))/(((VLOOKUP(EDATE(B159,-12),Database!$F:$AY,MATCH($L$1,Database!$F$1:$AY$1,),))))</f>
        <v/>
      </c>
      <c r="M159" s="13">
        <f>((((VLOOKUP(B159,Database!$F:$AY,MATCH($M$1,Database!$F$1:$AY$1,),))))-(((VLOOKUP(EDATE(B159,-12),Database!$F:$AY,MATCH($M$1,Database!$F$1:$AY$1,),)))))/(((VLOOKUP(EDATE(B159,-12),Database!$F:$AY,MATCH($M$1,Database!$F$1:$AY$1,),))))</f>
        <v/>
      </c>
      <c r="N159" s="13">
        <f>((((VLOOKUP(B159,Database!$F:$AY,MATCH($N$1,Database!$F$1:$AY$1,),))))-(((VLOOKUP(EDATE(B159,-12),Database!$F:$AY,MATCH($N$1,Database!$F$1:$AY$1,),)))))/(((VLOOKUP(EDATE(B159,-12),Database!$F:$AY,MATCH($N$1,Database!$F$1:$AY$1,),))))</f>
        <v/>
      </c>
      <c r="O159" s="13">
        <f>((((VLOOKUP(B159,Database!$F:$AY,MATCH($O$1,Database!$F$1:$AY$1,),))))-(((VLOOKUP(EDATE(B159,-12),Database!$F:$AY,MATCH($O$1,Database!$F$1:$AY$1,),)))))/(((VLOOKUP(EDATE(B159,-12),Database!$F:$AY,MATCH($O$1,Database!$F$1:$AY$1,),))))</f>
        <v/>
      </c>
      <c r="P159" s="13">
        <f>((((VLOOKUP(B159,Database!$F:$AY,MATCH($P$1,Database!$F$1:$AY$1,),))))-(((VLOOKUP(EDATE(B159,-12),Database!$F:$AY,MATCH($P$1,Database!$F$1:$AY$1,),)))))/(((VLOOKUP(EDATE(B159,-12),Database!$F:$AY,MATCH($P$1,Database!$F$1:$AY$1,),))))</f>
        <v/>
      </c>
      <c r="Q159" s="13">
        <f>((((VLOOKUP(B159,Database!$F:$AY,MATCH($Q$1,Database!$F$1:$AY$1,),))))-(((VLOOKUP(EDATE(B159,-12),Database!$F:$AY,MATCH($Q$1,Database!$F$1:$AY$1,),)))))/(((VLOOKUP(EDATE(B159,-12),Database!$F:$AY,MATCH($Q$1,Database!$F$1:$AY$1,),))))</f>
        <v/>
      </c>
      <c r="R159" s="13">
        <f>((((VLOOKUP(B159,Database!$F:$AY,MATCH($R$1,Database!$F$1:$AY$1,),))))-(((VLOOKUP(EDATE(B159,-12),Database!$F:$AY,MATCH($R$1,Database!$F$1:$AY$1,),)))))/(((VLOOKUP(EDATE(B159,-12),Database!$F:$AY,MATCH($R$1,Database!$F$1:$AY$1,),))))</f>
        <v/>
      </c>
      <c r="S159" s="13">
        <f>((((VLOOKUP(B159,Database!$F:$AY,MATCH($S$1,Database!$F$1:$AY$1,),))))-(((VLOOKUP(EDATE(B159,-12),Database!$F:$AY,MATCH($S$1,Database!$F$1:$AY$1,),)))))/(((VLOOKUP(EDATE(B159,-12),Database!$F:$AY,MATCH($S$1,Database!$F$1:$AY$1,),))))</f>
        <v/>
      </c>
      <c r="T159" s="13">
        <f>((((VLOOKUP(B159,Database!$F:$AY,MATCH($T$1,Database!$F$1:$AY$1,),))))-(((VLOOKUP(EDATE(B159,-12),Database!$F:$AY,MATCH($T$1,Database!$F$1:$AY$1,),)))))/(((VLOOKUP(EDATE(B159,-12),Database!$F:$AY,MATCH($T$1,Database!$F$1:$AY$1,),))))</f>
        <v/>
      </c>
      <c r="U159" s="13">
        <f>((((VLOOKUP(B159,Database!$F:$AY,MATCH($U$1,Database!$F$1:$AY$1,),))))-(((VLOOKUP(EDATE(B159,-12),Database!$F:$AY,MATCH($U$1,Database!$F$1:$AY$1,),)))))/(((VLOOKUP(EDATE(B159,-12),Database!$F:$AY,MATCH($U$1,Database!$F$1:$AY$1,),))))</f>
        <v/>
      </c>
      <c r="V159" s="13">
        <f>((((VLOOKUP(B159,Database!$F:$AY,MATCH($V$1,Database!$F$1:$AY$1,),))))-(((VLOOKUP(EDATE(B159,-12),Database!$F:$AY,MATCH($V$1,Database!$F$1:$AY$1,),)))))/(((VLOOKUP(EDATE(B159,-12),Database!$F:$AY,MATCH($V$1,Database!$F$1:$AY$1,),))))</f>
        <v/>
      </c>
    </row>
    <row r="160" customFormat="1" s="100">
      <c r="A160" s="45" t="n"/>
      <c r="B160" s="46" t="n">
        <v>37012</v>
      </c>
      <c r="C160" s="13">
        <f>((((VLOOKUP(B160,Database!$F:$AY,MATCH($C$1,Database!$F$1:$AY$1,),))))-(((VLOOKUP(EDATE(B160,-12),Database!$F:$AY,MATCH($C$1,Database!$F$1:$AY$1,),)))))/(((VLOOKUP(EDATE(B160,-12),Database!$F:$AY,MATCH($C$1,Database!$F$1:$AY$1,),))))</f>
        <v/>
      </c>
      <c r="D160" s="13">
        <f>((((VLOOKUP(B160,Database!$F:$AY,MATCH($D$1,Database!$F$1:$AY$1,),))))-(((VLOOKUP(EDATE(B160,-12),Database!$F:$AY,MATCH($D$1,Database!$F$1:$AY$1,),)))))/(((VLOOKUP(EDATE(B160,-12),Database!$F:$AY,MATCH($D$1,Database!$F$1:$AY$1,),))))</f>
        <v/>
      </c>
      <c r="E160" s="13">
        <f>((((VLOOKUP(B160,Database!$F:$AY,MATCH($E$1,Database!$F$1:$AY$1,),))))-(((VLOOKUP(EDATE(B160,-12),Database!$F:$AY,MATCH($E$1,Database!$F$1:$AY$1,),)))))/(((VLOOKUP(EDATE(B160,-12),Database!$F:$AY,MATCH($E$1,Database!$F$1:$AY$1,),))))</f>
        <v/>
      </c>
      <c r="F160" s="13">
        <f>((((VLOOKUP(B160,Database!$F:$AY,MATCH($F$1,Database!$F$1:$AY$1,),))))-(((VLOOKUP(EDATE(B160,-12),Database!$F:$AY,MATCH($F$1,Database!$F$1:$AY$1,),)))))/(((VLOOKUP(EDATE(B160,-12),Database!$F:$AY,MATCH($F$1,Database!$F$1:$AY$1,),))))</f>
        <v/>
      </c>
      <c r="G160" s="13">
        <f>((((VLOOKUP(B160,Database!$F:$AY,MATCH($G$1,Database!$F$1:$AY$1,),))))-(((VLOOKUP(EDATE(B160,-12),Database!$F:$AY,MATCH($G$1,Database!$F$1:$AY$1,),)))))/(((VLOOKUP(EDATE(B160,-12),Database!$F:$AY,MATCH($G$1,Database!$F$1:$AY$1,),))))</f>
        <v/>
      </c>
      <c r="H160" s="13">
        <f>((((VLOOKUP(B160,Database!$F:$AY,MATCH($H$1,Database!$F$1:$AY$1,),))))-(((VLOOKUP(EDATE(B160,-12),Database!$F:$AY,MATCH($H$1,Database!$F$1:$AY$1,),)))))/(((VLOOKUP(EDATE(B160,-12),Database!$F:$AY,MATCH($H$1,Database!$F$1:$AY$1,),))))</f>
        <v/>
      </c>
      <c r="I160" s="13">
        <f>((((VLOOKUP(B160,Database!$F:$AY,MATCH($I$1,Database!$F$1:$AY$1,),))))-(((VLOOKUP(EDATE(B160,-12),Database!$F:$AY,MATCH($I$1,Database!$F$1:$AY$1,),)))))/(((VLOOKUP(EDATE(B160,-12),Database!$F:$AY,MATCH($I$1,Database!$F$1:$AY$1,),))))</f>
        <v/>
      </c>
      <c r="J160" s="13">
        <f>((((VLOOKUP(B160,Database!$F:$AY,MATCH($J$1,Database!$F$1:$AY$1,),))))-(((VLOOKUP(EDATE(B160,-12),Database!$F:$AY,MATCH($J$1,Database!$F$1:$AY$1,),)))))/(((VLOOKUP(EDATE(B160,-12),Database!$F:$AY,MATCH($J$1,Database!$F$1:$AY$1,),))))</f>
        <v/>
      </c>
      <c r="K160" s="13">
        <f>((((VLOOKUP(B160,Database!$F:$AY,MATCH($K$1,Database!$F$1:$AY$1,),))))-(((VLOOKUP(EDATE(B160,-12),Database!$F:$AY,MATCH($K$1,Database!$F$1:$AY$1,),)))))/(((VLOOKUP(EDATE(B160,-12),Database!$F:$AY,MATCH($K$1,Database!$F$1:$AY$1,),))))</f>
        <v/>
      </c>
      <c r="L160" s="13">
        <f>((((VLOOKUP(B160,Database!$F:$AY,MATCH($L$1,Database!$F$1:$AY$1,),))))-(((VLOOKUP(EDATE(B160,-12),Database!$F:$AY,MATCH($L$1,Database!$F$1:$AY$1,),)))))/(((VLOOKUP(EDATE(B160,-12),Database!$F:$AY,MATCH($L$1,Database!$F$1:$AY$1,),))))</f>
        <v/>
      </c>
      <c r="M160" s="13">
        <f>((((VLOOKUP(B160,Database!$F:$AY,MATCH($M$1,Database!$F$1:$AY$1,),))))-(((VLOOKUP(EDATE(B160,-12),Database!$F:$AY,MATCH($M$1,Database!$F$1:$AY$1,),)))))/(((VLOOKUP(EDATE(B160,-12),Database!$F:$AY,MATCH($M$1,Database!$F$1:$AY$1,),))))</f>
        <v/>
      </c>
      <c r="N160" s="13">
        <f>((((VLOOKUP(B160,Database!$F:$AY,MATCH($N$1,Database!$F$1:$AY$1,),))))-(((VLOOKUP(EDATE(B160,-12),Database!$F:$AY,MATCH($N$1,Database!$F$1:$AY$1,),)))))/(((VLOOKUP(EDATE(B160,-12),Database!$F:$AY,MATCH($N$1,Database!$F$1:$AY$1,),))))</f>
        <v/>
      </c>
      <c r="O160" s="13">
        <f>((((VLOOKUP(B160,Database!$F:$AY,MATCH($O$1,Database!$F$1:$AY$1,),))))-(((VLOOKUP(EDATE(B160,-12),Database!$F:$AY,MATCH($O$1,Database!$F$1:$AY$1,),)))))/(((VLOOKUP(EDATE(B160,-12),Database!$F:$AY,MATCH($O$1,Database!$F$1:$AY$1,),))))</f>
        <v/>
      </c>
      <c r="P160" s="13">
        <f>((((VLOOKUP(B160,Database!$F:$AY,MATCH($P$1,Database!$F$1:$AY$1,),))))-(((VLOOKUP(EDATE(B160,-12),Database!$F:$AY,MATCH($P$1,Database!$F$1:$AY$1,),)))))/(((VLOOKUP(EDATE(B160,-12),Database!$F:$AY,MATCH($P$1,Database!$F$1:$AY$1,),))))</f>
        <v/>
      </c>
      <c r="Q160" s="13">
        <f>((((VLOOKUP(B160,Database!$F:$AY,MATCH($Q$1,Database!$F$1:$AY$1,),))))-(((VLOOKUP(EDATE(B160,-12),Database!$F:$AY,MATCH($Q$1,Database!$F$1:$AY$1,),)))))/(((VLOOKUP(EDATE(B160,-12),Database!$F:$AY,MATCH($Q$1,Database!$F$1:$AY$1,),))))</f>
        <v/>
      </c>
      <c r="R160" s="13">
        <f>((((VLOOKUP(B160,Database!$F:$AY,MATCH($R$1,Database!$F$1:$AY$1,),))))-(((VLOOKUP(EDATE(B160,-12),Database!$F:$AY,MATCH($R$1,Database!$F$1:$AY$1,),)))))/(((VLOOKUP(EDATE(B160,-12),Database!$F:$AY,MATCH($R$1,Database!$F$1:$AY$1,),))))</f>
        <v/>
      </c>
      <c r="S160" s="13">
        <f>((((VLOOKUP(B160,Database!$F:$AY,MATCH($S$1,Database!$F$1:$AY$1,),))))-(((VLOOKUP(EDATE(B160,-12),Database!$F:$AY,MATCH($S$1,Database!$F$1:$AY$1,),)))))/(((VLOOKUP(EDATE(B160,-12),Database!$F:$AY,MATCH($S$1,Database!$F$1:$AY$1,),))))</f>
        <v/>
      </c>
      <c r="T160" s="13">
        <f>((((VLOOKUP(B160,Database!$F:$AY,MATCH($T$1,Database!$F$1:$AY$1,),))))-(((VLOOKUP(EDATE(B160,-12),Database!$F:$AY,MATCH($T$1,Database!$F$1:$AY$1,),)))))/(((VLOOKUP(EDATE(B160,-12),Database!$F:$AY,MATCH($T$1,Database!$F$1:$AY$1,),))))</f>
        <v/>
      </c>
      <c r="U160" s="13">
        <f>((((VLOOKUP(B160,Database!$F:$AY,MATCH($U$1,Database!$F$1:$AY$1,),))))-(((VLOOKUP(EDATE(B160,-12),Database!$F:$AY,MATCH($U$1,Database!$F$1:$AY$1,),)))))/(((VLOOKUP(EDATE(B160,-12),Database!$F:$AY,MATCH($U$1,Database!$F$1:$AY$1,),))))</f>
        <v/>
      </c>
      <c r="V160" s="13">
        <f>((((VLOOKUP(B160,Database!$F:$AY,MATCH($V$1,Database!$F$1:$AY$1,),))))-(((VLOOKUP(EDATE(B160,-12),Database!$F:$AY,MATCH($V$1,Database!$F$1:$AY$1,),)))))/(((VLOOKUP(EDATE(B160,-12),Database!$F:$AY,MATCH($V$1,Database!$F$1:$AY$1,),))))</f>
        <v/>
      </c>
    </row>
    <row r="161" customFormat="1" s="100">
      <c r="A161" s="45" t="n"/>
      <c r="B161" s="46" t="n">
        <v>37043</v>
      </c>
      <c r="C161" s="13">
        <f>((((VLOOKUP(B161,Database!$F:$AY,MATCH($C$1,Database!$F$1:$AY$1,),))))-(((VLOOKUP(EDATE(B161,-12),Database!$F:$AY,MATCH($C$1,Database!$F$1:$AY$1,),)))))/(((VLOOKUP(EDATE(B161,-12),Database!$F:$AY,MATCH($C$1,Database!$F$1:$AY$1,),))))</f>
        <v/>
      </c>
      <c r="D161" s="13">
        <f>((((VLOOKUP(B161,Database!$F:$AY,MATCH($D$1,Database!$F$1:$AY$1,),))))-(((VLOOKUP(EDATE(B161,-12),Database!$F:$AY,MATCH($D$1,Database!$F$1:$AY$1,),)))))/(((VLOOKUP(EDATE(B161,-12),Database!$F:$AY,MATCH($D$1,Database!$F$1:$AY$1,),))))</f>
        <v/>
      </c>
      <c r="E161" s="13">
        <f>((((VLOOKUP(B161,Database!$F:$AY,MATCH($E$1,Database!$F$1:$AY$1,),))))-(((VLOOKUP(EDATE(B161,-12),Database!$F:$AY,MATCH($E$1,Database!$F$1:$AY$1,),)))))/(((VLOOKUP(EDATE(B161,-12),Database!$F:$AY,MATCH($E$1,Database!$F$1:$AY$1,),))))</f>
        <v/>
      </c>
      <c r="F161" s="13">
        <f>((((VLOOKUP(B161,Database!$F:$AY,MATCH($F$1,Database!$F$1:$AY$1,),))))-(((VLOOKUP(EDATE(B161,-12),Database!$F:$AY,MATCH($F$1,Database!$F$1:$AY$1,),)))))/(((VLOOKUP(EDATE(B161,-12),Database!$F:$AY,MATCH($F$1,Database!$F$1:$AY$1,),))))</f>
        <v/>
      </c>
      <c r="G161" s="13">
        <f>((((VLOOKUP(B161,Database!$F:$AY,MATCH($G$1,Database!$F$1:$AY$1,),))))-(((VLOOKUP(EDATE(B161,-12),Database!$F:$AY,MATCH($G$1,Database!$F$1:$AY$1,),)))))/(((VLOOKUP(EDATE(B161,-12),Database!$F:$AY,MATCH($G$1,Database!$F$1:$AY$1,),))))</f>
        <v/>
      </c>
      <c r="H161" s="13">
        <f>((((VLOOKUP(B161,Database!$F:$AY,MATCH($H$1,Database!$F$1:$AY$1,),))))-(((VLOOKUP(EDATE(B161,-12),Database!$F:$AY,MATCH($H$1,Database!$F$1:$AY$1,),)))))/(((VLOOKUP(EDATE(B161,-12),Database!$F:$AY,MATCH($H$1,Database!$F$1:$AY$1,),))))</f>
        <v/>
      </c>
      <c r="I161" s="13">
        <f>((((VLOOKUP(B161,Database!$F:$AY,MATCH($I$1,Database!$F$1:$AY$1,),))))-(((VLOOKUP(EDATE(B161,-12),Database!$F:$AY,MATCH($I$1,Database!$F$1:$AY$1,),)))))/(((VLOOKUP(EDATE(B161,-12),Database!$F:$AY,MATCH($I$1,Database!$F$1:$AY$1,),))))</f>
        <v/>
      </c>
      <c r="J161" s="13">
        <f>((((VLOOKUP(B161,Database!$F:$AY,MATCH($J$1,Database!$F$1:$AY$1,),))))-(((VLOOKUP(EDATE(B161,-12),Database!$F:$AY,MATCH($J$1,Database!$F$1:$AY$1,),)))))/(((VLOOKUP(EDATE(B161,-12),Database!$F:$AY,MATCH($J$1,Database!$F$1:$AY$1,),))))</f>
        <v/>
      </c>
      <c r="K161" s="13">
        <f>((((VLOOKUP(B161,Database!$F:$AY,MATCH($K$1,Database!$F$1:$AY$1,),))))-(((VLOOKUP(EDATE(B161,-12),Database!$F:$AY,MATCH($K$1,Database!$F$1:$AY$1,),)))))/(((VLOOKUP(EDATE(B161,-12),Database!$F:$AY,MATCH($K$1,Database!$F$1:$AY$1,),))))</f>
        <v/>
      </c>
      <c r="L161" s="13">
        <f>((((VLOOKUP(B161,Database!$F:$AY,MATCH($L$1,Database!$F$1:$AY$1,),))))-(((VLOOKUP(EDATE(B161,-12),Database!$F:$AY,MATCH($L$1,Database!$F$1:$AY$1,),)))))/(((VLOOKUP(EDATE(B161,-12),Database!$F:$AY,MATCH($L$1,Database!$F$1:$AY$1,),))))</f>
        <v/>
      </c>
      <c r="M161" s="13">
        <f>((((VLOOKUP(B161,Database!$F:$AY,MATCH($M$1,Database!$F$1:$AY$1,),))))-(((VLOOKUP(EDATE(B161,-12),Database!$F:$AY,MATCH($M$1,Database!$F$1:$AY$1,),)))))/(((VLOOKUP(EDATE(B161,-12),Database!$F:$AY,MATCH($M$1,Database!$F$1:$AY$1,),))))</f>
        <v/>
      </c>
      <c r="N161" s="13">
        <f>((((VLOOKUP(B161,Database!$F:$AY,MATCH($N$1,Database!$F$1:$AY$1,),))))-(((VLOOKUP(EDATE(B161,-12),Database!$F:$AY,MATCH($N$1,Database!$F$1:$AY$1,),)))))/(((VLOOKUP(EDATE(B161,-12),Database!$F:$AY,MATCH($N$1,Database!$F$1:$AY$1,),))))</f>
        <v/>
      </c>
      <c r="O161" s="13">
        <f>((((VLOOKUP(B161,Database!$F:$AY,MATCH($O$1,Database!$F$1:$AY$1,),))))-(((VLOOKUP(EDATE(B161,-12),Database!$F:$AY,MATCH($O$1,Database!$F$1:$AY$1,),)))))/(((VLOOKUP(EDATE(B161,-12),Database!$F:$AY,MATCH($O$1,Database!$F$1:$AY$1,),))))</f>
        <v/>
      </c>
      <c r="P161" s="13">
        <f>((((VLOOKUP(B161,Database!$F:$AY,MATCH($P$1,Database!$F$1:$AY$1,),))))-(((VLOOKUP(EDATE(B161,-12),Database!$F:$AY,MATCH($P$1,Database!$F$1:$AY$1,),)))))/(((VLOOKUP(EDATE(B161,-12),Database!$F:$AY,MATCH($P$1,Database!$F$1:$AY$1,),))))</f>
        <v/>
      </c>
      <c r="Q161" s="13">
        <f>((((VLOOKUP(B161,Database!$F:$AY,MATCH($Q$1,Database!$F$1:$AY$1,),))))-(((VLOOKUP(EDATE(B161,-12),Database!$F:$AY,MATCH($Q$1,Database!$F$1:$AY$1,),)))))/(((VLOOKUP(EDATE(B161,-12),Database!$F:$AY,MATCH($Q$1,Database!$F$1:$AY$1,),))))</f>
        <v/>
      </c>
      <c r="R161" s="13">
        <f>((((VLOOKUP(B161,Database!$F:$AY,MATCH($R$1,Database!$F$1:$AY$1,),))))-(((VLOOKUP(EDATE(B161,-12),Database!$F:$AY,MATCH($R$1,Database!$F$1:$AY$1,),)))))/(((VLOOKUP(EDATE(B161,-12),Database!$F:$AY,MATCH($R$1,Database!$F$1:$AY$1,),))))</f>
        <v/>
      </c>
      <c r="S161" s="13">
        <f>((((VLOOKUP(B161,Database!$F:$AY,MATCH($S$1,Database!$F$1:$AY$1,),))))-(((VLOOKUP(EDATE(B161,-12),Database!$F:$AY,MATCH($S$1,Database!$F$1:$AY$1,),)))))/(((VLOOKUP(EDATE(B161,-12),Database!$F:$AY,MATCH($S$1,Database!$F$1:$AY$1,),))))</f>
        <v/>
      </c>
      <c r="T161" s="13">
        <f>((((VLOOKUP(B161,Database!$F:$AY,MATCH($T$1,Database!$F$1:$AY$1,),))))-(((VLOOKUP(EDATE(B161,-12),Database!$F:$AY,MATCH($T$1,Database!$F$1:$AY$1,),)))))/(((VLOOKUP(EDATE(B161,-12),Database!$F:$AY,MATCH($T$1,Database!$F$1:$AY$1,),))))</f>
        <v/>
      </c>
      <c r="U161" s="13">
        <f>((((VLOOKUP(B161,Database!$F:$AY,MATCH($U$1,Database!$F$1:$AY$1,),))))-(((VLOOKUP(EDATE(B161,-12),Database!$F:$AY,MATCH($U$1,Database!$F$1:$AY$1,),)))))/(((VLOOKUP(EDATE(B161,-12),Database!$F:$AY,MATCH($U$1,Database!$F$1:$AY$1,),))))</f>
        <v/>
      </c>
      <c r="V161" s="13">
        <f>((((VLOOKUP(B161,Database!$F:$AY,MATCH($V$1,Database!$F$1:$AY$1,),))))-(((VLOOKUP(EDATE(B161,-12),Database!$F:$AY,MATCH($V$1,Database!$F$1:$AY$1,),)))))/(((VLOOKUP(EDATE(B161,-12),Database!$F:$AY,MATCH($V$1,Database!$F$1:$AY$1,),))))</f>
        <v/>
      </c>
    </row>
    <row r="162" customFormat="1" s="100">
      <c r="A162" s="45" t="n"/>
      <c r="B162" s="46" t="n">
        <v>37073</v>
      </c>
      <c r="C162" s="13">
        <f>((((VLOOKUP(B162,Database!$F:$AY,MATCH($C$1,Database!$F$1:$AY$1,),))))-(((VLOOKUP(EDATE(B162,-12),Database!$F:$AY,MATCH($C$1,Database!$F$1:$AY$1,),)))))/(((VLOOKUP(EDATE(B162,-12),Database!$F:$AY,MATCH($C$1,Database!$F$1:$AY$1,),))))</f>
        <v/>
      </c>
      <c r="D162" s="13">
        <f>((((VLOOKUP(B162,Database!$F:$AY,MATCH($D$1,Database!$F$1:$AY$1,),))))-(((VLOOKUP(EDATE(B162,-12),Database!$F:$AY,MATCH($D$1,Database!$F$1:$AY$1,),)))))/(((VLOOKUP(EDATE(B162,-12),Database!$F:$AY,MATCH($D$1,Database!$F$1:$AY$1,),))))</f>
        <v/>
      </c>
      <c r="E162" s="13">
        <f>((((VLOOKUP(B162,Database!$F:$AY,MATCH($E$1,Database!$F$1:$AY$1,),))))-(((VLOOKUP(EDATE(B162,-12),Database!$F:$AY,MATCH($E$1,Database!$F$1:$AY$1,),)))))/(((VLOOKUP(EDATE(B162,-12),Database!$F:$AY,MATCH($E$1,Database!$F$1:$AY$1,),))))</f>
        <v/>
      </c>
      <c r="F162" s="13">
        <f>((((VLOOKUP(B162,Database!$F:$AY,MATCH($F$1,Database!$F$1:$AY$1,),))))-(((VLOOKUP(EDATE(B162,-12),Database!$F:$AY,MATCH($F$1,Database!$F$1:$AY$1,),)))))/(((VLOOKUP(EDATE(B162,-12),Database!$F:$AY,MATCH($F$1,Database!$F$1:$AY$1,),))))</f>
        <v/>
      </c>
      <c r="G162" s="13">
        <f>((((VLOOKUP(B162,Database!$F:$AY,MATCH($G$1,Database!$F$1:$AY$1,),))))-(((VLOOKUP(EDATE(B162,-12),Database!$F:$AY,MATCH($G$1,Database!$F$1:$AY$1,),)))))/(((VLOOKUP(EDATE(B162,-12),Database!$F:$AY,MATCH($G$1,Database!$F$1:$AY$1,),))))</f>
        <v/>
      </c>
      <c r="H162" s="13">
        <f>((((VLOOKUP(B162,Database!$F:$AY,MATCH($H$1,Database!$F$1:$AY$1,),))))-(((VLOOKUP(EDATE(B162,-12),Database!$F:$AY,MATCH($H$1,Database!$F$1:$AY$1,),)))))/(((VLOOKUP(EDATE(B162,-12),Database!$F:$AY,MATCH($H$1,Database!$F$1:$AY$1,),))))</f>
        <v/>
      </c>
      <c r="I162" s="13">
        <f>((((VLOOKUP(B162,Database!$F:$AY,MATCH($I$1,Database!$F$1:$AY$1,),))))-(((VLOOKUP(EDATE(B162,-12),Database!$F:$AY,MATCH($I$1,Database!$F$1:$AY$1,),)))))/(((VLOOKUP(EDATE(B162,-12),Database!$F:$AY,MATCH($I$1,Database!$F$1:$AY$1,),))))</f>
        <v/>
      </c>
      <c r="J162" s="13">
        <f>((((VLOOKUP(B162,Database!$F:$AY,MATCH($J$1,Database!$F$1:$AY$1,),))))-(((VLOOKUP(EDATE(B162,-12),Database!$F:$AY,MATCH($J$1,Database!$F$1:$AY$1,),)))))/(((VLOOKUP(EDATE(B162,-12),Database!$F:$AY,MATCH($J$1,Database!$F$1:$AY$1,),))))</f>
        <v/>
      </c>
      <c r="K162" s="13">
        <f>((((VLOOKUP(B162,Database!$F:$AY,MATCH($K$1,Database!$F$1:$AY$1,),))))-(((VLOOKUP(EDATE(B162,-12),Database!$F:$AY,MATCH($K$1,Database!$F$1:$AY$1,),)))))/(((VLOOKUP(EDATE(B162,-12),Database!$F:$AY,MATCH($K$1,Database!$F$1:$AY$1,),))))</f>
        <v/>
      </c>
      <c r="L162" s="13">
        <f>((((VLOOKUP(B162,Database!$F:$AY,MATCH($L$1,Database!$F$1:$AY$1,),))))-(((VLOOKUP(EDATE(B162,-12),Database!$F:$AY,MATCH($L$1,Database!$F$1:$AY$1,),)))))/(((VLOOKUP(EDATE(B162,-12),Database!$F:$AY,MATCH($L$1,Database!$F$1:$AY$1,),))))</f>
        <v/>
      </c>
      <c r="M162" s="13">
        <f>((((VLOOKUP(B162,Database!$F:$AY,MATCH($M$1,Database!$F$1:$AY$1,),))))-(((VLOOKUP(EDATE(B162,-12),Database!$F:$AY,MATCH($M$1,Database!$F$1:$AY$1,),)))))/(((VLOOKUP(EDATE(B162,-12),Database!$F:$AY,MATCH($M$1,Database!$F$1:$AY$1,),))))</f>
        <v/>
      </c>
      <c r="N162" s="13">
        <f>((((VLOOKUP(B162,Database!$F:$AY,MATCH($N$1,Database!$F$1:$AY$1,),))))-(((VLOOKUP(EDATE(B162,-12),Database!$F:$AY,MATCH($N$1,Database!$F$1:$AY$1,),)))))/(((VLOOKUP(EDATE(B162,-12),Database!$F:$AY,MATCH($N$1,Database!$F$1:$AY$1,),))))</f>
        <v/>
      </c>
      <c r="O162" s="13">
        <f>((((VLOOKUP(B162,Database!$F:$AY,MATCH($O$1,Database!$F$1:$AY$1,),))))-(((VLOOKUP(EDATE(B162,-12),Database!$F:$AY,MATCH($O$1,Database!$F$1:$AY$1,),)))))/(((VLOOKUP(EDATE(B162,-12),Database!$F:$AY,MATCH($O$1,Database!$F$1:$AY$1,),))))</f>
        <v/>
      </c>
      <c r="P162" s="13">
        <f>((((VLOOKUP(B162,Database!$F:$AY,MATCH($P$1,Database!$F$1:$AY$1,),))))-(((VLOOKUP(EDATE(B162,-12),Database!$F:$AY,MATCH($P$1,Database!$F$1:$AY$1,),)))))/(((VLOOKUP(EDATE(B162,-12),Database!$F:$AY,MATCH($P$1,Database!$F$1:$AY$1,),))))</f>
        <v/>
      </c>
      <c r="Q162" s="13">
        <f>((((VLOOKUP(B162,Database!$F:$AY,MATCH($Q$1,Database!$F$1:$AY$1,),))))-(((VLOOKUP(EDATE(B162,-12),Database!$F:$AY,MATCH($Q$1,Database!$F$1:$AY$1,),)))))/(((VLOOKUP(EDATE(B162,-12),Database!$F:$AY,MATCH($Q$1,Database!$F$1:$AY$1,),))))</f>
        <v/>
      </c>
      <c r="R162" s="13">
        <f>((((VLOOKUP(B162,Database!$F:$AY,MATCH($R$1,Database!$F$1:$AY$1,),))))-(((VLOOKUP(EDATE(B162,-12),Database!$F:$AY,MATCH($R$1,Database!$F$1:$AY$1,),)))))/(((VLOOKUP(EDATE(B162,-12),Database!$F:$AY,MATCH($R$1,Database!$F$1:$AY$1,),))))</f>
        <v/>
      </c>
      <c r="S162" s="13">
        <f>((((VLOOKUP(B162,Database!$F:$AY,MATCH($S$1,Database!$F$1:$AY$1,),))))-(((VLOOKUP(EDATE(B162,-12),Database!$F:$AY,MATCH($S$1,Database!$F$1:$AY$1,),)))))/(((VLOOKUP(EDATE(B162,-12),Database!$F:$AY,MATCH($S$1,Database!$F$1:$AY$1,),))))</f>
        <v/>
      </c>
      <c r="T162" s="13">
        <f>((((VLOOKUP(B162,Database!$F:$AY,MATCH($T$1,Database!$F$1:$AY$1,),))))-(((VLOOKUP(EDATE(B162,-12),Database!$F:$AY,MATCH($T$1,Database!$F$1:$AY$1,),)))))/(((VLOOKUP(EDATE(B162,-12),Database!$F:$AY,MATCH($T$1,Database!$F$1:$AY$1,),))))</f>
        <v/>
      </c>
      <c r="U162" s="13">
        <f>((((VLOOKUP(B162,Database!$F:$AY,MATCH($U$1,Database!$F$1:$AY$1,),))))-(((VLOOKUP(EDATE(B162,-12),Database!$F:$AY,MATCH($U$1,Database!$F$1:$AY$1,),)))))/(((VLOOKUP(EDATE(B162,-12),Database!$F:$AY,MATCH($U$1,Database!$F$1:$AY$1,),))))</f>
        <v/>
      </c>
      <c r="V162" s="13">
        <f>((((VLOOKUP(B162,Database!$F:$AY,MATCH($V$1,Database!$F$1:$AY$1,),))))-(((VLOOKUP(EDATE(B162,-12),Database!$F:$AY,MATCH($V$1,Database!$F$1:$AY$1,),)))))/(((VLOOKUP(EDATE(B162,-12),Database!$F:$AY,MATCH($V$1,Database!$F$1:$AY$1,),))))</f>
        <v/>
      </c>
    </row>
    <row r="163" customFormat="1" s="100">
      <c r="A163" s="45" t="n"/>
      <c r="B163" s="46" t="n">
        <v>37104</v>
      </c>
      <c r="C163" s="13">
        <f>((((VLOOKUP(B163,Database!$F:$AY,MATCH($C$1,Database!$F$1:$AY$1,),))))-(((VLOOKUP(EDATE(B163,-12),Database!$F:$AY,MATCH($C$1,Database!$F$1:$AY$1,),)))))/(((VLOOKUP(EDATE(B163,-12),Database!$F:$AY,MATCH($C$1,Database!$F$1:$AY$1,),))))</f>
        <v/>
      </c>
      <c r="D163" s="13">
        <f>((((VLOOKUP(B163,Database!$F:$AY,MATCH($D$1,Database!$F$1:$AY$1,),))))-(((VLOOKUP(EDATE(B163,-12),Database!$F:$AY,MATCH($D$1,Database!$F$1:$AY$1,),)))))/(((VLOOKUP(EDATE(B163,-12),Database!$F:$AY,MATCH($D$1,Database!$F$1:$AY$1,),))))</f>
        <v/>
      </c>
      <c r="E163" s="13">
        <f>((((VLOOKUP(B163,Database!$F:$AY,MATCH($E$1,Database!$F$1:$AY$1,),))))-(((VLOOKUP(EDATE(B163,-12),Database!$F:$AY,MATCH($E$1,Database!$F$1:$AY$1,),)))))/(((VLOOKUP(EDATE(B163,-12),Database!$F:$AY,MATCH($E$1,Database!$F$1:$AY$1,),))))</f>
        <v/>
      </c>
      <c r="F163" s="13">
        <f>((((VLOOKUP(B163,Database!$F:$AY,MATCH($F$1,Database!$F$1:$AY$1,),))))-(((VLOOKUP(EDATE(B163,-12),Database!$F:$AY,MATCH($F$1,Database!$F$1:$AY$1,),)))))/(((VLOOKUP(EDATE(B163,-12),Database!$F:$AY,MATCH($F$1,Database!$F$1:$AY$1,),))))</f>
        <v/>
      </c>
      <c r="G163" s="13">
        <f>((((VLOOKUP(B163,Database!$F:$AY,MATCH($G$1,Database!$F$1:$AY$1,),))))-(((VLOOKUP(EDATE(B163,-12),Database!$F:$AY,MATCH($G$1,Database!$F$1:$AY$1,),)))))/(((VLOOKUP(EDATE(B163,-12),Database!$F:$AY,MATCH($G$1,Database!$F$1:$AY$1,),))))</f>
        <v/>
      </c>
      <c r="H163" s="13">
        <f>((((VLOOKUP(B163,Database!$F:$AY,MATCH($H$1,Database!$F$1:$AY$1,),))))-(((VLOOKUP(EDATE(B163,-12),Database!$F:$AY,MATCH($H$1,Database!$F$1:$AY$1,),)))))/(((VLOOKUP(EDATE(B163,-12),Database!$F:$AY,MATCH($H$1,Database!$F$1:$AY$1,),))))</f>
        <v/>
      </c>
      <c r="I163" s="13">
        <f>((((VLOOKUP(B163,Database!$F:$AY,MATCH($I$1,Database!$F$1:$AY$1,),))))-(((VLOOKUP(EDATE(B163,-12),Database!$F:$AY,MATCH($I$1,Database!$F$1:$AY$1,),)))))/(((VLOOKUP(EDATE(B163,-12),Database!$F:$AY,MATCH($I$1,Database!$F$1:$AY$1,),))))</f>
        <v/>
      </c>
      <c r="J163" s="13">
        <f>((((VLOOKUP(B163,Database!$F:$AY,MATCH($J$1,Database!$F$1:$AY$1,),))))-(((VLOOKUP(EDATE(B163,-12),Database!$F:$AY,MATCH($J$1,Database!$F$1:$AY$1,),)))))/(((VLOOKUP(EDATE(B163,-12),Database!$F:$AY,MATCH($J$1,Database!$F$1:$AY$1,),))))</f>
        <v/>
      </c>
      <c r="K163" s="13">
        <f>((((VLOOKUP(B163,Database!$F:$AY,MATCH($K$1,Database!$F$1:$AY$1,),))))-(((VLOOKUP(EDATE(B163,-12),Database!$F:$AY,MATCH($K$1,Database!$F$1:$AY$1,),)))))/(((VLOOKUP(EDATE(B163,-12),Database!$F:$AY,MATCH($K$1,Database!$F$1:$AY$1,),))))</f>
        <v/>
      </c>
      <c r="L163" s="13">
        <f>((((VLOOKUP(B163,Database!$F:$AY,MATCH($L$1,Database!$F$1:$AY$1,),))))-(((VLOOKUP(EDATE(B163,-12),Database!$F:$AY,MATCH($L$1,Database!$F$1:$AY$1,),)))))/(((VLOOKUP(EDATE(B163,-12),Database!$F:$AY,MATCH($L$1,Database!$F$1:$AY$1,),))))</f>
        <v/>
      </c>
      <c r="M163" s="13">
        <f>((((VLOOKUP(B163,Database!$F:$AY,MATCH($M$1,Database!$F$1:$AY$1,),))))-(((VLOOKUP(EDATE(B163,-12),Database!$F:$AY,MATCH($M$1,Database!$F$1:$AY$1,),)))))/(((VLOOKUP(EDATE(B163,-12),Database!$F:$AY,MATCH($M$1,Database!$F$1:$AY$1,),))))</f>
        <v/>
      </c>
      <c r="N163" s="13">
        <f>((((VLOOKUP(B163,Database!$F:$AY,MATCH($N$1,Database!$F$1:$AY$1,),))))-(((VLOOKUP(EDATE(B163,-12),Database!$F:$AY,MATCH($N$1,Database!$F$1:$AY$1,),)))))/(((VLOOKUP(EDATE(B163,-12),Database!$F:$AY,MATCH($N$1,Database!$F$1:$AY$1,),))))</f>
        <v/>
      </c>
      <c r="O163" s="13">
        <f>((((VLOOKUP(B163,Database!$F:$AY,MATCH($O$1,Database!$F$1:$AY$1,),))))-(((VLOOKUP(EDATE(B163,-12),Database!$F:$AY,MATCH($O$1,Database!$F$1:$AY$1,),)))))/(((VLOOKUP(EDATE(B163,-12),Database!$F:$AY,MATCH($O$1,Database!$F$1:$AY$1,),))))</f>
        <v/>
      </c>
      <c r="P163" s="13">
        <f>((((VLOOKUP(B163,Database!$F:$AY,MATCH($P$1,Database!$F$1:$AY$1,),))))-(((VLOOKUP(EDATE(B163,-12),Database!$F:$AY,MATCH($P$1,Database!$F$1:$AY$1,),)))))/(((VLOOKUP(EDATE(B163,-12),Database!$F:$AY,MATCH($P$1,Database!$F$1:$AY$1,),))))</f>
        <v/>
      </c>
      <c r="Q163" s="13">
        <f>((((VLOOKUP(B163,Database!$F:$AY,MATCH($Q$1,Database!$F$1:$AY$1,),))))-(((VLOOKUP(EDATE(B163,-12),Database!$F:$AY,MATCH($Q$1,Database!$F$1:$AY$1,),)))))/(((VLOOKUP(EDATE(B163,-12),Database!$F:$AY,MATCH($Q$1,Database!$F$1:$AY$1,),))))</f>
        <v/>
      </c>
      <c r="R163" s="13">
        <f>((((VLOOKUP(B163,Database!$F:$AY,MATCH($R$1,Database!$F$1:$AY$1,),))))-(((VLOOKUP(EDATE(B163,-12),Database!$F:$AY,MATCH($R$1,Database!$F$1:$AY$1,),)))))/(((VLOOKUP(EDATE(B163,-12),Database!$F:$AY,MATCH($R$1,Database!$F$1:$AY$1,),))))</f>
        <v/>
      </c>
      <c r="S163" s="13">
        <f>((((VLOOKUP(B163,Database!$F:$AY,MATCH($S$1,Database!$F$1:$AY$1,),))))-(((VLOOKUP(EDATE(B163,-12),Database!$F:$AY,MATCH($S$1,Database!$F$1:$AY$1,),)))))/(((VLOOKUP(EDATE(B163,-12),Database!$F:$AY,MATCH($S$1,Database!$F$1:$AY$1,),))))</f>
        <v/>
      </c>
      <c r="T163" s="13">
        <f>((((VLOOKUP(B163,Database!$F:$AY,MATCH($T$1,Database!$F$1:$AY$1,),))))-(((VLOOKUP(EDATE(B163,-12),Database!$F:$AY,MATCH($T$1,Database!$F$1:$AY$1,),)))))/(((VLOOKUP(EDATE(B163,-12),Database!$F:$AY,MATCH($T$1,Database!$F$1:$AY$1,),))))</f>
        <v/>
      </c>
      <c r="U163" s="13">
        <f>((((VLOOKUP(B163,Database!$F:$AY,MATCH($U$1,Database!$F$1:$AY$1,),))))-(((VLOOKUP(EDATE(B163,-12),Database!$F:$AY,MATCH($U$1,Database!$F$1:$AY$1,),)))))/(((VLOOKUP(EDATE(B163,-12),Database!$F:$AY,MATCH($U$1,Database!$F$1:$AY$1,),))))</f>
        <v/>
      </c>
      <c r="V163" s="13">
        <f>((((VLOOKUP(B163,Database!$F:$AY,MATCH($V$1,Database!$F$1:$AY$1,),))))-(((VLOOKUP(EDATE(B163,-12),Database!$F:$AY,MATCH($V$1,Database!$F$1:$AY$1,),)))))/(((VLOOKUP(EDATE(B163,-12),Database!$F:$AY,MATCH($V$1,Database!$F$1:$AY$1,),))))</f>
        <v/>
      </c>
    </row>
    <row r="164" customFormat="1" s="100">
      <c r="A164" s="45" t="n"/>
      <c r="B164" s="46" t="n">
        <v>37135</v>
      </c>
      <c r="C164" s="13">
        <f>((((VLOOKUP(B164,Database!$F:$AY,MATCH($C$1,Database!$F$1:$AY$1,),))))-(((VLOOKUP(EDATE(B164,-12),Database!$F:$AY,MATCH($C$1,Database!$F$1:$AY$1,),)))))/(((VLOOKUP(EDATE(B164,-12),Database!$F:$AY,MATCH($C$1,Database!$F$1:$AY$1,),))))</f>
        <v/>
      </c>
      <c r="D164" s="13">
        <f>((((VLOOKUP(B164,Database!$F:$AY,MATCH($D$1,Database!$F$1:$AY$1,),))))-(((VLOOKUP(EDATE(B164,-12),Database!$F:$AY,MATCH($D$1,Database!$F$1:$AY$1,),)))))/(((VLOOKUP(EDATE(B164,-12),Database!$F:$AY,MATCH($D$1,Database!$F$1:$AY$1,),))))</f>
        <v/>
      </c>
      <c r="E164" s="13">
        <f>((((VLOOKUP(B164,Database!$F:$AY,MATCH($E$1,Database!$F$1:$AY$1,),))))-(((VLOOKUP(EDATE(B164,-12),Database!$F:$AY,MATCH($E$1,Database!$F$1:$AY$1,),)))))/(((VLOOKUP(EDATE(B164,-12),Database!$F:$AY,MATCH($E$1,Database!$F$1:$AY$1,),))))</f>
        <v/>
      </c>
      <c r="F164" s="13">
        <f>((((VLOOKUP(B164,Database!$F:$AY,MATCH($F$1,Database!$F$1:$AY$1,),))))-(((VLOOKUP(EDATE(B164,-12),Database!$F:$AY,MATCH($F$1,Database!$F$1:$AY$1,),)))))/(((VLOOKUP(EDATE(B164,-12),Database!$F:$AY,MATCH($F$1,Database!$F$1:$AY$1,),))))</f>
        <v/>
      </c>
      <c r="G164" s="13">
        <f>((((VLOOKUP(B164,Database!$F:$AY,MATCH($G$1,Database!$F$1:$AY$1,),))))-(((VLOOKUP(EDATE(B164,-12),Database!$F:$AY,MATCH($G$1,Database!$F$1:$AY$1,),)))))/(((VLOOKUP(EDATE(B164,-12),Database!$F:$AY,MATCH($G$1,Database!$F$1:$AY$1,),))))</f>
        <v/>
      </c>
      <c r="H164" s="13">
        <f>((((VLOOKUP(B164,Database!$F:$AY,MATCH($H$1,Database!$F$1:$AY$1,),))))-(((VLOOKUP(EDATE(B164,-12),Database!$F:$AY,MATCH($H$1,Database!$F$1:$AY$1,),)))))/(((VLOOKUP(EDATE(B164,-12),Database!$F:$AY,MATCH($H$1,Database!$F$1:$AY$1,),))))</f>
        <v/>
      </c>
      <c r="I164" s="13">
        <f>((((VLOOKUP(B164,Database!$F:$AY,MATCH($I$1,Database!$F$1:$AY$1,),))))-(((VLOOKUP(EDATE(B164,-12),Database!$F:$AY,MATCH($I$1,Database!$F$1:$AY$1,),)))))/(((VLOOKUP(EDATE(B164,-12),Database!$F:$AY,MATCH($I$1,Database!$F$1:$AY$1,),))))</f>
        <v/>
      </c>
      <c r="J164" s="13">
        <f>((((VLOOKUP(B164,Database!$F:$AY,MATCH($J$1,Database!$F$1:$AY$1,),))))-(((VLOOKUP(EDATE(B164,-12),Database!$F:$AY,MATCH($J$1,Database!$F$1:$AY$1,),)))))/(((VLOOKUP(EDATE(B164,-12),Database!$F:$AY,MATCH($J$1,Database!$F$1:$AY$1,),))))</f>
        <v/>
      </c>
      <c r="K164" s="13">
        <f>((((VLOOKUP(B164,Database!$F:$AY,MATCH($K$1,Database!$F$1:$AY$1,),))))-(((VLOOKUP(EDATE(B164,-12),Database!$F:$AY,MATCH($K$1,Database!$F$1:$AY$1,),)))))/(((VLOOKUP(EDATE(B164,-12),Database!$F:$AY,MATCH($K$1,Database!$F$1:$AY$1,),))))</f>
        <v/>
      </c>
      <c r="L164" s="13">
        <f>((((VLOOKUP(B164,Database!$F:$AY,MATCH($L$1,Database!$F$1:$AY$1,),))))-(((VLOOKUP(EDATE(B164,-12),Database!$F:$AY,MATCH($L$1,Database!$F$1:$AY$1,),)))))/(((VLOOKUP(EDATE(B164,-12),Database!$F:$AY,MATCH($L$1,Database!$F$1:$AY$1,),))))</f>
        <v/>
      </c>
      <c r="M164" s="13">
        <f>((((VLOOKUP(B164,Database!$F:$AY,MATCH($M$1,Database!$F$1:$AY$1,),))))-(((VLOOKUP(EDATE(B164,-12),Database!$F:$AY,MATCH($M$1,Database!$F$1:$AY$1,),)))))/(((VLOOKUP(EDATE(B164,-12),Database!$F:$AY,MATCH($M$1,Database!$F$1:$AY$1,),))))</f>
        <v/>
      </c>
      <c r="N164" s="13">
        <f>((((VLOOKUP(B164,Database!$F:$AY,MATCH($N$1,Database!$F$1:$AY$1,),))))-(((VLOOKUP(EDATE(B164,-12),Database!$F:$AY,MATCH($N$1,Database!$F$1:$AY$1,),)))))/(((VLOOKUP(EDATE(B164,-12),Database!$F:$AY,MATCH($N$1,Database!$F$1:$AY$1,),))))</f>
        <v/>
      </c>
      <c r="O164" s="13">
        <f>((((VLOOKUP(B164,Database!$F:$AY,MATCH($O$1,Database!$F$1:$AY$1,),))))-(((VLOOKUP(EDATE(B164,-12),Database!$F:$AY,MATCH($O$1,Database!$F$1:$AY$1,),)))))/(((VLOOKUP(EDATE(B164,-12),Database!$F:$AY,MATCH($O$1,Database!$F$1:$AY$1,),))))</f>
        <v/>
      </c>
      <c r="P164" s="13">
        <f>((((VLOOKUP(B164,Database!$F:$AY,MATCH($P$1,Database!$F$1:$AY$1,),))))-(((VLOOKUP(EDATE(B164,-12),Database!$F:$AY,MATCH($P$1,Database!$F$1:$AY$1,),)))))/(((VLOOKUP(EDATE(B164,-12),Database!$F:$AY,MATCH($P$1,Database!$F$1:$AY$1,),))))</f>
        <v/>
      </c>
      <c r="Q164" s="13">
        <f>((((VLOOKUP(B164,Database!$F:$AY,MATCH($Q$1,Database!$F$1:$AY$1,),))))-(((VLOOKUP(EDATE(B164,-12),Database!$F:$AY,MATCH($Q$1,Database!$F$1:$AY$1,),)))))/(((VLOOKUP(EDATE(B164,-12),Database!$F:$AY,MATCH($Q$1,Database!$F$1:$AY$1,),))))</f>
        <v/>
      </c>
      <c r="R164" s="13">
        <f>((((VLOOKUP(B164,Database!$F:$AY,MATCH($R$1,Database!$F$1:$AY$1,),))))-(((VLOOKUP(EDATE(B164,-12),Database!$F:$AY,MATCH($R$1,Database!$F$1:$AY$1,),)))))/(((VLOOKUP(EDATE(B164,-12),Database!$F:$AY,MATCH($R$1,Database!$F$1:$AY$1,),))))</f>
        <v/>
      </c>
      <c r="S164" s="13">
        <f>((((VLOOKUP(B164,Database!$F:$AY,MATCH($S$1,Database!$F$1:$AY$1,),))))-(((VLOOKUP(EDATE(B164,-12),Database!$F:$AY,MATCH($S$1,Database!$F$1:$AY$1,),)))))/(((VLOOKUP(EDATE(B164,-12),Database!$F:$AY,MATCH($S$1,Database!$F$1:$AY$1,),))))</f>
        <v/>
      </c>
      <c r="T164" s="13">
        <f>((((VLOOKUP(B164,Database!$F:$AY,MATCH($T$1,Database!$F$1:$AY$1,),))))-(((VLOOKUP(EDATE(B164,-12),Database!$F:$AY,MATCH($T$1,Database!$F$1:$AY$1,),)))))/(((VLOOKUP(EDATE(B164,-12),Database!$F:$AY,MATCH($T$1,Database!$F$1:$AY$1,),))))</f>
        <v/>
      </c>
      <c r="U164" s="13">
        <f>((((VLOOKUP(B164,Database!$F:$AY,MATCH($U$1,Database!$F$1:$AY$1,),))))-(((VLOOKUP(EDATE(B164,-12),Database!$F:$AY,MATCH($U$1,Database!$F$1:$AY$1,),)))))/(((VLOOKUP(EDATE(B164,-12),Database!$F:$AY,MATCH($U$1,Database!$F$1:$AY$1,),))))</f>
        <v/>
      </c>
      <c r="V164" s="13">
        <f>((((VLOOKUP(B164,Database!$F:$AY,MATCH($V$1,Database!$F$1:$AY$1,),))))-(((VLOOKUP(EDATE(B164,-12),Database!$F:$AY,MATCH($V$1,Database!$F$1:$AY$1,),)))))/(((VLOOKUP(EDATE(B164,-12),Database!$F:$AY,MATCH($V$1,Database!$F$1:$AY$1,),))))</f>
        <v/>
      </c>
    </row>
    <row r="165" customFormat="1" s="100">
      <c r="A165" s="45" t="n"/>
      <c r="B165" s="46" t="n">
        <v>37165</v>
      </c>
      <c r="C165" s="13">
        <f>((((VLOOKUP(B165,Database!$F:$AY,MATCH($C$1,Database!$F$1:$AY$1,),))))-(((VLOOKUP(EDATE(B165,-12),Database!$F:$AY,MATCH($C$1,Database!$F$1:$AY$1,),)))))/(((VLOOKUP(EDATE(B165,-12),Database!$F:$AY,MATCH($C$1,Database!$F$1:$AY$1,),))))</f>
        <v/>
      </c>
      <c r="D165" s="13">
        <f>((((VLOOKUP(B165,Database!$F:$AY,MATCH($D$1,Database!$F$1:$AY$1,),))))-(((VLOOKUP(EDATE(B165,-12),Database!$F:$AY,MATCH($D$1,Database!$F$1:$AY$1,),)))))/(((VLOOKUP(EDATE(B165,-12),Database!$F:$AY,MATCH($D$1,Database!$F$1:$AY$1,),))))</f>
        <v/>
      </c>
      <c r="E165" s="13">
        <f>((((VLOOKUP(B165,Database!$F:$AY,MATCH($E$1,Database!$F$1:$AY$1,),))))-(((VLOOKUP(EDATE(B165,-12),Database!$F:$AY,MATCH($E$1,Database!$F$1:$AY$1,),)))))/(((VLOOKUP(EDATE(B165,-12),Database!$F:$AY,MATCH($E$1,Database!$F$1:$AY$1,),))))</f>
        <v/>
      </c>
      <c r="F165" s="13">
        <f>((((VLOOKUP(B165,Database!$F:$AY,MATCH($F$1,Database!$F$1:$AY$1,),))))-(((VLOOKUP(EDATE(B165,-12),Database!$F:$AY,MATCH($F$1,Database!$F$1:$AY$1,),)))))/(((VLOOKUP(EDATE(B165,-12),Database!$F:$AY,MATCH($F$1,Database!$F$1:$AY$1,),))))</f>
        <v/>
      </c>
      <c r="G165" s="13">
        <f>((((VLOOKUP(B165,Database!$F:$AY,MATCH($G$1,Database!$F$1:$AY$1,),))))-(((VLOOKUP(EDATE(B165,-12),Database!$F:$AY,MATCH($G$1,Database!$F$1:$AY$1,),)))))/(((VLOOKUP(EDATE(B165,-12),Database!$F:$AY,MATCH($G$1,Database!$F$1:$AY$1,),))))</f>
        <v/>
      </c>
      <c r="H165" s="13">
        <f>((((VLOOKUP(B165,Database!$F:$AY,MATCH($H$1,Database!$F$1:$AY$1,),))))-(((VLOOKUP(EDATE(B165,-12),Database!$F:$AY,MATCH($H$1,Database!$F$1:$AY$1,),)))))/(((VLOOKUP(EDATE(B165,-12),Database!$F:$AY,MATCH($H$1,Database!$F$1:$AY$1,),))))</f>
        <v/>
      </c>
      <c r="I165" s="13">
        <f>((((VLOOKUP(B165,Database!$F:$AY,MATCH($I$1,Database!$F$1:$AY$1,),))))-(((VLOOKUP(EDATE(B165,-12),Database!$F:$AY,MATCH($I$1,Database!$F$1:$AY$1,),)))))/(((VLOOKUP(EDATE(B165,-12),Database!$F:$AY,MATCH($I$1,Database!$F$1:$AY$1,),))))</f>
        <v/>
      </c>
      <c r="J165" s="13">
        <f>((((VLOOKUP(B165,Database!$F:$AY,MATCH($J$1,Database!$F$1:$AY$1,),))))-(((VLOOKUP(EDATE(B165,-12),Database!$F:$AY,MATCH($J$1,Database!$F$1:$AY$1,),)))))/(((VLOOKUP(EDATE(B165,-12),Database!$F:$AY,MATCH($J$1,Database!$F$1:$AY$1,),))))</f>
        <v/>
      </c>
      <c r="K165" s="13">
        <f>((((VLOOKUP(B165,Database!$F:$AY,MATCH($K$1,Database!$F$1:$AY$1,),))))-(((VLOOKUP(EDATE(B165,-12),Database!$F:$AY,MATCH($K$1,Database!$F$1:$AY$1,),)))))/(((VLOOKUP(EDATE(B165,-12),Database!$F:$AY,MATCH($K$1,Database!$F$1:$AY$1,),))))</f>
        <v/>
      </c>
      <c r="L165" s="13">
        <f>((((VLOOKUP(B165,Database!$F:$AY,MATCH($L$1,Database!$F$1:$AY$1,),))))-(((VLOOKUP(EDATE(B165,-12),Database!$F:$AY,MATCH($L$1,Database!$F$1:$AY$1,),)))))/(((VLOOKUP(EDATE(B165,-12),Database!$F:$AY,MATCH($L$1,Database!$F$1:$AY$1,),))))</f>
        <v/>
      </c>
      <c r="M165" s="13">
        <f>((((VLOOKUP(B165,Database!$F:$AY,MATCH($M$1,Database!$F$1:$AY$1,),))))-(((VLOOKUP(EDATE(B165,-12),Database!$F:$AY,MATCH($M$1,Database!$F$1:$AY$1,),)))))/(((VLOOKUP(EDATE(B165,-12),Database!$F:$AY,MATCH($M$1,Database!$F$1:$AY$1,),))))</f>
        <v/>
      </c>
      <c r="N165" s="13">
        <f>((((VLOOKUP(B165,Database!$F:$AY,MATCH($N$1,Database!$F$1:$AY$1,),))))-(((VLOOKUP(EDATE(B165,-12),Database!$F:$AY,MATCH($N$1,Database!$F$1:$AY$1,),)))))/(((VLOOKUP(EDATE(B165,-12),Database!$F:$AY,MATCH($N$1,Database!$F$1:$AY$1,),))))</f>
        <v/>
      </c>
      <c r="O165" s="13">
        <f>((((VLOOKUP(B165,Database!$F:$AY,MATCH($O$1,Database!$F$1:$AY$1,),))))-(((VLOOKUP(EDATE(B165,-12),Database!$F:$AY,MATCH($O$1,Database!$F$1:$AY$1,),)))))/(((VLOOKUP(EDATE(B165,-12),Database!$F:$AY,MATCH($O$1,Database!$F$1:$AY$1,),))))</f>
        <v/>
      </c>
      <c r="P165" s="13">
        <f>((((VLOOKUP(B165,Database!$F:$AY,MATCH($P$1,Database!$F$1:$AY$1,),))))-(((VLOOKUP(EDATE(B165,-12),Database!$F:$AY,MATCH($P$1,Database!$F$1:$AY$1,),)))))/(((VLOOKUP(EDATE(B165,-12),Database!$F:$AY,MATCH($P$1,Database!$F$1:$AY$1,),))))</f>
        <v/>
      </c>
      <c r="Q165" s="13">
        <f>((((VLOOKUP(B165,Database!$F:$AY,MATCH($Q$1,Database!$F$1:$AY$1,),))))-(((VLOOKUP(EDATE(B165,-12),Database!$F:$AY,MATCH($Q$1,Database!$F$1:$AY$1,),)))))/(((VLOOKUP(EDATE(B165,-12),Database!$F:$AY,MATCH($Q$1,Database!$F$1:$AY$1,),))))</f>
        <v/>
      </c>
      <c r="R165" s="13">
        <f>((((VLOOKUP(B165,Database!$F:$AY,MATCH($R$1,Database!$F$1:$AY$1,),))))-(((VLOOKUP(EDATE(B165,-12),Database!$F:$AY,MATCH($R$1,Database!$F$1:$AY$1,),)))))/(((VLOOKUP(EDATE(B165,-12),Database!$F:$AY,MATCH($R$1,Database!$F$1:$AY$1,),))))</f>
        <v/>
      </c>
      <c r="S165" s="13">
        <f>((((VLOOKUP(B165,Database!$F:$AY,MATCH($S$1,Database!$F$1:$AY$1,),))))-(((VLOOKUP(EDATE(B165,-12),Database!$F:$AY,MATCH($S$1,Database!$F$1:$AY$1,),)))))/(((VLOOKUP(EDATE(B165,-12),Database!$F:$AY,MATCH($S$1,Database!$F$1:$AY$1,),))))</f>
        <v/>
      </c>
      <c r="T165" s="13">
        <f>((((VLOOKUP(B165,Database!$F:$AY,MATCH($T$1,Database!$F$1:$AY$1,),))))-(((VLOOKUP(EDATE(B165,-12),Database!$F:$AY,MATCH($T$1,Database!$F$1:$AY$1,),)))))/(((VLOOKUP(EDATE(B165,-12),Database!$F:$AY,MATCH($T$1,Database!$F$1:$AY$1,),))))</f>
        <v/>
      </c>
      <c r="U165" s="13">
        <f>((((VLOOKUP(B165,Database!$F:$AY,MATCH($U$1,Database!$F$1:$AY$1,),))))-(((VLOOKUP(EDATE(B165,-12),Database!$F:$AY,MATCH($U$1,Database!$F$1:$AY$1,),)))))/(((VLOOKUP(EDATE(B165,-12),Database!$F:$AY,MATCH($U$1,Database!$F$1:$AY$1,),))))</f>
        <v/>
      </c>
      <c r="V165" s="13">
        <f>((((VLOOKUP(B165,Database!$F:$AY,MATCH($V$1,Database!$F$1:$AY$1,),))))-(((VLOOKUP(EDATE(B165,-12),Database!$F:$AY,MATCH($V$1,Database!$F$1:$AY$1,),)))))/(((VLOOKUP(EDATE(B165,-12),Database!$F:$AY,MATCH($V$1,Database!$F$1:$AY$1,),))))</f>
        <v/>
      </c>
    </row>
    <row r="166" customFormat="1" s="100">
      <c r="A166" s="45" t="n"/>
      <c r="B166" s="46" t="n">
        <v>37196</v>
      </c>
      <c r="C166" s="13">
        <f>((((VLOOKUP(B166,Database!$F:$AY,MATCH($C$1,Database!$F$1:$AY$1,),))))-(((VLOOKUP(EDATE(B166,-12),Database!$F:$AY,MATCH($C$1,Database!$F$1:$AY$1,),)))))/(((VLOOKUP(EDATE(B166,-12),Database!$F:$AY,MATCH($C$1,Database!$F$1:$AY$1,),))))</f>
        <v/>
      </c>
      <c r="D166" s="13">
        <f>((((VLOOKUP(B166,Database!$F:$AY,MATCH($D$1,Database!$F$1:$AY$1,),))))-(((VLOOKUP(EDATE(B166,-12),Database!$F:$AY,MATCH($D$1,Database!$F$1:$AY$1,),)))))/(((VLOOKUP(EDATE(B166,-12),Database!$F:$AY,MATCH($D$1,Database!$F$1:$AY$1,),))))</f>
        <v/>
      </c>
      <c r="E166" s="13">
        <f>((((VLOOKUP(B166,Database!$F:$AY,MATCH($E$1,Database!$F$1:$AY$1,),))))-(((VLOOKUP(EDATE(B166,-12),Database!$F:$AY,MATCH($E$1,Database!$F$1:$AY$1,),)))))/(((VLOOKUP(EDATE(B166,-12),Database!$F:$AY,MATCH($E$1,Database!$F$1:$AY$1,),))))</f>
        <v/>
      </c>
      <c r="F166" s="13">
        <f>((((VLOOKUP(B166,Database!$F:$AY,MATCH($F$1,Database!$F$1:$AY$1,),))))-(((VLOOKUP(EDATE(B166,-12),Database!$F:$AY,MATCH($F$1,Database!$F$1:$AY$1,),)))))/(((VLOOKUP(EDATE(B166,-12),Database!$F:$AY,MATCH($F$1,Database!$F$1:$AY$1,),))))</f>
        <v/>
      </c>
      <c r="G166" s="13">
        <f>((((VLOOKUP(B166,Database!$F:$AY,MATCH($G$1,Database!$F$1:$AY$1,),))))-(((VLOOKUP(EDATE(B166,-12),Database!$F:$AY,MATCH($G$1,Database!$F$1:$AY$1,),)))))/(((VLOOKUP(EDATE(B166,-12),Database!$F:$AY,MATCH($G$1,Database!$F$1:$AY$1,),))))</f>
        <v/>
      </c>
      <c r="H166" s="13">
        <f>((((VLOOKUP(B166,Database!$F:$AY,MATCH($H$1,Database!$F$1:$AY$1,),))))-(((VLOOKUP(EDATE(B166,-12),Database!$F:$AY,MATCH($H$1,Database!$F$1:$AY$1,),)))))/(((VLOOKUP(EDATE(B166,-12),Database!$F:$AY,MATCH($H$1,Database!$F$1:$AY$1,),))))</f>
        <v/>
      </c>
      <c r="I166" s="13">
        <f>((((VLOOKUP(B166,Database!$F:$AY,MATCH($I$1,Database!$F$1:$AY$1,),))))-(((VLOOKUP(EDATE(B166,-12),Database!$F:$AY,MATCH($I$1,Database!$F$1:$AY$1,),)))))/(((VLOOKUP(EDATE(B166,-12),Database!$F:$AY,MATCH($I$1,Database!$F$1:$AY$1,),))))</f>
        <v/>
      </c>
      <c r="J166" s="13">
        <f>((((VLOOKUP(B166,Database!$F:$AY,MATCH($J$1,Database!$F$1:$AY$1,),))))-(((VLOOKUP(EDATE(B166,-12),Database!$F:$AY,MATCH($J$1,Database!$F$1:$AY$1,),)))))/(((VLOOKUP(EDATE(B166,-12),Database!$F:$AY,MATCH($J$1,Database!$F$1:$AY$1,),))))</f>
        <v/>
      </c>
      <c r="K166" s="13">
        <f>((((VLOOKUP(B166,Database!$F:$AY,MATCH($K$1,Database!$F$1:$AY$1,),))))-(((VLOOKUP(EDATE(B166,-12),Database!$F:$AY,MATCH($K$1,Database!$F$1:$AY$1,),)))))/(((VLOOKUP(EDATE(B166,-12),Database!$F:$AY,MATCH($K$1,Database!$F$1:$AY$1,),))))</f>
        <v/>
      </c>
      <c r="L166" s="13">
        <f>((((VLOOKUP(B166,Database!$F:$AY,MATCH($L$1,Database!$F$1:$AY$1,),))))-(((VLOOKUP(EDATE(B166,-12),Database!$F:$AY,MATCH($L$1,Database!$F$1:$AY$1,),)))))/(((VLOOKUP(EDATE(B166,-12),Database!$F:$AY,MATCH($L$1,Database!$F$1:$AY$1,),))))</f>
        <v/>
      </c>
      <c r="M166" s="13">
        <f>((((VLOOKUP(B166,Database!$F:$AY,MATCH($M$1,Database!$F$1:$AY$1,),))))-(((VLOOKUP(EDATE(B166,-12),Database!$F:$AY,MATCH($M$1,Database!$F$1:$AY$1,),)))))/(((VLOOKUP(EDATE(B166,-12),Database!$F:$AY,MATCH($M$1,Database!$F$1:$AY$1,),))))</f>
        <v/>
      </c>
      <c r="N166" s="13">
        <f>((((VLOOKUP(B166,Database!$F:$AY,MATCH($N$1,Database!$F$1:$AY$1,),))))-(((VLOOKUP(EDATE(B166,-12),Database!$F:$AY,MATCH($N$1,Database!$F$1:$AY$1,),)))))/(((VLOOKUP(EDATE(B166,-12),Database!$F:$AY,MATCH($N$1,Database!$F$1:$AY$1,),))))</f>
        <v/>
      </c>
      <c r="O166" s="13">
        <f>((((VLOOKUP(B166,Database!$F:$AY,MATCH($O$1,Database!$F$1:$AY$1,),))))-(((VLOOKUP(EDATE(B166,-12),Database!$F:$AY,MATCH($O$1,Database!$F$1:$AY$1,),)))))/(((VLOOKUP(EDATE(B166,-12),Database!$F:$AY,MATCH($O$1,Database!$F$1:$AY$1,),))))</f>
        <v/>
      </c>
      <c r="P166" s="13">
        <f>((((VLOOKUP(B166,Database!$F:$AY,MATCH($P$1,Database!$F$1:$AY$1,),))))-(((VLOOKUP(EDATE(B166,-12),Database!$F:$AY,MATCH($P$1,Database!$F$1:$AY$1,),)))))/(((VLOOKUP(EDATE(B166,-12),Database!$F:$AY,MATCH($P$1,Database!$F$1:$AY$1,),))))</f>
        <v/>
      </c>
      <c r="Q166" s="13">
        <f>((((VLOOKUP(B166,Database!$F:$AY,MATCH($Q$1,Database!$F$1:$AY$1,),))))-(((VLOOKUP(EDATE(B166,-12),Database!$F:$AY,MATCH($Q$1,Database!$F$1:$AY$1,),)))))/(((VLOOKUP(EDATE(B166,-12),Database!$F:$AY,MATCH($Q$1,Database!$F$1:$AY$1,),))))</f>
        <v/>
      </c>
      <c r="R166" s="13">
        <f>((((VLOOKUP(B166,Database!$F:$AY,MATCH($R$1,Database!$F$1:$AY$1,),))))-(((VLOOKUP(EDATE(B166,-12),Database!$F:$AY,MATCH($R$1,Database!$F$1:$AY$1,),)))))/(((VLOOKUP(EDATE(B166,-12),Database!$F:$AY,MATCH($R$1,Database!$F$1:$AY$1,),))))</f>
        <v/>
      </c>
      <c r="S166" s="13">
        <f>((((VLOOKUP(B166,Database!$F:$AY,MATCH($S$1,Database!$F$1:$AY$1,),))))-(((VLOOKUP(EDATE(B166,-12),Database!$F:$AY,MATCH($S$1,Database!$F$1:$AY$1,),)))))/(((VLOOKUP(EDATE(B166,-12),Database!$F:$AY,MATCH($S$1,Database!$F$1:$AY$1,),))))</f>
        <v/>
      </c>
      <c r="T166" s="13">
        <f>((((VLOOKUP(B166,Database!$F:$AY,MATCH($T$1,Database!$F$1:$AY$1,),))))-(((VLOOKUP(EDATE(B166,-12),Database!$F:$AY,MATCH($T$1,Database!$F$1:$AY$1,),)))))/(((VLOOKUP(EDATE(B166,-12),Database!$F:$AY,MATCH($T$1,Database!$F$1:$AY$1,),))))</f>
        <v/>
      </c>
      <c r="U166" s="13">
        <f>((((VLOOKUP(B166,Database!$F:$AY,MATCH($U$1,Database!$F$1:$AY$1,),))))-(((VLOOKUP(EDATE(B166,-12),Database!$F:$AY,MATCH($U$1,Database!$F$1:$AY$1,),)))))/(((VLOOKUP(EDATE(B166,-12),Database!$F:$AY,MATCH($U$1,Database!$F$1:$AY$1,),))))</f>
        <v/>
      </c>
      <c r="V166" s="13">
        <f>((((VLOOKUP(B166,Database!$F:$AY,MATCH($V$1,Database!$F$1:$AY$1,),))))-(((VLOOKUP(EDATE(B166,-12),Database!$F:$AY,MATCH($V$1,Database!$F$1:$AY$1,),)))))/(((VLOOKUP(EDATE(B166,-12),Database!$F:$AY,MATCH($V$1,Database!$F$1:$AY$1,),))))</f>
        <v/>
      </c>
    </row>
    <row r="167" customFormat="1" s="100">
      <c r="A167" s="45" t="n"/>
      <c r="B167" s="46" t="n">
        <v>37226</v>
      </c>
      <c r="C167" s="13">
        <f>((((VLOOKUP(B167,Database!$F:$AY,MATCH($C$1,Database!$F$1:$AY$1,),))))-(((VLOOKUP(EDATE(B167,-12),Database!$F:$AY,MATCH($C$1,Database!$F$1:$AY$1,),)))))/(((VLOOKUP(EDATE(B167,-12),Database!$F:$AY,MATCH($C$1,Database!$F$1:$AY$1,),))))</f>
        <v/>
      </c>
      <c r="D167" s="13">
        <f>((((VLOOKUP(B167,Database!$F:$AY,MATCH($D$1,Database!$F$1:$AY$1,),))))-(((VLOOKUP(EDATE(B167,-12),Database!$F:$AY,MATCH($D$1,Database!$F$1:$AY$1,),)))))/(((VLOOKUP(EDATE(B167,-12),Database!$F:$AY,MATCH($D$1,Database!$F$1:$AY$1,),))))</f>
        <v/>
      </c>
      <c r="E167" s="13">
        <f>((((VLOOKUP(B167,Database!$F:$AY,MATCH($E$1,Database!$F$1:$AY$1,),))))-(((VLOOKUP(EDATE(B167,-12),Database!$F:$AY,MATCH($E$1,Database!$F$1:$AY$1,),)))))/(((VLOOKUP(EDATE(B167,-12),Database!$F:$AY,MATCH($E$1,Database!$F$1:$AY$1,),))))</f>
        <v/>
      </c>
      <c r="F167" s="13">
        <f>((((VLOOKUP(B167,Database!$F:$AY,MATCH($F$1,Database!$F$1:$AY$1,),))))-(((VLOOKUP(EDATE(B167,-12),Database!$F:$AY,MATCH($F$1,Database!$F$1:$AY$1,),)))))/(((VLOOKUP(EDATE(B167,-12),Database!$F:$AY,MATCH($F$1,Database!$F$1:$AY$1,),))))</f>
        <v/>
      </c>
      <c r="G167" s="13">
        <f>((((VLOOKUP(B167,Database!$F:$AY,MATCH($G$1,Database!$F$1:$AY$1,),))))-(((VLOOKUP(EDATE(B167,-12),Database!$F:$AY,MATCH($G$1,Database!$F$1:$AY$1,),)))))/(((VLOOKUP(EDATE(B167,-12),Database!$F:$AY,MATCH($G$1,Database!$F$1:$AY$1,),))))</f>
        <v/>
      </c>
      <c r="H167" s="13">
        <f>((((VLOOKUP(B167,Database!$F:$AY,MATCH($H$1,Database!$F$1:$AY$1,),))))-(((VLOOKUP(EDATE(B167,-12),Database!$F:$AY,MATCH($H$1,Database!$F$1:$AY$1,),)))))/(((VLOOKUP(EDATE(B167,-12),Database!$F:$AY,MATCH($H$1,Database!$F$1:$AY$1,),))))</f>
        <v/>
      </c>
      <c r="I167" s="13">
        <f>((((VLOOKUP(B167,Database!$F:$AY,MATCH($I$1,Database!$F$1:$AY$1,),))))-(((VLOOKUP(EDATE(B167,-12),Database!$F:$AY,MATCH($I$1,Database!$F$1:$AY$1,),)))))/(((VLOOKUP(EDATE(B167,-12),Database!$F:$AY,MATCH($I$1,Database!$F$1:$AY$1,),))))</f>
        <v/>
      </c>
      <c r="J167" s="13">
        <f>((((VLOOKUP(B167,Database!$F:$AY,MATCH($J$1,Database!$F$1:$AY$1,),))))-(((VLOOKUP(EDATE(B167,-12),Database!$F:$AY,MATCH($J$1,Database!$F$1:$AY$1,),)))))/(((VLOOKUP(EDATE(B167,-12),Database!$F:$AY,MATCH($J$1,Database!$F$1:$AY$1,),))))</f>
        <v/>
      </c>
      <c r="K167" s="13">
        <f>((((VLOOKUP(B167,Database!$F:$AY,MATCH($K$1,Database!$F$1:$AY$1,),))))-(((VLOOKUP(EDATE(B167,-12),Database!$F:$AY,MATCH($K$1,Database!$F$1:$AY$1,),)))))/(((VLOOKUP(EDATE(B167,-12),Database!$F:$AY,MATCH($K$1,Database!$F$1:$AY$1,),))))</f>
        <v/>
      </c>
      <c r="L167" s="13">
        <f>((((VLOOKUP(B167,Database!$F:$AY,MATCH($L$1,Database!$F$1:$AY$1,),))))-(((VLOOKUP(EDATE(B167,-12),Database!$F:$AY,MATCH($L$1,Database!$F$1:$AY$1,),)))))/(((VLOOKUP(EDATE(B167,-12),Database!$F:$AY,MATCH($L$1,Database!$F$1:$AY$1,),))))</f>
        <v/>
      </c>
      <c r="M167" s="13">
        <f>((((VLOOKUP(B167,Database!$F:$AY,MATCH($M$1,Database!$F$1:$AY$1,),))))-(((VLOOKUP(EDATE(B167,-12),Database!$F:$AY,MATCH($M$1,Database!$F$1:$AY$1,),)))))/(((VLOOKUP(EDATE(B167,-12),Database!$F:$AY,MATCH($M$1,Database!$F$1:$AY$1,),))))</f>
        <v/>
      </c>
      <c r="N167" s="13">
        <f>((((VLOOKUP(B167,Database!$F:$AY,MATCH($N$1,Database!$F$1:$AY$1,),))))-(((VLOOKUP(EDATE(B167,-12),Database!$F:$AY,MATCH($N$1,Database!$F$1:$AY$1,),)))))/(((VLOOKUP(EDATE(B167,-12),Database!$F:$AY,MATCH($N$1,Database!$F$1:$AY$1,),))))</f>
        <v/>
      </c>
      <c r="O167" s="13">
        <f>((((VLOOKUP(B167,Database!$F:$AY,MATCH($O$1,Database!$F$1:$AY$1,),))))-(((VLOOKUP(EDATE(B167,-12),Database!$F:$AY,MATCH($O$1,Database!$F$1:$AY$1,),)))))/(((VLOOKUP(EDATE(B167,-12),Database!$F:$AY,MATCH($O$1,Database!$F$1:$AY$1,),))))</f>
        <v/>
      </c>
      <c r="P167" s="13">
        <f>((((VLOOKUP(B167,Database!$F:$AY,MATCH($P$1,Database!$F$1:$AY$1,),))))-(((VLOOKUP(EDATE(B167,-12),Database!$F:$AY,MATCH($P$1,Database!$F$1:$AY$1,),)))))/(((VLOOKUP(EDATE(B167,-12),Database!$F:$AY,MATCH($P$1,Database!$F$1:$AY$1,),))))</f>
        <v/>
      </c>
      <c r="Q167" s="13">
        <f>((((VLOOKUP(B167,Database!$F:$AY,MATCH($Q$1,Database!$F$1:$AY$1,),))))-(((VLOOKUP(EDATE(B167,-12),Database!$F:$AY,MATCH($Q$1,Database!$F$1:$AY$1,),)))))/(((VLOOKUP(EDATE(B167,-12),Database!$F:$AY,MATCH($Q$1,Database!$F$1:$AY$1,),))))</f>
        <v/>
      </c>
      <c r="R167" s="13">
        <f>((((VLOOKUP(B167,Database!$F:$AY,MATCH($R$1,Database!$F$1:$AY$1,),))))-(((VLOOKUP(EDATE(B167,-12),Database!$F:$AY,MATCH($R$1,Database!$F$1:$AY$1,),)))))/(((VLOOKUP(EDATE(B167,-12),Database!$F:$AY,MATCH($R$1,Database!$F$1:$AY$1,),))))</f>
        <v/>
      </c>
      <c r="S167" s="13">
        <f>((((VLOOKUP(B167,Database!$F:$AY,MATCH($S$1,Database!$F$1:$AY$1,),))))-(((VLOOKUP(EDATE(B167,-12),Database!$F:$AY,MATCH($S$1,Database!$F$1:$AY$1,),)))))/(((VLOOKUP(EDATE(B167,-12),Database!$F:$AY,MATCH($S$1,Database!$F$1:$AY$1,),))))</f>
        <v/>
      </c>
      <c r="T167" s="13">
        <f>((((VLOOKUP(B167,Database!$F:$AY,MATCH($T$1,Database!$F$1:$AY$1,),))))-(((VLOOKUP(EDATE(B167,-12),Database!$F:$AY,MATCH($T$1,Database!$F$1:$AY$1,),)))))/(((VLOOKUP(EDATE(B167,-12),Database!$F:$AY,MATCH($T$1,Database!$F$1:$AY$1,),))))</f>
        <v/>
      </c>
      <c r="U167" s="13">
        <f>((((VLOOKUP(B167,Database!$F:$AY,MATCH($U$1,Database!$F$1:$AY$1,),))))-(((VLOOKUP(EDATE(B167,-12),Database!$F:$AY,MATCH($U$1,Database!$F$1:$AY$1,),)))))/(((VLOOKUP(EDATE(B167,-12),Database!$F:$AY,MATCH($U$1,Database!$F$1:$AY$1,),))))</f>
        <v/>
      </c>
      <c r="V167" s="13">
        <f>((((VLOOKUP(B167,Database!$F:$AY,MATCH($V$1,Database!$F$1:$AY$1,),))))-(((VLOOKUP(EDATE(B167,-12),Database!$F:$AY,MATCH($V$1,Database!$F$1:$AY$1,),)))))/(((VLOOKUP(EDATE(B167,-12),Database!$F:$AY,MATCH($V$1,Database!$F$1:$AY$1,),))))</f>
        <v/>
      </c>
    </row>
    <row r="168" customFormat="1" s="100">
      <c r="A168" s="45" t="n"/>
      <c r="B168" s="46" t="n">
        <v>37257</v>
      </c>
      <c r="C168" s="13">
        <f>((((VLOOKUP(B168,Database!$F:$AY,MATCH($C$1,Database!$F$1:$AY$1,),))))-(((VLOOKUP(EDATE(B168,-12),Database!$F:$AY,MATCH($C$1,Database!$F$1:$AY$1,),)))))/(((VLOOKUP(EDATE(B168,-12),Database!$F:$AY,MATCH($C$1,Database!$F$1:$AY$1,),))))</f>
        <v/>
      </c>
      <c r="D168" s="13">
        <f>((((VLOOKUP(B168,Database!$F:$AY,MATCH($D$1,Database!$F$1:$AY$1,),))))-(((VLOOKUP(EDATE(B168,-12),Database!$F:$AY,MATCH($D$1,Database!$F$1:$AY$1,),)))))/(((VLOOKUP(EDATE(B168,-12),Database!$F:$AY,MATCH($D$1,Database!$F$1:$AY$1,),))))</f>
        <v/>
      </c>
      <c r="E168" s="13">
        <f>((((VLOOKUP(B168,Database!$F:$AY,MATCH($E$1,Database!$F$1:$AY$1,),))))-(((VLOOKUP(EDATE(B168,-12),Database!$F:$AY,MATCH($E$1,Database!$F$1:$AY$1,),)))))/(((VLOOKUP(EDATE(B168,-12),Database!$F:$AY,MATCH($E$1,Database!$F$1:$AY$1,),))))</f>
        <v/>
      </c>
      <c r="F168" s="13">
        <f>((((VLOOKUP(B168,Database!$F:$AY,MATCH($F$1,Database!$F$1:$AY$1,),))))-(((VLOOKUP(EDATE(B168,-12),Database!$F:$AY,MATCH($F$1,Database!$F$1:$AY$1,),)))))/(((VLOOKUP(EDATE(B168,-12),Database!$F:$AY,MATCH($F$1,Database!$F$1:$AY$1,),))))</f>
        <v/>
      </c>
      <c r="G168" s="13">
        <f>((((VLOOKUP(B168,Database!$F:$AY,MATCH($G$1,Database!$F$1:$AY$1,),))))-(((VLOOKUP(EDATE(B168,-12),Database!$F:$AY,MATCH($G$1,Database!$F$1:$AY$1,),)))))/(((VLOOKUP(EDATE(B168,-12),Database!$F:$AY,MATCH($G$1,Database!$F$1:$AY$1,),))))</f>
        <v/>
      </c>
      <c r="H168" s="13">
        <f>((((VLOOKUP(B168,Database!$F:$AY,MATCH($H$1,Database!$F$1:$AY$1,),))))-(((VLOOKUP(EDATE(B168,-12),Database!$F:$AY,MATCH($H$1,Database!$F$1:$AY$1,),)))))/(((VLOOKUP(EDATE(B168,-12),Database!$F:$AY,MATCH($H$1,Database!$F$1:$AY$1,),))))</f>
        <v/>
      </c>
      <c r="I168" s="13">
        <f>((((VLOOKUP(B168,Database!$F:$AY,MATCH($I$1,Database!$F$1:$AY$1,),))))-(((VLOOKUP(EDATE(B168,-12),Database!$F:$AY,MATCH($I$1,Database!$F$1:$AY$1,),)))))/(((VLOOKUP(EDATE(B168,-12),Database!$F:$AY,MATCH($I$1,Database!$F$1:$AY$1,),))))</f>
        <v/>
      </c>
      <c r="J168" s="13">
        <f>((((VLOOKUP(B168,Database!$F:$AY,MATCH($J$1,Database!$F$1:$AY$1,),))))-(((VLOOKUP(EDATE(B168,-12),Database!$F:$AY,MATCH($J$1,Database!$F$1:$AY$1,),)))))/(((VLOOKUP(EDATE(B168,-12),Database!$F:$AY,MATCH($J$1,Database!$F$1:$AY$1,),))))</f>
        <v/>
      </c>
      <c r="K168" s="13">
        <f>((((VLOOKUP(B168,Database!$F:$AY,MATCH($K$1,Database!$F$1:$AY$1,),))))-(((VLOOKUP(EDATE(B168,-12),Database!$F:$AY,MATCH($K$1,Database!$F$1:$AY$1,),)))))/(((VLOOKUP(EDATE(B168,-12),Database!$F:$AY,MATCH($K$1,Database!$F$1:$AY$1,),))))</f>
        <v/>
      </c>
      <c r="L168" s="13">
        <f>((((VLOOKUP(B168,Database!$F:$AY,MATCH($L$1,Database!$F$1:$AY$1,),))))-(((VLOOKUP(EDATE(B168,-12),Database!$F:$AY,MATCH($L$1,Database!$F$1:$AY$1,),)))))/(((VLOOKUP(EDATE(B168,-12),Database!$F:$AY,MATCH($L$1,Database!$F$1:$AY$1,),))))</f>
        <v/>
      </c>
      <c r="M168" s="13">
        <f>((((VLOOKUP(B168,Database!$F:$AY,MATCH($M$1,Database!$F$1:$AY$1,),))))-(((VLOOKUP(EDATE(B168,-12),Database!$F:$AY,MATCH($M$1,Database!$F$1:$AY$1,),)))))/(((VLOOKUP(EDATE(B168,-12),Database!$F:$AY,MATCH($M$1,Database!$F$1:$AY$1,),))))</f>
        <v/>
      </c>
      <c r="N168" s="13">
        <f>((((VLOOKUP(B168,Database!$F:$AY,MATCH($N$1,Database!$F$1:$AY$1,),))))-(((VLOOKUP(EDATE(B168,-12),Database!$F:$AY,MATCH($N$1,Database!$F$1:$AY$1,),)))))/(((VLOOKUP(EDATE(B168,-12),Database!$F:$AY,MATCH($N$1,Database!$F$1:$AY$1,),))))</f>
        <v/>
      </c>
      <c r="O168" s="13">
        <f>((((VLOOKUP(B168,Database!$F:$AY,MATCH($O$1,Database!$F$1:$AY$1,),))))-(((VLOOKUP(EDATE(B168,-12),Database!$F:$AY,MATCH($O$1,Database!$F$1:$AY$1,),)))))/(((VLOOKUP(EDATE(B168,-12),Database!$F:$AY,MATCH($O$1,Database!$F$1:$AY$1,),))))</f>
        <v/>
      </c>
      <c r="P168" s="13">
        <f>((((VLOOKUP(B168,Database!$F:$AY,MATCH($P$1,Database!$F$1:$AY$1,),))))-(((VLOOKUP(EDATE(B168,-12),Database!$F:$AY,MATCH($P$1,Database!$F$1:$AY$1,),)))))/(((VLOOKUP(EDATE(B168,-12),Database!$F:$AY,MATCH($P$1,Database!$F$1:$AY$1,),))))</f>
        <v/>
      </c>
      <c r="Q168" s="13">
        <f>((((VLOOKUP(B168,Database!$F:$AY,MATCH($Q$1,Database!$F$1:$AY$1,),))))-(((VLOOKUP(EDATE(B168,-12),Database!$F:$AY,MATCH($Q$1,Database!$F$1:$AY$1,),)))))/(((VLOOKUP(EDATE(B168,-12),Database!$F:$AY,MATCH($Q$1,Database!$F$1:$AY$1,),))))</f>
        <v/>
      </c>
      <c r="R168" s="13">
        <f>((((VLOOKUP(B168,Database!$F:$AY,MATCH($R$1,Database!$F$1:$AY$1,),))))-(((VLOOKUP(EDATE(B168,-12),Database!$F:$AY,MATCH($R$1,Database!$F$1:$AY$1,),)))))/(((VLOOKUP(EDATE(B168,-12),Database!$F:$AY,MATCH($R$1,Database!$F$1:$AY$1,),))))</f>
        <v/>
      </c>
      <c r="S168" s="13">
        <f>((((VLOOKUP(B168,Database!$F:$AY,MATCH($S$1,Database!$F$1:$AY$1,),))))-(((VLOOKUP(EDATE(B168,-12),Database!$F:$AY,MATCH($S$1,Database!$F$1:$AY$1,),)))))/(((VLOOKUP(EDATE(B168,-12),Database!$F:$AY,MATCH($S$1,Database!$F$1:$AY$1,),))))</f>
        <v/>
      </c>
      <c r="T168" s="13">
        <f>((((VLOOKUP(B168,Database!$F:$AY,MATCH($T$1,Database!$F$1:$AY$1,),))))-(((VLOOKUP(EDATE(B168,-12),Database!$F:$AY,MATCH($T$1,Database!$F$1:$AY$1,),)))))/(((VLOOKUP(EDATE(B168,-12),Database!$F:$AY,MATCH($T$1,Database!$F$1:$AY$1,),))))</f>
        <v/>
      </c>
      <c r="U168" s="13">
        <f>((((VLOOKUP(B168,Database!$F:$AY,MATCH($U$1,Database!$F$1:$AY$1,),))))-(((VLOOKUP(EDATE(B168,-12),Database!$F:$AY,MATCH($U$1,Database!$F$1:$AY$1,),)))))/(((VLOOKUP(EDATE(B168,-12),Database!$F:$AY,MATCH($U$1,Database!$F$1:$AY$1,),))))</f>
        <v/>
      </c>
      <c r="V168" s="13">
        <f>((((VLOOKUP(B168,Database!$F:$AY,MATCH($V$1,Database!$F$1:$AY$1,),))))-(((VLOOKUP(EDATE(B168,-12),Database!$F:$AY,MATCH($V$1,Database!$F$1:$AY$1,),)))))/(((VLOOKUP(EDATE(B168,-12),Database!$F:$AY,MATCH($V$1,Database!$F$1:$AY$1,),))))</f>
        <v/>
      </c>
    </row>
    <row r="169" customFormat="1" s="100">
      <c r="A169" s="45" t="n"/>
      <c r="B169" s="46" t="n">
        <v>37288</v>
      </c>
      <c r="C169" s="13">
        <f>((((VLOOKUP(B169,Database!$F:$AY,MATCH($C$1,Database!$F$1:$AY$1,),))))-(((VLOOKUP(EDATE(B169,-12),Database!$F:$AY,MATCH($C$1,Database!$F$1:$AY$1,),)))))/(((VLOOKUP(EDATE(B169,-12),Database!$F:$AY,MATCH($C$1,Database!$F$1:$AY$1,),))))</f>
        <v/>
      </c>
      <c r="D169" s="13">
        <f>((((VLOOKUP(B169,Database!$F:$AY,MATCH($D$1,Database!$F$1:$AY$1,),))))-(((VLOOKUP(EDATE(B169,-12),Database!$F:$AY,MATCH($D$1,Database!$F$1:$AY$1,),)))))/(((VLOOKUP(EDATE(B169,-12),Database!$F:$AY,MATCH($D$1,Database!$F$1:$AY$1,),))))</f>
        <v/>
      </c>
      <c r="E169" s="13">
        <f>((((VLOOKUP(B169,Database!$F:$AY,MATCH($E$1,Database!$F$1:$AY$1,),))))-(((VLOOKUP(EDATE(B169,-12),Database!$F:$AY,MATCH($E$1,Database!$F$1:$AY$1,),)))))/(((VLOOKUP(EDATE(B169,-12),Database!$F:$AY,MATCH($E$1,Database!$F$1:$AY$1,),))))</f>
        <v/>
      </c>
      <c r="F169" s="13">
        <f>((((VLOOKUP(B169,Database!$F:$AY,MATCH($F$1,Database!$F$1:$AY$1,),))))-(((VLOOKUP(EDATE(B169,-12),Database!$F:$AY,MATCH($F$1,Database!$F$1:$AY$1,),)))))/(((VLOOKUP(EDATE(B169,-12),Database!$F:$AY,MATCH($F$1,Database!$F$1:$AY$1,),))))</f>
        <v/>
      </c>
      <c r="G169" s="13">
        <f>((((VLOOKUP(B169,Database!$F:$AY,MATCH($G$1,Database!$F$1:$AY$1,),))))-(((VLOOKUP(EDATE(B169,-12),Database!$F:$AY,MATCH($G$1,Database!$F$1:$AY$1,),)))))/(((VLOOKUP(EDATE(B169,-12),Database!$F:$AY,MATCH($G$1,Database!$F$1:$AY$1,),))))</f>
        <v/>
      </c>
      <c r="H169" s="13">
        <f>((((VLOOKUP(B169,Database!$F:$AY,MATCH($H$1,Database!$F$1:$AY$1,),))))-(((VLOOKUP(EDATE(B169,-12),Database!$F:$AY,MATCH($H$1,Database!$F$1:$AY$1,),)))))/(((VLOOKUP(EDATE(B169,-12),Database!$F:$AY,MATCH($H$1,Database!$F$1:$AY$1,),))))</f>
        <v/>
      </c>
      <c r="I169" s="13">
        <f>((((VLOOKUP(B169,Database!$F:$AY,MATCH($I$1,Database!$F$1:$AY$1,),))))-(((VLOOKUP(EDATE(B169,-12),Database!$F:$AY,MATCH($I$1,Database!$F$1:$AY$1,),)))))/(((VLOOKUP(EDATE(B169,-12),Database!$F:$AY,MATCH($I$1,Database!$F$1:$AY$1,),))))</f>
        <v/>
      </c>
      <c r="J169" s="13">
        <f>((((VLOOKUP(B169,Database!$F:$AY,MATCH($J$1,Database!$F$1:$AY$1,),))))-(((VLOOKUP(EDATE(B169,-12),Database!$F:$AY,MATCH($J$1,Database!$F$1:$AY$1,),)))))/(((VLOOKUP(EDATE(B169,-12),Database!$F:$AY,MATCH($J$1,Database!$F$1:$AY$1,),))))</f>
        <v/>
      </c>
      <c r="K169" s="13">
        <f>((((VLOOKUP(B169,Database!$F:$AY,MATCH($K$1,Database!$F$1:$AY$1,),))))-(((VLOOKUP(EDATE(B169,-12),Database!$F:$AY,MATCH($K$1,Database!$F$1:$AY$1,),)))))/(((VLOOKUP(EDATE(B169,-12),Database!$F:$AY,MATCH($K$1,Database!$F$1:$AY$1,),))))</f>
        <v/>
      </c>
      <c r="L169" s="13">
        <f>((((VLOOKUP(B169,Database!$F:$AY,MATCH($L$1,Database!$F$1:$AY$1,),))))-(((VLOOKUP(EDATE(B169,-12),Database!$F:$AY,MATCH($L$1,Database!$F$1:$AY$1,),)))))/(((VLOOKUP(EDATE(B169,-12),Database!$F:$AY,MATCH($L$1,Database!$F$1:$AY$1,),))))</f>
        <v/>
      </c>
      <c r="M169" s="13">
        <f>((((VLOOKUP(B169,Database!$F:$AY,MATCH($M$1,Database!$F$1:$AY$1,),))))-(((VLOOKUP(EDATE(B169,-12),Database!$F:$AY,MATCH($M$1,Database!$F$1:$AY$1,),)))))/(((VLOOKUP(EDATE(B169,-12),Database!$F:$AY,MATCH($M$1,Database!$F$1:$AY$1,),))))</f>
        <v/>
      </c>
      <c r="N169" s="13">
        <f>((((VLOOKUP(B169,Database!$F:$AY,MATCH($N$1,Database!$F$1:$AY$1,),))))-(((VLOOKUP(EDATE(B169,-12),Database!$F:$AY,MATCH($N$1,Database!$F$1:$AY$1,),)))))/(((VLOOKUP(EDATE(B169,-12),Database!$F:$AY,MATCH($N$1,Database!$F$1:$AY$1,),))))</f>
        <v/>
      </c>
      <c r="O169" s="13">
        <f>((((VLOOKUP(B169,Database!$F:$AY,MATCH($O$1,Database!$F$1:$AY$1,),))))-(((VLOOKUP(EDATE(B169,-12),Database!$F:$AY,MATCH($O$1,Database!$F$1:$AY$1,),)))))/(((VLOOKUP(EDATE(B169,-12),Database!$F:$AY,MATCH($O$1,Database!$F$1:$AY$1,),))))</f>
        <v/>
      </c>
      <c r="P169" s="13">
        <f>((((VLOOKUP(B169,Database!$F:$AY,MATCH($P$1,Database!$F$1:$AY$1,),))))-(((VLOOKUP(EDATE(B169,-12),Database!$F:$AY,MATCH($P$1,Database!$F$1:$AY$1,),)))))/(((VLOOKUP(EDATE(B169,-12),Database!$F:$AY,MATCH($P$1,Database!$F$1:$AY$1,),))))</f>
        <v/>
      </c>
      <c r="Q169" s="13">
        <f>((((VLOOKUP(B169,Database!$F:$AY,MATCH($Q$1,Database!$F$1:$AY$1,),))))-(((VLOOKUP(EDATE(B169,-12),Database!$F:$AY,MATCH($Q$1,Database!$F$1:$AY$1,),)))))/(((VLOOKUP(EDATE(B169,-12),Database!$F:$AY,MATCH($Q$1,Database!$F$1:$AY$1,),))))</f>
        <v/>
      </c>
      <c r="R169" s="13">
        <f>((((VLOOKUP(B169,Database!$F:$AY,MATCH($R$1,Database!$F$1:$AY$1,),))))-(((VLOOKUP(EDATE(B169,-12),Database!$F:$AY,MATCH($R$1,Database!$F$1:$AY$1,),)))))/(((VLOOKUP(EDATE(B169,-12),Database!$F:$AY,MATCH($R$1,Database!$F$1:$AY$1,),))))</f>
        <v/>
      </c>
      <c r="S169" s="13">
        <f>((((VLOOKUP(B169,Database!$F:$AY,MATCH($S$1,Database!$F$1:$AY$1,),))))-(((VLOOKUP(EDATE(B169,-12),Database!$F:$AY,MATCH($S$1,Database!$F$1:$AY$1,),)))))/(((VLOOKUP(EDATE(B169,-12),Database!$F:$AY,MATCH($S$1,Database!$F$1:$AY$1,),))))</f>
        <v/>
      </c>
      <c r="T169" s="13">
        <f>((((VLOOKUP(B169,Database!$F:$AY,MATCH($T$1,Database!$F$1:$AY$1,),))))-(((VLOOKUP(EDATE(B169,-12),Database!$F:$AY,MATCH($T$1,Database!$F$1:$AY$1,),)))))/(((VLOOKUP(EDATE(B169,-12),Database!$F:$AY,MATCH($T$1,Database!$F$1:$AY$1,),))))</f>
        <v/>
      </c>
      <c r="U169" s="13">
        <f>((((VLOOKUP(B169,Database!$F:$AY,MATCH($U$1,Database!$F$1:$AY$1,),))))-(((VLOOKUP(EDATE(B169,-12),Database!$F:$AY,MATCH($U$1,Database!$F$1:$AY$1,),)))))/(((VLOOKUP(EDATE(B169,-12),Database!$F:$AY,MATCH($U$1,Database!$F$1:$AY$1,),))))</f>
        <v/>
      </c>
      <c r="V169" s="13">
        <f>((((VLOOKUP(B169,Database!$F:$AY,MATCH($V$1,Database!$F$1:$AY$1,),))))-(((VLOOKUP(EDATE(B169,-12),Database!$F:$AY,MATCH($V$1,Database!$F$1:$AY$1,),)))))/(((VLOOKUP(EDATE(B169,-12),Database!$F:$AY,MATCH($V$1,Database!$F$1:$AY$1,),))))</f>
        <v/>
      </c>
    </row>
    <row r="170" customFormat="1" s="100">
      <c r="A170" s="45" t="n"/>
      <c r="B170" s="46" t="n">
        <v>37316</v>
      </c>
      <c r="C170" s="13">
        <f>((((VLOOKUP(B170,Database!$F:$AY,MATCH($C$1,Database!$F$1:$AY$1,),))))-(((VLOOKUP(EDATE(B170,-12),Database!$F:$AY,MATCH($C$1,Database!$F$1:$AY$1,),)))))/(((VLOOKUP(EDATE(B170,-12),Database!$F:$AY,MATCH($C$1,Database!$F$1:$AY$1,),))))</f>
        <v/>
      </c>
      <c r="D170" s="13">
        <f>((((VLOOKUP(B170,Database!$F:$AY,MATCH($D$1,Database!$F$1:$AY$1,),))))-(((VLOOKUP(EDATE(B170,-12),Database!$F:$AY,MATCH($D$1,Database!$F$1:$AY$1,),)))))/(((VLOOKUP(EDATE(B170,-12),Database!$F:$AY,MATCH($D$1,Database!$F$1:$AY$1,),))))</f>
        <v/>
      </c>
      <c r="E170" s="13">
        <f>((((VLOOKUP(B170,Database!$F:$AY,MATCH($E$1,Database!$F$1:$AY$1,),))))-(((VLOOKUP(EDATE(B170,-12),Database!$F:$AY,MATCH($E$1,Database!$F$1:$AY$1,),)))))/(((VLOOKUP(EDATE(B170,-12),Database!$F:$AY,MATCH($E$1,Database!$F$1:$AY$1,),))))</f>
        <v/>
      </c>
      <c r="F170" s="13">
        <f>((((VLOOKUP(B170,Database!$F:$AY,MATCH($F$1,Database!$F$1:$AY$1,),))))-(((VLOOKUP(EDATE(B170,-12),Database!$F:$AY,MATCH($F$1,Database!$F$1:$AY$1,),)))))/(((VLOOKUP(EDATE(B170,-12),Database!$F:$AY,MATCH($F$1,Database!$F$1:$AY$1,),))))</f>
        <v/>
      </c>
      <c r="G170" s="13">
        <f>((((VLOOKUP(B170,Database!$F:$AY,MATCH($G$1,Database!$F$1:$AY$1,),))))-(((VLOOKUP(EDATE(B170,-12),Database!$F:$AY,MATCH($G$1,Database!$F$1:$AY$1,),)))))/(((VLOOKUP(EDATE(B170,-12),Database!$F:$AY,MATCH($G$1,Database!$F$1:$AY$1,),))))</f>
        <v/>
      </c>
      <c r="H170" s="13">
        <f>((((VLOOKUP(B170,Database!$F:$AY,MATCH($H$1,Database!$F$1:$AY$1,),))))-(((VLOOKUP(EDATE(B170,-12),Database!$F:$AY,MATCH($H$1,Database!$F$1:$AY$1,),)))))/(((VLOOKUP(EDATE(B170,-12),Database!$F:$AY,MATCH($H$1,Database!$F$1:$AY$1,),))))</f>
        <v/>
      </c>
      <c r="I170" s="13">
        <f>((((VLOOKUP(B170,Database!$F:$AY,MATCH($I$1,Database!$F$1:$AY$1,),))))-(((VLOOKUP(EDATE(B170,-12),Database!$F:$AY,MATCH($I$1,Database!$F$1:$AY$1,),)))))/(((VLOOKUP(EDATE(B170,-12),Database!$F:$AY,MATCH($I$1,Database!$F$1:$AY$1,),))))</f>
        <v/>
      </c>
      <c r="J170" s="13">
        <f>((((VLOOKUP(B170,Database!$F:$AY,MATCH($J$1,Database!$F$1:$AY$1,),))))-(((VLOOKUP(EDATE(B170,-12),Database!$F:$AY,MATCH($J$1,Database!$F$1:$AY$1,),)))))/(((VLOOKUP(EDATE(B170,-12),Database!$F:$AY,MATCH($J$1,Database!$F$1:$AY$1,),))))</f>
        <v/>
      </c>
      <c r="K170" s="13">
        <f>((((VLOOKUP(B170,Database!$F:$AY,MATCH($K$1,Database!$F$1:$AY$1,),))))-(((VLOOKUP(EDATE(B170,-12),Database!$F:$AY,MATCH($K$1,Database!$F$1:$AY$1,),)))))/(((VLOOKUP(EDATE(B170,-12),Database!$F:$AY,MATCH($K$1,Database!$F$1:$AY$1,),))))</f>
        <v/>
      </c>
      <c r="L170" s="13">
        <f>((((VLOOKUP(B170,Database!$F:$AY,MATCH($L$1,Database!$F$1:$AY$1,),))))-(((VLOOKUP(EDATE(B170,-12),Database!$F:$AY,MATCH($L$1,Database!$F$1:$AY$1,),)))))/(((VLOOKUP(EDATE(B170,-12),Database!$F:$AY,MATCH($L$1,Database!$F$1:$AY$1,),))))</f>
        <v/>
      </c>
      <c r="M170" s="13">
        <f>((((VLOOKUP(B170,Database!$F:$AY,MATCH($M$1,Database!$F$1:$AY$1,),))))-(((VLOOKUP(EDATE(B170,-12),Database!$F:$AY,MATCH($M$1,Database!$F$1:$AY$1,),)))))/(((VLOOKUP(EDATE(B170,-12),Database!$F:$AY,MATCH($M$1,Database!$F$1:$AY$1,),))))</f>
        <v/>
      </c>
      <c r="N170" s="13">
        <f>((((VLOOKUP(B170,Database!$F:$AY,MATCH($N$1,Database!$F$1:$AY$1,),))))-(((VLOOKUP(EDATE(B170,-12),Database!$F:$AY,MATCH($N$1,Database!$F$1:$AY$1,),)))))/(((VLOOKUP(EDATE(B170,-12),Database!$F:$AY,MATCH($N$1,Database!$F$1:$AY$1,),))))</f>
        <v/>
      </c>
      <c r="O170" s="13">
        <f>((((VLOOKUP(B170,Database!$F:$AY,MATCH($O$1,Database!$F$1:$AY$1,),))))-(((VLOOKUP(EDATE(B170,-12),Database!$F:$AY,MATCH($O$1,Database!$F$1:$AY$1,),)))))/(((VLOOKUP(EDATE(B170,-12),Database!$F:$AY,MATCH($O$1,Database!$F$1:$AY$1,),))))</f>
        <v/>
      </c>
      <c r="P170" s="13">
        <f>((((VLOOKUP(B170,Database!$F:$AY,MATCH($P$1,Database!$F$1:$AY$1,),))))-(((VLOOKUP(EDATE(B170,-12),Database!$F:$AY,MATCH($P$1,Database!$F$1:$AY$1,),)))))/(((VLOOKUP(EDATE(B170,-12),Database!$F:$AY,MATCH($P$1,Database!$F$1:$AY$1,),))))</f>
        <v/>
      </c>
      <c r="Q170" s="13">
        <f>((((VLOOKUP(B170,Database!$F:$AY,MATCH($Q$1,Database!$F$1:$AY$1,),))))-(((VLOOKUP(EDATE(B170,-12),Database!$F:$AY,MATCH($Q$1,Database!$F$1:$AY$1,),)))))/(((VLOOKUP(EDATE(B170,-12),Database!$F:$AY,MATCH($Q$1,Database!$F$1:$AY$1,),))))</f>
        <v/>
      </c>
      <c r="R170" s="13">
        <f>((((VLOOKUP(B170,Database!$F:$AY,MATCH($R$1,Database!$F$1:$AY$1,),))))-(((VLOOKUP(EDATE(B170,-12),Database!$F:$AY,MATCH($R$1,Database!$F$1:$AY$1,),)))))/(((VLOOKUP(EDATE(B170,-12),Database!$F:$AY,MATCH($R$1,Database!$F$1:$AY$1,),))))</f>
        <v/>
      </c>
      <c r="S170" s="13">
        <f>((((VLOOKUP(B170,Database!$F:$AY,MATCH($S$1,Database!$F$1:$AY$1,),))))-(((VLOOKUP(EDATE(B170,-12),Database!$F:$AY,MATCH($S$1,Database!$F$1:$AY$1,),)))))/(((VLOOKUP(EDATE(B170,-12),Database!$F:$AY,MATCH($S$1,Database!$F$1:$AY$1,),))))</f>
        <v/>
      </c>
      <c r="T170" s="13">
        <f>((((VLOOKUP(B170,Database!$F:$AY,MATCH($T$1,Database!$F$1:$AY$1,),))))-(((VLOOKUP(EDATE(B170,-12),Database!$F:$AY,MATCH($T$1,Database!$F$1:$AY$1,),)))))/(((VLOOKUP(EDATE(B170,-12),Database!$F:$AY,MATCH($T$1,Database!$F$1:$AY$1,),))))</f>
        <v/>
      </c>
      <c r="U170" s="13">
        <f>((((VLOOKUP(B170,Database!$F:$AY,MATCH($U$1,Database!$F$1:$AY$1,),))))-(((VLOOKUP(EDATE(B170,-12),Database!$F:$AY,MATCH($U$1,Database!$F$1:$AY$1,),)))))/(((VLOOKUP(EDATE(B170,-12),Database!$F:$AY,MATCH($U$1,Database!$F$1:$AY$1,),))))</f>
        <v/>
      </c>
      <c r="V170" s="13">
        <f>((((VLOOKUP(B170,Database!$F:$AY,MATCH($V$1,Database!$F$1:$AY$1,),))))-(((VLOOKUP(EDATE(B170,-12),Database!$F:$AY,MATCH($V$1,Database!$F$1:$AY$1,),)))))/(((VLOOKUP(EDATE(B170,-12),Database!$F:$AY,MATCH($V$1,Database!$F$1:$AY$1,),))))</f>
        <v/>
      </c>
    </row>
    <row r="171" customFormat="1" s="100">
      <c r="A171" s="45" t="n"/>
      <c r="B171" s="46" t="n">
        <v>37347</v>
      </c>
      <c r="C171" s="13">
        <f>((((VLOOKUP(B171,Database!$F:$AY,MATCH($C$1,Database!$F$1:$AY$1,),))))-(((VLOOKUP(EDATE(B171,-12),Database!$F:$AY,MATCH($C$1,Database!$F$1:$AY$1,),)))))/(((VLOOKUP(EDATE(B171,-12),Database!$F:$AY,MATCH($C$1,Database!$F$1:$AY$1,),))))</f>
        <v/>
      </c>
      <c r="D171" s="13">
        <f>((((VLOOKUP(B171,Database!$F:$AY,MATCH($D$1,Database!$F$1:$AY$1,),))))-(((VLOOKUP(EDATE(B171,-12),Database!$F:$AY,MATCH($D$1,Database!$F$1:$AY$1,),)))))/(((VLOOKUP(EDATE(B171,-12),Database!$F:$AY,MATCH($D$1,Database!$F$1:$AY$1,),))))</f>
        <v/>
      </c>
      <c r="E171" s="13">
        <f>((((VLOOKUP(B171,Database!$F:$AY,MATCH($E$1,Database!$F$1:$AY$1,),))))-(((VLOOKUP(EDATE(B171,-12),Database!$F:$AY,MATCH($E$1,Database!$F$1:$AY$1,),)))))/(((VLOOKUP(EDATE(B171,-12),Database!$F:$AY,MATCH($E$1,Database!$F$1:$AY$1,),))))</f>
        <v/>
      </c>
      <c r="F171" s="13">
        <f>((((VLOOKUP(B171,Database!$F:$AY,MATCH($F$1,Database!$F$1:$AY$1,),))))-(((VLOOKUP(EDATE(B171,-12),Database!$F:$AY,MATCH($F$1,Database!$F$1:$AY$1,),)))))/(((VLOOKUP(EDATE(B171,-12),Database!$F:$AY,MATCH($F$1,Database!$F$1:$AY$1,),))))</f>
        <v/>
      </c>
      <c r="G171" s="13">
        <f>((((VLOOKUP(B171,Database!$F:$AY,MATCH($G$1,Database!$F$1:$AY$1,),))))-(((VLOOKUP(EDATE(B171,-12),Database!$F:$AY,MATCH($G$1,Database!$F$1:$AY$1,),)))))/(((VLOOKUP(EDATE(B171,-12),Database!$F:$AY,MATCH($G$1,Database!$F$1:$AY$1,),))))</f>
        <v/>
      </c>
      <c r="H171" s="13">
        <f>((((VLOOKUP(B171,Database!$F:$AY,MATCH($H$1,Database!$F$1:$AY$1,),))))-(((VLOOKUP(EDATE(B171,-12),Database!$F:$AY,MATCH($H$1,Database!$F$1:$AY$1,),)))))/(((VLOOKUP(EDATE(B171,-12),Database!$F:$AY,MATCH($H$1,Database!$F$1:$AY$1,),))))</f>
        <v/>
      </c>
      <c r="I171" s="13">
        <f>((((VLOOKUP(B171,Database!$F:$AY,MATCH($I$1,Database!$F$1:$AY$1,),))))-(((VLOOKUP(EDATE(B171,-12),Database!$F:$AY,MATCH($I$1,Database!$F$1:$AY$1,),)))))/(((VLOOKUP(EDATE(B171,-12),Database!$F:$AY,MATCH($I$1,Database!$F$1:$AY$1,),))))</f>
        <v/>
      </c>
      <c r="J171" s="13">
        <f>((((VLOOKUP(B171,Database!$F:$AY,MATCH($J$1,Database!$F$1:$AY$1,),))))-(((VLOOKUP(EDATE(B171,-12),Database!$F:$AY,MATCH($J$1,Database!$F$1:$AY$1,),)))))/(((VLOOKUP(EDATE(B171,-12),Database!$F:$AY,MATCH($J$1,Database!$F$1:$AY$1,),))))</f>
        <v/>
      </c>
      <c r="K171" s="13">
        <f>((((VLOOKUP(B171,Database!$F:$AY,MATCH($K$1,Database!$F$1:$AY$1,),))))-(((VLOOKUP(EDATE(B171,-12),Database!$F:$AY,MATCH($K$1,Database!$F$1:$AY$1,),)))))/(((VLOOKUP(EDATE(B171,-12),Database!$F:$AY,MATCH($K$1,Database!$F$1:$AY$1,),))))</f>
        <v/>
      </c>
      <c r="L171" s="13">
        <f>((((VLOOKUP(B171,Database!$F:$AY,MATCH($L$1,Database!$F$1:$AY$1,),))))-(((VLOOKUP(EDATE(B171,-12),Database!$F:$AY,MATCH($L$1,Database!$F$1:$AY$1,),)))))/(((VLOOKUP(EDATE(B171,-12),Database!$F:$AY,MATCH($L$1,Database!$F$1:$AY$1,),))))</f>
        <v/>
      </c>
      <c r="M171" s="13">
        <f>((((VLOOKUP(B171,Database!$F:$AY,MATCH($M$1,Database!$F$1:$AY$1,),))))-(((VLOOKUP(EDATE(B171,-12),Database!$F:$AY,MATCH($M$1,Database!$F$1:$AY$1,),)))))/(((VLOOKUP(EDATE(B171,-12),Database!$F:$AY,MATCH($M$1,Database!$F$1:$AY$1,),))))</f>
        <v/>
      </c>
      <c r="N171" s="13">
        <f>((((VLOOKUP(B171,Database!$F:$AY,MATCH($N$1,Database!$F$1:$AY$1,),))))-(((VLOOKUP(EDATE(B171,-12),Database!$F:$AY,MATCH($N$1,Database!$F$1:$AY$1,),)))))/(((VLOOKUP(EDATE(B171,-12),Database!$F:$AY,MATCH($N$1,Database!$F$1:$AY$1,),))))</f>
        <v/>
      </c>
      <c r="O171" s="13">
        <f>((((VLOOKUP(B171,Database!$F:$AY,MATCH($O$1,Database!$F$1:$AY$1,),))))-(((VLOOKUP(EDATE(B171,-12),Database!$F:$AY,MATCH($O$1,Database!$F$1:$AY$1,),)))))/(((VLOOKUP(EDATE(B171,-12),Database!$F:$AY,MATCH($O$1,Database!$F$1:$AY$1,),))))</f>
        <v/>
      </c>
      <c r="P171" s="13">
        <f>((((VLOOKUP(B171,Database!$F:$AY,MATCH($P$1,Database!$F$1:$AY$1,),))))-(((VLOOKUP(EDATE(B171,-12),Database!$F:$AY,MATCH($P$1,Database!$F$1:$AY$1,),)))))/(((VLOOKUP(EDATE(B171,-12),Database!$F:$AY,MATCH($P$1,Database!$F$1:$AY$1,),))))</f>
        <v/>
      </c>
      <c r="Q171" s="13">
        <f>((((VLOOKUP(B171,Database!$F:$AY,MATCH($Q$1,Database!$F$1:$AY$1,),))))-(((VLOOKUP(EDATE(B171,-12),Database!$F:$AY,MATCH($Q$1,Database!$F$1:$AY$1,),)))))/(((VLOOKUP(EDATE(B171,-12),Database!$F:$AY,MATCH($Q$1,Database!$F$1:$AY$1,),))))</f>
        <v/>
      </c>
      <c r="R171" s="13">
        <f>((((VLOOKUP(B171,Database!$F:$AY,MATCH($R$1,Database!$F$1:$AY$1,),))))-(((VLOOKUP(EDATE(B171,-12),Database!$F:$AY,MATCH($R$1,Database!$F$1:$AY$1,),)))))/(((VLOOKUP(EDATE(B171,-12),Database!$F:$AY,MATCH($R$1,Database!$F$1:$AY$1,),))))</f>
        <v/>
      </c>
      <c r="S171" s="13">
        <f>((((VLOOKUP(B171,Database!$F:$AY,MATCH($S$1,Database!$F$1:$AY$1,),))))-(((VLOOKUP(EDATE(B171,-12),Database!$F:$AY,MATCH($S$1,Database!$F$1:$AY$1,),)))))/(((VLOOKUP(EDATE(B171,-12),Database!$F:$AY,MATCH($S$1,Database!$F$1:$AY$1,),))))</f>
        <v/>
      </c>
      <c r="T171" s="13">
        <f>((((VLOOKUP(B171,Database!$F:$AY,MATCH($T$1,Database!$F$1:$AY$1,),))))-(((VLOOKUP(EDATE(B171,-12),Database!$F:$AY,MATCH($T$1,Database!$F$1:$AY$1,),)))))/(((VLOOKUP(EDATE(B171,-12),Database!$F:$AY,MATCH($T$1,Database!$F$1:$AY$1,),))))</f>
        <v/>
      </c>
      <c r="U171" s="13">
        <f>((((VLOOKUP(B171,Database!$F:$AY,MATCH($U$1,Database!$F$1:$AY$1,),))))-(((VLOOKUP(EDATE(B171,-12),Database!$F:$AY,MATCH($U$1,Database!$F$1:$AY$1,),)))))/(((VLOOKUP(EDATE(B171,-12),Database!$F:$AY,MATCH($U$1,Database!$F$1:$AY$1,),))))</f>
        <v/>
      </c>
      <c r="V171" s="13">
        <f>((((VLOOKUP(B171,Database!$F:$AY,MATCH($V$1,Database!$F$1:$AY$1,),))))-(((VLOOKUP(EDATE(B171,-12),Database!$F:$AY,MATCH($V$1,Database!$F$1:$AY$1,),)))))/(((VLOOKUP(EDATE(B171,-12),Database!$F:$AY,MATCH($V$1,Database!$F$1:$AY$1,),))))</f>
        <v/>
      </c>
    </row>
    <row r="172" customFormat="1" s="100">
      <c r="A172" s="45" t="n"/>
      <c r="B172" s="46" t="n">
        <v>37377</v>
      </c>
      <c r="C172" s="13">
        <f>((((VLOOKUP(B172,Database!$F:$AY,MATCH($C$1,Database!$F$1:$AY$1,),))))-(((VLOOKUP(EDATE(B172,-12),Database!$F:$AY,MATCH($C$1,Database!$F$1:$AY$1,),)))))/(((VLOOKUP(EDATE(B172,-12),Database!$F:$AY,MATCH($C$1,Database!$F$1:$AY$1,),))))</f>
        <v/>
      </c>
      <c r="D172" s="13">
        <f>((((VLOOKUP(B172,Database!$F:$AY,MATCH($D$1,Database!$F$1:$AY$1,),))))-(((VLOOKUP(EDATE(B172,-12),Database!$F:$AY,MATCH($D$1,Database!$F$1:$AY$1,),)))))/(((VLOOKUP(EDATE(B172,-12),Database!$F:$AY,MATCH($D$1,Database!$F$1:$AY$1,),))))</f>
        <v/>
      </c>
      <c r="E172" s="13">
        <f>((((VLOOKUP(B172,Database!$F:$AY,MATCH($E$1,Database!$F$1:$AY$1,),))))-(((VLOOKUP(EDATE(B172,-12),Database!$F:$AY,MATCH($E$1,Database!$F$1:$AY$1,),)))))/(((VLOOKUP(EDATE(B172,-12),Database!$F:$AY,MATCH($E$1,Database!$F$1:$AY$1,),))))</f>
        <v/>
      </c>
      <c r="F172" s="13">
        <f>((((VLOOKUP(B172,Database!$F:$AY,MATCH($F$1,Database!$F$1:$AY$1,),))))-(((VLOOKUP(EDATE(B172,-12),Database!$F:$AY,MATCH($F$1,Database!$F$1:$AY$1,),)))))/(((VLOOKUP(EDATE(B172,-12),Database!$F:$AY,MATCH($F$1,Database!$F$1:$AY$1,),))))</f>
        <v/>
      </c>
      <c r="G172" s="13">
        <f>((((VLOOKUP(B172,Database!$F:$AY,MATCH($G$1,Database!$F$1:$AY$1,),))))-(((VLOOKUP(EDATE(B172,-12),Database!$F:$AY,MATCH($G$1,Database!$F$1:$AY$1,),)))))/(((VLOOKUP(EDATE(B172,-12),Database!$F:$AY,MATCH($G$1,Database!$F$1:$AY$1,),))))</f>
        <v/>
      </c>
      <c r="H172" s="13">
        <f>((((VLOOKUP(B172,Database!$F:$AY,MATCH($H$1,Database!$F$1:$AY$1,),))))-(((VLOOKUP(EDATE(B172,-12),Database!$F:$AY,MATCH($H$1,Database!$F$1:$AY$1,),)))))/(((VLOOKUP(EDATE(B172,-12),Database!$F:$AY,MATCH($H$1,Database!$F$1:$AY$1,),))))</f>
        <v/>
      </c>
      <c r="I172" s="13">
        <f>((((VLOOKUP(B172,Database!$F:$AY,MATCH($I$1,Database!$F$1:$AY$1,),))))-(((VLOOKUP(EDATE(B172,-12),Database!$F:$AY,MATCH($I$1,Database!$F$1:$AY$1,),)))))/(((VLOOKUP(EDATE(B172,-12),Database!$F:$AY,MATCH($I$1,Database!$F$1:$AY$1,),))))</f>
        <v/>
      </c>
      <c r="J172" s="13">
        <f>((((VLOOKUP(B172,Database!$F:$AY,MATCH($J$1,Database!$F$1:$AY$1,),))))-(((VLOOKUP(EDATE(B172,-12),Database!$F:$AY,MATCH($J$1,Database!$F$1:$AY$1,),)))))/(((VLOOKUP(EDATE(B172,-12),Database!$F:$AY,MATCH($J$1,Database!$F$1:$AY$1,),))))</f>
        <v/>
      </c>
      <c r="K172" s="13">
        <f>((((VLOOKUP(B172,Database!$F:$AY,MATCH($K$1,Database!$F$1:$AY$1,),))))-(((VLOOKUP(EDATE(B172,-12),Database!$F:$AY,MATCH($K$1,Database!$F$1:$AY$1,),)))))/(((VLOOKUP(EDATE(B172,-12),Database!$F:$AY,MATCH($K$1,Database!$F$1:$AY$1,),))))</f>
        <v/>
      </c>
      <c r="L172" s="13">
        <f>((((VLOOKUP(B172,Database!$F:$AY,MATCH($L$1,Database!$F$1:$AY$1,),))))-(((VLOOKUP(EDATE(B172,-12),Database!$F:$AY,MATCH($L$1,Database!$F$1:$AY$1,),)))))/(((VLOOKUP(EDATE(B172,-12),Database!$F:$AY,MATCH($L$1,Database!$F$1:$AY$1,),))))</f>
        <v/>
      </c>
      <c r="M172" s="13">
        <f>((((VLOOKUP(B172,Database!$F:$AY,MATCH($M$1,Database!$F$1:$AY$1,),))))-(((VLOOKUP(EDATE(B172,-12),Database!$F:$AY,MATCH($M$1,Database!$F$1:$AY$1,),)))))/(((VLOOKUP(EDATE(B172,-12),Database!$F:$AY,MATCH($M$1,Database!$F$1:$AY$1,),))))</f>
        <v/>
      </c>
      <c r="N172" s="13">
        <f>((((VLOOKUP(B172,Database!$F:$AY,MATCH($N$1,Database!$F$1:$AY$1,),))))-(((VLOOKUP(EDATE(B172,-12),Database!$F:$AY,MATCH($N$1,Database!$F$1:$AY$1,),)))))/(((VLOOKUP(EDATE(B172,-12),Database!$F:$AY,MATCH($N$1,Database!$F$1:$AY$1,),))))</f>
        <v/>
      </c>
      <c r="O172" s="13">
        <f>((((VLOOKUP(B172,Database!$F:$AY,MATCH($O$1,Database!$F$1:$AY$1,),))))-(((VLOOKUP(EDATE(B172,-12),Database!$F:$AY,MATCH($O$1,Database!$F$1:$AY$1,),)))))/(((VLOOKUP(EDATE(B172,-12),Database!$F:$AY,MATCH($O$1,Database!$F$1:$AY$1,),))))</f>
        <v/>
      </c>
      <c r="P172" s="13">
        <f>((((VLOOKUP(B172,Database!$F:$AY,MATCH($P$1,Database!$F$1:$AY$1,),))))-(((VLOOKUP(EDATE(B172,-12),Database!$F:$AY,MATCH($P$1,Database!$F$1:$AY$1,),)))))/(((VLOOKUP(EDATE(B172,-12),Database!$F:$AY,MATCH($P$1,Database!$F$1:$AY$1,),))))</f>
        <v/>
      </c>
      <c r="Q172" s="13">
        <f>((((VLOOKUP(B172,Database!$F:$AY,MATCH($Q$1,Database!$F$1:$AY$1,),))))-(((VLOOKUP(EDATE(B172,-12),Database!$F:$AY,MATCH($Q$1,Database!$F$1:$AY$1,),)))))/(((VLOOKUP(EDATE(B172,-12),Database!$F:$AY,MATCH($Q$1,Database!$F$1:$AY$1,),))))</f>
        <v/>
      </c>
      <c r="R172" s="13">
        <f>((((VLOOKUP(B172,Database!$F:$AY,MATCH($R$1,Database!$F$1:$AY$1,),))))-(((VLOOKUP(EDATE(B172,-12),Database!$F:$AY,MATCH($R$1,Database!$F$1:$AY$1,),)))))/(((VLOOKUP(EDATE(B172,-12),Database!$F:$AY,MATCH($R$1,Database!$F$1:$AY$1,),))))</f>
        <v/>
      </c>
      <c r="S172" s="13">
        <f>((((VLOOKUP(B172,Database!$F:$AY,MATCH($S$1,Database!$F$1:$AY$1,),))))-(((VLOOKUP(EDATE(B172,-12),Database!$F:$AY,MATCH($S$1,Database!$F$1:$AY$1,),)))))/(((VLOOKUP(EDATE(B172,-12),Database!$F:$AY,MATCH($S$1,Database!$F$1:$AY$1,),))))</f>
        <v/>
      </c>
      <c r="T172" s="13">
        <f>((((VLOOKUP(B172,Database!$F:$AY,MATCH($T$1,Database!$F$1:$AY$1,),))))-(((VLOOKUP(EDATE(B172,-12),Database!$F:$AY,MATCH($T$1,Database!$F$1:$AY$1,),)))))/(((VLOOKUP(EDATE(B172,-12),Database!$F:$AY,MATCH($T$1,Database!$F$1:$AY$1,),))))</f>
        <v/>
      </c>
      <c r="U172" s="13">
        <f>((((VLOOKUP(B172,Database!$F:$AY,MATCH($U$1,Database!$F$1:$AY$1,),))))-(((VLOOKUP(EDATE(B172,-12),Database!$F:$AY,MATCH($U$1,Database!$F$1:$AY$1,),)))))/(((VLOOKUP(EDATE(B172,-12),Database!$F:$AY,MATCH($U$1,Database!$F$1:$AY$1,),))))</f>
        <v/>
      </c>
      <c r="V172" s="13">
        <f>((((VLOOKUP(B172,Database!$F:$AY,MATCH($V$1,Database!$F$1:$AY$1,),))))-(((VLOOKUP(EDATE(B172,-12),Database!$F:$AY,MATCH($V$1,Database!$F$1:$AY$1,),)))))/(((VLOOKUP(EDATE(B172,-12),Database!$F:$AY,MATCH($V$1,Database!$F$1:$AY$1,),))))</f>
        <v/>
      </c>
    </row>
    <row r="173" customFormat="1" s="100">
      <c r="A173" s="45" t="n"/>
      <c r="B173" s="46" t="n">
        <v>37408</v>
      </c>
      <c r="C173" s="13">
        <f>((((VLOOKUP(B173,Database!$F:$AY,MATCH($C$1,Database!$F$1:$AY$1,),))))-(((VLOOKUP(EDATE(B173,-12),Database!$F:$AY,MATCH($C$1,Database!$F$1:$AY$1,),)))))/(((VLOOKUP(EDATE(B173,-12),Database!$F:$AY,MATCH($C$1,Database!$F$1:$AY$1,),))))</f>
        <v/>
      </c>
      <c r="D173" s="13">
        <f>((((VLOOKUP(B173,Database!$F:$AY,MATCH($D$1,Database!$F$1:$AY$1,),))))-(((VLOOKUP(EDATE(B173,-12),Database!$F:$AY,MATCH($D$1,Database!$F$1:$AY$1,),)))))/(((VLOOKUP(EDATE(B173,-12),Database!$F:$AY,MATCH($D$1,Database!$F$1:$AY$1,),))))</f>
        <v/>
      </c>
      <c r="E173" s="13">
        <f>((((VLOOKUP(B173,Database!$F:$AY,MATCH($E$1,Database!$F$1:$AY$1,),))))-(((VLOOKUP(EDATE(B173,-12),Database!$F:$AY,MATCH($E$1,Database!$F$1:$AY$1,),)))))/(((VLOOKUP(EDATE(B173,-12),Database!$F:$AY,MATCH($E$1,Database!$F$1:$AY$1,),))))</f>
        <v/>
      </c>
      <c r="F173" s="13">
        <f>((((VLOOKUP(B173,Database!$F:$AY,MATCH($F$1,Database!$F$1:$AY$1,),))))-(((VLOOKUP(EDATE(B173,-12),Database!$F:$AY,MATCH($F$1,Database!$F$1:$AY$1,),)))))/(((VLOOKUP(EDATE(B173,-12),Database!$F:$AY,MATCH($F$1,Database!$F$1:$AY$1,),))))</f>
        <v/>
      </c>
      <c r="G173" s="13">
        <f>((((VLOOKUP(B173,Database!$F:$AY,MATCH($G$1,Database!$F$1:$AY$1,),))))-(((VLOOKUP(EDATE(B173,-12),Database!$F:$AY,MATCH($G$1,Database!$F$1:$AY$1,),)))))/(((VLOOKUP(EDATE(B173,-12),Database!$F:$AY,MATCH($G$1,Database!$F$1:$AY$1,),))))</f>
        <v/>
      </c>
      <c r="H173" s="13">
        <f>((((VLOOKUP(B173,Database!$F:$AY,MATCH($H$1,Database!$F$1:$AY$1,),))))-(((VLOOKUP(EDATE(B173,-12),Database!$F:$AY,MATCH($H$1,Database!$F$1:$AY$1,),)))))/(((VLOOKUP(EDATE(B173,-12),Database!$F:$AY,MATCH($H$1,Database!$F$1:$AY$1,),))))</f>
        <v/>
      </c>
      <c r="I173" s="13">
        <f>((((VLOOKUP(B173,Database!$F:$AY,MATCH($I$1,Database!$F$1:$AY$1,),))))-(((VLOOKUP(EDATE(B173,-12),Database!$F:$AY,MATCH($I$1,Database!$F$1:$AY$1,),)))))/(((VLOOKUP(EDATE(B173,-12),Database!$F:$AY,MATCH($I$1,Database!$F$1:$AY$1,),))))</f>
        <v/>
      </c>
      <c r="J173" s="13">
        <f>((((VLOOKUP(B173,Database!$F:$AY,MATCH($J$1,Database!$F$1:$AY$1,),))))-(((VLOOKUP(EDATE(B173,-12),Database!$F:$AY,MATCH($J$1,Database!$F$1:$AY$1,),)))))/(((VLOOKUP(EDATE(B173,-12),Database!$F:$AY,MATCH($J$1,Database!$F$1:$AY$1,),))))</f>
        <v/>
      </c>
      <c r="K173" s="13">
        <f>((((VLOOKUP(B173,Database!$F:$AY,MATCH($K$1,Database!$F$1:$AY$1,),))))-(((VLOOKUP(EDATE(B173,-12),Database!$F:$AY,MATCH($K$1,Database!$F$1:$AY$1,),)))))/(((VLOOKUP(EDATE(B173,-12),Database!$F:$AY,MATCH($K$1,Database!$F$1:$AY$1,),))))</f>
        <v/>
      </c>
      <c r="L173" s="13">
        <f>((((VLOOKUP(B173,Database!$F:$AY,MATCH($L$1,Database!$F$1:$AY$1,),))))-(((VLOOKUP(EDATE(B173,-12),Database!$F:$AY,MATCH($L$1,Database!$F$1:$AY$1,),)))))/(((VLOOKUP(EDATE(B173,-12),Database!$F:$AY,MATCH($L$1,Database!$F$1:$AY$1,),))))</f>
        <v/>
      </c>
      <c r="M173" s="13">
        <f>((((VLOOKUP(B173,Database!$F:$AY,MATCH($M$1,Database!$F$1:$AY$1,),))))-(((VLOOKUP(EDATE(B173,-12),Database!$F:$AY,MATCH($M$1,Database!$F$1:$AY$1,),)))))/(((VLOOKUP(EDATE(B173,-12),Database!$F:$AY,MATCH($M$1,Database!$F$1:$AY$1,),))))</f>
        <v/>
      </c>
      <c r="N173" s="13">
        <f>((((VLOOKUP(B173,Database!$F:$AY,MATCH($N$1,Database!$F$1:$AY$1,),))))-(((VLOOKUP(EDATE(B173,-12),Database!$F:$AY,MATCH($N$1,Database!$F$1:$AY$1,),)))))/(((VLOOKUP(EDATE(B173,-12),Database!$F:$AY,MATCH($N$1,Database!$F$1:$AY$1,),))))</f>
        <v/>
      </c>
      <c r="O173" s="13">
        <f>((((VLOOKUP(B173,Database!$F:$AY,MATCH($O$1,Database!$F$1:$AY$1,),))))-(((VLOOKUP(EDATE(B173,-12),Database!$F:$AY,MATCH($O$1,Database!$F$1:$AY$1,),)))))/(((VLOOKUP(EDATE(B173,-12),Database!$F:$AY,MATCH($O$1,Database!$F$1:$AY$1,),))))</f>
        <v/>
      </c>
      <c r="P173" s="13">
        <f>((((VLOOKUP(B173,Database!$F:$AY,MATCH($P$1,Database!$F$1:$AY$1,),))))-(((VLOOKUP(EDATE(B173,-12),Database!$F:$AY,MATCH($P$1,Database!$F$1:$AY$1,),)))))/(((VLOOKUP(EDATE(B173,-12),Database!$F:$AY,MATCH($P$1,Database!$F$1:$AY$1,),))))</f>
        <v/>
      </c>
      <c r="Q173" s="13">
        <f>((((VLOOKUP(B173,Database!$F:$AY,MATCH($Q$1,Database!$F$1:$AY$1,),))))-(((VLOOKUP(EDATE(B173,-12),Database!$F:$AY,MATCH($Q$1,Database!$F$1:$AY$1,),)))))/(((VLOOKUP(EDATE(B173,-12),Database!$F:$AY,MATCH($Q$1,Database!$F$1:$AY$1,),))))</f>
        <v/>
      </c>
      <c r="R173" s="13">
        <f>((((VLOOKUP(B173,Database!$F:$AY,MATCH($R$1,Database!$F$1:$AY$1,),))))-(((VLOOKUP(EDATE(B173,-12),Database!$F:$AY,MATCH($R$1,Database!$F$1:$AY$1,),)))))/(((VLOOKUP(EDATE(B173,-12),Database!$F:$AY,MATCH($R$1,Database!$F$1:$AY$1,),))))</f>
        <v/>
      </c>
      <c r="S173" s="13">
        <f>((((VLOOKUP(B173,Database!$F:$AY,MATCH($S$1,Database!$F$1:$AY$1,),))))-(((VLOOKUP(EDATE(B173,-12),Database!$F:$AY,MATCH($S$1,Database!$F$1:$AY$1,),)))))/(((VLOOKUP(EDATE(B173,-12),Database!$F:$AY,MATCH($S$1,Database!$F$1:$AY$1,),))))</f>
        <v/>
      </c>
      <c r="T173" s="13">
        <f>((((VLOOKUP(B173,Database!$F:$AY,MATCH($T$1,Database!$F$1:$AY$1,),))))-(((VLOOKUP(EDATE(B173,-12),Database!$F:$AY,MATCH($T$1,Database!$F$1:$AY$1,),)))))/(((VLOOKUP(EDATE(B173,-12),Database!$F:$AY,MATCH($T$1,Database!$F$1:$AY$1,),))))</f>
        <v/>
      </c>
      <c r="U173" s="13">
        <f>((((VLOOKUP(B173,Database!$F:$AY,MATCH($U$1,Database!$F$1:$AY$1,),))))-(((VLOOKUP(EDATE(B173,-12),Database!$F:$AY,MATCH($U$1,Database!$F$1:$AY$1,),)))))/(((VLOOKUP(EDATE(B173,-12),Database!$F:$AY,MATCH($U$1,Database!$F$1:$AY$1,),))))</f>
        <v/>
      </c>
      <c r="V173" s="13">
        <f>((((VLOOKUP(B173,Database!$F:$AY,MATCH($V$1,Database!$F$1:$AY$1,),))))-(((VLOOKUP(EDATE(B173,-12),Database!$F:$AY,MATCH($V$1,Database!$F$1:$AY$1,),)))))/(((VLOOKUP(EDATE(B173,-12),Database!$F:$AY,MATCH($V$1,Database!$F$1:$AY$1,),))))</f>
        <v/>
      </c>
    </row>
    <row r="174" customFormat="1" s="100">
      <c r="A174" s="45" t="n"/>
      <c r="B174" s="46" t="n">
        <v>37438</v>
      </c>
      <c r="C174" s="13">
        <f>((((VLOOKUP(B174,Database!$F:$AY,MATCH($C$1,Database!$F$1:$AY$1,),))))-(((VLOOKUP(EDATE(B174,-12),Database!$F:$AY,MATCH($C$1,Database!$F$1:$AY$1,),)))))/(((VLOOKUP(EDATE(B174,-12),Database!$F:$AY,MATCH($C$1,Database!$F$1:$AY$1,),))))</f>
        <v/>
      </c>
      <c r="D174" s="13">
        <f>((((VLOOKUP(B174,Database!$F:$AY,MATCH($D$1,Database!$F$1:$AY$1,),))))-(((VLOOKUP(EDATE(B174,-12),Database!$F:$AY,MATCH($D$1,Database!$F$1:$AY$1,),)))))/(((VLOOKUP(EDATE(B174,-12),Database!$F:$AY,MATCH($D$1,Database!$F$1:$AY$1,),))))</f>
        <v/>
      </c>
      <c r="E174" s="13">
        <f>((((VLOOKUP(B174,Database!$F:$AY,MATCH($E$1,Database!$F$1:$AY$1,),))))-(((VLOOKUP(EDATE(B174,-12),Database!$F:$AY,MATCH($E$1,Database!$F$1:$AY$1,),)))))/(((VLOOKUP(EDATE(B174,-12),Database!$F:$AY,MATCH($E$1,Database!$F$1:$AY$1,),))))</f>
        <v/>
      </c>
      <c r="F174" s="13">
        <f>((((VLOOKUP(B174,Database!$F:$AY,MATCH($F$1,Database!$F$1:$AY$1,),))))-(((VLOOKUP(EDATE(B174,-12),Database!$F:$AY,MATCH($F$1,Database!$F$1:$AY$1,),)))))/(((VLOOKUP(EDATE(B174,-12),Database!$F:$AY,MATCH($F$1,Database!$F$1:$AY$1,),))))</f>
        <v/>
      </c>
      <c r="G174" s="13">
        <f>((((VLOOKUP(B174,Database!$F:$AY,MATCH($G$1,Database!$F$1:$AY$1,),))))-(((VLOOKUP(EDATE(B174,-12),Database!$F:$AY,MATCH($G$1,Database!$F$1:$AY$1,),)))))/(((VLOOKUP(EDATE(B174,-12),Database!$F:$AY,MATCH($G$1,Database!$F$1:$AY$1,),))))</f>
        <v/>
      </c>
      <c r="H174" s="13">
        <f>((((VLOOKUP(B174,Database!$F:$AY,MATCH($H$1,Database!$F$1:$AY$1,),))))-(((VLOOKUP(EDATE(B174,-12),Database!$F:$AY,MATCH($H$1,Database!$F$1:$AY$1,),)))))/(((VLOOKUP(EDATE(B174,-12),Database!$F:$AY,MATCH($H$1,Database!$F$1:$AY$1,),))))</f>
        <v/>
      </c>
      <c r="I174" s="13">
        <f>((((VLOOKUP(B174,Database!$F:$AY,MATCH($I$1,Database!$F$1:$AY$1,),))))-(((VLOOKUP(EDATE(B174,-12),Database!$F:$AY,MATCH($I$1,Database!$F$1:$AY$1,),)))))/(((VLOOKUP(EDATE(B174,-12),Database!$F:$AY,MATCH($I$1,Database!$F$1:$AY$1,),))))</f>
        <v/>
      </c>
      <c r="J174" s="13">
        <f>((((VLOOKUP(B174,Database!$F:$AY,MATCH($J$1,Database!$F$1:$AY$1,),))))-(((VLOOKUP(EDATE(B174,-12),Database!$F:$AY,MATCH($J$1,Database!$F$1:$AY$1,),)))))/(((VLOOKUP(EDATE(B174,-12),Database!$F:$AY,MATCH($J$1,Database!$F$1:$AY$1,),))))</f>
        <v/>
      </c>
      <c r="K174" s="13">
        <f>((((VLOOKUP(B174,Database!$F:$AY,MATCH($K$1,Database!$F$1:$AY$1,),))))-(((VLOOKUP(EDATE(B174,-12),Database!$F:$AY,MATCH($K$1,Database!$F$1:$AY$1,),)))))/(((VLOOKUP(EDATE(B174,-12),Database!$F:$AY,MATCH($K$1,Database!$F$1:$AY$1,),))))</f>
        <v/>
      </c>
      <c r="L174" s="13">
        <f>((((VLOOKUP(B174,Database!$F:$AY,MATCH($L$1,Database!$F$1:$AY$1,),))))-(((VLOOKUP(EDATE(B174,-12),Database!$F:$AY,MATCH($L$1,Database!$F$1:$AY$1,),)))))/(((VLOOKUP(EDATE(B174,-12),Database!$F:$AY,MATCH($L$1,Database!$F$1:$AY$1,),))))</f>
        <v/>
      </c>
      <c r="M174" s="13">
        <f>((((VLOOKUP(B174,Database!$F:$AY,MATCH($M$1,Database!$F$1:$AY$1,),))))-(((VLOOKUP(EDATE(B174,-12),Database!$F:$AY,MATCH($M$1,Database!$F$1:$AY$1,),)))))/(((VLOOKUP(EDATE(B174,-12),Database!$F:$AY,MATCH($M$1,Database!$F$1:$AY$1,),))))</f>
        <v/>
      </c>
      <c r="N174" s="13">
        <f>((((VLOOKUP(B174,Database!$F:$AY,MATCH($N$1,Database!$F$1:$AY$1,),))))-(((VLOOKUP(EDATE(B174,-12),Database!$F:$AY,MATCH($N$1,Database!$F$1:$AY$1,),)))))/(((VLOOKUP(EDATE(B174,-12),Database!$F:$AY,MATCH($N$1,Database!$F$1:$AY$1,),))))</f>
        <v/>
      </c>
      <c r="O174" s="13">
        <f>((((VLOOKUP(B174,Database!$F:$AY,MATCH($O$1,Database!$F$1:$AY$1,),))))-(((VLOOKUP(EDATE(B174,-12),Database!$F:$AY,MATCH($O$1,Database!$F$1:$AY$1,),)))))/(((VLOOKUP(EDATE(B174,-12),Database!$F:$AY,MATCH($O$1,Database!$F$1:$AY$1,),))))</f>
        <v/>
      </c>
      <c r="P174" s="13">
        <f>((((VLOOKUP(B174,Database!$F:$AY,MATCH($P$1,Database!$F$1:$AY$1,),))))-(((VLOOKUP(EDATE(B174,-12),Database!$F:$AY,MATCH($P$1,Database!$F$1:$AY$1,),)))))/(((VLOOKUP(EDATE(B174,-12),Database!$F:$AY,MATCH($P$1,Database!$F$1:$AY$1,),))))</f>
        <v/>
      </c>
      <c r="Q174" s="13">
        <f>((((VLOOKUP(B174,Database!$F:$AY,MATCH($Q$1,Database!$F$1:$AY$1,),))))-(((VLOOKUP(EDATE(B174,-12),Database!$F:$AY,MATCH($Q$1,Database!$F$1:$AY$1,),)))))/(((VLOOKUP(EDATE(B174,-12),Database!$F:$AY,MATCH($Q$1,Database!$F$1:$AY$1,),))))</f>
        <v/>
      </c>
      <c r="R174" s="13">
        <f>((((VLOOKUP(B174,Database!$F:$AY,MATCH($R$1,Database!$F$1:$AY$1,),))))-(((VLOOKUP(EDATE(B174,-12),Database!$F:$AY,MATCH($R$1,Database!$F$1:$AY$1,),)))))/(((VLOOKUP(EDATE(B174,-12),Database!$F:$AY,MATCH($R$1,Database!$F$1:$AY$1,),))))</f>
        <v/>
      </c>
      <c r="S174" s="13">
        <f>((((VLOOKUP(B174,Database!$F:$AY,MATCH($S$1,Database!$F$1:$AY$1,),))))-(((VLOOKUP(EDATE(B174,-12),Database!$F:$AY,MATCH($S$1,Database!$F$1:$AY$1,),)))))/(((VLOOKUP(EDATE(B174,-12),Database!$F:$AY,MATCH($S$1,Database!$F$1:$AY$1,),))))</f>
        <v/>
      </c>
      <c r="T174" s="13">
        <f>((((VLOOKUP(B174,Database!$F:$AY,MATCH($T$1,Database!$F$1:$AY$1,),))))-(((VLOOKUP(EDATE(B174,-12),Database!$F:$AY,MATCH($T$1,Database!$F$1:$AY$1,),)))))/(((VLOOKUP(EDATE(B174,-12),Database!$F:$AY,MATCH($T$1,Database!$F$1:$AY$1,),))))</f>
        <v/>
      </c>
      <c r="U174" s="13">
        <f>((((VLOOKUP(B174,Database!$F:$AY,MATCH($U$1,Database!$F$1:$AY$1,),))))-(((VLOOKUP(EDATE(B174,-12),Database!$F:$AY,MATCH($U$1,Database!$F$1:$AY$1,),)))))/(((VLOOKUP(EDATE(B174,-12),Database!$F:$AY,MATCH($U$1,Database!$F$1:$AY$1,),))))</f>
        <v/>
      </c>
      <c r="V174" s="13">
        <f>((((VLOOKUP(B174,Database!$F:$AY,MATCH($V$1,Database!$F$1:$AY$1,),))))-(((VLOOKUP(EDATE(B174,-12),Database!$F:$AY,MATCH($V$1,Database!$F$1:$AY$1,),)))))/(((VLOOKUP(EDATE(B174,-12),Database!$F:$AY,MATCH($V$1,Database!$F$1:$AY$1,),))))</f>
        <v/>
      </c>
    </row>
    <row r="175" customFormat="1" s="100">
      <c r="A175" s="45" t="n"/>
      <c r="B175" s="46" t="n">
        <v>37469</v>
      </c>
      <c r="C175" s="13">
        <f>((((VLOOKUP(B175,Database!$F:$AY,MATCH($C$1,Database!$F$1:$AY$1,),))))-(((VLOOKUP(EDATE(B175,-12),Database!$F:$AY,MATCH($C$1,Database!$F$1:$AY$1,),)))))/(((VLOOKUP(EDATE(B175,-12),Database!$F:$AY,MATCH($C$1,Database!$F$1:$AY$1,),))))</f>
        <v/>
      </c>
      <c r="D175" s="13">
        <f>((((VLOOKUP(B175,Database!$F:$AY,MATCH($D$1,Database!$F$1:$AY$1,),))))-(((VLOOKUP(EDATE(B175,-12),Database!$F:$AY,MATCH($D$1,Database!$F$1:$AY$1,),)))))/(((VLOOKUP(EDATE(B175,-12),Database!$F:$AY,MATCH($D$1,Database!$F$1:$AY$1,),))))</f>
        <v/>
      </c>
      <c r="E175" s="13">
        <f>((((VLOOKUP(B175,Database!$F:$AY,MATCH($E$1,Database!$F$1:$AY$1,),))))-(((VLOOKUP(EDATE(B175,-12),Database!$F:$AY,MATCH($E$1,Database!$F$1:$AY$1,),)))))/(((VLOOKUP(EDATE(B175,-12),Database!$F:$AY,MATCH($E$1,Database!$F$1:$AY$1,),))))</f>
        <v/>
      </c>
      <c r="F175" s="13">
        <f>((((VLOOKUP(B175,Database!$F:$AY,MATCH($F$1,Database!$F$1:$AY$1,),))))-(((VLOOKUP(EDATE(B175,-12),Database!$F:$AY,MATCH($F$1,Database!$F$1:$AY$1,),)))))/(((VLOOKUP(EDATE(B175,-12),Database!$F:$AY,MATCH($F$1,Database!$F$1:$AY$1,),))))</f>
        <v/>
      </c>
      <c r="G175" s="13">
        <f>((((VLOOKUP(B175,Database!$F:$AY,MATCH($G$1,Database!$F$1:$AY$1,),))))-(((VLOOKUP(EDATE(B175,-12),Database!$F:$AY,MATCH($G$1,Database!$F$1:$AY$1,),)))))/(((VLOOKUP(EDATE(B175,-12),Database!$F:$AY,MATCH($G$1,Database!$F$1:$AY$1,),))))</f>
        <v/>
      </c>
      <c r="H175" s="13">
        <f>((((VLOOKUP(B175,Database!$F:$AY,MATCH($H$1,Database!$F$1:$AY$1,),))))-(((VLOOKUP(EDATE(B175,-12),Database!$F:$AY,MATCH($H$1,Database!$F$1:$AY$1,),)))))/(((VLOOKUP(EDATE(B175,-12),Database!$F:$AY,MATCH($H$1,Database!$F$1:$AY$1,),))))</f>
        <v/>
      </c>
      <c r="I175" s="13">
        <f>((((VLOOKUP(B175,Database!$F:$AY,MATCH($I$1,Database!$F$1:$AY$1,),))))-(((VLOOKUP(EDATE(B175,-12),Database!$F:$AY,MATCH($I$1,Database!$F$1:$AY$1,),)))))/(((VLOOKUP(EDATE(B175,-12),Database!$F:$AY,MATCH($I$1,Database!$F$1:$AY$1,),))))</f>
        <v/>
      </c>
      <c r="J175" s="13">
        <f>((((VLOOKUP(B175,Database!$F:$AY,MATCH($J$1,Database!$F$1:$AY$1,),))))-(((VLOOKUP(EDATE(B175,-12),Database!$F:$AY,MATCH($J$1,Database!$F$1:$AY$1,),)))))/(((VLOOKUP(EDATE(B175,-12),Database!$F:$AY,MATCH($J$1,Database!$F$1:$AY$1,),))))</f>
        <v/>
      </c>
      <c r="K175" s="13">
        <f>((((VLOOKUP(B175,Database!$F:$AY,MATCH($K$1,Database!$F$1:$AY$1,),))))-(((VLOOKUP(EDATE(B175,-12),Database!$F:$AY,MATCH($K$1,Database!$F$1:$AY$1,),)))))/(((VLOOKUP(EDATE(B175,-12),Database!$F:$AY,MATCH($K$1,Database!$F$1:$AY$1,),))))</f>
        <v/>
      </c>
      <c r="L175" s="13">
        <f>((((VLOOKUP(B175,Database!$F:$AY,MATCH($L$1,Database!$F$1:$AY$1,),))))-(((VLOOKUP(EDATE(B175,-12),Database!$F:$AY,MATCH($L$1,Database!$F$1:$AY$1,),)))))/(((VLOOKUP(EDATE(B175,-12),Database!$F:$AY,MATCH($L$1,Database!$F$1:$AY$1,),))))</f>
        <v/>
      </c>
      <c r="M175" s="13">
        <f>((((VLOOKUP(B175,Database!$F:$AY,MATCH($M$1,Database!$F$1:$AY$1,),))))-(((VLOOKUP(EDATE(B175,-12),Database!$F:$AY,MATCH($M$1,Database!$F$1:$AY$1,),)))))/(((VLOOKUP(EDATE(B175,-12),Database!$F:$AY,MATCH($M$1,Database!$F$1:$AY$1,),))))</f>
        <v/>
      </c>
      <c r="N175" s="13">
        <f>((((VLOOKUP(B175,Database!$F:$AY,MATCH($N$1,Database!$F$1:$AY$1,),))))-(((VLOOKUP(EDATE(B175,-12),Database!$F:$AY,MATCH($N$1,Database!$F$1:$AY$1,),)))))/(((VLOOKUP(EDATE(B175,-12),Database!$F:$AY,MATCH($N$1,Database!$F$1:$AY$1,),))))</f>
        <v/>
      </c>
      <c r="O175" s="13">
        <f>((((VLOOKUP(B175,Database!$F:$AY,MATCH($O$1,Database!$F$1:$AY$1,),))))-(((VLOOKUP(EDATE(B175,-12),Database!$F:$AY,MATCH($O$1,Database!$F$1:$AY$1,),)))))/(((VLOOKUP(EDATE(B175,-12),Database!$F:$AY,MATCH($O$1,Database!$F$1:$AY$1,),))))</f>
        <v/>
      </c>
      <c r="P175" s="13">
        <f>((((VLOOKUP(B175,Database!$F:$AY,MATCH($P$1,Database!$F$1:$AY$1,),))))-(((VLOOKUP(EDATE(B175,-12),Database!$F:$AY,MATCH($P$1,Database!$F$1:$AY$1,),)))))/(((VLOOKUP(EDATE(B175,-12),Database!$F:$AY,MATCH($P$1,Database!$F$1:$AY$1,),))))</f>
        <v/>
      </c>
      <c r="Q175" s="13">
        <f>((((VLOOKUP(B175,Database!$F:$AY,MATCH($Q$1,Database!$F$1:$AY$1,),))))-(((VLOOKUP(EDATE(B175,-12),Database!$F:$AY,MATCH($Q$1,Database!$F$1:$AY$1,),)))))/(((VLOOKUP(EDATE(B175,-12),Database!$F:$AY,MATCH($Q$1,Database!$F$1:$AY$1,),))))</f>
        <v/>
      </c>
      <c r="R175" s="13">
        <f>((((VLOOKUP(B175,Database!$F:$AY,MATCH($R$1,Database!$F$1:$AY$1,),))))-(((VLOOKUP(EDATE(B175,-12),Database!$F:$AY,MATCH($R$1,Database!$F$1:$AY$1,),)))))/(((VLOOKUP(EDATE(B175,-12),Database!$F:$AY,MATCH($R$1,Database!$F$1:$AY$1,),))))</f>
        <v/>
      </c>
      <c r="S175" s="13">
        <f>((((VLOOKUP(B175,Database!$F:$AY,MATCH($S$1,Database!$F$1:$AY$1,),))))-(((VLOOKUP(EDATE(B175,-12),Database!$F:$AY,MATCH($S$1,Database!$F$1:$AY$1,),)))))/(((VLOOKUP(EDATE(B175,-12),Database!$F:$AY,MATCH($S$1,Database!$F$1:$AY$1,),))))</f>
        <v/>
      </c>
      <c r="T175" s="13">
        <f>((((VLOOKUP(B175,Database!$F:$AY,MATCH($T$1,Database!$F$1:$AY$1,),))))-(((VLOOKUP(EDATE(B175,-12),Database!$F:$AY,MATCH($T$1,Database!$F$1:$AY$1,),)))))/(((VLOOKUP(EDATE(B175,-12),Database!$F:$AY,MATCH($T$1,Database!$F$1:$AY$1,),))))</f>
        <v/>
      </c>
      <c r="U175" s="13">
        <f>((((VLOOKUP(B175,Database!$F:$AY,MATCH($U$1,Database!$F$1:$AY$1,),))))-(((VLOOKUP(EDATE(B175,-12),Database!$F:$AY,MATCH($U$1,Database!$F$1:$AY$1,),)))))/(((VLOOKUP(EDATE(B175,-12),Database!$F:$AY,MATCH($U$1,Database!$F$1:$AY$1,),))))</f>
        <v/>
      </c>
      <c r="V175" s="13">
        <f>((((VLOOKUP(B175,Database!$F:$AY,MATCH($V$1,Database!$F$1:$AY$1,),))))-(((VLOOKUP(EDATE(B175,-12),Database!$F:$AY,MATCH($V$1,Database!$F$1:$AY$1,),)))))/(((VLOOKUP(EDATE(B175,-12),Database!$F:$AY,MATCH($V$1,Database!$F$1:$AY$1,),))))</f>
        <v/>
      </c>
    </row>
    <row r="176" customFormat="1" s="100">
      <c r="A176" s="45" t="n"/>
      <c r="B176" s="46" t="n">
        <v>37500</v>
      </c>
      <c r="C176" s="13">
        <f>((((VLOOKUP(B176,Database!$F:$AY,MATCH($C$1,Database!$F$1:$AY$1,),))))-(((VLOOKUP(EDATE(B176,-12),Database!$F:$AY,MATCH($C$1,Database!$F$1:$AY$1,),)))))/(((VLOOKUP(EDATE(B176,-12),Database!$F:$AY,MATCH($C$1,Database!$F$1:$AY$1,),))))</f>
        <v/>
      </c>
      <c r="D176" s="13">
        <f>((((VLOOKUP(B176,Database!$F:$AY,MATCH($D$1,Database!$F$1:$AY$1,),))))-(((VLOOKUP(EDATE(B176,-12),Database!$F:$AY,MATCH($D$1,Database!$F$1:$AY$1,),)))))/(((VLOOKUP(EDATE(B176,-12),Database!$F:$AY,MATCH($D$1,Database!$F$1:$AY$1,),))))</f>
        <v/>
      </c>
      <c r="E176" s="13">
        <f>((((VLOOKUP(B176,Database!$F:$AY,MATCH($E$1,Database!$F$1:$AY$1,),))))-(((VLOOKUP(EDATE(B176,-12),Database!$F:$AY,MATCH($E$1,Database!$F$1:$AY$1,),)))))/(((VLOOKUP(EDATE(B176,-12),Database!$F:$AY,MATCH($E$1,Database!$F$1:$AY$1,),))))</f>
        <v/>
      </c>
      <c r="F176" s="13">
        <f>((((VLOOKUP(B176,Database!$F:$AY,MATCH($F$1,Database!$F$1:$AY$1,),))))-(((VLOOKUP(EDATE(B176,-12),Database!$F:$AY,MATCH($F$1,Database!$F$1:$AY$1,),)))))/(((VLOOKUP(EDATE(B176,-12),Database!$F:$AY,MATCH($F$1,Database!$F$1:$AY$1,),))))</f>
        <v/>
      </c>
      <c r="G176" s="13">
        <f>((((VLOOKUP(B176,Database!$F:$AY,MATCH($G$1,Database!$F$1:$AY$1,),))))-(((VLOOKUP(EDATE(B176,-12),Database!$F:$AY,MATCH($G$1,Database!$F$1:$AY$1,),)))))/(((VLOOKUP(EDATE(B176,-12),Database!$F:$AY,MATCH($G$1,Database!$F$1:$AY$1,),))))</f>
        <v/>
      </c>
      <c r="H176" s="13">
        <f>((((VLOOKUP(B176,Database!$F:$AY,MATCH($H$1,Database!$F$1:$AY$1,),))))-(((VLOOKUP(EDATE(B176,-12),Database!$F:$AY,MATCH($H$1,Database!$F$1:$AY$1,),)))))/(((VLOOKUP(EDATE(B176,-12),Database!$F:$AY,MATCH($H$1,Database!$F$1:$AY$1,),))))</f>
        <v/>
      </c>
      <c r="I176" s="13">
        <f>((((VLOOKUP(B176,Database!$F:$AY,MATCH($I$1,Database!$F$1:$AY$1,),))))-(((VLOOKUP(EDATE(B176,-12),Database!$F:$AY,MATCH($I$1,Database!$F$1:$AY$1,),)))))/(((VLOOKUP(EDATE(B176,-12),Database!$F:$AY,MATCH($I$1,Database!$F$1:$AY$1,),))))</f>
        <v/>
      </c>
      <c r="J176" s="13">
        <f>((((VLOOKUP(B176,Database!$F:$AY,MATCH($J$1,Database!$F$1:$AY$1,),))))-(((VLOOKUP(EDATE(B176,-12),Database!$F:$AY,MATCH($J$1,Database!$F$1:$AY$1,),)))))/(((VLOOKUP(EDATE(B176,-12),Database!$F:$AY,MATCH($J$1,Database!$F$1:$AY$1,),))))</f>
        <v/>
      </c>
      <c r="K176" s="13">
        <f>((((VLOOKUP(B176,Database!$F:$AY,MATCH($K$1,Database!$F$1:$AY$1,),))))-(((VLOOKUP(EDATE(B176,-12),Database!$F:$AY,MATCH($K$1,Database!$F$1:$AY$1,),)))))/(((VLOOKUP(EDATE(B176,-12),Database!$F:$AY,MATCH($K$1,Database!$F$1:$AY$1,),))))</f>
        <v/>
      </c>
      <c r="L176" s="13">
        <f>((((VLOOKUP(B176,Database!$F:$AY,MATCH($L$1,Database!$F$1:$AY$1,),))))-(((VLOOKUP(EDATE(B176,-12),Database!$F:$AY,MATCH($L$1,Database!$F$1:$AY$1,),)))))/(((VLOOKUP(EDATE(B176,-12),Database!$F:$AY,MATCH($L$1,Database!$F$1:$AY$1,),))))</f>
        <v/>
      </c>
      <c r="M176" s="13">
        <f>((((VLOOKUP(B176,Database!$F:$AY,MATCH($M$1,Database!$F$1:$AY$1,),))))-(((VLOOKUP(EDATE(B176,-12),Database!$F:$AY,MATCH($M$1,Database!$F$1:$AY$1,),)))))/(((VLOOKUP(EDATE(B176,-12),Database!$F:$AY,MATCH($M$1,Database!$F$1:$AY$1,),))))</f>
        <v/>
      </c>
      <c r="N176" s="13">
        <f>((((VLOOKUP(B176,Database!$F:$AY,MATCH($N$1,Database!$F$1:$AY$1,),))))-(((VLOOKUP(EDATE(B176,-12),Database!$F:$AY,MATCH($N$1,Database!$F$1:$AY$1,),)))))/(((VLOOKUP(EDATE(B176,-12),Database!$F:$AY,MATCH($N$1,Database!$F$1:$AY$1,),))))</f>
        <v/>
      </c>
      <c r="O176" s="13">
        <f>((((VLOOKUP(B176,Database!$F:$AY,MATCH($O$1,Database!$F$1:$AY$1,),))))-(((VLOOKUP(EDATE(B176,-12),Database!$F:$AY,MATCH($O$1,Database!$F$1:$AY$1,),)))))/(((VLOOKUP(EDATE(B176,-12),Database!$F:$AY,MATCH($O$1,Database!$F$1:$AY$1,),))))</f>
        <v/>
      </c>
      <c r="P176" s="13">
        <f>((((VLOOKUP(B176,Database!$F:$AY,MATCH($P$1,Database!$F$1:$AY$1,),))))-(((VLOOKUP(EDATE(B176,-12),Database!$F:$AY,MATCH($P$1,Database!$F$1:$AY$1,),)))))/(((VLOOKUP(EDATE(B176,-12),Database!$F:$AY,MATCH($P$1,Database!$F$1:$AY$1,),))))</f>
        <v/>
      </c>
      <c r="Q176" s="13">
        <f>((((VLOOKUP(B176,Database!$F:$AY,MATCH($Q$1,Database!$F$1:$AY$1,),))))-(((VLOOKUP(EDATE(B176,-12),Database!$F:$AY,MATCH($Q$1,Database!$F$1:$AY$1,),)))))/(((VLOOKUP(EDATE(B176,-12),Database!$F:$AY,MATCH($Q$1,Database!$F$1:$AY$1,),))))</f>
        <v/>
      </c>
      <c r="R176" s="13">
        <f>((((VLOOKUP(B176,Database!$F:$AY,MATCH($R$1,Database!$F$1:$AY$1,),))))-(((VLOOKUP(EDATE(B176,-12),Database!$F:$AY,MATCH($R$1,Database!$F$1:$AY$1,),)))))/(((VLOOKUP(EDATE(B176,-12),Database!$F:$AY,MATCH($R$1,Database!$F$1:$AY$1,),))))</f>
        <v/>
      </c>
      <c r="S176" s="13">
        <f>((((VLOOKUP(B176,Database!$F:$AY,MATCH($S$1,Database!$F$1:$AY$1,),))))-(((VLOOKUP(EDATE(B176,-12),Database!$F:$AY,MATCH($S$1,Database!$F$1:$AY$1,),)))))/(((VLOOKUP(EDATE(B176,-12),Database!$F:$AY,MATCH($S$1,Database!$F$1:$AY$1,),))))</f>
        <v/>
      </c>
      <c r="T176" s="13">
        <f>((((VLOOKUP(B176,Database!$F:$AY,MATCH($T$1,Database!$F$1:$AY$1,),))))-(((VLOOKUP(EDATE(B176,-12),Database!$F:$AY,MATCH($T$1,Database!$F$1:$AY$1,),)))))/(((VLOOKUP(EDATE(B176,-12),Database!$F:$AY,MATCH($T$1,Database!$F$1:$AY$1,),))))</f>
        <v/>
      </c>
      <c r="U176" s="13">
        <f>((((VLOOKUP(B176,Database!$F:$AY,MATCH($U$1,Database!$F$1:$AY$1,),))))-(((VLOOKUP(EDATE(B176,-12),Database!$F:$AY,MATCH($U$1,Database!$F$1:$AY$1,),)))))/(((VLOOKUP(EDATE(B176,-12),Database!$F:$AY,MATCH($U$1,Database!$F$1:$AY$1,),))))</f>
        <v/>
      </c>
      <c r="V176" s="13">
        <f>((((VLOOKUP(B176,Database!$F:$AY,MATCH($V$1,Database!$F$1:$AY$1,),))))-(((VLOOKUP(EDATE(B176,-12),Database!$F:$AY,MATCH($V$1,Database!$F$1:$AY$1,),)))))/(((VLOOKUP(EDATE(B176,-12),Database!$F:$AY,MATCH($V$1,Database!$F$1:$AY$1,),))))</f>
        <v/>
      </c>
    </row>
    <row r="177" customFormat="1" s="100">
      <c r="A177" s="45" t="n"/>
      <c r="B177" s="46" t="n">
        <v>37530</v>
      </c>
      <c r="C177" s="13">
        <f>((((VLOOKUP(B177,Database!$F:$AY,MATCH($C$1,Database!$F$1:$AY$1,),))))-(((VLOOKUP(EDATE(B177,-12),Database!$F:$AY,MATCH($C$1,Database!$F$1:$AY$1,),)))))/(((VLOOKUP(EDATE(B177,-12),Database!$F:$AY,MATCH($C$1,Database!$F$1:$AY$1,),))))</f>
        <v/>
      </c>
      <c r="D177" s="13">
        <f>((((VLOOKUP(B177,Database!$F:$AY,MATCH($D$1,Database!$F$1:$AY$1,),))))-(((VLOOKUP(EDATE(B177,-12),Database!$F:$AY,MATCH($D$1,Database!$F$1:$AY$1,),)))))/(((VLOOKUP(EDATE(B177,-12),Database!$F:$AY,MATCH($D$1,Database!$F$1:$AY$1,),))))</f>
        <v/>
      </c>
      <c r="E177" s="13">
        <f>((((VLOOKUP(B177,Database!$F:$AY,MATCH($E$1,Database!$F$1:$AY$1,),))))-(((VLOOKUP(EDATE(B177,-12),Database!$F:$AY,MATCH($E$1,Database!$F$1:$AY$1,),)))))/(((VLOOKUP(EDATE(B177,-12),Database!$F:$AY,MATCH($E$1,Database!$F$1:$AY$1,),))))</f>
        <v/>
      </c>
      <c r="F177" s="13">
        <f>((((VLOOKUP(B177,Database!$F:$AY,MATCH($F$1,Database!$F$1:$AY$1,),))))-(((VLOOKUP(EDATE(B177,-12),Database!$F:$AY,MATCH($F$1,Database!$F$1:$AY$1,),)))))/(((VLOOKUP(EDATE(B177,-12),Database!$F:$AY,MATCH($F$1,Database!$F$1:$AY$1,),))))</f>
        <v/>
      </c>
      <c r="G177" s="13">
        <f>((((VLOOKUP(B177,Database!$F:$AY,MATCH($G$1,Database!$F$1:$AY$1,),))))-(((VLOOKUP(EDATE(B177,-12),Database!$F:$AY,MATCH($G$1,Database!$F$1:$AY$1,),)))))/(((VLOOKUP(EDATE(B177,-12),Database!$F:$AY,MATCH($G$1,Database!$F$1:$AY$1,),))))</f>
        <v/>
      </c>
      <c r="H177" s="13">
        <f>((((VLOOKUP(B177,Database!$F:$AY,MATCH($H$1,Database!$F$1:$AY$1,),))))-(((VLOOKUP(EDATE(B177,-12),Database!$F:$AY,MATCH($H$1,Database!$F$1:$AY$1,),)))))/(((VLOOKUP(EDATE(B177,-12),Database!$F:$AY,MATCH($H$1,Database!$F$1:$AY$1,),))))</f>
        <v/>
      </c>
      <c r="I177" s="13">
        <f>((((VLOOKUP(B177,Database!$F:$AY,MATCH($I$1,Database!$F$1:$AY$1,),))))-(((VLOOKUP(EDATE(B177,-12),Database!$F:$AY,MATCH($I$1,Database!$F$1:$AY$1,),)))))/(((VLOOKUP(EDATE(B177,-12),Database!$F:$AY,MATCH($I$1,Database!$F$1:$AY$1,),))))</f>
        <v/>
      </c>
      <c r="J177" s="13">
        <f>((((VLOOKUP(B177,Database!$F:$AY,MATCH($J$1,Database!$F$1:$AY$1,),))))-(((VLOOKUP(EDATE(B177,-12),Database!$F:$AY,MATCH($J$1,Database!$F$1:$AY$1,),)))))/(((VLOOKUP(EDATE(B177,-12),Database!$F:$AY,MATCH($J$1,Database!$F$1:$AY$1,),))))</f>
        <v/>
      </c>
      <c r="K177" s="13">
        <f>((((VLOOKUP(B177,Database!$F:$AY,MATCH($K$1,Database!$F$1:$AY$1,),))))-(((VLOOKUP(EDATE(B177,-12),Database!$F:$AY,MATCH($K$1,Database!$F$1:$AY$1,),)))))/(((VLOOKUP(EDATE(B177,-12),Database!$F:$AY,MATCH($K$1,Database!$F$1:$AY$1,),))))</f>
        <v/>
      </c>
      <c r="L177" s="13">
        <f>((((VLOOKUP(B177,Database!$F:$AY,MATCH($L$1,Database!$F$1:$AY$1,),))))-(((VLOOKUP(EDATE(B177,-12),Database!$F:$AY,MATCH($L$1,Database!$F$1:$AY$1,),)))))/(((VLOOKUP(EDATE(B177,-12),Database!$F:$AY,MATCH($L$1,Database!$F$1:$AY$1,),))))</f>
        <v/>
      </c>
      <c r="M177" s="13">
        <f>((((VLOOKUP(B177,Database!$F:$AY,MATCH($M$1,Database!$F$1:$AY$1,),))))-(((VLOOKUP(EDATE(B177,-12),Database!$F:$AY,MATCH($M$1,Database!$F$1:$AY$1,),)))))/(((VLOOKUP(EDATE(B177,-12),Database!$F:$AY,MATCH($M$1,Database!$F$1:$AY$1,),))))</f>
        <v/>
      </c>
      <c r="N177" s="13">
        <f>((((VLOOKUP(B177,Database!$F:$AY,MATCH($N$1,Database!$F$1:$AY$1,),))))-(((VLOOKUP(EDATE(B177,-12),Database!$F:$AY,MATCH($N$1,Database!$F$1:$AY$1,),)))))/(((VLOOKUP(EDATE(B177,-12),Database!$F:$AY,MATCH($N$1,Database!$F$1:$AY$1,),))))</f>
        <v/>
      </c>
      <c r="O177" s="13">
        <f>((((VLOOKUP(B177,Database!$F:$AY,MATCH($O$1,Database!$F$1:$AY$1,),))))-(((VLOOKUP(EDATE(B177,-12),Database!$F:$AY,MATCH($O$1,Database!$F$1:$AY$1,),)))))/(((VLOOKUP(EDATE(B177,-12),Database!$F:$AY,MATCH($O$1,Database!$F$1:$AY$1,),))))</f>
        <v/>
      </c>
      <c r="P177" s="13">
        <f>((((VLOOKUP(B177,Database!$F:$AY,MATCH($P$1,Database!$F$1:$AY$1,),))))-(((VLOOKUP(EDATE(B177,-12),Database!$F:$AY,MATCH($P$1,Database!$F$1:$AY$1,),)))))/(((VLOOKUP(EDATE(B177,-12),Database!$F:$AY,MATCH($P$1,Database!$F$1:$AY$1,),))))</f>
        <v/>
      </c>
      <c r="Q177" s="13">
        <f>((((VLOOKUP(B177,Database!$F:$AY,MATCH($Q$1,Database!$F$1:$AY$1,),))))-(((VLOOKUP(EDATE(B177,-12),Database!$F:$AY,MATCH($Q$1,Database!$F$1:$AY$1,),)))))/(((VLOOKUP(EDATE(B177,-12),Database!$F:$AY,MATCH($Q$1,Database!$F$1:$AY$1,),))))</f>
        <v/>
      </c>
      <c r="R177" s="13">
        <f>((((VLOOKUP(B177,Database!$F:$AY,MATCH($R$1,Database!$F$1:$AY$1,),))))-(((VLOOKUP(EDATE(B177,-12),Database!$F:$AY,MATCH($R$1,Database!$F$1:$AY$1,),)))))/(((VLOOKUP(EDATE(B177,-12),Database!$F:$AY,MATCH($R$1,Database!$F$1:$AY$1,),))))</f>
        <v/>
      </c>
      <c r="S177" s="13">
        <f>((((VLOOKUP(B177,Database!$F:$AY,MATCH($S$1,Database!$F$1:$AY$1,),))))-(((VLOOKUP(EDATE(B177,-12),Database!$F:$AY,MATCH($S$1,Database!$F$1:$AY$1,),)))))/(((VLOOKUP(EDATE(B177,-12),Database!$F:$AY,MATCH($S$1,Database!$F$1:$AY$1,),))))</f>
        <v/>
      </c>
      <c r="T177" s="13">
        <f>((((VLOOKUP(B177,Database!$F:$AY,MATCH($T$1,Database!$F$1:$AY$1,),))))-(((VLOOKUP(EDATE(B177,-12),Database!$F:$AY,MATCH($T$1,Database!$F$1:$AY$1,),)))))/(((VLOOKUP(EDATE(B177,-12),Database!$F:$AY,MATCH($T$1,Database!$F$1:$AY$1,),))))</f>
        <v/>
      </c>
      <c r="U177" s="13">
        <f>((((VLOOKUP(B177,Database!$F:$AY,MATCH($U$1,Database!$F$1:$AY$1,),))))-(((VLOOKUP(EDATE(B177,-12),Database!$F:$AY,MATCH($U$1,Database!$F$1:$AY$1,),)))))/(((VLOOKUP(EDATE(B177,-12),Database!$F:$AY,MATCH($U$1,Database!$F$1:$AY$1,),))))</f>
        <v/>
      </c>
      <c r="V177" s="13">
        <f>((((VLOOKUP(B177,Database!$F:$AY,MATCH($V$1,Database!$F$1:$AY$1,),))))-(((VLOOKUP(EDATE(B177,-12),Database!$F:$AY,MATCH($V$1,Database!$F$1:$AY$1,),)))))/(((VLOOKUP(EDATE(B177,-12),Database!$F:$AY,MATCH($V$1,Database!$F$1:$AY$1,),))))</f>
        <v/>
      </c>
    </row>
    <row r="178" customFormat="1" s="100">
      <c r="A178" s="45" t="n"/>
      <c r="B178" s="46" t="n">
        <v>37561</v>
      </c>
      <c r="C178" s="13">
        <f>((((VLOOKUP(B178,Database!$F:$AY,MATCH($C$1,Database!$F$1:$AY$1,),))))-(((VLOOKUP(EDATE(B178,-12),Database!$F:$AY,MATCH($C$1,Database!$F$1:$AY$1,),)))))/(((VLOOKUP(EDATE(B178,-12),Database!$F:$AY,MATCH($C$1,Database!$F$1:$AY$1,),))))</f>
        <v/>
      </c>
      <c r="D178" s="13">
        <f>((((VLOOKUP(B178,Database!$F:$AY,MATCH($D$1,Database!$F$1:$AY$1,),))))-(((VLOOKUP(EDATE(B178,-12),Database!$F:$AY,MATCH($D$1,Database!$F$1:$AY$1,),)))))/(((VLOOKUP(EDATE(B178,-12),Database!$F:$AY,MATCH($D$1,Database!$F$1:$AY$1,),))))</f>
        <v/>
      </c>
      <c r="E178" s="13">
        <f>((((VLOOKUP(B178,Database!$F:$AY,MATCH($E$1,Database!$F$1:$AY$1,),))))-(((VLOOKUP(EDATE(B178,-12),Database!$F:$AY,MATCH($E$1,Database!$F$1:$AY$1,),)))))/(((VLOOKUP(EDATE(B178,-12),Database!$F:$AY,MATCH($E$1,Database!$F$1:$AY$1,),))))</f>
        <v/>
      </c>
      <c r="F178" s="13">
        <f>((((VLOOKUP(B178,Database!$F:$AY,MATCH($F$1,Database!$F$1:$AY$1,),))))-(((VLOOKUP(EDATE(B178,-12),Database!$F:$AY,MATCH($F$1,Database!$F$1:$AY$1,),)))))/(((VLOOKUP(EDATE(B178,-12),Database!$F:$AY,MATCH($F$1,Database!$F$1:$AY$1,),))))</f>
        <v/>
      </c>
      <c r="G178" s="13">
        <f>((((VLOOKUP(B178,Database!$F:$AY,MATCH($G$1,Database!$F$1:$AY$1,),))))-(((VLOOKUP(EDATE(B178,-12),Database!$F:$AY,MATCH($G$1,Database!$F$1:$AY$1,),)))))/(((VLOOKUP(EDATE(B178,-12),Database!$F:$AY,MATCH($G$1,Database!$F$1:$AY$1,),))))</f>
        <v/>
      </c>
      <c r="H178" s="13">
        <f>((((VLOOKUP(B178,Database!$F:$AY,MATCH($H$1,Database!$F$1:$AY$1,),))))-(((VLOOKUP(EDATE(B178,-12),Database!$F:$AY,MATCH($H$1,Database!$F$1:$AY$1,),)))))/(((VLOOKUP(EDATE(B178,-12),Database!$F:$AY,MATCH($H$1,Database!$F$1:$AY$1,),))))</f>
        <v/>
      </c>
      <c r="I178" s="13">
        <f>((((VLOOKUP(B178,Database!$F:$AY,MATCH($I$1,Database!$F$1:$AY$1,),))))-(((VLOOKUP(EDATE(B178,-12),Database!$F:$AY,MATCH($I$1,Database!$F$1:$AY$1,),)))))/(((VLOOKUP(EDATE(B178,-12),Database!$F:$AY,MATCH($I$1,Database!$F$1:$AY$1,),))))</f>
        <v/>
      </c>
      <c r="J178" s="13">
        <f>((((VLOOKUP(B178,Database!$F:$AY,MATCH($J$1,Database!$F$1:$AY$1,),))))-(((VLOOKUP(EDATE(B178,-12),Database!$F:$AY,MATCH($J$1,Database!$F$1:$AY$1,),)))))/(((VLOOKUP(EDATE(B178,-12),Database!$F:$AY,MATCH($J$1,Database!$F$1:$AY$1,),))))</f>
        <v/>
      </c>
      <c r="K178" s="13">
        <f>((((VLOOKUP(B178,Database!$F:$AY,MATCH($K$1,Database!$F$1:$AY$1,),))))-(((VLOOKUP(EDATE(B178,-12),Database!$F:$AY,MATCH($K$1,Database!$F$1:$AY$1,),)))))/(((VLOOKUP(EDATE(B178,-12),Database!$F:$AY,MATCH($K$1,Database!$F$1:$AY$1,),))))</f>
        <v/>
      </c>
      <c r="L178" s="13">
        <f>((((VLOOKUP(B178,Database!$F:$AY,MATCH($L$1,Database!$F$1:$AY$1,),))))-(((VLOOKUP(EDATE(B178,-12),Database!$F:$AY,MATCH($L$1,Database!$F$1:$AY$1,),)))))/(((VLOOKUP(EDATE(B178,-12),Database!$F:$AY,MATCH($L$1,Database!$F$1:$AY$1,),))))</f>
        <v/>
      </c>
      <c r="M178" s="13">
        <f>((((VLOOKUP(B178,Database!$F:$AY,MATCH($M$1,Database!$F$1:$AY$1,),))))-(((VLOOKUP(EDATE(B178,-12),Database!$F:$AY,MATCH($M$1,Database!$F$1:$AY$1,),)))))/(((VLOOKUP(EDATE(B178,-12),Database!$F:$AY,MATCH($M$1,Database!$F$1:$AY$1,),))))</f>
        <v/>
      </c>
      <c r="N178" s="13">
        <f>((((VLOOKUP(B178,Database!$F:$AY,MATCH($N$1,Database!$F$1:$AY$1,),))))-(((VLOOKUP(EDATE(B178,-12),Database!$F:$AY,MATCH($N$1,Database!$F$1:$AY$1,),)))))/(((VLOOKUP(EDATE(B178,-12),Database!$F:$AY,MATCH($N$1,Database!$F$1:$AY$1,),))))</f>
        <v/>
      </c>
      <c r="O178" s="13">
        <f>((((VLOOKUP(B178,Database!$F:$AY,MATCH($O$1,Database!$F$1:$AY$1,),))))-(((VLOOKUP(EDATE(B178,-12),Database!$F:$AY,MATCH($O$1,Database!$F$1:$AY$1,),)))))/(((VLOOKUP(EDATE(B178,-12),Database!$F:$AY,MATCH($O$1,Database!$F$1:$AY$1,),))))</f>
        <v/>
      </c>
      <c r="P178" s="13">
        <f>((((VLOOKUP(B178,Database!$F:$AY,MATCH($P$1,Database!$F$1:$AY$1,),))))-(((VLOOKUP(EDATE(B178,-12),Database!$F:$AY,MATCH($P$1,Database!$F$1:$AY$1,),)))))/(((VLOOKUP(EDATE(B178,-12),Database!$F:$AY,MATCH($P$1,Database!$F$1:$AY$1,),))))</f>
        <v/>
      </c>
      <c r="Q178" s="13">
        <f>((((VLOOKUP(B178,Database!$F:$AY,MATCH($Q$1,Database!$F$1:$AY$1,),))))-(((VLOOKUP(EDATE(B178,-12),Database!$F:$AY,MATCH($Q$1,Database!$F$1:$AY$1,),)))))/(((VLOOKUP(EDATE(B178,-12),Database!$F:$AY,MATCH($Q$1,Database!$F$1:$AY$1,),))))</f>
        <v/>
      </c>
      <c r="R178" s="13">
        <f>((((VLOOKUP(B178,Database!$F:$AY,MATCH($R$1,Database!$F$1:$AY$1,),))))-(((VLOOKUP(EDATE(B178,-12),Database!$F:$AY,MATCH($R$1,Database!$F$1:$AY$1,),)))))/(((VLOOKUP(EDATE(B178,-12),Database!$F:$AY,MATCH($R$1,Database!$F$1:$AY$1,),))))</f>
        <v/>
      </c>
      <c r="S178" s="13">
        <f>((((VLOOKUP(B178,Database!$F:$AY,MATCH($S$1,Database!$F$1:$AY$1,),))))-(((VLOOKUP(EDATE(B178,-12),Database!$F:$AY,MATCH($S$1,Database!$F$1:$AY$1,),)))))/(((VLOOKUP(EDATE(B178,-12),Database!$F:$AY,MATCH($S$1,Database!$F$1:$AY$1,),))))</f>
        <v/>
      </c>
      <c r="T178" s="13">
        <f>((((VLOOKUP(B178,Database!$F:$AY,MATCH($T$1,Database!$F$1:$AY$1,),))))-(((VLOOKUP(EDATE(B178,-12),Database!$F:$AY,MATCH($T$1,Database!$F$1:$AY$1,),)))))/(((VLOOKUP(EDATE(B178,-12),Database!$F:$AY,MATCH($T$1,Database!$F$1:$AY$1,),))))</f>
        <v/>
      </c>
      <c r="U178" s="13">
        <f>((((VLOOKUP(B178,Database!$F:$AY,MATCH($U$1,Database!$F$1:$AY$1,),))))-(((VLOOKUP(EDATE(B178,-12),Database!$F:$AY,MATCH($U$1,Database!$F$1:$AY$1,),)))))/(((VLOOKUP(EDATE(B178,-12),Database!$F:$AY,MATCH($U$1,Database!$F$1:$AY$1,),))))</f>
        <v/>
      </c>
      <c r="V178" s="13">
        <f>((((VLOOKUP(B178,Database!$F:$AY,MATCH($V$1,Database!$F$1:$AY$1,),))))-(((VLOOKUP(EDATE(B178,-12),Database!$F:$AY,MATCH($V$1,Database!$F$1:$AY$1,),)))))/(((VLOOKUP(EDATE(B178,-12),Database!$F:$AY,MATCH($V$1,Database!$F$1:$AY$1,),))))</f>
        <v/>
      </c>
    </row>
    <row r="179" customFormat="1" s="100">
      <c r="A179" s="45" t="n"/>
      <c r="B179" s="46" t="n">
        <v>37591</v>
      </c>
      <c r="C179" s="13">
        <f>((((VLOOKUP(B179,Database!$F:$AY,MATCH($C$1,Database!$F$1:$AY$1,),))))-(((VLOOKUP(EDATE(B179,-12),Database!$F:$AY,MATCH($C$1,Database!$F$1:$AY$1,),)))))/(((VLOOKUP(EDATE(B179,-12),Database!$F:$AY,MATCH($C$1,Database!$F$1:$AY$1,),))))</f>
        <v/>
      </c>
      <c r="D179" s="13">
        <f>((((VLOOKUP(B179,Database!$F:$AY,MATCH($D$1,Database!$F$1:$AY$1,),))))-(((VLOOKUP(EDATE(B179,-12),Database!$F:$AY,MATCH($D$1,Database!$F$1:$AY$1,),)))))/(((VLOOKUP(EDATE(B179,-12),Database!$F:$AY,MATCH($D$1,Database!$F$1:$AY$1,),))))</f>
        <v/>
      </c>
      <c r="E179" s="13">
        <f>((((VLOOKUP(B179,Database!$F:$AY,MATCH($E$1,Database!$F$1:$AY$1,),))))-(((VLOOKUP(EDATE(B179,-12),Database!$F:$AY,MATCH($E$1,Database!$F$1:$AY$1,),)))))/(((VLOOKUP(EDATE(B179,-12),Database!$F:$AY,MATCH($E$1,Database!$F$1:$AY$1,),))))</f>
        <v/>
      </c>
      <c r="F179" s="13">
        <f>((((VLOOKUP(B179,Database!$F:$AY,MATCH($F$1,Database!$F$1:$AY$1,),))))-(((VLOOKUP(EDATE(B179,-12),Database!$F:$AY,MATCH($F$1,Database!$F$1:$AY$1,),)))))/(((VLOOKUP(EDATE(B179,-12),Database!$F:$AY,MATCH($F$1,Database!$F$1:$AY$1,),))))</f>
        <v/>
      </c>
      <c r="G179" s="13">
        <f>((((VLOOKUP(B179,Database!$F:$AY,MATCH($G$1,Database!$F$1:$AY$1,),))))-(((VLOOKUP(EDATE(B179,-12),Database!$F:$AY,MATCH($G$1,Database!$F$1:$AY$1,),)))))/(((VLOOKUP(EDATE(B179,-12),Database!$F:$AY,MATCH($G$1,Database!$F$1:$AY$1,),))))</f>
        <v/>
      </c>
      <c r="H179" s="13">
        <f>((((VLOOKUP(B179,Database!$F:$AY,MATCH($H$1,Database!$F$1:$AY$1,),))))-(((VLOOKUP(EDATE(B179,-12),Database!$F:$AY,MATCH($H$1,Database!$F$1:$AY$1,),)))))/(((VLOOKUP(EDATE(B179,-12),Database!$F:$AY,MATCH($H$1,Database!$F$1:$AY$1,),))))</f>
        <v/>
      </c>
      <c r="I179" s="13">
        <f>((((VLOOKUP(B179,Database!$F:$AY,MATCH($I$1,Database!$F$1:$AY$1,),))))-(((VLOOKUP(EDATE(B179,-12),Database!$F:$AY,MATCH($I$1,Database!$F$1:$AY$1,),)))))/(((VLOOKUP(EDATE(B179,-12),Database!$F:$AY,MATCH($I$1,Database!$F$1:$AY$1,),))))</f>
        <v/>
      </c>
      <c r="J179" s="13">
        <f>((((VLOOKUP(B179,Database!$F:$AY,MATCH($J$1,Database!$F$1:$AY$1,),))))-(((VLOOKUP(EDATE(B179,-12),Database!$F:$AY,MATCH($J$1,Database!$F$1:$AY$1,),)))))/(((VLOOKUP(EDATE(B179,-12),Database!$F:$AY,MATCH($J$1,Database!$F$1:$AY$1,),))))</f>
        <v/>
      </c>
      <c r="K179" s="13">
        <f>((((VLOOKUP(B179,Database!$F:$AY,MATCH($K$1,Database!$F$1:$AY$1,),))))-(((VLOOKUP(EDATE(B179,-12),Database!$F:$AY,MATCH($K$1,Database!$F$1:$AY$1,),)))))/(((VLOOKUP(EDATE(B179,-12),Database!$F:$AY,MATCH($K$1,Database!$F$1:$AY$1,),))))</f>
        <v/>
      </c>
      <c r="L179" s="13">
        <f>((((VLOOKUP(B179,Database!$F:$AY,MATCH($L$1,Database!$F$1:$AY$1,),))))-(((VLOOKUP(EDATE(B179,-12),Database!$F:$AY,MATCH($L$1,Database!$F$1:$AY$1,),)))))/(((VLOOKUP(EDATE(B179,-12),Database!$F:$AY,MATCH($L$1,Database!$F$1:$AY$1,),))))</f>
        <v/>
      </c>
      <c r="M179" s="13">
        <f>((((VLOOKUP(B179,Database!$F:$AY,MATCH($M$1,Database!$F$1:$AY$1,),))))-(((VLOOKUP(EDATE(B179,-12),Database!$F:$AY,MATCH($M$1,Database!$F$1:$AY$1,),)))))/(((VLOOKUP(EDATE(B179,-12),Database!$F:$AY,MATCH($M$1,Database!$F$1:$AY$1,),))))</f>
        <v/>
      </c>
      <c r="N179" s="13">
        <f>((((VLOOKUP(B179,Database!$F:$AY,MATCH($N$1,Database!$F$1:$AY$1,),))))-(((VLOOKUP(EDATE(B179,-12),Database!$F:$AY,MATCH($N$1,Database!$F$1:$AY$1,),)))))/(((VLOOKUP(EDATE(B179,-12),Database!$F:$AY,MATCH($N$1,Database!$F$1:$AY$1,),))))</f>
        <v/>
      </c>
      <c r="O179" s="13">
        <f>((((VLOOKUP(B179,Database!$F:$AY,MATCH($O$1,Database!$F$1:$AY$1,),))))-(((VLOOKUP(EDATE(B179,-12),Database!$F:$AY,MATCH($O$1,Database!$F$1:$AY$1,),)))))/(((VLOOKUP(EDATE(B179,-12),Database!$F:$AY,MATCH($O$1,Database!$F$1:$AY$1,),))))</f>
        <v/>
      </c>
      <c r="P179" s="13">
        <f>((((VLOOKUP(B179,Database!$F:$AY,MATCH($P$1,Database!$F$1:$AY$1,),))))-(((VLOOKUP(EDATE(B179,-12),Database!$F:$AY,MATCH($P$1,Database!$F$1:$AY$1,),)))))/(((VLOOKUP(EDATE(B179,-12),Database!$F:$AY,MATCH($P$1,Database!$F$1:$AY$1,),))))</f>
        <v/>
      </c>
      <c r="Q179" s="13">
        <f>((((VLOOKUP(B179,Database!$F:$AY,MATCH($Q$1,Database!$F$1:$AY$1,),))))-(((VLOOKUP(EDATE(B179,-12),Database!$F:$AY,MATCH($Q$1,Database!$F$1:$AY$1,),)))))/(((VLOOKUP(EDATE(B179,-12),Database!$F:$AY,MATCH($Q$1,Database!$F$1:$AY$1,),))))</f>
        <v/>
      </c>
      <c r="R179" s="13">
        <f>((((VLOOKUP(B179,Database!$F:$AY,MATCH($R$1,Database!$F$1:$AY$1,),))))-(((VLOOKUP(EDATE(B179,-12),Database!$F:$AY,MATCH($R$1,Database!$F$1:$AY$1,),)))))/(((VLOOKUP(EDATE(B179,-12),Database!$F:$AY,MATCH($R$1,Database!$F$1:$AY$1,),))))</f>
        <v/>
      </c>
      <c r="S179" s="13">
        <f>((((VLOOKUP(B179,Database!$F:$AY,MATCH($S$1,Database!$F$1:$AY$1,),))))-(((VLOOKUP(EDATE(B179,-12),Database!$F:$AY,MATCH($S$1,Database!$F$1:$AY$1,),)))))/(((VLOOKUP(EDATE(B179,-12),Database!$F:$AY,MATCH($S$1,Database!$F$1:$AY$1,),))))</f>
        <v/>
      </c>
      <c r="T179" s="13">
        <f>((((VLOOKUP(B179,Database!$F:$AY,MATCH($T$1,Database!$F$1:$AY$1,),))))-(((VLOOKUP(EDATE(B179,-12),Database!$F:$AY,MATCH($T$1,Database!$F$1:$AY$1,),)))))/(((VLOOKUP(EDATE(B179,-12),Database!$F:$AY,MATCH($T$1,Database!$F$1:$AY$1,),))))</f>
        <v/>
      </c>
      <c r="U179" s="13">
        <f>((((VLOOKUP(B179,Database!$F:$AY,MATCH($U$1,Database!$F$1:$AY$1,),))))-(((VLOOKUP(EDATE(B179,-12),Database!$F:$AY,MATCH($U$1,Database!$F$1:$AY$1,),)))))/(((VLOOKUP(EDATE(B179,-12),Database!$F:$AY,MATCH($U$1,Database!$F$1:$AY$1,),))))</f>
        <v/>
      </c>
      <c r="V179" s="13">
        <f>((((VLOOKUP(B179,Database!$F:$AY,MATCH($V$1,Database!$F$1:$AY$1,),))))-(((VLOOKUP(EDATE(B179,-12),Database!$F:$AY,MATCH($V$1,Database!$F$1:$AY$1,),)))))/(((VLOOKUP(EDATE(B179,-12),Database!$F:$AY,MATCH($V$1,Database!$F$1:$AY$1,),))))</f>
        <v/>
      </c>
    </row>
    <row r="180" customFormat="1" s="100">
      <c r="A180" s="45" t="n"/>
      <c r="B180" s="46" t="n">
        <v>37622</v>
      </c>
      <c r="C180" s="13">
        <f>((((VLOOKUP(B180,Database!$F:$AY,MATCH($C$1,Database!$F$1:$AY$1,),))))-(((VLOOKUP(EDATE(B180,-12),Database!$F:$AY,MATCH($C$1,Database!$F$1:$AY$1,),)))))/(((VLOOKUP(EDATE(B180,-12),Database!$F:$AY,MATCH($C$1,Database!$F$1:$AY$1,),))))</f>
        <v/>
      </c>
      <c r="D180" s="13">
        <f>((((VLOOKUP(B180,Database!$F:$AY,MATCH($D$1,Database!$F$1:$AY$1,),))))-(((VLOOKUP(EDATE(B180,-12),Database!$F:$AY,MATCH($D$1,Database!$F$1:$AY$1,),)))))/(((VLOOKUP(EDATE(B180,-12),Database!$F:$AY,MATCH($D$1,Database!$F$1:$AY$1,),))))</f>
        <v/>
      </c>
      <c r="E180" s="13">
        <f>((((VLOOKUP(B180,Database!$F:$AY,MATCH($E$1,Database!$F$1:$AY$1,),))))-(((VLOOKUP(EDATE(B180,-12),Database!$F:$AY,MATCH($E$1,Database!$F$1:$AY$1,),)))))/(((VLOOKUP(EDATE(B180,-12),Database!$F:$AY,MATCH($E$1,Database!$F$1:$AY$1,),))))</f>
        <v/>
      </c>
      <c r="F180" s="13">
        <f>((((VLOOKUP(B180,Database!$F:$AY,MATCH($F$1,Database!$F$1:$AY$1,),))))-(((VLOOKUP(EDATE(B180,-12),Database!$F:$AY,MATCH($F$1,Database!$F$1:$AY$1,),)))))/(((VLOOKUP(EDATE(B180,-12),Database!$F:$AY,MATCH($F$1,Database!$F$1:$AY$1,),))))</f>
        <v/>
      </c>
      <c r="G180" s="13">
        <f>((((VLOOKUP(B180,Database!$F:$AY,MATCH($G$1,Database!$F$1:$AY$1,),))))-(((VLOOKUP(EDATE(B180,-12),Database!$F:$AY,MATCH($G$1,Database!$F$1:$AY$1,),)))))/(((VLOOKUP(EDATE(B180,-12),Database!$F:$AY,MATCH($G$1,Database!$F$1:$AY$1,),))))</f>
        <v/>
      </c>
      <c r="H180" s="13">
        <f>((((VLOOKUP(B180,Database!$F:$AY,MATCH($H$1,Database!$F$1:$AY$1,),))))-(((VLOOKUP(EDATE(B180,-12),Database!$F:$AY,MATCH($H$1,Database!$F$1:$AY$1,),)))))/(((VLOOKUP(EDATE(B180,-12),Database!$F:$AY,MATCH($H$1,Database!$F$1:$AY$1,),))))</f>
        <v/>
      </c>
      <c r="I180" s="13">
        <f>((((VLOOKUP(B180,Database!$F:$AY,MATCH($I$1,Database!$F$1:$AY$1,),))))-(((VLOOKUP(EDATE(B180,-12),Database!$F:$AY,MATCH($I$1,Database!$F$1:$AY$1,),)))))/(((VLOOKUP(EDATE(B180,-12),Database!$F:$AY,MATCH($I$1,Database!$F$1:$AY$1,),))))</f>
        <v/>
      </c>
      <c r="J180" s="13">
        <f>((((VLOOKUP(B180,Database!$F:$AY,MATCH($J$1,Database!$F$1:$AY$1,),))))-(((VLOOKUP(EDATE(B180,-12),Database!$F:$AY,MATCH($J$1,Database!$F$1:$AY$1,),)))))/(((VLOOKUP(EDATE(B180,-12),Database!$F:$AY,MATCH($J$1,Database!$F$1:$AY$1,),))))</f>
        <v/>
      </c>
      <c r="K180" s="13">
        <f>((((VLOOKUP(B180,Database!$F:$AY,MATCH($K$1,Database!$F$1:$AY$1,),))))-(((VLOOKUP(EDATE(B180,-12),Database!$F:$AY,MATCH($K$1,Database!$F$1:$AY$1,),)))))/(((VLOOKUP(EDATE(B180,-12),Database!$F:$AY,MATCH($K$1,Database!$F$1:$AY$1,),))))</f>
        <v/>
      </c>
      <c r="L180" s="13">
        <f>((((VLOOKUP(B180,Database!$F:$AY,MATCH($L$1,Database!$F$1:$AY$1,),))))-(((VLOOKUP(EDATE(B180,-12),Database!$F:$AY,MATCH($L$1,Database!$F$1:$AY$1,),)))))/(((VLOOKUP(EDATE(B180,-12),Database!$F:$AY,MATCH($L$1,Database!$F$1:$AY$1,),))))</f>
        <v/>
      </c>
      <c r="M180" s="13">
        <f>((((VLOOKUP(B180,Database!$F:$AY,MATCH($M$1,Database!$F$1:$AY$1,),))))-(((VLOOKUP(EDATE(B180,-12),Database!$F:$AY,MATCH($M$1,Database!$F$1:$AY$1,),)))))/(((VLOOKUP(EDATE(B180,-12),Database!$F:$AY,MATCH($M$1,Database!$F$1:$AY$1,),))))</f>
        <v/>
      </c>
      <c r="N180" s="13">
        <f>((((VLOOKUP(B180,Database!$F:$AY,MATCH($N$1,Database!$F$1:$AY$1,),))))-(((VLOOKUP(EDATE(B180,-12),Database!$F:$AY,MATCH($N$1,Database!$F$1:$AY$1,),)))))/(((VLOOKUP(EDATE(B180,-12),Database!$F:$AY,MATCH($N$1,Database!$F$1:$AY$1,),))))</f>
        <v/>
      </c>
      <c r="O180" s="13">
        <f>((((VLOOKUP(B180,Database!$F:$AY,MATCH($O$1,Database!$F$1:$AY$1,),))))-(((VLOOKUP(EDATE(B180,-12),Database!$F:$AY,MATCH($O$1,Database!$F$1:$AY$1,),)))))/(((VLOOKUP(EDATE(B180,-12),Database!$F:$AY,MATCH($O$1,Database!$F$1:$AY$1,),))))</f>
        <v/>
      </c>
      <c r="P180" s="13">
        <f>((((VLOOKUP(B180,Database!$F:$AY,MATCH($P$1,Database!$F$1:$AY$1,),))))-(((VLOOKUP(EDATE(B180,-12),Database!$F:$AY,MATCH($P$1,Database!$F$1:$AY$1,),)))))/(((VLOOKUP(EDATE(B180,-12),Database!$F:$AY,MATCH($P$1,Database!$F$1:$AY$1,),))))</f>
        <v/>
      </c>
      <c r="Q180" s="13">
        <f>((((VLOOKUP(B180,Database!$F:$AY,MATCH($Q$1,Database!$F$1:$AY$1,),))))-(((VLOOKUP(EDATE(B180,-12),Database!$F:$AY,MATCH($Q$1,Database!$F$1:$AY$1,),)))))/(((VLOOKUP(EDATE(B180,-12),Database!$F:$AY,MATCH($Q$1,Database!$F$1:$AY$1,),))))</f>
        <v/>
      </c>
      <c r="R180" s="13">
        <f>((((VLOOKUP(B180,Database!$F:$AY,MATCH($R$1,Database!$F$1:$AY$1,),))))-(((VLOOKUP(EDATE(B180,-12),Database!$F:$AY,MATCH($R$1,Database!$F$1:$AY$1,),)))))/(((VLOOKUP(EDATE(B180,-12),Database!$F:$AY,MATCH($R$1,Database!$F$1:$AY$1,),))))</f>
        <v/>
      </c>
      <c r="S180" s="13">
        <f>((((VLOOKUP(B180,Database!$F:$AY,MATCH($S$1,Database!$F$1:$AY$1,),))))-(((VLOOKUP(EDATE(B180,-12),Database!$F:$AY,MATCH($S$1,Database!$F$1:$AY$1,),)))))/(((VLOOKUP(EDATE(B180,-12),Database!$F:$AY,MATCH($S$1,Database!$F$1:$AY$1,),))))</f>
        <v/>
      </c>
      <c r="T180" s="13">
        <f>((((VLOOKUP(B180,Database!$F:$AY,MATCH($T$1,Database!$F$1:$AY$1,),))))-(((VLOOKUP(EDATE(B180,-12),Database!$F:$AY,MATCH($T$1,Database!$F$1:$AY$1,),)))))/(((VLOOKUP(EDATE(B180,-12),Database!$F:$AY,MATCH($T$1,Database!$F$1:$AY$1,),))))</f>
        <v/>
      </c>
      <c r="U180" s="13">
        <f>((((VLOOKUP(B180,Database!$F:$AY,MATCH($U$1,Database!$F$1:$AY$1,),))))-(((VLOOKUP(EDATE(B180,-12),Database!$F:$AY,MATCH($U$1,Database!$F$1:$AY$1,),)))))/(((VLOOKUP(EDATE(B180,-12),Database!$F:$AY,MATCH($U$1,Database!$F$1:$AY$1,),))))</f>
        <v/>
      </c>
      <c r="V180" s="13">
        <f>((((VLOOKUP(B180,Database!$F:$AY,MATCH($V$1,Database!$F$1:$AY$1,),))))-(((VLOOKUP(EDATE(B180,-12),Database!$F:$AY,MATCH($V$1,Database!$F$1:$AY$1,),)))))/(((VLOOKUP(EDATE(B180,-12),Database!$F:$AY,MATCH($V$1,Database!$F$1:$AY$1,),))))</f>
        <v/>
      </c>
    </row>
    <row r="181" customFormat="1" s="100">
      <c r="A181" s="45" t="n"/>
      <c r="B181" s="46" t="n">
        <v>37653</v>
      </c>
      <c r="C181" s="13">
        <f>((((VLOOKUP(B181,Database!$F:$AY,MATCH($C$1,Database!$F$1:$AY$1,),))))-(((VLOOKUP(EDATE(B181,-12),Database!$F:$AY,MATCH($C$1,Database!$F$1:$AY$1,),)))))/(((VLOOKUP(EDATE(B181,-12),Database!$F:$AY,MATCH($C$1,Database!$F$1:$AY$1,),))))</f>
        <v/>
      </c>
      <c r="D181" s="13">
        <f>((((VLOOKUP(B181,Database!$F:$AY,MATCH($D$1,Database!$F$1:$AY$1,),))))-(((VLOOKUP(EDATE(B181,-12),Database!$F:$AY,MATCH($D$1,Database!$F$1:$AY$1,),)))))/(((VLOOKUP(EDATE(B181,-12),Database!$F:$AY,MATCH($D$1,Database!$F$1:$AY$1,),))))</f>
        <v/>
      </c>
      <c r="E181" s="13">
        <f>((((VLOOKUP(B181,Database!$F:$AY,MATCH($E$1,Database!$F$1:$AY$1,),))))-(((VLOOKUP(EDATE(B181,-12),Database!$F:$AY,MATCH($E$1,Database!$F$1:$AY$1,),)))))/(((VLOOKUP(EDATE(B181,-12),Database!$F:$AY,MATCH($E$1,Database!$F$1:$AY$1,),))))</f>
        <v/>
      </c>
      <c r="F181" s="13">
        <f>((((VLOOKUP(B181,Database!$F:$AY,MATCH($F$1,Database!$F$1:$AY$1,),))))-(((VLOOKUP(EDATE(B181,-12),Database!$F:$AY,MATCH($F$1,Database!$F$1:$AY$1,),)))))/(((VLOOKUP(EDATE(B181,-12),Database!$F:$AY,MATCH($F$1,Database!$F$1:$AY$1,),))))</f>
        <v/>
      </c>
      <c r="G181" s="13">
        <f>((((VLOOKUP(B181,Database!$F:$AY,MATCH($G$1,Database!$F$1:$AY$1,),))))-(((VLOOKUP(EDATE(B181,-12),Database!$F:$AY,MATCH($G$1,Database!$F$1:$AY$1,),)))))/(((VLOOKUP(EDATE(B181,-12),Database!$F:$AY,MATCH($G$1,Database!$F$1:$AY$1,),))))</f>
        <v/>
      </c>
      <c r="H181" s="13">
        <f>((((VLOOKUP(B181,Database!$F:$AY,MATCH($H$1,Database!$F$1:$AY$1,),))))-(((VLOOKUP(EDATE(B181,-12),Database!$F:$AY,MATCH($H$1,Database!$F$1:$AY$1,),)))))/(((VLOOKUP(EDATE(B181,-12),Database!$F:$AY,MATCH($H$1,Database!$F$1:$AY$1,),))))</f>
        <v/>
      </c>
      <c r="I181" s="13">
        <f>((((VLOOKUP(B181,Database!$F:$AY,MATCH($I$1,Database!$F$1:$AY$1,),))))-(((VLOOKUP(EDATE(B181,-12),Database!$F:$AY,MATCH($I$1,Database!$F$1:$AY$1,),)))))/(((VLOOKUP(EDATE(B181,-12),Database!$F:$AY,MATCH($I$1,Database!$F$1:$AY$1,),))))</f>
        <v/>
      </c>
      <c r="J181" s="13">
        <f>((((VLOOKUP(B181,Database!$F:$AY,MATCH($J$1,Database!$F$1:$AY$1,),))))-(((VLOOKUP(EDATE(B181,-12),Database!$F:$AY,MATCH($J$1,Database!$F$1:$AY$1,),)))))/(((VLOOKUP(EDATE(B181,-12),Database!$F:$AY,MATCH($J$1,Database!$F$1:$AY$1,),))))</f>
        <v/>
      </c>
      <c r="K181" s="13">
        <f>((((VLOOKUP(B181,Database!$F:$AY,MATCH($K$1,Database!$F$1:$AY$1,),))))-(((VLOOKUP(EDATE(B181,-12),Database!$F:$AY,MATCH($K$1,Database!$F$1:$AY$1,),)))))/(((VLOOKUP(EDATE(B181,-12),Database!$F:$AY,MATCH($K$1,Database!$F$1:$AY$1,),))))</f>
        <v/>
      </c>
      <c r="L181" s="13">
        <f>((((VLOOKUP(B181,Database!$F:$AY,MATCH($L$1,Database!$F$1:$AY$1,),))))-(((VLOOKUP(EDATE(B181,-12),Database!$F:$AY,MATCH($L$1,Database!$F$1:$AY$1,),)))))/(((VLOOKUP(EDATE(B181,-12),Database!$F:$AY,MATCH($L$1,Database!$F$1:$AY$1,),))))</f>
        <v/>
      </c>
      <c r="M181" s="13">
        <f>((((VLOOKUP(B181,Database!$F:$AY,MATCH($M$1,Database!$F$1:$AY$1,),))))-(((VLOOKUP(EDATE(B181,-12),Database!$F:$AY,MATCH($M$1,Database!$F$1:$AY$1,),)))))/(((VLOOKUP(EDATE(B181,-12),Database!$F:$AY,MATCH($M$1,Database!$F$1:$AY$1,),))))</f>
        <v/>
      </c>
      <c r="N181" s="13">
        <f>((((VLOOKUP(B181,Database!$F:$AY,MATCH($N$1,Database!$F$1:$AY$1,),))))-(((VLOOKUP(EDATE(B181,-12),Database!$F:$AY,MATCH($N$1,Database!$F$1:$AY$1,),)))))/(((VLOOKUP(EDATE(B181,-12),Database!$F:$AY,MATCH($N$1,Database!$F$1:$AY$1,),))))</f>
        <v/>
      </c>
      <c r="O181" s="13">
        <f>((((VLOOKUP(B181,Database!$F:$AY,MATCH($O$1,Database!$F$1:$AY$1,),))))-(((VLOOKUP(EDATE(B181,-12),Database!$F:$AY,MATCH($O$1,Database!$F$1:$AY$1,),)))))/(((VLOOKUP(EDATE(B181,-12),Database!$F:$AY,MATCH($O$1,Database!$F$1:$AY$1,),))))</f>
        <v/>
      </c>
      <c r="P181" s="13">
        <f>((((VLOOKUP(B181,Database!$F:$AY,MATCH($P$1,Database!$F$1:$AY$1,),))))-(((VLOOKUP(EDATE(B181,-12),Database!$F:$AY,MATCH($P$1,Database!$F$1:$AY$1,),)))))/(((VLOOKUP(EDATE(B181,-12),Database!$F:$AY,MATCH($P$1,Database!$F$1:$AY$1,),))))</f>
        <v/>
      </c>
      <c r="Q181" s="13">
        <f>((((VLOOKUP(B181,Database!$F:$AY,MATCH($Q$1,Database!$F$1:$AY$1,),))))-(((VLOOKUP(EDATE(B181,-12),Database!$F:$AY,MATCH($Q$1,Database!$F$1:$AY$1,),)))))/(((VLOOKUP(EDATE(B181,-12),Database!$F:$AY,MATCH($Q$1,Database!$F$1:$AY$1,),))))</f>
        <v/>
      </c>
      <c r="R181" s="13">
        <f>((((VLOOKUP(B181,Database!$F:$AY,MATCH($R$1,Database!$F$1:$AY$1,),))))-(((VLOOKUP(EDATE(B181,-12),Database!$F:$AY,MATCH($R$1,Database!$F$1:$AY$1,),)))))/(((VLOOKUP(EDATE(B181,-12),Database!$F:$AY,MATCH($R$1,Database!$F$1:$AY$1,),))))</f>
        <v/>
      </c>
      <c r="S181" s="13">
        <f>((((VLOOKUP(B181,Database!$F:$AY,MATCH($S$1,Database!$F$1:$AY$1,),))))-(((VLOOKUP(EDATE(B181,-12),Database!$F:$AY,MATCH($S$1,Database!$F$1:$AY$1,),)))))/(((VLOOKUP(EDATE(B181,-12),Database!$F:$AY,MATCH($S$1,Database!$F$1:$AY$1,),))))</f>
        <v/>
      </c>
      <c r="T181" s="13">
        <f>((((VLOOKUP(B181,Database!$F:$AY,MATCH($T$1,Database!$F$1:$AY$1,),))))-(((VLOOKUP(EDATE(B181,-12),Database!$F:$AY,MATCH($T$1,Database!$F$1:$AY$1,),)))))/(((VLOOKUP(EDATE(B181,-12),Database!$F:$AY,MATCH($T$1,Database!$F$1:$AY$1,),))))</f>
        <v/>
      </c>
      <c r="U181" s="13">
        <f>((((VLOOKUP(B181,Database!$F:$AY,MATCH($U$1,Database!$F$1:$AY$1,),))))-(((VLOOKUP(EDATE(B181,-12),Database!$F:$AY,MATCH($U$1,Database!$F$1:$AY$1,),)))))/(((VLOOKUP(EDATE(B181,-12),Database!$F:$AY,MATCH($U$1,Database!$F$1:$AY$1,),))))</f>
        <v/>
      </c>
      <c r="V181" s="13">
        <f>((((VLOOKUP(B181,Database!$F:$AY,MATCH($V$1,Database!$F$1:$AY$1,),))))-(((VLOOKUP(EDATE(B181,-12),Database!$F:$AY,MATCH($V$1,Database!$F$1:$AY$1,),)))))/(((VLOOKUP(EDATE(B181,-12),Database!$F:$AY,MATCH($V$1,Database!$F$1:$AY$1,),))))</f>
        <v/>
      </c>
    </row>
    <row r="182" customFormat="1" s="100">
      <c r="A182" s="45" t="n"/>
      <c r="B182" s="46" t="n">
        <v>37681</v>
      </c>
      <c r="C182" s="13">
        <f>((((VLOOKUP(B182,Database!$F:$AY,MATCH($C$1,Database!$F$1:$AY$1,),))))-(((VLOOKUP(EDATE(B182,-12),Database!$F:$AY,MATCH($C$1,Database!$F$1:$AY$1,),)))))/(((VLOOKUP(EDATE(B182,-12),Database!$F:$AY,MATCH($C$1,Database!$F$1:$AY$1,),))))</f>
        <v/>
      </c>
      <c r="D182" s="13">
        <f>((((VLOOKUP(B182,Database!$F:$AY,MATCH($D$1,Database!$F$1:$AY$1,),))))-(((VLOOKUP(EDATE(B182,-12),Database!$F:$AY,MATCH($D$1,Database!$F$1:$AY$1,),)))))/(((VLOOKUP(EDATE(B182,-12),Database!$F:$AY,MATCH($D$1,Database!$F$1:$AY$1,),))))</f>
        <v/>
      </c>
      <c r="E182" s="13">
        <f>((((VLOOKUP(B182,Database!$F:$AY,MATCH($E$1,Database!$F$1:$AY$1,),))))-(((VLOOKUP(EDATE(B182,-12),Database!$F:$AY,MATCH($E$1,Database!$F$1:$AY$1,),)))))/(((VLOOKUP(EDATE(B182,-12),Database!$F:$AY,MATCH($E$1,Database!$F$1:$AY$1,),))))</f>
        <v/>
      </c>
      <c r="F182" s="13">
        <f>((((VLOOKUP(B182,Database!$F:$AY,MATCH($F$1,Database!$F$1:$AY$1,),))))-(((VLOOKUP(EDATE(B182,-12),Database!$F:$AY,MATCH($F$1,Database!$F$1:$AY$1,),)))))/(((VLOOKUP(EDATE(B182,-12),Database!$F:$AY,MATCH($F$1,Database!$F$1:$AY$1,),))))</f>
        <v/>
      </c>
      <c r="G182" s="13">
        <f>((((VLOOKUP(B182,Database!$F:$AY,MATCH($G$1,Database!$F$1:$AY$1,),))))-(((VLOOKUP(EDATE(B182,-12),Database!$F:$AY,MATCH($G$1,Database!$F$1:$AY$1,),)))))/(((VLOOKUP(EDATE(B182,-12),Database!$F:$AY,MATCH($G$1,Database!$F$1:$AY$1,),))))</f>
        <v/>
      </c>
      <c r="H182" s="13">
        <f>((((VLOOKUP(B182,Database!$F:$AY,MATCH($H$1,Database!$F$1:$AY$1,),))))-(((VLOOKUP(EDATE(B182,-12),Database!$F:$AY,MATCH($H$1,Database!$F$1:$AY$1,),)))))/(((VLOOKUP(EDATE(B182,-12),Database!$F:$AY,MATCH($H$1,Database!$F$1:$AY$1,),))))</f>
        <v/>
      </c>
      <c r="I182" s="13">
        <f>((((VLOOKUP(B182,Database!$F:$AY,MATCH($I$1,Database!$F$1:$AY$1,),))))-(((VLOOKUP(EDATE(B182,-12),Database!$F:$AY,MATCH($I$1,Database!$F$1:$AY$1,),)))))/(((VLOOKUP(EDATE(B182,-12),Database!$F:$AY,MATCH($I$1,Database!$F$1:$AY$1,),))))</f>
        <v/>
      </c>
      <c r="J182" s="13">
        <f>((((VLOOKUP(B182,Database!$F:$AY,MATCH($J$1,Database!$F$1:$AY$1,),))))-(((VLOOKUP(EDATE(B182,-12),Database!$F:$AY,MATCH($J$1,Database!$F$1:$AY$1,),)))))/(((VLOOKUP(EDATE(B182,-12),Database!$F:$AY,MATCH($J$1,Database!$F$1:$AY$1,),))))</f>
        <v/>
      </c>
      <c r="K182" s="13">
        <f>((((VLOOKUP(B182,Database!$F:$AY,MATCH($K$1,Database!$F$1:$AY$1,),))))-(((VLOOKUP(EDATE(B182,-12),Database!$F:$AY,MATCH($K$1,Database!$F$1:$AY$1,),)))))/(((VLOOKUP(EDATE(B182,-12),Database!$F:$AY,MATCH($K$1,Database!$F$1:$AY$1,),))))</f>
        <v/>
      </c>
      <c r="L182" s="13">
        <f>((((VLOOKUP(B182,Database!$F:$AY,MATCH($L$1,Database!$F$1:$AY$1,),))))-(((VLOOKUP(EDATE(B182,-12),Database!$F:$AY,MATCH($L$1,Database!$F$1:$AY$1,),)))))/(((VLOOKUP(EDATE(B182,-12),Database!$F:$AY,MATCH($L$1,Database!$F$1:$AY$1,),))))</f>
        <v/>
      </c>
      <c r="M182" s="13">
        <f>((((VLOOKUP(B182,Database!$F:$AY,MATCH($M$1,Database!$F$1:$AY$1,),))))-(((VLOOKUP(EDATE(B182,-12),Database!$F:$AY,MATCH($M$1,Database!$F$1:$AY$1,),)))))/(((VLOOKUP(EDATE(B182,-12),Database!$F:$AY,MATCH($M$1,Database!$F$1:$AY$1,),))))</f>
        <v/>
      </c>
      <c r="N182" s="13">
        <f>((((VLOOKUP(B182,Database!$F:$AY,MATCH($N$1,Database!$F$1:$AY$1,),))))-(((VLOOKUP(EDATE(B182,-12),Database!$F:$AY,MATCH($N$1,Database!$F$1:$AY$1,),)))))/(((VLOOKUP(EDATE(B182,-12),Database!$F:$AY,MATCH($N$1,Database!$F$1:$AY$1,),))))</f>
        <v/>
      </c>
      <c r="O182" s="13">
        <f>((((VLOOKUP(B182,Database!$F:$AY,MATCH($O$1,Database!$F$1:$AY$1,),))))-(((VLOOKUP(EDATE(B182,-12),Database!$F:$AY,MATCH($O$1,Database!$F$1:$AY$1,),)))))/(((VLOOKUP(EDATE(B182,-12),Database!$F:$AY,MATCH($O$1,Database!$F$1:$AY$1,),))))</f>
        <v/>
      </c>
      <c r="P182" s="13">
        <f>((((VLOOKUP(B182,Database!$F:$AY,MATCH($P$1,Database!$F$1:$AY$1,),))))-(((VLOOKUP(EDATE(B182,-12),Database!$F:$AY,MATCH($P$1,Database!$F$1:$AY$1,),)))))/(((VLOOKUP(EDATE(B182,-12),Database!$F:$AY,MATCH($P$1,Database!$F$1:$AY$1,),))))</f>
        <v/>
      </c>
      <c r="Q182" s="13">
        <f>((((VLOOKUP(B182,Database!$F:$AY,MATCH($Q$1,Database!$F$1:$AY$1,),))))-(((VLOOKUP(EDATE(B182,-12),Database!$F:$AY,MATCH($Q$1,Database!$F$1:$AY$1,),)))))/(((VLOOKUP(EDATE(B182,-12),Database!$F:$AY,MATCH($Q$1,Database!$F$1:$AY$1,),))))</f>
        <v/>
      </c>
      <c r="R182" s="13">
        <f>((((VLOOKUP(B182,Database!$F:$AY,MATCH($R$1,Database!$F$1:$AY$1,),))))-(((VLOOKUP(EDATE(B182,-12),Database!$F:$AY,MATCH($R$1,Database!$F$1:$AY$1,),)))))/(((VLOOKUP(EDATE(B182,-12),Database!$F:$AY,MATCH($R$1,Database!$F$1:$AY$1,),))))</f>
        <v/>
      </c>
      <c r="S182" s="13">
        <f>((((VLOOKUP(B182,Database!$F:$AY,MATCH($S$1,Database!$F$1:$AY$1,),))))-(((VLOOKUP(EDATE(B182,-12),Database!$F:$AY,MATCH($S$1,Database!$F$1:$AY$1,),)))))/(((VLOOKUP(EDATE(B182,-12),Database!$F:$AY,MATCH($S$1,Database!$F$1:$AY$1,),))))</f>
        <v/>
      </c>
      <c r="T182" s="13">
        <f>((((VLOOKUP(B182,Database!$F:$AY,MATCH($T$1,Database!$F$1:$AY$1,),))))-(((VLOOKUP(EDATE(B182,-12),Database!$F:$AY,MATCH($T$1,Database!$F$1:$AY$1,),)))))/(((VLOOKUP(EDATE(B182,-12),Database!$F:$AY,MATCH($T$1,Database!$F$1:$AY$1,),))))</f>
        <v/>
      </c>
      <c r="U182" s="13">
        <f>((((VLOOKUP(B182,Database!$F:$AY,MATCH($U$1,Database!$F$1:$AY$1,),))))-(((VLOOKUP(EDATE(B182,-12),Database!$F:$AY,MATCH($U$1,Database!$F$1:$AY$1,),)))))/(((VLOOKUP(EDATE(B182,-12),Database!$F:$AY,MATCH($U$1,Database!$F$1:$AY$1,),))))</f>
        <v/>
      </c>
      <c r="V182" s="13">
        <f>((((VLOOKUP(B182,Database!$F:$AY,MATCH($V$1,Database!$F$1:$AY$1,),))))-(((VLOOKUP(EDATE(B182,-12),Database!$F:$AY,MATCH($V$1,Database!$F$1:$AY$1,),)))))/(((VLOOKUP(EDATE(B182,-12),Database!$F:$AY,MATCH($V$1,Database!$F$1:$AY$1,),))))</f>
        <v/>
      </c>
    </row>
    <row r="183" customFormat="1" s="100">
      <c r="A183" s="45" t="n"/>
      <c r="B183" s="46" t="n">
        <v>37712</v>
      </c>
      <c r="C183" s="13">
        <f>((((VLOOKUP(B183,Database!$F:$AY,MATCH($C$1,Database!$F$1:$AY$1,),))))-(((VLOOKUP(EDATE(B183,-12),Database!$F:$AY,MATCH($C$1,Database!$F$1:$AY$1,),)))))/(((VLOOKUP(EDATE(B183,-12),Database!$F:$AY,MATCH($C$1,Database!$F$1:$AY$1,),))))</f>
        <v/>
      </c>
      <c r="D183" s="13">
        <f>((((VLOOKUP(B183,Database!$F:$AY,MATCH($D$1,Database!$F$1:$AY$1,),))))-(((VLOOKUP(EDATE(B183,-12),Database!$F:$AY,MATCH($D$1,Database!$F$1:$AY$1,),)))))/(((VLOOKUP(EDATE(B183,-12),Database!$F:$AY,MATCH($D$1,Database!$F$1:$AY$1,),))))</f>
        <v/>
      </c>
      <c r="E183" s="13">
        <f>((((VLOOKUP(B183,Database!$F:$AY,MATCH($E$1,Database!$F$1:$AY$1,),))))-(((VLOOKUP(EDATE(B183,-12),Database!$F:$AY,MATCH($E$1,Database!$F$1:$AY$1,),)))))/(((VLOOKUP(EDATE(B183,-12),Database!$F:$AY,MATCH($E$1,Database!$F$1:$AY$1,),))))</f>
        <v/>
      </c>
      <c r="F183" s="13">
        <f>((((VLOOKUP(B183,Database!$F:$AY,MATCH($F$1,Database!$F$1:$AY$1,),))))-(((VLOOKUP(EDATE(B183,-12),Database!$F:$AY,MATCH($F$1,Database!$F$1:$AY$1,),)))))/(((VLOOKUP(EDATE(B183,-12),Database!$F:$AY,MATCH($F$1,Database!$F$1:$AY$1,),))))</f>
        <v/>
      </c>
      <c r="G183" s="13">
        <f>((((VLOOKUP(B183,Database!$F:$AY,MATCH($G$1,Database!$F$1:$AY$1,),))))-(((VLOOKUP(EDATE(B183,-12),Database!$F:$AY,MATCH($G$1,Database!$F$1:$AY$1,),)))))/(((VLOOKUP(EDATE(B183,-12),Database!$F:$AY,MATCH($G$1,Database!$F$1:$AY$1,),))))</f>
        <v/>
      </c>
      <c r="H183" s="13">
        <f>((((VLOOKUP(B183,Database!$F:$AY,MATCH($H$1,Database!$F$1:$AY$1,),))))-(((VLOOKUP(EDATE(B183,-12),Database!$F:$AY,MATCH($H$1,Database!$F$1:$AY$1,),)))))/(((VLOOKUP(EDATE(B183,-12),Database!$F:$AY,MATCH($H$1,Database!$F$1:$AY$1,),))))</f>
        <v/>
      </c>
      <c r="I183" s="13">
        <f>((((VLOOKUP(B183,Database!$F:$AY,MATCH($I$1,Database!$F$1:$AY$1,),))))-(((VLOOKUP(EDATE(B183,-12),Database!$F:$AY,MATCH($I$1,Database!$F$1:$AY$1,),)))))/(((VLOOKUP(EDATE(B183,-12),Database!$F:$AY,MATCH($I$1,Database!$F$1:$AY$1,),))))</f>
        <v/>
      </c>
      <c r="J183" s="13">
        <f>((((VLOOKUP(B183,Database!$F:$AY,MATCH($J$1,Database!$F$1:$AY$1,),))))-(((VLOOKUP(EDATE(B183,-12),Database!$F:$AY,MATCH($J$1,Database!$F$1:$AY$1,),)))))/(((VLOOKUP(EDATE(B183,-12),Database!$F:$AY,MATCH($J$1,Database!$F$1:$AY$1,),))))</f>
        <v/>
      </c>
      <c r="K183" s="13">
        <f>((((VLOOKUP(B183,Database!$F:$AY,MATCH($K$1,Database!$F$1:$AY$1,),))))-(((VLOOKUP(EDATE(B183,-12),Database!$F:$AY,MATCH($K$1,Database!$F$1:$AY$1,),)))))/(((VLOOKUP(EDATE(B183,-12),Database!$F:$AY,MATCH($K$1,Database!$F$1:$AY$1,),))))</f>
        <v/>
      </c>
      <c r="L183" s="13">
        <f>((((VLOOKUP(B183,Database!$F:$AY,MATCH($L$1,Database!$F$1:$AY$1,),))))-(((VLOOKUP(EDATE(B183,-12),Database!$F:$AY,MATCH($L$1,Database!$F$1:$AY$1,),)))))/(((VLOOKUP(EDATE(B183,-12),Database!$F:$AY,MATCH($L$1,Database!$F$1:$AY$1,),))))</f>
        <v/>
      </c>
      <c r="M183" s="13">
        <f>((((VLOOKUP(B183,Database!$F:$AY,MATCH($M$1,Database!$F$1:$AY$1,),))))-(((VLOOKUP(EDATE(B183,-12),Database!$F:$AY,MATCH($M$1,Database!$F$1:$AY$1,),)))))/(((VLOOKUP(EDATE(B183,-12),Database!$F:$AY,MATCH($M$1,Database!$F$1:$AY$1,),))))</f>
        <v/>
      </c>
      <c r="N183" s="13">
        <f>((((VLOOKUP(B183,Database!$F:$AY,MATCH($N$1,Database!$F$1:$AY$1,),))))-(((VLOOKUP(EDATE(B183,-12),Database!$F:$AY,MATCH($N$1,Database!$F$1:$AY$1,),)))))/(((VLOOKUP(EDATE(B183,-12),Database!$F:$AY,MATCH($N$1,Database!$F$1:$AY$1,),))))</f>
        <v/>
      </c>
      <c r="O183" s="13">
        <f>((((VLOOKUP(B183,Database!$F:$AY,MATCH($O$1,Database!$F$1:$AY$1,),))))-(((VLOOKUP(EDATE(B183,-12),Database!$F:$AY,MATCH($O$1,Database!$F$1:$AY$1,),)))))/(((VLOOKUP(EDATE(B183,-12),Database!$F:$AY,MATCH($O$1,Database!$F$1:$AY$1,),))))</f>
        <v/>
      </c>
      <c r="P183" s="13">
        <f>((((VLOOKUP(B183,Database!$F:$AY,MATCH($P$1,Database!$F$1:$AY$1,),))))-(((VLOOKUP(EDATE(B183,-12),Database!$F:$AY,MATCH($P$1,Database!$F$1:$AY$1,),)))))/(((VLOOKUP(EDATE(B183,-12),Database!$F:$AY,MATCH($P$1,Database!$F$1:$AY$1,),))))</f>
        <v/>
      </c>
      <c r="Q183" s="13">
        <f>((((VLOOKUP(B183,Database!$F:$AY,MATCH($Q$1,Database!$F$1:$AY$1,),))))-(((VLOOKUP(EDATE(B183,-12),Database!$F:$AY,MATCH($Q$1,Database!$F$1:$AY$1,),)))))/(((VLOOKUP(EDATE(B183,-12),Database!$F:$AY,MATCH($Q$1,Database!$F$1:$AY$1,),))))</f>
        <v/>
      </c>
      <c r="R183" s="13">
        <f>((((VLOOKUP(B183,Database!$F:$AY,MATCH($R$1,Database!$F$1:$AY$1,),))))-(((VLOOKUP(EDATE(B183,-12),Database!$F:$AY,MATCH($R$1,Database!$F$1:$AY$1,),)))))/(((VLOOKUP(EDATE(B183,-12),Database!$F:$AY,MATCH($R$1,Database!$F$1:$AY$1,),))))</f>
        <v/>
      </c>
      <c r="S183" s="13">
        <f>((((VLOOKUP(B183,Database!$F:$AY,MATCH($S$1,Database!$F$1:$AY$1,),))))-(((VLOOKUP(EDATE(B183,-12),Database!$F:$AY,MATCH($S$1,Database!$F$1:$AY$1,),)))))/(((VLOOKUP(EDATE(B183,-12),Database!$F:$AY,MATCH($S$1,Database!$F$1:$AY$1,),))))</f>
        <v/>
      </c>
      <c r="T183" s="13">
        <f>((((VLOOKUP(B183,Database!$F:$AY,MATCH($T$1,Database!$F$1:$AY$1,),))))-(((VLOOKUP(EDATE(B183,-12),Database!$F:$AY,MATCH($T$1,Database!$F$1:$AY$1,),)))))/(((VLOOKUP(EDATE(B183,-12),Database!$F:$AY,MATCH($T$1,Database!$F$1:$AY$1,),))))</f>
        <v/>
      </c>
      <c r="U183" s="13">
        <f>((((VLOOKUP(B183,Database!$F:$AY,MATCH($U$1,Database!$F$1:$AY$1,),))))-(((VLOOKUP(EDATE(B183,-12),Database!$F:$AY,MATCH($U$1,Database!$F$1:$AY$1,),)))))/(((VLOOKUP(EDATE(B183,-12),Database!$F:$AY,MATCH($U$1,Database!$F$1:$AY$1,),))))</f>
        <v/>
      </c>
      <c r="V183" s="13">
        <f>((((VLOOKUP(B183,Database!$F:$AY,MATCH($V$1,Database!$F$1:$AY$1,),))))-(((VLOOKUP(EDATE(B183,-12),Database!$F:$AY,MATCH($V$1,Database!$F$1:$AY$1,),)))))/(((VLOOKUP(EDATE(B183,-12),Database!$F:$AY,MATCH($V$1,Database!$F$1:$AY$1,),))))</f>
        <v/>
      </c>
    </row>
    <row r="184" customFormat="1" s="100">
      <c r="A184" s="45" t="n"/>
      <c r="B184" s="46" t="n">
        <v>37742</v>
      </c>
      <c r="C184" s="13">
        <f>((((VLOOKUP(B184,Database!$F:$AY,MATCH($C$1,Database!$F$1:$AY$1,),))))-(((VLOOKUP(EDATE(B184,-12),Database!$F:$AY,MATCH($C$1,Database!$F$1:$AY$1,),)))))/(((VLOOKUP(EDATE(B184,-12),Database!$F:$AY,MATCH($C$1,Database!$F$1:$AY$1,),))))</f>
        <v/>
      </c>
      <c r="D184" s="13">
        <f>((((VLOOKUP(B184,Database!$F:$AY,MATCH($D$1,Database!$F$1:$AY$1,),))))-(((VLOOKUP(EDATE(B184,-12),Database!$F:$AY,MATCH($D$1,Database!$F$1:$AY$1,),)))))/(((VLOOKUP(EDATE(B184,-12),Database!$F:$AY,MATCH($D$1,Database!$F$1:$AY$1,),))))</f>
        <v/>
      </c>
      <c r="E184" s="13">
        <f>((((VLOOKUP(B184,Database!$F:$AY,MATCH($E$1,Database!$F$1:$AY$1,),))))-(((VLOOKUP(EDATE(B184,-12),Database!$F:$AY,MATCH($E$1,Database!$F$1:$AY$1,),)))))/(((VLOOKUP(EDATE(B184,-12),Database!$F:$AY,MATCH($E$1,Database!$F$1:$AY$1,),))))</f>
        <v/>
      </c>
      <c r="F184" s="13">
        <f>((((VLOOKUP(B184,Database!$F:$AY,MATCH($F$1,Database!$F$1:$AY$1,),))))-(((VLOOKUP(EDATE(B184,-12),Database!$F:$AY,MATCH($F$1,Database!$F$1:$AY$1,),)))))/(((VLOOKUP(EDATE(B184,-12),Database!$F:$AY,MATCH($F$1,Database!$F$1:$AY$1,),))))</f>
        <v/>
      </c>
      <c r="G184" s="13">
        <f>((((VLOOKUP(B184,Database!$F:$AY,MATCH($G$1,Database!$F$1:$AY$1,),))))-(((VLOOKUP(EDATE(B184,-12),Database!$F:$AY,MATCH($G$1,Database!$F$1:$AY$1,),)))))/(((VLOOKUP(EDATE(B184,-12),Database!$F:$AY,MATCH($G$1,Database!$F$1:$AY$1,),))))</f>
        <v/>
      </c>
      <c r="H184" s="13">
        <f>((((VLOOKUP(B184,Database!$F:$AY,MATCH($H$1,Database!$F$1:$AY$1,),))))-(((VLOOKUP(EDATE(B184,-12),Database!$F:$AY,MATCH($H$1,Database!$F$1:$AY$1,),)))))/(((VLOOKUP(EDATE(B184,-12),Database!$F:$AY,MATCH($H$1,Database!$F$1:$AY$1,),))))</f>
        <v/>
      </c>
      <c r="I184" s="13">
        <f>((((VLOOKUP(B184,Database!$F:$AY,MATCH($I$1,Database!$F$1:$AY$1,),))))-(((VLOOKUP(EDATE(B184,-12),Database!$F:$AY,MATCH($I$1,Database!$F$1:$AY$1,),)))))/(((VLOOKUP(EDATE(B184,-12),Database!$F:$AY,MATCH($I$1,Database!$F$1:$AY$1,),))))</f>
        <v/>
      </c>
      <c r="J184" s="13">
        <f>((((VLOOKUP(B184,Database!$F:$AY,MATCH($J$1,Database!$F$1:$AY$1,),))))-(((VLOOKUP(EDATE(B184,-12),Database!$F:$AY,MATCH($J$1,Database!$F$1:$AY$1,),)))))/(((VLOOKUP(EDATE(B184,-12),Database!$F:$AY,MATCH($J$1,Database!$F$1:$AY$1,),))))</f>
        <v/>
      </c>
      <c r="K184" s="13">
        <f>((((VLOOKUP(B184,Database!$F:$AY,MATCH($K$1,Database!$F$1:$AY$1,),))))-(((VLOOKUP(EDATE(B184,-12),Database!$F:$AY,MATCH($K$1,Database!$F$1:$AY$1,),)))))/(((VLOOKUP(EDATE(B184,-12),Database!$F:$AY,MATCH($K$1,Database!$F$1:$AY$1,),))))</f>
        <v/>
      </c>
      <c r="L184" s="13">
        <f>((((VLOOKUP(B184,Database!$F:$AY,MATCH($L$1,Database!$F$1:$AY$1,),))))-(((VLOOKUP(EDATE(B184,-12),Database!$F:$AY,MATCH($L$1,Database!$F$1:$AY$1,),)))))/(((VLOOKUP(EDATE(B184,-12),Database!$F:$AY,MATCH($L$1,Database!$F$1:$AY$1,),))))</f>
        <v/>
      </c>
      <c r="M184" s="13">
        <f>((((VLOOKUP(B184,Database!$F:$AY,MATCH($M$1,Database!$F$1:$AY$1,),))))-(((VLOOKUP(EDATE(B184,-12),Database!$F:$AY,MATCH($M$1,Database!$F$1:$AY$1,),)))))/(((VLOOKUP(EDATE(B184,-12),Database!$F:$AY,MATCH($M$1,Database!$F$1:$AY$1,),))))</f>
        <v/>
      </c>
      <c r="N184" s="13">
        <f>((((VLOOKUP(B184,Database!$F:$AY,MATCH($N$1,Database!$F$1:$AY$1,),))))-(((VLOOKUP(EDATE(B184,-12),Database!$F:$AY,MATCH($N$1,Database!$F$1:$AY$1,),)))))/(((VLOOKUP(EDATE(B184,-12),Database!$F:$AY,MATCH($N$1,Database!$F$1:$AY$1,),))))</f>
        <v/>
      </c>
      <c r="O184" s="13">
        <f>((((VLOOKUP(B184,Database!$F:$AY,MATCH($O$1,Database!$F$1:$AY$1,),))))-(((VLOOKUP(EDATE(B184,-12),Database!$F:$AY,MATCH($O$1,Database!$F$1:$AY$1,),)))))/(((VLOOKUP(EDATE(B184,-12),Database!$F:$AY,MATCH($O$1,Database!$F$1:$AY$1,),))))</f>
        <v/>
      </c>
      <c r="P184" s="13">
        <f>((((VLOOKUP(B184,Database!$F:$AY,MATCH($P$1,Database!$F$1:$AY$1,),))))-(((VLOOKUP(EDATE(B184,-12),Database!$F:$AY,MATCH($P$1,Database!$F$1:$AY$1,),)))))/(((VLOOKUP(EDATE(B184,-12),Database!$F:$AY,MATCH($P$1,Database!$F$1:$AY$1,),))))</f>
        <v/>
      </c>
      <c r="Q184" s="13">
        <f>((((VLOOKUP(B184,Database!$F:$AY,MATCH($Q$1,Database!$F$1:$AY$1,),))))-(((VLOOKUP(EDATE(B184,-12),Database!$F:$AY,MATCH($Q$1,Database!$F$1:$AY$1,),)))))/(((VLOOKUP(EDATE(B184,-12),Database!$F:$AY,MATCH($Q$1,Database!$F$1:$AY$1,),))))</f>
        <v/>
      </c>
      <c r="R184" s="13">
        <f>((((VLOOKUP(B184,Database!$F:$AY,MATCH($R$1,Database!$F$1:$AY$1,),))))-(((VLOOKUP(EDATE(B184,-12),Database!$F:$AY,MATCH($R$1,Database!$F$1:$AY$1,),)))))/(((VLOOKUP(EDATE(B184,-12),Database!$F:$AY,MATCH($R$1,Database!$F$1:$AY$1,),))))</f>
        <v/>
      </c>
      <c r="S184" s="13">
        <f>((((VLOOKUP(B184,Database!$F:$AY,MATCH($S$1,Database!$F$1:$AY$1,),))))-(((VLOOKUP(EDATE(B184,-12),Database!$F:$AY,MATCH($S$1,Database!$F$1:$AY$1,),)))))/(((VLOOKUP(EDATE(B184,-12),Database!$F:$AY,MATCH($S$1,Database!$F$1:$AY$1,),))))</f>
        <v/>
      </c>
      <c r="T184" s="13">
        <f>((((VLOOKUP(B184,Database!$F:$AY,MATCH($T$1,Database!$F$1:$AY$1,),))))-(((VLOOKUP(EDATE(B184,-12),Database!$F:$AY,MATCH($T$1,Database!$F$1:$AY$1,),)))))/(((VLOOKUP(EDATE(B184,-12),Database!$F:$AY,MATCH($T$1,Database!$F$1:$AY$1,),))))</f>
        <v/>
      </c>
      <c r="U184" s="13">
        <f>((((VLOOKUP(B184,Database!$F:$AY,MATCH($U$1,Database!$F$1:$AY$1,),))))-(((VLOOKUP(EDATE(B184,-12),Database!$F:$AY,MATCH($U$1,Database!$F$1:$AY$1,),)))))/(((VLOOKUP(EDATE(B184,-12),Database!$F:$AY,MATCH($U$1,Database!$F$1:$AY$1,),))))</f>
        <v/>
      </c>
      <c r="V184" s="13">
        <f>((((VLOOKUP(B184,Database!$F:$AY,MATCH($V$1,Database!$F$1:$AY$1,),))))-(((VLOOKUP(EDATE(B184,-12),Database!$F:$AY,MATCH($V$1,Database!$F$1:$AY$1,),)))))/(((VLOOKUP(EDATE(B184,-12),Database!$F:$AY,MATCH($V$1,Database!$F$1:$AY$1,),))))</f>
        <v/>
      </c>
    </row>
    <row r="185" customFormat="1" s="100">
      <c r="A185" s="45" t="n"/>
      <c r="B185" s="46" t="n">
        <v>37773</v>
      </c>
      <c r="C185" s="13">
        <f>((((VLOOKUP(B185,Database!$F:$AY,MATCH($C$1,Database!$F$1:$AY$1,),))))-(((VLOOKUP(EDATE(B185,-12),Database!$F:$AY,MATCH($C$1,Database!$F$1:$AY$1,),)))))/(((VLOOKUP(EDATE(B185,-12),Database!$F:$AY,MATCH($C$1,Database!$F$1:$AY$1,),))))</f>
        <v/>
      </c>
      <c r="D185" s="13">
        <f>((((VLOOKUP(B185,Database!$F:$AY,MATCH($D$1,Database!$F$1:$AY$1,),))))-(((VLOOKUP(EDATE(B185,-12),Database!$F:$AY,MATCH($D$1,Database!$F$1:$AY$1,),)))))/(((VLOOKUP(EDATE(B185,-12),Database!$F:$AY,MATCH($D$1,Database!$F$1:$AY$1,),))))</f>
        <v/>
      </c>
      <c r="E185" s="13">
        <f>((((VLOOKUP(B185,Database!$F:$AY,MATCH($E$1,Database!$F$1:$AY$1,),))))-(((VLOOKUP(EDATE(B185,-12),Database!$F:$AY,MATCH($E$1,Database!$F$1:$AY$1,),)))))/(((VLOOKUP(EDATE(B185,-12),Database!$F:$AY,MATCH($E$1,Database!$F$1:$AY$1,),))))</f>
        <v/>
      </c>
      <c r="F185" s="13">
        <f>((((VLOOKUP(B185,Database!$F:$AY,MATCH($F$1,Database!$F$1:$AY$1,),))))-(((VLOOKUP(EDATE(B185,-12),Database!$F:$AY,MATCH($F$1,Database!$F$1:$AY$1,),)))))/(((VLOOKUP(EDATE(B185,-12),Database!$F:$AY,MATCH($F$1,Database!$F$1:$AY$1,),))))</f>
        <v/>
      </c>
      <c r="G185" s="13">
        <f>((((VLOOKUP(B185,Database!$F:$AY,MATCH($G$1,Database!$F$1:$AY$1,),))))-(((VLOOKUP(EDATE(B185,-12),Database!$F:$AY,MATCH($G$1,Database!$F$1:$AY$1,),)))))/(((VLOOKUP(EDATE(B185,-12),Database!$F:$AY,MATCH($G$1,Database!$F$1:$AY$1,),))))</f>
        <v/>
      </c>
      <c r="H185" s="13">
        <f>((((VLOOKUP(B185,Database!$F:$AY,MATCH($H$1,Database!$F$1:$AY$1,),))))-(((VLOOKUP(EDATE(B185,-12),Database!$F:$AY,MATCH($H$1,Database!$F$1:$AY$1,),)))))/(((VLOOKUP(EDATE(B185,-12),Database!$F:$AY,MATCH($H$1,Database!$F$1:$AY$1,),))))</f>
        <v/>
      </c>
      <c r="I185" s="13">
        <f>((((VLOOKUP(B185,Database!$F:$AY,MATCH($I$1,Database!$F$1:$AY$1,),))))-(((VLOOKUP(EDATE(B185,-12),Database!$F:$AY,MATCH($I$1,Database!$F$1:$AY$1,),)))))/(((VLOOKUP(EDATE(B185,-12),Database!$F:$AY,MATCH($I$1,Database!$F$1:$AY$1,),))))</f>
        <v/>
      </c>
      <c r="J185" s="13">
        <f>((((VLOOKUP(B185,Database!$F:$AY,MATCH($J$1,Database!$F$1:$AY$1,),))))-(((VLOOKUP(EDATE(B185,-12),Database!$F:$AY,MATCH($J$1,Database!$F$1:$AY$1,),)))))/(((VLOOKUP(EDATE(B185,-12),Database!$F:$AY,MATCH($J$1,Database!$F$1:$AY$1,),))))</f>
        <v/>
      </c>
      <c r="K185" s="13">
        <f>((((VLOOKUP(B185,Database!$F:$AY,MATCH($K$1,Database!$F$1:$AY$1,),))))-(((VLOOKUP(EDATE(B185,-12),Database!$F:$AY,MATCH($K$1,Database!$F$1:$AY$1,),)))))/(((VLOOKUP(EDATE(B185,-12),Database!$F:$AY,MATCH($K$1,Database!$F$1:$AY$1,),))))</f>
        <v/>
      </c>
      <c r="L185" s="13">
        <f>((((VLOOKUP(B185,Database!$F:$AY,MATCH($L$1,Database!$F$1:$AY$1,),))))-(((VLOOKUP(EDATE(B185,-12),Database!$F:$AY,MATCH($L$1,Database!$F$1:$AY$1,),)))))/(((VLOOKUP(EDATE(B185,-12),Database!$F:$AY,MATCH($L$1,Database!$F$1:$AY$1,),))))</f>
        <v/>
      </c>
      <c r="M185" s="13">
        <f>((((VLOOKUP(B185,Database!$F:$AY,MATCH($M$1,Database!$F$1:$AY$1,),))))-(((VLOOKUP(EDATE(B185,-12),Database!$F:$AY,MATCH($M$1,Database!$F$1:$AY$1,),)))))/(((VLOOKUP(EDATE(B185,-12),Database!$F:$AY,MATCH($M$1,Database!$F$1:$AY$1,),))))</f>
        <v/>
      </c>
      <c r="N185" s="13">
        <f>((((VLOOKUP(B185,Database!$F:$AY,MATCH($N$1,Database!$F$1:$AY$1,),))))-(((VLOOKUP(EDATE(B185,-12),Database!$F:$AY,MATCH($N$1,Database!$F$1:$AY$1,),)))))/(((VLOOKUP(EDATE(B185,-12),Database!$F:$AY,MATCH($N$1,Database!$F$1:$AY$1,),))))</f>
        <v/>
      </c>
      <c r="O185" s="13">
        <f>((((VLOOKUP(B185,Database!$F:$AY,MATCH($O$1,Database!$F$1:$AY$1,),))))-(((VLOOKUP(EDATE(B185,-12),Database!$F:$AY,MATCH($O$1,Database!$F$1:$AY$1,),)))))/(((VLOOKUP(EDATE(B185,-12),Database!$F:$AY,MATCH($O$1,Database!$F$1:$AY$1,),))))</f>
        <v/>
      </c>
      <c r="P185" s="13">
        <f>((((VLOOKUP(B185,Database!$F:$AY,MATCH($P$1,Database!$F$1:$AY$1,),))))-(((VLOOKUP(EDATE(B185,-12),Database!$F:$AY,MATCH($P$1,Database!$F$1:$AY$1,),)))))/(((VLOOKUP(EDATE(B185,-12),Database!$F:$AY,MATCH($P$1,Database!$F$1:$AY$1,),))))</f>
        <v/>
      </c>
      <c r="Q185" s="13">
        <f>((((VLOOKUP(B185,Database!$F:$AY,MATCH($Q$1,Database!$F$1:$AY$1,),))))-(((VLOOKUP(EDATE(B185,-12),Database!$F:$AY,MATCH($Q$1,Database!$F$1:$AY$1,),)))))/(((VLOOKUP(EDATE(B185,-12),Database!$F:$AY,MATCH($Q$1,Database!$F$1:$AY$1,),))))</f>
        <v/>
      </c>
      <c r="R185" s="13">
        <f>((((VLOOKUP(B185,Database!$F:$AY,MATCH($R$1,Database!$F$1:$AY$1,),))))-(((VLOOKUP(EDATE(B185,-12),Database!$F:$AY,MATCH($R$1,Database!$F$1:$AY$1,),)))))/(((VLOOKUP(EDATE(B185,-12),Database!$F:$AY,MATCH($R$1,Database!$F$1:$AY$1,),))))</f>
        <v/>
      </c>
      <c r="S185" s="13">
        <f>((((VLOOKUP(B185,Database!$F:$AY,MATCH($S$1,Database!$F$1:$AY$1,),))))-(((VLOOKUP(EDATE(B185,-12),Database!$F:$AY,MATCH($S$1,Database!$F$1:$AY$1,),)))))/(((VLOOKUP(EDATE(B185,-12),Database!$F:$AY,MATCH($S$1,Database!$F$1:$AY$1,),))))</f>
        <v/>
      </c>
      <c r="T185" s="13">
        <f>((((VLOOKUP(B185,Database!$F:$AY,MATCH($T$1,Database!$F$1:$AY$1,),))))-(((VLOOKUP(EDATE(B185,-12),Database!$F:$AY,MATCH($T$1,Database!$F$1:$AY$1,),)))))/(((VLOOKUP(EDATE(B185,-12),Database!$F:$AY,MATCH($T$1,Database!$F$1:$AY$1,),))))</f>
        <v/>
      </c>
      <c r="U185" s="13">
        <f>((((VLOOKUP(B185,Database!$F:$AY,MATCH($U$1,Database!$F$1:$AY$1,),))))-(((VLOOKUP(EDATE(B185,-12),Database!$F:$AY,MATCH($U$1,Database!$F$1:$AY$1,),)))))/(((VLOOKUP(EDATE(B185,-12),Database!$F:$AY,MATCH($U$1,Database!$F$1:$AY$1,),))))</f>
        <v/>
      </c>
      <c r="V185" s="13">
        <f>((((VLOOKUP(B185,Database!$F:$AY,MATCH($V$1,Database!$F$1:$AY$1,),))))-(((VLOOKUP(EDATE(B185,-12),Database!$F:$AY,MATCH($V$1,Database!$F$1:$AY$1,),)))))/(((VLOOKUP(EDATE(B185,-12),Database!$F:$AY,MATCH($V$1,Database!$F$1:$AY$1,),))))</f>
        <v/>
      </c>
    </row>
    <row r="186" customFormat="1" s="100">
      <c r="A186" s="45" t="n"/>
      <c r="B186" s="46" t="n">
        <v>37803</v>
      </c>
      <c r="C186" s="13">
        <f>((((VLOOKUP(B186,Database!$F:$AY,MATCH($C$1,Database!$F$1:$AY$1,),))))-(((VLOOKUP(EDATE(B186,-12),Database!$F:$AY,MATCH($C$1,Database!$F$1:$AY$1,),)))))/(((VLOOKUP(EDATE(B186,-12),Database!$F:$AY,MATCH($C$1,Database!$F$1:$AY$1,),))))</f>
        <v/>
      </c>
      <c r="D186" s="13">
        <f>((((VLOOKUP(B186,Database!$F:$AY,MATCH($D$1,Database!$F$1:$AY$1,),))))-(((VLOOKUP(EDATE(B186,-12),Database!$F:$AY,MATCH($D$1,Database!$F$1:$AY$1,),)))))/(((VLOOKUP(EDATE(B186,-12),Database!$F:$AY,MATCH($D$1,Database!$F$1:$AY$1,),))))</f>
        <v/>
      </c>
      <c r="E186" s="13">
        <f>((((VLOOKUP(B186,Database!$F:$AY,MATCH($E$1,Database!$F$1:$AY$1,),))))-(((VLOOKUP(EDATE(B186,-12),Database!$F:$AY,MATCH($E$1,Database!$F$1:$AY$1,),)))))/(((VLOOKUP(EDATE(B186,-12),Database!$F:$AY,MATCH($E$1,Database!$F$1:$AY$1,),))))</f>
        <v/>
      </c>
      <c r="F186" s="13">
        <f>((((VLOOKUP(B186,Database!$F:$AY,MATCH($F$1,Database!$F$1:$AY$1,),))))-(((VLOOKUP(EDATE(B186,-12),Database!$F:$AY,MATCH($F$1,Database!$F$1:$AY$1,),)))))/(((VLOOKUP(EDATE(B186,-12),Database!$F:$AY,MATCH($F$1,Database!$F$1:$AY$1,),))))</f>
        <v/>
      </c>
      <c r="G186" s="13">
        <f>((((VLOOKUP(B186,Database!$F:$AY,MATCH($G$1,Database!$F$1:$AY$1,),))))-(((VLOOKUP(EDATE(B186,-12),Database!$F:$AY,MATCH($G$1,Database!$F$1:$AY$1,),)))))/(((VLOOKUP(EDATE(B186,-12),Database!$F:$AY,MATCH($G$1,Database!$F$1:$AY$1,),))))</f>
        <v/>
      </c>
      <c r="H186" s="13">
        <f>((((VLOOKUP(B186,Database!$F:$AY,MATCH($H$1,Database!$F$1:$AY$1,),))))-(((VLOOKUP(EDATE(B186,-12),Database!$F:$AY,MATCH($H$1,Database!$F$1:$AY$1,),)))))/(((VLOOKUP(EDATE(B186,-12),Database!$F:$AY,MATCH($H$1,Database!$F$1:$AY$1,),))))</f>
        <v/>
      </c>
      <c r="I186" s="13">
        <f>((((VLOOKUP(B186,Database!$F:$AY,MATCH($I$1,Database!$F$1:$AY$1,),))))-(((VLOOKUP(EDATE(B186,-12),Database!$F:$AY,MATCH($I$1,Database!$F$1:$AY$1,),)))))/(((VLOOKUP(EDATE(B186,-12),Database!$F:$AY,MATCH($I$1,Database!$F$1:$AY$1,),))))</f>
        <v/>
      </c>
      <c r="J186" s="13">
        <f>((((VLOOKUP(B186,Database!$F:$AY,MATCH($J$1,Database!$F$1:$AY$1,),))))-(((VLOOKUP(EDATE(B186,-12),Database!$F:$AY,MATCH($J$1,Database!$F$1:$AY$1,),)))))/(((VLOOKUP(EDATE(B186,-12),Database!$F:$AY,MATCH($J$1,Database!$F$1:$AY$1,),))))</f>
        <v/>
      </c>
      <c r="K186" s="13">
        <f>((((VLOOKUP(B186,Database!$F:$AY,MATCH($K$1,Database!$F$1:$AY$1,),))))-(((VLOOKUP(EDATE(B186,-12),Database!$F:$AY,MATCH($K$1,Database!$F$1:$AY$1,),)))))/(((VLOOKUP(EDATE(B186,-12),Database!$F:$AY,MATCH($K$1,Database!$F$1:$AY$1,),))))</f>
        <v/>
      </c>
      <c r="L186" s="13">
        <f>((((VLOOKUP(B186,Database!$F:$AY,MATCH($L$1,Database!$F$1:$AY$1,),))))-(((VLOOKUP(EDATE(B186,-12),Database!$F:$AY,MATCH($L$1,Database!$F$1:$AY$1,),)))))/(((VLOOKUP(EDATE(B186,-12),Database!$F:$AY,MATCH($L$1,Database!$F$1:$AY$1,),))))</f>
        <v/>
      </c>
      <c r="M186" s="13">
        <f>((((VLOOKUP(B186,Database!$F:$AY,MATCH($M$1,Database!$F$1:$AY$1,),))))-(((VLOOKUP(EDATE(B186,-12),Database!$F:$AY,MATCH($M$1,Database!$F$1:$AY$1,),)))))/(((VLOOKUP(EDATE(B186,-12),Database!$F:$AY,MATCH($M$1,Database!$F$1:$AY$1,),))))</f>
        <v/>
      </c>
      <c r="N186" s="13">
        <f>((((VLOOKUP(B186,Database!$F:$AY,MATCH($N$1,Database!$F$1:$AY$1,),))))-(((VLOOKUP(EDATE(B186,-12),Database!$F:$AY,MATCH($N$1,Database!$F$1:$AY$1,),)))))/(((VLOOKUP(EDATE(B186,-12),Database!$F:$AY,MATCH($N$1,Database!$F$1:$AY$1,),))))</f>
        <v/>
      </c>
      <c r="O186" s="13">
        <f>((((VLOOKUP(B186,Database!$F:$AY,MATCH($O$1,Database!$F$1:$AY$1,),))))-(((VLOOKUP(EDATE(B186,-12),Database!$F:$AY,MATCH($O$1,Database!$F$1:$AY$1,),)))))/(((VLOOKUP(EDATE(B186,-12),Database!$F:$AY,MATCH($O$1,Database!$F$1:$AY$1,),))))</f>
        <v/>
      </c>
      <c r="P186" s="13">
        <f>((((VLOOKUP(B186,Database!$F:$AY,MATCH($P$1,Database!$F$1:$AY$1,),))))-(((VLOOKUP(EDATE(B186,-12),Database!$F:$AY,MATCH($P$1,Database!$F$1:$AY$1,),)))))/(((VLOOKUP(EDATE(B186,-12),Database!$F:$AY,MATCH($P$1,Database!$F$1:$AY$1,),))))</f>
        <v/>
      </c>
      <c r="Q186" s="13">
        <f>((((VLOOKUP(B186,Database!$F:$AY,MATCH($Q$1,Database!$F$1:$AY$1,),))))-(((VLOOKUP(EDATE(B186,-12),Database!$F:$AY,MATCH($Q$1,Database!$F$1:$AY$1,),)))))/(((VLOOKUP(EDATE(B186,-12),Database!$F:$AY,MATCH($Q$1,Database!$F$1:$AY$1,),))))</f>
        <v/>
      </c>
      <c r="R186" s="13">
        <f>((((VLOOKUP(B186,Database!$F:$AY,MATCH($R$1,Database!$F$1:$AY$1,),))))-(((VLOOKUP(EDATE(B186,-12),Database!$F:$AY,MATCH($R$1,Database!$F$1:$AY$1,),)))))/(((VLOOKUP(EDATE(B186,-12),Database!$F:$AY,MATCH($R$1,Database!$F$1:$AY$1,),))))</f>
        <v/>
      </c>
      <c r="S186" s="13">
        <f>((((VLOOKUP(B186,Database!$F:$AY,MATCH($S$1,Database!$F$1:$AY$1,),))))-(((VLOOKUP(EDATE(B186,-12),Database!$F:$AY,MATCH($S$1,Database!$F$1:$AY$1,),)))))/(((VLOOKUP(EDATE(B186,-12),Database!$F:$AY,MATCH($S$1,Database!$F$1:$AY$1,),))))</f>
        <v/>
      </c>
      <c r="T186" s="13">
        <f>((((VLOOKUP(B186,Database!$F:$AY,MATCH($T$1,Database!$F$1:$AY$1,),))))-(((VLOOKUP(EDATE(B186,-12),Database!$F:$AY,MATCH($T$1,Database!$F$1:$AY$1,),)))))/(((VLOOKUP(EDATE(B186,-12),Database!$F:$AY,MATCH($T$1,Database!$F$1:$AY$1,),))))</f>
        <v/>
      </c>
      <c r="U186" s="13">
        <f>((((VLOOKUP(B186,Database!$F:$AY,MATCH($U$1,Database!$F$1:$AY$1,),))))-(((VLOOKUP(EDATE(B186,-12),Database!$F:$AY,MATCH($U$1,Database!$F$1:$AY$1,),)))))/(((VLOOKUP(EDATE(B186,-12),Database!$F:$AY,MATCH($U$1,Database!$F$1:$AY$1,),))))</f>
        <v/>
      </c>
      <c r="V186" s="13">
        <f>((((VLOOKUP(B186,Database!$F:$AY,MATCH($V$1,Database!$F$1:$AY$1,),))))-(((VLOOKUP(EDATE(B186,-12),Database!$F:$AY,MATCH($V$1,Database!$F$1:$AY$1,),)))))/(((VLOOKUP(EDATE(B186,-12),Database!$F:$AY,MATCH($V$1,Database!$F$1:$AY$1,),))))</f>
        <v/>
      </c>
    </row>
    <row r="187" customFormat="1" s="100">
      <c r="A187" s="45" t="n"/>
      <c r="B187" s="46" t="n">
        <v>37834</v>
      </c>
      <c r="C187" s="13">
        <f>((((VLOOKUP(B187,Database!$F:$AY,MATCH($C$1,Database!$F$1:$AY$1,),))))-(((VLOOKUP(EDATE(B187,-12),Database!$F:$AY,MATCH($C$1,Database!$F$1:$AY$1,),)))))/(((VLOOKUP(EDATE(B187,-12),Database!$F:$AY,MATCH($C$1,Database!$F$1:$AY$1,),))))</f>
        <v/>
      </c>
      <c r="D187" s="13">
        <f>((((VLOOKUP(B187,Database!$F:$AY,MATCH($D$1,Database!$F$1:$AY$1,),))))-(((VLOOKUP(EDATE(B187,-12),Database!$F:$AY,MATCH($D$1,Database!$F$1:$AY$1,),)))))/(((VLOOKUP(EDATE(B187,-12),Database!$F:$AY,MATCH($D$1,Database!$F$1:$AY$1,),))))</f>
        <v/>
      </c>
      <c r="E187" s="13">
        <f>((((VLOOKUP(B187,Database!$F:$AY,MATCH($E$1,Database!$F$1:$AY$1,),))))-(((VLOOKUP(EDATE(B187,-12),Database!$F:$AY,MATCH($E$1,Database!$F$1:$AY$1,),)))))/(((VLOOKUP(EDATE(B187,-12),Database!$F:$AY,MATCH($E$1,Database!$F$1:$AY$1,),))))</f>
        <v/>
      </c>
      <c r="F187" s="13">
        <f>((((VLOOKUP(B187,Database!$F:$AY,MATCH($F$1,Database!$F$1:$AY$1,),))))-(((VLOOKUP(EDATE(B187,-12),Database!$F:$AY,MATCH($F$1,Database!$F$1:$AY$1,),)))))/(((VLOOKUP(EDATE(B187,-12),Database!$F:$AY,MATCH($F$1,Database!$F$1:$AY$1,),))))</f>
        <v/>
      </c>
      <c r="G187" s="13">
        <f>((((VLOOKUP(B187,Database!$F:$AY,MATCH($G$1,Database!$F$1:$AY$1,),))))-(((VLOOKUP(EDATE(B187,-12),Database!$F:$AY,MATCH($G$1,Database!$F$1:$AY$1,),)))))/(((VLOOKUP(EDATE(B187,-12),Database!$F:$AY,MATCH($G$1,Database!$F$1:$AY$1,),))))</f>
        <v/>
      </c>
      <c r="H187" s="13">
        <f>((((VLOOKUP(B187,Database!$F:$AY,MATCH($H$1,Database!$F$1:$AY$1,),))))-(((VLOOKUP(EDATE(B187,-12),Database!$F:$AY,MATCH($H$1,Database!$F$1:$AY$1,),)))))/(((VLOOKUP(EDATE(B187,-12),Database!$F:$AY,MATCH($H$1,Database!$F$1:$AY$1,),))))</f>
        <v/>
      </c>
      <c r="I187" s="13">
        <f>((((VLOOKUP(B187,Database!$F:$AY,MATCH($I$1,Database!$F$1:$AY$1,),))))-(((VLOOKUP(EDATE(B187,-12),Database!$F:$AY,MATCH($I$1,Database!$F$1:$AY$1,),)))))/(((VLOOKUP(EDATE(B187,-12),Database!$F:$AY,MATCH($I$1,Database!$F$1:$AY$1,),))))</f>
        <v/>
      </c>
      <c r="J187" s="13">
        <f>((((VLOOKUP(B187,Database!$F:$AY,MATCH($J$1,Database!$F$1:$AY$1,),))))-(((VLOOKUP(EDATE(B187,-12),Database!$F:$AY,MATCH($J$1,Database!$F$1:$AY$1,),)))))/(((VLOOKUP(EDATE(B187,-12),Database!$F:$AY,MATCH($J$1,Database!$F$1:$AY$1,),))))</f>
        <v/>
      </c>
      <c r="K187" s="13">
        <f>((((VLOOKUP(B187,Database!$F:$AY,MATCH($K$1,Database!$F$1:$AY$1,),))))-(((VLOOKUP(EDATE(B187,-12),Database!$F:$AY,MATCH($K$1,Database!$F$1:$AY$1,),)))))/(((VLOOKUP(EDATE(B187,-12),Database!$F:$AY,MATCH($K$1,Database!$F$1:$AY$1,),))))</f>
        <v/>
      </c>
      <c r="L187" s="13">
        <f>((((VLOOKUP(B187,Database!$F:$AY,MATCH($L$1,Database!$F$1:$AY$1,),))))-(((VLOOKUP(EDATE(B187,-12),Database!$F:$AY,MATCH($L$1,Database!$F$1:$AY$1,),)))))/(((VLOOKUP(EDATE(B187,-12),Database!$F:$AY,MATCH($L$1,Database!$F$1:$AY$1,),))))</f>
        <v/>
      </c>
      <c r="M187" s="13">
        <f>((((VLOOKUP(B187,Database!$F:$AY,MATCH($M$1,Database!$F$1:$AY$1,),))))-(((VLOOKUP(EDATE(B187,-12),Database!$F:$AY,MATCH($M$1,Database!$F$1:$AY$1,),)))))/(((VLOOKUP(EDATE(B187,-12),Database!$F:$AY,MATCH($M$1,Database!$F$1:$AY$1,),))))</f>
        <v/>
      </c>
      <c r="N187" s="13">
        <f>((((VLOOKUP(B187,Database!$F:$AY,MATCH($N$1,Database!$F$1:$AY$1,),))))-(((VLOOKUP(EDATE(B187,-12),Database!$F:$AY,MATCH($N$1,Database!$F$1:$AY$1,),)))))/(((VLOOKUP(EDATE(B187,-12),Database!$F:$AY,MATCH($N$1,Database!$F$1:$AY$1,),))))</f>
        <v/>
      </c>
      <c r="O187" s="13">
        <f>((((VLOOKUP(B187,Database!$F:$AY,MATCH($O$1,Database!$F$1:$AY$1,),))))-(((VLOOKUP(EDATE(B187,-12),Database!$F:$AY,MATCH($O$1,Database!$F$1:$AY$1,),)))))/(((VLOOKUP(EDATE(B187,-12),Database!$F:$AY,MATCH($O$1,Database!$F$1:$AY$1,),))))</f>
        <v/>
      </c>
      <c r="P187" s="13">
        <f>((((VLOOKUP(B187,Database!$F:$AY,MATCH($P$1,Database!$F$1:$AY$1,),))))-(((VLOOKUP(EDATE(B187,-12),Database!$F:$AY,MATCH($P$1,Database!$F$1:$AY$1,),)))))/(((VLOOKUP(EDATE(B187,-12),Database!$F:$AY,MATCH($P$1,Database!$F$1:$AY$1,),))))</f>
        <v/>
      </c>
      <c r="Q187" s="13">
        <f>((((VLOOKUP(B187,Database!$F:$AY,MATCH($Q$1,Database!$F$1:$AY$1,),))))-(((VLOOKUP(EDATE(B187,-12),Database!$F:$AY,MATCH($Q$1,Database!$F$1:$AY$1,),)))))/(((VLOOKUP(EDATE(B187,-12),Database!$F:$AY,MATCH($Q$1,Database!$F$1:$AY$1,),))))</f>
        <v/>
      </c>
      <c r="R187" s="13">
        <f>((((VLOOKUP(B187,Database!$F:$AY,MATCH($R$1,Database!$F$1:$AY$1,),))))-(((VLOOKUP(EDATE(B187,-12),Database!$F:$AY,MATCH($R$1,Database!$F$1:$AY$1,),)))))/(((VLOOKUP(EDATE(B187,-12),Database!$F:$AY,MATCH($R$1,Database!$F$1:$AY$1,),))))</f>
        <v/>
      </c>
      <c r="S187" s="13">
        <f>((((VLOOKUP(B187,Database!$F:$AY,MATCH($S$1,Database!$F$1:$AY$1,),))))-(((VLOOKUP(EDATE(B187,-12),Database!$F:$AY,MATCH($S$1,Database!$F$1:$AY$1,),)))))/(((VLOOKUP(EDATE(B187,-12),Database!$F:$AY,MATCH($S$1,Database!$F$1:$AY$1,),))))</f>
        <v/>
      </c>
      <c r="T187" s="13">
        <f>((((VLOOKUP(B187,Database!$F:$AY,MATCH($T$1,Database!$F$1:$AY$1,),))))-(((VLOOKUP(EDATE(B187,-12),Database!$F:$AY,MATCH($T$1,Database!$F$1:$AY$1,),)))))/(((VLOOKUP(EDATE(B187,-12),Database!$F:$AY,MATCH($T$1,Database!$F$1:$AY$1,),))))</f>
        <v/>
      </c>
      <c r="U187" s="13">
        <f>((((VLOOKUP(B187,Database!$F:$AY,MATCH($U$1,Database!$F$1:$AY$1,),))))-(((VLOOKUP(EDATE(B187,-12),Database!$F:$AY,MATCH($U$1,Database!$F$1:$AY$1,),)))))/(((VLOOKUP(EDATE(B187,-12),Database!$F:$AY,MATCH($U$1,Database!$F$1:$AY$1,),))))</f>
        <v/>
      </c>
      <c r="V187" s="13">
        <f>((((VLOOKUP(B187,Database!$F:$AY,MATCH($V$1,Database!$F$1:$AY$1,),))))-(((VLOOKUP(EDATE(B187,-12),Database!$F:$AY,MATCH($V$1,Database!$F$1:$AY$1,),)))))/(((VLOOKUP(EDATE(B187,-12),Database!$F:$AY,MATCH($V$1,Database!$F$1:$AY$1,),))))</f>
        <v/>
      </c>
    </row>
    <row r="188" customFormat="1" s="100">
      <c r="A188" s="45" t="n"/>
      <c r="B188" s="46" t="n">
        <v>37865</v>
      </c>
      <c r="C188" s="13">
        <f>((((VLOOKUP(B188,Database!$F:$AY,MATCH($C$1,Database!$F$1:$AY$1,),))))-(((VLOOKUP(EDATE(B188,-12),Database!$F:$AY,MATCH($C$1,Database!$F$1:$AY$1,),)))))/(((VLOOKUP(EDATE(B188,-12),Database!$F:$AY,MATCH($C$1,Database!$F$1:$AY$1,),))))</f>
        <v/>
      </c>
      <c r="D188" s="13">
        <f>((((VLOOKUP(B188,Database!$F:$AY,MATCH($D$1,Database!$F$1:$AY$1,),))))-(((VLOOKUP(EDATE(B188,-12),Database!$F:$AY,MATCH($D$1,Database!$F$1:$AY$1,),)))))/(((VLOOKUP(EDATE(B188,-12),Database!$F:$AY,MATCH($D$1,Database!$F$1:$AY$1,),))))</f>
        <v/>
      </c>
      <c r="E188" s="13">
        <f>((((VLOOKUP(B188,Database!$F:$AY,MATCH($E$1,Database!$F$1:$AY$1,),))))-(((VLOOKUP(EDATE(B188,-12),Database!$F:$AY,MATCH($E$1,Database!$F$1:$AY$1,),)))))/(((VLOOKUP(EDATE(B188,-12),Database!$F:$AY,MATCH($E$1,Database!$F$1:$AY$1,),))))</f>
        <v/>
      </c>
      <c r="F188" s="13">
        <f>((((VLOOKUP(B188,Database!$F:$AY,MATCH($F$1,Database!$F$1:$AY$1,),))))-(((VLOOKUP(EDATE(B188,-12),Database!$F:$AY,MATCH($F$1,Database!$F$1:$AY$1,),)))))/(((VLOOKUP(EDATE(B188,-12),Database!$F:$AY,MATCH($F$1,Database!$F$1:$AY$1,),))))</f>
        <v/>
      </c>
      <c r="G188" s="13">
        <f>((((VLOOKUP(B188,Database!$F:$AY,MATCH($G$1,Database!$F$1:$AY$1,),))))-(((VLOOKUP(EDATE(B188,-12),Database!$F:$AY,MATCH($G$1,Database!$F$1:$AY$1,),)))))/(((VLOOKUP(EDATE(B188,-12),Database!$F:$AY,MATCH($G$1,Database!$F$1:$AY$1,),))))</f>
        <v/>
      </c>
      <c r="H188" s="13">
        <f>((((VLOOKUP(B188,Database!$F:$AY,MATCH($H$1,Database!$F$1:$AY$1,),))))-(((VLOOKUP(EDATE(B188,-12),Database!$F:$AY,MATCH($H$1,Database!$F$1:$AY$1,),)))))/(((VLOOKUP(EDATE(B188,-12),Database!$F:$AY,MATCH($H$1,Database!$F$1:$AY$1,),))))</f>
        <v/>
      </c>
      <c r="I188" s="13">
        <f>((((VLOOKUP(B188,Database!$F:$AY,MATCH($I$1,Database!$F$1:$AY$1,),))))-(((VLOOKUP(EDATE(B188,-12),Database!$F:$AY,MATCH($I$1,Database!$F$1:$AY$1,),)))))/(((VLOOKUP(EDATE(B188,-12),Database!$F:$AY,MATCH($I$1,Database!$F$1:$AY$1,),))))</f>
        <v/>
      </c>
      <c r="J188" s="13">
        <f>((((VLOOKUP(B188,Database!$F:$AY,MATCH($J$1,Database!$F$1:$AY$1,),))))-(((VLOOKUP(EDATE(B188,-12),Database!$F:$AY,MATCH($J$1,Database!$F$1:$AY$1,),)))))/(((VLOOKUP(EDATE(B188,-12),Database!$F:$AY,MATCH($J$1,Database!$F$1:$AY$1,),))))</f>
        <v/>
      </c>
      <c r="K188" s="13">
        <f>((((VLOOKUP(B188,Database!$F:$AY,MATCH($K$1,Database!$F$1:$AY$1,),))))-(((VLOOKUP(EDATE(B188,-12),Database!$F:$AY,MATCH($K$1,Database!$F$1:$AY$1,),)))))/(((VLOOKUP(EDATE(B188,-12),Database!$F:$AY,MATCH($K$1,Database!$F$1:$AY$1,),))))</f>
        <v/>
      </c>
      <c r="L188" s="13">
        <f>((((VLOOKUP(B188,Database!$F:$AY,MATCH($L$1,Database!$F$1:$AY$1,),))))-(((VLOOKUP(EDATE(B188,-12),Database!$F:$AY,MATCH($L$1,Database!$F$1:$AY$1,),)))))/(((VLOOKUP(EDATE(B188,-12),Database!$F:$AY,MATCH($L$1,Database!$F$1:$AY$1,),))))</f>
        <v/>
      </c>
      <c r="M188" s="13">
        <f>((((VLOOKUP(B188,Database!$F:$AY,MATCH($M$1,Database!$F$1:$AY$1,),))))-(((VLOOKUP(EDATE(B188,-12),Database!$F:$AY,MATCH($M$1,Database!$F$1:$AY$1,),)))))/(((VLOOKUP(EDATE(B188,-12),Database!$F:$AY,MATCH($M$1,Database!$F$1:$AY$1,),))))</f>
        <v/>
      </c>
      <c r="N188" s="13">
        <f>((((VLOOKUP(B188,Database!$F:$AY,MATCH($N$1,Database!$F$1:$AY$1,),))))-(((VLOOKUP(EDATE(B188,-12),Database!$F:$AY,MATCH($N$1,Database!$F$1:$AY$1,),)))))/(((VLOOKUP(EDATE(B188,-12),Database!$F:$AY,MATCH($N$1,Database!$F$1:$AY$1,),))))</f>
        <v/>
      </c>
      <c r="O188" s="13">
        <f>((((VLOOKUP(B188,Database!$F:$AY,MATCH($O$1,Database!$F$1:$AY$1,),))))-(((VLOOKUP(EDATE(B188,-12),Database!$F:$AY,MATCH($O$1,Database!$F$1:$AY$1,),)))))/(((VLOOKUP(EDATE(B188,-12),Database!$F:$AY,MATCH($O$1,Database!$F$1:$AY$1,),))))</f>
        <v/>
      </c>
      <c r="P188" s="13">
        <f>((((VLOOKUP(B188,Database!$F:$AY,MATCH($P$1,Database!$F$1:$AY$1,),))))-(((VLOOKUP(EDATE(B188,-12),Database!$F:$AY,MATCH($P$1,Database!$F$1:$AY$1,),)))))/(((VLOOKUP(EDATE(B188,-12),Database!$F:$AY,MATCH($P$1,Database!$F$1:$AY$1,),))))</f>
        <v/>
      </c>
      <c r="Q188" s="13">
        <f>((((VLOOKUP(B188,Database!$F:$AY,MATCH($Q$1,Database!$F$1:$AY$1,),))))-(((VLOOKUP(EDATE(B188,-12),Database!$F:$AY,MATCH($Q$1,Database!$F$1:$AY$1,),)))))/(((VLOOKUP(EDATE(B188,-12),Database!$F:$AY,MATCH($Q$1,Database!$F$1:$AY$1,),))))</f>
        <v/>
      </c>
      <c r="R188" s="13">
        <f>((((VLOOKUP(B188,Database!$F:$AY,MATCH($R$1,Database!$F$1:$AY$1,),))))-(((VLOOKUP(EDATE(B188,-12),Database!$F:$AY,MATCH($R$1,Database!$F$1:$AY$1,),)))))/(((VLOOKUP(EDATE(B188,-12),Database!$F:$AY,MATCH($R$1,Database!$F$1:$AY$1,),))))</f>
        <v/>
      </c>
      <c r="S188" s="13">
        <f>((((VLOOKUP(B188,Database!$F:$AY,MATCH($S$1,Database!$F$1:$AY$1,),))))-(((VLOOKUP(EDATE(B188,-12),Database!$F:$AY,MATCH($S$1,Database!$F$1:$AY$1,),)))))/(((VLOOKUP(EDATE(B188,-12),Database!$F:$AY,MATCH($S$1,Database!$F$1:$AY$1,),))))</f>
        <v/>
      </c>
      <c r="T188" s="13">
        <f>((((VLOOKUP(B188,Database!$F:$AY,MATCH($T$1,Database!$F$1:$AY$1,),))))-(((VLOOKUP(EDATE(B188,-12),Database!$F:$AY,MATCH($T$1,Database!$F$1:$AY$1,),)))))/(((VLOOKUP(EDATE(B188,-12),Database!$F:$AY,MATCH($T$1,Database!$F$1:$AY$1,),))))</f>
        <v/>
      </c>
      <c r="U188" s="13">
        <f>((((VLOOKUP(B188,Database!$F:$AY,MATCH($U$1,Database!$F$1:$AY$1,),))))-(((VLOOKUP(EDATE(B188,-12),Database!$F:$AY,MATCH($U$1,Database!$F$1:$AY$1,),)))))/(((VLOOKUP(EDATE(B188,-12),Database!$F:$AY,MATCH($U$1,Database!$F$1:$AY$1,),))))</f>
        <v/>
      </c>
      <c r="V188" s="13">
        <f>((((VLOOKUP(B188,Database!$F:$AY,MATCH($V$1,Database!$F$1:$AY$1,),))))-(((VLOOKUP(EDATE(B188,-12),Database!$F:$AY,MATCH($V$1,Database!$F$1:$AY$1,),)))))/(((VLOOKUP(EDATE(B188,-12),Database!$F:$AY,MATCH($V$1,Database!$F$1:$AY$1,),))))</f>
        <v/>
      </c>
    </row>
    <row r="189" customFormat="1" s="100">
      <c r="A189" s="45" t="n"/>
      <c r="B189" s="46" t="n">
        <v>37895</v>
      </c>
      <c r="C189" s="13">
        <f>((((VLOOKUP(B189,Database!$F:$AY,MATCH($C$1,Database!$F$1:$AY$1,),))))-(((VLOOKUP(EDATE(B189,-12),Database!$F:$AY,MATCH($C$1,Database!$F$1:$AY$1,),)))))/(((VLOOKUP(EDATE(B189,-12),Database!$F:$AY,MATCH($C$1,Database!$F$1:$AY$1,),))))</f>
        <v/>
      </c>
      <c r="D189" s="13">
        <f>((((VLOOKUP(B189,Database!$F:$AY,MATCH($D$1,Database!$F$1:$AY$1,),))))-(((VLOOKUP(EDATE(B189,-12),Database!$F:$AY,MATCH($D$1,Database!$F$1:$AY$1,),)))))/(((VLOOKUP(EDATE(B189,-12),Database!$F:$AY,MATCH($D$1,Database!$F$1:$AY$1,),))))</f>
        <v/>
      </c>
      <c r="E189" s="13">
        <f>((((VLOOKUP(B189,Database!$F:$AY,MATCH($E$1,Database!$F$1:$AY$1,),))))-(((VLOOKUP(EDATE(B189,-12),Database!$F:$AY,MATCH($E$1,Database!$F$1:$AY$1,),)))))/(((VLOOKUP(EDATE(B189,-12),Database!$F:$AY,MATCH($E$1,Database!$F$1:$AY$1,),))))</f>
        <v/>
      </c>
      <c r="F189" s="13">
        <f>((((VLOOKUP(B189,Database!$F:$AY,MATCH($F$1,Database!$F$1:$AY$1,),))))-(((VLOOKUP(EDATE(B189,-12),Database!$F:$AY,MATCH($F$1,Database!$F$1:$AY$1,),)))))/(((VLOOKUP(EDATE(B189,-12),Database!$F:$AY,MATCH($F$1,Database!$F$1:$AY$1,),))))</f>
        <v/>
      </c>
      <c r="G189" s="13">
        <f>((((VLOOKUP(B189,Database!$F:$AY,MATCH($G$1,Database!$F$1:$AY$1,),))))-(((VLOOKUP(EDATE(B189,-12),Database!$F:$AY,MATCH($G$1,Database!$F$1:$AY$1,),)))))/(((VLOOKUP(EDATE(B189,-12),Database!$F:$AY,MATCH($G$1,Database!$F$1:$AY$1,),))))</f>
        <v/>
      </c>
      <c r="H189" s="13">
        <f>((((VLOOKUP(B189,Database!$F:$AY,MATCH($H$1,Database!$F$1:$AY$1,),))))-(((VLOOKUP(EDATE(B189,-12),Database!$F:$AY,MATCH($H$1,Database!$F$1:$AY$1,),)))))/(((VLOOKUP(EDATE(B189,-12),Database!$F:$AY,MATCH($H$1,Database!$F$1:$AY$1,),))))</f>
        <v/>
      </c>
      <c r="I189" s="13">
        <f>((((VLOOKUP(B189,Database!$F:$AY,MATCH($I$1,Database!$F$1:$AY$1,),))))-(((VLOOKUP(EDATE(B189,-12),Database!$F:$AY,MATCH($I$1,Database!$F$1:$AY$1,),)))))/(((VLOOKUP(EDATE(B189,-12),Database!$F:$AY,MATCH($I$1,Database!$F$1:$AY$1,),))))</f>
        <v/>
      </c>
      <c r="J189" s="13">
        <f>((((VLOOKUP(B189,Database!$F:$AY,MATCH($J$1,Database!$F$1:$AY$1,),))))-(((VLOOKUP(EDATE(B189,-12),Database!$F:$AY,MATCH($J$1,Database!$F$1:$AY$1,),)))))/(((VLOOKUP(EDATE(B189,-12),Database!$F:$AY,MATCH($J$1,Database!$F$1:$AY$1,),))))</f>
        <v/>
      </c>
      <c r="K189" s="13">
        <f>((((VLOOKUP(B189,Database!$F:$AY,MATCH($K$1,Database!$F$1:$AY$1,),))))-(((VLOOKUP(EDATE(B189,-12),Database!$F:$AY,MATCH($K$1,Database!$F$1:$AY$1,),)))))/(((VLOOKUP(EDATE(B189,-12),Database!$F:$AY,MATCH($K$1,Database!$F$1:$AY$1,),))))</f>
        <v/>
      </c>
      <c r="L189" s="13">
        <f>((((VLOOKUP(B189,Database!$F:$AY,MATCH($L$1,Database!$F$1:$AY$1,),))))-(((VLOOKUP(EDATE(B189,-12),Database!$F:$AY,MATCH($L$1,Database!$F$1:$AY$1,),)))))/(((VLOOKUP(EDATE(B189,-12),Database!$F:$AY,MATCH($L$1,Database!$F$1:$AY$1,),))))</f>
        <v/>
      </c>
      <c r="M189" s="13">
        <f>((((VLOOKUP(B189,Database!$F:$AY,MATCH($M$1,Database!$F$1:$AY$1,),))))-(((VLOOKUP(EDATE(B189,-12),Database!$F:$AY,MATCH($M$1,Database!$F$1:$AY$1,),)))))/(((VLOOKUP(EDATE(B189,-12),Database!$F:$AY,MATCH($M$1,Database!$F$1:$AY$1,),))))</f>
        <v/>
      </c>
      <c r="N189" s="13">
        <f>((((VLOOKUP(B189,Database!$F:$AY,MATCH($N$1,Database!$F$1:$AY$1,),))))-(((VLOOKUP(EDATE(B189,-12),Database!$F:$AY,MATCH($N$1,Database!$F$1:$AY$1,),)))))/(((VLOOKUP(EDATE(B189,-12),Database!$F:$AY,MATCH($N$1,Database!$F$1:$AY$1,),))))</f>
        <v/>
      </c>
      <c r="O189" s="13">
        <f>((((VLOOKUP(B189,Database!$F:$AY,MATCH($O$1,Database!$F$1:$AY$1,),))))-(((VLOOKUP(EDATE(B189,-12),Database!$F:$AY,MATCH($O$1,Database!$F$1:$AY$1,),)))))/(((VLOOKUP(EDATE(B189,-12),Database!$F:$AY,MATCH($O$1,Database!$F$1:$AY$1,),))))</f>
        <v/>
      </c>
      <c r="P189" s="13">
        <f>((((VLOOKUP(B189,Database!$F:$AY,MATCH($P$1,Database!$F$1:$AY$1,),))))-(((VLOOKUP(EDATE(B189,-12),Database!$F:$AY,MATCH($P$1,Database!$F$1:$AY$1,),)))))/(((VLOOKUP(EDATE(B189,-12),Database!$F:$AY,MATCH($P$1,Database!$F$1:$AY$1,),))))</f>
        <v/>
      </c>
      <c r="Q189" s="13">
        <f>((((VLOOKUP(B189,Database!$F:$AY,MATCH($Q$1,Database!$F$1:$AY$1,),))))-(((VLOOKUP(EDATE(B189,-12),Database!$F:$AY,MATCH($Q$1,Database!$F$1:$AY$1,),)))))/(((VLOOKUP(EDATE(B189,-12),Database!$F:$AY,MATCH($Q$1,Database!$F$1:$AY$1,),))))</f>
        <v/>
      </c>
      <c r="R189" s="13">
        <f>((((VLOOKUP(B189,Database!$F:$AY,MATCH($R$1,Database!$F$1:$AY$1,),))))-(((VLOOKUP(EDATE(B189,-12),Database!$F:$AY,MATCH($R$1,Database!$F$1:$AY$1,),)))))/(((VLOOKUP(EDATE(B189,-12),Database!$F:$AY,MATCH($R$1,Database!$F$1:$AY$1,),))))</f>
        <v/>
      </c>
      <c r="S189" s="13">
        <f>((((VLOOKUP(B189,Database!$F:$AY,MATCH($S$1,Database!$F$1:$AY$1,),))))-(((VLOOKUP(EDATE(B189,-12),Database!$F:$AY,MATCH($S$1,Database!$F$1:$AY$1,),)))))/(((VLOOKUP(EDATE(B189,-12),Database!$F:$AY,MATCH($S$1,Database!$F$1:$AY$1,),))))</f>
        <v/>
      </c>
      <c r="T189" s="13">
        <f>((((VLOOKUP(B189,Database!$F:$AY,MATCH($T$1,Database!$F$1:$AY$1,),))))-(((VLOOKUP(EDATE(B189,-12),Database!$F:$AY,MATCH($T$1,Database!$F$1:$AY$1,),)))))/(((VLOOKUP(EDATE(B189,-12),Database!$F:$AY,MATCH($T$1,Database!$F$1:$AY$1,),))))</f>
        <v/>
      </c>
      <c r="U189" s="13">
        <f>((((VLOOKUP(B189,Database!$F:$AY,MATCH($U$1,Database!$F$1:$AY$1,),))))-(((VLOOKUP(EDATE(B189,-12),Database!$F:$AY,MATCH($U$1,Database!$F$1:$AY$1,),)))))/(((VLOOKUP(EDATE(B189,-12),Database!$F:$AY,MATCH($U$1,Database!$F$1:$AY$1,),))))</f>
        <v/>
      </c>
      <c r="V189" s="13">
        <f>((((VLOOKUP(B189,Database!$F:$AY,MATCH($V$1,Database!$F$1:$AY$1,),))))-(((VLOOKUP(EDATE(B189,-12),Database!$F:$AY,MATCH($V$1,Database!$F$1:$AY$1,),)))))/(((VLOOKUP(EDATE(B189,-12),Database!$F:$AY,MATCH($V$1,Database!$F$1:$AY$1,),))))</f>
        <v/>
      </c>
    </row>
    <row r="190" customFormat="1" s="100">
      <c r="A190" s="45" t="n"/>
      <c r="B190" s="46" t="n">
        <v>37926</v>
      </c>
      <c r="C190" s="13">
        <f>((((VLOOKUP(B190,Database!$F:$AY,MATCH($C$1,Database!$F$1:$AY$1,),))))-(((VLOOKUP(EDATE(B190,-12),Database!$F:$AY,MATCH($C$1,Database!$F$1:$AY$1,),)))))/(((VLOOKUP(EDATE(B190,-12),Database!$F:$AY,MATCH($C$1,Database!$F$1:$AY$1,),))))</f>
        <v/>
      </c>
      <c r="D190" s="13">
        <f>((((VLOOKUP(B190,Database!$F:$AY,MATCH($D$1,Database!$F$1:$AY$1,),))))-(((VLOOKUP(EDATE(B190,-12),Database!$F:$AY,MATCH($D$1,Database!$F$1:$AY$1,),)))))/(((VLOOKUP(EDATE(B190,-12),Database!$F:$AY,MATCH($D$1,Database!$F$1:$AY$1,),))))</f>
        <v/>
      </c>
      <c r="E190" s="13">
        <f>((((VLOOKUP(B190,Database!$F:$AY,MATCH($E$1,Database!$F$1:$AY$1,),))))-(((VLOOKUP(EDATE(B190,-12),Database!$F:$AY,MATCH($E$1,Database!$F$1:$AY$1,),)))))/(((VLOOKUP(EDATE(B190,-12),Database!$F:$AY,MATCH($E$1,Database!$F$1:$AY$1,),))))</f>
        <v/>
      </c>
      <c r="F190" s="13">
        <f>((((VLOOKUP(B190,Database!$F:$AY,MATCH($F$1,Database!$F$1:$AY$1,),))))-(((VLOOKUP(EDATE(B190,-12),Database!$F:$AY,MATCH($F$1,Database!$F$1:$AY$1,),)))))/(((VLOOKUP(EDATE(B190,-12),Database!$F:$AY,MATCH($F$1,Database!$F$1:$AY$1,),))))</f>
        <v/>
      </c>
      <c r="G190" s="13">
        <f>((((VLOOKUP(B190,Database!$F:$AY,MATCH($G$1,Database!$F$1:$AY$1,),))))-(((VLOOKUP(EDATE(B190,-12),Database!$F:$AY,MATCH($G$1,Database!$F$1:$AY$1,),)))))/(((VLOOKUP(EDATE(B190,-12),Database!$F:$AY,MATCH($G$1,Database!$F$1:$AY$1,),))))</f>
        <v/>
      </c>
      <c r="H190" s="13">
        <f>((((VLOOKUP(B190,Database!$F:$AY,MATCH($H$1,Database!$F$1:$AY$1,),))))-(((VLOOKUP(EDATE(B190,-12),Database!$F:$AY,MATCH($H$1,Database!$F$1:$AY$1,),)))))/(((VLOOKUP(EDATE(B190,-12),Database!$F:$AY,MATCH($H$1,Database!$F$1:$AY$1,),))))</f>
        <v/>
      </c>
      <c r="I190" s="13">
        <f>((((VLOOKUP(B190,Database!$F:$AY,MATCH($I$1,Database!$F$1:$AY$1,),))))-(((VLOOKUP(EDATE(B190,-12),Database!$F:$AY,MATCH($I$1,Database!$F$1:$AY$1,),)))))/(((VLOOKUP(EDATE(B190,-12),Database!$F:$AY,MATCH($I$1,Database!$F$1:$AY$1,),))))</f>
        <v/>
      </c>
      <c r="J190" s="13">
        <f>((((VLOOKUP(B190,Database!$F:$AY,MATCH($J$1,Database!$F$1:$AY$1,),))))-(((VLOOKUP(EDATE(B190,-12),Database!$F:$AY,MATCH($J$1,Database!$F$1:$AY$1,),)))))/(((VLOOKUP(EDATE(B190,-12),Database!$F:$AY,MATCH($J$1,Database!$F$1:$AY$1,),))))</f>
        <v/>
      </c>
      <c r="K190" s="13">
        <f>((((VLOOKUP(B190,Database!$F:$AY,MATCH($K$1,Database!$F$1:$AY$1,),))))-(((VLOOKUP(EDATE(B190,-12),Database!$F:$AY,MATCH($K$1,Database!$F$1:$AY$1,),)))))/(((VLOOKUP(EDATE(B190,-12),Database!$F:$AY,MATCH($K$1,Database!$F$1:$AY$1,),))))</f>
        <v/>
      </c>
      <c r="L190" s="13">
        <f>((((VLOOKUP(B190,Database!$F:$AY,MATCH($L$1,Database!$F$1:$AY$1,),))))-(((VLOOKUP(EDATE(B190,-12),Database!$F:$AY,MATCH($L$1,Database!$F$1:$AY$1,),)))))/(((VLOOKUP(EDATE(B190,-12),Database!$F:$AY,MATCH($L$1,Database!$F$1:$AY$1,),))))</f>
        <v/>
      </c>
      <c r="M190" s="13">
        <f>((((VLOOKUP(B190,Database!$F:$AY,MATCH($M$1,Database!$F$1:$AY$1,),))))-(((VLOOKUP(EDATE(B190,-12),Database!$F:$AY,MATCH($M$1,Database!$F$1:$AY$1,),)))))/(((VLOOKUP(EDATE(B190,-12),Database!$F:$AY,MATCH($M$1,Database!$F$1:$AY$1,),))))</f>
        <v/>
      </c>
      <c r="N190" s="13">
        <f>((((VLOOKUP(B190,Database!$F:$AY,MATCH($N$1,Database!$F$1:$AY$1,),))))-(((VLOOKUP(EDATE(B190,-12),Database!$F:$AY,MATCH($N$1,Database!$F$1:$AY$1,),)))))/(((VLOOKUP(EDATE(B190,-12),Database!$F:$AY,MATCH($N$1,Database!$F$1:$AY$1,),))))</f>
        <v/>
      </c>
      <c r="O190" s="13">
        <f>((((VLOOKUP(B190,Database!$F:$AY,MATCH($O$1,Database!$F$1:$AY$1,),))))-(((VLOOKUP(EDATE(B190,-12),Database!$F:$AY,MATCH($O$1,Database!$F$1:$AY$1,),)))))/(((VLOOKUP(EDATE(B190,-12),Database!$F:$AY,MATCH($O$1,Database!$F$1:$AY$1,),))))</f>
        <v/>
      </c>
      <c r="P190" s="13">
        <f>((((VLOOKUP(B190,Database!$F:$AY,MATCH($P$1,Database!$F$1:$AY$1,),))))-(((VLOOKUP(EDATE(B190,-12),Database!$F:$AY,MATCH($P$1,Database!$F$1:$AY$1,),)))))/(((VLOOKUP(EDATE(B190,-12),Database!$F:$AY,MATCH($P$1,Database!$F$1:$AY$1,),))))</f>
        <v/>
      </c>
      <c r="Q190" s="13">
        <f>((((VLOOKUP(B190,Database!$F:$AY,MATCH($Q$1,Database!$F$1:$AY$1,),))))-(((VLOOKUP(EDATE(B190,-12),Database!$F:$AY,MATCH($Q$1,Database!$F$1:$AY$1,),)))))/(((VLOOKUP(EDATE(B190,-12),Database!$F:$AY,MATCH($Q$1,Database!$F$1:$AY$1,),))))</f>
        <v/>
      </c>
      <c r="R190" s="13">
        <f>((((VLOOKUP(B190,Database!$F:$AY,MATCH($R$1,Database!$F$1:$AY$1,),))))-(((VLOOKUP(EDATE(B190,-12),Database!$F:$AY,MATCH($R$1,Database!$F$1:$AY$1,),)))))/(((VLOOKUP(EDATE(B190,-12),Database!$F:$AY,MATCH($R$1,Database!$F$1:$AY$1,),))))</f>
        <v/>
      </c>
      <c r="S190" s="13">
        <f>((((VLOOKUP(B190,Database!$F:$AY,MATCH($S$1,Database!$F$1:$AY$1,),))))-(((VLOOKUP(EDATE(B190,-12),Database!$F:$AY,MATCH($S$1,Database!$F$1:$AY$1,),)))))/(((VLOOKUP(EDATE(B190,-12),Database!$F:$AY,MATCH($S$1,Database!$F$1:$AY$1,),))))</f>
        <v/>
      </c>
      <c r="T190" s="13">
        <f>((((VLOOKUP(B190,Database!$F:$AY,MATCH($T$1,Database!$F$1:$AY$1,),))))-(((VLOOKUP(EDATE(B190,-12),Database!$F:$AY,MATCH($T$1,Database!$F$1:$AY$1,),)))))/(((VLOOKUP(EDATE(B190,-12),Database!$F:$AY,MATCH($T$1,Database!$F$1:$AY$1,),))))</f>
        <v/>
      </c>
      <c r="U190" s="13">
        <f>((((VLOOKUP(B190,Database!$F:$AY,MATCH($U$1,Database!$F$1:$AY$1,),))))-(((VLOOKUP(EDATE(B190,-12),Database!$F:$AY,MATCH($U$1,Database!$F$1:$AY$1,),)))))/(((VLOOKUP(EDATE(B190,-12),Database!$F:$AY,MATCH($U$1,Database!$F$1:$AY$1,),))))</f>
        <v/>
      </c>
      <c r="V190" s="13">
        <f>((((VLOOKUP(B190,Database!$F:$AY,MATCH($V$1,Database!$F$1:$AY$1,),))))-(((VLOOKUP(EDATE(B190,-12),Database!$F:$AY,MATCH($V$1,Database!$F$1:$AY$1,),)))))/(((VLOOKUP(EDATE(B190,-12),Database!$F:$AY,MATCH($V$1,Database!$F$1:$AY$1,),))))</f>
        <v/>
      </c>
    </row>
    <row r="191" customFormat="1" s="100">
      <c r="A191" s="45" t="n"/>
      <c r="B191" s="46" t="n">
        <v>37956</v>
      </c>
      <c r="C191" s="13">
        <f>((((VLOOKUP(B191,Database!$F:$AY,MATCH($C$1,Database!$F$1:$AY$1,),))))-(((VLOOKUP(EDATE(B191,-12),Database!$F:$AY,MATCH($C$1,Database!$F$1:$AY$1,),)))))/(((VLOOKUP(EDATE(B191,-12),Database!$F:$AY,MATCH($C$1,Database!$F$1:$AY$1,),))))</f>
        <v/>
      </c>
      <c r="D191" s="13">
        <f>((((VLOOKUP(B191,Database!$F:$AY,MATCH($D$1,Database!$F$1:$AY$1,),))))-(((VLOOKUP(EDATE(B191,-12),Database!$F:$AY,MATCH($D$1,Database!$F$1:$AY$1,),)))))/(((VLOOKUP(EDATE(B191,-12),Database!$F:$AY,MATCH($D$1,Database!$F$1:$AY$1,),))))</f>
        <v/>
      </c>
      <c r="E191" s="13">
        <f>((((VLOOKUP(B191,Database!$F:$AY,MATCH($E$1,Database!$F$1:$AY$1,),))))-(((VLOOKUP(EDATE(B191,-12),Database!$F:$AY,MATCH($E$1,Database!$F$1:$AY$1,),)))))/(((VLOOKUP(EDATE(B191,-12),Database!$F:$AY,MATCH($E$1,Database!$F$1:$AY$1,),))))</f>
        <v/>
      </c>
      <c r="F191" s="13">
        <f>((((VLOOKUP(B191,Database!$F:$AY,MATCH($F$1,Database!$F$1:$AY$1,),))))-(((VLOOKUP(EDATE(B191,-12),Database!$F:$AY,MATCH($F$1,Database!$F$1:$AY$1,),)))))/(((VLOOKUP(EDATE(B191,-12),Database!$F:$AY,MATCH($F$1,Database!$F$1:$AY$1,),))))</f>
        <v/>
      </c>
      <c r="G191" s="13">
        <f>((((VLOOKUP(B191,Database!$F:$AY,MATCH($G$1,Database!$F$1:$AY$1,),))))-(((VLOOKUP(EDATE(B191,-12),Database!$F:$AY,MATCH($G$1,Database!$F$1:$AY$1,),)))))/(((VLOOKUP(EDATE(B191,-12),Database!$F:$AY,MATCH($G$1,Database!$F$1:$AY$1,),))))</f>
        <v/>
      </c>
      <c r="H191" s="13">
        <f>((((VLOOKUP(B191,Database!$F:$AY,MATCH($H$1,Database!$F$1:$AY$1,),))))-(((VLOOKUP(EDATE(B191,-12),Database!$F:$AY,MATCH($H$1,Database!$F$1:$AY$1,),)))))/(((VLOOKUP(EDATE(B191,-12),Database!$F:$AY,MATCH($H$1,Database!$F$1:$AY$1,),))))</f>
        <v/>
      </c>
      <c r="I191" s="13">
        <f>((((VLOOKUP(B191,Database!$F:$AY,MATCH($I$1,Database!$F$1:$AY$1,),))))-(((VLOOKUP(EDATE(B191,-12),Database!$F:$AY,MATCH($I$1,Database!$F$1:$AY$1,),)))))/(((VLOOKUP(EDATE(B191,-12),Database!$F:$AY,MATCH($I$1,Database!$F$1:$AY$1,),))))</f>
        <v/>
      </c>
      <c r="J191" s="13">
        <f>((((VLOOKUP(B191,Database!$F:$AY,MATCH($J$1,Database!$F$1:$AY$1,),))))-(((VLOOKUP(EDATE(B191,-12),Database!$F:$AY,MATCH($J$1,Database!$F$1:$AY$1,),)))))/(((VLOOKUP(EDATE(B191,-12),Database!$F:$AY,MATCH($J$1,Database!$F$1:$AY$1,),))))</f>
        <v/>
      </c>
      <c r="K191" s="13">
        <f>((((VLOOKUP(B191,Database!$F:$AY,MATCH($K$1,Database!$F$1:$AY$1,),))))-(((VLOOKUP(EDATE(B191,-12),Database!$F:$AY,MATCH($K$1,Database!$F$1:$AY$1,),)))))/(((VLOOKUP(EDATE(B191,-12),Database!$F:$AY,MATCH($K$1,Database!$F$1:$AY$1,),))))</f>
        <v/>
      </c>
      <c r="L191" s="13">
        <f>((((VLOOKUP(B191,Database!$F:$AY,MATCH($L$1,Database!$F$1:$AY$1,),))))-(((VLOOKUP(EDATE(B191,-12),Database!$F:$AY,MATCH($L$1,Database!$F$1:$AY$1,),)))))/(((VLOOKUP(EDATE(B191,-12),Database!$F:$AY,MATCH($L$1,Database!$F$1:$AY$1,),))))</f>
        <v/>
      </c>
      <c r="M191" s="13">
        <f>((((VLOOKUP(B191,Database!$F:$AY,MATCH($M$1,Database!$F$1:$AY$1,),))))-(((VLOOKUP(EDATE(B191,-12),Database!$F:$AY,MATCH($M$1,Database!$F$1:$AY$1,),)))))/(((VLOOKUP(EDATE(B191,-12),Database!$F:$AY,MATCH($M$1,Database!$F$1:$AY$1,),))))</f>
        <v/>
      </c>
      <c r="N191" s="13">
        <f>((((VLOOKUP(B191,Database!$F:$AY,MATCH($N$1,Database!$F$1:$AY$1,),))))-(((VLOOKUP(EDATE(B191,-12),Database!$F:$AY,MATCH($N$1,Database!$F$1:$AY$1,),)))))/(((VLOOKUP(EDATE(B191,-12),Database!$F:$AY,MATCH($N$1,Database!$F$1:$AY$1,),))))</f>
        <v/>
      </c>
      <c r="O191" s="13">
        <f>((((VLOOKUP(B191,Database!$F:$AY,MATCH($O$1,Database!$F$1:$AY$1,),))))-(((VLOOKUP(EDATE(B191,-12),Database!$F:$AY,MATCH($O$1,Database!$F$1:$AY$1,),)))))/(((VLOOKUP(EDATE(B191,-12),Database!$F:$AY,MATCH($O$1,Database!$F$1:$AY$1,),))))</f>
        <v/>
      </c>
      <c r="P191" s="13">
        <f>((((VLOOKUP(B191,Database!$F:$AY,MATCH($P$1,Database!$F$1:$AY$1,),))))-(((VLOOKUP(EDATE(B191,-12),Database!$F:$AY,MATCH($P$1,Database!$F$1:$AY$1,),)))))/(((VLOOKUP(EDATE(B191,-12),Database!$F:$AY,MATCH($P$1,Database!$F$1:$AY$1,),))))</f>
        <v/>
      </c>
      <c r="Q191" s="13">
        <f>((((VLOOKUP(B191,Database!$F:$AY,MATCH($Q$1,Database!$F$1:$AY$1,),))))-(((VLOOKUP(EDATE(B191,-12),Database!$F:$AY,MATCH($Q$1,Database!$F$1:$AY$1,),)))))/(((VLOOKUP(EDATE(B191,-12),Database!$F:$AY,MATCH($Q$1,Database!$F$1:$AY$1,),))))</f>
        <v/>
      </c>
      <c r="R191" s="13">
        <f>((((VLOOKUP(B191,Database!$F:$AY,MATCH($R$1,Database!$F$1:$AY$1,),))))-(((VLOOKUP(EDATE(B191,-12),Database!$F:$AY,MATCH($R$1,Database!$F$1:$AY$1,),)))))/(((VLOOKUP(EDATE(B191,-12),Database!$F:$AY,MATCH($R$1,Database!$F$1:$AY$1,),))))</f>
        <v/>
      </c>
      <c r="S191" s="13">
        <f>((((VLOOKUP(B191,Database!$F:$AY,MATCH($S$1,Database!$F$1:$AY$1,),))))-(((VLOOKUP(EDATE(B191,-12),Database!$F:$AY,MATCH($S$1,Database!$F$1:$AY$1,),)))))/(((VLOOKUP(EDATE(B191,-12),Database!$F:$AY,MATCH($S$1,Database!$F$1:$AY$1,),))))</f>
        <v/>
      </c>
      <c r="T191" s="13">
        <f>((((VLOOKUP(B191,Database!$F:$AY,MATCH($T$1,Database!$F$1:$AY$1,),))))-(((VLOOKUP(EDATE(B191,-12),Database!$F:$AY,MATCH($T$1,Database!$F$1:$AY$1,),)))))/(((VLOOKUP(EDATE(B191,-12),Database!$F:$AY,MATCH($T$1,Database!$F$1:$AY$1,),))))</f>
        <v/>
      </c>
      <c r="U191" s="13">
        <f>((((VLOOKUP(B191,Database!$F:$AY,MATCH($U$1,Database!$F$1:$AY$1,),))))-(((VLOOKUP(EDATE(B191,-12),Database!$F:$AY,MATCH($U$1,Database!$F$1:$AY$1,),)))))/(((VLOOKUP(EDATE(B191,-12),Database!$F:$AY,MATCH($U$1,Database!$F$1:$AY$1,),))))</f>
        <v/>
      </c>
      <c r="V191" s="13">
        <f>((((VLOOKUP(B191,Database!$F:$AY,MATCH($V$1,Database!$F$1:$AY$1,),))))-(((VLOOKUP(EDATE(B191,-12),Database!$F:$AY,MATCH($V$1,Database!$F$1:$AY$1,),)))))/(((VLOOKUP(EDATE(B191,-12),Database!$F:$AY,MATCH($V$1,Database!$F$1:$AY$1,),))))</f>
        <v/>
      </c>
    </row>
    <row r="192" customFormat="1" s="100">
      <c r="A192" s="45" t="n"/>
      <c r="B192" s="46" t="n">
        <v>37987</v>
      </c>
      <c r="C192" s="13">
        <f>((((VLOOKUP(B192,Database!$F:$AY,MATCH($C$1,Database!$F$1:$AY$1,),))))-(((VLOOKUP(EDATE(B192,-12),Database!$F:$AY,MATCH($C$1,Database!$F$1:$AY$1,),)))))/(((VLOOKUP(EDATE(B192,-12),Database!$F:$AY,MATCH($C$1,Database!$F$1:$AY$1,),))))</f>
        <v/>
      </c>
      <c r="D192" s="13">
        <f>((((VLOOKUP(B192,Database!$F:$AY,MATCH($D$1,Database!$F$1:$AY$1,),))))-(((VLOOKUP(EDATE(B192,-12),Database!$F:$AY,MATCH($D$1,Database!$F$1:$AY$1,),)))))/(((VLOOKUP(EDATE(B192,-12),Database!$F:$AY,MATCH($D$1,Database!$F$1:$AY$1,),))))</f>
        <v/>
      </c>
      <c r="E192" s="13">
        <f>((((VLOOKUP(B192,Database!$F:$AY,MATCH($E$1,Database!$F$1:$AY$1,),))))-(((VLOOKUP(EDATE(B192,-12),Database!$F:$AY,MATCH($E$1,Database!$F$1:$AY$1,),)))))/(((VLOOKUP(EDATE(B192,-12),Database!$F:$AY,MATCH($E$1,Database!$F$1:$AY$1,),))))</f>
        <v/>
      </c>
      <c r="F192" s="13">
        <f>((((VLOOKUP(B192,Database!$F:$AY,MATCH($F$1,Database!$F$1:$AY$1,),))))-(((VLOOKUP(EDATE(B192,-12),Database!$F:$AY,MATCH($F$1,Database!$F$1:$AY$1,),)))))/(((VLOOKUP(EDATE(B192,-12),Database!$F:$AY,MATCH($F$1,Database!$F$1:$AY$1,),))))</f>
        <v/>
      </c>
      <c r="G192" s="13">
        <f>((((VLOOKUP(B192,Database!$F:$AY,MATCH($G$1,Database!$F$1:$AY$1,),))))-(((VLOOKUP(EDATE(B192,-12),Database!$F:$AY,MATCH($G$1,Database!$F$1:$AY$1,),)))))/(((VLOOKUP(EDATE(B192,-12),Database!$F:$AY,MATCH($G$1,Database!$F$1:$AY$1,),))))</f>
        <v/>
      </c>
      <c r="H192" s="13">
        <f>((((VLOOKUP(B192,Database!$F:$AY,MATCH($H$1,Database!$F$1:$AY$1,),))))-(((VLOOKUP(EDATE(B192,-12),Database!$F:$AY,MATCH($H$1,Database!$F$1:$AY$1,),)))))/(((VLOOKUP(EDATE(B192,-12),Database!$F:$AY,MATCH($H$1,Database!$F$1:$AY$1,),))))</f>
        <v/>
      </c>
      <c r="I192" s="13">
        <f>((((VLOOKUP(B192,Database!$F:$AY,MATCH($I$1,Database!$F$1:$AY$1,),))))-(((VLOOKUP(EDATE(B192,-12),Database!$F:$AY,MATCH($I$1,Database!$F$1:$AY$1,),)))))/(((VLOOKUP(EDATE(B192,-12),Database!$F:$AY,MATCH($I$1,Database!$F$1:$AY$1,),))))</f>
        <v/>
      </c>
      <c r="J192" s="13">
        <f>((((VLOOKUP(B192,Database!$F:$AY,MATCH($J$1,Database!$F$1:$AY$1,),))))-(((VLOOKUP(EDATE(B192,-12),Database!$F:$AY,MATCH($J$1,Database!$F$1:$AY$1,),)))))/(((VLOOKUP(EDATE(B192,-12),Database!$F:$AY,MATCH($J$1,Database!$F$1:$AY$1,),))))</f>
        <v/>
      </c>
      <c r="K192" s="13">
        <f>((((VLOOKUP(B192,Database!$F:$AY,MATCH($K$1,Database!$F$1:$AY$1,),))))-(((VLOOKUP(EDATE(B192,-12),Database!$F:$AY,MATCH($K$1,Database!$F$1:$AY$1,),)))))/(((VLOOKUP(EDATE(B192,-12),Database!$F:$AY,MATCH($K$1,Database!$F$1:$AY$1,),))))</f>
        <v/>
      </c>
      <c r="L192" s="13">
        <f>((((VLOOKUP(B192,Database!$F:$AY,MATCH($L$1,Database!$F$1:$AY$1,),))))-(((VLOOKUP(EDATE(B192,-12),Database!$F:$AY,MATCH($L$1,Database!$F$1:$AY$1,),)))))/(((VLOOKUP(EDATE(B192,-12),Database!$F:$AY,MATCH($L$1,Database!$F$1:$AY$1,),))))</f>
        <v/>
      </c>
      <c r="M192" s="13">
        <f>((((VLOOKUP(B192,Database!$F:$AY,MATCH($M$1,Database!$F$1:$AY$1,),))))-(((VLOOKUP(EDATE(B192,-12),Database!$F:$AY,MATCH($M$1,Database!$F$1:$AY$1,),)))))/(((VLOOKUP(EDATE(B192,-12),Database!$F:$AY,MATCH($M$1,Database!$F$1:$AY$1,),))))</f>
        <v/>
      </c>
      <c r="N192" s="13">
        <f>((((VLOOKUP(B192,Database!$F:$AY,MATCH($N$1,Database!$F$1:$AY$1,),))))-(((VLOOKUP(EDATE(B192,-12),Database!$F:$AY,MATCH($N$1,Database!$F$1:$AY$1,),)))))/(((VLOOKUP(EDATE(B192,-12),Database!$F:$AY,MATCH($N$1,Database!$F$1:$AY$1,),))))</f>
        <v/>
      </c>
      <c r="O192" s="13">
        <f>((((VLOOKUP(B192,Database!$F:$AY,MATCH($O$1,Database!$F$1:$AY$1,),))))-(((VLOOKUP(EDATE(B192,-12),Database!$F:$AY,MATCH($O$1,Database!$F$1:$AY$1,),)))))/(((VLOOKUP(EDATE(B192,-12),Database!$F:$AY,MATCH($O$1,Database!$F$1:$AY$1,),))))</f>
        <v/>
      </c>
      <c r="P192" s="13">
        <f>((((VLOOKUP(B192,Database!$F:$AY,MATCH($P$1,Database!$F$1:$AY$1,),))))-(((VLOOKUP(EDATE(B192,-12),Database!$F:$AY,MATCH($P$1,Database!$F$1:$AY$1,),)))))/(((VLOOKUP(EDATE(B192,-12),Database!$F:$AY,MATCH($P$1,Database!$F$1:$AY$1,),))))</f>
        <v/>
      </c>
      <c r="Q192" s="13">
        <f>((((VLOOKUP(B192,Database!$F:$AY,MATCH($Q$1,Database!$F$1:$AY$1,),))))-(((VLOOKUP(EDATE(B192,-12),Database!$F:$AY,MATCH($Q$1,Database!$F$1:$AY$1,),)))))/(((VLOOKUP(EDATE(B192,-12),Database!$F:$AY,MATCH($Q$1,Database!$F$1:$AY$1,),))))</f>
        <v/>
      </c>
      <c r="R192" s="13">
        <f>((((VLOOKUP(B192,Database!$F:$AY,MATCH($R$1,Database!$F$1:$AY$1,),))))-(((VLOOKUP(EDATE(B192,-12),Database!$F:$AY,MATCH($R$1,Database!$F$1:$AY$1,),)))))/(((VLOOKUP(EDATE(B192,-12),Database!$F:$AY,MATCH($R$1,Database!$F$1:$AY$1,),))))</f>
        <v/>
      </c>
      <c r="S192" s="13">
        <f>((((VLOOKUP(B192,Database!$F:$AY,MATCH($S$1,Database!$F$1:$AY$1,),))))-(((VLOOKUP(EDATE(B192,-12),Database!$F:$AY,MATCH($S$1,Database!$F$1:$AY$1,),)))))/(((VLOOKUP(EDATE(B192,-12),Database!$F:$AY,MATCH($S$1,Database!$F$1:$AY$1,),))))</f>
        <v/>
      </c>
      <c r="T192" s="13">
        <f>((((VLOOKUP(B192,Database!$F:$AY,MATCH($T$1,Database!$F$1:$AY$1,),))))-(((VLOOKUP(EDATE(B192,-12),Database!$F:$AY,MATCH($T$1,Database!$F$1:$AY$1,),)))))/(((VLOOKUP(EDATE(B192,-12),Database!$F:$AY,MATCH($T$1,Database!$F$1:$AY$1,),))))</f>
        <v/>
      </c>
      <c r="U192" s="13">
        <f>((((VLOOKUP(B192,Database!$F:$AY,MATCH($U$1,Database!$F$1:$AY$1,),))))-(((VLOOKUP(EDATE(B192,-12),Database!$F:$AY,MATCH($U$1,Database!$F$1:$AY$1,),)))))/(((VLOOKUP(EDATE(B192,-12),Database!$F:$AY,MATCH($U$1,Database!$F$1:$AY$1,),))))</f>
        <v/>
      </c>
      <c r="V192" s="13">
        <f>((((VLOOKUP(B192,Database!$F:$AY,MATCH($V$1,Database!$F$1:$AY$1,),))))-(((VLOOKUP(EDATE(B192,-12),Database!$F:$AY,MATCH($V$1,Database!$F$1:$AY$1,),)))))/(((VLOOKUP(EDATE(B192,-12),Database!$F:$AY,MATCH($V$1,Database!$F$1:$AY$1,),))))</f>
        <v/>
      </c>
    </row>
    <row r="193" customFormat="1" s="100">
      <c r="A193" s="45" t="n"/>
      <c r="B193" s="46" t="n">
        <v>38018</v>
      </c>
      <c r="C193" s="13">
        <f>((((VLOOKUP(B193,Database!$F:$AY,MATCH($C$1,Database!$F$1:$AY$1,),))))-(((VLOOKUP(EDATE(B193,-12),Database!$F:$AY,MATCH($C$1,Database!$F$1:$AY$1,),)))))/(((VLOOKUP(EDATE(B193,-12),Database!$F:$AY,MATCH($C$1,Database!$F$1:$AY$1,),))))</f>
        <v/>
      </c>
      <c r="D193" s="13">
        <f>((((VLOOKUP(B193,Database!$F:$AY,MATCH($D$1,Database!$F$1:$AY$1,),))))-(((VLOOKUP(EDATE(B193,-12),Database!$F:$AY,MATCH($D$1,Database!$F$1:$AY$1,),)))))/(((VLOOKUP(EDATE(B193,-12),Database!$F:$AY,MATCH($D$1,Database!$F$1:$AY$1,),))))</f>
        <v/>
      </c>
      <c r="E193" s="13">
        <f>((((VLOOKUP(B193,Database!$F:$AY,MATCH($E$1,Database!$F$1:$AY$1,),))))-(((VLOOKUP(EDATE(B193,-12),Database!$F:$AY,MATCH($E$1,Database!$F$1:$AY$1,),)))))/(((VLOOKUP(EDATE(B193,-12),Database!$F:$AY,MATCH($E$1,Database!$F$1:$AY$1,),))))</f>
        <v/>
      </c>
      <c r="F193" s="13">
        <f>((((VLOOKUP(B193,Database!$F:$AY,MATCH($F$1,Database!$F$1:$AY$1,),))))-(((VLOOKUP(EDATE(B193,-12),Database!$F:$AY,MATCH($F$1,Database!$F$1:$AY$1,),)))))/(((VLOOKUP(EDATE(B193,-12),Database!$F:$AY,MATCH($F$1,Database!$F$1:$AY$1,),))))</f>
        <v/>
      </c>
      <c r="G193" s="13">
        <f>((((VLOOKUP(B193,Database!$F:$AY,MATCH($G$1,Database!$F$1:$AY$1,),))))-(((VLOOKUP(EDATE(B193,-12),Database!$F:$AY,MATCH($G$1,Database!$F$1:$AY$1,),)))))/(((VLOOKUP(EDATE(B193,-12),Database!$F:$AY,MATCH($G$1,Database!$F$1:$AY$1,),))))</f>
        <v/>
      </c>
      <c r="H193" s="13">
        <f>((((VLOOKUP(B193,Database!$F:$AY,MATCH($H$1,Database!$F$1:$AY$1,),))))-(((VLOOKUP(EDATE(B193,-12),Database!$F:$AY,MATCH($H$1,Database!$F$1:$AY$1,),)))))/(((VLOOKUP(EDATE(B193,-12),Database!$F:$AY,MATCH($H$1,Database!$F$1:$AY$1,),))))</f>
        <v/>
      </c>
      <c r="I193" s="13">
        <f>((((VLOOKUP(B193,Database!$F:$AY,MATCH($I$1,Database!$F$1:$AY$1,),))))-(((VLOOKUP(EDATE(B193,-12),Database!$F:$AY,MATCH($I$1,Database!$F$1:$AY$1,),)))))/(((VLOOKUP(EDATE(B193,-12),Database!$F:$AY,MATCH($I$1,Database!$F$1:$AY$1,),))))</f>
        <v/>
      </c>
      <c r="J193" s="13">
        <f>((((VLOOKUP(B193,Database!$F:$AY,MATCH($J$1,Database!$F$1:$AY$1,),))))-(((VLOOKUP(EDATE(B193,-12),Database!$F:$AY,MATCH($J$1,Database!$F$1:$AY$1,),)))))/(((VLOOKUP(EDATE(B193,-12),Database!$F:$AY,MATCH($J$1,Database!$F$1:$AY$1,),))))</f>
        <v/>
      </c>
      <c r="K193" s="13">
        <f>((((VLOOKUP(B193,Database!$F:$AY,MATCH($K$1,Database!$F$1:$AY$1,),))))-(((VLOOKUP(EDATE(B193,-12),Database!$F:$AY,MATCH($K$1,Database!$F$1:$AY$1,),)))))/(((VLOOKUP(EDATE(B193,-12),Database!$F:$AY,MATCH($K$1,Database!$F$1:$AY$1,),))))</f>
        <v/>
      </c>
      <c r="L193" s="13">
        <f>((((VLOOKUP(B193,Database!$F:$AY,MATCH($L$1,Database!$F$1:$AY$1,),))))-(((VLOOKUP(EDATE(B193,-12),Database!$F:$AY,MATCH($L$1,Database!$F$1:$AY$1,),)))))/(((VLOOKUP(EDATE(B193,-12),Database!$F:$AY,MATCH($L$1,Database!$F$1:$AY$1,),))))</f>
        <v/>
      </c>
      <c r="M193" s="13">
        <f>((((VLOOKUP(B193,Database!$F:$AY,MATCH($M$1,Database!$F$1:$AY$1,),))))-(((VLOOKUP(EDATE(B193,-12),Database!$F:$AY,MATCH($M$1,Database!$F$1:$AY$1,),)))))/(((VLOOKUP(EDATE(B193,-12),Database!$F:$AY,MATCH($M$1,Database!$F$1:$AY$1,),))))</f>
        <v/>
      </c>
      <c r="N193" s="13">
        <f>((((VLOOKUP(B193,Database!$F:$AY,MATCH($N$1,Database!$F$1:$AY$1,),))))-(((VLOOKUP(EDATE(B193,-12),Database!$F:$AY,MATCH($N$1,Database!$F$1:$AY$1,),)))))/(((VLOOKUP(EDATE(B193,-12),Database!$F:$AY,MATCH($N$1,Database!$F$1:$AY$1,),))))</f>
        <v/>
      </c>
      <c r="O193" s="13">
        <f>((((VLOOKUP(B193,Database!$F:$AY,MATCH($O$1,Database!$F$1:$AY$1,),))))-(((VLOOKUP(EDATE(B193,-12),Database!$F:$AY,MATCH($O$1,Database!$F$1:$AY$1,),)))))/(((VLOOKUP(EDATE(B193,-12),Database!$F:$AY,MATCH($O$1,Database!$F$1:$AY$1,),))))</f>
        <v/>
      </c>
      <c r="P193" s="13">
        <f>((((VLOOKUP(B193,Database!$F:$AY,MATCH($P$1,Database!$F$1:$AY$1,),))))-(((VLOOKUP(EDATE(B193,-12),Database!$F:$AY,MATCH($P$1,Database!$F$1:$AY$1,),)))))/(((VLOOKUP(EDATE(B193,-12),Database!$F:$AY,MATCH($P$1,Database!$F$1:$AY$1,),))))</f>
        <v/>
      </c>
      <c r="Q193" s="13">
        <f>((((VLOOKUP(B193,Database!$F:$AY,MATCH($Q$1,Database!$F$1:$AY$1,),))))-(((VLOOKUP(EDATE(B193,-12),Database!$F:$AY,MATCH($Q$1,Database!$F$1:$AY$1,),)))))/(((VLOOKUP(EDATE(B193,-12),Database!$F:$AY,MATCH($Q$1,Database!$F$1:$AY$1,),))))</f>
        <v/>
      </c>
      <c r="R193" s="13">
        <f>((((VLOOKUP(B193,Database!$F:$AY,MATCH($R$1,Database!$F$1:$AY$1,),))))-(((VLOOKUP(EDATE(B193,-12),Database!$F:$AY,MATCH($R$1,Database!$F$1:$AY$1,),)))))/(((VLOOKUP(EDATE(B193,-12),Database!$F:$AY,MATCH($R$1,Database!$F$1:$AY$1,),))))</f>
        <v/>
      </c>
      <c r="S193" s="13">
        <f>((((VLOOKUP(B193,Database!$F:$AY,MATCH($S$1,Database!$F$1:$AY$1,),))))-(((VLOOKUP(EDATE(B193,-12),Database!$F:$AY,MATCH($S$1,Database!$F$1:$AY$1,),)))))/(((VLOOKUP(EDATE(B193,-12),Database!$F:$AY,MATCH($S$1,Database!$F$1:$AY$1,),))))</f>
        <v/>
      </c>
      <c r="T193" s="13">
        <f>((((VLOOKUP(B193,Database!$F:$AY,MATCH($T$1,Database!$F$1:$AY$1,),))))-(((VLOOKUP(EDATE(B193,-12),Database!$F:$AY,MATCH($T$1,Database!$F$1:$AY$1,),)))))/(((VLOOKUP(EDATE(B193,-12),Database!$F:$AY,MATCH($T$1,Database!$F$1:$AY$1,),))))</f>
        <v/>
      </c>
      <c r="U193" s="13">
        <f>((((VLOOKUP(B193,Database!$F:$AY,MATCH($U$1,Database!$F$1:$AY$1,),))))-(((VLOOKUP(EDATE(B193,-12),Database!$F:$AY,MATCH($U$1,Database!$F$1:$AY$1,),)))))/(((VLOOKUP(EDATE(B193,-12),Database!$F:$AY,MATCH($U$1,Database!$F$1:$AY$1,),))))</f>
        <v/>
      </c>
      <c r="V193" s="13">
        <f>((((VLOOKUP(B193,Database!$F:$AY,MATCH($V$1,Database!$F$1:$AY$1,),))))-(((VLOOKUP(EDATE(B193,-12),Database!$F:$AY,MATCH($V$1,Database!$F$1:$AY$1,),)))))/(((VLOOKUP(EDATE(B193,-12),Database!$F:$AY,MATCH($V$1,Database!$F$1:$AY$1,),))))</f>
        <v/>
      </c>
    </row>
    <row r="194" customFormat="1" s="100">
      <c r="A194" s="45" t="n"/>
      <c r="B194" s="46" t="n">
        <v>38047</v>
      </c>
      <c r="C194" s="13">
        <f>((((VLOOKUP(B194,Database!$F:$AY,MATCH($C$1,Database!$F$1:$AY$1,),))))-(((VLOOKUP(EDATE(B194,-12),Database!$F:$AY,MATCH($C$1,Database!$F$1:$AY$1,),)))))/(((VLOOKUP(EDATE(B194,-12),Database!$F:$AY,MATCH($C$1,Database!$F$1:$AY$1,),))))</f>
        <v/>
      </c>
      <c r="D194" s="13">
        <f>((((VLOOKUP(B194,Database!$F:$AY,MATCH($D$1,Database!$F$1:$AY$1,),))))-(((VLOOKUP(EDATE(B194,-12),Database!$F:$AY,MATCH($D$1,Database!$F$1:$AY$1,),)))))/(((VLOOKUP(EDATE(B194,-12),Database!$F:$AY,MATCH($D$1,Database!$F$1:$AY$1,),))))</f>
        <v/>
      </c>
      <c r="E194" s="13">
        <f>((((VLOOKUP(B194,Database!$F:$AY,MATCH($E$1,Database!$F$1:$AY$1,),))))-(((VLOOKUP(EDATE(B194,-12),Database!$F:$AY,MATCH($E$1,Database!$F$1:$AY$1,),)))))/(((VLOOKUP(EDATE(B194,-12),Database!$F:$AY,MATCH($E$1,Database!$F$1:$AY$1,),))))</f>
        <v/>
      </c>
      <c r="F194" s="13">
        <f>((((VLOOKUP(B194,Database!$F:$AY,MATCH($F$1,Database!$F$1:$AY$1,),))))-(((VLOOKUP(EDATE(B194,-12),Database!$F:$AY,MATCH($F$1,Database!$F$1:$AY$1,),)))))/(((VLOOKUP(EDATE(B194,-12),Database!$F:$AY,MATCH($F$1,Database!$F$1:$AY$1,),))))</f>
        <v/>
      </c>
      <c r="G194" s="13">
        <f>((((VLOOKUP(B194,Database!$F:$AY,MATCH($G$1,Database!$F$1:$AY$1,),))))-(((VLOOKUP(EDATE(B194,-12),Database!$F:$AY,MATCH($G$1,Database!$F$1:$AY$1,),)))))/(((VLOOKUP(EDATE(B194,-12),Database!$F:$AY,MATCH($G$1,Database!$F$1:$AY$1,),))))</f>
        <v/>
      </c>
      <c r="H194" s="13">
        <f>((((VLOOKUP(B194,Database!$F:$AY,MATCH($H$1,Database!$F$1:$AY$1,),))))-(((VLOOKUP(EDATE(B194,-12),Database!$F:$AY,MATCH($H$1,Database!$F$1:$AY$1,),)))))/(((VLOOKUP(EDATE(B194,-12),Database!$F:$AY,MATCH($H$1,Database!$F$1:$AY$1,),))))</f>
        <v/>
      </c>
      <c r="I194" s="13">
        <f>((((VLOOKUP(B194,Database!$F:$AY,MATCH($I$1,Database!$F$1:$AY$1,),))))-(((VLOOKUP(EDATE(B194,-12),Database!$F:$AY,MATCH($I$1,Database!$F$1:$AY$1,),)))))/(((VLOOKUP(EDATE(B194,-12),Database!$F:$AY,MATCH($I$1,Database!$F$1:$AY$1,),))))</f>
        <v/>
      </c>
      <c r="J194" s="13">
        <f>((((VLOOKUP(B194,Database!$F:$AY,MATCH($J$1,Database!$F$1:$AY$1,),))))-(((VLOOKUP(EDATE(B194,-12),Database!$F:$AY,MATCH($J$1,Database!$F$1:$AY$1,),)))))/(((VLOOKUP(EDATE(B194,-12),Database!$F:$AY,MATCH($J$1,Database!$F$1:$AY$1,),))))</f>
        <v/>
      </c>
      <c r="K194" s="13">
        <f>((((VLOOKUP(B194,Database!$F:$AY,MATCH($K$1,Database!$F$1:$AY$1,),))))-(((VLOOKUP(EDATE(B194,-12),Database!$F:$AY,MATCH($K$1,Database!$F$1:$AY$1,),)))))/(((VLOOKUP(EDATE(B194,-12),Database!$F:$AY,MATCH($K$1,Database!$F$1:$AY$1,),))))</f>
        <v/>
      </c>
      <c r="L194" s="13">
        <f>((((VLOOKUP(B194,Database!$F:$AY,MATCH($L$1,Database!$F$1:$AY$1,),))))-(((VLOOKUP(EDATE(B194,-12),Database!$F:$AY,MATCH($L$1,Database!$F$1:$AY$1,),)))))/(((VLOOKUP(EDATE(B194,-12),Database!$F:$AY,MATCH($L$1,Database!$F$1:$AY$1,),))))</f>
        <v/>
      </c>
      <c r="M194" s="13">
        <f>((((VLOOKUP(B194,Database!$F:$AY,MATCH($M$1,Database!$F$1:$AY$1,),))))-(((VLOOKUP(EDATE(B194,-12),Database!$F:$AY,MATCH($M$1,Database!$F$1:$AY$1,),)))))/(((VLOOKUP(EDATE(B194,-12),Database!$F:$AY,MATCH($M$1,Database!$F$1:$AY$1,),))))</f>
        <v/>
      </c>
      <c r="N194" s="13">
        <f>((((VLOOKUP(B194,Database!$F:$AY,MATCH($N$1,Database!$F$1:$AY$1,),))))-(((VLOOKUP(EDATE(B194,-12),Database!$F:$AY,MATCH($N$1,Database!$F$1:$AY$1,),)))))/(((VLOOKUP(EDATE(B194,-12),Database!$F:$AY,MATCH($N$1,Database!$F$1:$AY$1,),))))</f>
        <v/>
      </c>
      <c r="O194" s="13">
        <f>((((VLOOKUP(B194,Database!$F:$AY,MATCH($O$1,Database!$F$1:$AY$1,),))))-(((VLOOKUP(EDATE(B194,-12),Database!$F:$AY,MATCH($O$1,Database!$F$1:$AY$1,),)))))/(((VLOOKUP(EDATE(B194,-12),Database!$F:$AY,MATCH($O$1,Database!$F$1:$AY$1,),))))</f>
        <v/>
      </c>
      <c r="P194" s="13">
        <f>((((VLOOKUP(B194,Database!$F:$AY,MATCH($P$1,Database!$F$1:$AY$1,),))))-(((VLOOKUP(EDATE(B194,-12),Database!$F:$AY,MATCH($P$1,Database!$F$1:$AY$1,),)))))/(((VLOOKUP(EDATE(B194,-12),Database!$F:$AY,MATCH($P$1,Database!$F$1:$AY$1,),))))</f>
        <v/>
      </c>
      <c r="Q194" s="13">
        <f>((((VLOOKUP(B194,Database!$F:$AY,MATCH($Q$1,Database!$F$1:$AY$1,),))))-(((VLOOKUP(EDATE(B194,-12),Database!$F:$AY,MATCH($Q$1,Database!$F$1:$AY$1,),)))))/(((VLOOKUP(EDATE(B194,-12),Database!$F:$AY,MATCH($Q$1,Database!$F$1:$AY$1,),))))</f>
        <v/>
      </c>
      <c r="R194" s="13">
        <f>((((VLOOKUP(B194,Database!$F:$AY,MATCH($R$1,Database!$F$1:$AY$1,),))))-(((VLOOKUP(EDATE(B194,-12),Database!$F:$AY,MATCH($R$1,Database!$F$1:$AY$1,),)))))/(((VLOOKUP(EDATE(B194,-12),Database!$F:$AY,MATCH($R$1,Database!$F$1:$AY$1,),))))</f>
        <v/>
      </c>
      <c r="S194" s="13">
        <f>((((VLOOKUP(B194,Database!$F:$AY,MATCH($S$1,Database!$F$1:$AY$1,),))))-(((VLOOKUP(EDATE(B194,-12),Database!$F:$AY,MATCH($S$1,Database!$F$1:$AY$1,),)))))/(((VLOOKUP(EDATE(B194,-12),Database!$F:$AY,MATCH($S$1,Database!$F$1:$AY$1,),))))</f>
        <v/>
      </c>
      <c r="T194" s="13">
        <f>((((VLOOKUP(B194,Database!$F:$AY,MATCH($T$1,Database!$F$1:$AY$1,),))))-(((VLOOKUP(EDATE(B194,-12),Database!$F:$AY,MATCH($T$1,Database!$F$1:$AY$1,),)))))/(((VLOOKUP(EDATE(B194,-12),Database!$F:$AY,MATCH($T$1,Database!$F$1:$AY$1,),))))</f>
        <v/>
      </c>
      <c r="U194" s="13">
        <f>((((VLOOKUP(B194,Database!$F:$AY,MATCH($U$1,Database!$F$1:$AY$1,),))))-(((VLOOKUP(EDATE(B194,-12),Database!$F:$AY,MATCH($U$1,Database!$F$1:$AY$1,),)))))/(((VLOOKUP(EDATE(B194,-12),Database!$F:$AY,MATCH($U$1,Database!$F$1:$AY$1,),))))</f>
        <v/>
      </c>
      <c r="V194" s="13">
        <f>((((VLOOKUP(B194,Database!$F:$AY,MATCH($V$1,Database!$F$1:$AY$1,),))))-(((VLOOKUP(EDATE(B194,-12),Database!$F:$AY,MATCH($V$1,Database!$F$1:$AY$1,),)))))/(((VLOOKUP(EDATE(B194,-12),Database!$F:$AY,MATCH($V$1,Database!$F$1:$AY$1,),))))</f>
        <v/>
      </c>
    </row>
    <row r="195" customFormat="1" s="100">
      <c r="A195" s="45" t="n"/>
      <c r="B195" s="46" t="n">
        <v>38078</v>
      </c>
      <c r="C195" s="13">
        <f>((((VLOOKUP(B195,Database!$F:$AY,MATCH($C$1,Database!$F$1:$AY$1,),))))-(((VLOOKUP(EDATE(B195,-12),Database!$F:$AY,MATCH($C$1,Database!$F$1:$AY$1,),)))))/(((VLOOKUP(EDATE(B195,-12),Database!$F:$AY,MATCH($C$1,Database!$F$1:$AY$1,),))))</f>
        <v/>
      </c>
      <c r="D195" s="13">
        <f>((((VLOOKUP(B195,Database!$F:$AY,MATCH($D$1,Database!$F$1:$AY$1,),))))-(((VLOOKUP(EDATE(B195,-12),Database!$F:$AY,MATCH($D$1,Database!$F$1:$AY$1,),)))))/(((VLOOKUP(EDATE(B195,-12),Database!$F:$AY,MATCH($D$1,Database!$F$1:$AY$1,),))))</f>
        <v/>
      </c>
      <c r="E195" s="13">
        <f>((((VLOOKUP(B195,Database!$F:$AY,MATCH($E$1,Database!$F$1:$AY$1,),))))-(((VLOOKUP(EDATE(B195,-12),Database!$F:$AY,MATCH($E$1,Database!$F$1:$AY$1,),)))))/(((VLOOKUP(EDATE(B195,-12),Database!$F:$AY,MATCH($E$1,Database!$F$1:$AY$1,),))))</f>
        <v/>
      </c>
      <c r="F195" s="13">
        <f>((((VLOOKUP(B195,Database!$F:$AY,MATCH($F$1,Database!$F$1:$AY$1,),))))-(((VLOOKUP(EDATE(B195,-12),Database!$F:$AY,MATCH($F$1,Database!$F$1:$AY$1,),)))))/(((VLOOKUP(EDATE(B195,-12),Database!$F:$AY,MATCH($F$1,Database!$F$1:$AY$1,),))))</f>
        <v/>
      </c>
      <c r="G195" s="13">
        <f>((((VLOOKUP(B195,Database!$F:$AY,MATCH($G$1,Database!$F$1:$AY$1,),))))-(((VLOOKUP(EDATE(B195,-12),Database!$F:$AY,MATCH($G$1,Database!$F$1:$AY$1,),)))))/(((VLOOKUP(EDATE(B195,-12),Database!$F:$AY,MATCH($G$1,Database!$F$1:$AY$1,),))))</f>
        <v/>
      </c>
      <c r="H195" s="13">
        <f>((((VLOOKUP(B195,Database!$F:$AY,MATCH($H$1,Database!$F$1:$AY$1,),))))-(((VLOOKUP(EDATE(B195,-12),Database!$F:$AY,MATCH($H$1,Database!$F$1:$AY$1,),)))))/(((VLOOKUP(EDATE(B195,-12),Database!$F:$AY,MATCH($H$1,Database!$F$1:$AY$1,),))))</f>
        <v/>
      </c>
      <c r="I195" s="13">
        <f>((((VLOOKUP(B195,Database!$F:$AY,MATCH($I$1,Database!$F$1:$AY$1,),))))-(((VLOOKUP(EDATE(B195,-12),Database!$F:$AY,MATCH($I$1,Database!$F$1:$AY$1,),)))))/(((VLOOKUP(EDATE(B195,-12),Database!$F:$AY,MATCH($I$1,Database!$F$1:$AY$1,),))))</f>
        <v/>
      </c>
      <c r="J195" s="13">
        <f>((((VLOOKUP(B195,Database!$F:$AY,MATCH($J$1,Database!$F$1:$AY$1,),))))-(((VLOOKUP(EDATE(B195,-12),Database!$F:$AY,MATCH($J$1,Database!$F$1:$AY$1,),)))))/(((VLOOKUP(EDATE(B195,-12),Database!$F:$AY,MATCH($J$1,Database!$F$1:$AY$1,),))))</f>
        <v/>
      </c>
      <c r="K195" s="13">
        <f>((((VLOOKUP(B195,Database!$F:$AY,MATCH($K$1,Database!$F$1:$AY$1,),))))-(((VLOOKUP(EDATE(B195,-12),Database!$F:$AY,MATCH($K$1,Database!$F$1:$AY$1,),)))))/(((VLOOKUP(EDATE(B195,-12),Database!$F:$AY,MATCH($K$1,Database!$F$1:$AY$1,),))))</f>
        <v/>
      </c>
      <c r="L195" s="13">
        <f>((((VLOOKUP(B195,Database!$F:$AY,MATCH($L$1,Database!$F$1:$AY$1,),))))-(((VLOOKUP(EDATE(B195,-12),Database!$F:$AY,MATCH($L$1,Database!$F$1:$AY$1,),)))))/(((VLOOKUP(EDATE(B195,-12),Database!$F:$AY,MATCH($L$1,Database!$F$1:$AY$1,),))))</f>
        <v/>
      </c>
      <c r="M195" s="13">
        <f>((((VLOOKUP(B195,Database!$F:$AY,MATCH($M$1,Database!$F$1:$AY$1,),))))-(((VLOOKUP(EDATE(B195,-12),Database!$F:$AY,MATCH($M$1,Database!$F$1:$AY$1,),)))))/(((VLOOKUP(EDATE(B195,-12),Database!$F:$AY,MATCH($M$1,Database!$F$1:$AY$1,),))))</f>
        <v/>
      </c>
      <c r="N195" s="13">
        <f>((((VLOOKUP(B195,Database!$F:$AY,MATCH($N$1,Database!$F$1:$AY$1,),))))-(((VLOOKUP(EDATE(B195,-12),Database!$F:$AY,MATCH($N$1,Database!$F$1:$AY$1,),)))))/(((VLOOKUP(EDATE(B195,-12),Database!$F:$AY,MATCH($N$1,Database!$F$1:$AY$1,),))))</f>
        <v/>
      </c>
      <c r="O195" s="13">
        <f>((((VLOOKUP(B195,Database!$F:$AY,MATCH($O$1,Database!$F$1:$AY$1,),))))-(((VLOOKUP(EDATE(B195,-12),Database!$F:$AY,MATCH($O$1,Database!$F$1:$AY$1,),)))))/(((VLOOKUP(EDATE(B195,-12),Database!$F:$AY,MATCH($O$1,Database!$F$1:$AY$1,),))))</f>
        <v/>
      </c>
      <c r="P195" s="13">
        <f>((((VLOOKUP(B195,Database!$F:$AY,MATCH($P$1,Database!$F$1:$AY$1,),))))-(((VLOOKUP(EDATE(B195,-12),Database!$F:$AY,MATCH($P$1,Database!$F$1:$AY$1,),)))))/(((VLOOKUP(EDATE(B195,-12),Database!$F:$AY,MATCH($P$1,Database!$F$1:$AY$1,),))))</f>
        <v/>
      </c>
      <c r="Q195" s="13">
        <f>((((VLOOKUP(B195,Database!$F:$AY,MATCH($Q$1,Database!$F$1:$AY$1,),))))-(((VLOOKUP(EDATE(B195,-12),Database!$F:$AY,MATCH($Q$1,Database!$F$1:$AY$1,),)))))/(((VLOOKUP(EDATE(B195,-12),Database!$F:$AY,MATCH($Q$1,Database!$F$1:$AY$1,),))))</f>
        <v/>
      </c>
      <c r="R195" s="13">
        <f>((((VLOOKUP(B195,Database!$F:$AY,MATCH($R$1,Database!$F$1:$AY$1,),))))-(((VLOOKUP(EDATE(B195,-12),Database!$F:$AY,MATCH($R$1,Database!$F$1:$AY$1,),)))))/(((VLOOKUP(EDATE(B195,-12),Database!$F:$AY,MATCH($R$1,Database!$F$1:$AY$1,),))))</f>
        <v/>
      </c>
      <c r="S195" s="13">
        <f>((((VLOOKUP(B195,Database!$F:$AY,MATCH($S$1,Database!$F$1:$AY$1,),))))-(((VLOOKUP(EDATE(B195,-12),Database!$F:$AY,MATCH($S$1,Database!$F$1:$AY$1,),)))))/(((VLOOKUP(EDATE(B195,-12),Database!$F:$AY,MATCH($S$1,Database!$F$1:$AY$1,),))))</f>
        <v/>
      </c>
      <c r="T195" s="13">
        <f>((((VLOOKUP(B195,Database!$F:$AY,MATCH($T$1,Database!$F$1:$AY$1,),))))-(((VLOOKUP(EDATE(B195,-12),Database!$F:$AY,MATCH($T$1,Database!$F$1:$AY$1,),)))))/(((VLOOKUP(EDATE(B195,-12),Database!$F:$AY,MATCH($T$1,Database!$F$1:$AY$1,),))))</f>
        <v/>
      </c>
      <c r="U195" s="13">
        <f>((((VLOOKUP(B195,Database!$F:$AY,MATCH($U$1,Database!$F$1:$AY$1,),))))-(((VLOOKUP(EDATE(B195,-12),Database!$F:$AY,MATCH($U$1,Database!$F$1:$AY$1,),)))))/(((VLOOKUP(EDATE(B195,-12),Database!$F:$AY,MATCH($U$1,Database!$F$1:$AY$1,),))))</f>
        <v/>
      </c>
      <c r="V195" s="13">
        <f>((((VLOOKUP(B195,Database!$F:$AY,MATCH($V$1,Database!$F$1:$AY$1,),))))-(((VLOOKUP(EDATE(B195,-12),Database!$F:$AY,MATCH($V$1,Database!$F$1:$AY$1,),)))))/(((VLOOKUP(EDATE(B195,-12),Database!$F:$AY,MATCH($V$1,Database!$F$1:$AY$1,),))))</f>
        <v/>
      </c>
    </row>
    <row r="196" customFormat="1" s="100">
      <c r="A196" s="45" t="n"/>
      <c r="B196" s="46" t="n">
        <v>38108</v>
      </c>
      <c r="C196" s="13">
        <f>((((VLOOKUP(B196,Database!$F:$AY,MATCH($C$1,Database!$F$1:$AY$1,),))))-(((VLOOKUP(EDATE(B196,-12),Database!$F:$AY,MATCH($C$1,Database!$F$1:$AY$1,),)))))/(((VLOOKUP(EDATE(B196,-12),Database!$F:$AY,MATCH($C$1,Database!$F$1:$AY$1,),))))</f>
        <v/>
      </c>
      <c r="D196" s="13">
        <f>((((VLOOKUP(B196,Database!$F:$AY,MATCH($D$1,Database!$F$1:$AY$1,),))))-(((VLOOKUP(EDATE(B196,-12),Database!$F:$AY,MATCH($D$1,Database!$F$1:$AY$1,),)))))/(((VLOOKUP(EDATE(B196,-12),Database!$F:$AY,MATCH($D$1,Database!$F$1:$AY$1,),))))</f>
        <v/>
      </c>
      <c r="E196" s="13">
        <f>((((VLOOKUP(B196,Database!$F:$AY,MATCH($E$1,Database!$F$1:$AY$1,),))))-(((VLOOKUP(EDATE(B196,-12),Database!$F:$AY,MATCH($E$1,Database!$F$1:$AY$1,),)))))/(((VLOOKUP(EDATE(B196,-12),Database!$F:$AY,MATCH($E$1,Database!$F$1:$AY$1,),))))</f>
        <v/>
      </c>
      <c r="F196" s="13">
        <f>((((VLOOKUP(B196,Database!$F:$AY,MATCH($F$1,Database!$F$1:$AY$1,),))))-(((VLOOKUP(EDATE(B196,-12),Database!$F:$AY,MATCH($F$1,Database!$F$1:$AY$1,),)))))/(((VLOOKUP(EDATE(B196,-12),Database!$F:$AY,MATCH($F$1,Database!$F$1:$AY$1,),))))</f>
        <v/>
      </c>
      <c r="G196" s="13">
        <f>((((VLOOKUP(B196,Database!$F:$AY,MATCH($G$1,Database!$F$1:$AY$1,),))))-(((VLOOKUP(EDATE(B196,-12),Database!$F:$AY,MATCH($G$1,Database!$F$1:$AY$1,),)))))/(((VLOOKUP(EDATE(B196,-12),Database!$F:$AY,MATCH($G$1,Database!$F$1:$AY$1,),))))</f>
        <v/>
      </c>
      <c r="H196" s="13">
        <f>((((VLOOKUP(B196,Database!$F:$AY,MATCH($H$1,Database!$F$1:$AY$1,),))))-(((VLOOKUP(EDATE(B196,-12),Database!$F:$AY,MATCH($H$1,Database!$F$1:$AY$1,),)))))/(((VLOOKUP(EDATE(B196,-12),Database!$F:$AY,MATCH($H$1,Database!$F$1:$AY$1,),))))</f>
        <v/>
      </c>
      <c r="I196" s="13">
        <f>((((VLOOKUP(B196,Database!$F:$AY,MATCH($I$1,Database!$F$1:$AY$1,),))))-(((VLOOKUP(EDATE(B196,-12),Database!$F:$AY,MATCH($I$1,Database!$F$1:$AY$1,),)))))/(((VLOOKUP(EDATE(B196,-12),Database!$F:$AY,MATCH($I$1,Database!$F$1:$AY$1,),))))</f>
        <v/>
      </c>
      <c r="J196" s="13">
        <f>((((VLOOKUP(B196,Database!$F:$AY,MATCH($J$1,Database!$F$1:$AY$1,),))))-(((VLOOKUP(EDATE(B196,-12),Database!$F:$AY,MATCH($J$1,Database!$F$1:$AY$1,),)))))/(((VLOOKUP(EDATE(B196,-12),Database!$F:$AY,MATCH($J$1,Database!$F$1:$AY$1,),))))</f>
        <v/>
      </c>
      <c r="K196" s="13">
        <f>((((VLOOKUP(B196,Database!$F:$AY,MATCH($K$1,Database!$F$1:$AY$1,),))))-(((VLOOKUP(EDATE(B196,-12),Database!$F:$AY,MATCH($K$1,Database!$F$1:$AY$1,),)))))/(((VLOOKUP(EDATE(B196,-12),Database!$F:$AY,MATCH($K$1,Database!$F$1:$AY$1,),))))</f>
        <v/>
      </c>
      <c r="L196" s="13">
        <f>((((VLOOKUP(B196,Database!$F:$AY,MATCH($L$1,Database!$F$1:$AY$1,),))))-(((VLOOKUP(EDATE(B196,-12),Database!$F:$AY,MATCH($L$1,Database!$F$1:$AY$1,),)))))/(((VLOOKUP(EDATE(B196,-12),Database!$F:$AY,MATCH($L$1,Database!$F$1:$AY$1,),))))</f>
        <v/>
      </c>
      <c r="M196" s="13">
        <f>((((VLOOKUP(B196,Database!$F:$AY,MATCH($M$1,Database!$F$1:$AY$1,),))))-(((VLOOKUP(EDATE(B196,-12),Database!$F:$AY,MATCH($M$1,Database!$F$1:$AY$1,),)))))/(((VLOOKUP(EDATE(B196,-12),Database!$F:$AY,MATCH($M$1,Database!$F$1:$AY$1,),))))</f>
        <v/>
      </c>
      <c r="N196" s="13">
        <f>((((VLOOKUP(B196,Database!$F:$AY,MATCH($N$1,Database!$F$1:$AY$1,),))))-(((VLOOKUP(EDATE(B196,-12),Database!$F:$AY,MATCH($N$1,Database!$F$1:$AY$1,),)))))/(((VLOOKUP(EDATE(B196,-12),Database!$F:$AY,MATCH($N$1,Database!$F$1:$AY$1,),))))</f>
        <v/>
      </c>
      <c r="O196" s="13">
        <f>((((VLOOKUP(B196,Database!$F:$AY,MATCH($O$1,Database!$F$1:$AY$1,),))))-(((VLOOKUP(EDATE(B196,-12),Database!$F:$AY,MATCH($O$1,Database!$F$1:$AY$1,),)))))/(((VLOOKUP(EDATE(B196,-12),Database!$F:$AY,MATCH($O$1,Database!$F$1:$AY$1,),))))</f>
        <v/>
      </c>
      <c r="P196" s="13">
        <f>((((VLOOKUP(B196,Database!$F:$AY,MATCH($P$1,Database!$F$1:$AY$1,),))))-(((VLOOKUP(EDATE(B196,-12),Database!$F:$AY,MATCH($P$1,Database!$F$1:$AY$1,),)))))/(((VLOOKUP(EDATE(B196,-12),Database!$F:$AY,MATCH($P$1,Database!$F$1:$AY$1,),))))</f>
        <v/>
      </c>
      <c r="Q196" s="13">
        <f>((((VLOOKUP(B196,Database!$F:$AY,MATCH($Q$1,Database!$F$1:$AY$1,),))))-(((VLOOKUP(EDATE(B196,-12),Database!$F:$AY,MATCH($Q$1,Database!$F$1:$AY$1,),)))))/(((VLOOKUP(EDATE(B196,-12),Database!$F:$AY,MATCH($Q$1,Database!$F$1:$AY$1,),))))</f>
        <v/>
      </c>
      <c r="R196" s="13">
        <f>((((VLOOKUP(B196,Database!$F:$AY,MATCH($R$1,Database!$F$1:$AY$1,),))))-(((VLOOKUP(EDATE(B196,-12),Database!$F:$AY,MATCH($R$1,Database!$F$1:$AY$1,),)))))/(((VLOOKUP(EDATE(B196,-12),Database!$F:$AY,MATCH($R$1,Database!$F$1:$AY$1,),))))</f>
        <v/>
      </c>
      <c r="S196" s="13">
        <f>((((VLOOKUP(B196,Database!$F:$AY,MATCH($S$1,Database!$F$1:$AY$1,),))))-(((VLOOKUP(EDATE(B196,-12),Database!$F:$AY,MATCH($S$1,Database!$F$1:$AY$1,),)))))/(((VLOOKUP(EDATE(B196,-12),Database!$F:$AY,MATCH($S$1,Database!$F$1:$AY$1,),))))</f>
        <v/>
      </c>
      <c r="T196" s="13">
        <f>((((VLOOKUP(B196,Database!$F:$AY,MATCH($T$1,Database!$F$1:$AY$1,),))))-(((VLOOKUP(EDATE(B196,-12),Database!$F:$AY,MATCH($T$1,Database!$F$1:$AY$1,),)))))/(((VLOOKUP(EDATE(B196,-12),Database!$F:$AY,MATCH($T$1,Database!$F$1:$AY$1,),))))</f>
        <v/>
      </c>
      <c r="U196" s="13">
        <f>((((VLOOKUP(B196,Database!$F:$AY,MATCH($U$1,Database!$F$1:$AY$1,),))))-(((VLOOKUP(EDATE(B196,-12),Database!$F:$AY,MATCH($U$1,Database!$F$1:$AY$1,),)))))/(((VLOOKUP(EDATE(B196,-12),Database!$F:$AY,MATCH($U$1,Database!$F$1:$AY$1,),))))</f>
        <v/>
      </c>
      <c r="V196" s="13">
        <f>((((VLOOKUP(B196,Database!$F:$AY,MATCH($V$1,Database!$F$1:$AY$1,),))))-(((VLOOKUP(EDATE(B196,-12),Database!$F:$AY,MATCH($V$1,Database!$F$1:$AY$1,),)))))/(((VLOOKUP(EDATE(B196,-12),Database!$F:$AY,MATCH($V$1,Database!$F$1:$AY$1,),))))</f>
        <v/>
      </c>
    </row>
    <row r="197" customFormat="1" s="100">
      <c r="A197" s="45" t="n"/>
      <c r="B197" s="46" t="n">
        <v>38139</v>
      </c>
      <c r="C197" s="13">
        <f>((((VLOOKUP(B197,Database!$F:$AY,MATCH($C$1,Database!$F$1:$AY$1,),))))-(((VLOOKUP(EDATE(B197,-12),Database!$F:$AY,MATCH($C$1,Database!$F$1:$AY$1,),)))))/(((VLOOKUP(EDATE(B197,-12),Database!$F:$AY,MATCH($C$1,Database!$F$1:$AY$1,),))))</f>
        <v/>
      </c>
      <c r="D197" s="13">
        <f>((((VLOOKUP(B197,Database!$F:$AY,MATCH($D$1,Database!$F$1:$AY$1,),))))-(((VLOOKUP(EDATE(B197,-12),Database!$F:$AY,MATCH($D$1,Database!$F$1:$AY$1,),)))))/(((VLOOKUP(EDATE(B197,-12),Database!$F:$AY,MATCH($D$1,Database!$F$1:$AY$1,),))))</f>
        <v/>
      </c>
      <c r="E197" s="13">
        <f>((((VLOOKUP(B197,Database!$F:$AY,MATCH($E$1,Database!$F$1:$AY$1,),))))-(((VLOOKUP(EDATE(B197,-12),Database!$F:$AY,MATCH($E$1,Database!$F$1:$AY$1,),)))))/(((VLOOKUP(EDATE(B197,-12),Database!$F:$AY,MATCH($E$1,Database!$F$1:$AY$1,),))))</f>
        <v/>
      </c>
      <c r="F197" s="13">
        <f>((((VLOOKUP(B197,Database!$F:$AY,MATCH($F$1,Database!$F$1:$AY$1,),))))-(((VLOOKUP(EDATE(B197,-12),Database!$F:$AY,MATCH($F$1,Database!$F$1:$AY$1,),)))))/(((VLOOKUP(EDATE(B197,-12),Database!$F:$AY,MATCH($F$1,Database!$F$1:$AY$1,),))))</f>
        <v/>
      </c>
      <c r="G197" s="13">
        <f>((((VLOOKUP(B197,Database!$F:$AY,MATCH($G$1,Database!$F$1:$AY$1,),))))-(((VLOOKUP(EDATE(B197,-12),Database!$F:$AY,MATCH($G$1,Database!$F$1:$AY$1,),)))))/(((VLOOKUP(EDATE(B197,-12),Database!$F:$AY,MATCH($G$1,Database!$F$1:$AY$1,),))))</f>
        <v/>
      </c>
      <c r="H197" s="13">
        <f>((((VLOOKUP(B197,Database!$F:$AY,MATCH($H$1,Database!$F$1:$AY$1,),))))-(((VLOOKUP(EDATE(B197,-12),Database!$F:$AY,MATCH($H$1,Database!$F$1:$AY$1,),)))))/(((VLOOKUP(EDATE(B197,-12),Database!$F:$AY,MATCH($H$1,Database!$F$1:$AY$1,),))))</f>
        <v/>
      </c>
      <c r="I197" s="13">
        <f>((((VLOOKUP(B197,Database!$F:$AY,MATCH($I$1,Database!$F$1:$AY$1,),))))-(((VLOOKUP(EDATE(B197,-12),Database!$F:$AY,MATCH($I$1,Database!$F$1:$AY$1,),)))))/(((VLOOKUP(EDATE(B197,-12),Database!$F:$AY,MATCH($I$1,Database!$F$1:$AY$1,),))))</f>
        <v/>
      </c>
      <c r="J197" s="13">
        <f>((((VLOOKUP(B197,Database!$F:$AY,MATCH($J$1,Database!$F$1:$AY$1,),))))-(((VLOOKUP(EDATE(B197,-12),Database!$F:$AY,MATCH($J$1,Database!$F$1:$AY$1,),)))))/(((VLOOKUP(EDATE(B197,-12),Database!$F:$AY,MATCH($J$1,Database!$F$1:$AY$1,),))))</f>
        <v/>
      </c>
      <c r="K197" s="13">
        <f>((((VLOOKUP(B197,Database!$F:$AY,MATCH($K$1,Database!$F$1:$AY$1,),))))-(((VLOOKUP(EDATE(B197,-12),Database!$F:$AY,MATCH($K$1,Database!$F$1:$AY$1,),)))))/(((VLOOKUP(EDATE(B197,-12),Database!$F:$AY,MATCH($K$1,Database!$F$1:$AY$1,),))))</f>
        <v/>
      </c>
      <c r="L197" s="13">
        <f>((((VLOOKUP(B197,Database!$F:$AY,MATCH($L$1,Database!$F$1:$AY$1,),))))-(((VLOOKUP(EDATE(B197,-12),Database!$F:$AY,MATCH($L$1,Database!$F$1:$AY$1,),)))))/(((VLOOKUP(EDATE(B197,-12),Database!$F:$AY,MATCH($L$1,Database!$F$1:$AY$1,),))))</f>
        <v/>
      </c>
      <c r="M197" s="13">
        <f>((((VLOOKUP(B197,Database!$F:$AY,MATCH($M$1,Database!$F$1:$AY$1,),))))-(((VLOOKUP(EDATE(B197,-12),Database!$F:$AY,MATCH($M$1,Database!$F$1:$AY$1,),)))))/(((VLOOKUP(EDATE(B197,-12),Database!$F:$AY,MATCH($M$1,Database!$F$1:$AY$1,),))))</f>
        <v/>
      </c>
      <c r="N197" s="13">
        <f>((((VLOOKUP(B197,Database!$F:$AY,MATCH($N$1,Database!$F$1:$AY$1,),))))-(((VLOOKUP(EDATE(B197,-12),Database!$F:$AY,MATCH($N$1,Database!$F$1:$AY$1,),)))))/(((VLOOKUP(EDATE(B197,-12),Database!$F:$AY,MATCH($N$1,Database!$F$1:$AY$1,),))))</f>
        <v/>
      </c>
      <c r="O197" s="13">
        <f>((((VLOOKUP(B197,Database!$F:$AY,MATCH($O$1,Database!$F$1:$AY$1,),))))-(((VLOOKUP(EDATE(B197,-12),Database!$F:$AY,MATCH($O$1,Database!$F$1:$AY$1,),)))))/(((VLOOKUP(EDATE(B197,-12),Database!$F:$AY,MATCH($O$1,Database!$F$1:$AY$1,),))))</f>
        <v/>
      </c>
      <c r="P197" s="13">
        <f>((((VLOOKUP(B197,Database!$F:$AY,MATCH($P$1,Database!$F$1:$AY$1,),))))-(((VLOOKUP(EDATE(B197,-12),Database!$F:$AY,MATCH($P$1,Database!$F$1:$AY$1,),)))))/(((VLOOKUP(EDATE(B197,-12),Database!$F:$AY,MATCH($P$1,Database!$F$1:$AY$1,),))))</f>
        <v/>
      </c>
      <c r="Q197" s="13">
        <f>((((VLOOKUP(B197,Database!$F:$AY,MATCH($Q$1,Database!$F$1:$AY$1,),))))-(((VLOOKUP(EDATE(B197,-12),Database!$F:$AY,MATCH($Q$1,Database!$F$1:$AY$1,),)))))/(((VLOOKUP(EDATE(B197,-12),Database!$F:$AY,MATCH($Q$1,Database!$F$1:$AY$1,),))))</f>
        <v/>
      </c>
      <c r="R197" s="13">
        <f>((((VLOOKUP(B197,Database!$F:$AY,MATCH($R$1,Database!$F$1:$AY$1,),))))-(((VLOOKUP(EDATE(B197,-12),Database!$F:$AY,MATCH($R$1,Database!$F$1:$AY$1,),)))))/(((VLOOKUP(EDATE(B197,-12),Database!$F:$AY,MATCH($R$1,Database!$F$1:$AY$1,),))))</f>
        <v/>
      </c>
      <c r="S197" s="13">
        <f>((((VLOOKUP(B197,Database!$F:$AY,MATCH($S$1,Database!$F$1:$AY$1,),))))-(((VLOOKUP(EDATE(B197,-12),Database!$F:$AY,MATCH($S$1,Database!$F$1:$AY$1,),)))))/(((VLOOKUP(EDATE(B197,-12),Database!$F:$AY,MATCH($S$1,Database!$F$1:$AY$1,),))))</f>
        <v/>
      </c>
      <c r="T197" s="13">
        <f>((((VLOOKUP(B197,Database!$F:$AY,MATCH($T$1,Database!$F$1:$AY$1,),))))-(((VLOOKUP(EDATE(B197,-12),Database!$F:$AY,MATCH($T$1,Database!$F$1:$AY$1,),)))))/(((VLOOKUP(EDATE(B197,-12),Database!$F:$AY,MATCH($T$1,Database!$F$1:$AY$1,),))))</f>
        <v/>
      </c>
      <c r="U197" s="13">
        <f>((((VLOOKUP(B197,Database!$F:$AY,MATCH($U$1,Database!$F$1:$AY$1,),))))-(((VLOOKUP(EDATE(B197,-12),Database!$F:$AY,MATCH($U$1,Database!$F$1:$AY$1,),)))))/(((VLOOKUP(EDATE(B197,-12),Database!$F:$AY,MATCH($U$1,Database!$F$1:$AY$1,),))))</f>
        <v/>
      </c>
      <c r="V197" s="13">
        <f>((((VLOOKUP(B197,Database!$F:$AY,MATCH($V$1,Database!$F$1:$AY$1,),))))-(((VLOOKUP(EDATE(B197,-12),Database!$F:$AY,MATCH($V$1,Database!$F$1:$AY$1,),)))))/(((VLOOKUP(EDATE(B197,-12),Database!$F:$AY,MATCH($V$1,Database!$F$1:$AY$1,),))))</f>
        <v/>
      </c>
    </row>
    <row r="198" customFormat="1" s="100">
      <c r="A198" s="45" t="n"/>
      <c r="B198" s="46" t="n">
        <v>38169</v>
      </c>
      <c r="C198" s="13">
        <f>((((VLOOKUP(B198,Database!$F:$AY,MATCH($C$1,Database!$F$1:$AY$1,),))))-(((VLOOKUP(EDATE(B198,-12),Database!$F:$AY,MATCH($C$1,Database!$F$1:$AY$1,),)))))/(((VLOOKUP(EDATE(B198,-12),Database!$F:$AY,MATCH($C$1,Database!$F$1:$AY$1,),))))</f>
        <v/>
      </c>
      <c r="D198" s="13">
        <f>((((VLOOKUP(B198,Database!$F:$AY,MATCH($D$1,Database!$F$1:$AY$1,),))))-(((VLOOKUP(EDATE(B198,-12),Database!$F:$AY,MATCH($D$1,Database!$F$1:$AY$1,),)))))/(((VLOOKUP(EDATE(B198,-12),Database!$F:$AY,MATCH($D$1,Database!$F$1:$AY$1,),))))</f>
        <v/>
      </c>
      <c r="E198" s="13">
        <f>((((VLOOKUP(B198,Database!$F:$AY,MATCH($E$1,Database!$F$1:$AY$1,),))))-(((VLOOKUP(EDATE(B198,-12),Database!$F:$AY,MATCH($E$1,Database!$F$1:$AY$1,),)))))/(((VLOOKUP(EDATE(B198,-12),Database!$F:$AY,MATCH($E$1,Database!$F$1:$AY$1,),))))</f>
        <v/>
      </c>
      <c r="F198" s="13">
        <f>((((VLOOKUP(B198,Database!$F:$AY,MATCH($F$1,Database!$F$1:$AY$1,),))))-(((VLOOKUP(EDATE(B198,-12),Database!$F:$AY,MATCH($F$1,Database!$F$1:$AY$1,),)))))/(((VLOOKUP(EDATE(B198,-12),Database!$F:$AY,MATCH($F$1,Database!$F$1:$AY$1,),))))</f>
        <v/>
      </c>
      <c r="G198" s="13">
        <f>((((VLOOKUP(B198,Database!$F:$AY,MATCH($G$1,Database!$F$1:$AY$1,),))))-(((VLOOKUP(EDATE(B198,-12),Database!$F:$AY,MATCH($G$1,Database!$F$1:$AY$1,),)))))/(((VLOOKUP(EDATE(B198,-12),Database!$F:$AY,MATCH($G$1,Database!$F$1:$AY$1,),))))</f>
        <v/>
      </c>
      <c r="H198" s="13">
        <f>((((VLOOKUP(B198,Database!$F:$AY,MATCH($H$1,Database!$F$1:$AY$1,),))))-(((VLOOKUP(EDATE(B198,-12),Database!$F:$AY,MATCH($H$1,Database!$F$1:$AY$1,),)))))/(((VLOOKUP(EDATE(B198,-12),Database!$F:$AY,MATCH($H$1,Database!$F$1:$AY$1,),))))</f>
        <v/>
      </c>
      <c r="I198" s="13">
        <f>((((VLOOKUP(B198,Database!$F:$AY,MATCH($I$1,Database!$F$1:$AY$1,),))))-(((VLOOKUP(EDATE(B198,-12),Database!$F:$AY,MATCH($I$1,Database!$F$1:$AY$1,),)))))/(((VLOOKUP(EDATE(B198,-12),Database!$F:$AY,MATCH($I$1,Database!$F$1:$AY$1,),))))</f>
        <v/>
      </c>
      <c r="J198" s="13">
        <f>((((VLOOKUP(B198,Database!$F:$AY,MATCH($J$1,Database!$F$1:$AY$1,),))))-(((VLOOKUP(EDATE(B198,-12),Database!$F:$AY,MATCH($J$1,Database!$F$1:$AY$1,),)))))/(((VLOOKUP(EDATE(B198,-12),Database!$F:$AY,MATCH($J$1,Database!$F$1:$AY$1,),))))</f>
        <v/>
      </c>
      <c r="K198" s="13">
        <f>((((VLOOKUP(B198,Database!$F:$AY,MATCH($K$1,Database!$F$1:$AY$1,),))))-(((VLOOKUP(EDATE(B198,-12),Database!$F:$AY,MATCH($K$1,Database!$F$1:$AY$1,),)))))/(((VLOOKUP(EDATE(B198,-12),Database!$F:$AY,MATCH($K$1,Database!$F$1:$AY$1,),))))</f>
        <v/>
      </c>
      <c r="L198" s="13">
        <f>((((VLOOKUP(B198,Database!$F:$AY,MATCH($L$1,Database!$F$1:$AY$1,),))))-(((VLOOKUP(EDATE(B198,-12),Database!$F:$AY,MATCH($L$1,Database!$F$1:$AY$1,),)))))/(((VLOOKUP(EDATE(B198,-12),Database!$F:$AY,MATCH($L$1,Database!$F$1:$AY$1,),))))</f>
        <v/>
      </c>
      <c r="M198" s="13">
        <f>((((VLOOKUP(B198,Database!$F:$AY,MATCH($M$1,Database!$F$1:$AY$1,),))))-(((VLOOKUP(EDATE(B198,-12),Database!$F:$AY,MATCH($M$1,Database!$F$1:$AY$1,),)))))/(((VLOOKUP(EDATE(B198,-12),Database!$F:$AY,MATCH($M$1,Database!$F$1:$AY$1,),))))</f>
        <v/>
      </c>
      <c r="N198" s="13">
        <f>((((VLOOKUP(B198,Database!$F:$AY,MATCH($N$1,Database!$F$1:$AY$1,),))))-(((VLOOKUP(EDATE(B198,-12),Database!$F:$AY,MATCH($N$1,Database!$F$1:$AY$1,),)))))/(((VLOOKUP(EDATE(B198,-12),Database!$F:$AY,MATCH($N$1,Database!$F$1:$AY$1,),))))</f>
        <v/>
      </c>
      <c r="O198" s="13">
        <f>((((VLOOKUP(B198,Database!$F:$AY,MATCH($O$1,Database!$F$1:$AY$1,),))))-(((VLOOKUP(EDATE(B198,-12),Database!$F:$AY,MATCH($O$1,Database!$F$1:$AY$1,),)))))/(((VLOOKUP(EDATE(B198,-12),Database!$F:$AY,MATCH($O$1,Database!$F$1:$AY$1,),))))</f>
        <v/>
      </c>
      <c r="P198" s="13">
        <f>((((VLOOKUP(B198,Database!$F:$AY,MATCH($P$1,Database!$F$1:$AY$1,),))))-(((VLOOKUP(EDATE(B198,-12),Database!$F:$AY,MATCH($P$1,Database!$F$1:$AY$1,),)))))/(((VLOOKUP(EDATE(B198,-12),Database!$F:$AY,MATCH($P$1,Database!$F$1:$AY$1,),))))</f>
        <v/>
      </c>
      <c r="Q198" s="13">
        <f>((((VLOOKUP(B198,Database!$F:$AY,MATCH($Q$1,Database!$F$1:$AY$1,),))))-(((VLOOKUP(EDATE(B198,-12),Database!$F:$AY,MATCH($Q$1,Database!$F$1:$AY$1,),)))))/(((VLOOKUP(EDATE(B198,-12),Database!$F:$AY,MATCH($Q$1,Database!$F$1:$AY$1,),))))</f>
        <v/>
      </c>
      <c r="R198" s="13">
        <f>((((VLOOKUP(B198,Database!$F:$AY,MATCH($R$1,Database!$F$1:$AY$1,),))))-(((VLOOKUP(EDATE(B198,-12),Database!$F:$AY,MATCH($R$1,Database!$F$1:$AY$1,),)))))/(((VLOOKUP(EDATE(B198,-12),Database!$F:$AY,MATCH($R$1,Database!$F$1:$AY$1,),))))</f>
        <v/>
      </c>
      <c r="S198" s="13">
        <f>((((VLOOKUP(B198,Database!$F:$AY,MATCH($S$1,Database!$F$1:$AY$1,),))))-(((VLOOKUP(EDATE(B198,-12),Database!$F:$AY,MATCH($S$1,Database!$F$1:$AY$1,),)))))/(((VLOOKUP(EDATE(B198,-12),Database!$F:$AY,MATCH($S$1,Database!$F$1:$AY$1,),))))</f>
        <v/>
      </c>
      <c r="T198" s="13">
        <f>((((VLOOKUP(B198,Database!$F:$AY,MATCH($T$1,Database!$F$1:$AY$1,),))))-(((VLOOKUP(EDATE(B198,-12),Database!$F:$AY,MATCH($T$1,Database!$F$1:$AY$1,),)))))/(((VLOOKUP(EDATE(B198,-12),Database!$F:$AY,MATCH($T$1,Database!$F$1:$AY$1,),))))</f>
        <v/>
      </c>
      <c r="U198" s="13">
        <f>((((VLOOKUP(B198,Database!$F:$AY,MATCH($U$1,Database!$F$1:$AY$1,),))))-(((VLOOKUP(EDATE(B198,-12),Database!$F:$AY,MATCH($U$1,Database!$F$1:$AY$1,),)))))/(((VLOOKUP(EDATE(B198,-12),Database!$F:$AY,MATCH($U$1,Database!$F$1:$AY$1,),))))</f>
        <v/>
      </c>
      <c r="V198" s="13">
        <f>((((VLOOKUP(B198,Database!$F:$AY,MATCH($V$1,Database!$F$1:$AY$1,),))))-(((VLOOKUP(EDATE(B198,-12),Database!$F:$AY,MATCH($V$1,Database!$F$1:$AY$1,),)))))/(((VLOOKUP(EDATE(B198,-12),Database!$F:$AY,MATCH($V$1,Database!$F$1:$AY$1,),))))</f>
        <v/>
      </c>
    </row>
    <row r="199" customFormat="1" s="100">
      <c r="A199" s="45" t="n"/>
      <c r="B199" s="46" t="n">
        <v>38200</v>
      </c>
      <c r="C199" s="13">
        <f>((((VLOOKUP(B199,Database!$F:$AY,MATCH($C$1,Database!$F$1:$AY$1,),))))-(((VLOOKUP(EDATE(B199,-12),Database!$F:$AY,MATCH($C$1,Database!$F$1:$AY$1,),)))))/(((VLOOKUP(EDATE(B199,-12),Database!$F:$AY,MATCH($C$1,Database!$F$1:$AY$1,),))))</f>
        <v/>
      </c>
      <c r="D199" s="13">
        <f>((((VLOOKUP(B199,Database!$F:$AY,MATCH($D$1,Database!$F$1:$AY$1,),))))-(((VLOOKUP(EDATE(B199,-12),Database!$F:$AY,MATCH($D$1,Database!$F$1:$AY$1,),)))))/(((VLOOKUP(EDATE(B199,-12),Database!$F:$AY,MATCH($D$1,Database!$F$1:$AY$1,),))))</f>
        <v/>
      </c>
      <c r="E199" s="13">
        <f>((((VLOOKUP(B199,Database!$F:$AY,MATCH($E$1,Database!$F$1:$AY$1,),))))-(((VLOOKUP(EDATE(B199,-12),Database!$F:$AY,MATCH($E$1,Database!$F$1:$AY$1,),)))))/(((VLOOKUP(EDATE(B199,-12),Database!$F:$AY,MATCH($E$1,Database!$F$1:$AY$1,),))))</f>
        <v/>
      </c>
      <c r="F199" s="13">
        <f>((((VLOOKUP(B199,Database!$F:$AY,MATCH($F$1,Database!$F$1:$AY$1,),))))-(((VLOOKUP(EDATE(B199,-12),Database!$F:$AY,MATCH($F$1,Database!$F$1:$AY$1,),)))))/(((VLOOKUP(EDATE(B199,-12),Database!$F:$AY,MATCH($F$1,Database!$F$1:$AY$1,),))))</f>
        <v/>
      </c>
      <c r="G199" s="13">
        <f>((((VLOOKUP(B199,Database!$F:$AY,MATCH($G$1,Database!$F$1:$AY$1,),))))-(((VLOOKUP(EDATE(B199,-12),Database!$F:$AY,MATCH($G$1,Database!$F$1:$AY$1,),)))))/(((VLOOKUP(EDATE(B199,-12),Database!$F:$AY,MATCH($G$1,Database!$F$1:$AY$1,),))))</f>
        <v/>
      </c>
      <c r="H199" s="13">
        <f>((((VLOOKUP(B199,Database!$F:$AY,MATCH($H$1,Database!$F$1:$AY$1,),))))-(((VLOOKUP(EDATE(B199,-12),Database!$F:$AY,MATCH($H$1,Database!$F$1:$AY$1,),)))))/(((VLOOKUP(EDATE(B199,-12),Database!$F:$AY,MATCH($H$1,Database!$F$1:$AY$1,),))))</f>
        <v/>
      </c>
      <c r="I199" s="13">
        <f>((((VLOOKUP(B199,Database!$F:$AY,MATCH($I$1,Database!$F$1:$AY$1,),))))-(((VLOOKUP(EDATE(B199,-12),Database!$F:$AY,MATCH($I$1,Database!$F$1:$AY$1,),)))))/(((VLOOKUP(EDATE(B199,-12),Database!$F:$AY,MATCH($I$1,Database!$F$1:$AY$1,),))))</f>
        <v/>
      </c>
      <c r="J199" s="13">
        <f>((((VLOOKUP(B199,Database!$F:$AY,MATCH($J$1,Database!$F$1:$AY$1,),))))-(((VLOOKUP(EDATE(B199,-12),Database!$F:$AY,MATCH($J$1,Database!$F$1:$AY$1,),)))))/(((VLOOKUP(EDATE(B199,-12),Database!$F:$AY,MATCH($J$1,Database!$F$1:$AY$1,),))))</f>
        <v/>
      </c>
      <c r="K199" s="13">
        <f>((((VLOOKUP(B199,Database!$F:$AY,MATCH($K$1,Database!$F$1:$AY$1,),))))-(((VLOOKUP(EDATE(B199,-12),Database!$F:$AY,MATCH($K$1,Database!$F$1:$AY$1,),)))))/(((VLOOKUP(EDATE(B199,-12),Database!$F:$AY,MATCH($K$1,Database!$F$1:$AY$1,),))))</f>
        <v/>
      </c>
      <c r="L199" s="13">
        <f>((((VLOOKUP(B199,Database!$F:$AY,MATCH($L$1,Database!$F$1:$AY$1,),))))-(((VLOOKUP(EDATE(B199,-12),Database!$F:$AY,MATCH($L$1,Database!$F$1:$AY$1,),)))))/(((VLOOKUP(EDATE(B199,-12),Database!$F:$AY,MATCH($L$1,Database!$F$1:$AY$1,),))))</f>
        <v/>
      </c>
      <c r="M199" s="13">
        <f>((((VLOOKUP(B199,Database!$F:$AY,MATCH($M$1,Database!$F$1:$AY$1,),))))-(((VLOOKUP(EDATE(B199,-12),Database!$F:$AY,MATCH($M$1,Database!$F$1:$AY$1,),)))))/(((VLOOKUP(EDATE(B199,-12),Database!$F:$AY,MATCH($M$1,Database!$F$1:$AY$1,),))))</f>
        <v/>
      </c>
      <c r="N199" s="13">
        <f>((((VLOOKUP(B199,Database!$F:$AY,MATCH($N$1,Database!$F$1:$AY$1,),))))-(((VLOOKUP(EDATE(B199,-12),Database!$F:$AY,MATCH($N$1,Database!$F$1:$AY$1,),)))))/(((VLOOKUP(EDATE(B199,-12),Database!$F:$AY,MATCH($N$1,Database!$F$1:$AY$1,),))))</f>
        <v/>
      </c>
      <c r="O199" s="13">
        <f>((((VLOOKUP(B199,Database!$F:$AY,MATCH($O$1,Database!$F$1:$AY$1,),))))-(((VLOOKUP(EDATE(B199,-12),Database!$F:$AY,MATCH($O$1,Database!$F$1:$AY$1,),)))))/(((VLOOKUP(EDATE(B199,-12),Database!$F:$AY,MATCH($O$1,Database!$F$1:$AY$1,),))))</f>
        <v/>
      </c>
      <c r="P199" s="13">
        <f>((((VLOOKUP(B199,Database!$F:$AY,MATCH($P$1,Database!$F$1:$AY$1,),))))-(((VLOOKUP(EDATE(B199,-12),Database!$F:$AY,MATCH($P$1,Database!$F$1:$AY$1,),)))))/(((VLOOKUP(EDATE(B199,-12),Database!$F:$AY,MATCH($P$1,Database!$F$1:$AY$1,),))))</f>
        <v/>
      </c>
      <c r="Q199" s="13">
        <f>((((VLOOKUP(B199,Database!$F:$AY,MATCH($Q$1,Database!$F$1:$AY$1,),))))-(((VLOOKUP(EDATE(B199,-12),Database!$F:$AY,MATCH($Q$1,Database!$F$1:$AY$1,),)))))/(((VLOOKUP(EDATE(B199,-12),Database!$F:$AY,MATCH($Q$1,Database!$F$1:$AY$1,),))))</f>
        <v/>
      </c>
      <c r="R199" s="13">
        <f>((((VLOOKUP(B199,Database!$F:$AY,MATCH($R$1,Database!$F$1:$AY$1,),))))-(((VLOOKUP(EDATE(B199,-12),Database!$F:$AY,MATCH($R$1,Database!$F$1:$AY$1,),)))))/(((VLOOKUP(EDATE(B199,-12),Database!$F:$AY,MATCH($R$1,Database!$F$1:$AY$1,),))))</f>
        <v/>
      </c>
      <c r="S199" s="13">
        <f>((((VLOOKUP(B199,Database!$F:$AY,MATCH($S$1,Database!$F$1:$AY$1,),))))-(((VLOOKUP(EDATE(B199,-12),Database!$F:$AY,MATCH($S$1,Database!$F$1:$AY$1,),)))))/(((VLOOKUP(EDATE(B199,-12),Database!$F:$AY,MATCH($S$1,Database!$F$1:$AY$1,),))))</f>
        <v/>
      </c>
      <c r="T199" s="13">
        <f>((((VLOOKUP(B199,Database!$F:$AY,MATCH($T$1,Database!$F$1:$AY$1,),))))-(((VLOOKUP(EDATE(B199,-12),Database!$F:$AY,MATCH($T$1,Database!$F$1:$AY$1,),)))))/(((VLOOKUP(EDATE(B199,-12),Database!$F:$AY,MATCH($T$1,Database!$F$1:$AY$1,),))))</f>
        <v/>
      </c>
      <c r="U199" s="13">
        <f>((((VLOOKUP(B199,Database!$F:$AY,MATCH($U$1,Database!$F$1:$AY$1,),))))-(((VLOOKUP(EDATE(B199,-12),Database!$F:$AY,MATCH($U$1,Database!$F$1:$AY$1,),)))))/(((VLOOKUP(EDATE(B199,-12),Database!$F:$AY,MATCH($U$1,Database!$F$1:$AY$1,),))))</f>
        <v/>
      </c>
      <c r="V199" s="13">
        <f>((((VLOOKUP(B199,Database!$F:$AY,MATCH($V$1,Database!$F$1:$AY$1,),))))-(((VLOOKUP(EDATE(B199,-12),Database!$F:$AY,MATCH($V$1,Database!$F$1:$AY$1,),)))))/(((VLOOKUP(EDATE(B199,-12),Database!$F:$AY,MATCH($V$1,Database!$F$1:$AY$1,),))))</f>
        <v/>
      </c>
    </row>
    <row r="200" customFormat="1" s="100">
      <c r="A200" s="45" t="n"/>
      <c r="B200" s="46" t="n">
        <v>38231</v>
      </c>
      <c r="C200" s="13">
        <f>((((VLOOKUP(B200,Database!$F:$AY,MATCH($C$1,Database!$F$1:$AY$1,),))))-(((VLOOKUP(EDATE(B200,-12),Database!$F:$AY,MATCH($C$1,Database!$F$1:$AY$1,),)))))/(((VLOOKUP(EDATE(B200,-12),Database!$F:$AY,MATCH($C$1,Database!$F$1:$AY$1,),))))</f>
        <v/>
      </c>
      <c r="D200" s="13">
        <f>((((VLOOKUP(B200,Database!$F:$AY,MATCH($D$1,Database!$F$1:$AY$1,),))))-(((VLOOKUP(EDATE(B200,-12),Database!$F:$AY,MATCH($D$1,Database!$F$1:$AY$1,),)))))/(((VLOOKUP(EDATE(B200,-12),Database!$F:$AY,MATCH($D$1,Database!$F$1:$AY$1,),))))</f>
        <v/>
      </c>
      <c r="E200" s="13">
        <f>((((VLOOKUP(B200,Database!$F:$AY,MATCH($E$1,Database!$F$1:$AY$1,),))))-(((VLOOKUP(EDATE(B200,-12),Database!$F:$AY,MATCH($E$1,Database!$F$1:$AY$1,),)))))/(((VLOOKUP(EDATE(B200,-12),Database!$F:$AY,MATCH($E$1,Database!$F$1:$AY$1,),))))</f>
        <v/>
      </c>
      <c r="F200" s="13">
        <f>((((VLOOKUP(B200,Database!$F:$AY,MATCH($F$1,Database!$F$1:$AY$1,),))))-(((VLOOKUP(EDATE(B200,-12),Database!$F:$AY,MATCH($F$1,Database!$F$1:$AY$1,),)))))/(((VLOOKUP(EDATE(B200,-12),Database!$F:$AY,MATCH($F$1,Database!$F$1:$AY$1,),))))</f>
        <v/>
      </c>
      <c r="G200" s="13">
        <f>((((VLOOKUP(B200,Database!$F:$AY,MATCH($G$1,Database!$F$1:$AY$1,),))))-(((VLOOKUP(EDATE(B200,-12),Database!$F:$AY,MATCH($G$1,Database!$F$1:$AY$1,),)))))/(((VLOOKUP(EDATE(B200,-12),Database!$F:$AY,MATCH($G$1,Database!$F$1:$AY$1,),))))</f>
        <v/>
      </c>
      <c r="H200" s="13">
        <f>((((VLOOKUP(B200,Database!$F:$AY,MATCH($H$1,Database!$F$1:$AY$1,),))))-(((VLOOKUP(EDATE(B200,-12),Database!$F:$AY,MATCH($H$1,Database!$F$1:$AY$1,),)))))/(((VLOOKUP(EDATE(B200,-12),Database!$F:$AY,MATCH($H$1,Database!$F$1:$AY$1,),))))</f>
        <v/>
      </c>
      <c r="I200" s="13">
        <f>((((VLOOKUP(B200,Database!$F:$AY,MATCH($I$1,Database!$F$1:$AY$1,),))))-(((VLOOKUP(EDATE(B200,-12),Database!$F:$AY,MATCH($I$1,Database!$F$1:$AY$1,),)))))/(((VLOOKUP(EDATE(B200,-12),Database!$F:$AY,MATCH($I$1,Database!$F$1:$AY$1,),))))</f>
        <v/>
      </c>
      <c r="J200" s="13">
        <f>((((VLOOKUP(B200,Database!$F:$AY,MATCH($J$1,Database!$F$1:$AY$1,),))))-(((VLOOKUP(EDATE(B200,-12),Database!$F:$AY,MATCH($J$1,Database!$F$1:$AY$1,),)))))/(((VLOOKUP(EDATE(B200,-12),Database!$F:$AY,MATCH($J$1,Database!$F$1:$AY$1,),))))</f>
        <v/>
      </c>
      <c r="K200" s="13">
        <f>((((VLOOKUP(B200,Database!$F:$AY,MATCH($K$1,Database!$F$1:$AY$1,),))))-(((VLOOKUP(EDATE(B200,-12),Database!$F:$AY,MATCH($K$1,Database!$F$1:$AY$1,),)))))/(((VLOOKUP(EDATE(B200,-12),Database!$F:$AY,MATCH($K$1,Database!$F$1:$AY$1,),))))</f>
        <v/>
      </c>
      <c r="L200" s="13">
        <f>((((VLOOKUP(B200,Database!$F:$AY,MATCH($L$1,Database!$F$1:$AY$1,),))))-(((VLOOKUP(EDATE(B200,-12),Database!$F:$AY,MATCH($L$1,Database!$F$1:$AY$1,),)))))/(((VLOOKUP(EDATE(B200,-12),Database!$F:$AY,MATCH($L$1,Database!$F$1:$AY$1,),))))</f>
        <v/>
      </c>
      <c r="M200" s="13">
        <f>((((VLOOKUP(B200,Database!$F:$AY,MATCH($M$1,Database!$F$1:$AY$1,),))))-(((VLOOKUP(EDATE(B200,-12),Database!$F:$AY,MATCH($M$1,Database!$F$1:$AY$1,),)))))/(((VLOOKUP(EDATE(B200,-12),Database!$F:$AY,MATCH($M$1,Database!$F$1:$AY$1,),))))</f>
        <v/>
      </c>
      <c r="N200" s="13">
        <f>((((VLOOKUP(B200,Database!$F:$AY,MATCH($N$1,Database!$F$1:$AY$1,),))))-(((VLOOKUP(EDATE(B200,-12),Database!$F:$AY,MATCH($N$1,Database!$F$1:$AY$1,),)))))/(((VLOOKUP(EDATE(B200,-12),Database!$F:$AY,MATCH($N$1,Database!$F$1:$AY$1,),))))</f>
        <v/>
      </c>
      <c r="O200" s="13">
        <f>((((VLOOKUP(B200,Database!$F:$AY,MATCH($O$1,Database!$F$1:$AY$1,),))))-(((VLOOKUP(EDATE(B200,-12),Database!$F:$AY,MATCH($O$1,Database!$F$1:$AY$1,),)))))/(((VLOOKUP(EDATE(B200,-12),Database!$F:$AY,MATCH($O$1,Database!$F$1:$AY$1,),))))</f>
        <v/>
      </c>
      <c r="P200" s="13">
        <f>((((VLOOKUP(B200,Database!$F:$AY,MATCH($P$1,Database!$F$1:$AY$1,),))))-(((VLOOKUP(EDATE(B200,-12),Database!$F:$AY,MATCH($P$1,Database!$F$1:$AY$1,),)))))/(((VLOOKUP(EDATE(B200,-12),Database!$F:$AY,MATCH($P$1,Database!$F$1:$AY$1,),))))</f>
        <v/>
      </c>
      <c r="Q200" s="13">
        <f>((((VLOOKUP(B200,Database!$F:$AY,MATCH($Q$1,Database!$F$1:$AY$1,),))))-(((VLOOKUP(EDATE(B200,-12),Database!$F:$AY,MATCH($Q$1,Database!$F$1:$AY$1,),)))))/(((VLOOKUP(EDATE(B200,-12),Database!$F:$AY,MATCH($Q$1,Database!$F$1:$AY$1,),))))</f>
        <v/>
      </c>
      <c r="R200" s="13">
        <f>((((VLOOKUP(B200,Database!$F:$AY,MATCH($R$1,Database!$F$1:$AY$1,),))))-(((VLOOKUP(EDATE(B200,-12),Database!$F:$AY,MATCH($R$1,Database!$F$1:$AY$1,),)))))/(((VLOOKUP(EDATE(B200,-12),Database!$F:$AY,MATCH($R$1,Database!$F$1:$AY$1,),))))</f>
        <v/>
      </c>
      <c r="S200" s="13">
        <f>((((VLOOKUP(B200,Database!$F:$AY,MATCH($S$1,Database!$F$1:$AY$1,),))))-(((VLOOKUP(EDATE(B200,-12),Database!$F:$AY,MATCH($S$1,Database!$F$1:$AY$1,),)))))/(((VLOOKUP(EDATE(B200,-12),Database!$F:$AY,MATCH($S$1,Database!$F$1:$AY$1,),))))</f>
        <v/>
      </c>
      <c r="T200" s="13">
        <f>((((VLOOKUP(B200,Database!$F:$AY,MATCH($T$1,Database!$F$1:$AY$1,),))))-(((VLOOKUP(EDATE(B200,-12),Database!$F:$AY,MATCH($T$1,Database!$F$1:$AY$1,),)))))/(((VLOOKUP(EDATE(B200,-12),Database!$F:$AY,MATCH($T$1,Database!$F$1:$AY$1,),))))</f>
        <v/>
      </c>
      <c r="U200" s="13">
        <f>((((VLOOKUP(B200,Database!$F:$AY,MATCH($U$1,Database!$F$1:$AY$1,),))))-(((VLOOKUP(EDATE(B200,-12),Database!$F:$AY,MATCH($U$1,Database!$F$1:$AY$1,),)))))/(((VLOOKUP(EDATE(B200,-12),Database!$F:$AY,MATCH($U$1,Database!$F$1:$AY$1,),))))</f>
        <v/>
      </c>
      <c r="V200" s="13">
        <f>((((VLOOKUP(B200,Database!$F:$AY,MATCH($V$1,Database!$F$1:$AY$1,),))))-(((VLOOKUP(EDATE(B200,-12),Database!$F:$AY,MATCH($V$1,Database!$F$1:$AY$1,),)))))/(((VLOOKUP(EDATE(B200,-12),Database!$F:$AY,MATCH($V$1,Database!$F$1:$AY$1,),))))</f>
        <v/>
      </c>
    </row>
    <row r="201" customFormat="1" s="100">
      <c r="A201" s="45" t="n"/>
      <c r="B201" s="46" t="n">
        <v>38261</v>
      </c>
      <c r="C201" s="13">
        <f>((((VLOOKUP(B201,Database!$F:$AY,MATCH($C$1,Database!$F$1:$AY$1,),))))-(((VLOOKUP(EDATE(B201,-12),Database!$F:$AY,MATCH($C$1,Database!$F$1:$AY$1,),)))))/(((VLOOKUP(EDATE(B201,-12),Database!$F:$AY,MATCH($C$1,Database!$F$1:$AY$1,),))))</f>
        <v/>
      </c>
      <c r="D201" s="13">
        <f>((((VLOOKUP(B201,Database!$F:$AY,MATCH($D$1,Database!$F$1:$AY$1,),))))-(((VLOOKUP(EDATE(B201,-12),Database!$F:$AY,MATCH($D$1,Database!$F$1:$AY$1,),)))))/(((VLOOKUP(EDATE(B201,-12),Database!$F:$AY,MATCH($D$1,Database!$F$1:$AY$1,),))))</f>
        <v/>
      </c>
      <c r="E201" s="13">
        <f>((((VLOOKUP(B201,Database!$F:$AY,MATCH($E$1,Database!$F$1:$AY$1,),))))-(((VLOOKUP(EDATE(B201,-12),Database!$F:$AY,MATCH($E$1,Database!$F$1:$AY$1,),)))))/(((VLOOKUP(EDATE(B201,-12),Database!$F:$AY,MATCH($E$1,Database!$F$1:$AY$1,),))))</f>
        <v/>
      </c>
      <c r="F201" s="13">
        <f>((((VLOOKUP(B201,Database!$F:$AY,MATCH($F$1,Database!$F$1:$AY$1,),))))-(((VLOOKUP(EDATE(B201,-12),Database!$F:$AY,MATCH($F$1,Database!$F$1:$AY$1,),)))))/(((VLOOKUP(EDATE(B201,-12),Database!$F:$AY,MATCH($F$1,Database!$F$1:$AY$1,),))))</f>
        <v/>
      </c>
      <c r="G201" s="13">
        <f>((((VLOOKUP(B201,Database!$F:$AY,MATCH($G$1,Database!$F$1:$AY$1,),))))-(((VLOOKUP(EDATE(B201,-12),Database!$F:$AY,MATCH($G$1,Database!$F$1:$AY$1,),)))))/(((VLOOKUP(EDATE(B201,-12),Database!$F:$AY,MATCH($G$1,Database!$F$1:$AY$1,),))))</f>
        <v/>
      </c>
      <c r="H201" s="13">
        <f>((((VLOOKUP(B201,Database!$F:$AY,MATCH($H$1,Database!$F$1:$AY$1,),))))-(((VLOOKUP(EDATE(B201,-12),Database!$F:$AY,MATCH($H$1,Database!$F$1:$AY$1,),)))))/(((VLOOKUP(EDATE(B201,-12),Database!$F:$AY,MATCH($H$1,Database!$F$1:$AY$1,),))))</f>
        <v/>
      </c>
      <c r="I201" s="13">
        <f>((((VLOOKUP(B201,Database!$F:$AY,MATCH($I$1,Database!$F$1:$AY$1,),))))-(((VLOOKUP(EDATE(B201,-12),Database!$F:$AY,MATCH($I$1,Database!$F$1:$AY$1,),)))))/(((VLOOKUP(EDATE(B201,-12),Database!$F:$AY,MATCH($I$1,Database!$F$1:$AY$1,),))))</f>
        <v/>
      </c>
      <c r="J201" s="13">
        <f>((((VLOOKUP(B201,Database!$F:$AY,MATCH($J$1,Database!$F$1:$AY$1,),))))-(((VLOOKUP(EDATE(B201,-12),Database!$F:$AY,MATCH($J$1,Database!$F$1:$AY$1,),)))))/(((VLOOKUP(EDATE(B201,-12),Database!$F:$AY,MATCH($J$1,Database!$F$1:$AY$1,),))))</f>
        <v/>
      </c>
      <c r="K201" s="13">
        <f>((((VLOOKUP(B201,Database!$F:$AY,MATCH($K$1,Database!$F$1:$AY$1,),))))-(((VLOOKUP(EDATE(B201,-12),Database!$F:$AY,MATCH($K$1,Database!$F$1:$AY$1,),)))))/(((VLOOKUP(EDATE(B201,-12),Database!$F:$AY,MATCH($K$1,Database!$F$1:$AY$1,),))))</f>
        <v/>
      </c>
      <c r="L201" s="13">
        <f>((((VLOOKUP(B201,Database!$F:$AY,MATCH($L$1,Database!$F$1:$AY$1,),))))-(((VLOOKUP(EDATE(B201,-12),Database!$F:$AY,MATCH($L$1,Database!$F$1:$AY$1,),)))))/(((VLOOKUP(EDATE(B201,-12),Database!$F:$AY,MATCH($L$1,Database!$F$1:$AY$1,),))))</f>
        <v/>
      </c>
      <c r="M201" s="13">
        <f>((((VLOOKUP(B201,Database!$F:$AY,MATCH($M$1,Database!$F$1:$AY$1,),))))-(((VLOOKUP(EDATE(B201,-12),Database!$F:$AY,MATCH($M$1,Database!$F$1:$AY$1,),)))))/(((VLOOKUP(EDATE(B201,-12),Database!$F:$AY,MATCH($M$1,Database!$F$1:$AY$1,),))))</f>
        <v/>
      </c>
      <c r="N201" s="13">
        <f>((((VLOOKUP(B201,Database!$F:$AY,MATCH($N$1,Database!$F$1:$AY$1,),))))-(((VLOOKUP(EDATE(B201,-12),Database!$F:$AY,MATCH($N$1,Database!$F$1:$AY$1,),)))))/(((VLOOKUP(EDATE(B201,-12),Database!$F:$AY,MATCH($N$1,Database!$F$1:$AY$1,),))))</f>
        <v/>
      </c>
      <c r="O201" s="13">
        <f>((((VLOOKUP(B201,Database!$F:$AY,MATCH($O$1,Database!$F$1:$AY$1,),))))-(((VLOOKUP(EDATE(B201,-12),Database!$F:$AY,MATCH($O$1,Database!$F$1:$AY$1,),)))))/(((VLOOKUP(EDATE(B201,-12),Database!$F:$AY,MATCH($O$1,Database!$F$1:$AY$1,),))))</f>
        <v/>
      </c>
      <c r="P201" s="13">
        <f>((((VLOOKUP(B201,Database!$F:$AY,MATCH($P$1,Database!$F$1:$AY$1,),))))-(((VLOOKUP(EDATE(B201,-12),Database!$F:$AY,MATCH($P$1,Database!$F$1:$AY$1,),)))))/(((VLOOKUP(EDATE(B201,-12),Database!$F:$AY,MATCH($P$1,Database!$F$1:$AY$1,),))))</f>
        <v/>
      </c>
      <c r="Q201" s="13">
        <f>((((VLOOKUP(B201,Database!$F:$AY,MATCH($Q$1,Database!$F$1:$AY$1,),))))-(((VLOOKUP(EDATE(B201,-12),Database!$F:$AY,MATCH($Q$1,Database!$F$1:$AY$1,),)))))/(((VLOOKUP(EDATE(B201,-12),Database!$F:$AY,MATCH($Q$1,Database!$F$1:$AY$1,),))))</f>
        <v/>
      </c>
      <c r="R201" s="13">
        <f>((((VLOOKUP(B201,Database!$F:$AY,MATCH($R$1,Database!$F$1:$AY$1,),))))-(((VLOOKUP(EDATE(B201,-12),Database!$F:$AY,MATCH($R$1,Database!$F$1:$AY$1,),)))))/(((VLOOKUP(EDATE(B201,-12),Database!$F:$AY,MATCH($R$1,Database!$F$1:$AY$1,),))))</f>
        <v/>
      </c>
      <c r="S201" s="13">
        <f>((((VLOOKUP(B201,Database!$F:$AY,MATCH($S$1,Database!$F$1:$AY$1,),))))-(((VLOOKUP(EDATE(B201,-12),Database!$F:$AY,MATCH($S$1,Database!$F$1:$AY$1,),)))))/(((VLOOKUP(EDATE(B201,-12),Database!$F:$AY,MATCH($S$1,Database!$F$1:$AY$1,),))))</f>
        <v/>
      </c>
      <c r="T201" s="13">
        <f>((((VLOOKUP(B201,Database!$F:$AY,MATCH($T$1,Database!$F$1:$AY$1,),))))-(((VLOOKUP(EDATE(B201,-12),Database!$F:$AY,MATCH($T$1,Database!$F$1:$AY$1,),)))))/(((VLOOKUP(EDATE(B201,-12),Database!$F:$AY,MATCH($T$1,Database!$F$1:$AY$1,),))))</f>
        <v/>
      </c>
      <c r="U201" s="13">
        <f>((((VLOOKUP(B201,Database!$F:$AY,MATCH($U$1,Database!$F$1:$AY$1,),))))-(((VLOOKUP(EDATE(B201,-12),Database!$F:$AY,MATCH($U$1,Database!$F$1:$AY$1,),)))))/(((VLOOKUP(EDATE(B201,-12),Database!$F:$AY,MATCH($U$1,Database!$F$1:$AY$1,),))))</f>
        <v/>
      </c>
      <c r="V201" s="13">
        <f>((((VLOOKUP(B201,Database!$F:$AY,MATCH($V$1,Database!$F$1:$AY$1,),))))-(((VLOOKUP(EDATE(B201,-12),Database!$F:$AY,MATCH($V$1,Database!$F$1:$AY$1,),)))))/(((VLOOKUP(EDATE(B201,-12),Database!$F:$AY,MATCH($V$1,Database!$F$1:$AY$1,),))))</f>
        <v/>
      </c>
    </row>
    <row r="202" customFormat="1" s="100">
      <c r="A202" s="45" t="n"/>
      <c r="B202" s="46" t="n">
        <v>38292</v>
      </c>
      <c r="C202" s="13">
        <f>((((VLOOKUP(B202,Database!$F:$AY,MATCH($C$1,Database!$F$1:$AY$1,),))))-(((VLOOKUP(EDATE(B202,-12),Database!$F:$AY,MATCH($C$1,Database!$F$1:$AY$1,),)))))/(((VLOOKUP(EDATE(B202,-12),Database!$F:$AY,MATCH($C$1,Database!$F$1:$AY$1,),))))</f>
        <v/>
      </c>
      <c r="D202" s="13">
        <f>((((VLOOKUP(B202,Database!$F:$AY,MATCH($D$1,Database!$F$1:$AY$1,),))))-(((VLOOKUP(EDATE(B202,-12),Database!$F:$AY,MATCH($D$1,Database!$F$1:$AY$1,),)))))/(((VLOOKUP(EDATE(B202,-12),Database!$F:$AY,MATCH($D$1,Database!$F$1:$AY$1,),))))</f>
        <v/>
      </c>
      <c r="E202" s="13">
        <f>((((VLOOKUP(B202,Database!$F:$AY,MATCH($E$1,Database!$F$1:$AY$1,),))))-(((VLOOKUP(EDATE(B202,-12),Database!$F:$AY,MATCH($E$1,Database!$F$1:$AY$1,),)))))/(((VLOOKUP(EDATE(B202,-12),Database!$F:$AY,MATCH($E$1,Database!$F$1:$AY$1,),))))</f>
        <v/>
      </c>
      <c r="F202" s="13">
        <f>((((VLOOKUP(B202,Database!$F:$AY,MATCH($F$1,Database!$F$1:$AY$1,),))))-(((VLOOKUP(EDATE(B202,-12),Database!$F:$AY,MATCH($F$1,Database!$F$1:$AY$1,),)))))/(((VLOOKUP(EDATE(B202,-12),Database!$F:$AY,MATCH($F$1,Database!$F$1:$AY$1,),))))</f>
        <v/>
      </c>
      <c r="G202" s="13">
        <f>((((VLOOKUP(B202,Database!$F:$AY,MATCH($G$1,Database!$F$1:$AY$1,),))))-(((VLOOKUP(EDATE(B202,-12),Database!$F:$AY,MATCH($G$1,Database!$F$1:$AY$1,),)))))/(((VLOOKUP(EDATE(B202,-12),Database!$F:$AY,MATCH($G$1,Database!$F$1:$AY$1,),))))</f>
        <v/>
      </c>
      <c r="H202" s="13">
        <f>((((VLOOKUP(B202,Database!$F:$AY,MATCH($H$1,Database!$F$1:$AY$1,),))))-(((VLOOKUP(EDATE(B202,-12),Database!$F:$AY,MATCH($H$1,Database!$F$1:$AY$1,),)))))/(((VLOOKUP(EDATE(B202,-12),Database!$F:$AY,MATCH($H$1,Database!$F$1:$AY$1,),))))</f>
        <v/>
      </c>
      <c r="I202" s="13">
        <f>((((VLOOKUP(B202,Database!$F:$AY,MATCH($I$1,Database!$F$1:$AY$1,),))))-(((VLOOKUP(EDATE(B202,-12),Database!$F:$AY,MATCH($I$1,Database!$F$1:$AY$1,),)))))/(((VLOOKUP(EDATE(B202,-12),Database!$F:$AY,MATCH($I$1,Database!$F$1:$AY$1,),))))</f>
        <v/>
      </c>
      <c r="J202" s="13">
        <f>((((VLOOKUP(B202,Database!$F:$AY,MATCH($J$1,Database!$F$1:$AY$1,),))))-(((VLOOKUP(EDATE(B202,-12),Database!$F:$AY,MATCH($J$1,Database!$F$1:$AY$1,),)))))/(((VLOOKUP(EDATE(B202,-12),Database!$F:$AY,MATCH($J$1,Database!$F$1:$AY$1,),))))</f>
        <v/>
      </c>
      <c r="K202" s="13">
        <f>((((VLOOKUP(B202,Database!$F:$AY,MATCH($K$1,Database!$F$1:$AY$1,),))))-(((VLOOKUP(EDATE(B202,-12),Database!$F:$AY,MATCH($K$1,Database!$F$1:$AY$1,),)))))/(((VLOOKUP(EDATE(B202,-12),Database!$F:$AY,MATCH($K$1,Database!$F$1:$AY$1,),))))</f>
        <v/>
      </c>
      <c r="L202" s="13">
        <f>((((VLOOKUP(B202,Database!$F:$AY,MATCH($L$1,Database!$F$1:$AY$1,),))))-(((VLOOKUP(EDATE(B202,-12),Database!$F:$AY,MATCH($L$1,Database!$F$1:$AY$1,),)))))/(((VLOOKUP(EDATE(B202,-12),Database!$F:$AY,MATCH($L$1,Database!$F$1:$AY$1,),))))</f>
        <v/>
      </c>
      <c r="M202" s="13">
        <f>((((VLOOKUP(B202,Database!$F:$AY,MATCH($M$1,Database!$F$1:$AY$1,),))))-(((VLOOKUP(EDATE(B202,-12),Database!$F:$AY,MATCH($M$1,Database!$F$1:$AY$1,),)))))/(((VLOOKUP(EDATE(B202,-12),Database!$F:$AY,MATCH($M$1,Database!$F$1:$AY$1,),))))</f>
        <v/>
      </c>
      <c r="N202" s="13">
        <f>((((VLOOKUP(B202,Database!$F:$AY,MATCH($N$1,Database!$F$1:$AY$1,),))))-(((VLOOKUP(EDATE(B202,-12),Database!$F:$AY,MATCH($N$1,Database!$F$1:$AY$1,),)))))/(((VLOOKUP(EDATE(B202,-12),Database!$F:$AY,MATCH($N$1,Database!$F$1:$AY$1,),))))</f>
        <v/>
      </c>
      <c r="O202" s="13">
        <f>((((VLOOKUP(B202,Database!$F:$AY,MATCH($O$1,Database!$F$1:$AY$1,),))))-(((VLOOKUP(EDATE(B202,-12),Database!$F:$AY,MATCH($O$1,Database!$F$1:$AY$1,),)))))/(((VLOOKUP(EDATE(B202,-12),Database!$F:$AY,MATCH($O$1,Database!$F$1:$AY$1,),))))</f>
        <v/>
      </c>
      <c r="P202" s="13">
        <f>((((VLOOKUP(B202,Database!$F:$AY,MATCH($P$1,Database!$F$1:$AY$1,),))))-(((VLOOKUP(EDATE(B202,-12),Database!$F:$AY,MATCH($P$1,Database!$F$1:$AY$1,),)))))/(((VLOOKUP(EDATE(B202,-12),Database!$F:$AY,MATCH($P$1,Database!$F$1:$AY$1,),))))</f>
        <v/>
      </c>
      <c r="Q202" s="13">
        <f>((((VLOOKUP(B202,Database!$F:$AY,MATCH($Q$1,Database!$F$1:$AY$1,),))))-(((VLOOKUP(EDATE(B202,-12),Database!$F:$AY,MATCH($Q$1,Database!$F$1:$AY$1,),)))))/(((VLOOKUP(EDATE(B202,-12),Database!$F:$AY,MATCH($Q$1,Database!$F$1:$AY$1,),))))</f>
        <v/>
      </c>
      <c r="R202" s="13">
        <f>((((VLOOKUP(B202,Database!$F:$AY,MATCH($R$1,Database!$F$1:$AY$1,),))))-(((VLOOKUP(EDATE(B202,-12),Database!$F:$AY,MATCH($R$1,Database!$F$1:$AY$1,),)))))/(((VLOOKUP(EDATE(B202,-12),Database!$F:$AY,MATCH($R$1,Database!$F$1:$AY$1,),))))</f>
        <v/>
      </c>
      <c r="S202" s="13">
        <f>((((VLOOKUP(B202,Database!$F:$AY,MATCH($S$1,Database!$F$1:$AY$1,),))))-(((VLOOKUP(EDATE(B202,-12),Database!$F:$AY,MATCH($S$1,Database!$F$1:$AY$1,),)))))/(((VLOOKUP(EDATE(B202,-12),Database!$F:$AY,MATCH($S$1,Database!$F$1:$AY$1,),))))</f>
        <v/>
      </c>
      <c r="T202" s="13">
        <f>((((VLOOKUP(B202,Database!$F:$AY,MATCH($T$1,Database!$F$1:$AY$1,),))))-(((VLOOKUP(EDATE(B202,-12),Database!$F:$AY,MATCH($T$1,Database!$F$1:$AY$1,),)))))/(((VLOOKUP(EDATE(B202,-12),Database!$F:$AY,MATCH($T$1,Database!$F$1:$AY$1,),))))</f>
        <v/>
      </c>
      <c r="U202" s="13">
        <f>((((VLOOKUP(B202,Database!$F:$AY,MATCH($U$1,Database!$F$1:$AY$1,),))))-(((VLOOKUP(EDATE(B202,-12),Database!$F:$AY,MATCH($U$1,Database!$F$1:$AY$1,),)))))/(((VLOOKUP(EDATE(B202,-12),Database!$F:$AY,MATCH($U$1,Database!$F$1:$AY$1,),))))</f>
        <v/>
      </c>
      <c r="V202" s="13">
        <f>((((VLOOKUP(B202,Database!$F:$AY,MATCH($V$1,Database!$F$1:$AY$1,),))))-(((VLOOKUP(EDATE(B202,-12),Database!$F:$AY,MATCH($V$1,Database!$F$1:$AY$1,),)))))/(((VLOOKUP(EDATE(B202,-12),Database!$F:$AY,MATCH($V$1,Database!$F$1:$AY$1,),))))</f>
        <v/>
      </c>
    </row>
    <row r="203" customFormat="1" s="100">
      <c r="A203" s="45" t="n"/>
      <c r="B203" s="46" t="n">
        <v>38322</v>
      </c>
      <c r="C203" s="13">
        <f>((((VLOOKUP(B203,Database!$F:$AY,MATCH($C$1,Database!$F$1:$AY$1,),))))-(((VLOOKUP(EDATE(B203,-12),Database!$F:$AY,MATCH($C$1,Database!$F$1:$AY$1,),)))))/(((VLOOKUP(EDATE(B203,-12),Database!$F:$AY,MATCH($C$1,Database!$F$1:$AY$1,),))))</f>
        <v/>
      </c>
      <c r="D203" s="13">
        <f>((((VLOOKUP(B203,Database!$F:$AY,MATCH($D$1,Database!$F$1:$AY$1,),))))-(((VLOOKUP(EDATE(B203,-12),Database!$F:$AY,MATCH($D$1,Database!$F$1:$AY$1,),)))))/(((VLOOKUP(EDATE(B203,-12),Database!$F:$AY,MATCH($D$1,Database!$F$1:$AY$1,),))))</f>
        <v/>
      </c>
      <c r="E203" s="13">
        <f>((((VLOOKUP(B203,Database!$F:$AY,MATCH($E$1,Database!$F$1:$AY$1,),))))-(((VLOOKUP(EDATE(B203,-12),Database!$F:$AY,MATCH($E$1,Database!$F$1:$AY$1,),)))))/(((VLOOKUP(EDATE(B203,-12),Database!$F:$AY,MATCH($E$1,Database!$F$1:$AY$1,),))))</f>
        <v/>
      </c>
      <c r="F203" s="13">
        <f>((((VLOOKUP(B203,Database!$F:$AY,MATCH($F$1,Database!$F$1:$AY$1,),))))-(((VLOOKUP(EDATE(B203,-12),Database!$F:$AY,MATCH($F$1,Database!$F$1:$AY$1,),)))))/(((VLOOKUP(EDATE(B203,-12),Database!$F:$AY,MATCH($F$1,Database!$F$1:$AY$1,),))))</f>
        <v/>
      </c>
      <c r="G203" s="13">
        <f>((((VLOOKUP(B203,Database!$F:$AY,MATCH($G$1,Database!$F$1:$AY$1,),))))-(((VLOOKUP(EDATE(B203,-12),Database!$F:$AY,MATCH($G$1,Database!$F$1:$AY$1,),)))))/(((VLOOKUP(EDATE(B203,-12),Database!$F:$AY,MATCH($G$1,Database!$F$1:$AY$1,),))))</f>
        <v/>
      </c>
      <c r="H203" s="13">
        <f>((((VLOOKUP(B203,Database!$F:$AY,MATCH($H$1,Database!$F$1:$AY$1,),))))-(((VLOOKUP(EDATE(B203,-12),Database!$F:$AY,MATCH($H$1,Database!$F$1:$AY$1,),)))))/(((VLOOKUP(EDATE(B203,-12),Database!$F:$AY,MATCH($H$1,Database!$F$1:$AY$1,),))))</f>
        <v/>
      </c>
      <c r="I203" s="13">
        <f>((((VLOOKUP(B203,Database!$F:$AY,MATCH($I$1,Database!$F$1:$AY$1,),))))-(((VLOOKUP(EDATE(B203,-12),Database!$F:$AY,MATCH($I$1,Database!$F$1:$AY$1,),)))))/(((VLOOKUP(EDATE(B203,-12),Database!$F:$AY,MATCH($I$1,Database!$F$1:$AY$1,),))))</f>
        <v/>
      </c>
      <c r="J203" s="13">
        <f>((((VLOOKUP(B203,Database!$F:$AY,MATCH($J$1,Database!$F$1:$AY$1,),))))-(((VLOOKUP(EDATE(B203,-12),Database!$F:$AY,MATCH($J$1,Database!$F$1:$AY$1,),)))))/(((VLOOKUP(EDATE(B203,-12),Database!$F:$AY,MATCH($J$1,Database!$F$1:$AY$1,),))))</f>
        <v/>
      </c>
      <c r="K203" s="13">
        <f>((((VLOOKUP(B203,Database!$F:$AY,MATCH($K$1,Database!$F$1:$AY$1,),))))-(((VLOOKUP(EDATE(B203,-12),Database!$F:$AY,MATCH($K$1,Database!$F$1:$AY$1,),)))))/(((VLOOKUP(EDATE(B203,-12),Database!$F:$AY,MATCH($K$1,Database!$F$1:$AY$1,),))))</f>
        <v/>
      </c>
      <c r="L203" s="13">
        <f>((((VLOOKUP(B203,Database!$F:$AY,MATCH($L$1,Database!$F$1:$AY$1,),))))-(((VLOOKUP(EDATE(B203,-12),Database!$F:$AY,MATCH($L$1,Database!$F$1:$AY$1,),)))))/(((VLOOKUP(EDATE(B203,-12),Database!$F:$AY,MATCH($L$1,Database!$F$1:$AY$1,),))))</f>
        <v/>
      </c>
      <c r="M203" s="13">
        <f>((((VLOOKUP(B203,Database!$F:$AY,MATCH($M$1,Database!$F$1:$AY$1,),))))-(((VLOOKUP(EDATE(B203,-12),Database!$F:$AY,MATCH($M$1,Database!$F$1:$AY$1,),)))))/(((VLOOKUP(EDATE(B203,-12),Database!$F:$AY,MATCH($M$1,Database!$F$1:$AY$1,),))))</f>
        <v/>
      </c>
      <c r="N203" s="13">
        <f>((((VLOOKUP(B203,Database!$F:$AY,MATCH($N$1,Database!$F$1:$AY$1,),))))-(((VLOOKUP(EDATE(B203,-12),Database!$F:$AY,MATCH($N$1,Database!$F$1:$AY$1,),)))))/(((VLOOKUP(EDATE(B203,-12),Database!$F:$AY,MATCH($N$1,Database!$F$1:$AY$1,),))))</f>
        <v/>
      </c>
      <c r="O203" s="13">
        <f>((((VLOOKUP(B203,Database!$F:$AY,MATCH($O$1,Database!$F$1:$AY$1,),))))-(((VLOOKUP(EDATE(B203,-12),Database!$F:$AY,MATCH($O$1,Database!$F$1:$AY$1,),)))))/(((VLOOKUP(EDATE(B203,-12),Database!$F:$AY,MATCH($O$1,Database!$F$1:$AY$1,),))))</f>
        <v/>
      </c>
      <c r="P203" s="13">
        <f>((((VLOOKUP(B203,Database!$F:$AY,MATCH($P$1,Database!$F$1:$AY$1,),))))-(((VLOOKUP(EDATE(B203,-12),Database!$F:$AY,MATCH($P$1,Database!$F$1:$AY$1,),)))))/(((VLOOKUP(EDATE(B203,-12),Database!$F:$AY,MATCH($P$1,Database!$F$1:$AY$1,),))))</f>
        <v/>
      </c>
      <c r="Q203" s="13">
        <f>((((VLOOKUP(B203,Database!$F:$AY,MATCH($Q$1,Database!$F$1:$AY$1,),))))-(((VLOOKUP(EDATE(B203,-12),Database!$F:$AY,MATCH($Q$1,Database!$F$1:$AY$1,),)))))/(((VLOOKUP(EDATE(B203,-12),Database!$F:$AY,MATCH($Q$1,Database!$F$1:$AY$1,),))))</f>
        <v/>
      </c>
      <c r="R203" s="13">
        <f>((((VLOOKUP(B203,Database!$F:$AY,MATCH($R$1,Database!$F$1:$AY$1,),))))-(((VLOOKUP(EDATE(B203,-12),Database!$F:$AY,MATCH($R$1,Database!$F$1:$AY$1,),)))))/(((VLOOKUP(EDATE(B203,-12),Database!$F:$AY,MATCH($R$1,Database!$F$1:$AY$1,),))))</f>
        <v/>
      </c>
      <c r="S203" s="13">
        <f>((((VLOOKUP(B203,Database!$F:$AY,MATCH($S$1,Database!$F$1:$AY$1,),))))-(((VLOOKUP(EDATE(B203,-12),Database!$F:$AY,MATCH($S$1,Database!$F$1:$AY$1,),)))))/(((VLOOKUP(EDATE(B203,-12),Database!$F:$AY,MATCH($S$1,Database!$F$1:$AY$1,),))))</f>
        <v/>
      </c>
      <c r="T203" s="13">
        <f>((((VLOOKUP(B203,Database!$F:$AY,MATCH($T$1,Database!$F$1:$AY$1,),))))-(((VLOOKUP(EDATE(B203,-12),Database!$F:$AY,MATCH($T$1,Database!$F$1:$AY$1,),)))))/(((VLOOKUP(EDATE(B203,-12),Database!$F:$AY,MATCH($T$1,Database!$F$1:$AY$1,),))))</f>
        <v/>
      </c>
      <c r="U203" s="13">
        <f>((((VLOOKUP(B203,Database!$F:$AY,MATCH($U$1,Database!$F$1:$AY$1,),))))-(((VLOOKUP(EDATE(B203,-12),Database!$F:$AY,MATCH($U$1,Database!$F$1:$AY$1,),)))))/(((VLOOKUP(EDATE(B203,-12),Database!$F:$AY,MATCH($U$1,Database!$F$1:$AY$1,),))))</f>
        <v/>
      </c>
      <c r="V203" s="13">
        <f>((((VLOOKUP(B203,Database!$F:$AY,MATCH($V$1,Database!$F$1:$AY$1,),))))-(((VLOOKUP(EDATE(B203,-12),Database!$F:$AY,MATCH($V$1,Database!$F$1:$AY$1,),)))))/(((VLOOKUP(EDATE(B203,-12),Database!$F:$AY,MATCH($V$1,Database!$F$1:$AY$1,),))))</f>
        <v/>
      </c>
    </row>
    <row r="204" customFormat="1" s="100">
      <c r="A204" s="45" t="n"/>
      <c r="B204" s="46" t="n">
        <v>38353</v>
      </c>
      <c r="C204" s="13">
        <f>((((VLOOKUP(B204,Database!$F:$AY,MATCH($C$1,Database!$F$1:$AY$1,),))))-(((VLOOKUP(EDATE(B204,-12),Database!$F:$AY,MATCH($C$1,Database!$F$1:$AY$1,),)))))/(((VLOOKUP(EDATE(B204,-12),Database!$F:$AY,MATCH($C$1,Database!$F$1:$AY$1,),))))</f>
        <v/>
      </c>
      <c r="D204" s="13">
        <f>((((VLOOKUP(B204,Database!$F:$AY,MATCH($D$1,Database!$F$1:$AY$1,),))))-(((VLOOKUP(EDATE(B204,-12),Database!$F:$AY,MATCH($D$1,Database!$F$1:$AY$1,),)))))/(((VLOOKUP(EDATE(B204,-12),Database!$F:$AY,MATCH($D$1,Database!$F$1:$AY$1,),))))</f>
        <v/>
      </c>
      <c r="E204" s="13">
        <f>((((VLOOKUP(B204,Database!$F:$AY,MATCH($E$1,Database!$F$1:$AY$1,),))))-(((VLOOKUP(EDATE(B204,-12),Database!$F:$AY,MATCH($E$1,Database!$F$1:$AY$1,),)))))/(((VLOOKUP(EDATE(B204,-12),Database!$F:$AY,MATCH($E$1,Database!$F$1:$AY$1,),))))</f>
        <v/>
      </c>
      <c r="F204" s="13">
        <f>((((VLOOKUP(B204,Database!$F:$AY,MATCH($F$1,Database!$F$1:$AY$1,),))))-(((VLOOKUP(EDATE(B204,-12),Database!$F:$AY,MATCH($F$1,Database!$F$1:$AY$1,),)))))/(((VLOOKUP(EDATE(B204,-12),Database!$F:$AY,MATCH($F$1,Database!$F$1:$AY$1,),))))</f>
        <v/>
      </c>
      <c r="G204" s="13">
        <f>((((VLOOKUP(B204,Database!$F:$AY,MATCH($G$1,Database!$F$1:$AY$1,),))))-(((VLOOKUP(EDATE(B204,-12),Database!$F:$AY,MATCH($G$1,Database!$F$1:$AY$1,),)))))/(((VLOOKUP(EDATE(B204,-12),Database!$F:$AY,MATCH($G$1,Database!$F$1:$AY$1,),))))</f>
        <v/>
      </c>
      <c r="H204" s="13">
        <f>((((VLOOKUP(B204,Database!$F:$AY,MATCH($H$1,Database!$F$1:$AY$1,),))))-(((VLOOKUP(EDATE(B204,-12),Database!$F:$AY,MATCH($H$1,Database!$F$1:$AY$1,),)))))/(((VLOOKUP(EDATE(B204,-12),Database!$F:$AY,MATCH($H$1,Database!$F$1:$AY$1,),))))</f>
        <v/>
      </c>
      <c r="I204" s="13">
        <f>((((VLOOKUP(B204,Database!$F:$AY,MATCH($I$1,Database!$F$1:$AY$1,),))))-(((VLOOKUP(EDATE(B204,-12),Database!$F:$AY,MATCH($I$1,Database!$F$1:$AY$1,),)))))/(((VLOOKUP(EDATE(B204,-12),Database!$F:$AY,MATCH($I$1,Database!$F$1:$AY$1,),))))</f>
        <v/>
      </c>
      <c r="J204" s="13">
        <f>((((VLOOKUP(B204,Database!$F:$AY,MATCH($J$1,Database!$F$1:$AY$1,),))))-(((VLOOKUP(EDATE(B204,-12),Database!$F:$AY,MATCH($J$1,Database!$F$1:$AY$1,),)))))/(((VLOOKUP(EDATE(B204,-12),Database!$F:$AY,MATCH($J$1,Database!$F$1:$AY$1,),))))</f>
        <v/>
      </c>
      <c r="K204" s="13">
        <f>((((VLOOKUP(B204,Database!$F:$AY,MATCH($K$1,Database!$F$1:$AY$1,),))))-(((VLOOKUP(EDATE(B204,-12),Database!$F:$AY,MATCH($K$1,Database!$F$1:$AY$1,),)))))/(((VLOOKUP(EDATE(B204,-12),Database!$F:$AY,MATCH($K$1,Database!$F$1:$AY$1,),))))</f>
        <v/>
      </c>
      <c r="L204" s="13">
        <f>((((VLOOKUP(B204,Database!$F:$AY,MATCH($L$1,Database!$F$1:$AY$1,),))))-(((VLOOKUP(EDATE(B204,-12),Database!$F:$AY,MATCH($L$1,Database!$F$1:$AY$1,),)))))/(((VLOOKUP(EDATE(B204,-12),Database!$F:$AY,MATCH($L$1,Database!$F$1:$AY$1,),))))</f>
        <v/>
      </c>
      <c r="M204" s="13">
        <f>((((VLOOKUP(B204,Database!$F:$AY,MATCH($M$1,Database!$F$1:$AY$1,),))))-(((VLOOKUP(EDATE(B204,-12),Database!$F:$AY,MATCH($M$1,Database!$F$1:$AY$1,),)))))/(((VLOOKUP(EDATE(B204,-12),Database!$F:$AY,MATCH($M$1,Database!$F$1:$AY$1,),))))</f>
        <v/>
      </c>
      <c r="N204" s="13">
        <f>((((VLOOKUP(B204,Database!$F:$AY,MATCH($N$1,Database!$F$1:$AY$1,),))))-(((VLOOKUP(EDATE(B204,-12),Database!$F:$AY,MATCH($N$1,Database!$F$1:$AY$1,),)))))/(((VLOOKUP(EDATE(B204,-12),Database!$F:$AY,MATCH($N$1,Database!$F$1:$AY$1,),))))</f>
        <v/>
      </c>
      <c r="O204" s="13">
        <f>((((VLOOKUP(B204,Database!$F:$AY,MATCH($O$1,Database!$F$1:$AY$1,),))))-(((VLOOKUP(EDATE(B204,-12),Database!$F:$AY,MATCH($O$1,Database!$F$1:$AY$1,),)))))/(((VLOOKUP(EDATE(B204,-12),Database!$F:$AY,MATCH($O$1,Database!$F$1:$AY$1,),))))</f>
        <v/>
      </c>
      <c r="P204" s="13">
        <f>((((VLOOKUP(B204,Database!$F:$AY,MATCH($P$1,Database!$F$1:$AY$1,),))))-(((VLOOKUP(EDATE(B204,-12),Database!$F:$AY,MATCH($P$1,Database!$F$1:$AY$1,),)))))/(((VLOOKUP(EDATE(B204,-12),Database!$F:$AY,MATCH($P$1,Database!$F$1:$AY$1,),))))</f>
        <v/>
      </c>
      <c r="Q204" s="13">
        <f>((((VLOOKUP(B204,Database!$F:$AY,MATCH($Q$1,Database!$F$1:$AY$1,),))))-(((VLOOKUP(EDATE(B204,-12),Database!$F:$AY,MATCH($Q$1,Database!$F$1:$AY$1,),)))))/(((VLOOKUP(EDATE(B204,-12),Database!$F:$AY,MATCH($Q$1,Database!$F$1:$AY$1,),))))</f>
        <v/>
      </c>
      <c r="R204" s="13">
        <f>((((VLOOKUP(B204,Database!$F:$AY,MATCH($R$1,Database!$F$1:$AY$1,),))))-(((VLOOKUP(EDATE(B204,-12),Database!$F:$AY,MATCH($R$1,Database!$F$1:$AY$1,),)))))/(((VLOOKUP(EDATE(B204,-12),Database!$F:$AY,MATCH($R$1,Database!$F$1:$AY$1,),))))</f>
        <v/>
      </c>
      <c r="S204" s="13">
        <f>((((VLOOKUP(B204,Database!$F:$AY,MATCH($S$1,Database!$F$1:$AY$1,),))))-(((VLOOKUP(EDATE(B204,-12),Database!$F:$AY,MATCH($S$1,Database!$F$1:$AY$1,),)))))/(((VLOOKUP(EDATE(B204,-12),Database!$F:$AY,MATCH($S$1,Database!$F$1:$AY$1,),))))</f>
        <v/>
      </c>
      <c r="T204" s="13">
        <f>((((VLOOKUP(B204,Database!$F:$AY,MATCH($T$1,Database!$F$1:$AY$1,),))))-(((VLOOKUP(EDATE(B204,-12),Database!$F:$AY,MATCH($T$1,Database!$F$1:$AY$1,),)))))/(((VLOOKUP(EDATE(B204,-12),Database!$F:$AY,MATCH($T$1,Database!$F$1:$AY$1,),))))</f>
        <v/>
      </c>
      <c r="U204" s="13">
        <f>((((VLOOKUP(B204,Database!$F:$AY,MATCH($U$1,Database!$F$1:$AY$1,),))))-(((VLOOKUP(EDATE(B204,-12),Database!$F:$AY,MATCH($U$1,Database!$F$1:$AY$1,),)))))/(((VLOOKUP(EDATE(B204,-12),Database!$F:$AY,MATCH($U$1,Database!$F$1:$AY$1,),))))</f>
        <v/>
      </c>
      <c r="V204" s="13">
        <f>((((VLOOKUP(B204,Database!$F:$AY,MATCH($V$1,Database!$F$1:$AY$1,),))))-(((VLOOKUP(EDATE(B204,-12),Database!$F:$AY,MATCH($V$1,Database!$F$1:$AY$1,),)))))/(((VLOOKUP(EDATE(B204,-12),Database!$F:$AY,MATCH($V$1,Database!$F$1:$AY$1,),))))</f>
        <v/>
      </c>
    </row>
    <row r="205" customFormat="1" s="100">
      <c r="A205" s="45" t="n"/>
      <c r="B205" s="46" t="n">
        <v>38384</v>
      </c>
      <c r="C205" s="13">
        <f>((((VLOOKUP(B205,Database!$F:$AY,MATCH($C$1,Database!$F$1:$AY$1,),))))-(((VLOOKUP(EDATE(B205,-12),Database!$F:$AY,MATCH($C$1,Database!$F$1:$AY$1,),)))))/(((VLOOKUP(EDATE(B205,-12),Database!$F:$AY,MATCH($C$1,Database!$F$1:$AY$1,),))))</f>
        <v/>
      </c>
      <c r="D205" s="13">
        <f>((((VLOOKUP(B205,Database!$F:$AY,MATCH($D$1,Database!$F$1:$AY$1,),))))-(((VLOOKUP(EDATE(B205,-12),Database!$F:$AY,MATCH($D$1,Database!$F$1:$AY$1,),)))))/(((VLOOKUP(EDATE(B205,-12),Database!$F:$AY,MATCH($D$1,Database!$F$1:$AY$1,),))))</f>
        <v/>
      </c>
      <c r="E205" s="13">
        <f>((((VLOOKUP(B205,Database!$F:$AY,MATCH($E$1,Database!$F$1:$AY$1,),))))-(((VLOOKUP(EDATE(B205,-12),Database!$F:$AY,MATCH($E$1,Database!$F$1:$AY$1,),)))))/(((VLOOKUP(EDATE(B205,-12),Database!$F:$AY,MATCH($E$1,Database!$F$1:$AY$1,),))))</f>
        <v/>
      </c>
      <c r="F205" s="13">
        <f>((((VLOOKUP(B205,Database!$F:$AY,MATCH($F$1,Database!$F$1:$AY$1,),))))-(((VLOOKUP(EDATE(B205,-12),Database!$F:$AY,MATCH($F$1,Database!$F$1:$AY$1,),)))))/(((VLOOKUP(EDATE(B205,-12),Database!$F:$AY,MATCH($F$1,Database!$F$1:$AY$1,),))))</f>
        <v/>
      </c>
      <c r="G205" s="13">
        <f>((((VLOOKUP(B205,Database!$F:$AY,MATCH($G$1,Database!$F$1:$AY$1,),))))-(((VLOOKUP(EDATE(B205,-12),Database!$F:$AY,MATCH($G$1,Database!$F$1:$AY$1,),)))))/(((VLOOKUP(EDATE(B205,-12),Database!$F:$AY,MATCH($G$1,Database!$F$1:$AY$1,),))))</f>
        <v/>
      </c>
      <c r="H205" s="13">
        <f>((((VLOOKUP(B205,Database!$F:$AY,MATCH($H$1,Database!$F$1:$AY$1,),))))-(((VLOOKUP(EDATE(B205,-12),Database!$F:$AY,MATCH($H$1,Database!$F$1:$AY$1,),)))))/(((VLOOKUP(EDATE(B205,-12),Database!$F:$AY,MATCH($H$1,Database!$F$1:$AY$1,),))))</f>
        <v/>
      </c>
      <c r="I205" s="13">
        <f>((((VLOOKUP(B205,Database!$F:$AY,MATCH($I$1,Database!$F$1:$AY$1,),))))-(((VLOOKUP(EDATE(B205,-12),Database!$F:$AY,MATCH($I$1,Database!$F$1:$AY$1,),)))))/(((VLOOKUP(EDATE(B205,-12),Database!$F:$AY,MATCH($I$1,Database!$F$1:$AY$1,),))))</f>
        <v/>
      </c>
      <c r="J205" s="13">
        <f>((((VLOOKUP(B205,Database!$F:$AY,MATCH($J$1,Database!$F$1:$AY$1,),))))-(((VLOOKUP(EDATE(B205,-12),Database!$F:$AY,MATCH($J$1,Database!$F$1:$AY$1,),)))))/(((VLOOKUP(EDATE(B205,-12),Database!$F:$AY,MATCH($J$1,Database!$F$1:$AY$1,),))))</f>
        <v/>
      </c>
      <c r="K205" s="13">
        <f>((((VLOOKUP(B205,Database!$F:$AY,MATCH($K$1,Database!$F$1:$AY$1,),))))-(((VLOOKUP(EDATE(B205,-12),Database!$F:$AY,MATCH($K$1,Database!$F$1:$AY$1,),)))))/(((VLOOKUP(EDATE(B205,-12),Database!$F:$AY,MATCH($K$1,Database!$F$1:$AY$1,),))))</f>
        <v/>
      </c>
      <c r="L205" s="13">
        <f>((((VLOOKUP(B205,Database!$F:$AY,MATCH($L$1,Database!$F$1:$AY$1,),))))-(((VLOOKUP(EDATE(B205,-12),Database!$F:$AY,MATCH($L$1,Database!$F$1:$AY$1,),)))))/(((VLOOKUP(EDATE(B205,-12),Database!$F:$AY,MATCH($L$1,Database!$F$1:$AY$1,),))))</f>
        <v/>
      </c>
      <c r="M205" s="13">
        <f>((((VLOOKUP(B205,Database!$F:$AY,MATCH($M$1,Database!$F$1:$AY$1,),))))-(((VLOOKUP(EDATE(B205,-12),Database!$F:$AY,MATCH($M$1,Database!$F$1:$AY$1,),)))))/(((VLOOKUP(EDATE(B205,-12),Database!$F:$AY,MATCH($M$1,Database!$F$1:$AY$1,),))))</f>
        <v/>
      </c>
      <c r="N205" s="13">
        <f>((((VLOOKUP(B205,Database!$F:$AY,MATCH($N$1,Database!$F$1:$AY$1,),))))-(((VLOOKUP(EDATE(B205,-12),Database!$F:$AY,MATCH($N$1,Database!$F$1:$AY$1,),)))))/(((VLOOKUP(EDATE(B205,-12),Database!$F:$AY,MATCH($N$1,Database!$F$1:$AY$1,),))))</f>
        <v/>
      </c>
      <c r="O205" s="13">
        <f>((((VLOOKUP(B205,Database!$F:$AY,MATCH($O$1,Database!$F$1:$AY$1,),))))-(((VLOOKUP(EDATE(B205,-12),Database!$F:$AY,MATCH($O$1,Database!$F$1:$AY$1,),)))))/(((VLOOKUP(EDATE(B205,-12),Database!$F:$AY,MATCH($O$1,Database!$F$1:$AY$1,),))))</f>
        <v/>
      </c>
      <c r="P205" s="13">
        <f>((((VLOOKUP(B205,Database!$F:$AY,MATCH($P$1,Database!$F$1:$AY$1,),))))-(((VLOOKUP(EDATE(B205,-12),Database!$F:$AY,MATCH($P$1,Database!$F$1:$AY$1,),)))))/(((VLOOKUP(EDATE(B205,-12),Database!$F:$AY,MATCH($P$1,Database!$F$1:$AY$1,),))))</f>
        <v/>
      </c>
      <c r="Q205" s="13">
        <f>((((VLOOKUP(B205,Database!$F:$AY,MATCH($Q$1,Database!$F$1:$AY$1,),))))-(((VLOOKUP(EDATE(B205,-12),Database!$F:$AY,MATCH($Q$1,Database!$F$1:$AY$1,),)))))/(((VLOOKUP(EDATE(B205,-12),Database!$F:$AY,MATCH($Q$1,Database!$F$1:$AY$1,),))))</f>
        <v/>
      </c>
      <c r="R205" s="13">
        <f>((((VLOOKUP(B205,Database!$F:$AY,MATCH($R$1,Database!$F$1:$AY$1,),))))-(((VLOOKUP(EDATE(B205,-12),Database!$F:$AY,MATCH($R$1,Database!$F$1:$AY$1,),)))))/(((VLOOKUP(EDATE(B205,-12),Database!$F:$AY,MATCH($R$1,Database!$F$1:$AY$1,),))))</f>
        <v/>
      </c>
      <c r="S205" s="13">
        <f>((((VLOOKUP(B205,Database!$F:$AY,MATCH($S$1,Database!$F$1:$AY$1,),))))-(((VLOOKUP(EDATE(B205,-12),Database!$F:$AY,MATCH($S$1,Database!$F$1:$AY$1,),)))))/(((VLOOKUP(EDATE(B205,-12),Database!$F:$AY,MATCH($S$1,Database!$F$1:$AY$1,),))))</f>
        <v/>
      </c>
      <c r="T205" s="13">
        <f>((((VLOOKUP(B205,Database!$F:$AY,MATCH($T$1,Database!$F$1:$AY$1,),))))-(((VLOOKUP(EDATE(B205,-12),Database!$F:$AY,MATCH($T$1,Database!$F$1:$AY$1,),)))))/(((VLOOKUP(EDATE(B205,-12),Database!$F:$AY,MATCH($T$1,Database!$F$1:$AY$1,),))))</f>
        <v/>
      </c>
      <c r="U205" s="13">
        <f>((((VLOOKUP(B205,Database!$F:$AY,MATCH($U$1,Database!$F$1:$AY$1,),))))-(((VLOOKUP(EDATE(B205,-12),Database!$F:$AY,MATCH($U$1,Database!$F$1:$AY$1,),)))))/(((VLOOKUP(EDATE(B205,-12),Database!$F:$AY,MATCH($U$1,Database!$F$1:$AY$1,),))))</f>
        <v/>
      </c>
      <c r="V205" s="13">
        <f>((((VLOOKUP(B205,Database!$F:$AY,MATCH($V$1,Database!$F$1:$AY$1,),))))-(((VLOOKUP(EDATE(B205,-12),Database!$F:$AY,MATCH($V$1,Database!$F$1:$AY$1,),)))))/(((VLOOKUP(EDATE(B205,-12),Database!$F:$AY,MATCH($V$1,Database!$F$1:$AY$1,),))))</f>
        <v/>
      </c>
    </row>
    <row r="206" customFormat="1" s="100">
      <c r="A206" s="45" t="n"/>
      <c r="B206" s="46" t="n">
        <v>38412</v>
      </c>
      <c r="C206" s="13">
        <f>((((VLOOKUP(B206,Database!$F:$AY,MATCH($C$1,Database!$F$1:$AY$1,),))))-(((VLOOKUP(EDATE(B206,-12),Database!$F:$AY,MATCH($C$1,Database!$F$1:$AY$1,),)))))/(((VLOOKUP(EDATE(B206,-12),Database!$F:$AY,MATCH($C$1,Database!$F$1:$AY$1,),))))</f>
        <v/>
      </c>
      <c r="D206" s="13">
        <f>((((VLOOKUP(B206,Database!$F:$AY,MATCH($D$1,Database!$F$1:$AY$1,),))))-(((VLOOKUP(EDATE(B206,-12),Database!$F:$AY,MATCH($D$1,Database!$F$1:$AY$1,),)))))/(((VLOOKUP(EDATE(B206,-12),Database!$F:$AY,MATCH($D$1,Database!$F$1:$AY$1,),))))</f>
        <v/>
      </c>
      <c r="E206" s="13">
        <f>((((VLOOKUP(B206,Database!$F:$AY,MATCH($E$1,Database!$F$1:$AY$1,),))))-(((VLOOKUP(EDATE(B206,-12),Database!$F:$AY,MATCH($E$1,Database!$F$1:$AY$1,),)))))/(((VLOOKUP(EDATE(B206,-12),Database!$F:$AY,MATCH($E$1,Database!$F$1:$AY$1,),))))</f>
        <v/>
      </c>
      <c r="F206" s="13">
        <f>((((VLOOKUP(B206,Database!$F:$AY,MATCH($F$1,Database!$F$1:$AY$1,),))))-(((VLOOKUP(EDATE(B206,-12),Database!$F:$AY,MATCH($F$1,Database!$F$1:$AY$1,),)))))/(((VLOOKUP(EDATE(B206,-12),Database!$F:$AY,MATCH($F$1,Database!$F$1:$AY$1,),))))</f>
        <v/>
      </c>
      <c r="G206" s="13">
        <f>((((VLOOKUP(B206,Database!$F:$AY,MATCH($G$1,Database!$F$1:$AY$1,),))))-(((VLOOKUP(EDATE(B206,-12),Database!$F:$AY,MATCH($G$1,Database!$F$1:$AY$1,),)))))/(((VLOOKUP(EDATE(B206,-12),Database!$F:$AY,MATCH($G$1,Database!$F$1:$AY$1,),))))</f>
        <v/>
      </c>
      <c r="H206" s="13">
        <f>((((VLOOKUP(B206,Database!$F:$AY,MATCH($H$1,Database!$F$1:$AY$1,),))))-(((VLOOKUP(EDATE(B206,-12),Database!$F:$AY,MATCH($H$1,Database!$F$1:$AY$1,),)))))/(((VLOOKUP(EDATE(B206,-12),Database!$F:$AY,MATCH($H$1,Database!$F$1:$AY$1,),))))</f>
        <v/>
      </c>
      <c r="I206" s="13">
        <f>((((VLOOKUP(B206,Database!$F:$AY,MATCH($I$1,Database!$F$1:$AY$1,),))))-(((VLOOKUP(EDATE(B206,-12),Database!$F:$AY,MATCH($I$1,Database!$F$1:$AY$1,),)))))/(((VLOOKUP(EDATE(B206,-12),Database!$F:$AY,MATCH($I$1,Database!$F$1:$AY$1,),))))</f>
        <v/>
      </c>
      <c r="J206" s="13">
        <f>((((VLOOKUP(B206,Database!$F:$AY,MATCH($J$1,Database!$F$1:$AY$1,),))))-(((VLOOKUP(EDATE(B206,-12),Database!$F:$AY,MATCH($J$1,Database!$F$1:$AY$1,),)))))/(((VLOOKUP(EDATE(B206,-12),Database!$F:$AY,MATCH($J$1,Database!$F$1:$AY$1,),))))</f>
        <v/>
      </c>
      <c r="K206" s="13">
        <f>((((VLOOKUP(B206,Database!$F:$AY,MATCH($K$1,Database!$F$1:$AY$1,),))))-(((VLOOKUP(EDATE(B206,-12),Database!$F:$AY,MATCH($K$1,Database!$F$1:$AY$1,),)))))/(((VLOOKUP(EDATE(B206,-12),Database!$F:$AY,MATCH($K$1,Database!$F$1:$AY$1,),))))</f>
        <v/>
      </c>
      <c r="L206" s="13">
        <f>((((VLOOKUP(B206,Database!$F:$AY,MATCH($L$1,Database!$F$1:$AY$1,),))))-(((VLOOKUP(EDATE(B206,-12),Database!$F:$AY,MATCH($L$1,Database!$F$1:$AY$1,),)))))/(((VLOOKUP(EDATE(B206,-12),Database!$F:$AY,MATCH($L$1,Database!$F$1:$AY$1,),))))</f>
        <v/>
      </c>
      <c r="M206" s="13">
        <f>((((VLOOKUP(B206,Database!$F:$AY,MATCH($M$1,Database!$F$1:$AY$1,),))))-(((VLOOKUP(EDATE(B206,-12),Database!$F:$AY,MATCH($M$1,Database!$F$1:$AY$1,),)))))/(((VLOOKUP(EDATE(B206,-12),Database!$F:$AY,MATCH($M$1,Database!$F$1:$AY$1,),))))</f>
        <v/>
      </c>
      <c r="N206" s="13">
        <f>((((VLOOKUP(B206,Database!$F:$AY,MATCH($N$1,Database!$F$1:$AY$1,),))))-(((VLOOKUP(EDATE(B206,-12),Database!$F:$AY,MATCH($N$1,Database!$F$1:$AY$1,),)))))/(((VLOOKUP(EDATE(B206,-12),Database!$F:$AY,MATCH($N$1,Database!$F$1:$AY$1,),))))</f>
        <v/>
      </c>
      <c r="O206" s="13">
        <f>((((VLOOKUP(B206,Database!$F:$AY,MATCH($O$1,Database!$F$1:$AY$1,),))))-(((VLOOKUP(EDATE(B206,-12),Database!$F:$AY,MATCH($O$1,Database!$F$1:$AY$1,),)))))/(((VLOOKUP(EDATE(B206,-12),Database!$F:$AY,MATCH($O$1,Database!$F$1:$AY$1,),))))</f>
        <v/>
      </c>
      <c r="P206" s="13">
        <f>((((VLOOKUP(B206,Database!$F:$AY,MATCH($P$1,Database!$F$1:$AY$1,),))))-(((VLOOKUP(EDATE(B206,-12),Database!$F:$AY,MATCH($P$1,Database!$F$1:$AY$1,),)))))/(((VLOOKUP(EDATE(B206,-12),Database!$F:$AY,MATCH($P$1,Database!$F$1:$AY$1,),))))</f>
        <v/>
      </c>
      <c r="Q206" s="13">
        <f>((((VLOOKUP(B206,Database!$F:$AY,MATCH($Q$1,Database!$F$1:$AY$1,),))))-(((VLOOKUP(EDATE(B206,-12),Database!$F:$AY,MATCH($Q$1,Database!$F$1:$AY$1,),)))))/(((VLOOKUP(EDATE(B206,-12),Database!$F:$AY,MATCH($Q$1,Database!$F$1:$AY$1,),))))</f>
        <v/>
      </c>
      <c r="R206" s="13">
        <f>((((VLOOKUP(B206,Database!$F:$AY,MATCH($R$1,Database!$F$1:$AY$1,),))))-(((VLOOKUP(EDATE(B206,-12),Database!$F:$AY,MATCH($R$1,Database!$F$1:$AY$1,),)))))/(((VLOOKUP(EDATE(B206,-12),Database!$F:$AY,MATCH($R$1,Database!$F$1:$AY$1,),))))</f>
        <v/>
      </c>
      <c r="S206" s="13">
        <f>((((VLOOKUP(B206,Database!$F:$AY,MATCH($S$1,Database!$F$1:$AY$1,),))))-(((VLOOKUP(EDATE(B206,-12),Database!$F:$AY,MATCH($S$1,Database!$F$1:$AY$1,),)))))/(((VLOOKUP(EDATE(B206,-12),Database!$F:$AY,MATCH($S$1,Database!$F$1:$AY$1,),))))</f>
        <v/>
      </c>
      <c r="T206" s="13">
        <f>((((VLOOKUP(B206,Database!$F:$AY,MATCH($T$1,Database!$F$1:$AY$1,),))))-(((VLOOKUP(EDATE(B206,-12),Database!$F:$AY,MATCH($T$1,Database!$F$1:$AY$1,),)))))/(((VLOOKUP(EDATE(B206,-12),Database!$F:$AY,MATCH($T$1,Database!$F$1:$AY$1,),))))</f>
        <v/>
      </c>
      <c r="U206" s="13">
        <f>((((VLOOKUP(B206,Database!$F:$AY,MATCH($U$1,Database!$F$1:$AY$1,),))))-(((VLOOKUP(EDATE(B206,-12),Database!$F:$AY,MATCH($U$1,Database!$F$1:$AY$1,),)))))/(((VLOOKUP(EDATE(B206,-12),Database!$F:$AY,MATCH($U$1,Database!$F$1:$AY$1,),))))</f>
        <v/>
      </c>
      <c r="V206" s="13">
        <f>((((VLOOKUP(B206,Database!$F:$AY,MATCH($V$1,Database!$F$1:$AY$1,),))))-(((VLOOKUP(EDATE(B206,-12),Database!$F:$AY,MATCH($V$1,Database!$F$1:$AY$1,),)))))/(((VLOOKUP(EDATE(B206,-12),Database!$F:$AY,MATCH($V$1,Database!$F$1:$AY$1,),))))</f>
        <v/>
      </c>
    </row>
    <row r="207" customFormat="1" s="100">
      <c r="A207" s="45" t="n"/>
      <c r="B207" s="46" t="n">
        <v>38443</v>
      </c>
      <c r="C207" s="13">
        <f>((((VLOOKUP(B207,Database!$F:$AY,MATCH($C$1,Database!$F$1:$AY$1,),))))-(((VLOOKUP(EDATE(B207,-12),Database!$F:$AY,MATCH($C$1,Database!$F$1:$AY$1,),)))))/(((VLOOKUP(EDATE(B207,-12),Database!$F:$AY,MATCH($C$1,Database!$F$1:$AY$1,),))))</f>
        <v/>
      </c>
      <c r="D207" s="13">
        <f>((((VLOOKUP(B207,Database!$F:$AY,MATCH($D$1,Database!$F$1:$AY$1,),))))-(((VLOOKUP(EDATE(B207,-12),Database!$F:$AY,MATCH($D$1,Database!$F$1:$AY$1,),)))))/(((VLOOKUP(EDATE(B207,-12),Database!$F:$AY,MATCH($D$1,Database!$F$1:$AY$1,),))))</f>
        <v/>
      </c>
      <c r="E207" s="13">
        <f>((((VLOOKUP(B207,Database!$F:$AY,MATCH($E$1,Database!$F$1:$AY$1,),))))-(((VLOOKUP(EDATE(B207,-12),Database!$F:$AY,MATCH($E$1,Database!$F$1:$AY$1,),)))))/(((VLOOKUP(EDATE(B207,-12),Database!$F:$AY,MATCH($E$1,Database!$F$1:$AY$1,),))))</f>
        <v/>
      </c>
      <c r="F207" s="13">
        <f>((((VLOOKUP(B207,Database!$F:$AY,MATCH($F$1,Database!$F$1:$AY$1,),))))-(((VLOOKUP(EDATE(B207,-12),Database!$F:$AY,MATCH($F$1,Database!$F$1:$AY$1,),)))))/(((VLOOKUP(EDATE(B207,-12),Database!$F:$AY,MATCH($F$1,Database!$F$1:$AY$1,),))))</f>
        <v/>
      </c>
      <c r="G207" s="13">
        <f>((((VLOOKUP(B207,Database!$F:$AY,MATCH($G$1,Database!$F$1:$AY$1,),))))-(((VLOOKUP(EDATE(B207,-12),Database!$F:$AY,MATCH($G$1,Database!$F$1:$AY$1,),)))))/(((VLOOKUP(EDATE(B207,-12),Database!$F:$AY,MATCH($G$1,Database!$F$1:$AY$1,),))))</f>
        <v/>
      </c>
      <c r="H207" s="13">
        <f>((((VLOOKUP(B207,Database!$F:$AY,MATCH($H$1,Database!$F$1:$AY$1,),))))-(((VLOOKUP(EDATE(B207,-12),Database!$F:$AY,MATCH($H$1,Database!$F$1:$AY$1,),)))))/(((VLOOKUP(EDATE(B207,-12),Database!$F:$AY,MATCH($H$1,Database!$F$1:$AY$1,),))))</f>
        <v/>
      </c>
      <c r="I207" s="13">
        <f>((((VLOOKUP(B207,Database!$F:$AY,MATCH($I$1,Database!$F$1:$AY$1,),))))-(((VLOOKUP(EDATE(B207,-12),Database!$F:$AY,MATCH($I$1,Database!$F$1:$AY$1,),)))))/(((VLOOKUP(EDATE(B207,-12),Database!$F:$AY,MATCH($I$1,Database!$F$1:$AY$1,),))))</f>
        <v/>
      </c>
      <c r="J207" s="13">
        <f>((((VLOOKUP(B207,Database!$F:$AY,MATCH($J$1,Database!$F$1:$AY$1,),))))-(((VLOOKUP(EDATE(B207,-12),Database!$F:$AY,MATCH($J$1,Database!$F$1:$AY$1,),)))))/(((VLOOKUP(EDATE(B207,-12),Database!$F:$AY,MATCH($J$1,Database!$F$1:$AY$1,),))))</f>
        <v/>
      </c>
      <c r="K207" s="13">
        <f>((((VLOOKUP(B207,Database!$F:$AY,MATCH($K$1,Database!$F$1:$AY$1,),))))-(((VLOOKUP(EDATE(B207,-12),Database!$F:$AY,MATCH($K$1,Database!$F$1:$AY$1,),)))))/(((VLOOKUP(EDATE(B207,-12),Database!$F:$AY,MATCH($K$1,Database!$F$1:$AY$1,),))))</f>
        <v/>
      </c>
      <c r="L207" s="13">
        <f>((((VLOOKUP(B207,Database!$F:$AY,MATCH($L$1,Database!$F$1:$AY$1,),))))-(((VLOOKUP(EDATE(B207,-12),Database!$F:$AY,MATCH($L$1,Database!$F$1:$AY$1,),)))))/(((VLOOKUP(EDATE(B207,-12),Database!$F:$AY,MATCH($L$1,Database!$F$1:$AY$1,),))))</f>
        <v/>
      </c>
      <c r="M207" s="13">
        <f>((((VLOOKUP(B207,Database!$F:$AY,MATCH($M$1,Database!$F$1:$AY$1,),))))-(((VLOOKUP(EDATE(B207,-12),Database!$F:$AY,MATCH($M$1,Database!$F$1:$AY$1,),)))))/(((VLOOKUP(EDATE(B207,-12),Database!$F:$AY,MATCH($M$1,Database!$F$1:$AY$1,),))))</f>
        <v/>
      </c>
      <c r="N207" s="13">
        <f>((((VLOOKUP(B207,Database!$F:$AY,MATCH($N$1,Database!$F$1:$AY$1,),))))-(((VLOOKUP(EDATE(B207,-12),Database!$F:$AY,MATCH($N$1,Database!$F$1:$AY$1,),)))))/(((VLOOKUP(EDATE(B207,-12),Database!$F:$AY,MATCH($N$1,Database!$F$1:$AY$1,),))))</f>
        <v/>
      </c>
      <c r="O207" s="13">
        <f>((((VLOOKUP(B207,Database!$F:$AY,MATCH($O$1,Database!$F$1:$AY$1,),))))-(((VLOOKUP(EDATE(B207,-12),Database!$F:$AY,MATCH($O$1,Database!$F$1:$AY$1,),)))))/(((VLOOKUP(EDATE(B207,-12),Database!$F:$AY,MATCH($O$1,Database!$F$1:$AY$1,),))))</f>
        <v/>
      </c>
      <c r="P207" s="13">
        <f>((((VLOOKUP(B207,Database!$F:$AY,MATCH($P$1,Database!$F$1:$AY$1,),))))-(((VLOOKUP(EDATE(B207,-12),Database!$F:$AY,MATCH($P$1,Database!$F$1:$AY$1,),)))))/(((VLOOKUP(EDATE(B207,-12),Database!$F:$AY,MATCH($P$1,Database!$F$1:$AY$1,),))))</f>
        <v/>
      </c>
      <c r="Q207" s="13">
        <f>((((VLOOKUP(B207,Database!$F:$AY,MATCH($Q$1,Database!$F$1:$AY$1,),))))-(((VLOOKUP(EDATE(B207,-12),Database!$F:$AY,MATCH($Q$1,Database!$F$1:$AY$1,),)))))/(((VLOOKUP(EDATE(B207,-12),Database!$F:$AY,MATCH($Q$1,Database!$F$1:$AY$1,),))))</f>
        <v/>
      </c>
      <c r="R207" s="13">
        <f>((((VLOOKUP(B207,Database!$F:$AY,MATCH($R$1,Database!$F$1:$AY$1,),))))-(((VLOOKUP(EDATE(B207,-12),Database!$F:$AY,MATCH($R$1,Database!$F$1:$AY$1,),)))))/(((VLOOKUP(EDATE(B207,-12),Database!$F:$AY,MATCH($R$1,Database!$F$1:$AY$1,),))))</f>
        <v/>
      </c>
      <c r="S207" s="13">
        <f>((((VLOOKUP(B207,Database!$F:$AY,MATCH($S$1,Database!$F$1:$AY$1,),))))-(((VLOOKUP(EDATE(B207,-12),Database!$F:$AY,MATCH($S$1,Database!$F$1:$AY$1,),)))))/(((VLOOKUP(EDATE(B207,-12),Database!$F:$AY,MATCH($S$1,Database!$F$1:$AY$1,),))))</f>
        <v/>
      </c>
      <c r="T207" s="13">
        <f>((((VLOOKUP(B207,Database!$F:$AY,MATCH($T$1,Database!$F$1:$AY$1,),))))-(((VLOOKUP(EDATE(B207,-12),Database!$F:$AY,MATCH($T$1,Database!$F$1:$AY$1,),)))))/(((VLOOKUP(EDATE(B207,-12),Database!$F:$AY,MATCH($T$1,Database!$F$1:$AY$1,),))))</f>
        <v/>
      </c>
      <c r="U207" s="13">
        <f>((((VLOOKUP(B207,Database!$F:$AY,MATCH($U$1,Database!$F$1:$AY$1,),))))-(((VLOOKUP(EDATE(B207,-12),Database!$F:$AY,MATCH($U$1,Database!$F$1:$AY$1,),)))))/(((VLOOKUP(EDATE(B207,-12),Database!$F:$AY,MATCH($U$1,Database!$F$1:$AY$1,),))))</f>
        <v/>
      </c>
      <c r="V207" s="13">
        <f>((((VLOOKUP(B207,Database!$F:$AY,MATCH($V$1,Database!$F$1:$AY$1,),))))-(((VLOOKUP(EDATE(B207,-12),Database!$F:$AY,MATCH($V$1,Database!$F$1:$AY$1,),)))))/(((VLOOKUP(EDATE(B207,-12),Database!$F:$AY,MATCH($V$1,Database!$F$1:$AY$1,),))))</f>
        <v/>
      </c>
    </row>
    <row r="208" customFormat="1" s="100">
      <c r="A208" s="45" t="n"/>
      <c r="B208" s="46" t="n">
        <v>38473</v>
      </c>
      <c r="C208" s="13">
        <f>((((VLOOKUP(B208,Database!$F:$AY,MATCH($C$1,Database!$F$1:$AY$1,),))))-(((VLOOKUP(EDATE(B208,-12),Database!$F:$AY,MATCH($C$1,Database!$F$1:$AY$1,),)))))/(((VLOOKUP(EDATE(B208,-12),Database!$F:$AY,MATCH($C$1,Database!$F$1:$AY$1,),))))</f>
        <v/>
      </c>
      <c r="D208" s="13">
        <f>((((VLOOKUP(B208,Database!$F:$AY,MATCH($D$1,Database!$F$1:$AY$1,),))))-(((VLOOKUP(EDATE(B208,-12),Database!$F:$AY,MATCH($D$1,Database!$F$1:$AY$1,),)))))/(((VLOOKUP(EDATE(B208,-12),Database!$F:$AY,MATCH($D$1,Database!$F$1:$AY$1,),))))</f>
        <v/>
      </c>
      <c r="E208" s="13">
        <f>((((VLOOKUP(B208,Database!$F:$AY,MATCH($E$1,Database!$F$1:$AY$1,),))))-(((VLOOKUP(EDATE(B208,-12),Database!$F:$AY,MATCH($E$1,Database!$F$1:$AY$1,),)))))/(((VLOOKUP(EDATE(B208,-12),Database!$F:$AY,MATCH($E$1,Database!$F$1:$AY$1,),))))</f>
        <v/>
      </c>
      <c r="F208" s="13">
        <f>((((VLOOKUP(B208,Database!$F:$AY,MATCH($F$1,Database!$F$1:$AY$1,),))))-(((VLOOKUP(EDATE(B208,-12),Database!$F:$AY,MATCH($F$1,Database!$F$1:$AY$1,),)))))/(((VLOOKUP(EDATE(B208,-12),Database!$F:$AY,MATCH($F$1,Database!$F$1:$AY$1,),))))</f>
        <v/>
      </c>
      <c r="G208" s="13">
        <f>((((VLOOKUP(B208,Database!$F:$AY,MATCH($G$1,Database!$F$1:$AY$1,),))))-(((VLOOKUP(EDATE(B208,-12),Database!$F:$AY,MATCH($G$1,Database!$F$1:$AY$1,),)))))/(((VLOOKUP(EDATE(B208,-12),Database!$F:$AY,MATCH($G$1,Database!$F$1:$AY$1,),))))</f>
        <v/>
      </c>
      <c r="H208" s="13">
        <f>((((VLOOKUP(B208,Database!$F:$AY,MATCH($H$1,Database!$F$1:$AY$1,),))))-(((VLOOKUP(EDATE(B208,-12),Database!$F:$AY,MATCH($H$1,Database!$F$1:$AY$1,),)))))/(((VLOOKUP(EDATE(B208,-12),Database!$F:$AY,MATCH($H$1,Database!$F$1:$AY$1,),))))</f>
        <v/>
      </c>
      <c r="I208" s="13">
        <f>((((VLOOKUP(B208,Database!$F:$AY,MATCH($I$1,Database!$F$1:$AY$1,),))))-(((VLOOKUP(EDATE(B208,-12),Database!$F:$AY,MATCH($I$1,Database!$F$1:$AY$1,),)))))/(((VLOOKUP(EDATE(B208,-12),Database!$F:$AY,MATCH($I$1,Database!$F$1:$AY$1,),))))</f>
        <v/>
      </c>
      <c r="J208" s="13">
        <f>((((VLOOKUP(B208,Database!$F:$AY,MATCH($J$1,Database!$F$1:$AY$1,),))))-(((VLOOKUP(EDATE(B208,-12),Database!$F:$AY,MATCH($J$1,Database!$F$1:$AY$1,),)))))/(((VLOOKUP(EDATE(B208,-12),Database!$F:$AY,MATCH($J$1,Database!$F$1:$AY$1,),))))</f>
        <v/>
      </c>
      <c r="K208" s="13">
        <f>((((VLOOKUP(B208,Database!$F:$AY,MATCH($K$1,Database!$F$1:$AY$1,),))))-(((VLOOKUP(EDATE(B208,-12),Database!$F:$AY,MATCH($K$1,Database!$F$1:$AY$1,),)))))/(((VLOOKUP(EDATE(B208,-12),Database!$F:$AY,MATCH($K$1,Database!$F$1:$AY$1,),))))</f>
        <v/>
      </c>
      <c r="L208" s="13">
        <f>((((VLOOKUP(B208,Database!$F:$AY,MATCH($L$1,Database!$F$1:$AY$1,),))))-(((VLOOKUP(EDATE(B208,-12),Database!$F:$AY,MATCH($L$1,Database!$F$1:$AY$1,),)))))/(((VLOOKUP(EDATE(B208,-12),Database!$F:$AY,MATCH($L$1,Database!$F$1:$AY$1,),))))</f>
        <v/>
      </c>
      <c r="M208" s="13">
        <f>((((VLOOKUP(B208,Database!$F:$AY,MATCH($M$1,Database!$F$1:$AY$1,),))))-(((VLOOKUP(EDATE(B208,-12),Database!$F:$AY,MATCH($M$1,Database!$F$1:$AY$1,),)))))/(((VLOOKUP(EDATE(B208,-12),Database!$F:$AY,MATCH($M$1,Database!$F$1:$AY$1,),))))</f>
        <v/>
      </c>
      <c r="N208" s="13">
        <f>((((VLOOKUP(B208,Database!$F:$AY,MATCH($N$1,Database!$F$1:$AY$1,),))))-(((VLOOKUP(EDATE(B208,-12),Database!$F:$AY,MATCH($N$1,Database!$F$1:$AY$1,),)))))/(((VLOOKUP(EDATE(B208,-12),Database!$F:$AY,MATCH($N$1,Database!$F$1:$AY$1,),))))</f>
        <v/>
      </c>
      <c r="O208" s="13">
        <f>((((VLOOKUP(B208,Database!$F:$AY,MATCH($O$1,Database!$F$1:$AY$1,),))))-(((VLOOKUP(EDATE(B208,-12),Database!$F:$AY,MATCH($O$1,Database!$F$1:$AY$1,),)))))/(((VLOOKUP(EDATE(B208,-12),Database!$F:$AY,MATCH($O$1,Database!$F$1:$AY$1,),))))</f>
        <v/>
      </c>
      <c r="P208" s="13">
        <f>((((VLOOKUP(B208,Database!$F:$AY,MATCH($P$1,Database!$F$1:$AY$1,),))))-(((VLOOKUP(EDATE(B208,-12),Database!$F:$AY,MATCH($P$1,Database!$F$1:$AY$1,),)))))/(((VLOOKUP(EDATE(B208,-12),Database!$F:$AY,MATCH($P$1,Database!$F$1:$AY$1,),))))</f>
        <v/>
      </c>
      <c r="Q208" s="13">
        <f>((((VLOOKUP(B208,Database!$F:$AY,MATCH($Q$1,Database!$F$1:$AY$1,),))))-(((VLOOKUP(EDATE(B208,-12),Database!$F:$AY,MATCH($Q$1,Database!$F$1:$AY$1,),)))))/(((VLOOKUP(EDATE(B208,-12),Database!$F:$AY,MATCH($Q$1,Database!$F$1:$AY$1,),))))</f>
        <v/>
      </c>
      <c r="R208" s="13">
        <f>((((VLOOKUP(B208,Database!$F:$AY,MATCH($R$1,Database!$F$1:$AY$1,),))))-(((VLOOKUP(EDATE(B208,-12),Database!$F:$AY,MATCH($R$1,Database!$F$1:$AY$1,),)))))/(((VLOOKUP(EDATE(B208,-12),Database!$F:$AY,MATCH($R$1,Database!$F$1:$AY$1,),))))</f>
        <v/>
      </c>
      <c r="S208" s="13">
        <f>((((VLOOKUP(B208,Database!$F:$AY,MATCH($S$1,Database!$F$1:$AY$1,),))))-(((VLOOKUP(EDATE(B208,-12),Database!$F:$AY,MATCH($S$1,Database!$F$1:$AY$1,),)))))/(((VLOOKUP(EDATE(B208,-12),Database!$F:$AY,MATCH($S$1,Database!$F$1:$AY$1,),))))</f>
        <v/>
      </c>
      <c r="T208" s="13">
        <f>((((VLOOKUP(B208,Database!$F:$AY,MATCH($T$1,Database!$F$1:$AY$1,),))))-(((VLOOKUP(EDATE(B208,-12),Database!$F:$AY,MATCH($T$1,Database!$F$1:$AY$1,),)))))/(((VLOOKUP(EDATE(B208,-12),Database!$F:$AY,MATCH($T$1,Database!$F$1:$AY$1,),))))</f>
        <v/>
      </c>
      <c r="U208" s="13">
        <f>((((VLOOKUP(B208,Database!$F:$AY,MATCH($U$1,Database!$F$1:$AY$1,),))))-(((VLOOKUP(EDATE(B208,-12),Database!$F:$AY,MATCH($U$1,Database!$F$1:$AY$1,),)))))/(((VLOOKUP(EDATE(B208,-12),Database!$F:$AY,MATCH($U$1,Database!$F$1:$AY$1,),))))</f>
        <v/>
      </c>
      <c r="V208" s="13">
        <f>((((VLOOKUP(B208,Database!$F:$AY,MATCH($V$1,Database!$F$1:$AY$1,),))))-(((VLOOKUP(EDATE(B208,-12),Database!$F:$AY,MATCH($V$1,Database!$F$1:$AY$1,),)))))/(((VLOOKUP(EDATE(B208,-12),Database!$F:$AY,MATCH($V$1,Database!$F$1:$AY$1,),))))</f>
        <v/>
      </c>
    </row>
    <row r="209" customFormat="1" s="100">
      <c r="A209" s="45" t="n"/>
      <c r="B209" s="46" t="n">
        <v>38504</v>
      </c>
      <c r="C209" s="13">
        <f>((((VLOOKUP(B209,Database!$F:$AY,MATCH($C$1,Database!$F$1:$AY$1,),))))-(((VLOOKUP(EDATE(B209,-12),Database!$F:$AY,MATCH($C$1,Database!$F$1:$AY$1,),)))))/(((VLOOKUP(EDATE(B209,-12),Database!$F:$AY,MATCH($C$1,Database!$F$1:$AY$1,),))))</f>
        <v/>
      </c>
      <c r="D209" s="13">
        <f>((((VLOOKUP(B209,Database!$F:$AY,MATCH($D$1,Database!$F$1:$AY$1,),))))-(((VLOOKUP(EDATE(B209,-12),Database!$F:$AY,MATCH($D$1,Database!$F$1:$AY$1,),)))))/(((VLOOKUP(EDATE(B209,-12),Database!$F:$AY,MATCH($D$1,Database!$F$1:$AY$1,),))))</f>
        <v/>
      </c>
      <c r="E209" s="13">
        <f>((((VLOOKUP(B209,Database!$F:$AY,MATCH($E$1,Database!$F$1:$AY$1,),))))-(((VLOOKUP(EDATE(B209,-12),Database!$F:$AY,MATCH($E$1,Database!$F$1:$AY$1,),)))))/(((VLOOKUP(EDATE(B209,-12),Database!$F:$AY,MATCH($E$1,Database!$F$1:$AY$1,),))))</f>
        <v/>
      </c>
      <c r="F209" s="13">
        <f>((((VLOOKUP(B209,Database!$F:$AY,MATCH($F$1,Database!$F$1:$AY$1,),))))-(((VLOOKUP(EDATE(B209,-12),Database!$F:$AY,MATCH($F$1,Database!$F$1:$AY$1,),)))))/(((VLOOKUP(EDATE(B209,-12),Database!$F:$AY,MATCH($F$1,Database!$F$1:$AY$1,),))))</f>
        <v/>
      </c>
      <c r="G209" s="13">
        <f>((((VLOOKUP(B209,Database!$F:$AY,MATCH($G$1,Database!$F$1:$AY$1,),))))-(((VLOOKUP(EDATE(B209,-12),Database!$F:$AY,MATCH($G$1,Database!$F$1:$AY$1,),)))))/(((VLOOKUP(EDATE(B209,-12),Database!$F:$AY,MATCH($G$1,Database!$F$1:$AY$1,),))))</f>
        <v/>
      </c>
      <c r="H209" s="13">
        <f>((((VLOOKUP(B209,Database!$F:$AY,MATCH($H$1,Database!$F$1:$AY$1,),))))-(((VLOOKUP(EDATE(B209,-12),Database!$F:$AY,MATCH($H$1,Database!$F$1:$AY$1,),)))))/(((VLOOKUP(EDATE(B209,-12),Database!$F:$AY,MATCH($H$1,Database!$F$1:$AY$1,),))))</f>
        <v/>
      </c>
      <c r="I209" s="13">
        <f>((((VLOOKUP(B209,Database!$F:$AY,MATCH($I$1,Database!$F$1:$AY$1,),))))-(((VLOOKUP(EDATE(B209,-12),Database!$F:$AY,MATCH($I$1,Database!$F$1:$AY$1,),)))))/(((VLOOKUP(EDATE(B209,-12),Database!$F:$AY,MATCH($I$1,Database!$F$1:$AY$1,),))))</f>
        <v/>
      </c>
      <c r="J209" s="13">
        <f>((((VLOOKUP(B209,Database!$F:$AY,MATCH($J$1,Database!$F$1:$AY$1,),))))-(((VLOOKUP(EDATE(B209,-12),Database!$F:$AY,MATCH($J$1,Database!$F$1:$AY$1,),)))))/(((VLOOKUP(EDATE(B209,-12),Database!$F:$AY,MATCH($J$1,Database!$F$1:$AY$1,),))))</f>
        <v/>
      </c>
      <c r="K209" s="13">
        <f>((((VLOOKUP(B209,Database!$F:$AY,MATCH($K$1,Database!$F$1:$AY$1,),))))-(((VLOOKUP(EDATE(B209,-12),Database!$F:$AY,MATCH($K$1,Database!$F$1:$AY$1,),)))))/(((VLOOKUP(EDATE(B209,-12),Database!$F:$AY,MATCH($K$1,Database!$F$1:$AY$1,),))))</f>
        <v/>
      </c>
      <c r="L209" s="13">
        <f>((((VLOOKUP(B209,Database!$F:$AY,MATCH($L$1,Database!$F$1:$AY$1,),))))-(((VLOOKUP(EDATE(B209,-12),Database!$F:$AY,MATCH($L$1,Database!$F$1:$AY$1,),)))))/(((VLOOKUP(EDATE(B209,-12),Database!$F:$AY,MATCH($L$1,Database!$F$1:$AY$1,),))))</f>
        <v/>
      </c>
      <c r="M209" s="13">
        <f>((((VLOOKUP(B209,Database!$F:$AY,MATCH($M$1,Database!$F$1:$AY$1,),))))-(((VLOOKUP(EDATE(B209,-12),Database!$F:$AY,MATCH($M$1,Database!$F$1:$AY$1,),)))))/(((VLOOKUP(EDATE(B209,-12),Database!$F:$AY,MATCH($M$1,Database!$F$1:$AY$1,),))))</f>
        <v/>
      </c>
      <c r="N209" s="13">
        <f>((((VLOOKUP(B209,Database!$F:$AY,MATCH($N$1,Database!$F$1:$AY$1,),))))-(((VLOOKUP(EDATE(B209,-12),Database!$F:$AY,MATCH($N$1,Database!$F$1:$AY$1,),)))))/(((VLOOKUP(EDATE(B209,-12),Database!$F:$AY,MATCH($N$1,Database!$F$1:$AY$1,),))))</f>
        <v/>
      </c>
      <c r="O209" s="13">
        <f>((((VLOOKUP(B209,Database!$F:$AY,MATCH($O$1,Database!$F$1:$AY$1,),))))-(((VLOOKUP(EDATE(B209,-12),Database!$F:$AY,MATCH($O$1,Database!$F$1:$AY$1,),)))))/(((VLOOKUP(EDATE(B209,-12),Database!$F:$AY,MATCH($O$1,Database!$F$1:$AY$1,),))))</f>
        <v/>
      </c>
      <c r="P209" s="13">
        <f>((((VLOOKUP(B209,Database!$F:$AY,MATCH($P$1,Database!$F$1:$AY$1,),))))-(((VLOOKUP(EDATE(B209,-12),Database!$F:$AY,MATCH($P$1,Database!$F$1:$AY$1,),)))))/(((VLOOKUP(EDATE(B209,-12),Database!$F:$AY,MATCH($P$1,Database!$F$1:$AY$1,),))))</f>
        <v/>
      </c>
      <c r="Q209" s="13">
        <f>((((VLOOKUP(B209,Database!$F:$AY,MATCH($Q$1,Database!$F$1:$AY$1,),))))-(((VLOOKUP(EDATE(B209,-12),Database!$F:$AY,MATCH($Q$1,Database!$F$1:$AY$1,),)))))/(((VLOOKUP(EDATE(B209,-12),Database!$F:$AY,MATCH($Q$1,Database!$F$1:$AY$1,),))))</f>
        <v/>
      </c>
      <c r="R209" s="13">
        <f>((((VLOOKUP(B209,Database!$F:$AY,MATCH($R$1,Database!$F$1:$AY$1,),))))-(((VLOOKUP(EDATE(B209,-12),Database!$F:$AY,MATCH($R$1,Database!$F$1:$AY$1,),)))))/(((VLOOKUP(EDATE(B209,-12),Database!$F:$AY,MATCH($R$1,Database!$F$1:$AY$1,),))))</f>
        <v/>
      </c>
      <c r="S209" s="13">
        <f>((((VLOOKUP(B209,Database!$F:$AY,MATCH($S$1,Database!$F$1:$AY$1,),))))-(((VLOOKUP(EDATE(B209,-12),Database!$F:$AY,MATCH($S$1,Database!$F$1:$AY$1,),)))))/(((VLOOKUP(EDATE(B209,-12),Database!$F:$AY,MATCH($S$1,Database!$F$1:$AY$1,),))))</f>
        <v/>
      </c>
      <c r="T209" s="13">
        <f>((((VLOOKUP(B209,Database!$F:$AY,MATCH($T$1,Database!$F$1:$AY$1,),))))-(((VLOOKUP(EDATE(B209,-12),Database!$F:$AY,MATCH($T$1,Database!$F$1:$AY$1,),)))))/(((VLOOKUP(EDATE(B209,-12),Database!$F:$AY,MATCH($T$1,Database!$F$1:$AY$1,),))))</f>
        <v/>
      </c>
      <c r="U209" s="13">
        <f>((((VLOOKUP(B209,Database!$F:$AY,MATCH($U$1,Database!$F$1:$AY$1,),))))-(((VLOOKUP(EDATE(B209,-12),Database!$F:$AY,MATCH($U$1,Database!$F$1:$AY$1,),)))))/(((VLOOKUP(EDATE(B209,-12),Database!$F:$AY,MATCH($U$1,Database!$F$1:$AY$1,),))))</f>
        <v/>
      </c>
      <c r="V209" s="13">
        <f>((((VLOOKUP(B209,Database!$F:$AY,MATCH($V$1,Database!$F$1:$AY$1,),))))-(((VLOOKUP(EDATE(B209,-12),Database!$F:$AY,MATCH($V$1,Database!$F$1:$AY$1,),)))))/(((VLOOKUP(EDATE(B209,-12),Database!$F:$AY,MATCH($V$1,Database!$F$1:$AY$1,),))))</f>
        <v/>
      </c>
    </row>
    <row r="210" customFormat="1" s="100">
      <c r="A210" s="45" t="n"/>
      <c r="B210" s="46" t="n">
        <v>38534</v>
      </c>
      <c r="C210" s="13">
        <f>((((VLOOKUP(B210,Database!$F:$AY,MATCH($C$1,Database!$F$1:$AY$1,),))))-(((VLOOKUP(EDATE(B210,-12),Database!$F:$AY,MATCH($C$1,Database!$F$1:$AY$1,),)))))/(((VLOOKUP(EDATE(B210,-12),Database!$F:$AY,MATCH($C$1,Database!$F$1:$AY$1,),))))</f>
        <v/>
      </c>
      <c r="D210" s="13">
        <f>((((VLOOKUP(B210,Database!$F:$AY,MATCH($D$1,Database!$F$1:$AY$1,),))))-(((VLOOKUP(EDATE(B210,-12),Database!$F:$AY,MATCH($D$1,Database!$F$1:$AY$1,),)))))/(((VLOOKUP(EDATE(B210,-12),Database!$F:$AY,MATCH($D$1,Database!$F$1:$AY$1,),))))</f>
        <v/>
      </c>
      <c r="E210" s="13">
        <f>((((VLOOKUP(B210,Database!$F:$AY,MATCH($E$1,Database!$F$1:$AY$1,),))))-(((VLOOKUP(EDATE(B210,-12),Database!$F:$AY,MATCH($E$1,Database!$F$1:$AY$1,),)))))/(((VLOOKUP(EDATE(B210,-12),Database!$F:$AY,MATCH($E$1,Database!$F$1:$AY$1,),))))</f>
        <v/>
      </c>
      <c r="F210" s="13">
        <f>((((VLOOKUP(B210,Database!$F:$AY,MATCH($F$1,Database!$F$1:$AY$1,),))))-(((VLOOKUP(EDATE(B210,-12),Database!$F:$AY,MATCH($F$1,Database!$F$1:$AY$1,),)))))/(((VLOOKUP(EDATE(B210,-12),Database!$F:$AY,MATCH($F$1,Database!$F$1:$AY$1,),))))</f>
        <v/>
      </c>
      <c r="G210" s="13">
        <f>((((VLOOKUP(B210,Database!$F:$AY,MATCH($G$1,Database!$F$1:$AY$1,),))))-(((VLOOKUP(EDATE(B210,-12),Database!$F:$AY,MATCH($G$1,Database!$F$1:$AY$1,),)))))/(((VLOOKUP(EDATE(B210,-12),Database!$F:$AY,MATCH($G$1,Database!$F$1:$AY$1,),))))</f>
        <v/>
      </c>
      <c r="H210" s="13">
        <f>((((VLOOKUP(B210,Database!$F:$AY,MATCH($H$1,Database!$F$1:$AY$1,),))))-(((VLOOKUP(EDATE(B210,-12),Database!$F:$AY,MATCH($H$1,Database!$F$1:$AY$1,),)))))/(((VLOOKUP(EDATE(B210,-12),Database!$F:$AY,MATCH($H$1,Database!$F$1:$AY$1,),))))</f>
        <v/>
      </c>
      <c r="I210" s="13">
        <f>((((VLOOKUP(B210,Database!$F:$AY,MATCH($I$1,Database!$F$1:$AY$1,),))))-(((VLOOKUP(EDATE(B210,-12),Database!$F:$AY,MATCH($I$1,Database!$F$1:$AY$1,),)))))/(((VLOOKUP(EDATE(B210,-12),Database!$F:$AY,MATCH($I$1,Database!$F$1:$AY$1,),))))</f>
        <v/>
      </c>
      <c r="J210" s="13">
        <f>((((VLOOKUP(B210,Database!$F:$AY,MATCH($J$1,Database!$F$1:$AY$1,),))))-(((VLOOKUP(EDATE(B210,-12),Database!$F:$AY,MATCH($J$1,Database!$F$1:$AY$1,),)))))/(((VLOOKUP(EDATE(B210,-12),Database!$F:$AY,MATCH($J$1,Database!$F$1:$AY$1,),))))</f>
        <v/>
      </c>
      <c r="K210" s="13">
        <f>((((VLOOKUP(B210,Database!$F:$AY,MATCH($K$1,Database!$F$1:$AY$1,),))))-(((VLOOKUP(EDATE(B210,-12),Database!$F:$AY,MATCH($K$1,Database!$F$1:$AY$1,),)))))/(((VLOOKUP(EDATE(B210,-12),Database!$F:$AY,MATCH($K$1,Database!$F$1:$AY$1,),))))</f>
        <v/>
      </c>
      <c r="L210" s="13">
        <f>((((VLOOKUP(B210,Database!$F:$AY,MATCH($L$1,Database!$F$1:$AY$1,),))))-(((VLOOKUP(EDATE(B210,-12),Database!$F:$AY,MATCH($L$1,Database!$F$1:$AY$1,),)))))/(((VLOOKUP(EDATE(B210,-12),Database!$F:$AY,MATCH($L$1,Database!$F$1:$AY$1,),))))</f>
        <v/>
      </c>
      <c r="M210" s="13">
        <f>((((VLOOKUP(B210,Database!$F:$AY,MATCH($M$1,Database!$F$1:$AY$1,),))))-(((VLOOKUP(EDATE(B210,-12),Database!$F:$AY,MATCH($M$1,Database!$F$1:$AY$1,),)))))/(((VLOOKUP(EDATE(B210,-12),Database!$F:$AY,MATCH($M$1,Database!$F$1:$AY$1,),))))</f>
        <v/>
      </c>
      <c r="N210" s="13">
        <f>((((VLOOKUP(B210,Database!$F:$AY,MATCH($N$1,Database!$F$1:$AY$1,),))))-(((VLOOKUP(EDATE(B210,-12),Database!$F:$AY,MATCH($N$1,Database!$F$1:$AY$1,),)))))/(((VLOOKUP(EDATE(B210,-12),Database!$F:$AY,MATCH($N$1,Database!$F$1:$AY$1,),))))</f>
        <v/>
      </c>
      <c r="O210" s="13">
        <f>((((VLOOKUP(B210,Database!$F:$AY,MATCH($O$1,Database!$F$1:$AY$1,),))))-(((VLOOKUP(EDATE(B210,-12),Database!$F:$AY,MATCH($O$1,Database!$F$1:$AY$1,),)))))/(((VLOOKUP(EDATE(B210,-12),Database!$F:$AY,MATCH($O$1,Database!$F$1:$AY$1,),))))</f>
        <v/>
      </c>
      <c r="P210" s="13">
        <f>((((VLOOKUP(B210,Database!$F:$AY,MATCH($P$1,Database!$F$1:$AY$1,),))))-(((VLOOKUP(EDATE(B210,-12),Database!$F:$AY,MATCH($P$1,Database!$F$1:$AY$1,),)))))/(((VLOOKUP(EDATE(B210,-12),Database!$F:$AY,MATCH($P$1,Database!$F$1:$AY$1,),))))</f>
        <v/>
      </c>
      <c r="Q210" s="13">
        <f>((((VLOOKUP(B210,Database!$F:$AY,MATCH($Q$1,Database!$F$1:$AY$1,),))))-(((VLOOKUP(EDATE(B210,-12),Database!$F:$AY,MATCH($Q$1,Database!$F$1:$AY$1,),)))))/(((VLOOKUP(EDATE(B210,-12),Database!$F:$AY,MATCH($Q$1,Database!$F$1:$AY$1,),))))</f>
        <v/>
      </c>
      <c r="R210" s="13">
        <f>((((VLOOKUP(B210,Database!$F:$AY,MATCH($R$1,Database!$F$1:$AY$1,),))))-(((VLOOKUP(EDATE(B210,-12),Database!$F:$AY,MATCH($R$1,Database!$F$1:$AY$1,),)))))/(((VLOOKUP(EDATE(B210,-12),Database!$F:$AY,MATCH($R$1,Database!$F$1:$AY$1,),))))</f>
        <v/>
      </c>
      <c r="S210" s="13">
        <f>((((VLOOKUP(B210,Database!$F:$AY,MATCH($S$1,Database!$F$1:$AY$1,),))))-(((VLOOKUP(EDATE(B210,-12),Database!$F:$AY,MATCH($S$1,Database!$F$1:$AY$1,),)))))/(((VLOOKUP(EDATE(B210,-12),Database!$F:$AY,MATCH($S$1,Database!$F$1:$AY$1,),))))</f>
        <v/>
      </c>
      <c r="T210" s="13">
        <f>((((VLOOKUP(B210,Database!$F:$AY,MATCH($T$1,Database!$F$1:$AY$1,),))))-(((VLOOKUP(EDATE(B210,-12),Database!$F:$AY,MATCH($T$1,Database!$F$1:$AY$1,),)))))/(((VLOOKUP(EDATE(B210,-12),Database!$F:$AY,MATCH($T$1,Database!$F$1:$AY$1,),))))</f>
        <v/>
      </c>
      <c r="U210" s="13">
        <f>((((VLOOKUP(B210,Database!$F:$AY,MATCH($U$1,Database!$F$1:$AY$1,),))))-(((VLOOKUP(EDATE(B210,-12),Database!$F:$AY,MATCH($U$1,Database!$F$1:$AY$1,),)))))/(((VLOOKUP(EDATE(B210,-12),Database!$F:$AY,MATCH($U$1,Database!$F$1:$AY$1,),))))</f>
        <v/>
      </c>
      <c r="V210" s="13">
        <f>((((VLOOKUP(B210,Database!$F:$AY,MATCH($V$1,Database!$F$1:$AY$1,),))))-(((VLOOKUP(EDATE(B210,-12),Database!$F:$AY,MATCH($V$1,Database!$F$1:$AY$1,),)))))/(((VLOOKUP(EDATE(B210,-12),Database!$F:$AY,MATCH($V$1,Database!$F$1:$AY$1,),))))</f>
        <v/>
      </c>
    </row>
    <row r="211" customFormat="1" s="100">
      <c r="A211" s="45" t="n"/>
      <c r="B211" s="46" t="n">
        <v>38565</v>
      </c>
      <c r="C211" s="13">
        <f>((((VLOOKUP(B211,Database!$F:$AY,MATCH($C$1,Database!$F$1:$AY$1,),))))-(((VLOOKUP(EDATE(B211,-12),Database!$F:$AY,MATCH($C$1,Database!$F$1:$AY$1,),)))))/(((VLOOKUP(EDATE(B211,-12),Database!$F:$AY,MATCH($C$1,Database!$F$1:$AY$1,),))))</f>
        <v/>
      </c>
      <c r="D211" s="13">
        <f>((((VLOOKUP(B211,Database!$F:$AY,MATCH($D$1,Database!$F$1:$AY$1,),))))-(((VLOOKUP(EDATE(B211,-12),Database!$F:$AY,MATCH($D$1,Database!$F$1:$AY$1,),)))))/(((VLOOKUP(EDATE(B211,-12),Database!$F:$AY,MATCH($D$1,Database!$F$1:$AY$1,),))))</f>
        <v/>
      </c>
      <c r="E211" s="13">
        <f>((((VLOOKUP(B211,Database!$F:$AY,MATCH($E$1,Database!$F$1:$AY$1,),))))-(((VLOOKUP(EDATE(B211,-12),Database!$F:$AY,MATCH($E$1,Database!$F$1:$AY$1,),)))))/(((VLOOKUP(EDATE(B211,-12),Database!$F:$AY,MATCH($E$1,Database!$F$1:$AY$1,),))))</f>
        <v/>
      </c>
      <c r="F211" s="13">
        <f>((((VLOOKUP(B211,Database!$F:$AY,MATCH($F$1,Database!$F$1:$AY$1,),))))-(((VLOOKUP(EDATE(B211,-12),Database!$F:$AY,MATCH($F$1,Database!$F$1:$AY$1,),)))))/(((VLOOKUP(EDATE(B211,-12),Database!$F:$AY,MATCH($F$1,Database!$F$1:$AY$1,),))))</f>
        <v/>
      </c>
      <c r="G211" s="13">
        <f>((((VLOOKUP(B211,Database!$F:$AY,MATCH($G$1,Database!$F$1:$AY$1,),))))-(((VLOOKUP(EDATE(B211,-12),Database!$F:$AY,MATCH($G$1,Database!$F$1:$AY$1,),)))))/(((VLOOKUP(EDATE(B211,-12),Database!$F:$AY,MATCH($G$1,Database!$F$1:$AY$1,),))))</f>
        <v/>
      </c>
      <c r="H211" s="13">
        <f>((((VLOOKUP(B211,Database!$F:$AY,MATCH($H$1,Database!$F$1:$AY$1,),))))-(((VLOOKUP(EDATE(B211,-12),Database!$F:$AY,MATCH($H$1,Database!$F$1:$AY$1,),)))))/(((VLOOKUP(EDATE(B211,-12),Database!$F:$AY,MATCH($H$1,Database!$F$1:$AY$1,),))))</f>
        <v/>
      </c>
      <c r="I211" s="13">
        <f>((((VLOOKUP(B211,Database!$F:$AY,MATCH($I$1,Database!$F$1:$AY$1,),))))-(((VLOOKUP(EDATE(B211,-12),Database!$F:$AY,MATCH($I$1,Database!$F$1:$AY$1,),)))))/(((VLOOKUP(EDATE(B211,-12),Database!$F:$AY,MATCH($I$1,Database!$F$1:$AY$1,),))))</f>
        <v/>
      </c>
      <c r="J211" s="13">
        <f>((((VLOOKUP(B211,Database!$F:$AY,MATCH($J$1,Database!$F$1:$AY$1,),))))-(((VLOOKUP(EDATE(B211,-12),Database!$F:$AY,MATCH($J$1,Database!$F$1:$AY$1,),)))))/(((VLOOKUP(EDATE(B211,-12),Database!$F:$AY,MATCH($J$1,Database!$F$1:$AY$1,),))))</f>
        <v/>
      </c>
      <c r="K211" s="13">
        <f>((((VLOOKUP(B211,Database!$F:$AY,MATCH($K$1,Database!$F$1:$AY$1,),))))-(((VLOOKUP(EDATE(B211,-12),Database!$F:$AY,MATCH($K$1,Database!$F$1:$AY$1,),)))))/(((VLOOKUP(EDATE(B211,-12),Database!$F:$AY,MATCH($K$1,Database!$F$1:$AY$1,),))))</f>
        <v/>
      </c>
      <c r="L211" s="13">
        <f>((((VLOOKUP(B211,Database!$F:$AY,MATCH($L$1,Database!$F$1:$AY$1,),))))-(((VLOOKUP(EDATE(B211,-12),Database!$F:$AY,MATCH($L$1,Database!$F$1:$AY$1,),)))))/(((VLOOKUP(EDATE(B211,-12),Database!$F:$AY,MATCH($L$1,Database!$F$1:$AY$1,),))))</f>
        <v/>
      </c>
      <c r="M211" s="13">
        <f>((((VLOOKUP(B211,Database!$F:$AY,MATCH($M$1,Database!$F$1:$AY$1,),))))-(((VLOOKUP(EDATE(B211,-12),Database!$F:$AY,MATCH($M$1,Database!$F$1:$AY$1,),)))))/(((VLOOKUP(EDATE(B211,-12),Database!$F:$AY,MATCH($M$1,Database!$F$1:$AY$1,),))))</f>
        <v/>
      </c>
      <c r="N211" s="13">
        <f>((((VLOOKUP(B211,Database!$F:$AY,MATCH($N$1,Database!$F$1:$AY$1,),))))-(((VLOOKUP(EDATE(B211,-12),Database!$F:$AY,MATCH($N$1,Database!$F$1:$AY$1,),)))))/(((VLOOKUP(EDATE(B211,-12),Database!$F:$AY,MATCH($N$1,Database!$F$1:$AY$1,),))))</f>
        <v/>
      </c>
      <c r="O211" s="13">
        <f>((((VLOOKUP(B211,Database!$F:$AY,MATCH($O$1,Database!$F$1:$AY$1,),))))-(((VLOOKUP(EDATE(B211,-12),Database!$F:$AY,MATCH($O$1,Database!$F$1:$AY$1,),)))))/(((VLOOKUP(EDATE(B211,-12),Database!$F:$AY,MATCH($O$1,Database!$F$1:$AY$1,),))))</f>
        <v/>
      </c>
      <c r="P211" s="13">
        <f>((((VLOOKUP(B211,Database!$F:$AY,MATCH($P$1,Database!$F$1:$AY$1,),))))-(((VLOOKUP(EDATE(B211,-12),Database!$F:$AY,MATCH($P$1,Database!$F$1:$AY$1,),)))))/(((VLOOKUP(EDATE(B211,-12),Database!$F:$AY,MATCH($P$1,Database!$F$1:$AY$1,),))))</f>
        <v/>
      </c>
      <c r="Q211" s="13">
        <f>((((VLOOKUP(B211,Database!$F:$AY,MATCH($Q$1,Database!$F$1:$AY$1,),))))-(((VLOOKUP(EDATE(B211,-12),Database!$F:$AY,MATCH($Q$1,Database!$F$1:$AY$1,),)))))/(((VLOOKUP(EDATE(B211,-12),Database!$F:$AY,MATCH($Q$1,Database!$F$1:$AY$1,),))))</f>
        <v/>
      </c>
      <c r="R211" s="13">
        <f>((((VLOOKUP(B211,Database!$F:$AY,MATCH($R$1,Database!$F$1:$AY$1,),))))-(((VLOOKUP(EDATE(B211,-12),Database!$F:$AY,MATCH($R$1,Database!$F$1:$AY$1,),)))))/(((VLOOKUP(EDATE(B211,-12),Database!$F:$AY,MATCH($R$1,Database!$F$1:$AY$1,),))))</f>
        <v/>
      </c>
      <c r="S211" s="13">
        <f>((((VLOOKUP(B211,Database!$F:$AY,MATCH($S$1,Database!$F$1:$AY$1,),))))-(((VLOOKUP(EDATE(B211,-12),Database!$F:$AY,MATCH($S$1,Database!$F$1:$AY$1,),)))))/(((VLOOKUP(EDATE(B211,-12),Database!$F:$AY,MATCH($S$1,Database!$F$1:$AY$1,),))))</f>
        <v/>
      </c>
      <c r="T211" s="13">
        <f>((((VLOOKUP(B211,Database!$F:$AY,MATCH($T$1,Database!$F$1:$AY$1,),))))-(((VLOOKUP(EDATE(B211,-12),Database!$F:$AY,MATCH($T$1,Database!$F$1:$AY$1,),)))))/(((VLOOKUP(EDATE(B211,-12),Database!$F:$AY,MATCH($T$1,Database!$F$1:$AY$1,),))))</f>
        <v/>
      </c>
      <c r="U211" s="13">
        <f>((((VLOOKUP(B211,Database!$F:$AY,MATCH($U$1,Database!$F$1:$AY$1,),))))-(((VLOOKUP(EDATE(B211,-12),Database!$F:$AY,MATCH($U$1,Database!$F$1:$AY$1,),)))))/(((VLOOKUP(EDATE(B211,-12),Database!$F:$AY,MATCH($U$1,Database!$F$1:$AY$1,),))))</f>
        <v/>
      </c>
      <c r="V211" s="13">
        <f>((((VLOOKUP(B211,Database!$F:$AY,MATCH($V$1,Database!$F$1:$AY$1,),))))-(((VLOOKUP(EDATE(B211,-12),Database!$F:$AY,MATCH($V$1,Database!$F$1:$AY$1,),)))))/(((VLOOKUP(EDATE(B211,-12),Database!$F:$AY,MATCH($V$1,Database!$F$1:$AY$1,),))))</f>
        <v/>
      </c>
    </row>
    <row r="212" customFormat="1" s="100">
      <c r="A212" s="45" t="n"/>
      <c r="B212" s="46" t="n">
        <v>38596</v>
      </c>
      <c r="C212" s="13">
        <f>((((VLOOKUP(B212,Database!$F:$AY,MATCH($C$1,Database!$F$1:$AY$1,),))))-(((VLOOKUP(EDATE(B212,-12),Database!$F:$AY,MATCH($C$1,Database!$F$1:$AY$1,),)))))/(((VLOOKUP(EDATE(B212,-12),Database!$F:$AY,MATCH($C$1,Database!$F$1:$AY$1,),))))</f>
        <v/>
      </c>
      <c r="D212" s="13">
        <f>((((VLOOKUP(B212,Database!$F:$AY,MATCH($D$1,Database!$F$1:$AY$1,),))))-(((VLOOKUP(EDATE(B212,-12),Database!$F:$AY,MATCH($D$1,Database!$F$1:$AY$1,),)))))/(((VLOOKUP(EDATE(B212,-12),Database!$F:$AY,MATCH($D$1,Database!$F$1:$AY$1,),))))</f>
        <v/>
      </c>
      <c r="E212" s="13">
        <f>((((VLOOKUP(B212,Database!$F:$AY,MATCH($E$1,Database!$F$1:$AY$1,),))))-(((VLOOKUP(EDATE(B212,-12),Database!$F:$AY,MATCH($E$1,Database!$F$1:$AY$1,),)))))/(((VLOOKUP(EDATE(B212,-12),Database!$F:$AY,MATCH($E$1,Database!$F$1:$AY$1,),))))</f>
        <v/>
      </c>
      <c r="F212" s="13">
        <f>((((VLOOKUP(B212,Database!$F:$AY,MATCH($F$1,Database!$F$1:$AY$1,),))))-(((VLOOKUP(EDATE(B212,-12),Database!$F:$AY,MATCH($F$1,Database!$F$1:$AY$1,),)))))/(((VLOOKUP(EDATE(B212,-12),Database!$F:$AY,MATCH($F$1,Database!$F$1:$AY$1,),))))</f>
        <v/>
      </c>
      <c r="G212" s="13">
        <f>((((VLOOKUP(B212,Database!$F:$AY,MATCH($G$1,Database!$F$1:$AY$1,),))))-(((VLOOKUP(EDATE(B212,-12),Database!$F:$AY,MATCH($G$1,Database!$F$1:$AY$1,),)))))/(((VLOOKUP(EDATE(B212,-12),Database!$F:$AY,MATCH($G$1,Database!$F$1:$AY$1,),))))</f>
        <v/>
      </c>
      <c r="H212" s="13">
        <f>((((VLOOKUP(B212,Database!$F:$AY,MATCH($H$1,Database!$F$1:$AY$1,),))))-(((VLOOKUP(EDATE(B212,-12),Database!$F:$AY,MATCH($H$1,Database!$F$1:$AY$1,),)))))/(((VLOOKUP(EDATE(B212,-12),Database!$F:$AY,MATCH($H$1,Database!$F$1:$AY$1,),))))</f>
        <v/>
      </c>
      <c r="I212" s="13">
        <f>((((VLOOKUP(B212,Database!$F:$AY,MATCH($I$1,Database!$F$1:$AY$1,),))))-(((VLOOKUP(EDATE(B212,-12),Database!$F:$AY,MATCH($I$1,Database!$F$1:$AY$1,),)))))/(((VLOOKUP(EDATE(B212,-12),Database!$F:$AY,MATCH($I$1,Database!$F$1:$AY$1,),))))</f>
        <v/>
      </c>
      <c r="J212" s="13">
        <f>((((VLOOKUP(B212,Database!$F:$AY,MATCH($J$1,Database!$F$1:$AY$1,),))))-(((VLOOKUP(EDATE(B212,-12),Database!$F:$AY,MATCH($J$1,Database!$F$1:$AY$1,),)))))/(((VLOOKUP(EDATE(B212,-12),Database!$F:$AY,MATCH($J$1,Database!$F$1:$AY$1,),))))</f>
        <v/>
      </c>
      <c r="K212" s="13">
        <f>((((VLOOKUP(B212,Database!$F:$AY,MATCH($K$1,Database!$F$1:$AY$1,),))))-(((VLOOKUP(EDATE(B212,-12),Database!$F:$AY,MATCH($K$1,Database!$F$1:$AY$1,),)))))/(((VLOOKUP(EDATE(B212,-12),Database!$F:$AY,MATCH($K$1,Database!$F$1:$AY$1,),))))</f>
        <v/>
      </c>
      <c r="L212" s="13">
        <f>((((VLOOKUP(B212,Database!$F:$AY,MATCH($L$1,Database!$F$1:$AY$1,),))))-(((VLOOKUP(EDATE(B212,-12),Database!$F:$AY,MATCH($L$1,Database!$F$1:$AY$1,),)))))/(((VLOOKUP(EDATE(B212,-12),Database!$F:$AY,MATCH($L$1,Database!$F$1:$AY$1,),))))</f>
        <v/>
      </c>
      <c r="M212" s="13">
        <f>((((VLOOKUP(B212,Database!$F:$AY,MATCH($M$1,Database!$F$1:$AY$1,),))))-(((VLOOKUP(EDATE(B212,-12),Database!$F:$AY,MATCH($M$1,Database!$F$1:$AY$1,),)))))/(((VLOOKUP(EDATE(B212,-12),Database!$F:$AY,MATCH($M$1,Database!$F$1:$AY$1,),))))</f>
        <v/>
      </c>
      <c r="N212" s="13">
        <f>((((VLOOKUP(B212,Database!$F:$AY,MATCH($N$1,Database!$F$1:$AY$1,),))))-(((VLOOKUP(EDATE(B212,-12),Database!$F:$AY,MATCH($N$1,Database!$F$1:$AY$1,),)))))/(((VLOOKUP(EDATE(B212,-12),Database!$F:$AY,MATCH($N$1,Database!$F$1:$AY$1,),))))</f>
        <v/>
      </c>
      <c r="O212" s="13">
        <f>((((VLOOKUP(B212,Database!$F:$AY,MATCH($O$1,Database!$F$1:$AY$1,),))))-(((VLOOKUP(EDATE(B212,-12),Database!$F:$AY,MATCH($O$1,Database!$F$1:$AY$1,),)))))/(((VLOOKUP(EDATE(B212,-12),Database!$F:$AY,MATCH($O$1,Database!$F$1:$AY$1,),))))</f>
        <v/>
      </c>
      <c r="P212" s="13">
        <f>((((VLOOKUP(B212,Database!$F:$AY,MATCH($P$1,Database!$F$1:$AY$1,),))))-(((VLOOKUP(EDATE(B212,-12),Database!$F:$AY,MATCH($P$1,Database!$F$1:$AY$1,),)))))/(((VLOOKUP(EDATE(B212,-12),Database!$F:$AY,MATCH($P$1,Database!$F$1:$AY$1,),))))</f>
        <v/>
      </c>
      <c r="Q212" s="13">
        <f>((((VLOOKUP(B212,Database!$F:$AY,MATCH($Q$1,Database!$F$1:$AY$1,),))))-(((VLOOKUP(EDATE(B212,-12),Database!$F:$AY,MATCH($Q$1,Database!$F$1:$AY$1,),)))))/(((VLOOKUP(EDATE(B212,-12),Database!$F:$AY,MATCH($Q$1,Database!$F$1:$AY$1,),))))</f>
        <v/>
      </c>
      <c r="R212" s="13">
        <f>((((VLOOKUP(B212,Database!$F:$AY,MATCH($R$1,Database!$F$1:$AY$1,),))))-(((VLOOKUP(EDATE(B212,-12),Database!$F:$AY,MATCH($R$1,Database!$F$1:$AY$1,),)))))/(((VLOOKUP(EDATE(B212,-12),Database!$F:$AY,MATCH($R$1,Database!$F$1:$AY$1,),))))</f>
        <v/>
      </c>
      <c r="S212" s="13">
        <f>((((VLOOKUP(B212,Database!$F:$AY,MATCH($S$1,Database!$F$1:$AY$1,),))))-(((VLOOKUP(EDATE(B212,-12),Database!$F:$AY,MATCH($S$1,Database!$F$1:$AY$1,),)))))/(((VLOOKUP(EDATE(B212,-12),Database!$F:$AY,MATCH($S$1,Database!$F$1:$AY$1,),))))</f>
        <v/>
      </c>
      <c r="T212" s="13">
        <f>((((VLOOKUP(B212,Database!$F:$AY,MATCH($T$1,Database!$F$1:$AY$1,),))))-(((VLOOKUP(EDATE(B212,-12),Database!$F:$AY,MATCH($T$1,Database!$F$1:$AY$1,),)))))/(((VLOOKUP(EDATE(B212,-12),Database!$F:$AY,MATCH($T$1,Database!$F$1:$AY$1,),))))</f>
        <v/>
      </c>
      <c r="U212" s="13">
        <f>((((VLOOKUP(B212,Database!$F:$AY,MATCH($U$1,Database!$F$1:$AY$1,),))))-(((VLOOKUP(EDATE(B212,-12),Database!$F:$AY,MATCH($U$1,Database!$F$1:$AY$1,),)))))/(((VLOOKUP(EDATE(B212,-12),Database!$F:$AY,MATCH($U$1,Database!$F$1:$AY$1,),))))</f>
        <v/>
      </c>
      <c r="V212" s="13">
        <f>((((VLOOKUP(B212,Database!$F:$AY,MATCH($V$1,Database!$F$1:$AY$1,),))))-(((VLOOKUP(EDATE(B212,-12),Database!$F:$AY,MATCH($V$1,Database!$F$1:$AY$1,),)))))/(((VLOOKUP(EDATE(B212,-12),Database!$F:$AY,MATCH($V$1,Database!$F$1:$AY$1,),))))</f>
        <v/>
      </c>
    </row>
    <row r="213" customFormat="1" s="100">
      <c r="A213" s="45" t="n"/>
      <c r="B213" s="46" t="n">
        <v>38626</v>
      </c>
      <c r="C213" s="13">
        <f>((((VLOOKUP(B213,Database!$F:$AY,MATCH($C$1,Database!$F$1:$AY$1,),))))-(((VLOOKUP(EDATE(B213,-12),Database!$F:$AY,MATCH($C$1,Database!$F$1:$AY$1,),)))))/(((VLOOKUP(EDATE(B213,-12),Database!$F:$AY,MATCH($C$1,Database!$F$1:$AY$1,),))))</f>
        <v/>
      </c>
      <c r="D213" s="13">
        <f>((((VLOOKUP(B213,Database!$F:$AY,MATCH($D$1,Database!$F$1:$AY$1,),))))-(((VLOOKUP(EDATE(B213,-12),Database!$F:$AY,MATCH($D$1,Database!$F$1:$AY$1,),)))))/(((VLOOKUP(EDATE(B213,-12),Database!$F:$AY,MATCH($D$1,Database!$F$1:$AY$1,),))))</f>
        <v/>
      </c>
      <c r="E213" s="13">
        <f>((((VLOOKUP(B213,Database!$F:$AY,MATCH($E$1,Database!$F$1:$AY$1,),))))-(((VLOOKUP(EDATE(B213,-12),Database!$F:$AY,MATCH($E$1,Database!$F$1:$AY$1,),)))))/(((VLOOKUP(EDATE(B213,-12),Database!$F:$AY,MATCH($E$1,Database!$F$1:$AY$1,),))))</f>
        <v/>
      </c>
      <c r="F213" s="13">
        <f>((((VLOOKUP(B213,Database!$F:$AY,MATCH($F$1,Database!$F$1:$AY$1,),))))-(((VLOOKUP(EDATE(B213,-12),Database!$F:$AY,MATCH($F$1,Database!$F$1:$AY$1,),)))))/(((VLOOKUP(EDATE(B213,-12),Database!$F:$AY,MATCH($F$1,Database!$F$1:$AY$1,),))))</f>
        <v/>
      </c>
      <c r="G213" s="13">
        <f>((((VLOOKUP(B213,Database!$F:$AY,MATCH($G$1,Database!$F$1:$AY$1,),))))-(((VLOOKUP(EDATE(B213,-12),Database!$F:$AY,MATCH($G$1,Database!$F$1:$AY$1,),)))))/(((VLOOKUP(EDATE(B213,-12),Database!$F:$AY,MATCH($G$1,Database!$F$1:$AY$1,),))))</f>
        <v/>
      </c>
      <c r="H213" s="13">
        <f>((((VLOOKUP(B213,Database!$F:$AY,MATCH($H$1,Database!$F$1:$AY$1,),))))-(((VLOOKUP(EDATE(B213,-12),Database!$F:$AY,MATCH($H$1,Database!$F$1:$AY$1,),)))))/(((VLOOKUP(EDATE(B213,-12),Database!$F:$AY,MATCH($H$1,Database!$F$1:$AY$1,),))))</f>
        <v/>
      </c>
      <c r="I213" s="13">
        <f>((((VLOOKUP(B213,Database!$F:$AY,MATCH($I$1,Database!$F$1:$AY$1,),))))-(((VLOOKUP(EDATE(B213,-12),Database!$F:$AY,MATCH($I$1,Database!$F$1:$AY$1,),)))))/(((VLOOKUP(EDATE(B213,-12),Database!$F:$AY,MATCH($I$1,Database!$F$1:$AY$1,),))))</f>
        <v/>
      </c>
      <c r="J213" s="13">
        <f>((((VLOOKUP(B213,Database!$F:$AY,MATCH($J$1,Database!$F$1:$AY$1,),))))-(((VLOOKUP(EDATE(B213,-12),Database!$F:$AY,MATCH($J$1,Database!$F$1:$AY$1,),)))))/(((VLOOKUP(EDATE(B213,-12),Database!$F:$AY,MATCH($J$1,Database!$F$1:$AY$1,),))))</f>
        <v/>
      </c>
      <c r="K213" s="13">
        <f>((((VLOOKUP(B213,Database!$F:$AY,MATCH($K$1,Database!$F$1:$AY$1,),))))-(((VLOOKUP(EDATE(B213,-12),Database!$F:$AY,MATCH($K$1,Database!$F$1:$AY$1,),)))))/(((VLOOKUP(EDATE(B213,-12),Database!$F:$AY,MATCH($K$1,Database!$F$1:$AY$1,),))))</f>
        <v/>
      </c>
      <c r="L213" s="13">
        <f>((((VLOOKUP(B213,Database!$F:$AY,MATCH($L$1,Database!$F$1:$AY$1,),))))-(((VLOOKUP(EDATE(B213,-12),Database!$F:$AY,MATCH($L$1,Database!$F$1:$AY$1,),)))))/(((VLOOKUP(EDATE(B213,-12),Database!$F:$AY,MATCH($L$1,Database!$F$1:$AY$1,),))))</f>
        <v/>
      </c>
      <c r="M213" s="13">
        <f>((((VLOOKUP(B213,Database!$F:$AY,MATCH($M$1,Database!$F$1:$AY$1,),))))-(((VLOOKUP(EDATE(B213,-12),Database!$F:$AY,MATCH($M$1,Database!$F$1:$AY$1,),)))))/(((VLOOKUP(EDATE(B213,-12),Database!$F:$AY,MATCH($M$1,Database!$F$1:$AY$1,),))))</f>
        <v/>
      </c>
      <c r="N213" s="13">
        <f>((((VLOOKUP(B213,Database!$F:$AY,MATCH($N$1,Database!$F$1:$AY$1,),))))-(((VLOOKUP(EDATE(B213,-12),Database!$F:$AY,MATCH($N$1,Database!$F$1:$AY$1,),)))))/(((VLOOKUP(EDATE(B213,-12),Database!$F:$AY,MATCH($N$1,Database!$F$1:$AY$1,),))))</f>
        <v/>
      </c>
      <c r="O213" s="13">
        <f>((((VLOOKUP(B213,Database!$F:$AY,MATCH($O$1,Database!$F$1:$AY$1,),))))-(((VLOOKUP(EDATE(B213,-12),Database!$F:$AY,MATCH($O$1,Database!$F$1:$AY$1,),)))))/(((VLOOKUP(EDATE(B213,-12),Database!$F:$AY,MATCH($O$1,Database!$F$1:$AY$1,),))))</f>
        <v/>
      </c>
      <c r="P213" s="13">
        <f>((((VLOOKUP(B213,Database!$F:$AY,MATCH($P$1,Database!$F$1:$AY$1,),))))-(((VLOOKUP(EDATE(B213,-12),Database!$F:$AY,MATCH($P$1,Database!$F$1:$AY$1,),)))))/(((VLOOKUP(EDATE(B213,-12),Database!$F:$AY,MATCH($P$1,Database!$F$1:$AY$1,),))))</f>
        <v/>
      </c>
      <c r="Q213" s="13">
        <f>((((VLOOKUP(B213,Database!$F:$AY,MATCH($Q$1,Database!$F$1:$AY$1,),))))-(((VLOOKUP(EDATE(B213,-12),Database!$F:$AY,MATCH($Q$1,Database!$F$1:$AY$1,),)))))/(((VLOOKUP(EDATE(B213,-12),Database!$F:$AY,MATCH($Q$1,Database!$F$1:$AY$1,),))))</f>
        <v/>
      </c>
      <c r="R213" s="13">
        <f>((((VLOOKUP(B213,Database!$F:$AY,MATCH($R$1,Database!$F$1:$AY$1,),))))-(((VLOOKUP(EDATE(B213,-12),Database!$F:$AY,MATCH($R$1,Database!$F$1:$AY$1,),)))))/(((VLOOKUP(EDATE(B213,-12),Database!$F:$AY,MATCH($R$1,Database!$F$1:$AY$1,),))))</f>
        <v/>
      </c>
      <c r="S213" s="13">
        <f>((((VLOOKUP(B213,Database!$F:$AY,MATCH($S$1,Database!$F$1:$AY$1,),))))-(((VLOOKUP(EDATE(B213,-12),Database!$F:$AY,MATCH($S$1,Database!$F$1:$AY$1,),)))))/(((VLOOKUP(EDATE(B213,-12),Database!$F:$AY,MATCH($S$1,Database!$F$1:$AY$1,),))))</f>
        <v/>
      </c>
      <c r="T213" s="13">
        <f>((((VLOOKUP(B213,Database!$F:$AY,MATCH($T$1,Database!$F$1:$AY$1,),))))-(((VLOOKUP(EDATE(B213,-12),Database!$F:$AY,MATCH($T$1,Database!$F$1:$AY$1,),)))))/(((VLOOKUP(EDATE(B213,-12),Database!$F:$AY,MATCH($T$1,Database!$F$1:$AY$1,),))))</f>
        <v/>
      </c>
      <c r="U213" s="13">
        <f>((((VLOOKUP(B213,Database!$F:$AY,MATCH($U$1,Database!$F$1:$AY$1,),))))-(((VLOOKUP(EDATE(B213,-12),Database!$F:$AY,MATCH($U$1,Database!$F$1:$AY$1,),)))))/(((VLOOKUP(EDATE(B213,-12),Database!$F:$AY,MATCH($U$1,Database!$F$1:$AY$1,),))))</f>
        <v/>
      </c>
      <c r="V213" s="13">
        <f>((((VLOOKUP(B213,Database!$F:$AY,MATCH($V$1,Database!$F$1:$AY$1,),))))-(((VLOOKUP(EDATE(B213,-12),Database!$F:$AY,MATCH($V$1,Database!$F$1:$AY$1,),)))))/(((VLOOKUP(EDATE(B213,-12),Database!$F:$AY,MATCH($V$1,Database!$F$1:$AY$1,),))))</f>
        <v/>
      </c>
    </row>
    <row r="214" customFormat="1" s="100">
      <c r="A214" s="45" t="n"/>
      <c r="B214" s="46" t="n">
        <v>38657</v>
      </c>
      <c r="C214" s="13">
        <f>((((VLOOKUP(B214,Database!$F:$AY,MATCH($C$1,Database!$F$1:$AY$1,),))))-(((VLOOKUP(EDATE(B214,-12),Database!$F:$AY,MATCH($C$1,Database!$F$1:$AY$1,),)))))/(((VLOOKUP(EDATE(B214,-12),Database!$F:$AY,MATCH($C$1,Database!$F$1:$AY$1,),))))</f>
        <v/>
      </c>
      <c r="D214" s="13">
        <f>((((VLOOKUP(B214,Database!$F:$AY,MATCH($D$1,Database!$F$1:$AY$1,),))))-(((VLOOKUP(EDATE(B214,-12),Database!$F:$AY,MATCH($D$1,Database!$F$1:$AY$1,),)))))/(((VLOOKUP(EDATE(B214,-12),Database!$F:$AY,MATCH($D$1,Database!$F$1:$AY$1,),))))</f>
        <v/>
      </c>
      <c r="E214" s="13">
        <f>((((VLOOKUP(B214,Database!$F:$AY,MATCH($E$1,Database!$F$1:$AY$1,),))))-(((VLOOKUP(EDATE(B214,-12),Database!$F:$AY,MATCH($E$1,Database!$F$1:$AY$1,),)))))/(((VLOOKUP(EDATE(B214,-12),Database!$F:$AY,MATCH($E$1,Database!$F$1:$AY$1,),))))</f>
        <v/>
      </c>
      <c r="F214" s="13">
        <f>((((VLOOKUP(B214,Database!$F:$AY,MATCH($F$1,Database!$F$1:$AY$1,),))))-(((VLOOKUP(EDATE(B214,-12),Database!$F:$AY,MATCH($F$1,Database!$F$1:$AY$1,),)))))/(((VLOOKUP(EDATE(B214,-12),Database!$F:$AY,MATCH($F$1,Database!$F$1:$AY$1,),))))</f>
        <v/>
      </c>
      <c r="G214" s="13">
        <f>((((VLOOKUP(B214,Database!$F:$AY,MATCH($G$1,Database!$F$1:$AY$1,),))))-(((VLOOKUP(EDATE(B214,-12),Database!$F:$AY,MATCH($G$1,Database!$F$1:$AY$1,),)))))/(((VLOOKUP(EDATE(B214,-12),Database!$F:$AY,MATCH($G$1,Database!$F$1:$AY$1,),))))</f>
        <v/>
      </c>
      <c r="H214" s="13">
        <f>((((VLOOKUP(B214,Database!$F:$AY,MATCH($H$1,Database!$F$1:$AY$1,),))))-(((VLOOKUP(EDATE(B214,-12),Database!$F:$AY,MATCH($H$1,Database!$F$1:$AY$1,),)))))/(((VLOOKUP(EDATE(B214,-12),Database!$F:$AY,MATCH($H$1,Database!$F$1:$AY$1,),))))</f>
        <v/>
      </c>
      <c r="I214" s="13">
        <f>((((VLOOKUP(B214,Database!$F:$AY,MATCH($I$1,Database!$F$1:$AY$1,),))))-(((VLOOKUP(EDATE(B214,-12),Database!$F:$AY,MATCH($I$1,Database!$F$1:$AY$1,),)))))/(((VLOOKUP(EDATE(B214,-12),Database!$F:$AY,MATCH($I$1,Database!$F$1:$AY$1,),))))</f>
        <v/>
      </c>
      <c r="J214" s="13">
        <f>((((VLOOKUP(B214,Database!$F:$AY,MATCH($J$1,Database!$F$1:$AY$1,),))))-(((VLOOKUP(EDATE(B214,-12),Database!$F:$AY,MATCH($J$1,Database!$F$1:$AY$1,),)))))/(((VLOOKUP(EDATE(B214,-12),Database!$F:$AY,MATCH($J$1,Database!$F$1:$AY$1,),))))</f>
        <v/>
      </c>
      <c r="K214" s="13">
        <f>((((VLOOKUP(B214,Database!$F:$AY,MATCH($K$1,Database!$F$1:$AY$1,),))))-(((VLOOKUP(EDATE(B214,-12),Database!$F:$AY,MATCH($K$1,Database!$F$1:$AY$1,),)))))/(((VLOOKUP(EDATE(B214,-12),Database!$F:$AY,MATCH($K$1,Database!$F$1:$AY$1,),))))</f>
        <v/>
      </c>
      <c r="L214" s="13">
        <f>((((VLOOKUP(B214,Database!$F:$AY,MATCH($L$1,Database!$F$1:$AY$1,),))))-(((VLOOKUP(EDATE(B214,-12),Database!$F:$AY,MATCH($L$1,Database!$F$1:$AY$1,),)))))/(((VLOOKUP(EDATE(B214,-12),Database!$F:$AY,MATCH($L$1,Database!$F$1:$AY$1,),))))</f>
        <v/>
      </c>
      <c r="M214" s="13">
        <f>((((VLOOKUP(B214,Database!$F:$AY,MATCH($M$1,Database!$F$1:$AY$1,),))))-(((VLOOKUP(EDATE(B214,-12),Database!$F:$AY,MATCH($M$1,Database!$F$1:$AY$1,),)))))/(((VLOOKUP(EDATE(B214,-12),Database!$F:$AY,MATCH($M$1,Database!$F$1:$AY$1,),))))</f>
        <v/>
      </c>
      <c r="N214" s="13">
        <f>((((VLOOKUP(B214,Database!$F:$AY,MATCH($N$1,Database!$F$1:$AY$1,),))))-(((VLOOKUP(EDATE(B214,-12),Database!$F:$AY,MATCH($N$1,Database!$F$1:$AY$1,),)))))/(((VLOOKUP(EDATE(B214,-12),Database!$F:$AY,MATCH($N$1,Database!$F$1:$AY$1,),))))</f>
        <v/>
      </c>
      <c r="O214" s="13">
        <f>((((VLOOKUP(B214,Database!$F:$AY,MATCH($O$1,Database!$F$1:$AY$1,),))))-(((VLOOKUP(EDATE(B214,-12),Database!$F:$AY,MATCH($O$1,Database!$F$1:$AY$1,),)))))/(((VLOOKUP(EDATE(B214,-12),Database!$F:$AY,MATCH($O$1,Database!$F$1:$AY$1,),))))</f>
        <v/>
      </c>
      <c r="P214" s="13">
        <f>((((VLOOKUP(B214,Database!$F:$AY,MATCH($P$1,Database!$F$1:$AY$1,),))))-(((VLOOKUP(EDATE(B214,-12),Database!$F:$AY,MATCH($P$1,Database!$F$1:$AY$1,),)))))/(((VLOOKUP(EDATE(B214,-12),Database!$F:$AY,MATCH($P$1,Database!$F$1:$AY$1,),))))</f>
        <v/>
      </c>
      <c r="Q214" s="13">
        <f>((((VLOOKUP(B214,Database!$F:$AY,MATCH($Q$1,Database!$F$1:$AY$1,),))))-(((VLOOKUP(EDATE(B214,-12),Database!$F:$AY,MATCH($Q$1,Database!$F$1:$AY$1,),)))))/(((VLOOKUP(EDATE(B214,-12),Database!$F:$AY,MATCH($Q$1,Database!$F$1:$AY$1,),))))</f>
        <v/>
      </c>
      <c r="R214" s="13">
        <f>((((VLOOKUP(B214,Database!$F:$AY,MATCH($R$1,Database!$F$1:$AY$1,),))))-(((VLOOKUP(EDATE(B214,-12),Database!$F:$AY,MATCH($R$1,Database!$F$1:$AY$1,),)))))/(((VLOOKUP(EDATE(B214,-12),Database!$F:$AY,MATCH($R$1,Database!$F$1:$AY$1,),))))</f>
        <v/>
      </c>
      <c r="S214" s="13">
        <f>((((VLOOKUP(B214,Database!$F:$AY,MATCH($S$1,Database!$F$1:$AY$1,),))))-(((VLOOKUP(EDATE(B214,-12),Database!$F:$AY,MATCH($S$1,Database!$F$1:$AY$1,),)))))/(((VLOOKUP(EDATE(B214,-12),Database!$F:$AY,MATCH($S$1,Database!$F$1:$AY$1,),))))</f>
        <v/>
      </c>
      <c r="T214" s="13">
        <f>((((VLOOKUP(B214,Database!$F:$AY,MATCH($T$1,Database!$F$1:$AY$1,),))))-(((VLOOKUP(EDATE(B214,-12),Database!$F:$AY,MATCH($T$1,Database!$F$1:$AY$1,),)))))/(((VLOOKUP(EDATE(B214,-12),Database!$F:$AY,MATCH($T$1,Database!$F$1:$AY$1,),))))</f>
        <v/>
      </c>
      <c r="U214" s="13">
        <f>((((VLOOKUP(B214,Database!$F:$AY,MATCH($U$1,Database!$F$1:$AY$1,),))))-(((VLOOKUP(EDATE(B214,-12),Database!$F:$AY,MATCH($U$1,Database!$F$1:$AY$1,),)))))/(((VLOOKUP(EDATE(B214,-12),Database!$F:$AY,MATCH($U$1,Database!$F$1:$AY$1,),))))</f>
        <v/>
      </c>
      <c r="V214" s="13">
        <f>((((VLOOKUP(B214,Database!$F:$AY,MATCH($V$1,Database!$F$1:$AY$1,),))))-(((VLOOKUP(EDATE(B214,-12),Database!$F:$AY,MATCH($V$1,Database!$F$1:$AY$1,),)))))/(((VLOOKUP(EDATE(B214,-12),Database!$F:$AY,MATCH($V$1,Database!$F$1:$AY$1,),))))</f>
        <v/>
      </c>
    </row>
    <row r="215" customFormat="1" s="100">
      <c r="A215" s="45" t="n"/>
      <c r="B215" s="46" t="n">
        <v>38687</v>
      </c>
      <c r="C215" s="13">
        <f>((((VLOOKUP(B215,Database!$F:$AY,MATCH($C$1,Database!$F$1:$AY$1,),))))-(((VLOOKUP(EDATE(B215,-12),Database!$F:$AY,MATCH($C$1,Database!$F$1:$AY$1,),)))))/(((VLOOKUP(EDATE(B215,-12),Database!$F:$AY,MATCH($C$1,Database!$F$1:$AY$1,),))))</f>
        <v/>
      </c>
      <c r="D215" s="13">
        <f>((((VLOOKUP(B215,Database!$F:$AY,MATCH($D$1,Database!$F$1:$AY$1,),))))-(((VLOOKUP(EDATE(B215,-12),Database!$F:$AY,MATCH($D$1,Database!$F$1:$AY$1,),)))))/(((VLOOKUP(EDATE(B215,-12),Database!$F:$AY,MATCH($D$1,Database!$F$1:$AY$1,),))))</f>
        <v/>
      </c>
      <c r="E215" s="13">
        <f>((((VLOOKUP(B215,Database!$F:$AY,MATCH($E$1,Database!$F$1:$AY$1,),))))-(((VLOOKUP(EDATE(B215,-12),Database!$F:$AY,MATCH($E$1,Database!$F$1:$AY$1,),)))))/(((VLOOKUP(EDATE(B215,-12),Database!$F:$AY,MATCH($E$1,Database!$F$1:$AY$1,),))))</f>
        <v/>
      </c>
      <c r="F215" s="13">
        <f>((((VLOOKUP(B215,Database!$F:$AY,MATCH($F$1,Database!$F$1:$AY$1,),))))-(((VLOOKUP(EDATE(B215,-12),Database!$F:$AY,MATCH($F$1,Database!$F$1:$AY$1,),)))))/(((VLOOKUP(EDATE(B215,-12),Database!$F:$AY,MATCH($F$1,Database!$F$1:$AY$1,),))))</f>
        <v/>
      </c>
      <c r="G215" s="13">
        <f>((((VLOOKUP(B215,Database!$F:$AY,MATCH($G$1,Database!$F$1:$AY$1,),))))-(((VLOOKUP(EDATE(B215,-12),Database!$F:$AY,MATCH($G$1,Database!$F$1:$AY$1,),)))))/(((VLOOKUP(EDATE(B215,-12),Database!$F:$AY,MATCH($G$1,Database!$F$1:$AY$1,),))))</f>
        <v/>
      </c>
      <c r="H215" s="13">
        <f>((((VLOOKUP(B215,Database!$F:$AY,MATCH($H$1,Database!$F$1:$AY$1,),))))-(((VLOOKUP(EDATE(B215,-12),Database!$F:$AY,MATCH($H$1,Database!$F$1:$AY$1,),)))))/(((VLOOKUP(EDATE(B215,-12),Database!$F:$AY,MATCH($H$1,Database!$F$1:$AY$1,),))))</f>
        <v/>
      </c>
      <c r="I215" s="13">
        <f>((((VLOOKUP(B215,Database!$F:$AY,MATCH($I$1,Database!$F$1:$AY$1,),))))-(((VLOOKUP(EDATE(B215,-12),Database!$F:$AY,MATCH($I$1,Database!$F$1:$AY$1,),)))))/(((VLOOKUP(EDATE(B215,-12),Database!$F:$AY,MATCH($I$1,Database!$F$1:$AY$1,),))))</f>
        <v/>
      </c>
      <c r="J215" s="13">
        <f>((((VLOOKUP(B215,Database!$F:$AY,MATCH($J$1,Database!$F$1:$AY$1,),))))-(((VLOOKUP(EDATE(B215,-12),Database!$F:$AY,MATCH($J$1,Database!$F$1:$AY$1,),)))))/(((VLOOKUP(EDATE(B215,-12),Database!$F:$AY,MATCH($J$1,Database!$F$1:$AY$1,),))))</f>
        <v/>
      </c>
      <c r="K215" s="13">
        <f>((((VLOOKUP(B215,Database!$F:$AY,MATCH($K$1,Database!$F$1:$AY$1,),))))-(((VLOOKUP(EDATE(B215,-12),Database!$F:$AY,MATCH($K$1,Database!$F$1:$AY$1,),)))))/(((VLOOKUP(EDATE(B215,-12),Database!$F:$AY,MATCH($K$1,Database!$F$1:$AY$1,),))))</f>
        <v/>
      </c>
      <c r="L215" s="13">
        <f>((((VLOOKUP(B215,Database!$F:$AY,MATCH($L$1,Database!$F$1:$AY$1,),))))-(((VLOOKUP(EDATE(B215,-12),Database!$F:$AY,MATCH($L$1,Database!$F$1:$AY$1,),)))))/(((VLOOKUP(EDATE(B215,-12),Database!$F:$AY,MATCH($L$1,Database!$F$1:$AY$1,),))))</f>
        <v/>
      </c>
      <c r="M215" s="13">
        <f>((((VLOOKUP(B215,Database!$F:$AY,MATCH($M$1,Database!$F$1:$AY$1,),))))-(((VLOOKUP(EDATE(B215,-12),Database!$F:$AY,MATCH($M$1,Database!$F$1:$AY$1,),)))))/(((VLOOKUP(EDATE(B215,-12),Database!$F:$AY,MATCH($M$1,Database!$F$1:$AY$1,),))))</f>
        <v/>
      </c>
      <c r="N215" s="13">
        <f>((((VLOOKUP(B215,Database!$F:$AY,MATCH($N$1,Database!$F$1:$AY$1,),))))-(((VLOOKUP(EDATE(B215,-12),Database!$F:$AY,MATCH($N$1,Database!$F$1:$AY$1,),)))))/(((VLOOKUP(EDATE(B215,-12),Database!$F:$AY,MATCH($N$1,Database!$F$1:$AY$1,),))))</f>
        <v/>
      </c>
      <c r="O215" s="13">
        <f>((((VLOOKUP(B215,Database!$F:$AY,MATCH($O$1,Database!$F$1:$AY$1,),))))-(((VLOOKUP(EDATE(B215,-12),Database!$F:$AY,MATCH($O$1,Database!$F$1:$AY$1,),)))))/(((VLOOKUP(EDATE(B215,-12),Database!$F:$AY,MATCH($O$1,Database!$F$1:$AY$1,),))))</f>
        <v/>
      </c>
      <c r="P215" s="13">
        <f>((((VLOOKUP(B215,Database!$F:$AY,MATCH($P$1,Database!$F$1:$AY$1,),))))-(((VLOOKUP(EDATE(B215,-12),Database!$F:$AY,MATCH($P$1,Database!$F$1:$AY$1,),)))))/(((VLOOKUP(EDATE(B215,-12),Database!$F:$AY,MATCH($P$1,Database!$F$1:$AY$1,),))))</f>
        <v/>
      </c>
      <c r="Q215" s="13">
        <f>((((VLOOKUP(B215,Database!$F:$AY,MATCH($Q$1,Database!$F$1:$AY$1,),))))-(((VLOOKUP(EDATE(B215,-12),Database!$F:$AY,MATCH($Q$1,Database!$F$1:$AY$1,),)))))/(((VLOOKUP(EDATE(B215,-12),Database!$F:$AY,MATCH($Q$1,Database!$F$1:$AY$1,),))))</f>
        <v/>
      </c>
      <c r="R215" s="13">
        <f>((((VLOOKUP(B215,Database!$F:$AY,MATCH($R$1,Database!$F$1:$AY$1,),))))-(((VLOOKUP(EDATE(B215,-12),Database!$F:$AY,MATCH($R$1,Database!$F$1:$AY$1,),)))))/(((VLOOKUP(EDATE(B215,-12),Database!$F:$AY,MATCH($R$1,Database!$F$1:$AY$1,),))))</f>
        <v/>
      </c>
      <c r="S215" s="13">
        <f>((((VLOOKUP(B215,Database!$F:$AY,MATCH($S$1,Database!$F$1:$AY$1,),))))-(((VLOOKUP(EDATE(B215,-12),Database!$F:$AY,MATCH($S$1,Database!$F$1:$AY$1,),)))))/(((VLOOKUP(EDATE(B215,-12),Database!$F:$AY,MATCH($S$1,Database!$F$1:$AY$1,),))))</f>
        <v/>
      </c>
      <c r="T215" s="13">
        <f>((((VLOOKUP(B215,Database!$F:$AY,MATCH($T$1,Database!$F$1:$AY$1,),))))-(((VLOOKUP(EDATE(B215,-12),Database!$F:$AY,MATCH($T$1,Database!$F$1:$AY$1,),)))))/(((VLOOKUP(EDATE(B215,-12),Database!$F:$AY,MATCH($T$1,Database!$F$1:$AY$1,),))))</f>
        <v/>
      </c>
      <c r="U215" s="13">
        <f>((((VLOOKUP(B215,Database!$F:$AY,MATCH($U$1,Database!$F$1:$AY$1,),))))-(((VLOOKUP(EDATE(B215,-12),Database!$F:$AY,MATCH($U$1,Database!$F$1:$AY$1,),)))))/(((VLOOKUP(EDATE(B215,-12),Database!$F:$AY,MATCH($U$1,Database!$F$1:$AY$1,),))))</f>
        <v/>
      </c>
      <c r="V215" s="13">
        <f>((((VLOOKUP(B215,Database!$F:$AY,MATCH($V$1,Database!$F$1:$AY$1,),))))-(((VLOOKUP(EDATE(B215,-12),Database!$F:$AY,MATCH($V$1,Database!$F$1:$AY$1,),)))))/(((VLOOKUP(EDATE(B215,-12),Database!$F:$AY,MATCH($V$1,Database!$F$1:$AY$1,),))))</f>
        <v/>
      </c>
    </row>
    <row r="216" customFormat="1" s="100">
      <c r="A216" s="45" t="n"/>
      <c r="B216" s="46" t="n">
        <v>38718</v>
      </c>
      <c r="C216" s="13">
        <f>((((VLOOKUP(B216,Database!$F:$AY,MATCH($C$1,Database!$F$1:$AY$1,),))))-(((VLOOKUP(EDATE(B216,-12),Database!$F:$AY,MATCH($C$1,Database!$F$1:$AY$1,),)))))/(((VLOOKUP(EDATE(B216,-12),Database!$F:$AY,MATCH($C$1,Database!$F$1:$AY$1,),))))</f>
        <v/>
      </c>
      <c r="D216" s="13">
        <f>((((VLOOKUP(B216,Database!$F:$AY,MATCH($D$1,Database!$F$1:$AY$1,),))))-(((VLOOKUP(EDATE(B216,-12),Database!$F:$AY,MATCH($D$1,Database!$F$1:$AY$1,),)))))/(((VLOOKUP(EDATE(B216,-12),Database!$F:$AY,MATCH($D$1,Database!$F$1:$AY$1,),))))</f>
        <v/>
      </c>
      <c r="E216" s="13">
        <f>((((VLOOKUP(B216,Database!$F:$AY,MATCH($E$1,Database!$F$1:$AY$1,),))))-(((VLOOKUP(EDATE(B216,-12),Database!$F:$AY,MATCH($E$1,Database!$F$1:$AY$1,),)))))/(((VLOOKUP(EDATE(B216,-12),Database!$F:$AY,MATCH($E$1,Database!$F$1:$AY$1,),))))</f>
        <v/>
      </c>
      <c r="F216" s="13">
        <f>((((VLOOKUP(B216,Database!$F:$AY,MATCH($F$1,Database!$F$1:$AY$1,),))))-(((VLOOKUP(EDATE(B216,-12),Database!$F:$AY,MATCH($F$1,Database!$F$1:$AY$1,),)))))/(((VLOOKUP(EDATE(B216,-12),Database!$F:$AY,MATCH($F$1,Database!$F$1:$AY$1,),))))</f>
        <v/>
      </c>
      <c r="G216" s="13">
        <f>((((VLOOKUP(B216,Database!$F:$AY,MATCH($G$1,Database!$F$1:$AY$1,),))))-(((VLOOKUP(EDATE(B216,-12),Database!$F:$AY,MATCH($G$1,Database!$F$1:$AY$1,),)))))/(((VLOOKUP(EDATE(B216,-12),Database!$F:$AY,MATCH($G$1,Database!$F$1:$AY$1,),))))</f>
        <v/>
      </c>
      <c r="H216" s="13">
        <f>((((VLOOKUP(B216,Database!$F:$AY,MATCH($H$1,Database!$F$1:$AY$1,),))))-(((VLOOKUP(EDATE(B216,-12),Database!$F:$AY,MATCH($H$1,Database!$F$1:$AY$1,),)))))/(((VLOOKUP(EDATE(B216,-12),Database!$F:$AY,MATCH($H$1,Database!$F$1:$AY$1,),))))</f>
        <v/>
      </c>
      <c r="I216" s="13">
        <f>((((VLOOKUP(B216,Database!$F:$AY,MATCH($I$1,Database!$F$1:$AY$1,),))))-(((VLOOKUP(EDATE(B216,-12),Database!$F:$AY,MATCH($I$1,Database!$F$1:$AY$1,),)))))/(((VLOOKUP(EDATE(B216,-12),Database!$F:$AY,MATCH($I$1,Database!$F$1:$AY$1,),))))</f>
        <v/>
      </c>
      <c r="J216" s="13">
        <f>((((VLOOKUP(B216,Database!$F:$AY,MATCH($J$1,Database!$F$1:$AY$1,),))))-(((VLOOKUP(EDATE(B216,-12),Database!$F:$AY,MATCH($J$1,Database!$F$1:$AY$1,),)))))/(((VLOOKUP(EDATE(B216,-12),Database!$F:$AY,MATCH($J$1,Database!$F$1:$AY$1,),))))</f>
        <v/>
      </c>
      <c r="K216" s="13">
        <f>((((VLOOKUP(B216,Database!$F:$AY,MATCH($K$1,Database!$F$1:$AY$1,),))))-(((VLOOKUP(EDATE(B216,-12),Database!$F:$AY,MATCH($K$1,Database!$F$1:$AY$1,),)))))/(((VLOOKUP(EDATE(B216,-12),Database!$F:$AY,MATCH($K$1,Database!$F$1:$AY$1,),))))</f>
        <v/>
      </c>
      <c r="L216" s="13">
        <f>((((VLOOKUP(B216,Database!$F:$AY,MATCH($L$1,Database!$F$1:$AY$1,),))))-(((VLOOKUP(EDATE(B216,-12),Database!$F:$AY,MATCH($L$1,Database!$F$1:$AY$1,),)))))/(((VLOOKUP(EDATE(B216,-12),Database!$F:$AY,MATCH($L$1,Database!$F$1:$AY$1,),))))</f>
        <v/>
      </c>
      <c r="M216" s="13">
        <f>((((VLOOKUP(B216,Database!$F:$AY,MATCH($M$1,Database!$F$1:$AY$1,),))))-(((VLOOKUP(EDATE(B216,-12),Database!$F:$AY,MATCH($M$1,Database!$F$1:$AY$1,),)))))/(((VLOOKUP(EDATE(B216,-12),Database!$F:$AY,MATCH($M$1,Database!$F$1:$AY$1,),))))</f>
        <v/>
      </c>
      <c r="N216" s="13">
        <f>((((VLOOKUP(B216,Database!$F:$AY,MATCH($N$1,Database!$F$1:$AY$1,),))))-(((VLOOKUP(EDATE(B216,-12),Database!$F:$AY,MATCH($N$1,Database!$F$1:$AY$1,),)))))/(((VLOOKUP(EDATE(B216,-12),Database!$F:$AY,MATCH($N$1,Database!$F$1:$AY$1,),))))</f>
        <v/>
      </c>
      <c r="O216" s="13">
        <f>((((VLOOKUP(B216,Database!$F:$AY,MATCH($O$1,Database!$F$1:$AY$1,),))))-(((VLOOKUP(EDATE(B216,-12),Database!$F:$AY,MATCH($O$1,Database!$F$1:$AY$1,),)))))/(((VLOOKUP(EDATE(B216,-12),Database!$F:$AY,MATCH($O$1,Database!$F$1:$AY$1,),))))</f>
        <v/>
      </c>
      <c r="P216" s="13">
        <f>((((VLOOKUP(B216,Database!$F:$AY,MATCH($P$1,Database!$F$1:$AY$1,),))))-(((VLOOKUP(EDATE(B216,-12),Database!$F:$AY,MATCH($P$1,Database!$F$1:$AY$1,),)))))/(((VLOOKUP(EDATE(B216,-12),Database!$F:$AY,MATCH($P$1,Database!$F$1:$AY$1,),))))</f>
        <v/>
      </c>
      <c r="Q216" s="13">
        <f>((((VLOOKUP(B216,Database!$F:$AY,MATCH($Q$1,Database!$F$1:$AY$1,),))))-(((VLOOKUP(EDATE(B216,-12),Database!$F:$AY,MATCH($Q$1,Database!$F$1:$AY$1,),)))))/(((VLOOKUP(EDATE(B216,-12),Database!$F:$AY,MATCH($Q$1,Database!$F$1:$AY$1,),))))</f>
        <v/>
      </c>
      <c r="R216" s="13">
        <f>((((VLOOKUP(B216,Database!$F:$AY,MATCH($R$1,Database!$F$1:$AY$1,),))))-(((VLOOKUP(EDATE(B216,-12),Database!$F:$AY,MATCH($R$1,Database!$F$1:$AY$1,),)))))/(((VLOOKUP(EDATE(B216,-12),Database!$F:$AY,MATCH($R$1,Database!$F$1:$AY$1,),))))</f>
        <v/>
      </c>
      <c r="S216" s="13">
        <f>((((VLOOKUP(B216,Database!$F:$AY,MATCH($S$1,Database!$F$1:$AY$1,),))))-(((VLOOKUP(EDATE(B216,-12),Database!$F:$AY,MATCH($S$1,Database!$F$1:$AY$1,),)))))/(((VLOOKUP(EDATE(B216,-12),Database!$F:$AY,MATCH($S$1,Database!$F$1:$AY$1,),))))</f>
        <v/>
      </c>
      <c r="T216" s="13">
        <f>((((VLOOKUP(B216,Database!$F:$AY,MATCH($T$1,Database!$F$1:$AY$1,),))))-(((VLOOKUP(EDATE(B216,-12),Database!$F:$AY,MATCH($T$1,Database!$F$1:$AY$1,),)))))/(((VLOOKUP(EDATE(B216,-12),Database!$F:$AY,MATCH($T$1,Database!$F$1:$AY$1,),))))</f>
        <v/>
      </c>
      <c r="U216" s="13">
        <f>((((VLOOKUP(B216,Database!$F:$AY,MATCH($U$1,Database!$F$1:$AY$1,),))))-(((VLOOKUP(EDATE(B216,-12),Database!$F:$AY,MATCH($U$1,Database!$F$1:$AY$1,),)))))/(((VLOOKUP(EDATE(B216,-12),Database!$F:$AY,MATCH($U$1,Database!$F$1:$AY$1,),))))</f>
        <v/>
      </c>
      <c r="V216" s="13">
        <f>((((VLOOKUP(B216,Database!$F:$AY,MATCH($V$1,Database!$F$1:$AY$1,),))))-(((VLOOKUP(EDATE(B216,-12),Database!$F:$AY,MATCH($V$1,Database!$F$1:$AY$1,),)))))/(((VLOOKUP(EDATE(B216,-12),Database!$F:$AY,MATCH($V$1,Database!$F$1:$AY$1,),))))</f>
        <v/>
      </c>
    </row>
    <row r="217" customFormat="1" s="100">
      <c r="A217" s="45" t="n"/>
      <c r="B217" s="46" t="n">
        <v>38749</v>
      </c>
      <c r="C217" s="13">
        <f>((((VLOOKUP(B217,Database!$F:$AY,MATCH($C$1,Database!$F$1:$AY$1,),))))-(((VLOOKUP(EDATE(B217,-12),Database!$F:$AY,MATCH($C$1,Database!$F$1:$AY$1,),)))))/(((VLOOKUP(EDATE(B217,-12),Database!$F:$AY,MATCH($C$1,Database!$F$1:$AY$1,),))))</f>
        <v/>
      </c>
      <c r="D217" s="13">
        <f>((((VLOOKUP(B217,Database!$F:$AY,MATCH($D$1,Database!$F$1:$AY$1,),))))-(((VLOOKUP(EDATE(B217,-12),Database!$F:$AY,MATCH($D$1,Database!$F$1:$AY$1,),)))))/(((VLOOKUP(EDATE(B217,-12),Database!$F:$AY,MATCH($D$1,Database!$F$1:$AY$1,),))))</f>
        <v/>
      </c>
      <c r="E217" s="13">
        <f>((((VLOOKUP(B217,Database!$F:$AY,MATCH($E$1,Database!$F$1:$AY$1,),))))-(((VLOOKUP(EDATE(B217,-12),Database!$F:$AY,MATCH($E$1,Database!$F$1:$AY$1,),)))))/(((VLOOKUP(EDATE(B217,-12),Database!$F:$AY,MATCH($E$1,Database!$F$1:$AY$1,),))))</f>
        <v/>
      </c>
      <c r="F217" s="13">
        <f>((((VLOOKUP(B217,Database!$F:$AY,MATCH($F$1,Database!$F$1:$AY$1,),))))-(((VLOOKUP(EDATE(B217,-12),Database!$F:$AY,MATCH($F$1,Database!$F$1:$AY$1,),)))))/(((VLOOKUP(EDATE(B217,-12),Database!$F:$AY,MATCH($F$1,Database!$F$1:$AY$1,),))))</f>
        <v/>
      </c>
      <c r="G217" s="13">
        <f>((((VLOOKUP(B217,Database!$F:$AY,MATCH($G$1,Database!$F$1:$AY$1,),))))-(((VLOOKUP(EDATE(B217,-12),Database!$F:$AY,MATCH($G$1,Database!$F$1:$AY$1,),)))))/(((VLOOKUP(EDATE(B217,-12),Database!$F:$AY,MATCH($G$1,Database!$F$1:$AY$1,),))))</f>
        <v/>
      </c>
      <c r="H217" s="13">
        <f>((((VLOOKUP(B217,Database!$F:$AY,MATCH($H$1,Database!$F$1:$AY$1,),))))-(((VLOOKUP(EDATE(B217,-12),Database!$F:$AY,MATCH($H$1,Database!$F$1:$AY$1,),)))))/(((VLOOKUP(EDATE(B217,-12),Database!$F:$AY,MATCH($H$1,Database!$F$1:$AY$1,),))))</f>
        <v/>
      </c>
      <c r="I217" s="13">
        <f>((((VLOOKUP(B217,Database!$F:$AY,MATCH($I$1,Database!$F$1:$AY$1,),))))-(((VLOOKUP(EDATE(B217,-12),Database!$F:$AY,MATCH($I$1,Database!$F$1:$AY$1,),)))))/(((VLOOKUP(EDATE(B217,-12),Database!$F:$AY,MATCH($I$1,Database!$F$1:$AY$1,),))))</f>
        <v/>
      </c>
      <c r="J217" s="13">
        <f>((((VLOOKUP(B217,Database!$F:$AY,MATCH($J$1,Database!$F$1:$AY$1,),))))-(((VLOOKUP(EDATE(B217,-12),Database!$F:$AY,MATCH($J$1,Database!$F$1:$AY$1,),)))))/(((VLOOKUP(EDATE(B217,-12),Database!$F:$AY,MATCH($J$1,Database!$F$1:$AY$1,),))))</f>
        <v/>
      </c>
      <c r="K217" s="13">
        <f>((((VLOOKUP(B217,Database!$F:$AY,MATCH($K$1,Database!$F$1:$AY$1,),))))-(((VLOOKUP(EDATE(B217,-12),Database!$F:$AY,MATCH($K$1,Database!$F$1:$AY$1,),)))))/(((VLOOKUP(EDATE(B217,-12),Database!$F:$AY,MATCH($K$1,Database!$F$1:$AY$1,),))))</f>
        <v/>
      </c>
      <c r="L217" s="13">
        <f>((((VLOOKUP(B217,Database!$F:$AY,MATCH($L$1,Database!$F$1:$AY$1,),))))-(((VLOOKUP(EDATE(B217,-12),Database!$F:$AY,MATCH($L$1,Database!$F$1:$AY$1,),)))))/(((VLOOKUP(EDATE(B217,-12),Database!$F:$AY,MATCH($L$1,Database!$F$1:$AY$1,),))))</f>
        <v/>
      </c>
      <c r="M217" s="13">
        <f>((((VLOOKUP(B217,Database!$F:$AY,MATCH($M$1,Database!$F$1:$AY$1,),))))-(((VLOOKUP(EDATE(B217,-12),Database!$F:$AY,MATCH($M$1,Database!$F$1:$AY$1,),)))))/(((VLOOKUP(EDATE(B217,-12),Database!$F:$AY,MATCH($M$1,Database!$F$1:$AY$1,),))))</f>
        <v/>
      </c>
      <c r="N217" s="13">
        <f>((((VLOOKUP(B217,Database!$F:$AY,MATCH($N$1,Database!$F$1:$AY$1,),))))-(((VLOOKUP(EDATE(B217,-12),Database!$F:$AY,MATCH($N$1,Database!$F$1:$AY$1,),)))))/(((VLOOKUP(EDATE(B217,-12),Database!$F:$AY,MATCH($N$1,Database!$F$1:$AY$1,),))))</f>
        <v/>
      </c>
      <c r="O217" s="13">
        <f>((((VLOOKUP(B217,Database!$F:$AY,MATCH($O$1,Database!$F$1:$AY$1,),))))-(((VLOOKUP(EDATE(B217,-12),Database!$F:$AY,MATCH($O$1,Database!$F$1:$AY$1,),)))))/(((VLOOKUP(EDATE(B217,-12),Database!$F:$AY,MATCH($O$1,Database!$F$1:$AY$1,),))))</f>
        <v/>
      </c>
      <c r="P217" s="13">
        <f>((((VLOOKUP(B217,Database!$F:$AY,MATCH($P$1,Database!$F$1:$AY$1,),))))-(((VLOOKUP(EDATE(B217,-12),Database!$F:$AY,MATCH($P$1,Database!$F$1:$AY$1,),)))))/(((VLOOKUP(EDATE(B217,-12),Database!$F:$AY,MATCH($P$1,Database!$F$1:$AY$1,),))))</f>
        <v/>
      </c>
      <c r="Q217" s="13">
        <f>((((VLOOKUP(B217,Database!$F:$AY,MATCH($Q$1,Database!$F$1:$AY$1,),))))-(((VLOOKUP(EDATE(B217,-12),Database!$F:$AY,MATCH($Q$1,Database!$F$1:$AY$1,),)))))/(((VLOOKUP(EDATE(B217,-12),Database!$F:$AY,MATCH($Q$1,Database!$F$1:$AY$1,),))))</f>
        <v/>
      </c>
      <c r="R217" s="13">
        <f>((((VLOOKUP(B217,Database!$F:$AY,MATCH($R$1,Database!$F$1:$AY$1,),))))-(((VLOOKUP(EDATE(B217,-12),Database!$F:$AY,MATCH($R$1,Database!$F$1:$AY$1,),)))))/(((VLOOKUP(EDATE(B217,-12),Database!$F:$AY,MATCH($R$1,Database!$F$1:$AY$1,),))))</f>
        <v/>
      </c>
      <c r="S217" s="13">
        <f>((((VLOOKUP(B217,Database!$F:$AY,MATCH($S$1,Database!$F$1:$AY$1,),))))-(((VLOOKUP(EDATE(B217,-12),Database!$F:$AY,MATCH($S$1,Database!$F$1:$AY$1,),)))))/(((VLOOKUP(EDATE(B217,-12),Database!$F:$AY,MATCH($S$1,Database!$F$1:$AY$1,),))))</f>
        <v/>
      </c>
      <c r="T217" s="13">
        <f>((((VLOOKUP(B217,Database!$F:$AY,MATCH($T$1,Database!$F$1:$AY$1,),))))-(((VLOOKUP(EDATE(B217,-12),Database!$F:$AY,MATCH($T$1,Database!$F$1:$AY$1,),)))))/(((VLOOKUP(EDATE(B217,-12),Database!$F:$AY,MATCH($T$1,Database!$F$1:$AY$1,),))))</f>
        <v/>
      </c>
      <c r="U217" s="13">
        <f>((((VLOOKUP(B217,Database!$F:$AY,MATCH($U$1,Database!$F$1:$AY$1,),))))-(((VLOOKUP(EDATE(B217,-12),Database!$F:$AY,MATCH($U$1,Database!$F$1:$AY$1,),)))))/(((VLOOKUP(EDATE(B217,-12),Database!$F:$AY,MATCH($U$1,Database!$F$1:$AY$1,),))))</f>
        <v/>
      </c>
      <c r="V217" s="13">
        <f>((((VLOOKUP(B217,Database!$F:$AY,MATCH($V$1,Database!$F$1:$AY$1,),))))-(((VLOOKUP(EDATE(B217,-12),Database!$F:$AY,MATCH($V$1,Database!$F$1:$AY$1,),)))))/(((VLOOKUP(EDATE(B217,-12),Database!$F:$AY,MATCH($V$1,Database!$F$1:$AY$1,),))))</f>
        <v/>
      </c>
    </row>
    <row r="218" customFormat="1" s="100">
      <c r="A218" s="45" t="n"/>
      <c r="B218" s="46" t="n">
        <v>38777</v>
      </c>
      <c r="C218" s="13">
        <f>((((VLOOKUP(B218,Database!$F:$AY,MATCH($C$1,Database!$F$1:$AY$1,),))))-(((VLOOKUP(EDATE(B218,-12),Database!$F:$AY,MATCH($C$1,Database!$F$1:$AY$1,),)))))/(((VLOOKUP(EDATE(B218,-12),Database!$F:$AY,MATCH($C$1,Database!$F$1:$AY$1,),))))</f>
        <v/>
      </c>
      <c r="D218" s="13">
        <f>((((VLOOKUP(B218,Database!$F:$AY,MATCH($D$1,Database!$F$1:$AY$1,),))))-(((VLOOKUP(EDATE(B218,-12),Database!$F:$AY,MATCH($D$1,Database!$F$1:$AY$1,),)))))/(((VLOOKUP(EDATE(B218,-12),Database!$F:$AY,MATCH($D$1,Database!$F$1:$AY$1,),))))</f>
        <v/>
      </c>
      <c r="E218" s="13">
        <f>((((VLOOKUP(B218,Database!$F:$AY,MATCH($E$1,Database!$F$1:$AY$1,),))))-(((VLOOKUP(EDATE(B218,-12),Database!$F:$AY,MATCH($E$1,Database!$F$1:$AY$1,),)))))/(((VLOOKUP(EDATE(B218,-12),Database!$F:$AY,MATCH($E$1,Database!$F$1:$AY$1,),))))</f>
        <v/>
      </c>
      <c r="F218" s="13">
        <f>((((VLOOKUP(B218,Database!$F:$AY,MATCH($F$1,Database!$F$1:$AY$1,),))))-(((VLOOKUP(EDATE(B218,-12),Database!$F:$AY,MATCH($F$1,Database!$F$1:$AY$1,),)))))/(((VLOOKUP(EDATE(B218,-12),Database!$F:$AY,MATCH($F$1,Database!$F$1:$AY$1,),))))</f>
        <v/>
      </c>
      <c r="G218" s="13">
        <f>((((VLOOKUP(B218,Database!$F:$AY,MATCH($G$1,Database!$F$1:$AY$1,),))))-(((VLOOKUP(EDATE(B218,-12),Database!$F:$AY,MATCH($G$1,Database!$F$1:$AY$1,),)))))/(((VLOOKUP(EDATE(B218,-12),Database!$F:$AY,MATCH($G$1,Database!$F$1:$AY$1,),))))</f>
        <v/>
      </c>
      <c r="H218" s="13">
        <f>((((VLOOKUP(B218,Database!$F:$AY,MATCH($H$1,Database!$F$1:$AY$1,),))))-(((VLOOKUP(EDATE(B218,-12),Database!$F:$AY,MATCH($H$1,Database!$F$1:$AY$1,),)))))/(((VLOOKUP(EDATE(B218,-12),Database!$F:$AY,MATCH($H$1,Database!$F$1:$AY$1,),))))</f>
        <v/>
      </c>
      <c r="I218" s="13">
        <f>((((VLOOKUP(B218,Database!$F:$AY,MATCH($I$1,Database!$F$1:$AY$1,),))))-(((VLOOKUP(EDATE(B218,-12),Database!$F:$AY,MATCH($I$1,Database!$F$1:$AY$1,),)))))/(((VLOOKUP(EDATE(B218,-12),Database!$F:$AY,MATCH($I$1,Database!$F$1:$AY$1,),))))</f>
        <v/>
      </c>
      <c r="J218" s="13">
        <f>((((VLOOKUP(B218,Database!$F:$AY,MATCH($J$1,Database!$F$1:$AY$1,),))))-(((VLOOKUP(EDATE(B218,-12),Database!$F:$AY,MATCH($J$1,Database!$F$1:$AY$1,),)))))/(((VLOOKUP(EDATE(B218,-12),Database!$F:$AY,MATCH($J$1,Database!$F$1:$AY$1,),))))</f>
        <v/>
      </c>
      <c r="K218" s="13">
        <f>((((VLOOKUP(B218,Database!$F:$AY,MATCH($K$1,Database!$F$1:$AY$1,),))))-(((VLOOKUP(EDATE(B218,-12),Database!$F:$AY,MATCH($K$1,Database!$F$1:$AY$1,),)))))/(((VLOOKUP(EDATE(B218,-12),Database!$F:$AY,MATCH($K$1,Database!$F$1:$AY$1,),))))</f>
        <v/>
      </c>
      <c r="L218" s="13">
        <f>((((VLOOKUP(B218,Database!$F:$AY,MATCH($L$1,Database!$F$1:$AY$1,),))))-(((VLOOKUP(EDATE(B218,-12),Database!$F:$AY,MATCH($L$1,Database!$F$1:$AY$1,),)))))/(((VLOOKUP(EDATE(B218,-12),Database!$F:$AY,MATCH($L$1,Database!$F$1:$AY$1,),))))</f>
        <v/>
      </c>
      <c r="M218" s="13">
        <f>((((VLOOKUP(B218,Database!$F:$AY,MATCH($M$1,Database!$F$1:$AY$1,),))))-(((VLOOKUP(EDATE(B218,-12),Database!$F:$AY,MATCH($M$1,Database!$F$1:$AY$1,),)))))/(((VLOOKUP(EDATE(B218,-12),Database!$F:$AY,MATCH($M$1,Database!$F$1:$AY$1,),))))</f>
        <v/>
      </c>
      <c r="N218" s="13">
        <f>((((VLOOKUP(B218,Database!$F:$AY,MATCH($N$1,Database!$F$1:$AY$1,),))))-(((VLOOKUP(EDATE(B218,-12),Database!$F:$AY,MATCH($N$1,Database!$F$1:$AY$1,),)))))/(((VLOOKUP(EDATE(B218,-12),Database!$F:$AY,MATCH($N$1,Database!$F$1:$AY$1,),))))</f>
        <v/>
      </c>
      <c r="O218" s="13">
        <f>((((VLOOKUP(B218,Database!$F:$AY,MATCH($O$1,Database!$F$1:$AY$1,),))))-(((VLOOKUP(EDATE(B218,-12),Database!$F:$AY,MATCH($O$1,Database!$F$1:$AY$1,),)))))/(((VLOOKUP(EDATE(B218,-12),Database!$F:$AY,MATCH($O$1,Database!$F$1:$AY$1,),))))</f>
        <v/>
      </c>
      <c r="P218" s="13">
        <f>((((VLOOKUP(B218,Database!$F:$AY,MATCH($P$1,Database!$F$1:$AY$1,),))))-(((VLOOKUP(EDATE(B218,-12),Database!$F:$AY,MATCH($P$1,Database!$F$1:$AY$1,),)))))/(((VLOOKUP(EDATE(B218,-12),Database!$F:$AY,MATCH($P$1,Database!$F$1:$AY$1,),))))</f>
        <v/>
      </c>
      <c r="Q218" s="13">
        <f>((((VLOOKUP(B218,Database!$F:$AY,MATCH($Q$1,Database!$F$1:$AY$1,),))))-(((VLOOKUP(EDATE(B218,-12),Database!$F:$AY,MATCH($Q$1,Database!$F$1:$AY$1,),)))))/(((VLOOKUP(EDATE(B218,-12),Database!$F:$AY,MATCH($Q$1,Database!$F$1:$AY$1,),))))</f>
        <v/>
      </c>
      <c r="R218" s="13">
        <f>((((VLOOKUP(B218,Database!$F:$AY,MATCH($R$1,Database!$F$1:$AY$1,),))))-(((VLOOKUP(EDATE(B218,-12),Database!$F:$AY,MATCH($R$1,Database!$F$1:$AY$1,),)))))/(((VLOOKUP(EDATE(B218,-12),Database!$F:$AY,MATCH($R$1,Database!$F$1:$AY$1,),))))</f>
        <v/>
      </c>
      <c r="S218" s="13">
        <f>((((VLOOKUP(B218,Database!$F:$AY,MATCH($S$1,Database!$F$1:$AY$1,),))))-(((VLOOKUP(EDATE(B218,-12),Database!$F:$AY,MATCH($S$1,Database!$F$1:$AY$1,),)))))/(((VLOOKUP(EDATE(B218,-12),Database!$F:$AY,MATCH($S$1,Database!$F$1:$AY$1,),))))</f>
        <v/>
      </c>
      <c r="T218" s="13">
        <f>((((VLOOKUP(B218,Database!$F:$AY,MATCH($T$1,Database!$F$1:$AY$1,),))))-(((VLOOKUP(EDATE(B218,-12),Database!$F:$AY,MATCH($T$1,Database!$F$1:$AY$1,),)))))/(((VLOOKUP(EDATE(B218,-12),Database!$F:$AY,MATCH($T$1,Database!$F$1:$AY$1,),))))</f>
        <v/>
      </c>
      <c r="U218" s="13">
        <f>((((VLOOKUP(B218,Database!$F:$AY,MATCH($U$1,Database!$F$1:$AY$1,),))))-(((VLOOKUP(EDATE(B218,-12),Database!$F:$AY,MATCH($U$1,Database!$F$1:$AY$1,),)))))/(((VLOOKUP(EDATE(B218,-12),Database!$F:$AY,MATCH($U$1,Database!$F$1:$AY$1,),))))</f>
        <v/>
      </c>
      <c r="V218" s="13">
        <f>((((VLOOKUP(B218,Database!$F:$AY,MATCH($V$1,Database!$F$1:$AY$1,),))))-(((VLOOKUP(EDATE(B218,-12),Database!$F:$AY,MATCH($V$1,Database!$F$1:$AY$1,),)))))/(((VLOOKUP(EDATE(B218,-12),Database!$F:$AY,MATCH($V$1,Database!$F$1:$AY$1,),))))</f>
        <v/>
      </c>
    </row>
    <row r="219" customFormat="1" s="100">
      <c r="A219" s="45" t="n"/>
      <c r="B219" s="46" t="n">
        <v>38808</v>
      </c>
      <c r="C219" s="13">
        <f>((((VLOOKUP(B219,Database!$F:$AY,MATCH($C$1,Database!$F$1:$AY$1,),))))-(((VLOOKUP(EDATE(B219,-12),Database!$F:$AY,MATCH($C$1,Database!$F$1:$AY$1,),)))))/(((VLOOKUP(EDATE(B219,-12),Database!$F:$AY,MATCH($C$1,Database!$F$1:$AY$1,),))))</f>
        <v/>
      </c>
      <c r="D219" s="13">
        <f>((((VLOOKUP(B219,Database!$F:$AY,MATCH($D$1,Database!$F$1:$AY$1,),))))-(((VLOOKUP(EDATE(B219,-12),Database!$F:$AY,MATCH($D$1,Database!$F$1:$AY$1,),)))))/(((VLOOKUP(EDATE(B219,-12),Database!$F:$AY,MATCH($D$1,Database!$F$1:$AY$1,),))))</f>
        <v/>
      </c>
      <c r="E219" s="13">
        <f>((((VLOOKUP(B219,Database!$F:$AY,MATCH($E$1,Database!$F$1:$AY$1,),))))-(((VLOOKUP(EDATE(B219,-12),Database!$F:$AY,MATCH($E$1,Database!$F$1:$AY$1,),)))))/(((VLOOKUP(EDATE(B219,-12),Database!$F:$AY,MATCH($E$1,Database!$F$1:$AY$1,),))))</f>
        <v/>
      </c>
      <c r="F219" s="13">
        <f>((((VLOOKUP(B219,Database!$F:$AY,MATCH($F$1,Database!$F$1:$AY$1,),))))-(((VLOOKUP(EDATE(B219,-12),Database!$F:$AY,MATCH($F$1,Database!$F$1:$AY$1,),)))))/(((VLOOKUP(EDATE(B219,-12),Database!$F:$AY,MATCH($F$1,Database!$F$1:$AY$1,),))))</f>
        <v/>
      </c>
      <c r="G219" s="13">
        <f>((((VLOOKUP(B219,Database!$F:$AY,MATCH($G$1,Database!$F$1:$AY$1,),))))-(((VLOOKUP(EDATE(B219,-12),Database!$F:$AY,MATCH($G$1,Database!$F$1:$AY$1,),)))))/(((VLOOKUP(EDATE(B219,-12),Database!$F:$AY,MATCH($G$1,Database!$F$1:$AY$1,),))))</f>
        <v/>
      </c>
      <c r="H219" s="13">
        <f>((((VLOOKUP(B219,Database!$F:$AY,MATCH($H$1,Database!$F$1:$AY$1,),))))-(((VLOOKUP(EDATE(B219,-12),Database!$F:$AY,MATCH($H$1,Database!$F$1:$AY$1,),)))))/(((VLOOKUP(EDATE(B219,-12),Database!$F:$AY,MATCH($H$1,Database!$F$1:$AY$1,),))))</f>
        <v/>
      </c>
      <c r="I219" s="13">
        <f>((((VLOOKUP(B219,Database!$F:$AY,MATCH($I$1,Database!$F$1:$AY$1,),))))-(((VLOOKUP(EDATE(B219,-12),Database!$F:$AY,MATCH($I$1,Database!$F$1:$AY$1,),)))))/(((VLOOKUP(EDATE(B219,-12),Database!$F:$AY,MATCH($I$1,Database!$F$1:$AY$1,),))))</f>
        <v/>
      </c>
      <c r="J219" s="13">
        <f>((((VLOOKUP(B219,Database!$F:$AY,MATCH($J$1,Database!$F$1:$AY$1,),))))-(((VLOOKUP(EDATE(B219,-12),Database!$F:$AY,MATCH($J$1,Database!$F$1:$AY$1,),)))))/(((VLOOKUP(EDATE(B219,-12),Database!$F:$AY,MATCH($J$1,Database!$F$1:$AY$1,),))))</f>
        <v/>
      </c>
      <c r="K219" s="13">
        <f>((((VLOOKUP(B219,Database!$F:$AY,MATCH($K$1,Database!$F$1:$AY$1,),))))-(((VLOOKUP(EDATE(B219,-12),Database!$F:$AY,MATCH($K$1,Database!$F$1:$AY$1,),)))))/(((VLOOKUP(EDATE(B219,-12),Database!$F:$AY,MATCH($K$1,Database!$F$1:$AY$1,),))))</f>
        <v/>
      </c>
      <c r="L219" s="13">
        <f>((((VLOOKUP(B219,Database!$F:$AY,MATCH($L$1,Database!$F$1:$AY$1,),))))-(((VLOOKUP(EDATE(B219,-12),Database!$F:$AY,MATCH($L$1,Database!$F$1:$AY$1,),)))))/(((VLOOKUP(EDATE(B219,-12),Database!$F:$AY,MATCH($L$1,Database!$F$1:$AY$1,),))))</f>
        <v/>
      </c>
      <c r="M219" s="13">
        <f>((((VLOOKUP(B219,Database!$F:$AY,MATCH($M$1,Database!$F$1:$AY$1,),))))-(((VLOOKUP(EDATE(B219,-12),Database!$F:$AY,MATCH($M$1,Database!$F$1:$AY$1,),)))))/(((VLOOKUP(EDATE(B219,-12),Database!$F:$AY,MATCH($M$1,Database!$F$1:$AY$1,),))))</f>
        <v/>
      </c>
      <c r="N219" s="13">
        <f>((((VLOOKUP(B219,Database!$F:$AY,MATCH($N$1,Database!$F$1:$AY$1,),))))-(((VLOOKUP(EDATE(B219,-12),Database!$F:$AY,MATCH($N$1,Database!$F$1:$AY$1,),)))))/(((VLOOKUP(EDATE(B219,-12),Database!$F:$AY,MATCH($N$1,Database!$F$1:$AY$1,),))))</f>
        <v/>
      </c>
      <c r="O219" s="13">
        <f>((((VLOOKUP(B219,Database!$F:$AY,MATCH($O$1,Database!$F$1:$AY$1,),))))-(((VLOOKUP(EDATE(B219,-12),Database!$F:$AY,MATCH($O$1,Database!$F$1:$AY$1,),)))))/(((VLOOKUP(EDATE(B219,-12),Database!$F:$AY,MATCH($O$1,Database!$F$1:$AY$1,),))))</f>
        <v/>
      </c>
      <c r="P219" s="13">
        <f>((((VLOOKUP(B219,Database!$F:$AY,MATCH($P$1,Database!$F$1:$AY$1,),))))-(((VLOOKUP(EDATE(B219,-12),Database!$F:$AY,MATCH($P$1,Database!$F$1:$AY$1,),)))))/(((VLOOKUP(EDATE(B219,-12),Database!$F:$AY,MATCH($P$1,Database!$F$1:$AY$1,),))))</f>
        <v/>
      </c>
      <c r="Q219" s="13">
        <f>((((VLOOKUP(B219,Database!$F:$AY,MATCH($Q$1,Database!$F$1:$AY$1,),))))-(((VLOOKUP(EDATE(B219,-12),Database!$F:$AY,MATCH($Q$1,Database!$F$1:$AY$1,),)))))/(((VLOOKUP(EDATE(B219,-12),Database!$F:$AY,MATCH($Q$1,Database!$F$1:$AY$1,),))))</f>
        <v/>
      </c>
      <c r="R219" s="13">
        <f>((((VLOOKUP(B219,Database!$F:$AY,MATCH($R$1,Database!$F$1:$AY$1,),))))-(((VLOOKUP(EDATE(B219,-12),Database!$F:$AY,MATCH($R$1,Database!$F$1:$AY$1,),)))))/(((VLOOKUP(EDATE(B219,-12),Database!$F:$AY,MATCH($R$1,Database!$F$1:$AY$1,),))))</f>
        <v/>
      </c>
      <c r="S219" s="13">
        <f>((((VLOOKUP(B219,Database!$F:$AY,MATCH($S$1,Database!$F$1:$AY$1,),))))-(((VLOOKUP(EDATE(B219,-12),Database!$F:$AY,MATCH($S$1,Database!$F$1:$AY$1,),)))))/(((VLOOKUP(EDATE(B219,-12),Database!$F:$AY,MATCH($S$1,Database!$F$1:$AY$1,),))))</f>
        <v/>
      </c>
      <c r="T219" s="13">
        <f>((((VLOOKUP(B219,Database!$F:$AY,MATCH($T$1,Database!$F$1:$AY$1,),))))-(((VLOOKUP(EDATE(B219,-12),Database!$F:$AY,MATCH($T$1,Database!$F$1:$AY$1,),)))))/(((VLOOKUP(EDATE(B219,-12),Database!$F:$AY,MATCH($T$1,Database!$F$1:$AY$1,),))))</f>
        <v/>
      </c>
      <c r="U219" s="13">
        <f>((((VLOOKUP(B219,Database!$F:$AY,MATCH($U$1,Database!$F$1:$AY$1,),))))-(((VLOOKUP(EDATE(B219,-12),Database!$F:$AY,MATCH($U$1,Database!$F$1:$AY$1,),)))))/(((VLOOKUP(EDATE(B219,-12),Database!$F:$AY,MATCH($U$1,Database!$F$1:$AY$1,),))))</f>
        <v/>
      </c>
      <c r="V219" s="13">
        <f>((((VLOOKUP(B219,Database!$F:$AY,MATCH($V$1,Database!$F$1:$AY$1,),))))-(((VLOOKUP(EDATE(B219,-12),Database!$F:$AY,MATCH($V$1,Database!$F$1:$AY$1,),)))))/(((VLOOKUP(EDATE(B219,-12),Database!$F:$AY,MATCH($V$1,Database!$F$1:$AY$1,),))))</f>
        <v/>
      </c>
    </row>
    <row r="220" customFormat="1" s="100">
      <c r="A220" s="45" t="n"/>
      <c r="B220" s="46" t="n">
        <v>38838</v>
      </c>
      <c r="C220" s="13">
        <f>((((VLOOKUP(B220,Database!$F:$AY,MATCH($C$1,Database!$F$1:$AY$1,),))))-(((VLOOKUP(EDATE(B220,-12),Database!$F:$AY,MATCH($C$1,Database!$F$1:$AY$1,),)))))/(((VLOOKUP(EDATE(B220,-12),Database!$F:$AY,MATCH($C$1,Database!$F$1:$AY$1,),))))</f>
        <v/>
      </c>
      <c r="D220" s="13">
        <f>((((VLOOKUP(B220,Database!$F:$AY,MATCH($D$1,Database!$F$1:$AY$1,),))))-(((VLOOKUP(EDATE(B220,-12),Database!$F:$AY,MATCH($D$1,Database!$F$1:$AY$1,),)))))/(((VLOOKUP(EDATE(B220,-12),Database!$F:$AY,MATCH($D$1,Database!$F$1:$AY$1,),))))</f>
        <v/>
      </c>
      <c r="E220" s="13">
        <f>((((VLOOKUP(B220,Database!$F:$AY,MATCH($E$1,Database!$F$1:$AY$1,),))))-(((VLOOKUP(EDATE(B220,-12),Database!$F:$AY,MATCH($E$1,Database!$F$1:$AY$1,),)))))/(((VLOOKUP(EDATE(B220,-12),Database!$F:$AY,MATCH($E$1,Database!$F$1:$AY$1,),))))</f>
        <v/>
      </c>
      <c r="F220" s="13">
        <f>((((VLOOKUP(B220,Database!$F:$AY,MATCH($F$1,Database!$F$1:$AY$1,),))))-(((VLOOKUP(EDATE(B220,-12),Database!$F:$AY,MATCH($F$1,Database!$F$1:$AY$1,),)))))/(((VLOOKUP(EDATE(B220,-12),Database!$F:$AY,MATCH($F$1,Database!$F$1:$AY$1,),))))</f>
        <v/>
      </c>
      <c r="G220" s="13">
        <f>((((VLOOKUP(B220,Database!$F:$AY,MATCH($G$1,Database!$F$1:$AY$1,),))))-(((VLOOKUP(EDATE(B220,-12),Database!$F:$AY,MATCH($G$1,Database!$F$1:$AY$1,),)))))/(((VLOOKUP(EDATE(B220,-12),Database!$F:$AY,MATCH($G$1,Database!$F$1:$AY$1,),))))</f>
        <v/>
      </c>
      <c r="H220" s="13">
        <f>((((VLOOKUP(B220,Database!$F:$AY,MATCH($H$1,Database!$F$1:$AY$1,),))))-(((VLOOKUP(EDATE(B220,-12),Database!$F:$AY,MATCH($H$1,Database!$F$1:$AY$1,),)))))/(((VLOOKUP(EDATE(B220,-12),Database!$F:$AY,MATCH($H$1,Database!$F$1:$AY$1,),))))</f>
        <v/>
      </c>
      <c r="I220" s="13">
        <f>((((VLOOKUP(B220,Database!$F:$AY,MATCH($I$1,Database!$F$1:$AY$1,),))))-(((VLOOKUP(EDATE(B220,-12),Database!$F:$AY,MATCH($I$1,Database!$F$1:$AY$1,),)))))/(((VLOOKUP(EDATE(B220,-12),Database!$F:$AY,MATCH($I$1,Database!$F$1:$AY$1,),))))</f>
        <v/>
      </c>
      <c r="J220" s="13">
        <f>((((VLOOKUP(B220,Database!$F:$AY,MATCH($J$1,Database!$F$1:$AY$1,),))))-(((VLOOKUP(EDATE(B220,-12),Database!$F:$AY,MATCH($J$1,Database!$F$1:$AY$1,),)))))/(((VLOOKUP(EDATE(B220,-12),Database!$F:$AY,MATCH($J$1,Database!$F$1:$AY$1,),))))</f>
        <v/>
      </c>
      <c r="K220" s="13">
        <f>((((VLOOKUP(B220,Database!$F:$AY,MATCH($K$1,Database!$F$1:$AY$1,),))))-(((VLOOKUP(EDATE(B220,-12),Database!$F:$AY,MATCH($K$1,Database!$F$1:$AY$1,),)))))/(((VLOOKUP(EDATE(B220,-12),Database!$F:$AY,MATCH($K$1,Database!$F$1:$AY$1,),))))</f>
        <v/>
      </c>
      <c r="L220" s="13">
        <f>((((VLOOKUP(B220,Database!$F:$AY,MATCH($L$1,Database!$F$1:$AY$1,),))))-(((VLOOKUP(EDATE(B220,-12),Database!$F:$AY,MATCH($L$1,Database!$F$1:$AY$1,),)))))/(((VLOOKUP(EDATE(B220,-12),Database!$F:$AY,MATCH($L$1,Database!$F$1:$AY$1,),))))</f>
        <v/>
      </c>
      <c r="M220" s="13">
        <f>((((VLOOKUP(B220,Database!$F:$AY,MATCH($M$1,Database!$F$1:$AY$1,),))))-(((VLOOKUP(EDATE(B220,-12),Database!$F:$AY,MATCH($M$1,Database!$F$1:$AY$1,),)))))/(((VLOOKUP(EDATE(B220,-12),Database!$F:$AY,MATCH($M$1,Database!$F$1:$AY$1,),))))</f>
        <v/>
      </c>
      <c r="N220" s="13">
        <f>((((VLOOKUP(B220,Database!$F:$AY,MATCH($N$1,Database!$F$1:$AY$1,),))))-(((VLOOKUP(EDATE(B220,-12),Database!$F:$AY,MATCH($N$1,Database!$F$1:$AY$1,),)))))/(((VLOOKUP(EDATE(B220,-12),Database!$F:$AY,MATCH($N$1,Database!$F$1:$AY$1,),))))</f>
        <v/>
      </c>
      <c r="O220" s="13">
        <f>((((VLOOKUP(B220,Database!$F:$AY,MATCH($O$1,Database!$F$1:$AY$1,),))))-(((VLOOKUP(EDATE(B220,-12),Database!$F:$AY,MATCH($O$1,Database!$F$1:$AY$1,),)))))/(((VLOOKUP(EDATE(B220,-12),Database!$F:$AY,MATCH($O$1,Database!$F$1:$AY$1,),))))</f>
        <v/>
      </c>
      <c r="P220" s="13">
        <f>((((VLOOKUP(B220,Database!$F:$AY,MATCH($P$1,Database!$F$1:$AY$1,),))))-(((VLOOKUP(EDATE(B220,-12),Database!$F:$AY,MATCH($P$1,Database!$F$1:$AY$1,),)))))/(((VLOOKUP(EDATE(B220,-12),Database!$F:$AY,MATCH($P$1,Database!$F$1:$AY$1,),))))</f>
        <v/>
      </c>
      <c r="Q220" s="13">
        <f>((((VLOOKUP(B220,Database!$F:$AY,MATCH($Q$1,Database!$F$1:$AY$1,),))))-(((VLOOKUP(EDATE(B220,-12),Database!$F:$AY,MATCH($Q$1,Database!$F$1:$AY$1,),)))))/(((VLOOKUP(EDATE(B220,-12),Database!$F:$AY,MATCH($Q$1,Database!$F$1:$AY$1,),))))</f>
        <v/>
      </c>
      <c r="R220" s="13">
        <f>((((VLOOKUP(B220,Database!$F:$AY,MATCH($R$1,Database!$F$1:$AY$1,),))))-(((VLOOKUP(EDATE(B220,-12),Database!$F:$AY,MATCH($R$1,Database!$F$1:$AY$1,),)))))/(((VLOOKUP(EDATE(B220,-12),Database!$F:$AY,MATCH($R$1,Database!$F$1:$AY$1,),))))</f>
        <v/>
      </c>
      <c r="S220" s="13">
        <f>((((VLOOKUP(B220,Database!$F:$AY,MATCH($S$1,Database!$F$1:$AY$1,),))))-(((VLOOKUP(EDATE(B220,-12),Database!$F:$AY,MATCH($S$1,Database!$F$1:$AY$1,),)))))/(((VLOOKUP(EDATE(B220,-12),Database!$F:$AY,MATCH($S$1,Database!$F$1:$AY$1,),))))</f>
        <v/>
      </c>
      <c r="T220" s="13">
        <f>((((VLOOKUP(B220,Database!$F:$AY,MATCH($T$1,Database!$F$1:$AY$1,),))))-(((VLOOKUP(EDATE(B220,-12),Database!$F:$AY,MATCH($T$1,Database!$F$1:$AY$1,),)))))/(((VLOOKUP(EDATE(B220,-12),Database!$F:$AY,MATCH($T$1,Database!$F$1:$AY$1,),))))</f>
        <v/>
      </c>
      <c r="U220" s="13">
        <f>((((VLOOKUP(B220,Database!$F:$AY,MATCH($U$1,Database!$F$1:$AY$1,),))))-(((VLOOKUP(EDATE(B220,-12),Database!$F:$AY,MATCH($U$1,Database!$F$1:$AY$1,),)))))/(((VLOOKUP(EDATE(B220,-12),Database!$F:$AY,MATCH($U$1,Database!$F$1:$AY$1,),))))</f>
        <v/>
      </c>
      <c r="V220" s="13">
        <f>((((VLOOKUP(B220,Database!$F:$AY,MATCH($V$1,Database!$F$1:$AY$1,),))))-(((VLOOKUP(EDATE(B220,-12),Database!$F:$AY,MATCH($V$1,Database!$F$1:$AY$1,),)))))/(((VLOOKUP(EDATE(B220,-12),Database!$F:$AY,MATCH($V$1,Database!$F$1:$AY$1,),))))</f>
        <v/>
      </c>
    </row>
    <row r="221" customFormat="1" s="100">
      <c r="A221" s="45" t="n"/>
      <c r="B221" s="46" t="n">
        <v>38869</v>
      </c>
      <c r="C221" s="13">
        <f>((((VLOOKUP(B221,Database!$F:$AY,MATCH($C$1,Database!$F$1:$AY$1,),))))-(((VLOOKUP(EDATE(B221,-12),Database!$F:$AY,MATCH($C$1,Database!$F$1:$AY$1,),)))))/(((VLOOKUP(EDATE(B221,-12),Database!$F:$AY,MATCH($C$1,Database!$F$1:$AY$1,),))))</f>
        <v/>
      </c>
      <c r="D221" s="13">
        <f>((((VLOOKUP(B221,Database!$F:$AY,MATCH($D$1,Database!$F$1:$AY$1,),))))-(((VLOOKUP(EDATE(B221,-12),Database!$F:$AY,MATCH($D$1,Database!$F$1:$AY$1,),)))))/(((VLOOKUP(EDATE(B221,-12),Database!$F:$AY,MATCH($D$1,Database!$F$1:$AY$1,),))))</f>
        <v/>
      </c>
      <c r="E221" s="13">
        <f>((((VLOOKUP(B221,Database!$F:$AY,MATCH($E$1,Database!$F$1:$AY$1,),))))-(((VLOOKUP(EDATE(B221,-12),Database!$F:$AY,MATCH($E$1,Database!$F$1:$AY$1,),)))))/(((VLOOKUP(EDATE(B221,-12),Database!$F:$AY,MATCH($E$1,Database!$F$1:$AY$1,),))))</f>
        <v/>
      </c>
      <c r="F221" s="13">
        <f>((((VLOOKUP(B221,Database!$F:$AY,MATCH($F$1,Database!$F$1:$AY$1,),))))-(((VLOOKUP(EDATE(B221,-12),Database!$F:$AY,MATCH($F$1,Database!$F$1:$AY$1,),)))))/(((VLOOKUP(EDATE(B221,-12),Database!$F:$AY,MATCH($F$1,Database!$F$1:$AY$1,),))))</f>
        <v/>
      </c>
      <c r="G221" s="13">
        <f>((((VLOOKUP(B221,Database!$F:$AY,MATCH($G$1,Database!$F$1:$AY$1,),))))-(((VLOOKUP(EDATE(B221,-12),Database!$F:$AY,MATCH($G$1,Database!$F$1:$AY$1,),)))))/(((VLOOKUP(EDATE(B221,-12),Database!$F:$AY,MATCH($G$1,Database!$F$1:$AY$1,),))))</f>
        <v/>
      </c>
      <c r="H221" s="13">
        <f>((((VLOOKUP(B221,Database!$F:$AY,MATCH($H$1,Database!$F$1:$AY$1,),))))-(((VLOOKUP(EDATE(B221,-12),Database!$F:$AY,MATCH($H$1,Database!$F$1:$AY$1,),)))))/(((VLOOKUP(EDATE(B221,-12),Database!$F:$AY,MATCH($H$1,Database!$F$1:$AY$1,),))))</f>
        <v/>
      </c>
      <c r="I221" s="13">
        <f>((((VLOOKUP(B221,Database!$F:$AY,MATCH($I$1,Database!$F$1:$AY$1,),))))-(((VLOOKUP(EDATE(B221,-12),Database!$F:$AY,MATCH($I$1,Database!$F$1:$AY$1,),)))))/(((VLOOKUP(EDATE(B221,-12),Database!$F:$AY,MATCH($I$1,Database!$F$1:$AY$1,),))))</f>
        <v/>
      </c>
      <c r="J221" s="13">
        <f>((((VLOOKUP(B221,Database!$F:$AY,MATCH($J$1,Database!$F$1:$AY$1,),))))-(((VLOOKUP(EDATE(B221,-12),Database!$F:$AY,MATCH($J$1,Database!$F$1:$AY$1,),)))))/(((VLOOKUP(EDATE(B221,-12),Database!$F:$AY,MATCH($J$1,Database!$F$1:$AY$1,),))))</f>
        <v/>
      </c>
      <c r="K221" s="13">
        <f>((((VLOOKUP(B221,Database!$F:$AY,MATCH($K$1,Database!$F$1:$AY$1,),))))-(((VLOOKUP(EDATE(B221,-12),Database!$F:$AY,MATCH($K$1,Database!$F$1:$AY$1,),)))))/(((VLOOKUP(EDATE(B221,-12),Database!$F:$AY,MATCH($K$1,Database!$F$1:$AY$1,),))))</f>
        <v/>
      </c>
      <c r="L221" s="13">
        <f>((((VLOOKUP(B221,Database!$F:$AY,MATCH($L$1,Database!$F$1:$AY$1,),))))-(((VLOOKUP(EDATE(B221,-12),Database!$F:$AY,MATCH($L$1,Database!$F$1:$AY$1,),)))))/(((VLOOKUP(EDATE(B221,-12),Database!$F:$AY,MATCH($L$1,Database!$F$1:$AY$1,),))))</f>
        <v/>
      </c>
      <c r="M221" s="13">
        <f>((((VLOOKUP(B221,Database!$F:$AY,MATCH($M$1,Database!$F$1:$AY$1,),))))-(((VLOOKUP(EDATE(B221,-12),Database!$F:$AY,MATCH($M$1,Database!$F$1:$AY$1,),)))))/(((VLOOKUP(EDATE(B221,-12),Database!$F:$AY,MATCH($M$1,Database!$F$1:$AY$1,),))))</f>
        <v/>
      </c>
      <c r="N221" s="13">
        <f>((((VLOOKUP(B221,Database!$F:$AY,MATCH($N$1,Database!$F$1:$AY$1,),))))-(((VLOOKUP(EDATE(B221,-12),Database!$F:$AY,MATCH($N$1,Database!$F$1:$AY$1,),)))))/(((VLOOKUP(EDATE(B221,-12),Database!$F:$AY,MATCH($N$1,Database!$F$1:$AY$1,),))))</f>
        <v/>
      </c>
      <c r="O221" s="13">
        <f>((((VLOOKUP(B221,Database!$F:$AY,MATCH($O$1,Database!$F$1:$AY$1,),))))-(((VLOOKUP(EDATE(B221,-12),Database!$F:$AY,MATCH($O$1,Database!$F$1:$AY$1,),)))))/(((VLOOKUP(EDATE(B221,-12),Database!$F:$AY,MATCH($O$1,Database!$F$1:$AY$1,),))))</f>
        <v/>
      </c>
      <c r="P221" s="13">
        <f>((((VLOOKUP(B221,Database!$F:$AY,MATCH($P$1,Database!$F$1:$AY$1,),))))-(((VLOOKUP(EDATE(B221,-12),Database!$F:$AY,MATCH($P$1,Database!$F$1:$AY$1,),)))))/(((VLOOKUP(EDATE(B221,-12),Database!$F:$AY,MATCH($P$1,Database!$F$1:$AY$1,),))))</f>
        <v/>
      </c>
      <c r="Q221" s="13">
        <f>((((VLOOKUP(B221,Database!$F:$AY,MATCH($Q$1,Database!$F$1:$AY$1,),))))-(((VLOOKUP(EDATE(B221,-12),Database!$F:$AY,MATCH($Q$1,Database!$F$1:$AY$1,),)))))/(((VLOOKUP(EDATE(B221,-12),Database!$F:$AY,MATCH($Q$1,Database!$F$1:$AY$1,),))))</f>
        <v/>
      </c>
      <c r="R221" s="13">
        <f>((((VLOOKUP(B221,Database!$F:$AY,MATCH($R$1,Database!$F$1:$AY$1,),))))-(((VLOOKUP(EDATE(B221,-12),Database!$F:$AY,MATCH($R$1,Database!$F$1:$AY$1,),)))))/(((VLOOKUP(EDATE(B221,-12),Database!$F:$AY,MATCH($R$1,Database!$F$1:$AY$1,),))))</f>
        <v/>
      </c>
      <c r="S221" s="13">
        <f>((((VLOOKUP(B221,Database!$F:$AY,MATCH($S$1,Database!$F$1:$AY$1,),))))-(((VLOOKUP(EDATE(B221,-12),Database!$F:$AY,MATCH($S$1,Database!$F$1:$AY$1,),)))))/(((VLOOKUP(EDATE(B221,-12),Database!$F:$AY,MATCH($S$1,Database!$F$1:$AY$1,),))))</f>
        <v/>
      </c>
      <c r="T221" s="13">
        <f>((((VLOOKUP(B221,Database!$F:$AY,MATCH($T$1,Database!$F$1:$AY$1,),))))-(((VLOOKUP(EDATE(B221,-12),Database!$F:$AY,MATCH($T$1,Database!$F$1:$AY$1,),)))))/(((VLOOKUP(EDATE(B221,-12),Database!$F:$AY,MATCH($T$1,Database!$F$1:$AY$1,),))))</f>
        <v/>
      </c>
      <c r="U221" s="13">
        <f>((((VLOOKUP(B221,Database!$F:$AY,MATCH($U$1,Database!$F$1:$AY$1,),))))-(((VLOOKUP(EDATE(B221,-12),Database!$F:$AY,MATCH($U$1,Database!$F$1:$AY$1,),)))))/(((VLOOKUP(EDATE(B221,-12),Database!$F:$AY,MATCH($U$1,Database!$F$1:$AY$1,),))))</f>
        <v/>
      </c>
      <c r="V221" s="13">
        <f>((((VLOOKUP(B221,Database!$F:$AY,MATCH($V$1,Database!$F$1:$AY$1,),))))-(((VLOOKUP(EDATE(B221,-12),Database!$F:$AY,MATCH($V$1,Database!$F$1:$AY$1,),)))))/(((VLOOKUP(EDATE(B221,-12),Database!$F:$AY,MATCH($V$1,Database!$F$1:$AY$1,),))))</f>
        <v/>
      </c>
    </row>
    <row r="222" customFormat="1" s="100">
      <c r="A222" s="45" t="n"/>
      <c r="B222" s="46" t="n">
        <v>38899</v>
      </c>
      <c r="C222" s="13">
        <f>((((VLOOKUP(B222,Database!$F:$AY,MATCH($C$1,Database!$F$1:$AY$1,),))))-(((VLOOKUP(EDATE(B222,-12),Database!$F:$AY,MATCH($C$1,Database!$F$1:$AY$1,),)))))/(((VLOOKUP(EDATE(B222,-12),Database!$F:$AY,MATCH($C$1,Database!$F$1:$AY$1,),))))</f>
        <v/>
      </c>
      <c r="D222" s="13">
        <f>((((VLOOKUP(B222,Database!$F:$AY,MATCH($D$1,Database!$F$1:$AY$1,),))))-(((VLOOKUP(EDATE(B222,-12),Database!$F:$AY,MATCH($D$1,Database!$F$1:$AY$1,),)))))/(((VLOOKUP(EDATE(B222,-12),Database!$F:$AY,MATCH($D$1,Database!$F$1:$AY$1,),))))</f>
        <v/>
      </c>
      <c r="E222" s="13">
        <f>((((VLOOKUP(B222,Database!$F:$AY,MATCH($E$1,Database!$F$1:$AY$1,),))))-(((VLOOKUP(EDATE(B222,-12),Database!$F:$AY,MATCH($E$1,Database!$F$1:$AY$1,),)))))/(((VLOOKUP(EDATE(B222,-12),Database!$F:$AY,MATCH($E$1,Database!$F$1:$AY$1,),))))</f>
        <v/>
      </c>
      <c r="F222" s="13">
        <f>((((VLOOKUP(B222,Database!$F:$AY,MATCH($F$1,Database!$F$1:$AY$1,),))))-(((VLOOKUP(EDATE(B222,-12),Database!$F:$AY,MATCH($F$1,Database!$F$1:$AY$1,),)))))/(((VLOOKUP(EDATE(B222,-12),Database!$F:$AY,MATCH($F$1,Database!$F$1:$AY$1,),))))</f>
        <v/>
      </c>
      <c r="G222" s="13">
        <f>((((VLOOKUP(B222,Database!$F:$AY,MATCH($G$1,Database!$F$1:$AY$1,),))))-(((VLOOKUP(EDATE(B222,-12),Database!$F:$AY,MATCH($G$1,Database!$F$1:$AY$1,),)))))/(((VLOOKUP(EDATE(B222,-12),Database!$F:$AY,MATCH($G$1,Database!$F$1:$AY$1,),))))</f>
        <v/>
      </c>
      <c r="H222" s="13">
        <f>((((VLOOKUP(B222,Database!$F:$AY,MATCH($H$1,Database!$F$1:$AY$1,),))))-(((VLOOKUP(EDATE(B222,-12),Database!$F:$AY,MATCH($H$1,Database!$F$1:$AY$1,),)))))/(((VLOOKUP(EDATE(B222,-12),Database!$F:$AY,MATCH($H$1,Database!$F$1:$AY$1,),))))</f>
        <v/>
      </c>
      <c r="I222" s="13">
        <f>((((VLOOKUP(B222,Database!$F:$AY,MATCH($I$1,Database!$F$1:$AY$1,),))))-(((VLOOKUP(EDATE(B222,-12),Database!$F:$AY,MATCH($I$1,Database!$F$1:$AY$1,),)))))/(((VLOOKUP(EDATE(B222,-12),Database!$F:$AY,MATCH($I$1,Database!$F$1:$AY$1,),))))</f>
        <v/>
      </c>
      <c r="J222" s="13">
        <f>((((VLOOKUP(B222,Database!$F:$AY,MATCH($J$1,Database!$F$1:$AY$1,),))))-(((VLOOKUP(EDATE(B222,-12),Database!$F:$AY,MATCH($J$1,Database!$F$1:$AY$1,),)))))/(((VLOOKUP(EDATE(B222,-12),Database!$F:$AY,MATCH($J$1,Database!$F$1:$AY$1,),))))</f>
        <v/>
      </c>
      <c r="K222" s="13">
        <f>((((VLOOKUP(B222,Database!$F:$AY,MATCH($K$1,Database!$F$1:$AY$1,),))))-(((VLOOKUP(EDATE(B222,-12),Database!$F:$AY,MATCH($K$1,Database!$F$1:$AY$1,),)))))/(((VLOOKUP(EDATE(B222,-12),Database!$F:$AY,MATCH($K$1,Database!$F$1:$AY$1,),))))</f>
        <v/>
      </c>
      <c r="L222" s="13">
        <f>((((VLOOKUP(B222,Database!$F:$AY,MATCH($L$1,Database!$F$1:$AY$1,),))))-(((VLOOKUP(EDATE(B222,-12),Database!$F:$AY,MATCH($L$1,Database!$F$1:$AY$1,),)))))/(((VLOOKUP(EDATE(B222,-12),Database!$F:$AY,MATCH($L$1,Database!$F$1:$AY$1,),))))</f>
        <v/>
      </c>
      <c r="M222" s="13">
        <f>((((VLOOKUP(B222,Database!$F:$AY,MATCH($M$1,Database!$F$1:$AY$1,),))))-(((VLOOKUP(EDATE(B222,-12),Database!$F:$AY,MATCH($M$1,Database!$F$1:$AY$1,),)))))/(((VLOOKUP(EDATE(B222,-12),Database!$F:$AY,MATCH($M$1,Database!$F$1:$AY$1,),))))</f>
        <v/>
      </c>
      <c r="N222" s="13">
        <f>((((VLOOKUP(B222,Database!$F:$AY,MATCH($N$1,Database!$F$1:$AY$1,),))))-(((VLOOKUP(EDATE(B222,-12),Database!$F:$AY,MATCH($N$1,Database!$F$1:$AY$1,),)))))/(((VLOOKUP(EDATE(B222,-12),Database!$F:$AY,MATCH($N$1,Database!$F$1:$AY$1,),))))</f>
        <v/>
      </c>
      <c r="O222" s="13">
        <f>((((VLOOKUP(B222,Database!$F:$AY,MATCH($O$1,Database!$F$1:$AY$1,),))))-(((VLOOKUP(EDATE(B222,-12),Database!$F:$AY,MATCH($O$1,Database!$F$1:$AY$1,),)))))/(((VLOOKUP(EDATE(B222,-12),Database!$F:$AY,MATCH($O$1,Database!$F$1:$AY$1,),))))</f>
        <v/>
      </c>
      <c r="P222" s="13">
        <f>((((VLOOKUP(B222,Database!$F:$AY,MATCH($P$1,Database!$F$1:$AY$1,),))))-(((VLOOKUP(EDATE(B222,-12),Database!$F:$AY,MATCH($P$1,Database!$F$1:$AY$1,),)))))/(((VLOOKUP(EDATE(B222,-12),Database!$F:$AY,MATCH($P$1,Database!$F$1:$AY$1,),))))</f>
        <v/>
      </c>
      <c r="Q222" s="13">
        <f>((((VLOOKUP(B222,Database!$F:$AY,MATCH($Q$1,Database!$F$1:$AY$1,),))))-(((VLOOKUP(EDATE(B222,-12),Database!$F:$AY,MATCH($Q$1,Database!$F$1:$AY$1,),)))))/(((VLOOKUP(EDATE(B222,-12),Database!$F:$AY,MATCH($Q$1,Database!$F$1:$AY$1,),))))</f>
        <v/>
      </c>
      <c r="R222" s="13">
        <f>((((VLOOKUP(B222,Database!$F:$AY,MATCH($R$1,Database!$F$1:$AY$1,),))))-(((VLOOKUP(EDATE(B222,-12),Database!$F:$AY,MATCH($R$1,Database!$F$1:$AY$1,),)))))/(((VLOOKUP(EDATE(B222,-12),Database!$F:$AY,MATCH($R$1,Database!$F$1:$AY$1,),))))</f>
        <v/>
      </c>
      <c r="S222" s="13">
        <f>((((VLOOKUP(B222,Database!$F:$AY,MATCH($S$1,Database!$F$1:$AY$1,),))))-(((VLOOKUP(EDATE(B222,-12),Database!$F:$AY,MATCH($S$1,Database!$F$1:$AY$1,),)))))/(((VLOOKUP(EDATE(B222,-12),Database!$F:$AY,MATCH($S$1,Database!$F$1:$AY$1,),))))</f>
        <v/>
      </c>
      <c r="T222" s="13">
        <f>((((VLOOKUP(B222,Database!$F:$AY,MATCH($T$1,Database!$F$1:$AY$1,),))))-(((VLOOKUP(EDATE(B222,-12),Database!$F:$AY,MATCH($T$1,Database!$F$1:$AY$1,),)))))/(((VLOOKUP(EDATE(B222,-12),Database!$F:$AY,MATCH($T$1,Database!$F$1:$AY$1,),))))</f>
        <v/>
      </c>
      <c r="U222" s="13">
        <f>((((VLOOKUP(B222,Database!$F:$AY,MATCH($U$1,Database!$F$1:$AY$1,),))))-(((VLOOKUP(EDATE(B222,-12),Database!$F:$AY,MATCH($U$1,Database!$F$1:$AY$1,),)))))/(((VLOOKUP(EDATE(B222,-12),Database!$F:$AY,MATCH($U$1,Database!$F$1:$AY$1,),))))</f>
        <v/>
      </c>
      <c r="V222" s="13">
        <f>((((VLOOKUP(B222,Database!$F:$AY,MATCH($V$1,Database!$F$1:$AY$1,),))))-(((VLOOKUP(EDATE(B222,-12),Database!$F:$AY,MATCH($V$1,Database!$F$1:$AY$1,),)))))/(((VLOOKUP(EDATE(B222,-12),Database!$F:$AY,MATCH($V$1,Database!$F$1:$AY$1,),))))</f>
        <v/>
      </c>
    </row>
    <row r="223" customFormat="1" s="100">
      <c r="A223" s="45" t="n"/>
      <c r="B223" s="46" t="n">
        <v>38930</v>
      </c>
      <c r="C223" s="13">
        <f>((((VLOOKUP(B223,Database!$F:$AY,MATCH($C$1,Database!$F$1:$AY$1,),))))-(((VLOOKUP(EDATE(B223,-12),Database!$F:$AY,MATCH($C$1,Database!$F$1:$AY$1,),)))))/(((VLOOKUP(EDATE(B223,-12),Database!$F:$AY,MATCH($C$1,Database!$F$1:$AY$1,),))))</f>
        <v/>
      </c>
      <c r="D223" s="13">
        <f>((((VLOOKUP(B223,Database!$F:$AY,MATCH($D$1,Database!$F$1:$AY$1,),))))-(((VLOOKUP(EDATE(B223,-12),Database!$F:$AY,MATCH($D$1,Database!$F$1:$AY$1,),)))))/(((VLOOKUP(EDATE(B223,-12),Database!$F:$AY,MATCH($D$1,Database!$F$1:$AY$1,),))))</f>
        <v/>
      </c>
      <c r="E223" s="13">
        <f>((((VLOOKUP(B223,Database!$F:$AY,MATCH($E$1,Database!$F$1:$AY$1,),))))-(((VLOOKUP(EDATE(B223,-12),Database!$F:$AY,MATCH($E$1,Database!$F$1:$AY$1,),)))))/(((VLOOKUP(EDATE(B223,-12),Database!$F:$AY,MATCH($E$1,Database!$F$1:$AY$1,),))))</f>
        <v/>
      </c>
      <c r="F223" s="13">
        <f>((((VLOOKUP(B223,Database!$F:$AY,MATCH($F$1,Database!$F$1:$AY$1,),))))-(((VLOOKUP(EDATE(B223,-12),Database!$F:$AY,MATCH($F$1,Database!$F$1:$AY$1,),)))))/(((VLOOKUP(EDATE(B223,-12),Database!$F:$AY,MATCH($F$1,Database!$F$1:$AY$1,),))))</f>
        <v/>
      </c>
      <c r="G223" s="13">
        <f>((((VLOOKUP(B223,Database!$F:$AY,MATCH($G$1,Database!$F$1:$AY$1,),))))-(((VLOOKUP(EDATE(B223,-12),Database!$F:$AY,MATCH($G$1,Database!$F$1:$AY$1,),)))))/(((VLOOKUP(EDATE(B223,-12),Database!$F:$AY,MATCH($G$1,Database!$F$1:$AY$1,),))))</f>
        <v/>
      </c>
      <c r="H223" s="13">
        <f>((((VLOOKUP(B223,Database!$F:$AY,MATCH($H$1,Database!$F$1:$AY$1,),))))-(((VLOOKUP(EDATE(B223,-12),Database!$F:$AY,MATCH($H$1,Database!$F$1:$AY$1,),)))))/(((VLOOKUP(EDATE(B223,-12),Database!$F:$AY,MATCH($H$1,Database!$F$1:$AY$1,),))))</f>
        <v/>
      </c>
      <c r="I223" s="13">
        <f>((((VLOOKUP(B223,Database!$F:$AY,MATCH($I$1,Database!$F$1:$AY$1,),))))-(((VLOOKUP(EDATE(B223,-12),Database!$F:$AY,MATCH($I$1,Database!$F$1:$AY$1,),)))))/(((VLOOKUP(EDATE(B223,-12),Database!$F:$AY,MATCH($I$1,Database!$F$1:$AY$1,),))))</f>
        <v/>
      </c>
      <c r="J223" s="13">
        <f>((((VLOOKUP(B223,Database!$F:$AY,MATCH($J$1,Database!$F$1:$AY$1,),))))-(((VLOOKUP(EDATE(B223,-12),Database!$F:$AY,MATCH($J$1,Database!$F$1:$AY$1,),)))))/(((VLOOKUP(EDATE(B223,-12),Database!$F:$AY,MATCH($J$1,Database!$F$1:$AY$1,),))))</f>
        <v/>
      </c>
      <c r="K223" s="13">
        <f>((((VLOOKUP(B223,Database!$F:$AY,MATCH($K$1,Database!$F$1:$AY$1,),))))-(((VLOOKUP(EDATE(B223,-12),Database!$F:$AY,MATCH($K$1,Database!$F$1:$AY$1,),)))))/(((VLOOKUP(EDATE(B223,-12),Database!$F:$AY,MATCH($K$1,Database!$F$1:$AY$1,),))))</f>
        <v/>
      </c>
      <c r="L223" s="13">
        <f>((((VLOOKUP(B223,Database!$F:$AY,MATCH($L$1,Database!$F$1:$AY$1,),))))-(((VLOOKUP(EDATE(B223,-12),Database!$F:$AY,MATCH($L$1,Database!$F$1:$AY$1,),)))))/(((VLOOKUP(EDATE(B223,-12),Database!$F:$AY,MATCH($L$1,Database!$F$1:$AY$1,),))))</f>
        <v/>
      </c>
      <c r="M223" s="13">
        <f>((((VLOOKUP(B223,Database!$F:$AY,MATCH($M$1,Database!$F$1:$AY$1,),))))-(((VLOOKUP(EDATE(B223,-12),Database!$F:$AY,MATCH($M$1,Database!$F$1:$AY$1,),)))))/(((VLOOKUP(EDATE(B223,-12),Database!$F:$AY,MATCH($M$1,Database!$F$1:$AY$1,),))))</f>
        <v/>
      </c>
      <c r="N223" s="13">
        <f>((((VLOOKUP(B223,Database!$F:$AY,MATCH($N$1,Database!$F$1:$AY$1,),))))-(((VLOOKUP(EDATE(B223,-12),Database!$F:$AY,MATCH($N$1,Database!$F$1:$AY$1,),)))))/(((VLOOKUP(EDATE(B223,-12),Database!$F:$AY,MATCH($N$1,Database!$F$1:$AY$1,),))))</f>
        <v/>
      </c>
      <c r="O223" s="13">
        <f>((((VLOOKUP(B223,Database!$F:$AY,MATCH($O$1,Database!$F$1:$AY$1,),))))-(((VLOOKUP(EDATE(B223,-12),Database!$F:$AY,MATCH($O$1,Database!$F$1:$AY$1,),)))))/(((VLOOKUP(EDATE(B223,-12),Database!$F:$AY,MATCH($O$1,Database!$F$1:$AY$1,),))))</f>
        <v/>
      </c>
      <c r="P223" s="13">
        <f>((((VLOOKUP(B223,Database!$F:$AY,MATCH($P$1,Database!$F$1:$AY$1,),))))-(((VLOOKUP(EDATE(B223,-12),Database!$F:$AY,MATCH($P$1,Database!$F$1:$AY$1,),)))))/(((VLOOKUP(EDATE(B223,-12),Database!$F:$AY,MATCH($P$1,Database!$F$1:$AY$1,),))))</f>
        <v/>
      </c>
      <c r="Q223" s="13">
        <f>((((VLOOKUP(B223,Database!$F:$AY,MATCH($Q$1,Database!$F$1:$AY$1,),))))-(((VLOOKUP(EDATE(B223,-12),Database!$F:$AY,MATCH($Q$1,Database!$F$1:$AY$1,),)))))/(((VLOOKUP(EDATE(B223,-12),Database!$F:$AY,MATCH($Q$1,Database!$F$1:$AY$1,),))))</f>
        <v/>
      </c>
      <c r="R223" s="13">
        <f>((((VLOOKUP(B223,Database!$F:$AY,MATCH($R$1,Database!$F$1:$AY$1,),))))-(((VLOOKUP(EDATE(B223,-12),Database!$F:$AY,MATCH($R$1,Database!$F$1:$AY$1,),)))))/(((VLOOKUP(EDATE(B223,-12),Database!$F:$AY,MATCH($R$1,Database!$F$1:$AY$1,),))))</f>
        <v/>
      </c>
      <c r="S223" s="13">
        <f>((((VLOOKUP(B223,Database!$F:$AY,MATCH($S$1,Database!$F$1:$AY$1,),))))-(((VLOOKUP(EDATE(B223,-12),Database!$F:$AY,MATCH($S$1,Database!$F$1:$AY$1,),)))))/(((VLOOKUP(EDATE(B223,-12),Database!$F:$AY,MATCH($S$1,Database!$F$1:$AY$1,),))))</f>
        <v/>
      </c>
      <c r="T223" s="13">
        <f>((((VLOOKUP(B223,Database!$F:$AY,MATCH($T$1,Database!$F$1:$AY$1,),))))-(((VLOOKUP(EDATE(B223,-12),Database!$F:$AY,MATCH($T$1,Database!$F$1:$AY$1,),)))))/(((VLOOKUP(EDATE(B223,-12),Database!$F:$AY,MATCH($T$1,Database!$F$1:$AY$1,),))))</f>
        <v/>
      </c>
      <c r="U223" s="13">
        <f>((((VLOOKUP(B223,Database!$F:$AY,MATCH($U$1,Database!$F$1:$AY$1,),))))-(((VLOOKUP(EDATE(B223,-12),Database!$F:$AY,MATCH($U$1,Database!$F$1:$AY$1,),)))))/(((VLOOKUP(EDATE(B223,-12),Database!$F:$AY,MATCH($U$1,Database!$F$1:$AY$1,),))))</f>
        <v/>
      </c>
      <c r="V223" s="13">
        <f>((((VLOOKUP(B223,Database!$F:$AY,MATCH($V$1,Database!$F$1:$AY$1,),))))-(((VLOOKUP(EDATE(B223,-12),Database!$F:$AY,MATCH($V$1,Database!$F$1:$AY$1,),)))))/(((VLOOKUP(EDATE(B223,-12),Database!$F:$AY,MATCH($V$1,Database!$F$1:$AY$1,),))))</f>
        <v/>
      </c>
    </row>
    <row r="224" customFormat="1" s="100">
      <c r="A224" s="45" t="n"/>
      <c r="B224" s="46" t="n">
        <v>38961</v>
      </c>
      <c r="C224" s="13">
        <f>((((VLOOKUP(B224,Database!$F:$AY,MATCH($C$1,Database!$F$1:$AY$1,),))))-(((VLOOKUP(EDATE(B224,-12),Database!$F:$AY,MATCH($C$1,Database!$F$1:$AY$1,),)))))/(((VLOOKUP(EDATE(B224,-12),Database!$F:$AY,MATCH($C$1,Database!$F$1:$AY$1,),))))</f>
        <v/>
      </c>
      <c r="D224" s="13">
        <f>((((VLOOKUP(B224,Database!$F:$AY,MATCH($D$1,Database!$F$1:$AY$1,),))))-(((VLOOKUP(EDATE(B224,-12),Database!$F:$AY,MATCH($D$1,Database!$F$1:$AY$1,),)))))/(((VLOOKUP(EDATE(B224,-12),Database!$F:$AY,MATCH($D$1,Database!$F$1:$AY$1,),))))</f>
        <v/>
      </c>
      <c r="E224" s="13">
        <f>((((VLOOKUP(B224,Database!$F:$AY,MATCH($E$1,Database!$F$1:$AY$1,),))))-(((VLOOKUP(EDATE(B224,-12),Database!$F:$AY,MATCH($E$1,Database!$F$1:$AY$1,),)))))/(((VLOOKUP(EDATE(B224,-12),Database!$F:$AY,MATCH($E$1,Database!$F$1:$AY$1,),))))</f>
        <v/>
      </c>
      <c r="F224" s="13">
        <f>((((VLOOKUP(B224,Database!$F:$AY,MATCH($F$1,Database!$F$1:$AY$1,),))))-(((VLOOKUP(EDATE(B224,-12),Database!$F:$AY,MATCH($F$1,Database!$F$1:$AY$1,),)))))/(((VLOOKUP(EDATE(B224,-12),Database!$F:$AY,MATCH($F$1,Database!$F$1:$AY$1,),))))</f>
        <v/>
      </c>
      <c r="G224" s="13">
        <f>((((VLOOKUP(B224,Database!$F:$AY,MATCH($G$1,Database!$F$1:$AY$1,),))))-(((VLOOKUP(EDATE(B224,-12),Database!$F:$AY,MATCH($G$1,Database!$F$1:$AY$1,),)))))/(((VLOOKUP(EDATE(B224,-12),Database!$F:$AY,MATCH($G$1,Database!$F$1:$AY$1,),))))</f>
        <v/>
      </c>
      <c r="H224" s="13">
        <f>((((VLOOKUP(B224,Database!$F:$AY,MATCH($H$1,Database!$F$1:$AY$1,),))))-(((VLOOKUP(EDATE(B224,-12),Database!$F:$AY,MATCH($H$1,Database!$F$1:$AY$1,),)))))/(((VLOOKUP(EDATE(B224,-12),Database!$F:$AY,MATCH($H$1,Database!$F$1:$AY$1,),))))</f>
        <v/>
      </c>
      <c r="I224" s="13">
        <f>((((VLOOKUP(B224,Database!$F:$AY,MATCH($I$1,Database!$F$1:$AY$1,),))))-(((VLOOKUP(EDATE(B224,-12),Database!$F:$AY,MATCH($I$1,Database!$F$1:$AY$1,),)))))/(((VLOOKUP(EDATE(B224,-12),Database!$F:$AY,MATCH($I$1,Database!$F$1:$AY$1,),))))</f>
        <v/>
      </c>
      <c r="J224" s="13">
        <f>((((VLOOKUP(B224,Database!$F:$AY,MATCH($J$1,Database!$F$1:$AY$1,),))))-(((VLOOKUP(EDATE(B224,-12),Database!$F:$AY,MATCH($J$1,Database!$F$1:$AY$1,),)))))/(((VLOOKUP(EDATE(B224,-12),Database!$F:$AY,MATCH($J$1,Database!$F$1:$AY$1,),))))</f>
        <v/>
      </c>
      <c r="K224" s="13">
        <f>((((VLOOKUP(B224,Database!$F:$AY,MATCH($K$1,Database!$F$1:$AY$1,),))))-(((VLOOKUP(EDATE(B224,-12),Database!$F:$AY,MATCH($K$1,Database!$F$1:$AY$1,),)))))/(((VLOOKUP(EDATE(B224,-12),Database!$F:$AY,MATCH($K$1,Database!$F$1:$AY$1,),))))</f>
        <v/>
      </c>
      <c r="L224" s="13">
        <f>((((VLOOKUP(B224,Database!$F:$AY,MATCH($L$1,Database!$F$1:$AY$1,),))))-(((VLOOKUP(EDATE(B224,-12),Database!$F:$AY,MATCH($L$1,Database!$F$1:$AY$1,),)))))/(((VLOOKUP(EDATE(B224,-12),Database!$F:$AY,MATCH($L$1,Database!$F$1:$AY$1,),))))</f>
        <v/>
      </c>
      <c r="M224" s="13">
        <f>((((VLOOKUP(B224,Database!$F:$AY,MATCH($M$1,Database!$F$1:$AY$1,),))))-(((VLOOKUP(EDATE(B224,-12),Database!$F:$AY,MATCH($M$1,Database!$F$1:$AY$1,),)))))/(((VLOOKUP(EDATE(B224,-12),Database!$F:$AY,MATCH($M$1,Database!$F$1:$AY$1,),))))</f>
        <v/>
      </c>
      <c r="N224" s="13">
        <f>((((VLOOKUP(B224,Database!$F:$AY,MATCH($N$1,Database!$F$1:$AY$1,),))))-(((VLOOKUP(EDATE(B224,-12),Database!$F:$AY,MATCH($N$1,Database!$F$1:$AY$1,),)))))/(((VLOOKUP(EDATE(B224,-12),Database!$F:$AY,MATCH($N$1,Database!$F$1:$AY$1,),))))</f>
        <v/>
      </c>
      <c r="O224" s="13">
        <f>((((VLOOKUP(B224,Database!$F:$AY,MATCH($O$1,Database!$F$1:$AY$1,),))))-(((VLOOKUP(EDATE(B224,-12),Database!$F:$AY,MATCH($O$1,Database!$F$1:$AY$1,),)))))/(((VLOOKUP(EDATE(B224,-12),Database!$F:$AY,MATCH($O$1,Database!$F$1:$AY$1,),))))</f>
        <v/>
      </c>
      <c r="P224" s="13">
        <f>((((VLOOKUP(B224,Database!$F:$AY,MATCH($P$1,Database!$F$1:$AY$1,),))))-(((VLOOKUP(EDATE(B224,-12),Database!$F:$AY,MATCH($P$1,Database!$F$1:$AY$1,),)))))/(((VLOOKUP(EDATE(B224,-12),Database!$F:$AY,MATCH($P$1,Database!$F$1:$AY$1,),))))</f>
        <v/>
      </c>
      <c r="Q224" s="13">
        <f>((((VLOOKUP(B224,Database!$F:$AY,MATCH($Q$1,Database!$F$1:$AY$1,),))))-(((VLOOKUP(EDATE(B224,-12),Database!$F:$AY,MATCH($Q$1,Database!$F$1:$AY$1,),)))))/(((VLOOKUP(EDATE(B224,-12),Database!$F:$AY,MATCH($Q$1,Database!$F$1:$AY$1,),))))</f>
        <v/>
      </c>
      <c r="R224" s="13">
        <f>((((VLOOKUP(B224,Database!$F:$AY,MATCH($R$1,Database!$F$1:$AY$1,),))))-(((VLOOKUP(EDATE(B224,-12),Database!$F:$AY,MATCH($R$1,Database!$F$1:$AY$1,),)))))/(((VLOOKUP(EDATE(B224,-12),Database!$F:$AY,MATCH($R$1,Database!$F$1:$AY$1,),))))</f>
        <v/>
      </c>
      <c r="S224" s="13">
        <f>((((VLOOKUP(B224,Database!$F:$AY,MATCH($S$1,Database!$F$1:$AY$1,),))))-(((VLOOKUP(EDATE(B224,-12),Database!$F:$AY,MATCH($S$1,Database!$F$1:$AY$1,),)))))/(((VLOOKUP(EDATE(B224,-12),Database!$F:$AY,MATCH($S$1,Database!$F$1:$AY$1,),))))</f>
        <v/>
      </c>
      <c r="T224" s="13">
        <f>((((VLOOKUP(B224,Database!$F:$AY,MATCH($T$1,Database!$F$1:$AY$1,),))))-(((VLOOKUP(EDATE(B224,-12),Database!$F:$AY,MATCH($T$1,Database!$F$1:$AY$1,),)))))/(((VLOOKUP(EDATE(B224,-12),Database!$F:$AY,MATCH($T$1,Database!$F$1:$AY$1,),))))</f>
        <v/>
      </c>
      <c r="U224" s="13">
        <f>((((VLOOKUP(B224,Database!$F:$AY,MATCH($U$1,Database!$F$1:$AY$1,),))))-(((VLOOKUP(EDATE(B224,-12),Database!$F:$AY,MATCH($U$1,Database!$F$1:$AY$1,),)))))/(((VLOOKUP(EDATE(B224,-12),Database!$F:$AY,MATCH($U$1,Database!$F$1:$AY$1,),))))</f>
        <v/>
      </c>
      <c r="V224" s="13">
        <f>((((VLOOKUP(B224,Database!$F:$AY,MATCH($V$1,Database!$F$1:$AY$1,),))))-(((VLOOKUP(EDATE(B224,-12),Database!$F:$AY,MATCH($V$1,Database!$F$1:$AY$1,),)))))/(((VLOOKUP(EDATE(B224,-12),Database!$F:$AY,MATCH($V$1,Database!$F$1:$AY$1,),))))</f>
        <v/>
      </c>
    </row>
    <row r="225" customFormat="1" s="100">
      <c r="A225" s="45" t="n"/>
      <c r="B225" s="46" t="n">
        <v>38991</v>
      </c>
      <c r="C225" s="13">
        <f>((((VLOOKUP(B225,Database!$F:$AY,MATCH($C$1,Database!$F$1:$AY$1,),))))-(((VLOOKUP(EDATE(B225,-12),Database!$F:$AY,MATCH($C$1,Database!$F$1:$AY$1,),)))))/(((VLOOKUP(EDATE(B225,-12),Database!$F:$AY,MATCH($C$1,Database!$F$1:$AY$1,),))))</f>
        <v/>
      </c>
      <c r="D225" s="13">
        <f>((((VLOOKUP(B225,Database!$F:$AY,MATCH($D$1,Database!$F$1:$AY$1,),))))-(((VLOOKUP(EDATE(B225,-12),Database!$F:$AY,MATCH($D$1,Database!$F$1:$AY$1,),)))))/(((VLOOKUP(EDATE(B225,-12),Database!$F:$AY,MATCH($D$1,Database!$F$1:$AY$1,),))))</f>
        <v/>
      </c>
      <c r="E225" s="13">
        <f>((((VLOOKUP(B225,Database!$F:$AY,MATCH($E$1,Database!$F$1:$AY$1,),))))-(((VLOOKUP(EDATE(B225,-12),Database!$F:$AY,MATCH($E$1,Database!$F$1:$AY$1,),)))))/(((VLOOKUP(EDATE(B225,-12),Database!$F:$AY,MATCH($E$1,Database!$F$1:$AY$1,),))))</f>
        <v/>
      </c>
      <c r="F225" s="13">
        <f>((((VLOOKUP(B225,Database!$F:$AY,MATCH($F$1,Database!$F$1:$AY$1,),))))-(((VLOOKUP(EDATE(B225,-12),Database!$F:$AY,MATCH($F$1,Database!$F$1:$AY$1,),)))))/(((VLOOKUP(EDATE(B225,-12),Database!$F:$AY,MATCH($F$1,Database!$F$1:$AY$1,),))))</f>
        <v/>
      </c>
      <c r="G225" s="13">
        <f>((((VLOOKUP(B225,Database!$F:$AY,MATCH($G$1,Database!$F$1:$AY$1,),))))-(((VLOOKUP(EDATE(B225,-12),Database!$F:$AY,MATCH($G$1,Database!$F$1:$AY$1,),)))))/(((VLOOKUP(EDATE(B225,-12),Database!$F:$AY,MATCH($G$1,Database!$F$1:$AY$1,),))))</f>
        <v/>
      </c>
      <c r="H225" s="13">
        <f>((((VLOOKUP(B225,Database!$F:$AY,MATCH($H$1,Database!$F$1:$AY$1,),))))-(((VLOOKUP(EDATE(B225,-12),Database!$F:$AY,MATCH($H$1,Database!$F$1:$AY$1,),)))))/(((VLOOKUP(EDATE(B225,-12),Database!$F:$AY,MATCH($H$1,Database!$F$1:$AY$1,),))))</f>
        <v/>
      </c>
      <c r="I225" s="13">
        <f>((((VLOOKUP(B225,Database!$F:$AY,MATCH($I$1,Database!$F$1:$AY$1,),))))-(((VLOOKUP(EDATE(B225,-12),Database!$F:$AY,MATCH($I$1,Database!$F$1:$AY$1,),)))))/(((VLOOKUP(EDATE(B225,-12),Database!$F:$AY,MATCH($I$1,Database!$F$1:$AY$1,),))))</f>
        <v/>
      </c>
      <c r="J225" s="13">
        <f>((((VLOOKUP(B225,Database!$F:$AY,MATCH($J$1,Database!$F$1:$AY$1,),))))-(((VLOOKUP(EDATE(B225,-12),Database!$F:$AY,MATCH($J$1,Database!$F$1:$AY$1,),)))))/(((VLOOKUP(EDATE(B225,-12),Database!$F:$AY,MATCH($J$1,Database!$F$1:$AY$1,),))))</f>
        <v/>
      </c>
      <c r="K225" s="13">
        <f>((((VLOOKUP(B225,Database!$F:$AY,MATCH($K$1,Database!$F$1:$AY$1,),))))-(((VLOOKUP(EDATE(B225,-12),Database!$F:$AY,MATCH($K$1,Database!$F$1:$AY$1,),)))))/(((VLOOKUP(EDATE(B225,-12),Database!$F:$AY,MATCH($K$1,Database!$F$1:$AY$1,),))))</f>
        <v/>
      </c>
      <c r="L225" s="13">
        <f>((((VLOOKUP(B225,Database!$F:$AY,MATCH($L$1,Database!$F$1:$AY$1,),))))-(((VLOOKUP(EDATE(B225,-12),Database!$F:$AY,MATCH($L$1,Database!$F$1:$AY$1,),)))))/(((VLOOKUP(EDATE(B225,-12),Database!$F:$AY,MATCH($L$1,Database!$F$1:$AY$1,),))))</f>
        <v/>
      </c>
      <c r="M225" s="13">
        <f>((((VLOOKUP(B225,Database!$F:$AY,MATCH($M$1,Database!$F$1:$AY$1,),))))-(((VLOOKUP(EDATE(B225,-12),Database!$F:$AY,MATCH($M$1,Database!$F$1:$AY$1,),)))))/(((VLOOKUP(EDATE(B225,-12),Database!$F:$AY,MATCH($M$1,Database!$F$1:$AY$1,),))))</f>
        <v/>
      </c>
      <c r="N225" s="13">
        <f>((((VLOOKUP(B225,Database!$F:$AY,MATCH($N$1,Database!$F$1:$AY$1,),))))-(((VLOOKUP(EDATE(B225,-12),Database!$F:$AY,MATCH($N$1,Database!$F$1:$AY$1,),)))))/(((VLOOKUP(EDATE(B225,-12),Database!$F:$AY,MATCH($N$1,Database!$F$1:$AY$1,),))))</f>
        <v/>
      </c>
      <c r="O225" s="13">
        <f>((((VLOOKUP(B225,Database!$F:$AY,MATCH($O$1,Database!$F$1:$AY$1,),))))-(((VLOOKUP(EDATE(B225,-12),Database!$F:$AY,MATCH($O$1,Database!$F$1:$AY$1,),)))))/(((VLOOKUP(EDATE(B225,-12),Database!$F:$AY,MATCH($O$1,Database!$F$1:$AY$1,),))))</f>
        <v/>
      </c>
      <c r="P225" s="13">
        <f>((((VLOOKUP(B225,Database!$F:$AY,MATCH($P$1,Database!$F$1:$AY$1,),))))-(((VLOOKUP(EDATE(B225,-12),Database!$F:$AY,MATCH($P$1,Database!$F$1:$AY$1,),)))))/(((VLOOKUP(EDATE(B225,-12),Database!$F:$AY,MATCH($P$1,Database!$F$1:$AY$1,),))))</f>
        <v/>
      </c>
      <c r="Q225" s="13">
        <f>((((VLOOKUP(B225,Database!$F:$AY,MATCH($Q$1,Database!$F$1:$AY$1,),))))-(((VLOOKUP(EDATE(B225,-12),Database!$F:$AY,MATCH($Q$1,Database!$F$1:$AY$1,),)))))/(((VLOOKUP(EDATE(B225,-12),Database!$F:$AY,MATCH($Q$1,Database!$F$1:$AY$1,),))))</f>
        <v/>
      </c>
      <c r="R225" s="13">
        <f>((((VLOOKUP(B225,Database!$F:$AY,MATCH($R$1,Database!$F$1:$AY$1,),))))-(((VLOOKUP(EDATE(B225,-12),Database!$F:$AY,MATCH($R$1,Database!$F$1:$AY$1,),)))))/(((VLOOKUP(EDATE(B225,-12),Database!$F:$AY,MATCH($R$1,Database!$F$1:$AY$1,),))))</f>
        <v/>
      </c>
      <c r="S225" s="13">
        <f>((((VLOOKUP(B225,Database!$F:$AY,MATCH($S$1,Database!$F$1:$AY$1,),))))-(((VLOOKUP(EDATE(B225,-12),Database!$F:$AY,MATCH($S$1,Database!$F$1:$AY$1,),)))))/(((VLOOKUP(EDATE(B225,-12),Database!$F:$AY,MATCH($S$1,Database!$F$1:$AY$1,),))))</f>
        <v/>
      </c>
      <c r="T225" s="13">
        <f>((((VLOOKUP(B225,Database!$F:$AY,MATCH($T$1,Database!$F$1:$AY$1,),))))-(((VLOOKUP(EDATE(B225,-12),Database!$F:$AY,MATCH($T$1,Database!$F$1:$AY$1,),)))))/(((VLOOKUP(EDATE(B225,-12),Database!$F:$AY,MATCH($T$1,Database!$F$1:$AY$1,),))))</f>
        <v/>
      </c>
      <c r="U225" s="13">
        <f>((((VLOOKUP(B225,Database!$F:$AY,MATCH($U$1,Database!$F$1:$AY$1,),))))-(((VLOOKUP(EDATE(B225,-12),Database!$F:$AY,MATCH($U$1,Database!$F$1:$AY$1,),)))))/(((VLOOKUP(EDATE(B225,-12),Database!$F:$AY,MATCH($U$1,Database!$F$1:$AY$1,),))))</f>
        <v/>
      </c>
      <c r="V225" s="13">
        <f>((((VLOOKUP(B225,Database!$F:$AY,MATCH($V$1,Database!$F$1:$AY$1,),))))-(((VLOOKUP(EDATE(B225,-12),Database!$F:$AY,MATCH($V$1,Database!$F$1:$AY$1,),)))))/(((VLOOKUP(EDATE(B225,-12),Database!$F:$AY,MATCH($V$1,Database!$F$1:$AY$1,),))))</f>
        <v/>
      </c>
    </row>
    <row r="226" customFormat="1" s="100">
      <c r="A226" s="45" t="n"/>
      <c r="B226" s="46" t="n">
        <v>39022</v>
      </c>
      <c r="C226" s="13">
        <f>((((VLOOKUP(B226,Database!$F:$AY,MATCH($C$1,Database!$F$1:$AY$1,),))))-(((VLOOKUP(EDATE(B226,-12),Database!$F:$AY,MATCH($C$1,Database!$F$1:$AY$1,),)))))/(((VLOOKUP(EDATE(B226,-12),Database!$F:$AY,MATCH($C$1,Database!$F$1:$AY$1,),))))</f>
        <v/>
      </c>
      <c r="D226" s="13">
        <f>((((VLOOKUP(B226,Database!$F:$AY,MATCH($D$1,Database!$F$1:$AY$1,),))))-(((VLOOKUP(EDATE(B226,-12),Database!$F:$AY,MATCH($D$1,Database!$F$1:$AY$1,),)))))/(((VLOOKUP(EDATE(B226,-12),Database!$F:$AY,MATCH($D$1,Database!$F$1:$AY$1,),))))</f>
        <v/>
      </c>
      <c r="E226" s="13">
        <f>((((VLOOKUP(B226,Database!$F:$AY,MATCH($E$1,Database!$F$1:$AY$1,),))))-(((VLOOKUP(EDATE(B226,-12),Database!$F:$AY,MATCH($E$1,Database!$F$1:$AY$1,),)))))/(((VLOOKUP(EDATE(B226,-12),Database!$F:$AY,MATCH($E$1,Database!$F$1:$AY$1,),))))</f>
        <v/>
      </c>
      <c r="F226" s="13">
        <f>((((VLOOKUP(B226,Database!$F:$AY,MATCH($F$1,Database!$F$1:$AY$1,),))))-(((VLOOKUP(EDATE(B226,-12),Database!$F:$AY,MATCH($F$1,Database!$F$1:$AY$1,),)))))/(((VLOOKUP(EDATE(B226,-12),Database!$F:$AY,MATCH($F$1,Database!$F$1:$AY$1,),))))</f>
        <v/>
      </c>
      <c r="G226" s="13">
        <f>((((VLOOKUP(B226,Database!$F:$AY,MATCH($G$1,Database!$F$1:$AY$1,),))))-(((VLOOKUP(EDATE(B226,-12),Database!$F:$AY,MATCH($G$1,Database!$F$1:$AY$1,),)))))/(((VLOOKUP(EDATE(B226,-12),Database!$F:$AY,MATCH($G$1,Database!$F$1:$AY$1,),))))</f>
        <v/>
      </c>
      <c r="H226" s="13">
        <f>((((VLOOKUP(B226,Database!$F:$AY,MATCH($H$1,Database!$F$1:$AY$1,),))))-(((VLOOKUP(EDATE(B226,-12),Database!$F:$AY,MATCH($H$1,Database!$F$1:$AY$1,),)))))/(((VLOOKUP(EDATE(B226,-12),Database!$F:$AY,MATCH($H$1,Database!$F$1:$AY$1,),))))</f>
        <v/>
      </c>
      <c r="I226" s="13">
        <f>((((VLOOKUP(B226,Database!$F:$AY,MATCH($I$1,Database!$F$1:$AY$1,),))))-(((VLOOKUP(EDATE(B226,-12),Database!$F:$AY,MATCH($I$1,Database!$F$1:$AY$1,),)))))/(((VLOOKUP(EDATE(B226,-12),Database!$F:$AY,MATCH($I$1,Database!$F$1:$AY$1,),))))</f>
        <v/>
      </c>
      <c r="J226" s="13">
        <f>((((VLOOKUP(B226,Database!$F:$AY,MATCH($J$1,Database!$F$1:$AY$1,),))))-(((VLOOKUP(EDATE(B226,-12),Database!$F:$AY,MATCH($J$1,Database!$F$1:$AY$1,),)))))/(((VLOOKUP(EDATE(B226,-12),Database!$F:$AY,MATCH($J$1,Database!$F$1:$AY$1,),))))</f>
        <v/>
      </c>
      <c r="K226" s="13">
        <f>((((VLOOKUP(B226,Database!$F:$AY,MATCH($K$1,Database!$F$1:$AY$1,),))))-(((VLOOKUP(EDATE(B226,-12),Database!$F:$AY,MATCH($K$1,Database!$F$1:$AY$1,),)))))/(((VLOOKUP(EDATE(B226,-12),Database!$F:$AY,MATCH($K$1,Database!$F$1:$AY$1,),))))</f>
        <v/>
      </c>
      <c r="L226" s="13">
        <f>((((VLOOKUP(B226,Database!$F:$AY,MATCH($L$1,Database!$F$1:$AY$1,),))))-(((VLOOKUP(EDATE(B226,-12),Database!$F:$AY,MATCH($L$1,Database!$F$1:$AY$1,),)))))/(((VLOOKUP(EDATE(B226,-12),Database!$F:$AY,MATCH($L$1,Database!$F$1:$AY$1,),))))</f>
        <v/>
      </c>
      <c r="M226" s="13">
        <f>((((VLOOKUP(B226,Database!$F:$AY,MATCH($M$1,Database!$F$1:$AY$1,),))))-(((VLOOKUP(EDATE(B226,-12),Database!$F:$AY,MATCH($M$1,Database!$F$1:$AY$1,),)))))/(((VLOOKUP(EDATE(B226,-12),Database!$F:$AY,MATCH($M$1,Database!$F$1:$AY$1,),))))</f>
        <v/>
      </c>
      <c r="N226" s="13">
        <f>((((VLOOKUP(B226,Database!$F:$AY,MATCH($N$1,Database!$F$1:$AY$1,),))))-(((VLOOKUP(EDATE(B226,-12),Database!$F:$AY,MATCH($N$1,Database!$F$1:$AY$1,),)))))/(((VLOOKUP(EDATE(B226,-12),Database!$F:$AY,MATCH($N$1,Database!$F$1:$AY$1,),))))</f>
        <v/>
      </c>
      <c r="O226" s="13">
        <f>((((VLOOKUP(B226,Database!$F:$AY,MATCH($O$1,Database!$F$1:$AY$1,),))))-(((VLOOKUP(EDATE(B226,-12),Database!$F:$AY,MATCH($O$1,Database!$F$1:$AY$1,),)))))/(((VLOOKUP(EDATE(B226,-12),Database!$F:$AY,MATCH($O$1,Database!$F$1:$AY$1,),))))</f>
        <v/>
      </c>
      <c r="P226" s="13">
        <f>((((VLOOKUP(B226,Database!$F:$AY,MATCH($P$1,Database!$F$1:$AY$1,),))))-(((VLOOKUP(EDATE(B226,-12),Database!$F:$AY,MATCH($P$1,Database!$F$1:$AY$1,),)))))/(((VLOOKUP(EDATE(B226,-12),Database!$F:$AY,MATCH($P$1,Database!$F$1:$AY$1,),))))</f>
        <v/>
      </c>
      <c r="Q226" s="13">
        <f>((((VLOOKUP(B226,Database!$F:$AY,MATCH($Q$1,Database!$F$1:$AY$1,),))))-(((VLOOKUP(EDATE(B226,-12),Database!$F:$AY,MATCH($Q$1,Database!$F$1:$AY$1,),)))))/(((VLOOKUP(EDATE(B226,-12),Database!$F:$AY,MATCH($Q$1,Database!$F$1:$AY$1,),))))</f>
        <v/>
      </c>
      <c r="R226" s="13">
        <f>((((VLOOKUP(B226,Database!$F:$AY,MATCH($R$1,Database!$F$1:$AY$1,),))))-(((VLOOKUP(EDATE(B226,-12),Database!$F:$AY,MATCH($R$1,Database!$F$1:$AY$1,),)))))/(((VLOOKUP(EDATE(B226,-12),Database!$F:$AY,MATCH($R$1,Database!$F$1:$AY$1,),))))</f>
        <v/>
      </c>
      <c r="S226" s="13">
        <f>((((VLOOKUP(B226,Database!$F:$AY,MATCH($S$1,Database!$F$1:$AY$1,),))))-(((VLOOKUP(EDATE(B226,-12),Database!$F:$AY,MATCH($S$1,Database!$F$1:$AY$1,),)))))/(((VLOOKUP(EDATE(B226,-12),Database!$F:$AY,MATCH($S$1,Database!$F$1:$AY$1,),))))</f>
        <v/>
      </c>
      <c r="T226" s="13">
        <f>((((VLOOKUP(B226,Database!$F:$AY,MATCH($T$1,Database!$F$1:$AY$1,),))))-(((VLOOKUP(EDATE(B226,-12),Database!$F:$AY,MATCH($T$1,Database!$F$1:$AY$1,),)))))/(((VLOOKUP(EDATE(B226,-12),Database!$F:$AY,MATCH($T$1,Database!$F$1:$AY$1,),))))</f>
        <v/>
      </c>
      <c r="U226" s="13">
        <f>((((VLOOKUP(B226,Database!$F:$AY,MATCH($U$1,Database!$F$1:$AY$1,),))))-(((VLOOKUP(EDATE(B226,-12),Database!$F:$AY,MATCH($U$1,Database!$F$1:$AY$1,),)))))/(((VLOOKUP(EDATE(B226,-12),Database!$F:$AY,MATCH($U$1,Database!$F$1:$AY$1,),))))</f>
        <v/>
      </c>
      <c r="V226" s="13">
        <f>((((VLOOKUP(B226,Database!$F:$AY,MATCH($V$1,Database!$F$1:$AY$1,),))))-(((VLOOKUP(EDATE(B226,-12),Database!$F:$AY,MATCH($V$1,Database!$F$1:$AY$1,),)))))/(((VLOOKUP(EDATE(B226,-12),Database!$F:$AY,MATCH($V$1,Database!$F$1:$AY$1,),))))</f>
        <v/>
      </c>
    </row>
    <row r="227" customFormat="1" s="100">
      <c r="A227" s="45" t="n"/>
      <c r="B227" s="46" t="n">
        <v>39052</v>
      </c>
      <c r="C227" s="13">
        <f>((((VLOOKUP(B227,Database!$F:$AY,MATCH($C$1,Database!$F$1:$AY$1,),))))-(((VLOOKUP(EDATE(B227,-12),Database!$F:$AY,MATCH($C$1,Database!$F$1:$AY$1,),)))))/(((VLOOKUP(EDATE(B227,-12),Database!$F:$AY,MATCH($C$1,Database!$F$1:$AY$1,),))))</f>
        <v/>
      </c>
      <c r="D227" s="13">
        <f>((((VLOOKUP(B227,Database!$F:$AY,MATCH($D$1,Database!$F$1:$AY$1,),))))-(((VLOOKUP(EDATE(B227,-12),Database!$F:$AY,MATCH($D$1,Database!$F$1:$AY$1,),)))))/(((VLOOKUP(EDATE(B227,-12),Database!$F:$AY,MATCH($D$1,Database!$F$1:$AY$1,),))))</f>
        <v/>
      </c>
      <c r="E227" s="13">
        <f>((((VLOOKUP(B227,Database!$F:$AY,MATCH($E$1,Database!$F$1:$AY$1,),))))-(((VLOOKUP(EDATE(B227,-12),Database!$F:$AY,MATCH($E$1,Database!$F$1:$AY$1,),)))))/(((VLOOKUP(EDATE(B227,-12),Database!$F:$AY,MATCH($E$1,Database!$F$1:$AY$1,),))))</f>
        <v/>
      </c>
      <c r="F227" s="13">
        <f>((((VLOOKUP(B227,Database!$F:$AY,MATCH($F$1,Database!$F$1:$AY$1,),))))-(((VLOOKUP(EDATE(B227,-12),Database!$F:$AY,MATCH($F$1,Database!$F$1:$AY$1,),)))))/(((VLOOKUP(EDATE(B227,-12),Database!$F:$AY,MATCH($F$1,Database!$F$1:$AY$1,),))))</f>
        <v/>
      </c>
      <c r="G227" s="13">
        <f>((((VLOOKUP(B227,Database!$F:$AY,MATCH($G$1,Database!$F$1:$AY$1,),))))-(((VLOOKUP(EDATE(B227,-12),Database!$F:$AY,MATCH($G$1,Database!$F$1:$AY$1,),)))))/(((VLOOKUP(EDATE(B227,-12),Database!$F:$AY,MATCH($G$1,Database!$F$1:$AY$1,),))))</f>
        <v/>
      </c>
      <c r="H227" s="13">
        <f>((((VLOOKUP(B227,Database!$F:$AY,MATCH($H$1,Database!$F$1:$AY$1,),))))-(((VLOOKUP(EDATE(B227,-12),Database!$F:$AY,MATCH($H$1,Database!$F$1:$AY$1,),)))))/(((VLOOKUP(EDATE(B227,-12),Database!$F:$AY,MATCH($H$1,Database!$F$1:$AY$1,),))))</f>
        <v/>
      </c>
      <c r="I227" s="13">
        <f>((((VLOOKUP(B227,Database!$F:$AY,MATCH($I$1,Database!$F$1:$AY$1,),))))-(((VLOOKUP(EDATE(B227,-12),Database!$F:$AY,MATCH($I$1,Database!$F$1:$AY$1,),)))))/(((VLOOKUP(EDATE(B227,-12),Database!$F:$AY,MATCH($I$1,Database!$F$1:$AY$1,),))))</f>
        <v/>
      </c>
      <c r="J227" s="13">
        <f>((((VLOOKUP(B227,Database!$F:$AY,MATCH($J$1,Database!$F$1:$AY$1,),))))-(((VLOOKUP(EDATE(B227,-12),Database!$F:$AY,MATCH($J$1,Database!$F$1:$AY$1,),)))))/(((VLOOKUP(EDATE(B227,-12),Database!$F:$AY,MATCH($J$1,Database!$F$1:$AY$1,),))))</f>
        <v/>
      </c>
      <c r="K227" s="13">
        <f>((((VLOOKUP(B227,Database!$F:$AY,MATCH($K$1,Database!$F$1:$AY$1,),))))-(((VLOOKUP(EDATE(B227,-12),Database!$F:$AY,MATCH($K$1,Database!$F$1:$AY$1,),)))))/(((VLOOKUP(EDATE(B227,-12),Database!$F:$AY,MATCH($K$1,Database!$F$1:$AY$1,),))))</f>
        <v/>
      </c>
      <c r="L227" s="13">
        <f>((((VLOOKUP(B227,Database!$F:$AY,MATCH($L$1,Database!$F$1:$AY$1,),))))-(((VLOOKUP(EDATE(B227,-12),Database!$F:$AY,MATCH($L$1,Database!$F$1:$AY$1,),)))))/(((VLOOKUP(EDATE(B227,-12),Database!$F:$AY,MATCH($L$1,Database!$F$1:$AY$1,),))))</f>
        <v/>
      </c>
      <c r="M227" s="13">
        <f>((((VLOOKUP(B227,Database!$F:$AY,MATCH($M$1,Database!$F$1:$AY$1,),))))-(((VLOOKUP(EDATE(B227,-12),Database!$F:$AY,MATCH($M$1,Database!$F$1:$AY$1,),)))))/(((VLOOKUP(EDATE(B227,-12),Database!$F:$AY,MATCH($M$1,Database!$F$1:$AY$1,),))))</f>
        <v/>
      </c>
      <c r="N227" s="13">
        <f>((((VLOOKUP(B227,Database!$F:$AY,MATCH($N$1,Database!$F$1:$AY$1,),))))-(((VLOOKUP(EDATE(B227,-12),Database!$F:$AY,MATCH($N$1,Database!$F$1:$AY$1,),)))))/(((VLOOKUP(EDATE(B227,-12),Database!$F:$AY,MATCH($N$1,Database!$F$1:$AY$1,),))))</f>
        <v/>
      </c>
      <c r="O227" s="13">
        <f>((((VLOOKUP(B227,Database!$F:$AY,MATCH($O$1,Database!$F$1:$AY$1,),))))-(((VLOOKUP(EDATE(B227,-12),Database!$F:$AY,MATCH($O$1,Database!$F$1:$AY$1,),)))))/(((VLOOKUP(EDATE(B227,-12),Database!$F:$AY,MATCH($O$1,Database!$F$1:$AY$1,),))))</f>
        <v/>
      </c>
      <c r="P227" s="13">
        <f>((((VLOOKUP(B227,Database!$F:$AY,MATCH($P$1,Database!$F$1:$AY$1,),))))-(((VLOOKUP(EDATE(B227,-12),Database!$F:$AY,MATCH($P$1,Database!$F$1:$AY$1,),)))))/(((VLOOKUP(EDATE(B227,-12),Database!$F:$AY,MATCH($P$1,Database!$F$1:$AY$1,),))))</f>
        <v/>
      </c>
      <c r="Q227" s="13">
        <f>((((VLOOKUP(B227,Database!$F:$AY,MATCH($Q$1,Database!$F$1:$AY$1,),))))-(((VLOOKUP(EDATE(B227,-12),Database!$F:$AY,MATCH($Q$1,Database!$F$1:$AY$1,),)))))/(((VLOOKUP(EDATE(B227,-12),Database!$F:$AY,MATCH($Q$1,Database!$F$1:$AY$1,),))))</f>
        <v/>
      </c>
      <c r="R227" s="13">
        <f>((((VLOOKUP(B227,Database!$F:$AY,MATCH($R$1,Database!$F$1:$AY$1,),))))-(((VLOOKUP(EDATE(B227,-12),Database!$F:$AY,MATCH($R$1,Database!$F$1:$AY$1,),)))))/(((VLOOKUP(EDATE(B227,-12),Database!$F:$AY,MATCH($R$1,Database!$F$1:$AY$1,),))))</f>
        <v/>
      </c>
      <c r="S227" s="13">
        <f>((((VLOOKUP(B227,Database!$F:$AY,MATCH($S$1,Database!$F$1:$AY$1,),))))-(((VLOOKUP(EDATE(B227,-12),Database!$F:$AY,MATCH($S$1,Database!$F$1:$AY$1,),)))))/(((VLOOKUP(EDATE(B227,-12),Database!$F:$AY,MATCH($S$1,Database!$F$1:$AY$1,),))))</f>
        <v/>
      </c>
      <c r="T227" s="13">
        <f>((((VLOOKUP(B227,Database!$F:$AY,MATCH($T$1,Database!$F$1:$AY$1,),))))-(((VLOOKUP(EDATE(B227,-12),Database!$F:$AY,MATCH($T$1,Database!$F$1:$AY$1,),)))))/(((VLOOKUP(EDATE(B227,-12),Database!$F:$AY,MATCH($T$1,Database!$F$1:$AY$1,),))))</f>
        <v/>
      </c>
      <c r="U227" s="13">
        <f>((((VLOOKUP(B227,Database!$F:$AY,MATCH($U$1,Database!$F$1:$AY$1,),))))-(((VLOOKUP(EDATE(B227,-12),Database!$F:$AY,MATCH($U$1,Database!$F$1:$AY$1,),)))))/(((VLOOKUP(EDATE(B227,-12),Database!$F:$AY,MATCH($U$1,Database!$F$1:$AY$1,),))))</f>
        <v/>
      </c>
      <c r="V227" s="13">
        <f>((((VLOOKUP(B227,Database!$F:$AY,MATCH($V$1,Database!$F$1:$AY$1,),))))-(((VLOOKUP(EDATE(B227,-12),Database!$F:$AY,MATCH($V$1,Database!$F$1:$AY$1,),)))))/(((VLOOKUP(EDATE(B227,-12),Database!$F:$AY,MATCH($V$1,Database!$F$1:$AY$1,),))))</f>
        <v/>
      </c>
    </row>
    <row r="228" customFormat="1" s="100">
      <c r="A228" s="45" t="n"/>
      <c r="B228" s="46" t="n">
        <v>39083</v>
      </c>
      <c r="C228" s="13">
        <f>((((VLOOKUP(B228,Database!$F:$AY,MATCH($C$1,Database!$F$1:$AY$1,),))))-(((VLOOKUP(EDATE(B228,-12),Database!$F:$AY,MATCH($C$1,Database!$F$1:$AY$1,),)))))/(((VLOOKUP(EDATE(B228,-12),Database!$F:$AY,MATCH($C$1,Database!$F$1:$AY$1,),))))</f>
        <v/>
      </c>
      <c r="D228" s="13">
        <f>((((VLOOKUP(B228,Database!$F:$AY,MATCH($D$1,Database!$F$1:$AY$1,),))))-(((VLOOKUP(EDATE(B228,-12),Database!$F:$AY,MATCH($D$1,Database!$F$1:$AY$1,),)))))/(((VLOOKUP(EDATE(B228,-12),Database!$F:$AY,MATCH($D$1,Database!$F$1:$AY$1,),))))</f>
        <v/>
      </c>
      <c r="E228" s="13">
        <f>((((VLOOKUP(B228,Database!$F:$AY,MATCH($E$1,Database!$F$1:$AY$1,),))))-(((VLOOKUP(EDATE(B228,-12),Database!$F:$AY,MATCH($E$1,Database!$F$1:$AY$1,),)))))/(((VLOOKUP(EDATE(B228,-12),Database!$F:$AY,MATCH($E$1,Database!$F$1:$AY$1,),))))</f>
        <v/>
      </c>
      <c r="F228" s="13">
        <f>((((VLOOKUP(B228,Database!$F:$AY,MATCH($F$1,Database!$F$1:$AY$1,),))))-(((VLOOKUP(EDATE(B228,-12),Database!$F:$AY,MATCH($F$1,Database!$F$1:$AY$1,),)))))/(((VLOOKUP(EDATE(B228,-12),Database!$F:$AY,MATCH($F$1,Database!$F$1:$AY$1,),))))</f>
        <v/>
      </c>
      <c r="G228" s="13">
        <f>((((VLOOKUP(B228,Database!$F:$AY,MATCH($G$1,Database!$F$1:$AY$1,),))))-(((VLOOKUP(EDATE(B228,-12),Database!$F:$AY,MATCH($G$1,Database!$F$1:$AY$1,),)))))/(((VLOOKUP(EDATE(B228,-12),Database!$F:$AY,MATCH($G$1,Database!$F$1:$AY$1,),))))</f>
        <v/>
      </c>
      <c r="H228" s="13">
        <f>((((VLOOKUP(B228,Database!$F:$AY,MATCH($H$1,Database!$F$1:$AY$1,),))))-(((VLOOKUP(EDATE(B228,-12),Database!$F:$AY,MATCH($H$1,Database!$F$1:$AY$1,),)))))/(((VLOOKUP(EDATE(B228,-12),Database!$F:$AY,MATCH($H$1,Database!$F$1:$AY$1,),))))</f>
        <v/>
      </c>
      <c r="I228" s="13">
        <f>((((VLOOKUP(B228,Database!$F:$AY,MATCH($I$1,Database!$F$1:$AY$1,),))))-(((VLOOKUP(EDATE(B228,-12),Database!$F:$AY,MATCH($I$1,Database!$F$1:$AY$1,),)))))/(((VLOOKUP(EDATE(B228,-12),Database!$F:$AY,MATCH($I$1,Database!$F$1:$AY$1,),))))</f>
        <v/>
      </c>
      <c r="J228" s="13">
        <f>((((VLOOKUP(B228,Database!$F:$AY,MATCH($J$1,Database!$F$1:$AY$1,),))))-(((VLOOKUP(EDATE(B228,-12),Database!$F:$AY,MATCH($J$1,Database!$F$1:$AY$1,),)))))/(((VLOOKUP(EDATE(B228,-12),Database!$F:$AY,MATCH($J$1,Database!$F$1:$AY$1,),))))</f>
        <v/>
      </c>
      <c r="K228" s="13">
        <f>((((VLOOKUP(B228,Database!$F:$AY,MATCH($K$1,Database!$F$1:$AY$1,),))))-(((VLOOKUP(EDATE(B228,-12),Database!$F:$AY,MATCH($K$1,Database!$F$1:$AY$1,),)))))/(((VLOOKUP(EDATE(B228,-12),Database!$F:$AY,MATCH($K$1,Database!$F$1:$AY$1,),))))</f>
        <v/>
      </c>
      <c r="L228" s="13">
        <f>((((VLOOKUP(B228,Database!$F:$AY,MATCH($L$1,Database!$F$1:$AY$1,),))))-(((VLOOKUP(EDATE(B228,-12),Database!$F:$AY,MATCH($L$1,Database!$F$1:$AY$1,),)))))/(((VLOOKUP(EDATE(B228,-12),Database!$F:$AY,MATCH($L$1,Database!$F$1:$AY$1,),))))</f>
        <v/>
      </c>
      <c r="M228" s="13">
        <f>((((VLOOKUP(B228,Database!$F:$AY,MATCH($M$1,Database!$F$1:$AY$1,),))))-(((VLOOKUP(EDATE(B228,-12),Database!$F:$AY,MATCH($M$1,Database!$F$1:$AY$1,),)))))/(((VLOOKUP(EDATE(B228,-12),Database!$F:$AY,MATCH($M$1,Database!$F$1:$AY$1,),))))</f>
        <v/>
      </c>
      <c r="N228" s="13">
        <f>((((VLOOKUP(B228,Database!$F:$AY,MATCH($N$1,Database!$F$1:$AY$1,),))))-(((VLOOKUP(EDATE(B228,-12),Database!$F:$AY,MATCH($N$1,Database!$F$1:$AY$1,),)))))/(((VLOOKUP(EDATE(B228,-12),Database!$F:$AY,MATCH($N$1,Database!$F$1:$AY$1,),))))</f>
        <v/>
      </c>
      <c r="O228" s="13">
        <f>((((VLOOKUP(B228,Database!$F:$AY,MATCH($O$1,Database!$F$1:$AY$1,),))))-(((VLOOKUP(EDATE(B228,-12),Database!$F:$AY,MATCH($O$1,Database!$F$1:$AY$1,),)))))/(((VLOOKUP(EDATE(B228,-12),Database!$F:$AY,MATCH($O$1,Database!$F$1:$AY$1,),))))</f>
        <v/>
      </c>
      <c r="P228" s="13">
        <f>((((VLOOKUP(B228,Database!$F:$AY,MATCH($P$1,Database!$F$1:$AY$1,),))))-(((VLOOKUP(EDATE(B228,-12),Database!$F:$AY,MATCH($P$1,Database!$F$1:$AY$1,),)))))/(((VLOOKUP(EDATE(B228,-12),Database!$F:$AY,MATCH($P$1,Database!$F$1:$AY$1,),))))</f>
        <v/>
      </c>
      <c r="Q228" s="13">
        <f>((((VLOOKUP(B228,Database!$F:$AY,MATCH($Q$1,Database!$F$1:$AY$1,),))))-(((VLOOKUP(EDATE(B228,-12),Database!$F:$AY,MATCH($Q$1,Database!$F$1:$AY$1,),)))))/(((VLOOKUP(EDATE(B228,-12),Database!$F:$AY,MATCH($Q$1,Database!$F$1:$AY$1,),))))</f>
        <v/>
      </c>
      <c r="R228" s="13">
        <f>((((VLOOKUP(B228,Database!$F:$AY,MATCH($R$1,Database!$F$1:$AY$1,),))))-(((VLOOKUP(EDATE(B228,-12),Database!$F:$AY,MATCH($R$1,Database!$F$1:$AY$1,),)))))/(((VLOOKUP(EDATE(B228,-12),Database!$F:$AY,MATCH($R$1,Database!$F$1:$AY$1,),))))</f>
        <v/>
      </c>
      <c r="S228" s="13">
        <f>((((VLOOKUP(B228,Database!$F:$AY,MATCH($S$1,Database!$F$1:$AY$1,),))))-(((VLOOKUP(EDATE(B228,-12),Database!$F:$AY,MATCH($S$1,Database!$F$1:$AY$1,),)))))/(((VLOOKUP(EDATE(B228,-12),Database!$F:$AY,MATCH($S$1,Database!$F$1:$AY$1,),))))</f>
        <v/>
      </c>
      <c r="T228" s="13">
        <f>((((VLOOKUP(B228,Database!$F:$AY,MATCH($T$1,Database!$F$1:$AY$1,),))))-(((VLOOKUP(EDATE(B228,-12),Database!$F:$AY,MATCH($T$1,Database!$F$1:$AY$1,),)))))/(((VLOOKUP(EDATE(B228,-12),Database!$F:$AY,MATCH($T$1,Database!$F$1:$AY$1,),))))</f>
        <v/>
      </c>
      <c r="U228" s="13">
        <f>((((VLOOKUP(B228,Database!$F:$AY,MATCH($U$1,Database!$F$1:$AY$1,),))))-(((VLOOKUP(EDATE(B228,-12),Database!$F:$AY,MATCH($U$1,Database!$F$1:$AY$1,),)))))/(((VLOOKUP(EDATE(B228,-12),Database!$F:$AY,MATCH($U$1,Database!$F$1:$AY$1,),))))</f>
        <v/>
      </c>
      <c r="V228" s="13">
        <f>((((VLOOKUP(B228,Database!$F:$AY,MATCH($V$1,Database!$F$1:$AY$1,),))))-(((VLOOKUP(EDATE(B228,-12),Database!$F:$AY,MATCH($V$1,Database!$F$1:$AY$1,),)))))/(((VLOOKUP(EDATE(B228,-12),Database!$F:$AY,MATCH($V$1,Database!$F$1:$AY$1,),))))</f>
        <v/>
      </c>
    </row>
    <row r="229" customFormat="1" s="100">
      <c r="A229" s="45" t="n"/>
      <c r="B229" s="46" t="n">
        <v>39114</v>
      </c>
      <c r="C229" s="13">
        <f>((((VLOOKUP(B229,Database!$F:$AY,MATCH($C$1,Database!$F$1:$AY$1,),))))-(((VLOOKUP(EDATE(B229,-12),Database!$F:$AY,MATCH($C$1,Database!$F$1:$AY$1,),)))))/(((VLOOKUP(EDATE(B229,-12),Database!$F:$AY,MATCH($C$1,Database!$F$1:$AY$1,),))))</f>
        <v/>
      </c>
      <c r="D229" s="13">
        <f>((((VLOOKUP(B229,Database!$F:$AY,MATCH($D$1,Database!$F$1:$AY$1,),))))-(((VLOOKUP(EDATE(B229,-12),Database!$F:$AY,MATCH($D$1,Database!$F$1:$AY$1,),)))))/(((VLOOKUP(EDATE(B229,-12),Database!$F:$AY,MATCH($D$1,Database!$F$1:$AY$1,),))))</f>
        <v/>
      </c>
      <c r="E229" s="13">
        <f>((((VLOOKUP(B229,Database!$F:$AY,MATCH($E$1,Database!$F$1:$AY$1,),))))-(((VLOOKUP(EDATE(B229,-12),Database!$F:$AY,MATCH($E$1,Database!$F$1:$AY$1,),)))))/(((VLOOKUP(EDATE(B229,-12),Database!$F:$AY,MATCH($E$1,Database!$F$1:$AY$1,),))))</f>
        <v/>
      </c>
      <c r="F229" s="13">
        <f>((((VLOOKUP(B229,Database!$F:$AY,MATCH($F$1,Database!$F$1:$AY$1,),))))-(((VLOOKUP(EDATE(B229,-12),Database!$F:$AY,MATCH($F$1,Database!$F$1:$AY$1,),)))))/(((VLOOKUP(EDATE(B229,-12),Database!$F:$AY,MATCH($F$1,Database!$F$1:$AY$1,),))))</f>
        <v/>
      </c>
      <c r="G229" s="13">
        <f>((((VLOOKUP(B229,Database!$F:$AY,MATCH($G$1,Database!$F$1:$AY$1,),))))-(((VLOOKUP(EDATE(B229,-12),Database!$F:$AY,MATCH($G$1,Database!$F$1:$AY$1,),)))))/(((VLOOKUP(EDATE(B229,-12),Database!$F:$AY,MATCH($G$1,Database!$F$1:$AY$1,),))))</f>
        <v/>
      </c>
      <c r="H229" s="13">
        <f>((((VLOOKUP(B229,Database!$F:$AY,MATCH($H$1,Database!$F$1:$AY$1,),))))-(((VLOOKUP(EDATE(B229,-12),Database!$F:$AY,MATCH($H$1,Database!$F$1:$AY$1,),)))))/(((VLOOKUP(EDATE(B229,-12),Database!$F:$AY,MATCH($H$1,Database!$F$1:$AY$1,),))))</f>
        <v/>
      </c>
      <c r="I229" s="13">
        <f>((((VLOOKUP(B229,Database!$F:$AY,MATCH($I$1,Database!$F$1:$AY$1,),))))-(((VLOOKUP(EDATE(B229,-12),Database!$F:$AY,MATCH($I$1,Database!$F$1:$AY$1,),)))))/(((VLOOKUP(EDATE(B229,-12),Database!$F:$AY,MATCH($I$1,Database!$F$1:$AY$1,),))))</f>
        <v/>
      </c>
      <c r="J229" s="13">
        <f>((((VLOOKUP(B229,Database!$F:$AY,MATCH($J$1,Database!$F$1:$AY$1,),))))-(((VLOOKUP(EDATE(B229,-12),Database!$F:$AY,MATCH($J$1,Database!$F$1:$AY$1,),)))))/(((VLOOKUP(EDATE(B229,-12),Database!$F:$AY,MATCH($J$1,Database!$F$1:$AY$1,),))))</f>
        <v/>
      </c>
      <c r="K229" s="13">
        <f>((((VLOOKUP(B229,Database!$F:$AY,MATCH($K$1,Database!$F$1:$AY$1,),))))-(((VLOOKUP(EDATE(B229,-12),Database!$F:$AY,MATCH($K$1,Database!$F$1:$AY$1,),)))))/(((VLOOKUP(EDATE(B229,-12),Database!$F:$AY,MATCH($K$1,Database!$F$1:$AY$1,),))))</f>
        <v/>
      </c>
      <c r="L229" s="13">
        <f>((((VLOOKUP(B229,Database!$F:$AY,MATCH($L$1,Database!$F$1:$AY$1,),))))-(((VLOOKUP(EDATE(B229,-12),Database!$F:$AY,MATCH($L$1,Database!$F$1:$AY$1,),)))))/(((VLOOKUP(EDATE(B229,-12),Database!$F:$AY,MATCH($L$1,Database!$F$1:$AY$1,),))))</f>
        <v/>
      </c>
      <c r="M229" s="13">
        <f>((((VLOOKUP(B229,Database!$F:$AY,MATCH($M$1,Database!$F$1:$AY$1,),))))-(((VLOOKUP(EDATE(B229,-12),Database!$F:$AY,MATCH($M$1,Database!$F$1:$AY$1,),)))))/(((VLOOKUP(EDATE(B229,-12),Database!$F:$AY,MATCH($M$1,Database!$F$1:$AY$1,),))))</f>
        <v/>
      </c>
      <c r="N229" s="13">
        <f>((((VLOOKUP(B229,Database!$F:$AY,MATCH($N$1,Database!$F$1:$AY$1,),))))-(((VLOOKUP(EDATE(B229,-12),Database!$F:$AY,MATCH($N$1,Database!$F$1:$AY$1,),)))))/(((VLOOKUP(EDATE(B229,-12),Database!$F:$AY,MATCH($N$1,Database!$F$1:$AY$1,),))))</f>
        <v/>
      </c>
      <c r="O229" s="13">
        <f>((((VLOOKUP(B229,Database!$F:$AY,MATCH($O$1,Database!$F$1:$AY$1,),))))-(((VLOOKUP(EDATE(B229,-12),Database!$F:$AY,MATCH($O$1,Database!$F$1:$AY$1,),)))))/(((VLOOKUP(EDATE(B229,-12),Database!$F:$AY,MATCH($O$1,Database!$F$1:$AY$1,),))))</f>
        <v/>
      </c>
      <c r="P229" s="13">
        <f>((((VLOOKUP(B229,Database!$F:$AY,MATCH($P$1,Database!$F$1:$AY$1,),))))-(((VLOOKUP(EDATE(B229,-12),Database!$F:$AY,MATCH($P$1,Database!$F$1:$AY$1,),)))))/(((VLOOKUP(EDATE(B229,-12),Database!$F:$AY,MATCH($P$1,Database!$F$1:$AY$1,),))))</f>
        <v/>
      </c>
      <c r="Q229" s="13">
        <f>((((VLOOKUP(B229,Database!$F:$AY,MATCH($Q$1,Database!$F$1:$AY$1,),))))-(((VLOOKUP(EDATE(B229,-12),Database!$F:$AY,MATCH($Q$1,Database!$F$1:$AY$1,),)))))/(((VLOOKUP(EDATE(B229,-12),Database!$F:$AY,MATCH($Q$1,Database!$F$1:$AY$1,),))))</f>
        <v/>
      </c>
      <c r="R229" s="13">
        <f>((((VLOOKUP(B229,Database!$F:$AY,MATCH($R$1,Database!$F$1:$AY$1,),))))-(((VLOOKUP(EDATE(B229,-12),Database!$F:$AY,MATCH($R$1,Database!$F$1:$AY$1,),)))))/(((VLOOKUP(EDATE(B229,-12),Database!$F:$AY,MATCH($R$1,Database!$F$1:$AY$1,),))))</f>
        <v/>
      </c>
      <c r="S229" s="13">
        <f>((((VLOOKUP(B229,Database!$F:$AY,MATCH($S$1,Database!$F$1:$AY$1,),))))-(((VLOOKUP(EDATE(B229,-12),Database!$F:$AY,MATCH($S$1,Database!$F$1:$AY$1,),)))))/(((VLOOKUP(EDATE(B229,-12),Database!$F:$AY,MATCH($S$1,Database!$F$1:$AY$1,),))))</f>
        <v/>
      </c>
      <c r="T229" s="13">
        <f>((((VLOOKUP(B229,Database!$F:$AY,MATCH($T$1,Database!$F$1:$AY$1,),))))-(((VLOOKUP(EDATE(B229,-12),Database!$F:$AY,MATCH($T$1,Database!$F$1:$AY$1,),)))))/(((VLOOKUP(EDATE(B229,-12),Database!$F:$AY,MATCH($T$1,Database!$F$1:$AY$1,),))))</f>
        <v/>
      </c>
      <c r="U229" s="13">
        <f>((((VLOOKUP(B229,Database!$F:$AY,MATCH($U$1,Database!$F$1:$AY$1,),))))-(((VLOOKUP(EDATE(B229,-12),Database!$F:$AY,MATCH($U$1,Database!$F$1:$AY$1,),)))))/(((VLOOKUP(EDATE(B229,-12),Database!$F:$AY,MATCH($U$1,Database!$F$1:$AY$1,),))))</f>
        <v/>
      </c>
      <c r="V229" s="13">
        <f>((((VLOOKUP(B229,Database!$F:$AY,MATCH($V$1,Database!$F$1:$AY$1,),))))-(((VLOOKUP(EDATE(B229,-12),Database!$F:$AY,MATCH($V$1,Database!$F$1:$AY$1,),)))))/(((VLOOKUP(EDATE(B229,-12),Database!$F:$AY,MATCH($V$1,Database!$F$1:$AY$1,),))))</f>
        <v/>
      </c>
    </row>
    <row r="230" customFormat="1" s="100">
      <c r="A230" s="45" t="n"/>
      <c r="B230" s="46" t="n">
        <v>39142</v>
      </c>
      <c r="C230" s="13">
        <f>((((VLOOKUP(B230,Database!$F:$AY,MATCH($C$1,Database!$F$1:$AY$1,),))))-(((VLOOKUP(EDATE(B230,-12),Database!$F:$AY,MATCH($C$1,Database!$F$1:$AY$1,),)))))/(((VLOOKUP(EDATE(B230,-12),Database!$F:$AY,MATCH($C$1,Database!$F$1:$AY$1,),))))</f>
        <v/>
      </c>
      <c r="D230" s="13">
        <f>((((VLOOKUP(B230,Database!$F:$AY,MATCH($D$1,Database!$F$1:$AY$1,),))))-(((VLOOKUP(EDATE(B230,-12),Database!$F:$AY,MATCH($D$1,Database!$F$1:$AY$1,),)))))/(((VLOOKUP(EDATE(B230,-12),Database!$F:$AY,MATCH($D$1,Database!$F$1:$AY$1,),))))</f>
        <v/>
      </c>
      <c r="E230" s="13">
        <f>((((VLOOKUP(B230,Database!$F:$AY,MATCH($E$1,Database!$F$1:$AY$1,),))))-(((VLOOKUP(EDATE(B230,-12),Database!$F:$AY,MATCH($E$1,Database!$F$1:$AY$1,),)))))/(((VLOOKUP(EDATE(B230,-12),Database!$F:$AY,MATCH($E$1,Database!$F$1:$AY$1,),))))</f>
        <v/>
      </c>
      <c r="F230" s="13">
        <f>((((VLOOKUP(B230,Database!$F:$AY,MATCH($F$1,Database!$F$1:$AY$1,),))))-(((VLOOKUP(EDATE(B230,-12),Database!$F:$AY,MATCH($F$1,Database!$F$1:$AY$1,),)))))/(((VLOOKUP(EDATE(B230,-12),Database!$F:$AY,MATCH($F$1,Database!$F$1:$AY$1,),))))</f>
        <v/>
      </c>
      <c r="G230" s="13">
        <f>((((VLOOKUP(B230,Database!$F:$AY,MATCH($G$1,Database!$F$1:$AY$1,),))))-(((VLOOKUP(EDATE(B230,-12),Database!$F:$AY,MATCH($G$1,Database!$F$1:$AY$1,),)))))/(((VLOOKUP(EDATE(B230,-12),Database!$F:$AY,MATCH($G$1,Database!$F$1:$AY$1,),))))</f>
        <v/>
      </c>
      <c r="H230" s="13">
        <f>((((VLOOKUP(B230,Database!$F:$AY,MATCH($H$1,Database!$F$1:$AY$1,),))))-(((VLOOKUP(EDATE(B230,-12),Database!$F:$AY,MATCH($H$1,Database!$F$1:$AY$1,),)))))/(((VLOOKUP(EDATE(B230,-12),Database!$F:$AY,MATCH($H$1,Database!$F$1:$AY$1,),))))</f>
        <v/>
      </c>
      <c r="I230" s="13">
        <f>((((VLOOKUP(B230,Database!$F:$AY,MATCH($I$1,Database!$F$1:$AY$1,),))))-(((VLOOKUP(EDATE(B230,-12),Database!$F:$AY,MATCH($I$1,Database!$F$1:$AY$1,),)))))/(((VLOOKUP(EDATE(B230,-12),Database!$F:$AY,MATCH($I$1,Database!$F$1:$AY$1,),))))</f>
        <v/>
      </c>
      <c r="J230" s="13">
        <f>((((VLOOKUP(B230,Database!$F:$AY,MATCH($J$1,Database!$F$1:$AY$1,),))))-(((VLOOKUP(EDATE(B230,-12),Database!$F:$AY,MATCH($J$1,Database!$F$1:$AY$1,),)))))/(((VLOOKUP(EDATE(B230,-12),Database!$F:$AY,MATCH($J$1,Database!$F$1:$AY$1,),))))</f>
        <v/>
      </c>
      <c r="K230" s="13">
        <f>((((VLOOKUP(B230,Database!$F:$AY,MATCH($K$1,Database!$F$1:$AY$1,),))))-(((VLOOKUP(EDATE(B230,-12),Database!$F:$AY,MATCH($K$1,Database!$F$1:$AY$1,),)))))/(((VLOOKUP(EDATE(B230,-12),Database!$F:$AY,MATCH($K$1,Database!$F$1:$AY$1,),))))</f>
        <v/>
      </c>
      <c r="L230" s="13">
        <f>((((VLOOKUP(B230,Database!$F:$AY,MATCH($L$1,Database!$F$1:$AY$1,),))))-(((VLOOKUP(EDATE(B230,-12),Database!$F:$AY,MATCH($L$1,Database!$F$1:$AY$1,),)))))/(((VLOOKUP(EDATE(B230,-12),Database!$F:$AY,MATCH($L$1,Database!$F$1:$AY$1,),))))</f>
        <v/>
      </c>
      <c r="M230" s="13">
        <f>((((VLOOKUP(B230,Database!$F:$AY,MATCH($M$1,Database!$F$1:$AY$1,),))))-(((VLOOKUP(EDATE(B230,-12),Database!$F:$AY,MATCH($M$1,Database!$F$1:$AY$1,),)))))/(((VLOOKUP(EDATE(B230,-12),Database!$F:$AY,MATCH($M$1,Database!$F$1:$AY$1,),))))</f>
        <v/>
      </c>
      <c r="N230" s="13">
        <f>((((VLOOKUP(B230,Database!$F:$AY,MATCH($N$1,Database!$F$1:$AY$1,),))))-(((VLOOKUP(EDATE(B230,-12),Database!$F:$AY,MATCH($N$1,Database!$F$1:$AY$1,),)))))/(((VLOOKUP(EDATE(B230,-12),Database!$F:$AY,MATCH($N$1,Database!$F$1:$AY$1,),))))</f>
        <v/>
      </c>
      <c r="O230" s="13">
        <f>((((VLOOKUP(B230,Database!$F:$AY,MATCH($O$1,Database!$F$1:$AY$1,),))))-(((VLOOKUP(EDATE(B230,-12),Database!$F:$AY,MATCH($O$1,Database!$F$1:$AY$1,),)))))/(((VLOOKUP(EDATE(B230,-12),Database!$F:$AY,MATCH($O$1,Database!$F$1:$AY$1,),))))</f>
        <v/>
      </c>
      <c r="P230" s="13">
        <f>((((VLOOKUP(B230,Database!$F:$AY,MATCH($P$1,Database!$F$1:$AY$1,),))))-(((VLOOKUP(EDATE(B230,-12),Database!$F:$AY,MATCH($P$1,Database!$F$1:$AY$1,),)))))/(((VLOOKUP(EDATE(B230,-12),Database!$F:$AY,MATCH($P$1,Database!$F$1:$AY$1,),))))</f>
        <v/>
      </c>
      <c r="Q230" s="13">
        <f>((((VLOOKUP(B230,Database!$F:$AY,MATCH($Q$1,Database!$F$1:$AY$1,),))))-(((VLOOKUP(EDATE(B230,-12),Database!$F:$AY,MATCH($Q$1,Database!$F$1:$AY$1,),)))))/(((VLOOKUP(EDATE(B230,-12),Database!$F:$AY,MATCH($Q$1,Database!$F$1:$AY$1,),))))</f>
        <v/>
      </c>
      <c r="R230" s="13">
        <f>((((VLOOKUP(B230,Database!$F:$AY,MATCH($R$1,Database!$F$1:$AY$1,),))))-(((VLOOKUP(EDATE(B230,-12),Database!$F:$AY,MATCH($R$1,Database!$F$1:$AY$1,),)))))/(((VLOOKUP(EDATE(B230,-12),Database!$F:$AY,MATCH($R$1,Database!$F$1:$AY$1,),))))</f>
        <v/>
      </c>
      <c r="S230" s="13">
        <f>((((VLOOKUP(B230,Database!$F:$AY,MATCH($S$1,Database!$F$1:$AY$1,),))))-(((VLOOKUP(EDATE(B230,-12),Database!$F:$AY,MATCH($S$1,Database!$F$1:$AY$1,),)))))/(((VLOOKUP(EDATE(B230,-12),Database!$F:$AY,MATCH($S$1,Database!$F$1:$AY$1,),))))</f>
        <v/>
      </c>
      <c r="T230" s="13">
        <f>((((VLOOKUP(B230,Database!$F:$AY,MATCH($T$1,Database!$F$1:$AY$1,),))))-(((VLOOKUP(EDATE(B230,-12),Database!$F:$AY,MATCH($T$1,Database!$F$1:$AY$1,),)))))/(((VLOOKUP(EDATE(B230,-12),Database!$F:$AY,MATCH($T$1,Database!$F$1:$AY$1,),))))</f>
        <v/>
      </c>
      <c r="U230" s="13">
        <f>((((VLOOKUP(B230,Database!$F:$AY,MATCH($U$1,Database!$F$1:$AY$1,),))))-(((VLOOKUP(EDATE(B230,-12),Database!$F:$AY,MATCH($U$1,Database!$F$1:$AY$1,),)))))/(((VLOOKUP(EDATE(B230,-12),Database!$F:$AY,MATCH($U$1,Database!$F$1:$AY$1,),))))</f>
        <v/>
      </c>
      <c r="V230" s="13">
        <f>((((VLOOKUP(B230,Database!$F:$AY,MATCH($V$1,Database!$F$1:$AY$1,),))))-(((VLOOKUP(EDATE(B230,-12),Database!$F:$AY,MATCH($V$1,Database!$F$1:$AY$1,),)))))/(((VLOOKUP(EDATE(B230,-12),Database!$F:$AY,MATCH($V$1,Database!$F$1:$AY$1,),))))</f>
        <v/>
      </c>
    </row>
    <row r="231" customFormat="1" s="100">
      <c r="A231" s="45" t="n"/>
      <c r="B231" s="46" t="n">
        <v>39173</v>
      </c>
      <c r="C231" s="13">
        <f>((((VLOOKUP(B231,Database!$F:$AY,MATCH($C$1,Database!$F$1:$AY$1,),))))-(((VLOOKUP(EDATE(B231,-12),Database!$F:$AY,MATCH($C$1,Database!$F$1:$AY$1,),)))))/(((VLOOKUP(EDATE(B231,-12),Database!$F:$AY,MATCH($C$1,Database!$F$1:$AY$1,),))))</f>
        <v/>
      </c>
      <c r="D231" s="13">
        <f>((((VLOOKUP(B231,Database!$F:$AY,MATCH($D$1,Database!$F$1:$AY$1,),))))-(((VLOOKUP(EDATE(B231,-12),Database!$F:$AY,MATCH($D$1,Database!$F$1:$AY$1,),)))))/(((VLOOKUP(EDATE(B231,-12),Database!$F:$AY,MATCH($D$1,Database!$F$1:$AY$1,),))))</f>
        <v/>
      </c>
      <c r="E231" s="13">
        <f>((((VLOOKUP(B231,Database!$F:$AY,MATCH($E$1,Database!$F$1:$AY$1,),))))-(((VLOOKUP(EDATE(B231,-12),Database!$F:$AY,MATCH($E$1,Database!$F$1:$AY$1,),)))))/(((VLOOKUP(EDATE(B231,-12),Database!$F:$AY,MATCH($E$1,Database!$F$1:$AY$1,),))))</f>
        <v/>
      </c>
      <c r="F231" s="13">
        <f>((((VLOOKUP(B231,Database!$F:$AY,MATCH($F$1,Database!$F$1:$AY$1,),))))-(((VLOOKUP(EDATE(B231,-12),Database!$F:$AY,MATCH($F$1,Database!$F$1:$AY$1,),)))))/(((VLOOKUP(EDATE(B231,-12),Database!$F:$AY,MATCH($F$1,Database!$F$1:$AY$1,),))))</f>
        <v/>
      </c>
      <c r="G231" s="13">
        <f>((((VLOOKUP(B231,Database!$F:$AY,MATCH($G$1,Database!$F$1:$AY$1,),))))-(((VLOOKUP(EDATE(B231,-12),Database!$F:$AY,MATCH($G$1,Database!$F$1:$AY$1,),)))))/(((VLOOKUP(EDATE(B231,-12),Database!$F:$AY,MATCH($G$1,Database!$F$1:$AY$1,),))))</f>
        <v/>
      </c>
      <c r="H231" s="13">
        <f>((((VLOOKUP(B231,Database!$F:$AY,MATCH($H$1,Database!$F$1:$AY$1,),))))-(((VLOOKUP(EDATE(B231,-12),Database!$F:$AY,MATCH($H$1,Database!$F$1:$AY$1,),)))))/(((VLOOKUP(EDATE(B231,-12),Database!$F:$AY,MATCH($H$1,Database!$F$1:$AY$1,),))))</f>
        <v/>
      </c>
      <c r="I231" s="13">
        <f>((((VLOOKUP(B231,Database!$F:$AY,MATCH($I$1,Database!$F$1:$AY$1,),))))-(((VLOOKUP(EDATE(B231,-12),Database!$F:$AY,MATCH($I$1,Database!$F$1:$AY$1,),)))))/(((VLOOKUP(EDATE(B231,-12),Database!$F:$AY,MATCH($I$1,Database!$F$1:$AY$1,),))))</f>
        <v/>
      </c>
      <c r="J231" s="13">
        <f>((((VLOOKUP(B231,Database!$F:$AY,MATCH($J$1,Database!$F$1:$AY$1,),))))-(((VLOOKUP(EDATE(B231,-12),Database!$F:$AY,MATCH($J$1,Database!$F$1:$AY$1,),)))))/(((VLOOKUP(EDATE(B231,-12),Database!$F:$AY,MATCH($J$1,Database!$F$1:$AY$1,),))))</f>
        <v/>
      </c>
      <c r="K231" s="13">
        <f>((((VLOOKUP(B231,Database!$F:$AY,MATCH($K$1,Database!$F$1:$AY$1,),))))-(((VLOOKUP(EDATE(B231,-12),Database!$F:$AY,MATCH($K$1,Database!$F$1:$AY$1,),)))))/(((VLOOKUP(EDATE(B231,-12),Database!$F:$AY,MATCH($K$1,Database!$F$1:$AY$1,),))))</f>
        <v/>
      </c>
      <c r="L231" s="13">
        <f>((((VLOOKUP(B231,Database!$F:$AY,MATCH($L$1,Database!$F$1:$AY$1,),))))-(((VLOOKUP(EDATE(B231,-12),Database!$F:$AY,MATCH($L$1,Database!$F$1:$AY$1,),)))))/(((VLOOKUP(EDATE(B231,-12),Database!$F:$AY,MATCH($L$1,Database!$F$1:$AY$1,),))))</f>
        <v/>
      </c>
      <c r="M231" s="13">
        <f>((((VLOOKUP(B231,Database!$F:$AY,MATCH($M$1,Database!$F$1:$AY$1,),))))-(((VLOOKUP(EDATE(B231,-12),Database!$F:$AY,MATCH($M$1,Database!$F$1:$AY$1,),)))))/(((VLOOKUP(EDATE(B231,-12),Database!$F:$AY,MATCH($M$1,Database!$F$1:$AY$1,),))))</f>
        <v/>
      </c>
      <c r="N231" s="13">
        <f>((((VLOOKUP(B231,Database!$F:$AY,MATCH($N$1,Database!$F$1:$AY$1,),))))-(((VLOOKUP(EDATE(B231,-12),Database!$F:$AY,MATCH($N$1,Database!$F$1:$AY$1,),)))))/(((VLOOKUP(EDATE(B231,-12),Database!$F:$AY,MATCH($N$1,Database!$F$1:$AY$1,),))))</f>
        <v/>
      </c>
      <c r="O231" s="13">
        <f>((((VLOOKUP(B231,Database!$F:$AY,MATCH($O$1,Database!$F$1:$AY$1,),))))-(((VLOOKUP(EDATE(B231,-12),Database!$F:$AY,MATCH($O$1,Database!$F$1:$AY$1,),)))))/(((VLOOKUP(EDATE(B231,-12),Database!$F:$AY,MATCH($O$1,Database!$F$1:$AY$1,),))))</f>
        <v/>
      </c>
      <c r="P231" s="13">
        <f>((((VLOOKUP(B231,Database!$F:$AY,MATCH($P$1,Database!$F$1:$AY$1,),))))-(((VLOOKUP(EDATE(B231,-12),Database!$F:$AY,MATCH($P$1,Database!$F$1:$AY$1,),)))))/(((VLOOKUP(EDATE(B231,-12),Database!$F:$AY,MATCH($P$1,Database!$F$1:$AY$1,),))))</f>
        <v/>
      </c>
      <c r="Q231" s="13">
        <f>((((VLOOKUP(B231,Database!$F:$AY,MATCH($Q$1,Database!$F$1:$AY$1,),))))-(((VLOOKUP(EDATE(B231,-12),Database!$F:$AY,MATCH($Q$1,Database!$F$1:$AY$1,),)))))/(((VLOOKUP(EDATE(B231,-12),Database!$F:$AY,MATCH($Q$1,Database!$F$1:$AY$1,),))))</f>
        <v/>
      </c>
      <c r="R231" s="13">
        <f>((((VLOOKUP(B231,Database!$F:$AY,MATCH($R$1,Database!$F$1:$AY$1,),))))-(((VLOOKUP(EDATE(B231,-12),Database!$F:$AY,MATCH($R$1,Database!$F$1:$AY$1,),)))))/(((VLOOKUP(EDATE(B231,-12),Database!$F:$AY,MATCH($R$1,Database!$F$1:$AY$1,),))))</f>
        <v/>
      </c>
      <c r="S231" s="13">
        <f>((((VLOOKUP(B231,Database!$F:$AY,MATCH($S$1,Database!$F$1:$AY$1,),))))-(((VLOOKUP(EDATE(B231,-12),Database!$F:$AY,MATCH($S$1,Database!$F$1:$AY$1,),)))))/(((VLOOKUP(EDATE(B231,-12),Database!$F:$AY,MATCH($S$1,Database!$F$1:$AY$1,),))))</f>
        <v/>
      </c>
      <c r="T231" s="13">
        <f>((((VLOOKUP(B231,Database!$F:$AY,MATCH($T$1,Database!$F$1:$AY$1,),))))-(((VLOOKUP(EDATE(B231,-12),Database!$F:$AY,MATCH($T$1,Database!$F$1:$AY$1,),)))))/(((VLOOKUP(EDATE(B231,-12),Database!$F:$AY,MATCH($T$1,Database!$F$1:$AY$1,),))))</f>
        <v/>
      </c>
      <c r="U231" s="13">
        <f>((((VLOOKUP(B231,Database!$F:$AY,MATCH($U$1,Database!$F$1:$AY$1,),))))-(((VLOOKUP(EDATE(B231,-12),Database!$F:$AY,MATCH($U$1,Database!$F$1:$AY$1,),)))))/(((VLOOKUP(EDATE(B231,-12),Database!$F:$AY,MATCH($U$1,Database!$F$1:$AY$1,),))))</f>
        <v/>
      </c>
      <c r="V231" s="13">
        <f>((((VLOOKUP(B231,Database!$F:$AY,MATCH($V$1,Database!$F$1:$AY$1,),))))-(((VLOOKUP(EDATE(B231,-12),Database!$F:$AY,MATCH($V$1,Database!$F$1:$AY$1,),)))))/(((VLOOKUP(EDATE(B231,-12),Database!$F:$AY,MATCH($V$1,Database!$F$1:$AY$1,),))))</f>
        <v/>
      </c>
    </row>
    <row r="232" customFormat="1" s="100">
      <c r="A232" s="45" t="n"/>
      <c r="B232" s="46" t="n">
        <v>39203</v>
      </c>
      <c r="C232" s="13">
        <f>((((VLOOKUP(B232,Database!$F:$AY,MATCH($C$1,Database!$F$1:$AY$1,),))))-(((VLOOKUP(EDATE(B232,-12),Database!$F:$AY,MATCH($C$1,Database!$F$1:$AY$1,),)))))/(((VLOOKUP(EDATE(B232,-12),Database!$F:$AY,MATCH($C$1,Database!$F$1:$AY$1,),))))</f>
        <v/>
      </c>
      <c r="D232" s="13">
        <f>((((VLOOKUP(B232,Database!$F:$AY,MATCH($D$1,Database!$F$1:$AY$1,),))))-(((VLOOKUP(EDATE(B232,-12),Database!$F:$AY,MATCH($D$1,Database!$F$1:$AY$1,),)))))/(((VLOOKUP(EDATE(B232,-12),Database!$F:$AY,MATCH($D$1,Database!$F$1:$AY$1,),))))</f>
        <v/>
      </c>
      <c r="E232" s="13">
        <f>((((VLOOKUP(B232,Database!$F:$AY,MATCH($E$1,Database!$F$1:$AY$1,),))))-(((VLOOKUP(EDATE(B232,-12),Database!$F:$AY,MATCH($E$1,Database!$F$1:$AY$1,),)))))/(((VLOOKUP(EDATE(B232,-12),Database!$F:$AY,MATCH($E$1,Database!$F$1:$AY$1,),))))</f>
        <v/>
      </c>
      <c r="F232" s="13">
        <f>((((VLOOKUP(B232,Database!$F:$AY,MATCH($F$1,Database!$F$1:$AY$1,),))))-(((VLOOKUP(EDATE(B232,-12),Database!$F:$AY,MATCH($F$1,Database!$F$1:$AY$1,),)))))/(((VLOOKUP(EDATE(B232,-12),Database!$F:$AY,MATCH($F$1,Database!$F$1:$AY$1,),))))</f>
        <v/>
      </c>
      <c r="G232" s="13">
        <f>((((VLOOKUP(B232,Database!$F:$AY,MATCH($G$1,Database!$F$1:$AY$1,),))))-(((VLOOKUP(EDATE(B232,-12),Database!$F:$AY,MATCH($G$1,Database!$F$1:$AY$1,),)))))/(((VLOOKUP(EDATE(B232,-12),Database!$F:$AY,MATCH($G$1,Database!$F$1:$AY$1,),))))</f>
        <v/>
      </c>
      <c r="H232" s="13">
        <f>((((VLOOKUP(B232,Database!$F:$AY,MATCH($H$1,Database!$F$1:$AY$1,),))))-(((VLOOKUP(EDATE(B232,-12),Database!$F:$AY,MATCH($H$1,Database!$F$1:$AY$1,),)))))/(((VLOOKUP(EDATE(B232,-12),Database!$F:$AY,MATCH($H$1,Database!$F$1:$AY$1,),))))</f>
        <v/>
      </c>
      <c r="I232" s="13">
        <f>((((VLOOKUP(B232,Database!$F:$AY,MATCH($I$1,Database!$F$1:$AY$1,),))))-(((VLOOKUP(EDATE(B232,-12),Database!$F:$AY,MATCH($I$1,Database!$F$1:$AY$1,),)))))/(((VLOOKUP(EDATE(B232,-12),Database!$F:$AY,MATCH($I$1,Database!$F$1:$AY$1,),))))</f>
        <v/>
      </c>
      <c r="J232" s="13">
        <f>((((VLOOKUP(B232,Database!$F:$AY,MATCH($J$1,Database!$F$1:$AY$1,),))))-(((VLOOKUP(EDATE(B232,-12),Database!$F:$AY,MATCH($J$1,Database!$F$1:$AY$1,),)))))/(((VLOOKUP(EDATE(B232,-12),Database!$F:$AY,MATCH($J$1,Database!$F$1:$AY$1,),))))</f>
        <v/>
      </c>
      <c r="K232" s="13">
        <f>((((VLOOKUP(B232,Database!$F:$AY,MATCH($K$1,Database!$F$1:$AY$1,),))))-(((VLOOKUP(EDATE(B232,-12),Database!$F:$AY,MATCH($K$1,Database!$F$1:$AY$1,),)))))/(((VLOOKUP(EDATE(B232,-12),Database!$F:$AY,MATCH($K$1,Database!$F$1:$AY$1,),))))</f>
        <v/>
      </c>
      <c r="L232" s="13">
        <f>((((VLOOKUP(B232,Database!$F:$AY,MATCH($L$1,Database!$F$1:$AY$1,),))))-(((VLOOKUP(EDATE(B232,-12),Database!$F:$AY,MATCH($L$1,Database!$F$1:$AY$1,),)))))/(((VLOOKUP(EDATE(B232,-12),Database!$F:$AY,MATCH($L$1,Database!$F$1:$AY$1,),))))</f>
        <v/>
      </c>
      <c r="M232" s="13">
        <f>((((VLOOKUP(B232,Database!$F:$AY,MATCH($M$1,Database!$F$1:$AY$1,),))))-(((VLOOKUP(EDATE(B232,-12),Database!$F:$AY,MATCH($M$1,Database!$F$1:$AY$1,),)))))/(((VLOOKUP(EDATE(B232,-12),Database!$F:$AY,MATCH($M$1,Database!$F$1:$AY$1,),))))</f>
        <v/>
      </c>
      <c r="N232" s="13">
        <f>((((VLOOKUP(B232,Database!$F:$AY,MATCH($N$1,Database!$F$1:$AY$1,),))))-(((VLOOKUP(EDATE(B232,-12),Database!$F:$AY,MATCH($N$1,Database!$F$1:$AY$1,),)))))/(((VLOOKUP(EDATE(B232,-12),Database!$F:$AY,MATCH($N$1,Database!$F$1:$AY$1,),))))</f>
        <v/>
      </c>
      <c r="O232" s="13">
        <f>((((VLOOKUP(B232,Database!$F:$AY,MATCH($O$1,Database!$F$1:$AY$1,),))))-(((VLOOKUP(EDATE(B232,-12),Database!$F:$AY,MATCH($O$1,Database!$F$1:$AY$1,),)))))/(((VLOOKUP(EDATE(B232,-12),Database!$F:$AY,MATCH($O$1,Database!$F$1:$AY$1,),))))</f>
        <v/>
      </c>
      <c r="P232" s="13">
        <f>((((VLOOKUP(B232,Database!$F:$AY,MATCH($P$1,Database!$F$1:$AY$1,),))))-(((VLOOKUP(EDATE(B232,-12),Database!$F:$AY,MATCH($P$1,Database!$F$1:$AY$1,),)))))/(((VLOOKUP(EDATE(B232,-12),Database!$F:$AY,MATCH($P$1,Database!$F$1:$AY$1,),))))</f>
        <v/>
      </c>
      <c r="Q232" s="13">
        <f>((((VLOOKUP(B232,Database!$F:$AY,MATCH($Q$1,Database!$F$1:$AY$1,),))))-(((VLOOKUP(EDATE(B232,-12),Database!$F:$AY,MATCH($Q$1,Database!$F$1:$AY$1,),)))))/(((VLOOKUP(EDATE(B232,-12),Database!$F:$AY,MATCH($Q$1,Database!$F$1:$AY$1,),))))</f>
        <v/>
      </c>
      <c r="R232" s="13">
        <f>((((VLOOKUP(B232,Database!$F:$AY,MATCH($R$1,Database!$F$1:$AY$1,),))))-(((VLOOKUP(EDATE(B232,-12),Database!$F:$AY,MATCH($R$1,Database!$F$1:$AY$1,),)))))/(((VLOOKUP(EDATE(B232,-12),Database!$F:$AY,MATCH($R$1,Database!$F$1:$AY$1,),))))</f>
        <v/>
      </c>
      <c r="S232" s="13">
        <f>((((VLOOKUP(B232,Database!$F:$AY,MATCH($S$1,Database!$F$1:$AY$1,),))))-(((VLOOKUP(EDATE(B232,-12),Database!$F:$AY,MATCH($S$1,Database!$F$1:$AY$1,),)))))/(((VLOOKUP(EDATE(B232,-12),Database!$F:$AY,MATCH($S$1,Database!$F$1:$AY$1,),))))</f>
        <v/>
      </c>
      <c r="T232" s="13">
        <f>((((VLOOKUP(B232,Database!$F:$AY,MATCH($T$1,Database!$F$1:$AY$1,),))))-(((VLOOKUP(EDATE(B232,-12),Database!$F:$AY,MATCH($T$1,Database!$F$1:$AY$1,),)))))/(((VLOOKUP(EDATE(B232,-12),Database!$F:$AY,MATCH($T$1,Database!$F$1:$AY$1,),))))</f>
        <v/>
      </c>
      <c r="U232" s="13">
        <f>((((VLOOKUP(B232,Database!$F:$AY,MATCH($U$1,Database!$F$1:$AY$1,),))))-(((VLOOKUP(EDATE(B232,-12),Database!$F:$AY,MATCH($U$1,Database!$F$1:$AY$1,),)))))/(((VLOOKUP(EDATE(B232,-12),Database!$F:$AY,MATCH($U$1,Database!$F$1:$AY$1,),))))</f>
        <v/>
      </c>
      <c r="V232" s="13">
        <f>((((VLOOKUP(B232,Database!$F:$AY,MATCH($V$1,Database!$F$1:$AY$1,),))))-(((VLOOKUP(EDATE(B232,-12),Database!$F:$AY,MATCH($V$1,Database!$F$1:$AY$1,),)))))/(((VLOOKUP(EDATE(B232,-12),Database!$F:$AY,MATCH($V$1,Database!$F$1:$AY$1,),))))</f>
        <v/>
      </c>
    </row>
    <row r="233" customFormat="1" s="100">
      <c r="A233" s="45" t="n"/>
      <c r="B233" s="46" t="n">
        <v>39234</v>
      </c>
      <c r="C233" s="13">
        <f>((((VLOOKUP(B233,Database!$F:$AY,MATCH($C$1,Database!$F$1:$AY$1,),))))-(((VLOOKUP(EDATE(B233,-12),Database!$F:$AY,MATCH($C$1,Database!$F$1:$AY$1,),)))))/(((VLOOKUP(EDATE(B233,-12),Database!$F:$AY,MATCH($C$1,Database!$F$1:$AY$1,),))))</f>
        <v/>
      </c>
      <c r="D233" s="13">
        <f>((((VLOOKUP(B233,Database!$F:$AY,MATCH($D$1,Database!$F$1:$AY$1,),))))-(((VLOOKUP(EDATE(B233,-12),Database!$F:$AY,MATCH($D$1,Database!$F$1:$AY$1,),)))))/(((VLOOKUP(EDATE(B233,-12),Database!$F:$AY,MATCH($D$1,Database!$F$1:$AY$1,),))))</f>
        <v/>
      </c>
      <c r="E233" s="13">
        <f>((((VLOOKUP(B233,Database!$F:$AY,MATCH($E$1,Database!$F$1:$AY$1,),))))-(((VLOOKUP(EDATE(B233,-12),Database!$F:$AY,MATCH($E$1,Database!$F$1:$AY$1,),)))))/(((VLOOKUP(EDATE(B233,-12),Database!$F:$AY,MATCH($E$1,Database!$F$1:$AY$1,),))))</f>
        <v/>
      </c>
      <c r="F233" s="13">
        <f>((((VLOOKUP(B233,Database!$F:$AY,MATCH($F$1,Database!$F$1:$AY$1,),))))-(((VLOOKUP(EDATE(B233,-12),Database!$F:$AY,MATCH($F$1,Database!$F$1:$AY$1,),)))))/(((VLOOKUP(EDATE(B233,-12),Database!$F:$AY,MATCH($F$1,Database!$F$1:$AY$1,),))))</f>
        <v/>
      </c>
      <c r="G233" s="13">
        <f>((((VLOOKUP(B233,Database!$F:$AY,MATCH($G$1,Database!$F$1:$AY$1,),))))-(((VLOOKUP(EDATE(B233,-12),Database!$F:$AY,MATCH($G$1,Database!$F$1:$AY$1,),)))))/(((VLOOKUP(EDATE(B233,-12),Database!$F:$AY,MATCH($G$1,Database!$F$1:$AY$1,),))))</f>
        <v/>
      </c>
      <c r="H233" s="13">
        <f>((((VLOOKUP(B233,Database!$F:$AY,MATCH($H$1,Database!$F$1:$AY$1,),))))-(((VLOOKUP(EDATE(B233,-12),Database!$F:$AY,MATCH($H$1,Database!$F$1:$AY$1,),)))))/(((VLOOKUP(EDATE(B233,-12),Database!$F:$AY,MATCH($H$1,Database!$F$1:$AY$1,),))))</f>
        <v/>
      </c>
      <c r="I233" s="13">
        <f>((((VLOOKUP(B233,Database!$F:$AY,MATCH($I$1,Database!$F$1:$AY$1,),))))-(((VLOOKUP(EDATE(B233,-12),Database!$F:$AY,MATCH($I$1,Database!$F$1:$AY$1,),)))))/(((VLOOKUP(EDATE(B233,-12),Database!$F:$AY,MATCH($I$1,Database!$F$1:$AY$1,),))))</f>
        <v/>
      </c>
      <c r="J233" s="13">
        <f>((((VLOOKUP(B233,Database!$F:$AY,MATCH($J$1,Database!$F$1:$AY$1,),))))-(((VLOOKUP(EDATE(B233,-12),Database!$F:$AY,MATCH($J$1,Database!$F$1:$AY$1,),)))))/(((VLOOKUP(EDATE(B233,-12),Database!$F:$AY,MATCH($J$1,Database!$F$1:$AY$1,),))))</f>
        <v/>
      </c>
      <c r="K233" s="13">
        <f>((((VLOOKUP(B233,Database!$F:$AY,MATCH($K$1,Database!$F$1:$AY$1,),))))-(((VLOOKUP(EDATE(B233,-12),Database!$F:$AY,MATCH($K$1,Database!$F$1:$AY$1,),)))))/(((VLOOKUP(EDATE(B233,-12),Database!$F:$AY,MATCH($K$1,Database!$F$1:$AY$1,),))))</f>
        <v/>
      </c>
      <c r="L233" s="13">
        <f>((((VLOOKUP(B233,Database!$F:$AY,MATCH($L$1,Database!$F$1:$AY$1,),))))-(((VLOOKUP(EDATE(B233,-12),Database!$F:$AY,MATCH($L$1,Database!$F$1:$AY$1,),)))))/(((VLOOKUP(EDATE(B233,-12),Database!$F:$AY,MATCH($L$1,Database!$F$1:$AY$1,),))))</f>
        <v/>
      </c>
      <c r="M233" s="13">
        <f>((((VLOOKUP(B233,Database!$F:$AY,MATCH($M$1,Database!$F$1:$AY$1,),))))-(((VLOOKUP(EDATE(B233,-12),Database!$F:$AY,MATCH($M$1,Database!$F$1:$AY$1,),)))))/(((VLOOKUP(EDATE(B233,-12),Database!$F:$AY,MATCH($M$1,Database!$F$1:$AY$1,),))))</f>
        <v/>
      </c>
      <c r="N233" s="13">
        <f>((((VLOOKUP(B233,Database!$F:$AY,MATCH($N$1,Database!$F$1:$AY$1,),))))-(((VLOOKUP(EDATE(B233,-12),Database!$F:$AY,MATCH($N$1,Database!$F$1:$AY$1,),)))))/(((VLOOKUP(EDATE(B233,-12),Database!$F:$AY,MATCH($N$1,Database!$F$1:$AY$1,),))))</f>
        <v/>
      </c>
      <c r="O233" s="13">
        <f>((((VLOOKUP(B233,Database!$F:$AY,MATCH($O$1,Database!$F$1:$AY$1,),))))-(((VLOOKUP(EDATE(B233,-12),Database!$F:$AY,MATCH($O$1,Database!$F$1:$AY$1,),)))))/(((VLOOKUP(EDATE(B233,-12),Database!$F:$AY,MATCH($O$1,Database!$F$1:$AY$1,),))))</f>
        <v/>
      </c>
      <c r="P233" s="13">
        <f>((((VLOOKUP(B233,Database!$F:$AY,MATCH($P$1,Database!$F$1:$AY$1,),))))-(((VLOOKUP(EDATE(B233,-12),Database!$F:$AY,MATCH($P$1,Database!$F$1:$AY$1,),)))))/(((VLOOKUP(EDATE(B233,-12),Database!$F:$AY,MATCH($P$1,Database!$F$1:$AY$1,),))))</f>
        <v/>
      </c>
      <c r="Q233" s="13">
        <f>((((VLOOKUP(B233,Database!$F:$AY,MATCH($Q$1,Database!$F$1:$AY$1,),))))-(((VLOOKUP(EDATE(B233,-12),Database!$F:$AY,MATCH($Q$1,Database!$F$1:$AY$1,),)))))/(((VLOOKUP(EDATE(B233,-12),Database!$F:$AY,MATCH($Q$1,Database!$F$1:$AY$1,),))))</f>
        <v/>
      </c>
      <c r="R233" s="13">
        <f>((((VLOOKUP(B233,Database!$F:$AY,MATCH($R$1,Database!$F$1:$AY$1,),))))-(((VLOOKUP(EDATE(B233,-12),Database!$F:$AY,MATCH($R$1,Database!$F$1:$AY$1,),)))))/(((VLOOKUP(EDATE(B233,-12),Database!$F:$AY,MATCH($R$1,Database!$F$1:$AY$1,),))))</f>
        <v/>
      </c>
      <c r="S233" s="13">
        <f>((((VLOOKUP(B233,Database!$F:$AY,MATCH($S$1,Database!$F$1:$AY$1,),))))-(((VLOOKUP(EDATE(B233,-12),Database!$F:$AY,MATCH($S$1,Database!$F$1:$AY$1,),)))))/(((VLOOKUP(EDATE(B233,-12),Database!$F:$AY,MATCH($S$1,Database!$F$1:$AY$1,),))))</f>
        <v/>
      </c>
      <c r="T233" s="13">
        <f>((((VLOOKUP(B233,Database!$F:$AY,MATCH($T$1,Database!$F$1:$AY$1,),))))-(((VLOOKUP(EDATE(B233,-12),Database!$F:$AY,MATCH($T$1,Database!$F$1:$AY$1,),)))))/(((VLOOKUP(EDATE(B233,-12),Database!$F:$AY,MATCH($T$1,Database!$F$1:$AY$1,),))))</f>
        <v/>
      </c>
      <c r="U233" s="13">
        <f>((((VLOOKUP(B233,Database!$F:$AY,MATCH($U$1,Database!$F$1:$AY$1,),))))-(((VLOOKUP(EDATE(B233,-12),Database!$F:$AY,MATCH($U$1,Database!$F$1:$AY$1,),)))))/(((VLOOKUP(EDATE(B233,-12),Database!$F:$AY,MATCH($U$1,Database!$F$1:$AY$1,),))))</f>
        <v/>
      </c>
      <c r="V233" s="13">
        <f>((((VLOOKUP(B233,Database!$F:$AY,MATCH($V$1,Database!$F$1:$AY$1,),))))-(((VLOOKUP(EDATE(B233,-12),Database!$F:$AY,MATCH($V$1,Database!$F$1:$AY$1,),)))))/(((VLOOKUP(EDATE(B233,-12),Database!$F:$AY,MATCH($V$1,Database!$F$1:$AY$1,),))))</f>
        <v/>
      </c>
    </row>
    <row r="234" customFormat="1" s="100">
      <c r="A234" s="45" t="n"/>
      <c r="B234" s="46" t="n">
        <v>39264</v>
      </c>
      <c r="C234" s="13">
        <f>((((VLOOKUP(B234,Database!$F:$AY,MATCH($C$1,Database!$F$1:$AY$1,),))))-(((VLOOKUP(EDATE(B234,-12),Database!$F:$AY,MATCH($C$1,Database!$F$1:$AY$1,),)))))/(((VLOOKUP(EDATE(B234,-12),Database!$F:$AY,MATCH($C$1,Database!$F$1:$AY$1,),))))</f>
        <v/>
      </c>
      <c r="D234" s="13">
        <f>((((VLOOKUP(B234,Database!$F:$AY,MATCH($D$1,Database!$F$1:$AY$1,),))))-(((VLOOKUP(EDATE(B234,-12),Database!$F:$AY,MATCH($D$1,Database!$F$1:$AY$1,),)))))/(((VLOOKUP(EDATE(B234,-12),Database!$F:$AY,MATCH($D$1,Database!$F$1:$AY$1,),))))</f>
        <v/>
      </c>
      <c r="E234" s="13">
        <f>((((VLOOKUP(B234,Database!$F:$AY,MATCH($E$1,Database!$F$1:$AY$1,),))))-(((VLOOKUP(EDATE(B234,-12),Database!$F:$AY,MATCH($E$1,Database!$F$1:$AY$1,),)))))/(((VLOOKUP(EDATE(B234,-12),Database!$F:$AY,MATCH($E$1,Database!$F$1:$AY$1,),))))</f>
        <v/>
      </c>
      <c r="F234" s="13">
        <f>((((VLOOKUP(B234,Database!$F:$AY,MATCH($F$1,Database!$F$1:$AY$1,),))))-(((VLOOKUP(EDATE(B234,-12),Database!$F:$AY,MATCH($F$1,Database!$F$1:$AY$1,),)))))/(((VLOOKUP(EDATE(B234,-12),Database!$F:$AY,MATCH($F$1,Database!$F$1:$AY$1,),))))</f>
        <v/>
      </c>
      <c r="G234" s="13">
        <f>((((VLOOKUP(B234,Database!$F:$AY,MATCH($G$1,Database!$F$1:$AY$1,),))))-(((VLOOKUP(EDATE(B234,-12),Database!$F:$AY,MATCH($G$1,Database!$F$1:$AY$1,),)))))/(((VLOOKUP(EDATE(B234,-12),Database!$F:$AY,MATCH($G$1,Database!$F$1:$AY$1,),))))</f>
        <v/>
      </c>
      <c r="H234" s="13">
        <f>((((VLOOKUP(B234,Database!$F:$AY,MATCH($H$1,Database!$F$1:$AY$1,),))))-(((VLOOKUP(EDATE(B234,-12),Database!$F:$AY,MATCH($H$1,Database!$F$1:$AY$1,),)))))/(((VLOOKUP(EDATE(B234,-12),Database!$F:$AY,MATCH($H$1,Database!$F$1:$AY$1,),))))</f>
        <v/>
      </c>
      <c r="I234" s="13">
        <f>((((VLOOKUP(B234,Database!$F:$AY,MATCH($I$1,Database!$F$1:$AY$1,),))))-(((VLOOKUP(EDATE(B234,-12),Database!$F:$AY,MATCH($I$1,Database!$F$1:$AY$1,),)))))/(((VLOOKUP(EDATE(B234,-12),Database!$F:$AY,MATCH($I$1,Database!$F$1:$AY$1,),))))</f>
        <v/>
      </c>
      <c r="J234" s="13">
        <f>((((VLOOKUP(B234,Database!$F:$AY,MATCH($J$1,Database!$F$1:$AY$1,),))))-(((VLOOKUP(EDATE(B234,-12),Database!$F:$AY,MATCH($J$1,Database!$F$1:$AY$1,),)))))/(((VLOOKUP(EDATE(B234,-12),Database!$F:$AY,MATCH($J$1,Database!$F$1:$AY$1,),))))</f>
        <v/>
      </c>
      <c r="K234" s="13">
        <f>((((VLOOKUP(B234,Database!$F:$AY,MATCH($K$1,Database!$F$1:$AY$1,),))))-(((VLOOKUP(EDATE(B234,-12),Database!$F:$AY,MATCH($K$1,Database!$F$1:$AY$1,),)))))/(((VLOOKUP(EDATE(B234,-12),Database!$F:$AY,MATCH($K$1,Database!$F$1:$AY$1,),))))</f>
        <v/>
      </c>
      <c r="L234" s="13">
        <f>((((VLOOKUP(B234,Database!$F:$AY,MATCH($L$1,Database!$F$1:$AY$1,),))))-(((VLOOKUP(EDATE(B234,-12),Database!$F:$AY,MATCH($L$1,Database!$F$1:$AY$1,),)))))/(((VLOOKUP(EDATE(B234,-12),Database!$F:$AY,MATCH($L$1,Database!$F$1:$AY$1,),))))</f>
        <v/>
      </c>
      <c r="M234" s="13">
        <f>((((VLOOKUP(B234,Database!$F:$AY,MATCH($M$1,Database!$F$1:$AY$1,),))))-(((VLOOKUP(EDATE(B234,-12),Database!$F:$AY,MATCH($M$1,Database!$F$1:$AY$1,),)))))/(((VLOOKUP(EDATE(B234,-12),Database!$F:$AY,MATCH($M$1,Database!$F$1:$AY$1,),))))</f>
        <v/>
      </c>
      <c r="N234" s="13">
        <f>((((VLOOKUP(B234,Database!$F:$AY,MATCH($N$1,Database!$F$1:$AY$1,),))))-(((VLOOKUP(EDATE(B234,-12),Database!$F:$AY,MATCH($N$1,Database!$F$1:$AY$1,),)))))/(((VLOOKUP(EDATE(B234,-12),Database!$F:$AY,MATCH($N$1,Database!$F$1:$AY$1,),))))</f>
        <v/>
      </c>
      <c r="O234" s="13">
        <f>((((VLOOKUP(B234,Database!$F:$AY,MATCH($O$1,Database!$F$1:$AY$1,),))))-(((VLOOKUP(EDATE(B234,-12),Database!$F:$AY,MATCH($O$1,Database!$F$1:$AY$1,),)))))/(((VLOOKUP(EDATE(B234,-12),Database!$F:$AY,MATCH($O$1,Database!$F$1:$AY$1,),))))</f>
        <v/>
      </c>
      <c r="P234" s="13">
        <f>((((VLOOKUP(B234,Database!$F:$AY,MATCH($P$1,Database!$F$1:$AY$1,),))))-(((VLOOKUP(EDATE(B234,-12),Database!$F:$AY,MATCH($P$1,Database!$F$1:$AY$1,),)))))/(((VLOOKUP(EDATE(B234,-12),Database!$F:$AY,MATCH($P$1,Database!$F$1:$AY$1,),))))</f>
        <v/>
      </c>
      <c r="Q234" s="13">
        <f>((((VLOOKUP(B234,Database!$F:$AY,MATCH($Q$1,Database!$F$1:$AY$1,),))))-(((VLOOKUP(EDATE(B234,-12),Database!$F:$AY,MATCH($Q$1,Database!$F$1:$AY$1,),)))))/(((VLOOKUP(EDATE(B234,-12),Database!$F:$AY,MATCH($Q$1,Database!$F$1:$AY$1,),))))</f>
        <v/>
      </c>
      <c r="R234" s="13">
        <f>((((VLOOKUP(B234,Database!$F:$AY,MATCH($R$1,Database!$F$1:$AY$1,),))))-(((VLOOKUP(EDATE(B234,-12),Database!$F:$AY,MATCH($R$1,Database!$F$1:$AY$1,),)))))/(((VLOOKUP(EDATE(B234,-12),Database!$F:$AY,MATCH($R$1,Database!$F$1:$AY$1,),))))</f>
        <v/>
      </c>
      <c r="S234" s="13">
        <f>((((VLOOKUP(B234,Database!$F:$AY,MATCH($S$1,Database!$F$1:$AY$1,),))))-(((VLOOKUP(EDATE(B234,-12),Database!$F:$AY,MATCH($S$1,Database!$F$1:$AY$1,),)))))/(((VLOOKUP(EDATE(B234,-12),Database!$F:$AY,MATCH($S$1,Database!$F$1:$AY$1,),))))</f>
        <v/>
      </c>
      <c r="T234" s="13">
        <f>((((VLOOKUP(B234,Database!$F:$AY,MATCH($T$1,Database!$F$1:$AY$1,),))))-(((VLOOKUP(EDATE(B234,-12),Database!$F:$AY,MATCH($T$1,Database!$F$1:$AY$1,),)))))/(((VLOOKUP(EDATE(B234,-12),Database!$F:$AY,MATCH($T$1,Database!$F$1:$AY$1,),))))</f>
        <v/>
      </c>
      <c r="U234" s="13">
        <f>((((VLOOKUP(B234,Database!$F:$AY,MATCH($U$1,Database!$F$1:$AY$1,),))))-(((VLOOKUP(EDATE(B234,-12),Database!$F:$AY,MATCH($U$1,Database!$F$1:$AY$1,),)))))/(((VLOOKUP(EDATE(B234,-12),Database!$F:$AY,MATCH($U$1,Database!$F$1:$AY$1,),))))</f>
        <v/>
      </c>
      <c r="V234" s="13">
        <f>((((VLOOKUP(B234,Database!$F:$AY,MATCH($V$1,Database!$F$1:$AY$1,),))))-(((VLOOKUP(EDATE(B234,-12),Database!$F:$AY,MATCH($V$1,Database!$F$1:$AY$1,),)))))/(((VLOOKUP(EDATE(B234,-12),Database!$F:$AY,MATCH($V$1,Database!$F$1:$AY$1,),))))</f>
        <v/>
      </c>
    </row>
    <row r="235" customFormat="1" s="100">
      <c r="A235" s="45" t="n"/>
      <c r="B235" s="46" t="n">
        <v>39295</v>
      </c>
      <c r="C235" s="13">
        <f>((((VLOOKUP(B235,Database!$F:$AY,MATCH($C$1,Database!$F$1:$AY$1,),))))-(((VLOOKUP(EDATE(B235,-12),Database!$F:$AY,MATCH($C$1,Database!$F$1:$AY$1,),)))))/(((VLOOKUP(EDATE(B235,-12),Database!$F:$AY,MATCH($C$1,Database!$F$1:$AY$1,),))))</f>
        <v/>
      </c>
      <c r="D235" s="13">
        <f>((((VLOOKUP(B235,Database!$F:$AY,MATCH($D$1,Database!$F$1:$AY$1,),))))-(((VLOOKUP(EDATE(B235,-12),Database!$F:$AY,MATCH($D$1,Database!$F$1:$AY$1,),)))))/(((VLOOKUP(EDATE(B235,-12),Database!$F:$AY,MATCH($D$1,Database!$F$1:$AY$1,),))))</f>
        <v/>
      </c>
      <c r="E235" s="13">
        <f>((((VLOOKUP(B235,Database!$F:$AY,MATCH($E$1,Database!$F$1:$AY$1,),))))-(((VLOOKUP(EDATE(B235,-12),Database!$F:$AY,MATCH($E$1,Database!$F$1:$AY$1,),)))))/(((VLOOKUP(EDATE(B235,-12),Database!$F:$AY,MATCH($E$1,Database!$F$1:$AY$1,),))))</f>
        <v/>
      </c>
      <c r="F235" s="13">
        <f>((((VLOOKUP(B235,Database!$F:$AY,MATCH($F$1,Database!$F$1:$AY$1,),))))-(((VLOOKUP(EDATE(B235,-12),Database!$F:$AY,MATCH($F$1,Database!$F$1:$AY$1,),)))))/(((VLOOKUP(EDATE(B235,-12),Database!$F:$AY,MATCH($F$1,Database!$F$1:$AY$1,),))))</f>
        <v/>
      </c>
      <c r="G235" s="13">
        <f>((((VLOOKUP(B235,Database!$F:$AY,MATCH($G$1,Database!$F$1:$AY$1,),))))-(((VLOOKUP(EDATE(B235,-12),Database!$F:$AY,MATCH($G$1,Database!$F$1:$AY$1,),)))))/(((VLOOKUP(EDATE(B235,-12),Database!$F:$AY,MATCH($G$1,Database!$F$1:$AY$1,),))))</f>
        <v/>
      </c>
      <c r="H235" s="13">
        <f>((((VLOOKUP(B235,Database!$F:$AY,MATCH($H$1,Database!$F$1:$AY$1,),))))-(((VLOOKUP(EDATE(B235,-12),Database!$F:$AY,MATCH($H$1,Database!$F$1:$AY$1,),)))))/(((VLOOKUP(EDATE(B235,-12),Database!$F:$AY,MATCH($H$1,Database!$F$1:$AY$1,),))))</f>
        <v/>
      </c>
      <c r="I235" s="13">
        <f>((((VLOOKUP(B235,Database!$F:$AY,MATCH($I$1,Database!$F$1:$AY$1,),))))-(((VLOOKUP(EDATE(B235,-12),Database!$F:$AY,MATCH($I$1,Database!$F$1:$AY$1,),)))))/(((VLOOKUP(EDATE(B235,-12),Database!$F:$AY,MATCH($I$1,Database!$F$1:$AY$1,),))))</f>
        <v/>
      </c>
      <c r="J235" s="13">
        <f>((((VLOOKUP(B235,Database!$F:$AY,MATCH($J$1,Database!$F$1:$AY$1,),))))-(((VLOOKUP(EDATE(B235,-12),Database!$F:$AY,MATCH($J$1,Database!$F$1:$AY$1,),)))))/(((VLOOKUP(EDATE(B235,-12),Database!$F:$AY,MATCH($J$1,Database!$F$1:$AY$1,),))))</f>
        <v/>
      </c>
      <c r="K235" s="13">
        <f>((((VLOOKUP(B235,Database!$F:$AY,MATCH($K$1,Database!$F$1:$AY$1,),))))-(((VLOOKUP(EDATE(B235,-12),Database!$F:$AY,MATCH($K$1,Database!$F$1:$AY$1,),)))))/(((VLOOKUP(EDATE(B235,-12),Database!$F:$AY,MATCH($K$1,Database!$F$1:$AY$1,),))))</f>
        <v/>
      </c>
      <c r="L235" s="13">
        <f>((((VLOOKUP(B235,Database!$F:$AY,MATCH($L$1,Database!$F$1:$AY$1,),))))-(((VLOOKUP(EDATE(B235,-12),Database!$F:$AY,MATCH($L$1,Database!$F$1:$AY$1,),)))))/(((VLOOKUP(EDATE(B235,-12),Database!$F:$AY,MATCH($L$1,Database!$F$1:$AY$1,),))))</f>
        <v/>
      </c>
      <c r="M235" s="13">
        <f>((((VLOOKUP(B235,Database!$F:$AY,MATCH($M$1,Database!$F$1:$AY$1,),))))-(((VLOOKUP(EDATE(B235,-12),Database!$F:$AY,MATCH($M$1,Database!$F$1:$AY$1,),)))))/(((VLOOKUP(EDATE(B235,-12),Database!$F:$AY,MATCH($M$1,Database!$F$1:$AY$1,),))))</f>
        <v/>
      </c>
      <c r="N235" s="13">
        <f>((((VLOOKUP(B235,Database!$F:$AY,MATCH($N$1,Database!$F$1:$AY$1,),))))-(((VLOOKUP(EDATE(B235,-12),Database!$F:$AY,MATCH($N$1,Database!$F$1:$AY$1,),)))))/(((VLOOKUP(EDATE(B235,-12),Database!$F:$AY,MATCH($N$1,Database!$F$1:$AY$1,),))))</f>
        <v/>
      </c>
      <c r="O235" s="13">
        <f>((((VLOOKUP(B235,Database!$F:$AY,MATCH($O$1,Database!$F$1:$AY$1,),))))-(((VLOOKUP(EDATE(B235,-12),Database!$F:$AY,MATCH($O$1,Database!$F$1:$AY$1,),)))))/(((VLOOKUP(EDATE(B235,-12),Database!$F:$AY,MATCH($O$1,Database!$F$1:$AY$1,),))))</f>
        <v/>
      </c>
      <c r="P235" s="13">
        <f>((((VLOOKUP(B235,Database!$F:$AY,MATCH($P$1,Database!$F$1:$AY$1,),))))-(((VLOOKUP(EDATE(B235,-12),Database!$F:$AY,MATCH($P$1,Database!$F$1:$AY$1,),)))))/(((VLOOKUP(EDATE(B235,-12),Database!$F:$AY,MATCH($P$1,Database!$F$1:$AY$1,),))))</f>
        <v/>
      </c>
      <c r="Q235" s="13">
        <f>((((VLOOKUP(B235,Database!$F:$AY,MATCH($Q$1,Database!$F$1:$AY$1,),))))-(((VLOOKUP(EDATE(B235,-12),Database!$F:$AY,MATCH($Q$1,Database!$F$1:$AY$1,),)))))/(((VLOOKUP(EDATE(B235,-12),Database!$F:$AY,MATCH($Q$1,Database!$F$1:$AY$1,),))))</f>
        <v/>
      </c>
      <c r="R235" s="13">
        <f>((((VLOOKUP(B235,Database!$F:$AY,MATCH($R$1,Database!$F$1:$AY$1,),))))-(((VLOOKUP(EDATE(B235,-12),Database!$F:$AY,MATCH($R$1,Database!$F$1:$AY$1,),)))))/(((VLOOKUP(EDATE(B235,-12),Database!$F:$AY,MATCH($R$1,Database!$F$1:$AY$1,),))))</f>
        <v/>
      </c>
      <c r="S235" s="13">
        <f>((((VLOOKUP(B235,Database!$F:$AY,MATCH($S$1,Database!$F$1:$AY$1,),))))-(((VLOOKUP(EDATE(B235,-12),Database!$F:$AY,MATCH($S$1,Database!$F$1:$AY$1,),)))))/(((VLOOKUP(EDATE(B235,-12),Database!$F:$AY,MATCH($S$1,Database!$F$1:$AY$1,),))))</f>
        <v/>
      </c>
      <c r="T235" s="13">
        <f>((((VLOOKUP(B235,Database!$F:$AY,MATCH($T$1,Database!$F$1:$AY$1,),))))-(((VLOOKUP(EDATE(B235,-12),Database!$F:$AY,MATCH($T$1,Database!$F$1:$AY$1,),)))))/(((VLOOKUP(EDATE(B235,-12),Database!$F:$AY,MATCH($T$1,Database!$F$1:$AY$1,),))))</f>
        <v/>
      </c>
      <c r="U235" s="13">
        <f>((((VLOOKUP(B235,Database!$F:$AY,MATCH($U$1,Database!$F$1:$AY$1,),))))-(((VLOOKUP(EDATE(B235,-12),Database!$F:$AY,MATCH($U$1,Database!$F$1:$AY$1,),)))))/(((VLOOKUP(EDATE(B235,-12),Database!$F:$AY,MATCH($U$1,Database!$F$1:$AY$1,),))))</f>
        <v/>
      </c>
      <c r="V235" s="13">
        <f>((((VLOOKUP(B235,Database!$F:$AY,MATCH($V$1,Database!$F$1:$AY$1,),))))-(((VLOOKUP(EDATE(B235,-12),Database!$F:$AY,MATCH($V$1,Database!$F$1:$AY$1,),)))))/(((VLOOKUP(EDATE(B235,-12),Database!$F:$AY,MATCH($V$1,Database!$F$1:$AY$1,),))))</f>
        <v/>
      </c>
    </row>
    <row r="236" customFormat="1" s="100">
      <c r="A236" s="45" t="n"/>
      <c r="B236" s="46" t="n">
        <v>39326</v>
      </c>
      <c r="C236" s="13">
        <f>((((VLOOKUP(B236,Database!$F:$AY,MATCH($C$1,Database!$F$1:$AY$1,),))))-(((VLOOKUP(EDATE(B236,-12),Database!$F:$AY,MATCH($C$1,Database!$F$1:$AY$1,),)))))/(((VLOOKUP(EDATE(B236,-12),Database!$F:$AY,MATCH($C$1,Database!$F$1:$AY$1,),))))</f>
        <v/>
      </c>
      <c r="D236" s="13">
        <f>((((VLOOKUP(B236,Database!$F:$AY,MATCH($D$1,Database!$F$1:$AY$1,),))))-(((VLOOKUP(EDATE(B236,-12),Database!$F:$AY,MATCH($D$1,Database!$F$1:$AY$1,),)))))/(((VLOOKUP(EDATE(B236,-12),Database!$F:$AY,MATCH($D$1,Database!$F$1:$AY$1,),))))</f>
        <v/>
      </c>
      <c r="E236" s="13">
        <f>((((VLOOKUP(B236,Database!$F:$AY,MATCH($E$1,Database!$F$1:$AY$1,),))))-(((VLOOKUP(EDATE(B236,-12),Database!$F:$AY,MATCH($E$1,Database!$F$1:$AY$1,),)))))/(((VLOOKUP(EDATE(B236,-12),Database!$F:$AY,MATCH($E$1,Database!$F$1:$AY$1,),))))</f>
        <v/>
      </c>
      <c r="F236" s="13">
        <f>((((VLOOKUP(B236,Database!$F:$AY,MATCH($F$1,Database!$F$1:$AY$1,),))))-(((VLOOKUP(EDATE(B236,-12),Database!$F:$AY,MATCH($F$1,Database!$F$1:$AY$1,),)))))/(((VLOOKUP(EDATE(B236,-12),Database!$F:$AY,MATCH($F$1,Database!$F$1:$AY$1,),))))</f>
        <v/>
      </c>
      <c r="G236" s="13">
        <f>((((VLOOKUP(B236,Database!$F:$AY,MATCH($G$1,Database!$F$1:$AY$1,),))))-(((VLOOKUP(EDATE(B236,-12),Database!$F:$AY,MATCH($G$1,Database!$F$1:$AY$1,),)))))/(((VLOOKUP(EDATE(B236,-12),Database!$F:$AY,MATCH($G$1,Database!$F$1:$AY$1,),))))</f>
        <v/>
      </c>
      <c r="H236" s="13">
        <f>((((VLOOKUP(B236,Database!$F:$AY,MATCH($H$1,Database!$F$1:$AY$1,),))))-(((VLOOKUP(EDATE(B236,-12),Database!$F:$AY,MATCH($H$1,Database!$F$1:$AY$1,),)))))/(((VLOOKUP(EDATE(B236,-12),Database!$F:$AY,MATCH($H$1,Database!$F$1:$AY$1,),))))</f>
        <v/>
      </c>
      <c r="I236" s="13">
        <f>((((VLOOKUP(B236,Database!$F:$AY,MATCH($I$1,Database!$F$1:$AY$1,),))))-(((VLOOKUP(EDATE(B236,-12),Database!$F:$AY,MATCH($I$1,Database!$F$1:$AY$1,),)))))/(((VLOOKUP(EDATE(B236,-12),Database!$F:$AY,MATCH($I$1,Database!$F$1:$AY$1,),))))</f>
        <v/>
      </c>
      <c r="J236" s="13">
        <f>((((VLOOKUP(B236,Database!$F:$AY,MATCH($J$1,Database!$F$1:$AY$1,),))))-(((VLOOKUP(EDATE(B236,-12),Database!$F:$AY,MATCH($J$1,Database!$F$1:$AY$1,),)))))/(((VLOOKUP(EDATE(B236,-12),Database!$F:$AY,MATCH($J$1,Database!$F$1:$AY$1,),))))</f>
        <v/>
      </c>
      <c r="K236" s="13">
        <f>((((VLOOKUP(B236,Database!$F:$AY,MATCH($K$1,Database!$F$1:$AY$1,),))))-(((VLOOKUP(EDATE(B236,-12),Database!$F:$AY,MATCH($K$1,Database!$F$1:$AY$1,),)))))/(((VLOOKUP(EDATE(B236,-12),Database!$F:$AY,MATCH($K$1,Database!$F$1:$AY$1,),))))</f>
        <v/>
      </c>
      <c r="L236" s="13">
        <f>((((VLOOKUP(B236,Database!$F:$AY,MATCH($L$1,Database!$F$1:$AY$1,),))))-(((VLOOKUP(EDATE(B236,-12),Database!$F:$AY,MATCH($L$1,Database!$F$1:$AY$1,),)))))/(((VLOOKUP(EDATE(B236,-12),Database!$F:$AY,MATCH($L$1,Database!$F$1:$AY$1,),))))</f>
        <v/>
      </c>
      <c r="M236" s="13">
        <f>((((VLOOKUP(B236,Database!$F:$AY,MATCH($M$1,Database!$F$1:$AY$1,),))))-(((VLOOKUP(EDATE(B236,-12),Database!$F:$AY,MATCH($M$1,Database!$F$1:$AY$1,),)))))/(((VLOOKUP(EDATE(B236,-12),Database!$F:$AY,MATCH($M$1,Database!$F$1:$AY$1,),))))</f>
        <v/>
      </c>
      <c r="N236" s="13">
        <f>((((VLOOKUP(B236,Database!$F:$AY,MATCH($N$1,Database!$F$1:$AY$1,),))))-(((VLOOKUP(EDATE(B236,-12),Database!$F:$AY,MATCH($N$1,Database!$F$1:$AY$1,),)))))/(((VLOOKUP(EDATE(B236,-12),Database!$F:$AY,MATCH($N$1,Database!$F$1:$AY$1,),))))</f>
        <v/>
      </c>
      <c r="O236" s="13">
        <f>((((VLOOKUP(B236,Database!$F:$AY,MATCH($O$1,Database!$F$1:$AY$1,),))))-(((VLOOKUP(EDATE(B236,-12),Database!$F:$AY,MATCH($O$1,Database!$F$1:$AY$1,),)))))/(((VLOOKUP(EDATE(B236,-12),Database!$F:$AY,MATCH($O$1,Database!$F$1:$AY$1,),))))</f>
        <v/>
      </c>
      <c r="P236" s="13">
        <f>((((VLOOKUP(B236,Database!$F:$AY,MATCH($P$1,Database!$F$1:$AY$1,),))))-(((VLOOKUP(EDATE(B236,-12),Database!$F:$AY,MATCH($P$1,Database!$F$1:$AY$1,),)))))/(((VLOOKUP(EDATE(B236,-12),Database!$F:$AY,MATCH($P$1,Database!$F$1:$AY$1,),))))</f>
        <v/>
      </c>
      <c r="Q236" s="13">
        <f>((((VLOOKUP(B236,Database!$F:$AY,MATCH($Q$1,Database!$F$1:$AY$1,),))))-(((VLOOKUP(EDATE(B236,-12),Database!$F:$AY,MATCH($Q$1,Database!$F$1:$AY$1,),)))))/(((VLOOKUP(EDATE(B236,-12),Database!$F:$AY,MATCH($Q$1,Database!$F$1:$AY$1,),))))</f>
        <v/>
      </c>
      <c r="R236" s="13">
        <f>((((VLOOKUP(B236,Database!$F:$AY,MATCH($R$1,Database!$F$1:$AY$1,),))))-(((VLOOKUP(EDATE(B236,-12),Database!$F:$AY,MATCH($R$1,Database!$F$1:$AY$1,),)))))/(((VLOOKUP(EDATE(B236,-12),Database!$F:$AY,MATCH($R$1,Database!$F$1:$AY$1,),))))</f>
        <v/>
      </c>
      <c r="S236" s="13">
        <f>((((VLOOKUP(B236,Database!$F:$AY,MATCH($S$1,Database!$F$1:$AY$1,),))))-(((VLOOKUP(EDATE(B236,-12),Database!$F:$AY,MATCH($S$1,Database!$F$1:$AY$1,),)))))/(((VLOOKUP(EDATE(B236,-12),Database!$F:$AY,MATCH($S$1,Database!$F$1:$AY$1,),))))</f>
        <v/>
      </c>
      <c r="T236" s="13">
        <f>((((VLOOKUP(B236,Database!$F:$AY,MATCH($T$1,Database!$F$1:$AY$1,),))))-(((VLOOKUP(EDATE(B236,-12),Database!$F:$AY,MATCH($T$1,Database!$F$1:$AY$1,),)))))/(((VLOOKUP(EDATE(B236,-12),Database!$F:$AY,MATCH($T$1,Database!$F$1:$AY$1,),))))</f>
        <v/>
      </c>
      <c r="U236" s="13">
        <f>((((VLOOKUP(B236,Database!$F:$AY,MATCH($U$1,Database!$F$1:$AY$1,),))))-(((VLOOKUP(EDATE(B236,-12),Database!$F:$AY,MATCH($U$1,Database!$F$1:$AY$1,),)))))/(((VLOOKUP(EDATE(B236,-12),Database!$F:$AY,MATCH($U$1,Database!$F$1:$AY$1,),))))</f>
        <v/>
      </c>
      <c r="V236" s="13">
        <f>((((VLOOKUP(B236,Database!$F:$AY,MATCH($V$1,Database!$F$1:$AY$1,),))))-(((VLOOKUP(EDATE(B236,-12),Database!$F:$AY,MATCH($V$1,Database!$F$1:$AY$1,),)))))/(((VLOOKUP(EDATE(B236,-12),Database!$F:$AY,MATCH($V$1,Database!$F$1:$AY$1,),))))</f>
        <v/>
      </c>
    </row>
    <row r="237" customFormat="1" s="100">
      <c r="A237" s="45" t="n"/>
      <c r="B237" s="46" t="n">
        <v>39356</v>
      </c>
      <c r="C237" s="13">
        <f>((((VLOOKUP(B237,Database!$F:$AY,MATCH($C$1,Database!$F$1:$AY$1,),))))-(((VLOOKUP(EDATE(B237,-12),Database!$F:$AY,MATCH($C$1,Database!$F$1:$AY$1,),)))))/(((VLOOKUP(EDATE(B237,-12),Database!$F:$AY,MATCH($C$1,Database!$F$1:$AY$1,),))))</f>
        <v/>
      </c>
      <c r="D237" s="13">
        <f>((((VLOOKUP(B237,Database!$F:$AY,MATCH($D$1,Database!$F$1:$AY$1,),))))-(((VLOOKUP(EDATE(B237,-12),Database!$F:$AY,MATCH($D$1,Database!$F$1:$AY$1,),)))))/(((VLOOKUP(EDATE(B237,-12),Database!$F:$AY,MATCH($D$1,Database!$F$1:$AY$1,),))))</f>
        <v/>
      </c>
      <c r="E237" s="13">
        <f>((((VLOOKUP(B237,Database!$F:$AY,MATCH($E$1,Database!$F$1:$AY$1,),))))-(((VLOOKUP(EDATE(B237,-12),Database!$F:$AY,MATCH($E$1,Database!$F$1:$AY$1,),)))))/(((VLOOKUP(EDATE(B237,-12),Database!$F:$AY,MATCH($E$1,Database!$F$1:$AY$1,),))))</f>
        <v/>
      </c>
      <c r="F237" s="13">
        <f>((((VLOOKUP(B237,Database!$F:$AY,MATCH($F$1,Database!$F$1:$AY$1,),))))-(((VLOOKUP(EDATE(B237,-12),Database!$F:$AY,MATCH($F$1,Database!$F$1:$AY$1,),)))))/(((VLOOKUP(EDATE(B237,-12),Database!$F:$AY,MATCH($F$1,Database!$F$1:$AY$1,),))))</f>
        <v/>
      </c>
      <c r="G237" s="13">
        <f>((((VLOOKUP(B237,Database!$F:$AY,MATCH($G$1,Database!$F$1:$AY$1,),))))-(((VLOOKUP(EDATE(B237,-12),Database!$F:$AY,MATCH($G$1,Database!$F$1:$AY$1,),)))))/(((VLOOKUP(EDATE(B237,-12),Database!$F:$AY,MATCH($G$1,Database!$F$1:$AY$1,),))))</f>
        <v/>
      </c>
      <c r="H237" s="13">
        <f>((((VLOOKUP(B237,Database!$F:$AY,MATCH($H$1,Database!$F$1:$AY$1,),))))-(((VLOOKUP(EDATE(B237,-12),Database!$F:$AY,MATCH($H$1,Database!$F$1:$AY$1,),)))))/(((VLOOKUP(EDATE(B237,-12),Database!$F:$AY,MATCH($H$1,Database!$F$1:$AY$1,),))))</f>
        <v/>
      </c>
      <c r="I237" s="13">
        <f>((((VLOOKUP(B237,Database!$F:$AY,MATCH($I$1,Database!$F$1:$AY$1,),))))-(((VLOOKUP(EDATE(B237,-12),Database!$F:$AY,MATCH($I$1,Database!$F$1:$AY$1,),)))))/(((VLOOKUP(EDATE(B237,-12),Database!$F:$AY,MATCH($I$1,Database!$F$1:$AY$1,),))))</f>
        <v/>
      </c>
      <c r="J237" s="13">
        <f>((((VLOOKUP(B237,Database!$F:$AY,MATCH($J$1,Database!$F$1:$AY$1,),))))-(((VLOOKUP(EDATE(B237,-12),Database!$F:$AY,MATCH($J$1,Database!$F$1:$AY$1,),)))))/(((VLOOKUP(EDATE(B237,-12),Database!$F:$AY,MATCH($J$1,Database!$F$1:$AY$1,),))))</f>
        <v/>
      </c>
      <c r="K237" s="13">
        <f>((((VLOOKUP(B237,Database!$F:$AY,MATCH($K$1,Database!$F$1:$AY$1,),))))-(((VLOOKUP(EDATE(B237,-12),Database!$F:$AY,MATCH($K$1,Database!$F$1:$AY$1,),)))))/(((VLOOKUP(EDATE(B237,-12),Database!$F:$AY,MATCH($K$1,Database!$F$1:$AY$1,),))))</f>
        <v/>
      </c>
      <c r="L237" s="13">
        <f>((((VLOOKUP(B237,Database!$F:$AY,MATCH($L$1,Database!$F$1:$AY$1,),))))-(((VLOOKUP(EDATE(B237,-12),Database!$F:$AY,MATCH($L$1,Database!$F$1:$AY$1,),)))))/(((VLOOKUP(EDATE(B237,-12),Database!$F:$AY,MATCH($L$1,Database!$F$1:$AY$1,),))))</f>
        <v/>
      </c>
      <c r="M237" s="13">
        <f>((((VLOOKUP(B237,Database!$F:$AY,MATCH($M$1,Database!$F$1:$AY$1,),))))-(((VLOOKUP(EDATE(B237,-12),Database!$F:$AY,MATCH($M$1,Database!$F$1:$AY$1,),)))))/(((VLOOKUP(EDATE(B237,-12),Database!$F:$AY,MATCH($M$1,Database!$F$1:$AY$1,),))))</f>
        <v/>
      </c>
      <c r="N237" s="13">
        <f>((((VLOOKUP(B237,Database!$F:$AY,MATCH($N$1,Database!$F$1:$AY$1,),))))-(((VLOOKUP(EDATE(B237,-12),Database!$F:$AY,MATCH($N$1,Database!$F$1:$AY$1,),)))))/(((VLOOKUP(EDATE(B237,-12),Database!$F:$AY,MATCH($N$1,Database!$F$1:$AY$1,),))))</f>
        <v/>
      </c>
      <c r="O237" s="13">
        <f>((((VLOOKUP(B237,Database!$F:$AY,MATCH($O$1,Database!$F$1:$AY$1,),))))-(((VLOOKUP(EDATE(B237,-12),Database!$F:$AY,MATCH($O$1,Database!$F$1:$AY$1,),)))))/(((VLOOKUP(EDATE(B237,-12),Database!$F:$AY,MATCH($O$1,Database!$F$1:$AY$1,),))))</f>
        <v/>
      </c>
      <c r="P237" s="13">
        <f>((((VLOOKUP(B237,Database!$F:$AY,MATCH($P$1,Database!$F$1:$AY$1,),))))-(((VLOOKUP(EDATE(B237,-12),Database!$F:$AY,MATCH($P$1,Database!$F$1:$AY$1,),)))))/(((VLOOKUP(EDATE(B237,-12),Database!$F:$AY,MATCH($P$1,Database!$F$1:$AY$1,),))))</f>
        <v/>
      </c>
      <c r="Q237" s="13">
        <f>((((VLOOKUP(B237,Database!$F:$AY,MATCH($Q$1,Database!$F$1:$AY$1,),))))-(((VLOOKUP(EDATE(B237,-12),Database!$F:$AY,MATCH($Q$1,Database!$F$1:$AY$1,),)))))/(((VLOOKUP(EDATE(B237,-12),Database!$F:$AY,MATCH($Q$1,Database!$F$1:$AY$1,),))))</f>
        <v/>
      </c>
      <c r="R237" s="13">
        <f>((((VLOOKUP(B237,Database!$F:$AY,MATCH($R$1,Database!$F$1:$AY$1,),))))-(((VLOOKUP(EDATE(B237,-12),Database!$F:$AY,MATCH($R$1,Database!$F$1:$AY$1,),)))))/(((VLOOKUP(EDATE(B237,-12),Database!$F:$AY,MATCH($R$1,Database!$F$1:$AY$1,),))))</f>
        <v/>
      </c>
      <c r="S237" s="13">
        <f>((((VLOOKUP(B237,Database!$F:$AY,MATCH($S$1,Database!$F$1:$AY$1,),))))-(((VLOOKUP(EDATE(B237,-12),Database!$F:$AY,MATCH($S$1,Database!$F$1:$AY$1,),)))))/(((VLOOKUP(EDATE(B237,-12),Database!$F:$AY,MATCH($S$1,Database!$F$1:$AY$1,),))))</f>
        <v/>
      </c>
      <c r="T237" s="13">
        <f>((((VLOOKUP(B237,Database!$F:$AY,MATCH($T$1,Database!$F$1:$AY$1,),))))-(((VLOOKUP(EDATE(B237,-12),Database!$F:$AY,MATCH($T$1,Database!$F$1:$AY$1,),)))))/(((VLOOKUP(EDATE(B237,-12),Database!$F:$AY,MATCH($T$1,Database!$F$1:$AY$1,),))))</f>
        <v/>
      </c>
      <c r="U237" s="13">
        <f>((((VLOOKUP(B237,Database!$F:$AY,MATCH($U$1,Database!$F$1:$AY$1,),))))-(((VLOOKUP(EDATE(B237,-12),Database!$F:$AY,MATCH($U$1,Database!$F$1:$AY$1,),)))))/(((VLOOKUP(EDATE(B237,-12),Database!$F:$AY,MATCH($U$1,Database!$F$1:$AY$1,),))))</f>
        <v/>
      </c>
      <c r="V237" s="13">
        <f>((((VLOOKUP(B237,Database!$F:$AY,MATCH($V$1,Database!$F$1:$AY$1,),))))-(((VLOOKUP(EDATE(B237,-12),Database!$F:$AY,MATCH($V$1,Database!$F$1:$AY$1,),)))))/(((VLOOKUP(EDATE(B237,-12),Database!$F:$AY,MATCH($V$1,Database!$F$1:$AY$1,),))))</f>
        <v/>
      </c>
    </row>
    <row r="238" customFormat="1" s="100">
      <c r="A238" s="45" t="n"/>
      <c r="B238" s="46" t="n">
        <v>39387</v>
      </c>
      <c r="C238" s="13">
        <f>((((VLOOKUP(B238,Database!$F:$AY,MATCH($C$1,Database!$F$1:$AY$1,),))))-(((VLOOKUP(EDATE(B238,-12),Database!$F:$AY,MATCH($C$1,Database!$F$1:$AY$1,),)))))/(((VLOOKUP(EDATE(B238,-12),Database!$F:$AY,MATCH($C$1,Database!$F$1:$AY$1,),))))</f>
        <v/>
      </c>
      <c r="D238" s="13">
        <f>((((VLOOKUP(B238,Database!$F:$AY,MATCH($D$1,Database!$F$1:$AY$1,),))))-(((VLOOKUP(EDATE(B238,-12),Database!$F:$AY,MATCH($D$1,Database!$F$1:$AY$1,),)))))/(((VLOOKUP(EDATE(B238,-12),Database!$F:$AY,MATCH($D$1,Database!$F$1:$AY$1,),))))</f>
        <v/>
      </c>
      <c r="E238" s="13">
        <f>((((VLOOKUP(B238,Database!$F:$AY,MATCH($E$1,Database!$F$1:$AY$1,),))))-(((VLOOKUP(EDATE(B238,-12),Database!$F:$AY,MATCH($E$1,Database!$F$1:$AY$1,),)))))/(((VLOOKUP(EDATE(B238,-12),Database!$F:$AY,MATCH($E$1,Database!$F$1:$AY$1,),))))</f>
        <v/>
      </c>
      <c r="F238" s="13">
        <f>((((VLOOKUP(B238,Database!$F:$AY,MATCH($F$1,Database!$F$1:$AY$1,),))))-(((VLOOKUP(EDATE(B238,-12),Database!$F:$AY,MATCH($F$1,Database!$F$1:$AY$1,),)))))/(((VLOOKUP(EDATE(B238,-12),Database!$F:$AY,MATCH($F$1,Database!$F$1:$AY$1,),))))</f>
        <v/>
      </c>
      <c r="G238" s="13">
        <f>((((VLOOKUP(B238,Database!$F:$AY,MATCH($G$1,Database!$F$1:$AY$1,),))))-(((VLOOKUP(EDATE(B238,-12),Database!$F:$AY,MATCH($G$1,Database!$F$1:$AY$1,),)))))/(((VLOOKUP(EDATE(B238,-12),Database!$F:$AY,MATCH($G$1,Database!$F$1:$AY$1,),))))</f>
        <v/>
      </c>
      <c r="H238" s="13">
        <f>((((VLOOKUP(B238,Database!$F:$AY,MATCH($H$1,Database!$F$1:$AY$1,),))))-(((VLOOKUP(EDATE(B238,-12),Database!$F:$AY,MATCH($H$1,Database!$F$1:$AY$1,),)))))/(((VLOOKUP(EDATE(B238,-12),Database!$F:$AY,MATCH($H$1,Database!$F$1:$AY$1,),))))</f>
        <v/>
      </c>
      <c r="I238" s="13">
        <f>((((VLOOKUP(B238,Database!$F:$AY,MATCH($I$1,Database!$F$1:$AY$1,),))))-(((VLOOKUP(EDATE(B238,-12),Database!$F:$AY,MATCH($I$1,Database!$F$1:$AY$1,),)))))/(((VLOOKUP(EDATE(B238,-12),Database!$F:$AY,MATCH($I$1,Database!$F$1:$AY$1,),))))</f>
        <v/>
      </c>
      <c r="J238" s="13">
        <f>((((VLOOKUP(B238,Database!$F:$AY,MATCH($J$1,Database!$F$1:$AY$1,),))))-(((VLOOKUP(EDATE(B238,-12),Database!$F:$AY,MATCH($J$1,Database!$F$1:$AY$1,),)))))/(((VLOOKUP(EDATE(B238,-12),Database!$F:$AY,MATCH($J$1,Database!$F$1:$AY$1,),))))</f>
        <v/>
      </c>
      <c r="K238" s="13">
        <f>((((VLOOKUP(B238,Database!$F:$AY,MATCH($K$1,Database!$F$1:$AY$1,),))))-(((VLOOKUP(EDATE(B238,-12),Database!$F:$AY,MATCH($K$1,Database!$F$1:$AY$1,),)))))/(((VLOOKUP(EDATE(B238,-12),Database!$F:$AY,MATCH($K$1,Database!$F$1:$AY$1,),))))</f>
        <v/>
      </c>
      <c r="L238" s="13">
        <f>((((VLOOKUP(B238,Database!$F:$AY,MATCH($L$1,Database!$F$1:$AY$1,),))))-(((VLOOKUP(EDATE(B238,-12),Database!$F:$AY,MATCH($L$1,Database!$F$1:$AY$1,),)))))/(((VLOOKUP(EDATE(B238,-12),Database!$F:$AY,MATCH($L$1,Database!$F$1:$AY$1,),))))</f>
        <v/>
      </c>
      <c r="M238" s="13">
        <f>((((VLOOKUP(B238,Database!$F:$AY,MATCH($M$1,Database!$F$1:$AY$1,),))))-(((VLOOKUP(EDATE(B238,-12),Database!$F:$AY,MATCH($M$1,Database!$F$1:$AY$1,),)))))/(((VLOOKUP(EDATE(B238,-12),Database!$F:$AY,MATCH($M$1,Database!$F$1:$AY$1,),))))</f>
        <v/>
      </c>
      <c r="N238" s="13">
        <f>((((VLOOKUP(B238,Database!$F:$AY,MATCH($N$1,Database!$F$1:$AY$1,),))))-(((VLOOKUP(EDATE(B238,-12),Database!$F:$AY,MATCH($N$1,Database!$F$1:$AY$1,),)))))/(((VLOOKUP(EDATE(B238,-12),Database!$F:$AY,MATCH($N$1,Database!$F$1:$AY$1,),))))</f>
        <v/>
      </c>
      <c r="O238" s="13">
        <f>((((VLOOKUP(B238,Database!$F:$AY,MATCH($O$1,Database!$F$1:$AY$1,),))))-(((VLOOKUP(EDATE(B238,-12),Database!$F:$AY,MATCH($O$1,Database!$F$1:$AY$1,),)))))/(((VLOOKUP(EDATE(B238,-12),Database!$F:$AY,MATCH($O$1,Database!$F$1:$AY$1,),))))</f>
        <v/>
      </c>
      <c r="P238" s="13">
        <f>((((VLOOKUP(B238,Database!$F:$AY,MATCH($P$1,Database!$F$1:$AY$1,),))))-(((VLOOKUP(EDATE(B238,-12),Database!$F:$AY,MATCH($P$1,Database!$F$1:$AY$1,),)))))/(((VLOOKUP(EDATE(B238,-12),Database!$F:$AY,MATCH($P$1,Database!$F$1:$AY$1,),))))</f>
        <v/>
      </c>
      <c r="Q238" s="13">
        <f>((((VLOOKUP(B238,Database!$F:$AY,MATCH($Q$1,Database!$F$1:$AY$1,),))))-(((VLOOKUP(EDATE(B238,-12),Database!$F:$AY,MATCH($Q$1,Database!$F$1:$AY$1,),)))))/(((VLOOKUP(EDATE(B238,-12),Database!$F:$AY,MATCH($Q$1,Database!$F$1:$AY$1,),))))</f>
        <v/>
      </c>
      <c r="R238" s="13">
        <f>((((VLOOKUP(B238,Database!$F:$AY,MATCH($R$1,Database!$F$1:$AY$1,),))))-(((VLOOKUP(EDATE(B238,-12),Database!$F:$AY,MATCH($R$1,Database!$F$1:$AY$1,),)))))/(((VLOOKUP(EDATE(B238,-12),Database!$F:$AY,MATCH($R$1,Database!$F$1:$AY$1,),))))</f>
        <v/>
      </c>
      <c r="S238" s="13">
        <f>((((VLOOKUP(B238,Database!$F:$AY,MATCH($S$1,Database!$F$1:$AY$1,),))))-(((VLOOKUP(EDATE(B238,-12),Database!$F:$AY,MATCH($S$1,Database!$F$1:$AY$1,),)))))/(((VLOOKUP(EDATE(B238,-12),Database!$F:$AY,MATCH($S$1,Database!$F$1:$AY$1,),))))</f>
        <v/>
      </c>
      <c r="T238" s="13">
        <f>((((VLOOKUP(B238,Database!$F:$AY,MATCH($T$1,Database!$F$1:$AY$1,),))))-(((VLOOKUP(EDATE(B238,-12),Database!$F:$AY,MATCH($T$1,Database!$F$1:$AY$1,),)))))/(((VLOOKUP(EDATE(B238,-12),Database!$F:$AY,MATCH($T$1,Database!$F$1:$AY$1,),))))</f>
        <v/>
      </c>
      <c r="U238" s="13">
        <f>((((VLOOKUP(B238,Database!$F:$AY,MATCH($U$1,Database!$F$1:$AY$1,),))))-(((VLOOKUP(EDATE(B238,-12),Database!$F:$AY,MATCH($U$1,Database!$F$1:$AY$1,),)))))/(((VLOOKUP(EDATE(B238,-12),Database!$F:$AY,MATCH($U$1,Database!$F$1:$AY$1,),))))</f>
        <v/>
      </c>
      <c r="V238" s="13">
        <f>((((VLOOKUP(B238,Database!$F:$AY,MATCH($V$1,Database!$F$1:$AY$1,),))))-(((VLOOKUP(EDATE(B238,-12),Database!$F:$AY,MATCH($V$1,Database!$F$1:$AY$1,),)))))/(((VLOOKUP(EDATE(B238,-12),Database!$F:$AY,MATCH($V$1,Database!$F$1:$AY$1,),))))</f>
        <v/>
      </c>
    </row>
    <row r="239" customFormat="1" s="100">
      <c r="A239" s="45" t="n"/>
      <c r="B239" s="46" t="n">
        <v>39417</v>
      </c>
      <c r="C239" s="13">
        <f>((((VLOOKUP(B239,Database!$F:$AY,MATCH($C$1,Database!$F$1:$AY$1,),))))-(((VLOOKUP(EDATE(B239,-12),Database!$F:$AY,MATCH($C$1,Database!$F$1:$AY$1,),)))))/(((VLOOKUP(EDATE(B239,-12),Database!$F:$AY,MATCH($C$1,Database!$F$1:$AY$1,),))))</f>
        <v/>
      </c>
      <c r="D239" s="13">
        <f>((((VLOOKUP(B239,Database!$F:$AY,MATCH($D$1,Database!$F$1:$AY$1,),))))-(((VLOOKUP(EDATE(B239,-12),Database!$F:$AY,MATCH($D$1,Database!$F$1:$AY$1,),)))))/(((VLOOKUP(EDATE(B239,-12),Database!$F:$AY,MATCH($D$1,Database!$F$1:$AY$1,),))))</f>
        <v/>
      </c>
      <c r="E239" s="13">
        <f>((((VLOOKUP(B239,Database!$F:$AY,MATCH($E$1,Database!$F$1:$AY$1,),))))-(((VLOOKUP(EDATE(B239,-12),Database!$F:$AY,MATCH($E$1,Database!$F$1:$AY$1,),)))))/(((VLOOKUP(EDATE(B239,-12),Database!$F:$AY,MATCH($E$1,Database!$F$1:$AY$1,),))))</f>
        <v/>
      </c>
      <c r="F239" s="13">
        <f>((((VLOOKUP(B239,Database!$F:$AY,MATCH($F$1,Database!$F$1:$AY$1,),))))-(((VLOOKUP(EDATE(B239,-12),Database!$F:$AY,MATCH($F$1,Database!$F$1:$AY$1,),)))))/(((VLOOKUP(EDATE(B239,-12),Database!$F:$AY,MATCH($F$1,Database!$F$1:$AY$1,),))))</f>
        <v/>
      </c>
      <c r="G239" s="13">
        <f>((((VLOOKUP(B239,Database!$F:$AY,MATCH($G$1,Database!$F$1:$AY$1,),))))-(((VLOOKUP(EDATE(B239,-12),Database!$F:$AY,MATCH($G$1,Database!$F$1:$AY$1,),)))))/(((VLOOKUP(EDATE(B239,-12),Database!$F:$AY,MATCH($G$1,Database!$F$1:$AY$1,),))))</f>
        <v/>
      </c>
      <c r="H239" s="13">
        <f>((((VLOOKUP(B239,Database!$F:$AY,MATCH($H$1,Database!$F$1:$AY$1,),))))-(((VLOOKUP(EDATE(B239,-12),Database!$F:$AY,MATCH($H$1,Database!$F$1:$AY$1,),)))))/(((VLOOKUP(EDATE(B239,-12),Database!$F:$AY,MATCH($H$1,Database!$F$1:$AY$1,),))))</f>
        <v/>
      </c>
      <c r="I239" s="13">
        <f>((((VLOOKUP(B239,Database!$F:$AY,MATCH($I$1,Database!$F$1:$AY$1,),))))-(((VLOOKUP(EDATE(B239,-12),Database!$F:$AY,MATCH($I$1,Database!$F$1:$AY$1,),)))))/(((VLOOKUP(EDATE(B239,-12),Database!$F:$AY,MATCH($I$1,Database!$F$1:$AY$1,),))))</f>
        <v/>
      </c>
      <c r="J239" s="13">
        <f>((((VLOOKUP(B239,Database!$F:$AY,MATCH($J$1,Database!$F$1:$AY$1,),))))-(((VLOOKUP(EDATE(B239,-12),Database!$F:$AY,MATCH($J$1,Database!$F$1:$AY$1,),)))))/(((VLOOKUP(EDATE(B239,-12),Database!$F:$AY,MATCH($J$1,Database!$F$1:$AY$1,),))))</f>
        <v/>
      </c>
      <c r="K239" s="13">
        <f>((((VLOOKUP(B239,Database!$F:$AY,MATCH($K$1,Database!$F$1:$AY$1,),))))-(((VLOOKUP(EDATE(B239,-12),Database!$F:$AY,MATCH($K$1,Database!$F$1:$AY$1,),)))))/(((VLOOKUP(EDATE(B239,-12),Database!$F:$AY,MATCH($K$1,Database!$F$1:$AY$1,),))))</f>
        <v/>
      </c>
      <c r="L239" s="13">
        <f>((((VLOOKUP(B239,Database!$F:$AY,MATCH($L$1,Database!$F$1:$AY$1,),))))-(((VLOOKUP(EDATE(B239,-12),Database!$F:$AY,MATCH($L$1,Database!$F$1:$AY$1,),)))))/(((VLOOKUP(EDATE(B239,-12),Database!$F:$AY,MATCH($L$1,Database!$F$1:$AY$1,),))))</f>
        <v/>
      </c>
      <c r="M239" s="13">
        <f>((((VLOOKUP(B239,Database!$F:$AY,MATCH($M$1,Database!$F$1:$AY$1,),))))-(((VLOOKUP(EDATE(B239,-12),Database!$F:$AY,MATCH($M$1,Database!$F$1:$AY$1,),)))))/(((VLOOKUP(EDATE(B239,-12),Database!$F:$AY,MATCH($M$1,Database!$F$1:$AY$1,),))))</f>
        <v/>
      </c>
      <c r="N239" s="13">
        <f>((((VLOOKUP(B239,Database!$F:$AY,MATCH($N$1,Database!$F$1:$AY$1,),))))-(((VLOOKUP(EDATE(B239,-12),Database!$F:$AY,MATCH($N$1,Database!$F$1:$AY$1,),)))))/(((VLOOKUP(EDATE(B239,-12),Database!$F:$AY,MATCH($N$1,Database!$F$1:$AY$1,),))))</f>
        <v/>
      </c>
      <c r="O239" s="13">
        <f>((((VLOOKUP(B239,Database!$F:$AY,MATCH($O$1,Database!$F$1:$AY$1,),))))-(((VLOOKUP(EDATE(B239,-12),Database!$F:$AY,MATCH($O$1,Database!$F$1:$AY$1,),)))))/(((VLOOKUP(EDATE(B239,-12),Database!$F:$AY,MATCH($O$1,Database!$F$1:$AY$1,),))))</f>
        <v/>
      </c>
      <c r="P239" s="13">
        <f>((((VLOOKUP(B239,Database!$F:$AY,MATCH($P$1,Database!$F$1:$AY$1,),))))-(((VLOOKUP(EDATE(B239,-12),Database!$F:$AY,MATCH($P$1,Database!$F$1:$AY$1,),)))))/(((VLOOKUP(EDATE(B239,-12),Database!$F:$AY,MATCH($P$1,Database!$F$1:$AY$1,),))))</f>
        <v/>
      </c>
      <c r="Q239" s="13">
        <f>((((VLOOKUP(B239,Database!$F:$AY,MATCH($Q$1,Database!$F$1:$AY$1,),))))-(((VLOOKUP(EDATE(B239,-12),Database!$F:$AY,MATCH($Q$1,Database!$F$1:$AY$1,),)))))/(((VLOOKUP(EDATE(B239,-12),Database!$F:$AY,MATCH($Q$1,Database!$F$1:$AY$1,),))))</f>
        <v/>
      </c>
      <c r="R239" s="13">
        <f>((((VLOOKUP(B239,Database!$F:$AY,MATCH($R$1,Database!$F$1:$AY$1,),))))-(((VLOOKUP(EDATE(B239,-12),Database!$F:$AY,MATCH($R$1,Database!$F$1:$AY$1,),)))))/(((VLOOKUP(EDATE(B239,-12),Database!$F:$AY,MATCH($R$1,Database!$F$1:$AY$1,),))))</f>
        <v/>
      </c>
      <c r="S239" s="13">
        <f>((((VLOOKUP(B239,Database!$F:$AY,MATCH($S$1,Database!$F$1:$AY$1,),))))-(((VLOOKUP(EDATE(B239,-12),Database!$F:$AY,MATCH($S$1,Database!$F$1:$AY$1,),)))))/(((VLOOKUP(EDATE(B239,-12),Database!$F:$AY,MATCH($S$1,Database!$F$1:$AY$1,),))))</f>
        <v/>
      </c>
      <c r="T239" s="13">
        <f>((((VLOOKUP(B239,Database!$F:$AY,MATCH($T$1,Database!$F$1:$AY$1,),))))-(((VLOOKUP(EDATE(B239,-12),Database!$F:$AY,MATCH($T$1,Database!$F$1:$AY$1,),)))))/(((VLOOKUP(EDATE(B239,-12),Database!$F:$AY,MATCH($T$1,Database!$F$1:$AY$1,),))))</f>
        <v/>
      </c>
      <c r="U239" s="13">
        <f>((((VLOOKUP(B239,Database!$F:$AY,MATCH($U$1,Database!$F$1:$AY$1,),))))-(((VLOOKUP(EDATE(B239,-12),Database!$F:$AY,MATCH($U$1,Database!$F$1:$AY$1,),)))))/(((VLOOKUP(EDATE(B239,-12),Database!$F:$AY,MATCH($U$1,Database!$F$1:$AY$1,),))))</f>
        <v/>
      </c>
      <c r="V239" s="13">
        <f>((((VLOOKUP(B239,Database!$F:$AY,MATCH($V$1,Database!$F$1:$AY$1,),))))-(((VLOOKUP(EDATE(B239,-12),Database!$F:$AY,MATCH($V$1,Database!$F$1:$AY$1,),)))))/(((VLOOKUP(EDATE(B239,-12),Database!$F:$AY,MATCH($V$1,Database!$F$1:$AY$1,),))))</f>
        <v/>
      </c>
    </row>
    <row r="240" customFormat="1" s="100">
      <c r="A240" s="45" t="n"/>
      <c r="B240" s="46" t="n">
        <v>39448</v>
      </c>
      <c r="C240" s="13">
        <f>((((VLOOKUP(B240,Database!$F:$AY,MATCH($C$1,Database!$F$1:$AY$1,),))))-(((VLOOKUP(EDATE(B240,-12),Database!$F:$AY,MATCH($C$1,Database!$F$1:$AY$1,),)))))/(((VLOOKUP(EDATE(B240,-12),Database!$F:$AY,MATCH($C$1,Database!$F$1:$AY$1,),))))</f>
        <v/>
      </c>
      <c r="D240" s="13">
        <f>((((VLOOKUP(B240,Database!$F:$AY,MATCH($D$1,Database!$F$1:$AY$1,),))))-(((VLOOKUP(EDATE(B240,-12),Database!$F:$AY,MATCH($D$1,Database!$F$1:$AY$1,),)))))/(((VLOOKUP(EDATE(B240,-12),Database!$F:$AY,MATCH($D$1,Database!$F$1:$AY$1,),))))</f>
        <v/>
      </c>
      <c r="E240" s="13">
        <f>((((VLOOKUP(B240,Database!$F:$AY,MATCH($E$1,Database!$F$1:$AY$1,),))))-(((VLOOKUP(EDATE(B240,-12),Database!$F:$AY,MATCH($E$1,Database!$F$1:$AY$1,),)))))/(((VLOOKUP(EDATE(B240,-12),Database!$F:$AY,MATCH($E$1,Database!$F$1:$AY$1,),))))</f>
        <v/>
      </c>
      <c r="F240" s="13">
        <f>((((VLOOKUP(B240,Database!$F:$AY,MATCH($F$1,Database!$F$1:$AY$1,),))))-(((VLOOKUP(EDATE(B240,-12),Database!$F:$AY,MATCH($F$1,Database!$F$1:$AY$1,),)))))/(((VLOOKUP(EDATE(B240,-12),Database!$F:$AY,MATCH($F$1,Database!$F$1:$AY$1,),))))</f>
        <v/>
      </c>
      <c r="G240" s="13">
        <f>((((VLOOKUP(B240,Database!$F:$AY,MATCH($G$1,Database!$F$1:$AY$1,),))))-(((VLOOKUP(EDATE(B240,-12),Database!$F:$AY,MATCH($G$1,Database!$F$1:$AY$1,),)))))/(((VLOOKUP(EDATE(B240,-12),Database!$F:$AY,MATCH($G$1,Database!$F$1:$AY$1,),))))</f>
        <v/>
      </c>
      <c r="H240" s="13">
        <f>((((VLOOKUP(B240,Database!$F:$AY,MATCH($H$1,Database!$F$1:$AY$1,),))))-(((VLOOKUP(EDATE(B240,-12),Database!$F:$AY,MATCH($H$1,Database!$F$1:$AY$1,),)))))/(((VLOOKUP(EDATE(B240,-12),Database!$F:$AY,MATCH($H$1,Database!$F$1:$AY$1,),))))</f>
        <v/>
      </c>
      <c r="I240" s="13">
        <f>((((VLOOKUP(B240,Database!$F:$AY,MATCH($I$1,Database!$F$1:$AY$1,),))))-(((VLOOKUP(EDATE(B240,-12),Database!$F:$AY,MATCH($I$1,Database!$F$1:$AY$1,),)))))/(((VLOOKUP(EDATE(B240,-12),Database!$F:$AY,MATCH($I$1,Database!$F$1:$AY$1,),))))</f>
        <v/>
      </c>
      <c r="J240" s="13">
        <f>((((VLOOKUP(B240,Database!$F:$AY,MATCH($J$1,Database!$F$1:$AY$1,),))))-(((VLOOKUP(EDATE(B240,-12),Database!$F:$AY,MATCH($J$1,Database!$F$1:$AY$1,),)))))/(((VLOOKUP(EDATE(B240,-12),Database!$F:$AY,MATCH($J$1,Database!$F$1:$AY$1,),))))</f>
        <v/>
      </c>
      <c r="K240" s="13">
        <f>((((VLOOKUP(B240,Database!$F:$AY,MATCH($K$1,Database!$F$1:$AY$1,),))))-(((VLOOKUP(EDATE(B240,-12),Database!$F:$AY,MATCH($K$1,Database!$F$1:$AY$1,),)))))/(((VLOOKUP(EDATE(B240,-12),Database!$F:$AY,MATCH($K$1,Database!$F$1:$AY$1,),))))</f>
        <v/>
      </c>
      <c r="L240" s="13">
        <f>((((VLOOKUP(B240,Database!$F:$AY,MATCH($L$1,Database!$F$1:$AY$1,),))))-(((VLOOKUP(EDATE(B240,-12),Database!$F:$AY,MATCH($L$1,Database!$F$1:$AY$1,),)))))/(((VLOOKUP(EDATE(B240,-12),Database!$F:$AY,MATCH($L$1,Database!$F$1:$AY$1,),))))</f>
        <v/>
      </c>
      <c r="M240" s="13">
        <f>((((VLOOKUP(B240,Database!$F:$AY,MATCH($M$1,Database!$F$1:$AY$1,),))))-(((VLOOKUP(EDATE(B240,-12),Database!$F:$AY,MATCH($M$1,Database!$F$1:$AY$1,),)))))/(((VLOOKUP(EDATE(B240,-12),Database!$F:$AY,MATCH($M$1,Database!$F$1:$AY$1,),))))</f>
        <v/>
      </c>
      <c r="N240" s="13">
        <f>((((VLOOKUP(B240,Database!$F:$AY,MATCH($N$1,Database!$F$1:$AY$1,),))))-(((VLOOKUP(EDATE(B240,-12),Database!$F:$AY,MATCH($N$1,Database!$F$1:$AY$1,),)))))/(((VLOOKUP(EDATE(B240,-12),Database!$F:$AY,MATCH($N$1,Database!$F$1:$AY$1,),))))</f>
        <v/>
      </c>
      <c r="O240" s="13">
        <f>((((VLOOKUP(B240,Database!$F:$AY,MATCH($O$1,Database!$F$1:$AY$1,),))))-(((VLOOKUP(EDATE(B240,-12),Database!$F:$AY,MATCH($O$1,Database!$F$1:$AY$1,),)))))/(((VLOOKUP(EDATE(B240,-12),Database!$F:$AY,MATCH($O$1,Database!$F$1:$AY$1,),))))</f>
        <v/>
      </c>
      <c r="P240" s="13">
        <f>((((VLOOKUP(B240,Database!$F:$AY,MATCH($P$1,Database!$F$1:$AY$1,),))))-(((VLOOKUP(EDATE(B240,-12),Database!$F:$AY,MATCH($P$1,Database!$F$1:$AY$1,),)))))/(((VLOOKUP(EDATE(B240,-12),Database!$F:$AY,MATCH($P$1,Database!$F$1:$AY$1,),))))</f>
        <v/>
      </c>
      <c r="Q240" s="13">
        <f>((((VLOOKUP(B240,Database!$F:$AY,MATCH($Q$1,Database!$F$1:$AY$1,),))))-(((VLOOKUP(EDATE(B240,-12),Database!$F:$AY,MATCH($Q$1,Database!$F$1:$AY$1,),)))))/(((VLOOKUP(EDATE(B240,-12),Database!$F:$AY,MATCH($Q$1,Database!$F$1:$AY$1,),))))</f>
        <v/>
      </c>
      <c r="R240" s="13">
        <f>((((VLOOKUP(B240,Database!$F:$AY,MATCH($R$1,Database!$F$1:$AY$1,),))))-(((VLOOKUP(EDATE(B240,-12),Database!$F:$AY,MATCH($R$1,Database!$F$1:$AY$1,),)))))/(((VLOOKUP(EDATE(B240,-12),Database!$F:$AY,MATCH($R$1,Database!$F$1:$AY$1,),))))</f>
        <v/>
      </c>
      <c r="S240" s="13">
        <f>((((VLOOKUP(B240,Database!$F:$AY,MATCH($S$1,Database!$F$1:$AY$1,),))))-(((VLOOKUP(EDATE(B240,-12),Database!$F:$AY,MATCH($S$1,Database!$F$1:$AY$1,),)))))/(((VLOOKUP(EDATE(B240,-12),Database!$F:$AY,MATCH($S$1,Database!$F$1:$AY$1,),))))</f>
        <v/>
      </c>
      <c r="T240" s="13">
        <f>((((VLOOKUP(B240,Database!$F:$AY,MATCH($T$1,Database!$F$1:$AY$1,),))))-(((VLOOKUP(EDATE(B240,-12),Database!$F:$AY,MATCH($T$1,Database!$F$1:$AY$1,),)))))/(((VLOOKUP(EDATE(B240,-12),Database!$F:$AY,MATCH($T$1,Database!$F$1:$AY$1,),))))</f>
        <v/>
      </c>
      <c r="U240" s="13">
        <f>((((VLOOKUP(B240,Database!$F:$AY,MATCH($U$1,Database!$F$1:$AY$1,),))))-(((VLOOKUP(EDATE(B240,-12),Database!$F:$AY,MATCH($U$1,Database!$F$1:$AY$1,),)))))/(((VLOOKUP(EDATE(B240,-12),Database!$F:$AY,MATCH($U$1,Database!$F$1:$AY$1,),))))</f>
        <v/>
      </c>
      <c r="V240" s="13">
        <f>((((VLOOKUP(B240,Database!$F:$AY,MATCH($V$1,Database!$F$1:$AY$1,),))))-(((VLOOKUP(EDATE(B240,-12),Database!$F:$AY,MATCH($V$1,Database!$F$1:$AY$1,),)))))/(((VLOOKUP(EDATE(B240,-12),Database!$F:$AY,MATCH($V$1,Database!$F$1:$AY$1,),))))</f>
        <v/>
      </c>
    </row>
    <row r="241" customFormat="1" s="100">
      <c r="A241" s="45" t="n"/>
      <c r="B241" s="46" t="n">
        <v>39479</v>
      </c>
      <c r="C241" s="13">
        <f>((((VLOOKUP(B241,Database!$F:$AY,MATCH($C$1,Database!$F$1:$AY$1,),))))-(((VLOOKUP(EDATE(B241,-12),Database!$F:$AY,MATCH($C$1,Database!$F$1:$AY$1,),)))))/(((VLOOKUP(EDATE(B241,-12),Database!$F:$AY,MATCH($C$1,Database!$F$1:$AY$1,),))))</f>
        <v/>
      </c>
      <c r="D241" s="13">
        <f>((((VLOOKUP(B241,Database!$F:$AY,MATCH($D$1,Database!$F$1:$AY$1,),))))-(((VLOOKUP(EDATE(B241,-12),Database!$F:$AY,MATCH($D$1,Database!$F$1:$AY$1,),)))))/(((VLOOKUP(EDATE(B241,-12),Database!$F:$AY,MATCH($D$1,Database!$F$1:$AY$1,),))))</f>
        <v/>
      </c>
      <c r="E241" s="13">
        <f>((((VLOOKUP(B241,Database!$F:$AY,MATCH($E$1,Database!$F$1:$AY$1,),))))-(((VLOOKUP(EDATE(B241,-12),Database!$F:$AY,MATCH($E$1,Database!$F$1:$AY$1,),)))))/(((VLOOKUP(EDATE(B241,-12),Database!$F:$AY,MATCH($E$1,Database!$F$1:$AY$1,),))))</f>
        <v/>
      </c>
      <c r="F241" s="13">
        <f>((((VLOOKUP(B241,Database!$F:$AY,MATCH($F$1,Database!$F$1:$AY$1,),))))-(((VLOOKUP(EDATE(B241,-12),Database!$F:$AY,MATCH($F$1,Database!$F$1:$AY$1,),)))))/(((VLOOKUP(EDATE(B241,-12),Database!$F:$AY,MATCH($F$1,Database!$F$1:$AY$1,),))))</f>
        <v/>
      </c>
      <c r="G241" s="13">
        <f>((((VLOOKUP(B241,Database!$F:$AY,MATCH($G$1,Database!$F$1:$AY$1,),))))-(((VLOOKUP(EDATE(B241,-12),Database!$F:$AY,MATCH($G$1,Database!$F$1:$AY$1,),)))))/(((VLOOKUP(EDATE(B241,-12),Database!$F:$AY,MATCH($G$1,Database!$F$1:$AY$1,),))))</f>
        <v/>
      </c>
      <c r="H241" s="13">
        <f>((((VLOOKUP(B241,Database!$F:$AY,MATCH($H$1,Database!$F$1:$AY$1,),))))-(((VLOOKUP(EDATE(B241,-12),Database!$F:$AY,MATCH($H$1,Database!$F$1:$AY$1,),)))))/(((VLOOKUP(EDATE(B241,-12),Database!$F:$AY,MATCH($H$1,Database!$F$1:$AY$1,),))))</f>
        <v/>
      </c>
      <c r="I241" s="13">
        <f>((((VLOOKUP(B241,Database!$F:$AY,MATCH($I$1,Database!$F$1:$AY$1,),))))-(((VLOOKUP(EDATE(B241,-12),Database!$F:$AY,MATCH($I$1,Database!$F$1:$AY$1,),)))))/(((VLOOKUP(EDATE(B241,-12),Database!$F:$AY,MATCH($I$1,Database!$F$1:$AY$1,),))))</f>
        <v/>
      </c>
      <c r="J241" s="13">
        <f>((((VLOOKUP(B241,Database!$F:$AY,MATCH($J$1,Database!$F$1:$AY$1,),))))-(((VLOOKUP(EDATE(B241,-12),Database!$F:$AY,MATCH($J$1,Database!$F$1:$AY$1,),)))))/(((VLOOKUP(EDATE(B241,-12),Database!$F:$AY,MATCH($J$1,Database!$F$1:$AY$1,),))))</f>
        <v/>
      </c>
      <c r="K241" s="13">
        <f>((((VLOOKUP(B241,Database!$F:$AY,MATCH($K$1,Database!$F$1:$AY$1,),))))-(((VLOOKUP(EDATE(B241,-12),Database!$F:$AY,MATCH($K$1,Database!$F$1:$AY$1,),)))))/(((VLOOKUP(EDATE(B241,-12),Database!$F:$AY,MATCH($K$1,Database!$F$1:$AY$1,),))))</f>
        <v/>
      </c>
      <c r="L241" s="13">
        <f>((((VLOOKUP(B241,Database!$F:$AY,MATCH($L$1,Database!$F$1:$AY$1,),))))-(((VLOOKUP(EDATE(B241,-12),Database!$F:$AY,MATCH($L$1,Database!$F$1:$AY$1,),)))))/(((VLOOKUP(EDATE(B241,-12),Database!$F:$AY,MATCH($L$1,Database!$F$1:$AY$1,),))))</f>
        <v/>
      </c>
      <c r="M241" s="13">
        <f>((((VLOOKUP(B241,Database!$F:$AY,MATCH($M$1,Database!$F$1:$AY$1,),))))-(((VLOOKUP(EDATE(B241,-12),Database!$F:$AY,MATCH($M$1,Database!$F$1:$AY$1,),)))))/(((VLOOKUP(EDATE(B241,-12),Database!$F:$AY,MATCH($M$1,Database!$F$1:$AY$1,),))))</f>
        <v/>
      </c>
      <c r="N241" s="13">
        <f>((((VLOOKUP(B241,Database!$F:$AY,MATCH($N$1,Database!$F$1:$AY$1,),))))-(((VLOOKUP(EDATE(B241,-12),Database!$F:$AY,MATCH($N$1,Database!$F$1:$AY$1,),)))))/(((VLOOKUP(EDATE(B241,-12),Database!$F:$AY,MATCH($N$1,Database!$F$1:$AY$1,),))))</f>
        <v/>
      </c>
      <c r="O241" s="13">
        <f>((((VLOOKUP(B241,Database!$F:$AY,MATCH($O$1,Database!$F$1:$AY$1,),))))-(((VLOOKUP(EDATE(B241,-12),Database!$F:$AY,MATCH($O$1,Database!$F$1:$AY$1,),)))))/(((VLOOKUP(EDATE(B241,-12),Database!$F:$AY,MATCH($O$1,Database!$F$1:$AY$1,),))))</f>
        <v/>
      </c>
      <c r="P241" s="13">
        <f>((((VLOOKUP(B241,Database!$F:$AY,MATCH($P$1,Database!$F$1:$AY$1,),))))-(((VLOOKUP(EDATE(B241,-12),Database!$F:$AY,MATCH($P$1,Database!$F$1:$AY$1,),)))))/(((VLOOKUP(EDATE(B241,-12),Database!$F:$AY,MATCH($P$1,Database!$F$1:$AY$1,),))))</f>
        <v/>
      </c>
      <c r="Q241" s="13">
        <f>((((VLOOKUP(B241,Database!$F:$AY,MATCH($Q$1,Database!$F$1:$AY$1,),))))-(((VLOOKUP(EDATE(B241,-12),Database!$F:$AY,MATCH($Q$1,Database!$F$1:$AY$1,),)))))/(((VLOOKUP(EDATE(B241,-12),Database!$F:$AY,MATCH($Q$1,Database!$F$1:$AY$1,),))))</f>
        <v/>
      </c>
      <c r="R241" s="13">
        <f>((((VLOOKUP(B241,Database!$F:$AY,MATCH($R$1,Database!$F$1:$AY$1,),))))-(((VLOOKUP(EDATE(B241,-12),Database!$F:$AY,MATCH($R$1,Database!$F$1:$AY$1,),)))))/(((VLOOKUP(EDATE(B241,-12),Database!$F:$AY,MATCH($R$1,Database!$F$1:$AY$1,),))))</f>
        <v/>
      </c>
      <c r="S241" s="13">
        <f>((((VLOOKUP(B241,Database!$F:$AY,MATCH($S$1,Database!$F$1:$AY$1,),))))-(((VLOOKUP(EDATE(B241,-12),Database!$F:$AY,MATCH($S$1,Database!$F$1:$AY$1,),)))))/(((VLOOKUP(EDATE(B241,-12),Database!$F:$AY,MATCH($S$1,Database!$F$1:$AY$1,),))))</f>
        <v/>
      </c>
      <c r="T241" s="13">
        <f>((((VLOOKUP(B241,Database!$F:$AY,MATCH($T$1,Database!$F$1:$AY$1,),))))-(((VLOOKUP(EDATE(B241,-12),Database!$F:$AY,MATCH($T$1,Database!$F$1:$AY$1,),)))))/(((VLOOKUP(EDATE(B241,-12),Database!$F:$AY,MATCH($T$1,Database!$F$1:$AY$1,),))))</f>
        <v/>
      </c>
      <c r="U241" s="13">
        <f>((((VLOOKUP(B241,Database!$F:$AY,MATCH($U$1,Database!$F$1:$AY$1,),))))-(((VLOOKUP(EDATE(B241,-12),Database!$F:$AY,MATCH($U$1,Database!$F$1:$AY$1,),)))))/(((VLOOKUP(EDATE(B241,-12),Database!$F:$AY,MATCH($U$1,Database!$F$1:$AY$1,),))))</f>
        <v/>
      </c>
      <c r="V241" s="13">
        <f>((((VLOOKUP(B241,Database!$F:$AY,MATCH($V$1,Database!$F$1:$AY$1,),))))-(((VLOOKUP(EDATE(B241,-12),Database!$F:$AY,MATCH($V$1,Database!$F$1:$AY$1,),)))))/(((VLOOKUP(EDATE(B241,-12),Database!$F:$AY,MATCH($V$1,Database!$F$1:$AY$1,),))))</f>
        <v/>
      </c>
    </row>
    <row r="242" customFormat="1" s="100">
      <c r="A242" s="45" t="n"/>
      <c r="B242" s="46" t="n">
        <v>39508</v>
      </c>
      <c r="C242" s="13">
        <f>((((VLOOKUP(B242,Database!$F:$AY,MATCH($C$1,Database!$F$1:$AY$1,),))))-(((VLOOKUP(EDATE(B242,-12),Database!$F:$AY,MATCH($C$1,Database!$F$1:$AY$1,),)))))/(((VLOOKUP(EDATE(B242,-12),Database!$F:$AY,MATCH($C$1,Database!$F$1:$AY$1,),))))</f>
        <v/>
      </c>
      <c r="D242" s="13">
        <f>((((VLOOKUP(B242,Database!$F:$AY,MATCH($D$1,Database!$F$1:$AY$1,),))))-(((VLOOKUP(EDATE(B242,-12),Database!$F:$AY,MATCH($D$1,Database!$F$1:$AY$1,),)))))/(((VLOOKUP(EDATE(B242,-12),Database!$F:$AY,MATCH($D$1,Database!$F$1:$AY$1,),))))</f>
        <v/>
      </c>
      <c r="E242" s="13">
        <f>((((VLOOKUP(B242,Database!$F:$AY,MATCH($E$1,Database!$F$1:$AY$1,),))))-(((VLOOKUP(EDATE(B242,-12),Database!$F:$AY,MATCH($E$1,Database!$F$1:$AY$1,),)))))/(((VLOOKUP(EDATE(B242,-12),Database!$F:$AY,MATCH($E$1,Database!$F$1:$AY$1,),))))</f>
        <v/>
      </c>
      <c r="F242" s="13">
        <f>((((VLOOKUP(B242,Database!$F:$AY,MATCH($F$1,Database!$F$1:$AY$1,),))))-(((VLOOKUP(EDATE(B242,-12),Database!$F:$AY,MATCH($F$1,Database!$F$1:$AY$1,),)))))/(((VLOOKUP(EDATE(B242,-12),Database!$F:$AY,MATCH($F$1,Database!$F$1:$AY$1,),))))</f>
        <v/>
      </c>
      <c r="G242" s="13">
        <f>((((VLOOKUP(B242,Database!$F:$AY,MATCH($G$1,Database!$F$1:$AY$1,),))))-(((VLOOKUP(EDATE(B242,-12),Database!$F:$AY,MATCH($G$1,Database!$F$1:$AY$1,),)))))/(((VLOOKUP(EDATE(B242,-12),Database!$F:$AY,MATCH($G$1,Database!$F$1:$AY$1,),))))</f>
        <v/>
      </c>
      <c r="H242" s="13">
        <f>((((VLOOKUP(B242,Database!$F:$AY,MATCH($H$1,Database!$F$1:$AY$1,),))))-(((VLOOKUP(EDATE(B242,-12),Database!$F:$AY,MATCH($H$1,Database!$F$1:$AY$1,),)))))/(((VLOOKUP(EDATE(B242,-12),Database!$F:$AY,MATCH($H$1,Database!$F$1:$AY$1,),))))</f>
        <v/>
      </c>
      <c r="I242" s="13">
        <f>((((VLOOKUP(B242,Database!$F:$AY,MATCH($I$1,Database!$F$1:$AY$1,),))))-(((VLOOKUP(EDATE(B242,-12),Database!$F:$AY,MATCH($I$1,Database!$F$1:$AY$1,),)))))/(((VLOOKUP(EDATE(B242,-12),Database!$F:$AY,MATCH($I$1,Database!$F$1:$AY$1,),))))</f>
        <v/>
      </c>
      <c r="J242" s="13">
        <f>((((VLOOKUP(B242,Database!$F:$AY,MATCH($J$1,Database!$F$1:$AY$1,),))))-(((VLOOKUP(EDATE(B242,-12),Database!$F:$AY,MATCH($J$1,Database!$F$1:$AY$1,),)))))/(((VLOOKUP(EDATE(B242,-12),Database!$F:$AY,MATCH($J$1,Database!$F$1:$AY$1,),))))</f>
        <v/>
      </c>
      <c r="K242" s="13">
        <f>((((VLOOKUP(B242,Database!$F:$AY,MATCH($K$1,Database!$F$1:$AY$1,),))))-(((VLOOKUP(EDATE(B242,-12),Database!$F:$AY,MATCH($K$1,Database!$F$1:$AY$1,),)))))/(((VLOOKUP(EDATE(B242,-12),Database!$F:$AY,MATCH($K$1,Database!$F$1:$AY$1,),))))</f>
        <v/>
      </c>
      <c r="L242" s="13">
        <f>((((VLOOKUP(B242,Database!$F:$AY,MATCH($L$1,Database!$F$1:$AY$1,),))))-(((VLOOKUP(EDATE(B242,-12),Database!$F:$AY,MATCH($L$1,Database!$F$1:$AY$1,),)))))/(((VLOOKUP(EDATE(B242,-12),Database!$F:$AY,MATCH($L$1,Database!$F$1:$AY$1,),))))</f>
        <v/>
      </c>
      <c r="M242" s="13">
        <f>((((VLOOKUP(B242,Database!$F:$AY,MATCH($M$1,Database!$F$1:$AY$1,),))))-(((VLOOKUP(EDATE(B242,-12),Database!$F:$AY,MATCH($M$1,Database!$F$1:$AY$1,),)))))/(((VLOOKUP(EDATE(B242,-12),Database!$F:$AY,MATCH($M$1,Database!$F$1:$AY$1,),))))</f>
        <v/>
      </c>
      <c r="N242" s="13">
        <f>((((VLOOKUP(B242,Database!$F:$AY,MATCH($N$1,Database!$F$1:$AY$1,),))))-(((VLOOKUP(EDATE(B242,-12),Database!$F:$AY,MATCH($N$1,Database!$F$1:$AY$1,),)))))/(((VLOOKUP(EDATE(B242,-12),Database!$F:$AY,MATCH($N$1,Database!$F$1:$AY$1,),))))</f>
        <v/>
      </c>
      <c r="O242" s="13">
        <f>((((VLOOKUP(B242,Database!$F:$AY,MATCH($O$1,Database!$F$1:$AY$1,),))))-(((VLOOKUP(EDATE(B242,-12),Database!$F:$AY,MATCH($O$1,Database!$F$1:$AY$1,),)))))/(((VLOOKUP(EDATE(B242,-12),Database!$F:$AY,MATCH($O$1,Database!$F$1:$AY$1,),))))</f>
        <v/>
      </c>
      <c r="P242" s="13">
        <f>((((VLOOKUP(B242,Database!$F:$AY,MATCH($P$1,Database!$F$1:$AY$1,),))))-(((VLOOKUP(EDATE(B242,-12),Database!$F:$AY,MATCH($P$1,Database!$F$1:$AY$1,),)))))/(((VLOOKUP(EDATE(B242,-12),Database!$F:$AY,MATCH($P$1,Database!$F$1:$AY$1,),))))</f>
        <v/>
      </c>
      <c r="Q242" s="13">
        <f>((((VLOOKUP(B242,Database!$F:$AY,MATCH($Q$1,Database!$F$1:$AY$1,),))))-(((VLOOKUP(EDATE(B242,-12),Database!$F:$AY,MATCH($Q$1,Database!$F$1:$AY$1,),)))))/(((VLOOKUP(EDATE(B242,-12),Database!$F:$AY,MATCH($Q$1,Database!$F$1:$AY$1,),))))</f>
        <v/>
      </c>
      <c r="R242" s="13">
        <f>((((VLOOKUP(B242,Database!$F:$AY,MATCH($R$1,Database!$F$1:$AY$1,),))))-(((VLOOKUP(EDATE(B242,-12),Database!$F:$AY,MATCH($R$1,Database!$F$1:$AY$1,),)))))/(((VLOOKUP(EDATE(B242,-12),Database!$F:$AY,MATCH($R$1,Database!$F$1:$AY$1,),))))</f>
        <v/>
      </c>
      <c r="S242" s="13">
        <f>((((VLOOKUP(B242,Database!$F:$AY,MATCH($S$1,Database!$F$1:$AY$1,),))))-(((VLOOKUP(EDATE(B242,-12),Database!$F:$AY,MATCH($S$1,Database!$F$1:$AY$1,),)))))/(((VLOOKUP(EDATE(B242,-12),Database!$F:$AY,MATCH($S$1,Database!$F$1:$AY$1,),))))</f>
        <v/>
      </c>
      <c r="T242" s="13">
        <f>((((VLOOKUP(B242,Database!$F:$AY,MATCH($T$1,Database!$F$1:$AY$1,),))))-(((VLOOKUP(EDATE(B242,-12),Database!$F:$AY,MATCH($T$1,Database!$F$1:$AY$1,),)))))/(((VLOOKUP(EDATE(B242,-12),Database!$F:$AY,MATCH($T$1,Database!$F$1:$AY$1,),))))</f>
        <v/>
      </c>
      <c r="U242" s="13">
        <f>((((VLOOKUP(B242,Database!$F:$AY,MATCH($U$1,Database!$F$1:$AY$1,),))))-(((VLOOKUP(EDATE(B242,-12),Database!$F:$AY,MATCH($U$1,Database!$F$1:$AY$1,),)))))/(((VLOOKUP(EDATE(B242,-12),Database!$F:$AY,MATCH($U$1,Database!$F$1:$AY$1,),))))</f>
        <v/>
      </c>
      <c r="V242" s="13">
        <f>((((VLOOKUP(B242,Database!$F:$AY,MATCH($V$1,Database!$F$1:$AY$1,),))))-(((VLOOKUP(EDATE(B242,-12),Database!$F:$AY,MATCH($V$1,Database!$F$1:$AY$1,),)))))/(((VLOOKUP(EDATE(B242,-12),Database!$F:$AY,MATCH($V$1,Database!$F$1:$AY$1,),))))</f>
        <v/>
      </c>
    </row>
    <row r="243" customFormat="1" s="100">
      <c r="A243" s="45" t="n"/>
      <c r="B243" s="46" t="n">
        <v>39539</v>
      </c>
      <c r="C243" s="13">
        <f>((((VLOOKUP(B243,Database!$F:$AY,MATCH($C$1,Database!$F$1:$AY$1,),))))-(((VLOOKUP(EDATE(B243,-12),Database!$F:$AY,MATCH($C$1,Database!$F$1:$AY$1,),)))))/(((VLOOKUP(EDATE(B243,-12),Database!$F:$AY,MATCH($C$1,Database!$F$1:$AY$1,),))))</f>
        <v/>
      </c>
      <c r="D243" s="13">
        <f>((((VLOOKUP(B243,Database!$F:$AY,MATCH($D$1,Database!$F$1:$AY$1,),))))-(((VLOOKUP(EDATE(B243,-12),Database!$F:$AY,MATCH($D$1,Database!$F$1:$AY$1,),)))))/(((VLOOKUP(EDATE(B243,-12),Database!$F:$AY,MATCH($D$1,Database!$F$1:$AY$1,),))))</f>
        <v/>
      </c>
      <c r="E243" s="13">
        <f>((((VLOOKUP(B243,Database!$F:$AY,MATCH($E$1,Database!$F$1:$AY$1,),))))-(((VLOOKUP(EDATE(B243,-12),Database!$F:$AY,MATCH($E$1,Database!$F$1:$AY$1,),)))))/(((VLOOKUP(EDATE(B243,-12),Database!$F:$AY,MATCH($E$1,Database!$F$1:$AY$1,),))))</f>
        <v/>
      </c>
      <c r="F243" s="13">
        <f>((((VLOOKUP(B243,Database!$F:$AY,MATCH($F$1,Database!$F$1:$AY$1,),))))-(((VLOOKUP(EDATE(B243,-12),Database!$F:$AY,MATCH($F$1,Database!$F$1:$AY$1,),)))))/(((VLOOKUP(EDATE(B243,-12),Database!$F:$AY,MATCH($F$1,Database!$F$1:$AY$1,),))))</f>
        <v/>
      </c>
      <c r="G243" s="13">
        <f>((((VLOOKUP(B243,Database!$F:$AY,MATCH($G$1,Database!$F$1:$AY$1,),))))-(((VLOOKUP(EDATE(B243,-12),Database!$F:$AY,MATCH($G$1,Database!$F$1:$AY$1,),)))))/(((VLOOKUP(EDATE(B243,-12),Database!$F:$AY,MATCH($G$1,Database!$F$1:$AY$1,),))))</f>
        <v/>
      </c>
      <c r="H243" s="13">
        <f>((((VLOOKUP(B243,Database!$F:$AY,MATCH($H$1,Database!$F$1:$AY$1,),))))-(((VLOOKUP(EDATE(B243,-12),Database!$F:$AY,MATCH($H$1,Database!$F$1:$AY$1,),)))))/(((VLOOKUP(EDATE(B243,-12),Database!$F:$AY,MATCH($H$1,Database!$F$1:$AY$1,),))))</f>
        <v/>
      </c>
      <c r="I243" s="13">
        <f>((((VLOOKUP(B243,Database!$F:$AY,MATCH($I$1,Database!$F$1:$AY$1,),))))-(((VLOOKUP(EDATE(B243,-12),Database!$F:$AY,MATCH($I$1,Database!$F$1:$AY$1,),)))))/(((VLOOKUP(EDATE(B243,-12),Database!$F:$AY,MATCH($I$1,Database!$F$1:$AY$1,),))))</f>
        <v/>
      </c>
      <c r="J243" s="13">
        <f>((((VLOOKUP(B243,Database!$F:$AY,MATCH($J$1,Database!$F$1:$AY$1,),))))-(((VLOOKUP(EDATE(B243,-12),Database!$F:$AY,MATCH($J$1,Database!$F$1:$AY$1,),)))))/(((VLOOKUP(EDATE(B243,-12),Database!$F:$AY,MATCH($J$1,Database!$F$1:$AY$1,),))))</f>
        <v/>
      </c>
      <c r="K243" s="13">
        <f>((((VLOOKUP(B243,Database!$F:$AY,MATCH($K$1,Database!$F$1:$AY$1,),))))-(((VLOOKUP(EDATE(B243,-12),Database!$F:$AY,MATCH($K$1,Database!$F$1:$AY$1,),)))))/(((VLOOKUP(EDATE(B243,-12),Database!$F:$AY,MATCH($K$1,Database!$F$1:$AY$1,),))))</f>
        <v/>
      </c>
      <c r="L243" s="13">
        <f>((((VLOOKUP(B243,Database!$F:$AY,MATCH($L$1,Database!$F$1:$AY$1,),))))-(((VLOOKUP(EDATE(B243,-12),Database!$F:$AY,MATCH($L$1,Database!$F$1:$AY$1,),)))))/(((VLOOKUP(EDATE(B243,-12),Database!$F:$AY,MATCH($L$1,Database!$F$1:$AY$1,),))))</f>
        <v/>
      </c>
      <c r="M243" s="13">
        <f>((((VLOOKUP(B243,Database!$F:$AY,MATCH($M$1,Database!$F$1:$AY$1,),))))-(((VLOOKUP(EDATE(B243,-12),Database!$F:$AY,MATCH($M$1,Database!$F$1:$AY$1,),)))))/(((VLOOKUP(EDATE(B243,-12),Database!$F:$AY,MATCH($M$1,Database!$F$1:$AY$1,),))))</f>
        <v/>
      </c>
      <c r="N243" s="13">
        <f>((((VLOOKUP(B243,Database!$F:$AY,MATCH($N$1,Database!$F$1:$AY$1,),))))-(((VLOOKUP(EDATE(B243,-12),Database!$F:$AY,MATCH($N$1,Database!$F$1:$AY$1,),)))))/(((VLOOKUP(EDATE(B243,-12),Database!$F:$AY,MATCH($N$1,Database!$F$1:$AY$1,),))))</f>
        <v/>
      </c>
      <c r="O243" s="13">
        <f>((((VLOOKUP(B243,Database!$F:$AY,MATCH($O$1,Database!$F$1:$AY$1,),))))-(((VLOOKUP(EDATE(B243,-12),Database!$F:$AY,MATCH($O$1,Database!$F$1:$AY$1,),)))))/(((VLOOKUP(EDATE(B243,-12),Database!$F:$AY,MATCH($O$1,Database!$F$1:$AY$1,),))))</f>
        <v/>
      </c>
      <c r="P243" s="13">
        <f>((((VLOOKUP(B243,Database!$F:$AY,MATCH($P$1,Database!$F$1:$AY$1,),))))-(((VLOOKUP(EDATE(B243,-12),Database!$F:$AY,MATCH($P$1,Database!$F$1:$AY$1,),)))))/(((VLOOKUP(EDATE(B243,-12),Database!$F:$AY,MATCH($P$1,Database!$F$1:$AY$1,),))))</f>
        <v/>
      </c>
      <c r="Q243" s="13">
        <f>((((VLOOKUP(B243,Database!$F:$AY,MATCH($Q$1,Database!$F$1:$AY$1,),))))-(((VLOOKUP(EDATE(B243,-12),Database!$F:$AY,MATCH($Q$1,Database!$F$1:$AY$1,),)))))/(((VLOOKUP(EDATE(B243,-12),Database!$F:$AY,MATCH($Q$1,Database!$F$1:$AY$1,),))))</f>
        <v/>
      </c>
      <c r="R243" s="13">
        <f>((((VLOOKUP(B243,Database!$F:$AY,MATCH($R$1,Database!$F$1:$AY$1,),))))-(((VLOOKUP(EDATE(B243,-12),Database!$F:$AY,MATCH($R$1,Database!$F$1:$AY$1,),)))))/(((VLOOKUP(EDATE(B243,-12),Database!$F:$AY,MATCH($R$1,Database!$F$1:$AY$1,),))))</f>
        <v/>
      </c>
      <c r="S243" s="13">
        <f>((((VLOOKUP(B243,Database!$F:$AY,MATCH($S$1,Database!$F$1:$AY$1,),))))-(((VLOOKUP(EDATE(B243,-12),Database!$F:$AY,MATCH($S$1,Database!$F$1:$AY$1,),)))))/(((VLOOKUP(EDATE(B243,-12),Database!$F:$AY,MATCH($S$1,Database!$F$1:$AY$1,),))))</f>
        <v/>
      </c>
      <c r="T243" s="13">
        <f>((((VLOOKUP(B243,Database!$F:$AY,MATCH($T$1,Database!$F$1:$AY$1,),))))-(((VLOOKUP(EDATE(B243,-12),Database!$F:$AY,MATCH($T$1,Database!$F$1:$AY$1,),)))))/(((VLOOKUP(EDATE(B243,-12),Database!$F:$AY,MATCH($T$1,Database!$F$1:$AY$1,),))))</f>
        <v/>
      </c>
      <c r="U243" s="13">
        <f>((((VLOOKUP(B243,Database!$F:$AY,MATCH($U$1,Database!$F$1:$AY$1,),))))-(((VLOOKUP(EDATE(B243,-12),Database!$F:$AY,MATCH($U$1,Database!$F$1:$AY$1,),)))))/(((VLOOKUP(EDATE(B243,-12),Database!$F:$AY,MATCH($U$1,Database!$F$1:$AY$1,),))))</f>
        <v/>
      </c>
      <c r="V243" s="13">
        <f>((((VLOOKUP(B243,Database!$F:$AY,MATCH($V$1,Database!$F$1:$AY$1,),))))-(((VLOOKUP(EDATE(B243,-12),Database!$F:$AY,MATCH($V$1,Database!$F$1:$AY$1,),)))))/(((VLOOKUP(EDATE(B243,-12),Database!$F:$AY,MATCH($V$1,Database!$F$1:$AY$1,),))))</f>
        <v/>
      </c>
    </row>
    <row r="244" customFormat="1" s="100">
      <c r="A244" s="45" t="n"/>
      <c r="B244" s="46" t="n">
        <v>39569</v>
      </c>
      <c r="C244" s="13">
        <f>((((VLOOKUP(B244,Database!$F:$AY,MATCH($C$1,Database!$F$1:$AY$1,),))))-(((VLOOKUP(EDATE(B244,-12),Database!$F:$AY,MATCH($C$1,Database!$F$1:$AY$1,),)))))/(((VLOOKUP(EDATE(B244,-12),Database!$F:$AY,MATCH($C$1,Database!$F$1:$AY$1,),))))</f>
        <v/>
      </c>
      <c r="D244" s="13">
        <f>((((VLOOKUP(B244,Database!$F:$AY,MATCH($D$1,Database!$F$1:$AY$1,),))))-(((VLOOKUP(EDATE(B244,-12),Database!$F:$AY,MATCH($D$1,Database!$F$1:$AY$1,),)))))/(((VLOOKUP(EDATE(B244,-12),Database!$F:$AY,MATCH($D$1,Database!$F$1:$AY$1,),))))</f>
        <v/>
      </c>
      <c r="E244" s="13">
        <f>((((VLOOKUP(B244,Database!$F:$AY,MATCH($E$1,Database!$F$1:$AY$1,),))))-(((VLOOKUP(EDATE(B244,-12),Database!$F:$AY,MATCH($E$1,Database!$F$1:$AY$1,),)))))/(((VLOOKUP(EDATE(B244,-12),Database!$F:$AY,MATCH($E$1,Database!$F$1:$AY$1,),))))</f>
        <v/>
      </c>
      <c r="F244" s="13">
        <f>((((VLOOKUP(B244,Database!$F:$AY,MATCH($F$1,Database!$F$1:$AY$1,),))))-(((VLOOKUP(EDATE(B244,-12),Database!$F:$AY,MATCH($F$1,Database!$F$1:$AY$1,),)))))/(((VLOOKUP(EDATE(B244,-12),Database!$F:$AY,MATCH($F$1,Database!$F$1:$AY$1,),))))</f>
        <v/>
      </c>
      <c r="G244" s="13">
        <f>((((VLOOKUP(B244,Database!$F:$AY,MATCH($G$1,Database!$F$1:$AY$1,),))))-(((VLOOKUP(EDATE(B244,-12),Database!$F:$AY,MATCH($G$1,Database!$F$1:$AY$1,),)))))/(((VLOOKUP(EDATE(B244,-12),Database!$F:$AY,MATCH($G$1,Database!$F$1:$AY$1,),))))</f>
        <v/>
      </c>
      <c r="H244" s="13">
        <f>((((VLOOKUP(B244,Database!$F:$AY,MATCH($H$1,Database!$F$1:$AY$1,),))))-(((VLOOKUP(EDATE(B244,-12),Database!$F:$AY,MATCH($H$1,Database!$F$1:$AY$1,),)))))/(((VLOOKUP(EDATE(B244,-12),Database!$F:$AY,MATCH($H$1,Database!$F$1:$AY$1,),))))</f>
        <v/>
      </c>
      <c r="I244" s="13">
        <f>((((VLOOKUP(B244,Database!$F:$AY,MATCH($I$1,Database!$F$1:$AY$1,),))))-(((VLOOKUP(EDATE(B244,-12),Database!$F:$AY,MATCH($I$1,Database!$F$1:$AY$1,),)))))/(((VLOOKUP(EDATE(B244,-12),Database!$F:$AY,MATCH($I$1,Database!$F$1:$AY$1,),))))</f>
        <v/>
      </c>
      <c r="J244" s="13">
        <f>((((VLOOKUP(B244,Database!$F:$AY,MATCH($J$1,Database!$F$1:$AY$1,),))))-(((VLOOKUP(EDATE(B244,-12),Database!$F:$AY,MATCH($J$1,Database!$F$1:$AY$1,),)))))/(((VLOOKUP(EDATE(B244,-12),Database!$F:$AY,MATCH($J$1,Database!$F$1:$AY$1,),))))</f>
        <v/>
      </c>
      <c r="K244" s="13">
        <f>((((VLOOKUP(B244,Database!$F:$AY,MATCH($K$1,Database!$F$1:$AY$1,),))))-(((VLOOKUP(EDATE(B244,-12),Database!$F:$AY,MATCH($K$1,Database!$F$1:$AY$1,),)))))/(((VLOOKUP(EDATE(B244,-12),Database!$F:$AY,MATCH($K$1,Database!$F$1:$AY$1,),))))</f>
        <v/>
      </c>
      <c r="L244" s="13">
        <f>((((VLOOKUP(B244,Database!$F:$AY,MATCH($L$1,Database!$F$1:$AY$1,),))))-(((VLOOKUP(EDATE(B244,-12),Database!$F:$AY,MATCH($L$1,Database!$F$1:$AY$1,),)))))/(((VLOOKUP(EDATE(B244,-12),Database!$F:$AY,MATCH($L$1,Database!$F$1:$AY$1,),))))</f>
        <v/>
      </c>
      <c r="M244" s="13">
        <f>((((VLOOKUP(B244,Database!$F:$AY,MATCH($M$1,Database!$F$1:$AY$1,),))))-(((VLOOKUP(EDATE(B244,-12),Database!$F:$AY,MATCH($M$1,Database!$F$1:$AY$1,),)))))/(((VLOOKUP(EDATE(B244,-12),Database!$F:$AY,MATCH($M$1,Database!$F$1:$AY$1,),))))</f>
        <v/>
      </c>
      <c r="N244" s="13">
        <f>((((VLOOKUP(B244,Database!$F:$AY,MATCH($N$1,Database!$F$1:$AY$1,),))))-(((VLOOKUP(EDATE(B244,-12),Database!$F:$AY,MATCH($N$1,Database!$F$1:$AY$1,),)))))/(((VLOOKUP(EDATE(B244,-12),Database!$F:$AY,MATCH($N$1,Database!$F$1:$AY$1,),))))</f>
        <v/>
      </c>
      <c r="O244" s="13">
        <f>((((VLOOKUP(B244,Database!$F:$AY,MATCH($O$1,Database!$F$1:$AY$1,),))))-(((VLOOKUP(EDATE(B244,-12),Database!$F:$AY,MATCH($O$1,Database!$F$1:$AY$1,),)))))/(((VLOOKUP(EDATE(B244,-12),Database!$F:$AY,MATCH($O$1,Database!$F$1:$AY$1,),))))</f>
        <v/>
      </c>
      <c r="P244" s="13">
        <f>((((VLOOKUP(B244,Database!$F:$AY,MATCH($P$1,Database!$F$1:$AY$1,),))))-(((VLOOKUP(EDATE(B244,-12),Database!$F:$AY,MATCH($P$1,Database!$F$1:$AY$1,),)))))/(((VLOOKUP(EDATE(B244,-12),Database!$F:$AY,MATCH($P$1,Database!$F$1:$AY$1,),))))</f>
        <v/>
      </c>
      <c r="Q244" s="13">
        <f>((((VLOOKUP(B244,Database!$F:$AY,MATCH($Q$1,Database!$F$1:$AY$1,),))))-(((VLOOKUP(EDATE(B244,-12),Database!$F:$AY,MATCH($Q$1,Database!$F$1:$AY$1,),)))))/(((VLOOKUP(EDATE(B244,-12),Database!$F:$AY,MATCH($Q$1,Database!$F$1:$AY$1,),))))</f>
        <v/>
      </c>
      <c r="R244" s="13">
        <f>((((VLOOKUP(B244,Database!$F:$AY,MATCH($R$1,Database!$F$1:$AY$1,),))))-(((VLOOKUP(EDATE(B244,-12),Database!$F:$AY,MATCH($R$1,Database!$F$1:$AY$1,),)))))/(((VLOOKUP(EDATE(B244,-12),Database!$F:$AY,MATCH($R$1,Database!$F$1:$AY$1,),))))</f>
        <v/>
      </c>
      <c r="S244" s="13">
        <f>((((VLOOKUP(B244,Database!$F:$AY,MATCH($S$1,Database!$F$1:$AY$1,),))))-(((VLOOKUP(EDATE(B244,-12),Database!$F:$AY,MATCH($S$1,Database!$F$1:$AY$1,),)))))/(((VLOOKUP(EDATE(B244,-12),Database!$F:$AY,MATCH($S$1,Database!$F$1:$AY$1,),))))</f>
        <v/>
      </c>
      <c r="T244" s="13">
        <f>((((VLOOKUP(B244,Database!$F:$AY,MATCH($T$1,Database!$F$1:$AY$1,),))))-(((VLOOKUP(EDATE(B244,-12),Database!$F:$AY,MATCH($T$1,Database!$F$1:$AY$1,),)))))/(((VLOOKUP(EDATE(B244,-12),Database!$F:$AY,MATCH($T$1,Database!$F$1:$AY$1,),))))</f>
        <v/>
      </c>
      <c r="U244" s="13">
        <f>((((VLOOKUP(B244,Database!$F:$AY,MATCH($U$1,Database!$F$1:$AY$1,),))))-(((VLOOKUP(EDATE(B244,-12),Database!$F:$AY,MATCH($U$1,Database!$F$1:$AY$1,),)))))/(((VLOOKUP(EDATE(B244,-12),Database!$F:$AY,MATCH($U$1,Database!$F$1:$AY$1,),))))</f>
        <v/>
      </c>
      <c r="V244" s="13">
        <f>((((VLOOKUP(B244,Database!$F:$AY,MATCH($V$1,Database!$F$1:$AY$1,),))))-(((VLOOKUP(EDATE(B244,-12),Database!$F:$AY,MATCH($V$1,Database!$F$1:$AY$1,),)))))/(((VLOOKUP(EDATE(B244,-12),Database!$F:$AY,MATCH($V$1,Database!$F$1:$AY$1,),))))</f>
        <v/>
      </c>
    </row>
    <row r="245" customFormat="1" s="100">
      <c r="A245" s="45" t="n"/>
      <c r="B245" s="46" t="n">
        <v>39600</v>
      </c>
      <c r="C245" s="13">
        <f>((((VLOOKUP(B245,Database!$F:$AY,MATCH($C$1,Database!$F$1:$AY$1,),))))-(((VLOOKUP(EDATE(B245,-12),Database!$F:$AY,MATCH($C$1,Database!$F$1:$AY$1,),)))))/(((VLOOKUP(EDATE(B245,-12),Database!$F:$AY,MATCH($C$1,Database!$F$1:$AY$1,),))))</f>
        <v/>
      </c>
      <c r="D245" s="13">
        <f>((((VLOOKUP(B245,Database!$F:$AY,MATCH($D$1,Database!$F$1:$AY$1,),))))-(((VLOOKUP(EDATE(B245,-12),Database!$F:$AY,MATCH($D$1,Database!$F$1:$AY$1,),)))))/(((VLOOKUP(EDATE(B245,-12),Database!$F:$AY,MATCH($D$1,Database!$F$1:$AY$1,),))))</f>
        <v/>
      </c>
      <c r="E245" s="13">
        <f>((((VLOOKUP(B245,Database!$F:$AY,MATCH($E$1,Database!$F$1:$AY$1,),))))-(((VLOOKUP(EDATE(B245,-12),Database!$F:$AY,MATCH($E$1,Database!$F$1:$AY$1,),)))))/(((VLOOKUP(EDATE(B245,-12),Database!$F:$AY,MATCH($E$1,Database!$F$1:$AY$1,),))))</f>
        <v/>
      </c>
      <c r="F245" s="13">
        <f>((((VLOOKUP(B245,Database!$F:$AY,MATCH($F$1,Database!$F$1:$AY$1,),))))-(((VLOOKUP(EDATE(B245,-12),Database!$F:$AY,MATCH($F$1,Database!$F$1:$AY$1,),)))))/(((VLOOKUP(EDATE(B245,-12),Database!$F:$AY,MATCH($F$1,Database!$F$1:$AY$1,),))))</f>
        <v/>
      </c>
      <c r="G245" s="13">
        <f>((((VLOOKUP(B245,Database!$F:$AY,MATCH($G$1,Database!$F$1:$AY$1,),))))-(((VLOOKUP(EDATE(B245,-12),Database!$F:$AY,MATCH($G$1,Database!$F$1:$AY$1,),)))))/(((VLOOKUP(EDATE(B245,-12),Database!$F:$AY,MATCH($G$1,Database!$F$1:$AY$1,),))))</f>
        <v/>
      </c>
      <c r="H245" s="13">
        <f>((((VLOOKUP(B245,Database!$F:$AY,MATCH($H$1,Database!$F$1:$AY$1,),))))-(((VLOOKUP(EDATE(B245,-12),Database!$F:$AY,MATCH($H$1,Database!$F$1:$AY$1,),)))))/(((VLOOKUP(EDATE(B245,-12),Database!$F:$AY,MATCH($H$1,Database!$F$1:$AY$1,),))))</f>
        <v/>
      </c>
      <c r="I245" s="13">
        <f>((((VLOOKUP(B245,Database!$F:$AY,MATCH($I$1,Database!$F$1:$AY$1,),))))-(((VLOOKUP(EDATE(B245,-12),Database!$F:$AY,MATCH($I$1,Database!$F$1:$AY$1,),)))))/(((VLOOKUP(EDATE(B245,-12),Database!$F:$AY,MATCH($I$1,Database!$F$1:$AY$1,),))))</f>
        <v/>
      </c>
      <c r="J245" s="13">
        <f>((((VLOOKUP(B245,Database!$F:$AY,MATCH($J$1,Database!$F$1:$AY$1,),))))-(((VLOOKUP(EDATE(B245,-12),Database!$F:$AY,MATCH($J$1,Database!$F$1:$AY$1,),)))))/(((VLOOKUP(EDATE(B245,-12),Database!$F:$AY,MATCH($J$1,Database!$F$1:$AY$1,),))))</f>
        <v/>
      </c>
      <c r="K245" s="13">
        <f>((((VLOOKUP(B245,Database!$F:$AY,MATCH($K$1,Database!$F$1:$AY$1,),))))-(((VLOOKUP(EDATE(B245,-12),Database!$F:$AY,MATCH($K$1,Database!$F$1:$AY$1,),)))))/(((VLOOKUP(EDATE(B245,-12),Database!$F:$AY,MATCH($K$1,Database!$F$1:$AY$1,),))))</f>
        <v/>
      </c>
      <c r="L245" s="13">
        <f>((((VLOOKUP(B245,Database!$F:$AY,MATCH($L$1,Database!$F$1:$AY$1,),))))-(((VLOOKUP(EDATE(B245,-12),Database!$F:$AY,MATCH($L$1,Database!$F$1:$AY$1,),)))))/(((VLOOKUP(EDATE(B245,-12),Database!$F:$AY,MATCH($L$1,Database!$F$1:$AY$1,),))))</f>
        <v/>
      </c>
      <c r="M245" s="13">
        <f>((((VLOOKUP(B245,Database!$F:$AY,MATCH($M$1,Database!$F$1:$AY$1,),))))-(((VLOOKUP(EDATE(B245,-12),Database!$F:$AY,MATCH($M$1,Database!$F$1:$AY$1,),)))))/(((VLOOKUP(EDATE(B245,-12),Database!$F:$AY,MATCH($M$1,Database!$F$1:$AY$1,),))))</f>
        <v/>
      </c>
      <c r="N245" s="13">
        <f>((((VLOOKUP(B245,Database!$F:$AY,MATCH($N$1,Database!$F$1:$AY$1,),))))-(((VLOOKUP(EDATE(B245,-12),Database!$F:$AY,MATCH($N$1,Database!$F$1:$AY$1,),)))))/(((VLOOKUP(EDATE(B245,-12),Database!$F:$AY,MATCH($N$1,Database!$F$1:$AY$1,),))))</f>
        <v/>
      </c>
      <c r="O245" s="13">
        <f>((((VLOOKUP(B245,Database!$F:$AY,MATCH($O$1,Database!$F$1:$AY$1,),))))-(((VLOOKUP(EDATE(B245,-12),Database!$F:$AY,MATCH($O$1,Database!$F$1:$AY$1,),)))))/(((VLOOKUP(EDATE(B245,-12),Database!$F:$AY,MATCH($O$1,Database!$F$1:$AY$1,),))))</f>
        <v/>
      </c>
      <c r="P245" s="13">
        <f>((((VLOOKUP(B245,Database!$F:$AY,MATCH($P$1,Database!$F$1:$AY$1,),))))-(((VLOOKUP(EDATE(B245,-12),Database!$F:$AY,MATCH($P$1,Database!$F$1:$AY$1,),)))))/(((VLOOKUP(EDATE(B245,-12),Database!$F:$AY,MATCH($P$1,Database!$F$1:$AY$1,),))))</f>
        <v/>
      </c>
      <c r="Q245" s="13">
        <f>((((VLOOKUP(B245,Database!$F:$AY,MATCH($Q$1,Database!$F$1:$AY$1,),))))-(((VLOOKUP(EDATE(B245,-12),Database!$F:$AY,MATCH($Q$1,Database!$F$1:$AY$1,),)))))/(((VLOOKUP(EDATE(B245,-12),Database!$F:$AY,MATCH($Q$1,Database!$F$1:$AY$1,),))))</f>
        <v/>
      </c>
      <c r="R245" s="13">
        <f>((((VLOOKUP(B245,Database!$F:$AY,MATCH($R$1,Database!$F$1:$AY$1,),))))-(((VLOOKUP(EDATE(B245,-12),Database!$F:$AY,MATCH($R$1,Database!$F$1:$AY$1,),)))))/(((VLOOKUP(EDATE(B245,-12),Database!$F:$AY,MATCH($R$1,Database!$F$1:$AY$1,),))))</f>
        <v/>
      </c>
      <c r="S245" s="13">
        <f>((((VLOOKUP(B245,Database!$F:$AY,MATCH($S$1,Database!$F$1:$AY$1,),))))-(((VLOOKUP(EDATE(B245,-12),Database!$F:$AY,MATCH($S$1,Database!$F$1:$AY$1,),)))))/(((VLOOKUP(EDATE(B245,-12),Database!$F:$AY,MATCH($S$1,Database!$F$1:$AY$1,),))))</f>
        <v/>
      </c>
      <c r="T245" s="13">
        <f>((((VLOOKUP(B245,Database!$F:$AY,MATCH($T$1,Database!$F$1:$AY$1,),))))-(((VLOOKUP(EDATE(B245,-12),Database!$F:$AY,MATCH($T$1,Database!$F$1:$AY$1,),)))))/(((VLOOKUP(EDATE(B245,-12),Database!$F:$AY,MATCH($T$1,Database!$F$1:$AY$1,),))))</f>
        <v/>
      </c>
      <c r="U245" s="13">
        <f>((((VLOOKUP(B245,Database!$F:$AY,MATCH($U$1,Database!$F$1:$AY$1,),))))-(((VLOOKUP(EDATE(B245,-12),Database!$F:$AY,MATCH($U$1,Database!$F$1:$AY$1,),)))))/(((VLOOKUP(EDATE(B245,-12),Database!$F:$AY,MATCH($U$1,Database!$F$1:$AY$1,),))))</f>
        <v/>
      </c>
      <c r="V245" s="13">
        <f>((((VLOOKUP(B245,Database!$F:$AY,MATCH($V$1,Database!$F$1:$AY$1,),))))-(((VLOOKUP(EDATE(B245,-12),Database!$F:$AY,MATCH($V$1,Database!$F$1:$AY$1,),)))))/(((VLOOKUP(EDATE(B245,-12),Database!$F:$AY,MATCH($V$1,Database!$F$1:$AY$1,),))))</f>
        <v/>
      </c>
    </row>
    <row r="246" customFormat="1" s="100">
      <c r="A246" s="45" t="n"/>
      <c r="B246" s="46" t="n">
        <v>39630</v>
      </c>
      <c r="C246" s="13">
        <f>((((VLOOKUP(B246,Database!$F:$AY,MATCH($C$1,Database!$F$1:$AY$1,),))))-(((VLOOKUP(EDATE(B246,-12),Database!$F:$AY,MATCH($C$1,Database!$F$1:$AY$1,),)))))/(((VLOOKUP(EDATE(B246,-12),Database!$F:$AY,MATCH($C$1,Database!$F$1:$AY$1,),))))</f>
        <v/>
      </c>
      <c r="D246" s="13">
        <f>((((VLOOKUP(B246,Database!$F:$AY,MATCH($D$1,Database!$F$1:$AY$1,),))))-(((VLOOKUP(EDATE(B246,-12),Database!$F:$AY,MATCH($D$1,Database!$F$1:$AY$1,),)))))/(((VLOOKUP(EDATE(B246,-12),Database!$F:$AY,MATCH($D$1,Database!$F$1:$AY$1,),))))</f>
        <v/>
      </c>
      <c r="E246" s="13">
        <f>((((VLOOKUP(B246,Database!$F:$AY,MATCH($E$1,Database!$F$1:$AY$1,),))))-(((VLOOKUP(EDATE(B246,-12),Database!$F:$AY,MATCH($E$1,Database!$F$1:$AY$1,),)))))/(((VLOOKUP(EDATE(B246,-12),Database!$F:$AY,MATCH($E$1,Database!$F$1:$AY$1,),))))</f>
        <v/>
      </c>
      <c r="F246" s="13">
        <f>((((VLOOKUP(B246,Database!$F:$AY,MATCH($F$1,Database!$F$1:$AY$1,),))))-(((VLOOKUP(EDATE(B246,-12),Database!$F:$AY,MATCH($F$1,Database!$F$1:$AY$1,),)))))/(((VLOOKUP(EDATE(B246,-12),Database!$F:$AY,MATCH($F$1,Database!$F$1:$AY$1,),))))</f>
        <v/>
      </c>
      <c r="G246" s="13">
        <f>((((VLOOKUP(B246,Database!$F:$AY,MATCH($G$1,Database!$F$1:$AY$1,),))))-(((VLOOKUP(EDATE(B246,-12),Database!$F:$AY,MATCH($G$1,Database!$F$1:$AY$1,),)))))/(((VLOOKUP(EDATE(B246,-12),Database!$F:$AY,MATCH($G$1,Database!$F$1:$AY$1,),))))</f>
        <v/>
      </c>
      <c r="H246" s="13">
        <f>((((VLOOKUP(B246,Database!$F:$AY,MATCH($H$1,Database!$F$1:$AY$1,),))))-(((VLOOKUP(EDATE(B246,-12),Database!$F:$AY,MATCH($H$1,Database!$F$1:$AY$1,),)))))/(((VLOOKUP(EDATE(B246,-12),Database!$F:$AY,MATCH($H$1,Database!$F$1:$AY$1,),))))</f>
        <v/>
      </c>
      <c r="I246" s="13">
        <f>((((VLOOKUP(B246,Database!$F:$AY,MATCH($I$1,Database!$F$1:$AY$1,),))))-(((VLOOKUP(EDATE(B246,-12),Database!$F:$AY,MATCH($I$1,Database!$F$1:$AY$1,),)))))/(((VLOOKUP(EDATE(B246,-12),Database!$F:$AY,MATCH($I$1,Database!$F$1:$AY$1,),))))</f>
        <v/>
      </c>
      <c r="J246" s="13">
        <f>((((VLOOKUP(B246,Database!$F:$AY,MATCH($J$1,Database!$F$1:$AY$1,),))))-(((VLOOKUP(EDATE(B246,-12),Database!$F:$AY,MATCH($J$1,Database!$F$1:$AY$1,),)))))/(((VLOOKUP(EDATE(B246,-12),Database!$F:$AY,MATCH($J$1,Database!$F$1:$AY$1,),))))</f>
        <v/>
      </c>
      <c r="K246" s="13">
        <f>((((VLOOKUP(B246,Database!$F:$AY,MATCH($K$1,Database!$F$1:$AY$1,),))))-(((VLOOKUP(EDATE(B246,-12),Database!$F:$AY,MATCH($K$1,Database!$F$1:$AY$1,),)))))/(((VLOOKUP(EDATE(B246,-12),Database!$F:$AY,MATCH($K$1,Database!$F$1:$AY$1,),))))</f>
        <v/>
      </c>
      <c r="L246" s="13">
        <f>((((VLOOKUP(B246,Database!$F:$AY,MATCH($L$1,Database!$F$1:$AY$1,),))))-(((VLOOKUP(EDATE(B246,-12),Database!$F:$AY,MATCH($L$1,Database!$F$1:$AY$1,),)))))/(((VLOOKUP(EDATE(B246,-12),Database!$F:$AY,MATCH($L$1,Database!$F$1:$AY$1,),))))</f>
        <v/>
      </c>
      <c r="M246" s="13">
        <f>((((VLOOKUP(B246,Database!$F:$AY,MATCH($M$1,Database!$F$1:$AY$1,),))))-(((VLOOKUP(EDATE(B246,-12),Database!$F:$AY,MATCH($M$1,Database!$F$1:$AY$1,),)))))/(((VLOOKUP(EDATE(B246,-12),Database!$F:$AY,MATCH($M$1,Database!$F$1:$AY$1,),))))</f>
        <v/>
      </c>
      <c r="N246" s="13">
        <f>((((VLOOKUP(B246,Database!$F:$AY,MATCH($N$1,Database!$F$1:$AY$1,),))))-(((VLOOKUP(EDATE(B246,-12),Database!$F:$AY,MATCH($N$1,Database!$F$1:$AY$1,),)))))/(((VLOOKUP(EDATE(B246,-12),Database!$F:$AY,MATCH($N$1,Database!$F$1:$AY$1,),))))</f>
        <v/>
      </c>
      <c r="O246" s="13">
        <f>((((VLOOKUP(B246,Database!$F:$AY,MATCH($O$1,Database!$F$1:$AY$1,),))))-(((VLOOKUP(EDATE(B246,-12),Database!$F:$AY,MATCH($O$1,Database!$F$1:$AY$1,),)))))/(((VLOOKUP(EDATE(B246,-12),Database!$F:$AY,MATCH($O$1,Database!$F$1:$AY$1,),))))</f>
        <v/>
      </c>
      <c r="P246" s="13">
        <f>((((VLOOKUP(B246,Database!$F:$AY,MATCH($P$1,Database!$F$1:$AY$1,),))))-(((VLOOKUP(EDATE(B246,-12),Database!$F:$AY,MATCH($P$1,Database!$F$1:$AY$1,),)))))/(((VLOOKUP(EDATE(B246,-12),Database!$F:$AY,MATCH($P$1,Database!$F$1:$AY$1,),))))</f>
        <v/>
      </c>
      <c r="Q246" s="13">
        <f>((((VLOOKUP(B246,Database!$F:$AY,MATCH($Q$1,Database!$F$1:$AY$1,),))))-(((VLOOKUP(EDATE(B246,-12),Database!$F:$AY,MATCH($Q$1,Database!$F$1:$AY$1,),)))))/(((VLOOKUP(EDATE(B246,-12),Database!$F:$AY,MATCH($Q$1,Database!$F$1:$AY$1,),))))</f>
        <v/>
      </c>
      <c r="R246" s="13">
        <f>((((VLOOKUP(B246,Database!$F:$AY,MATCH($R$1,Database!$F$1:$AY$1,),))))-(((VLOOKUP(EDATE(B246,-12),Database!$F:$AY,MATCH($R$1,Database!$F$1:$AY$1,),)))))/(((VLOOKUP(EDATE(B246,-12),Database!$F:$AY,MATCH($R$1,Database!$F$1:$AY$1,),))))</f>
        <v/>
      </c>
      <c r="S246" s="13">
        <f>((((VLOOKUP(B246,Database!$F:$AY,MATCH($S$1,Database!$F$1:$AY$1,),))))-(((VLOOKUP(EDATE(B246,-12),Database!$F:$AY,MATCH($S$1,Database!$F$1:$AY$1,),)))))/(((VLOOKUP(EDATE(B246,-12),Database!$F:$AY,MATCH($S$1,Database!$F$1:$AY$1,),))))</f>
        <v/>
      </c>
      <c r="T246" s="13">
        <f>((((VLOOKUP(B246,Database!$F:$AY,MATCH($T$1,Database!$F$1:$AY$1,),))))-(((VLOOKUP(EDATE(B246,-12),Database!$F:$AY,MATCH($T$1,Database!$F$1:$AY$1,),)))))/(((VLOOKUP(EDATE(B246,-12),Database!$F:$AY,MATCH($T$1,Database!$F$1:$AY$1,),))))</f>
        <v/>
      </c>
      <c r="U246" s="13">
        <f>((((VLOOKUP(B246,Database!$F:$AY,MATCH($U$1,Database!$F$1:$AY$1,),))))-(((VLOOKUP(EDATE(B246,-12),Database!$F:$AY,MATCH($U$1,Database!$F$1:$AY$1,),)))))/(((VLOOKUP(EDATE(B246,-12),Database!$F:$AY,MATCH($U$1,Database!$F$1:$AY$1,),))))</f>
        <v/>
      </c>
      <c r="V246" s="13">
        <f>((((VLOOKUP(B246,Database!$F:$AY,MATCH($V$1,Database!$F$1:$AY$1,),))))-(((VLOOKUP(EDATE(B246,-12),Database!$F:$AY,MATCH($V$1,Database!$F$1:$AY$1,),)))))/(((VLOOKUP(EDATE(B246,-12),Database!$F:$AY,MATCH($V$1,Database!$F$1:$AY$1,),))))</f>
        <v/>
      </c>
    </row>
    <row r="247" customFormat="1" s="100">
      <c r="A247" s="45" t="n"/>
      <c r="B247" s="46" t="n">
        <v>39661</v>
      </c>
      <c r="C247" s="13">
        <f>((((VLOOKUP(B247,Database!$F:$AY,MATCH($C$1,Database!$F$1:$AY$1,),))))-(((VLOOKUP(EDATE(B247,-12),Database!$F:$AY,MATCH($C$1,Database!$F$1:$AY$1,),)))))/(((VLOOKUP(EDATE(B247,-12),Database!$F:$AY,MATCH($C$1,Database!$F$1:$AY$1,),))))</f>
        <v/>
      </c>
      <c r="D247" s="13">
        <f>((((VLOOKUP(B247,Database!$F:$AY,MATCH($D$1,Database!$F$1:$AY$1,),))))-(((VLOOKUP(EDATE(B247,-12),Database!$F:$AY,MATCH($D$1,Database!$F$1:$AY$1,),)))))/(((VLOOKUP(EDATE(B247,-12),Database!$F:$AY,MATCH($D$1,Database!$F$1:$AY$1,),))))</f>
        <v/>
      </c>
      <c r="E247" s="13">
        <f>((((VLOOKUP(B247,Database!$F:$AY,MATCH($E$1,Database!$F$1:$AY$1,),))))-(((VLOOKUP(EDATE(B247,-12),Database!$F:$AY,MATCH($E$1,Database!$F$1:$AY$1,),)))))/(((VLOOKUP(EDATE(B247,-12),Database!$F:$AY,MATCH($E$1,Database!$F$1:$AY$1,),))))</f>
        <v/>
      </c>
      <c r="F247" s="13">
        <f>((((VLOOKUP(B247,Database!$F:$AY,MATCH($F$1,Database!$F$1:$AY$1,),))))-(((VLOOKUP(EDATE(B247,-12),Database!$F:$AY,MATCH($F$1,Database!$F$1:$AY$1,),)))))/(((VLOOKUP(EDATE(B247,-12),Database!$F:$AY,MATCH($F$1,Database!$F$1:$AY$1,),))))</f>
        <v/>
      </c>
      <c r="G247" s="13">
        <f>((((VLOOKUP(B247,Database!$F:$AY,MATCH($G$1,Database!$F$1:$AY$1,),))))-(((VLOOKUP(EDATE(B247,-12),Database!$F:$AY,MATCH($G$1,Database!$F$1:$AY$1,),)))))/(((VLOOKUP(EDATE(B247,-12),Database!$F:$AY,MATCH($G$1,Database!$F$1:$AY$1,),))))</f>
        <v/>
      </c>
      <c r="H247" s="13">
        <f>((((VLOOKUP(B247,Database!$F:$AY,MATCH($H$1,Database!$F$1:$AY$1,),))))-(((VLOOKUP(EDATE(B247,-12),Database!$F:$AY,MATCH($H$1,Database!$F$1:$AY$1,),)))))/(((VLOOKUP(EDATE(B247,-12),Database!$F:$AY,MATCH($H$1,Database!$F$1:$AY$1,),))))</f>
        <v/>
      </c>
      <c r="I247" s="13">
        <f>((((VLOOKUP(B247,Database!$F:$AY,MATCH($I$1,Database!$F$1:$AY$1,),))))-(((VLOOKUP(EDATE(B247,-12),Database!$F:$AY,MATCH($I$1,Database!$F$1:$AY$1,),)))))/(((VLOOKUP(EDATE(B247,-12),Database!$F:$AY,MATCH($I$1,Database!$F$1:$AY$1,),))))</f>
        <v/>
      </c>
      <c r="J247" s="13">
        <f>((((VLOOKUP(B247,Database!$F:$AY,MATCH($J$1,Database!$F$1:$AY$1,),))))-(((VLOOKUP(EDATE(B247,-12),Database!$F:$AY,MATCH($J$1,Database!$F$1:$AY$1,),)))))/(((VLOOKUP(EDATE(B247,-12),Database!$F:$AY,MATCH($J$1,Database!$F$1:$AY$1,),))))</f>
        <v/>
      </c>
      <c r="K247" s="13">
        <f>((((VLOOKUP(B247,Database!$F:$AY,MATCH($K$1,Database!$F$1:$AY$1,),))))-(((VLOOKUP(EDATE(B247,-12),Database!$F:$AY,MATCH($K$1,Database!$F$1:$AY$1,),)))))/(((VLOOKUP(EDATE(B247,-12),Database!$F:$AY,MATCH($K$1,Database!$F$1:$AY$1,),))))</f>
        <v/>
      </c>
      <c r="L247" s="13">
        <f>((((VLOOKUP(B247,Database!$F:$AY,MATCH($L$1,Database!$F$1:$AY$1,),))))-(((VLOOKUP(EDATE(B247,-12),Database!$F:$AY,MATCH($L$1,Database!$F$1:$AY$1,),)))))/(((VLOOKUP(EDATE(B247,-12),Database!$F:$AY,MATCH($L$1,Database!$F$1:$AY$1,),))))</f>
        <v/>
      </c>
      <c r="M247" s="13">
        <f>((((VLOOKUP(B247,Database!$F:$AY,MATCH($M$1,Database!$F$1:$AY$1,),))))-(((VLOOKUP(EDATE(B247,-12),Database!$F:$AY,MATCH($M$1,Database!$F$1:$AY$1,),)))))/(((VLOOKUP(EDATE(B247,-12),Database!$F:$AY,MATCH($M$1,Database!$F$1:$AY$1,),))))</f>
        <v/>
      </c>
      <c r="N247" s="13">
        <f>((((VLOOKUP(B247,Database!$F:$AY,MATCH($N$1,Database!$F$1:$AY$1,),))))-(((VLOOKUP(EDATE(B247,-12),Database!$F:$AY,MATCH($N$1,Database!$F$1:$AY$1,),)))))/(((VLOOKUP(EDATE(B247,-12),Database!$F:$AY,MATCH($N$1,Database!$F$1:$AY$1,),))))</f>
        <v/>
      </c>
      <c r="O247" s="13">
        <f>((((VLOOKUP(B247,Database!$F:$AY,MATCH($O$1,Database!$F$1:$AY$1,),))))-(((VLOOKUP(EDATE(B247,-12),Database!$F:$AY,MATCH($O$1,Database!$F$1:$AY$1,),)))))/(((VLOOKUP(EDATE(B247,-12),Database!$F:$AY,MATCH($O$1,Database!$F$1:$AY$1,),))))</f>
        <v/>
      </c>
      <c r="P247" s="13">
        <f>((((VLOOKUP(B247,Database!$F:$AY,MATCH($P$1,Database!$F$1:$AY$1,),))))-(((VLOOKUP(EDATE(B247,-12),Database!$F:$AY,MATCH($P$1,Database!$F$1:$AY$1,),)))))/(((VLOOKUP(EDATE(B247,-12),Database!$F:$AY,MATCH($P$1,Database!$F$1:$AY$1,),))))</f>
        <v/>
      </c>
      <c r="Q247" s="13">
        <f>((((VLOOKUP(B247,Database!$F:$AY,MATCH($Q$1,Database!$F$1:$AY$1,),))))-(((VLOOKUP(EDATE(B247,-12),Database!$F:$AY,MATCH($Q$1,Database!$F$1:$AY$1,),)))))/(((VLOOKUP(EDATE(B247,-12),Database!$F:$AY,MATCH($Q$1,Database!$F$1:$AY$1,),))))</f>
        <v/>
      </c>
      <c r="R247" s="13">
        <f>((((VLOOKUP(B247,Database!$F:$AY,MATCH($R$1,Database!$F$1:$AY$1,),))))-(((VLOOKUP(EDATE(B247,-12),Database!$F:$AY,MATCH($R$1,Database!$F$1:$AY$1,),)))))/(((VLOOKUP(EDATE(B247,-12),Database!$F:$AY,MATCH($R$1,Database!$F$1:$AY$1,),))))</f>
        <v/>
      </c>
      <c r="S247" s="13">
        <f>((((VLOOKUP(B247,Database!$F:$AY,MATCH($S$1,Database!$F$1:$AY$1,),))))-(((VLOOKUP(EDATE(B247,-12),Database!$F:$AY,MATCH($S$1,Database!$F$1:$AY$1,),)))))/(((VLOOKUP(EDATE(B247,-12),Database!$F:$AY,MATCH($S$1,Database!$F$1:$AY$1,),))))</f>
        <v/>
      </c>
      <c r="T247" s="13">
        <f>((((VLOOKUP(B247,Database!$F:$AY,MATCH($T$1,Database!$F$1:$AY$1,),))))-(((VLOOKUP(EDATE(B247,-12),Database!$F:$AY,MATCH($T$1,Database!$F$1:$AY$1,),)))))/(((VLOOKUP(EDATE(B247,-12),Database!$F:$AY,MATCH($T$1,Database!$F$1:$AY$1,),))))</f>
        <v/>
      </c>
      <c r="U247" s="13">
        <f>((((VLOOKUP(B247,Database!$F:$AY,MATCH($U$1,Database!$F$1:$AY$1,),))))-(((VLOOKUP(EDATE(B247,-12),Database!$F:$AY,MATCH($U$1,Database!$F$1:$AY$1,),)))))/(((VLOOKUP(EDATE(B247,-12),Database!$F:$AY,MATCH($U$1,Database!$F$1:$AY$1,),))))</f>
        <v/>
      </c>
      <c r="V247" s="13">
        <f>((((VLOOKUP(B247,Database!$F:$AY,MATCH($V$1,Database!$F$1:$AY$1,),))))-(((VLOOKUP(EDATE(B247,-12),Database!$F:$AY,MATCH($V$1,Database!$F$1:$AY$1,),)))))/(((VLOOKUP(EDATE(B247,-12),Database!$F:$AY,MATCH($V$1,Database!$F$1:$AY$1,),))))</f>
        <v/>
      </c>
    </row>
    <row r="248" customFormat="1" s="100">
      <c r="A248" s="45" t="n"/>
      <c r="B248" s="46" t="n">
        <v>39692</v>
      </c>
      <c r="C248" s="13">
        <f>((((VLOOKUP(B248,Database!$F:$AY,MATCH($C$1,Database!$F$1:$AY$1,),))))-(((VLOOKUP(EDATE(B248,-12),Database!$F:$AY,MATCH($C$1,Database!$F$1:$AY$1,),)))))/(((VLOOKUP(EDATE(B248,-12),Database!$F:$AY,MATCH($C$1,Database!$F$1:$AY$1,),))))</f>
        <v/>
      </c>
      <c r="D248" s="13">
        <f>((((VLOOKUP(B248,Database!$F:$AY,MATCH($D$1,Database!$F$1:$AY$1,),))))-(((VLOOKUP(EDATE(B248,-12),Database!$F:$AY,MATCH($D$1,Database!$F$1:$AY$1,),)))))/(((VLOOKUP(EDATE(B248,-12),Database!$F:$AY,MATCH($D$1,Database!$F$1:$AY$1,),))))</f>
        <v/>
      </c>
      <c r="E248" s="13">
        <f>((((VLOOKUP(B248,Database!$F:$AY,MATCH($E$1,Database!$F$1:$AY$1,),))))-(((VLOOKUP(EDATE(B248,-12),Database!$F:$AY,MATCH($E$1,Database!$F$1:$AY$1,),)))))/(((VLOOKUP(EDATE(B248,-12),Database!$F:$AY,MATCH($E$1,Database!$F$1:$AY$1,),))))</f>
        <v/>
      </c>
      <c r="F248" s="13">
        <f>((((VLOOKUP(B248,Database!$F:$AY,MATCH($F$1,Database!$F$1:$AY$1,),))))-(((VLOOKUP(EDATE(B248,-12),Database!$F:$AY,MATCH($F$1,Database!$F$1:$AY$1,),)))))/(((VLOOKUP(EDATE(B248,-12),Database!$F:$AY,MATCH($F$1,Database!$F$1:$AY$1,),))))</f>
        <v/>
      </c>
      <c r="G248" s="13">
        <f>((((VLOOKUP(B248,Database!$F:$AY,MATCH($G$1,Database!$F$1:$AY$1,),))))-(((VLOOKUP(EDATE(B248,-12),Database!$F:$AY,MATCH($G$1,Database!$F$1:$AY$1,),)))))/(((VLOOKUP(EDATE(B248,-12),Database!$F:$AY,MATCH($G$1,Database!$F$1:$AY$1,),))))</f>
        <v/>
      </c>
      <c r="H248" s="13">
        <f>((((VLOOKUP(B248,Database!$F:$AY,MATCH($H$1,Database!$F$1:$AY$1,),))))-(((VLOOKUP(EDATE(B248,-12),Database!$F:$AY,MATCH($H$1,Database!$F$1:$AY$1,),)))))/(((VLOOKUP(EDATE(B248,-12),Database!$F:$AY,MATCH($H$1,Database!$F$1:$AY$1,),))))</f>
        <v/>
      </c>
      <c r="I248" s="13">
        <f>((((VLOOKUP(B248,Database!$F:$AY,MATCH($I$1,Database!$F$1:$AY$1,),))))-(((VLOOKUP(EDATE(B248,-12),Database!$F:$AY,MATCH($I$1,Database!$F$1:$AY$1,),)))))/(((VLOOKUP(EDATE(B248,-12),Database!$F:$AY,MATCH($I$1,Database!$F$1:$AY$1,),))))</f>
        <v/>
      </c>
      <c r="J248" s="13">
        <f>((((VLOOKUP(B248,Database!$F:$AY,MATCH($J$1,Database!$F$1:$AY$1,),))))-(((VLOOKUP(EDATE(B248,-12),Database!$F:$AY,MATCH($J$1,Database!$F$1:$AY$1,),)))))/(((VLOOKUP(EDATE(B248,-12),Database!$F:$AY,MATCH($J$1,Database!$F$1:$AY$1,),))))</f>
        <v/>
      </c>
      <c r="K248" s="13">
        <f>((((VLOOKUP(B248,Database!$F:$AY,MATCH($K$1,Database!$F$1:$AY$1,),))))-(((VLOOKUP(EDATE(B248,-12),Database!$F:$AY,MATCH($K$1,Database!$F$1:$AY$1,),)))))/(((VLOOKUP(EDATE(B248,-12),Database!$F:$AY,MATCH($K$1,Database!$F$1:$AY$1,),))))</f>
        <v/>
      </c>
      <c r="L248" s="13">
        <f>((((VLOOKUP(B248,Database!$F:$AY,MATCH($L$1,Database!$F$1:$AY$1,),))))-(((VLOOKUP(EDATE(B248,-12),Database!$F:$AY,MATCH($L$1,Database!$F$1:$AY$1,),)))))/(((VLOOKUP(EDATE(B248,-12),Database!$F:$AY,MATCH($L$1,Database!$F$1:$AY$1,),))))</f>
        <v/>
      </c>
      <c r="M248" s="13">
        <f>((((VLOOKUP(B248,Database!$F:$AY,MATCH($M$1,Database!$F$1:$AY$1,),))))-(((VLOOKUP(EDATE(B248,-12),Database!$F:$AY,MATCH($M$1,Database!$F$1:$AY$1,),)))))/(((VLOOKUP(EDATE(B248,-12),Database!$F:$AY,MATCH($M$1,Database!$F$1:$AY$1,),))))</f>
        <v/>
      </c>
      <c r="N248" s="13">
        <f>((((VLOOKUP(B248,Database!$F:$AY,MATCH($N$1,Database!$F$1:$AY$1,),))))-(((VLOOKUP(EDATE(B248,-12),Database!$F:$AY,MATCH($N$1,Database!$F$1:$AY$1,),)))))/(((VLOOKUP(EDATE(B248,-12),Database!$F:$AY,MATCH($N$1,Database!$F$1:$AY$1,),))))</f>
        <v/>
      </c>
      <c r="O248" s="13">
        <f>((((VLOOKUP(B248,Database!$F:$AY,MATCH($O$1,Database!$F$1:$AY$1,),))))-(((VLOOKUP(EDATE(B248,-12),Database!$F:$AY,MATCH($O$1,Database!$F$1:$AY$1,),)))))/(((VLOOKUP(EDATE(B248,-12),Database!$F:$AY,MATCH($O$1,Database!$F$1:$AY$1,),))))</f>
        <v/>
      </c>
      <c r="P248" s="13">
        <f>((((VLOOKUP(B248,Database!$F:$AY,MATCH($P$1,Database!$F$1:$AY$1,),))))-(((VLOOKUP(EDATE(B248,-12),Database!$F:$AY,MATCH($P$1,Database!$F$1:$AY$1,),)))))/(((VLOOKUP(EDATE(B248,-12),Database!$F:$AY,MATCH($P$1,Database!$F$1:$AY$1,),))))</f>
        <v/>
      </c>
      <c r="Q248" s="13">
        <f>((((VLOOKUP(B248,Database!$F:$AY,MATCH($Q$1,Database!$F$1:$AY$1,),))))-(((VLOOKUP(EDATE(B248,-12),Database!$F:$AY,MATCH($Q$1,Database!$F$1:$AY$1,),)))))/(((VLOOKUP(EDATE(B248,-12),Database!$F:$AY,MATCH($Q$1,Database!$F$1:$AY$1,),))))</f>
        <v/>
      </c>
      <c r="R248" s="13">
        <f>((((VLOOKUP(B248,Database!$F:$AY,MATCH($R$1,Database!$F$1:$AY$1,),))))-(((VLOOKUP(EDATE(B248,-12),Database!$F:$AY,MATCH($R$1,Database!$F$1:$AY$1,),)))))/(((VLOOKUP(EDATE(B248,-12),Database!$F:$AY,MATCH($R$1,Database!$F$1:$AY$1,),))))</f>
        <v/>
      </c>
      <c r="S248" s="13">
        <f>((((VLOOKUP(B248,Database!$F:$AY,MATCH($S$1,Database!$F$1:$AY$1,),))))-(((VLOOKUP(EDATE(B248,-12),Database!$F:$AY,MATCH($S$1,Database!$F$1:$AY$1,),)))))/(((VLOOKUP(EDATE(B248,-12),Database!$F:$AY,MATCH($S$1,Database!$F$1:$AY$1,),))))</f>
        <v/>
      </c>
      <c r="T248" s="13">
        <f>((((VLOOKUP(B248,Database!$F:$AY,MATCH($T$1,Database!$F$1:$AY$1,),))))-(((VLOOKUP(EDATE(B248,-12),Database!$F:$AY,MATCH($T$1,Database!$F$1:$AY$1,),)))))/(((VLOOKUP(EDATE(B248,-12),Database!$F:$AY,MATCH($T$1,Database!$F$1:$AY$1,),))))</f>
        <v/>
      </c>
      <c r="U248" s="13">
        <f>((((VLOOKUP(B248,Database!$F:$AY,MATCH($U$1,Database!$F$1:$AY$1,),))))-(((VLOOKUP(EDATE(B248,-12),Database!$F:$AY,MATCH($U$1,Database!$F$1:$AY$1,),)))))/(((VLOOKUP(EDATE(B248,-12),Database!$F:$AY,MATCH($U$1,Database!$F$1:$AY$1,),))))</f>
        <v/>
      </c>
      <c r="V248" s="13">
        <f>((((VLOOKUP(B248,Database!$F:$AY,MATCH($V$1,Database!$F$1:$AY$1,),))))-(((VLOOKUP(EDATE(B248,-12),Database!$F:$AY,MATCH($V$1,Database!$F$1:$AY$1,),)))))/(((VLOOKUP(EDATE(B248,-12),Database!$F:$AY,MATCH($V$1,Database!$F$1:$AY$1,),))))</f>
        <v/>
      </c>
    </row>
    <row r="249" customFormat="1" s="100">
      <c r="A249" s="45" t="n"/>
      <c r="B249" s="46" t="n">
        <v>39722</v>
      </c>
      <c r="C249" s="13">
        <f>((((VLOOKUP(B249,Database!$F:$AY,MATCH($C$1,Database!$F$1:$AY$1,),))))-(((VLOOKUP(EDATE(B249,-12),Database!$F:$AY,MATCH($C$1,Database!$F$1:$AY$1,),)))))/(((VLOOKUP(EDATE(B249,-12),Database!$F:$AY,MATCH($C$1,Database!$F$1:$AY$1,),))))</f>
        <v/>
      </c>
      <c r="D249" s="13">
        <f>((((VLOOKUP(B249,Database!$F:$AY,MATCH($D$1,Database!$F$1:$AY$1,),))))-(((VLOOKUP(EDATE(B249,-12),Database!$F:$AY,MATCH($D$1,Database!$F$1:$AY$1,),)))))/(((VLOOKUP(EDATE(B249,-12),Database!$F:$AY,MATCH($D$1,Database!$F$1:$AY$1,),))))</f>
        <v/>
      </c>
      <c r="E249" s="13">
        <f>((((VLOOKUP(B249,Database!$F:$AY,MATCH($E$1,Database!$F$1:$AY$1,),))))-(((VLOOKUP(EDATE(B249,-12),Database!$F:$AY,MATCH($E$1,Database!$F$1:$AY$1,),)))))/(((VLOOKUP(EDATE(B249,-12),Database!$F:$AY,MATCH($E$1,Database!$F$1:$AY$1,),))))</f>
        <v/>
      </c>
      <c r="F249" s="13">
        <f>((((VLOOKUP(B249,Database!$F:$AY,MATCH($F$1,Database!$F$1:$AY$1,),))))-(((VLOOKUP(EDATE(B249,-12),Database!$F:$AY,MATCH($F$1,Database!$F$1:$AY$1,),)))))/(((VLOOKUP(EDATE(B249,-12),Database!$F:$AY,MATCH($F$1,Database!$F$1:$AY$1,),))))</f>
        <v/>
      </c>
      <c r="G249" s="13">
        <f>((((VLOOKUP(B249,Database!$F:$AY,MATCH($G$1,Database!$F$1:$AY$1,),))))-(((VLOOKUP(EDATE(B249,-12),Database!$F:$AY,MATCH($G$1,Database!$F$1:$AY$1,),)))))/(((VLOOKUP(EDATE(B249,-12),Database!$F:$AY,MATCH($G$1,Database!$F$1:$AY$1,),))))</f>
        <v/>
      </c>
      <c r="H249" s="13">
        <f>((((VLOOKUP(B249,Database!$F:$AY,MATCH($H$1,Database!$F$1:$AY$1,),))))-(((VLOOKUP(EDATE(B249,-12),Database!$F:$AY,MATCH($H$1,Database!$F$1:$AY$1,),)))))/(((VLOOKUP(EDATE(B249,-12),Database!$F:$AY,MATCH($H$1,Database!$F$1:$AY$1,),))))</f>
        <v/>
      </c>
      <c r="I249" s="13">
        <f>((((VLOOKUP(B249,Database!$F:$AY,MATCH($I$1,Database!$F$1:$AY$1,),))))-(((VLOOKUP(EDATE(B249,-12),Database!$F:$AY,MATCH($I$1,Database!$F$1:$AY$1,),)))))/(((VLOOKUP(EDATE(B249,-12),Database!$F:$AY,MATCH($I$1,Database!$F$1:$AY$1,),))))</f>
        <v/>
      </c>
      <c r="J249" s="13">
        <f>((((VLOOKUP(B249,Database!$F:$AY,MATCH($J$1,Database!$F$1:$AY$1,),))))-(((VLOOKUP(EDATE(B249,-12),Database!$F:$AY,MATCH($J$1,Database!$F$1:$AY$1,),)))))/(((VLOOKUP(EDATE(B249,-12),Database!$F:$AY,MATCH($J$1,Database!$F$1:$AY$1,),))))</f>
        <v/>
      </c>
      <c r="K249" s="13">
        <f>((((VLOOKUP(B249,Database!$F:$AY,MATCH($K$1,Database!$F$1:$AY$1,),))))-(((VLOOKUP(EDATE(B249,-12),Database!$F:$AY,MATCH($K$1,Database!$F$1:$AY$1,),)))))/(((VLOOKUP(EDATE(B249,-12),Database!$F:$AY,MATCH($K$1,Database!$F$1:$AY$1,),))))</f>
        <v/>
      </c>
      <c r="L249" s="13">
        <f>((((VLOOKUP(B249,Database!$F:$AY,MATCH($L$1,Database!$F$1:$AY$1,),))))-(((VLOOKUP(EDATE(B249,-12),Database!$F:$AY,MATCH($L$1,Database!$F$1:$AY$1,),)))))/(((VLOOKUP(EDATE(B249,-12),Database!$F:$AY,MATCH($L$1,Database!$F$1:$AY$1,),))))</f>
        <v/>
      </c>
      <c r="M249" s="13">
        <f>((((VLOOKUP(B249,Database!$F:$AY,MATCH($M$1,Database!$F$1:$AY$1,),))))-(((VLOOKUP(EDATE(B249,-12),Database!$F:$AY,MATCH($M$1,Database!$F$1:$AY$1,),)))))/(((VLOOKUP(EDATE(B249,-12),Database!$F:$AY,MATCH($M$1,Database!$F$1:$AY$1,),))))</f>
        <v/>
      </c>
      <c r="N249" s="13">
        <f>((((VLOOKUP(B249,Database!$F:$AY,MATCH($N$1,Database!$F$1:$AY$1,),))))-(((VLOOKUP(EDATE(B249,-12),Database!$F:$AY,MATCH($N$1,Database!$F$1:$AY$1,),)))))/(((VLOOKUP(EDATE(B249,-12),Database!$F:$AY,MATCH($N$1,Database!$F$1:$AY$1,),))))</f>
        <v/>
      </c>
      <c r="O249" s="13">
        <f>((((VLOOKUP(B249,Database!$F:$AY,MATCH($O$1,Database!$F$1:$AY$1,),))))-(((VLOOKUP(EDATE(B249,-12),Database!$F:$AY,MATCH($O$1,Database!$F$1:$AY$1,),)))))/(((VLOOKUP(EDATE(B249,-12),Database!$F:$AY,MATCH($O$1,Database!$F$1:$AY$1,),))))</f>
        <v/>
      </c>
      <c r="P249" s="13">
        <f>((((VLOOKUP(B249,Database!$F:$AY,MATCH($P$1,Database!$F$1:$AY$1,),))))-(((VLOOKUP(EDATE(B249,-12),Database!$F:$AY,MATCH($P$1,Database!$F$1:$AY$1,),)))))/(((VLOOKUP(EDATE(B249,-12),Database!$F:$AY,MATCH($P$1,Database!$F$1:$AY$1,),))))</f>
        <v/>
      </c>
      <c r="Q249" s="13">
        <f>((((VLOOKUP(B249,Database!$F:$AY,MATCH($Q$1,Database!$F$1:$AY$1,),))))-(((VLOOKUP(EDATE(B249,-12),Database!$F:$AY,MATCH($Q$1,Database!$F$1:$AY$1,),)))))/(((VLOOKUP(EDATE(B249,-12),Database!$F:$AY,MATCH($Q$1,Database!$F$1:$AY$1,),))))</f>
        <v/>
      </c>
      <c r="R249" s="13">
        <f>((((VLOOKUP(B249,Database!$F:$AY,MATCH($R$1,Database!$F$1:$AY$1,),))))-(((VLOOKUP(EDATE(B249,-12),Database!$F:$AY,MATCH($R$1,Database!$F$1:$AY$1,),)))))/(((VLOOKUP(EDATE(B249,-12),Database!$F:$AY,MATCH($R$1,Database!$F$1:$AY$1,),))))</f>
        <v/>
      </c>
      <c r="S249" s="13">
        <f>((((VLOOKUP(B249,Database!$F:$AY,MATCH($S$1,Database!$F$1:$AY$1,),))))-(((VLOOKUP(EDATE(B249,-12),Database!$F:$AY,MATCH($S$1,Database!$F$1:$AY$1,),)))))/(((VLOOKUP(EDATE(B249,-12),Database!$F:$AY,MATCH($S$1,Database!$F$1:$AY$1,),))))</f>
        <v/>
      </c>
      <c r="T249" s="13">
        <f>((((VLOOKUP(B249,Database!$F:$AY,MATCH($T$1,Database!$F$1:$AY$1,),))))-(((VLOOKUP(EDATE(B249,-12),Database!$F:$AY,MATCH($T$1,Database!$F$1:$AY$1,),)))))/(((VLOOKUP(EDATE(B249,-12),Database!$F:$AY,MATCH($T$1,Database!$F$1:$AY$1,),))))</f>
        <v/>
      </c>
      <c r="U249" s="13">
        <f>((((VLOOKUP(B249,Database!$F:$AY,MATCH($U$1,Database!$F$1:$AY$1,),))))-(((VLOOKUP(EDATE(B249,-12),Database!$F:$AY,MATCH($U$1,Database!$F$1:$AY$1,),)))))/(((VLOOKUP(EDATE(B249,-12),Database!$F:$AY,MATCH($U$1,Database!$F$1:$AY$1,),))))</f>
        <v/>
      </c>
      <c r="V249" s="13">
        <f>((((VLOOKUP(B249,Database!$F:$AY,MATCH($V$1,Database!$F$1:$AY$1,),))))-(((VLOOKUP(EDATE(B249,-12),Database!$F:$AY,MATCH($V$1,Database!$F$1:$AY$1,),)))))/(((VLOOKUP(EDATE(B249,-12),Database!$F:$AY,MATCH($V$1,Database!$F$1:$AY$1,),))))</f>
        <v/>
      </c>
    </row>
    <row r="250" customFormat="1" s="100">
      <c r="A250" s="45" t="n"/>
      <c r="B250" s="46" t="n">
        <v>39753</v>
      </c>
      <c r="C250" s="13">
        <f>((((VLOOKUP(B250,Database!$F:$AY,MATCH($C$1,Database!$F$1:$AY$1,),))))-(((VLOOKUP(EDATE(B250,-12),Database!$F:$AY,MATCH($C$1,Database!$F$1:$AY$1,),)))))/(((VLOOKUP(EDATE(B250,-12),Database!$F:$AY,MATCH($C$1,Database!$F$1:$AY$1,),))))</f>
        <v/>
      </c>
      <c r="D250" s="13">
        <f>((((VLOOKUP(B250,Database!$F:$AY,MATCH($D$1,Database!$F$1:$AY$1,),))))-(((VLOOKUP(EDATE(B250,-12),Database!$F:$AY,MATCH($D$1,Database!$F$1:$AY$1,),)))))/(((VLOOKUP(EDATE(B250,-12),Database!$F:$AY,MATCH($D$1,Database!$F$1:$AY$1,),))))</f>
        <v/>
      </c>
      <c r="E250" s="13">
        <f>((((VLOOKUP(B250,Database!$F:$AY,MATCH($E$1,Database!$F$1:$AY$1,),))))-(((VLOOKUP(EDATE(B250,-12),Database!$F:$AY,MATCH($E$1,Database!$F$1:$AY$1,),)))))/(((VLOOKUP(EDATE(B250,-12),Database!$F:$AY,MATCH($E$1,Database!$F$1:$AY$1,),))))</f>
        <v/>
      </c>
      <c r="F250" s="13">
        <f>((((VLOOKUP(B250,Database!$F:$AY,MATCH($F$1,Database!$F$1:$AY$1,),))))-(((VLOOKUP(EDATE(B250,-12),Database!$F:$AY,MATCH($F$1,Database!$F$1:$AY$1,),)))))/(((VLOOKUP(EDATE(B250,-12),Database!$F:$AY,MATCH($F$1,Database!$F$1:$AY$1,),))))</f>
        <v/>
      </c>
      <c r="G250" s="13">
        <f>((((VLOOKUP(B250,Database!$F:$AY,MATCH($G$1,Database!$F$1:$AY$1,),))))-(((VLOOKUP(EDATE(B250,-12),Database!$F:$AY,MATCH($G$1,Database!$F$1:$AY$1,),)))))/(((VLOOKUP(EDATE(B250,-12),Database!$F:$AY,MATCH($G$1,Database!$F$1:$AY$1,),))))</f>
        <v/>
      </c>
      <c r="H250" s="13">
        <f>((((VLOOKUP(B250,Database!$F:$AY,MATCH($H$1,Database!$F$1:$AY$1,),))))-(((VLOOKUP(EDATE(B250,-12),Database!$F:$AY,MATCH($H$1,Database!$F$1:$AY$1,),)))))/(((VLOOKUP(EDATE(B250,-12),Database!$F:$AY,MATCH($H$1,Database!$F$1:$AY$1,),))))</f>
        <v/>
      </c>
      <c r="I250" s="13">
        <f>((((VLOOKUP(B250,Database!$F:$AY,MATCH($I$1,Database!$F$1:$AY$1,),))))-(((VLOOKUP(EDATE(B250,-12),Database!$F:$AY,MATCH($I$1,Database!$F$1:$AY$1,),)))))/(((VLOOKUP(EDATE(B250,-12),Database!$F:$AY,MATCH($I$1,Database!$F$1:$AY$1,),))))</f>
        <v/>
      </c>
      <c r="J250" s="13">
        <f>((((VLOOKUP(B250,Database!$F:$AY,MATCH($J$1,Database!$F$1:$AY$1,),))))-(((VLOOKUP(EDATE(B250,-12),Database!$F:$AY,MATCH($J$1,Database!$F$1:$AY$1,),)))))/(((VLOOKUP(EDATE(B250,-12),Database!$F:$AY,MATCH($J$1,Database!$F$1:$AY$1,),))))</f>
        <v/>
      </c>
      <c r="K250" s="13">
        <f>((((VLOOKUP(B250,Database!$F:$AY,MATCH($K$1,Database!$F$1:$AY$1,),))))-(((VLOOKUP(EDATE(B250,-12),Database!$F:$AY,MATCH($K$1,Database!$F$1:$AY$1,),)))))/(((VLOOKUP(EDATE(B250,-12),Database!$F:$AY,MATCH($K$1,Database!$F$1:$AY$1,),))))</f>
        <v/>
      </c>
      <c r="L250" s="13">
        <f>((((VLOOKUP(B250,Database!$F:$AY,MATCH($L$1,Database!$F$1:$AY$1,),))))-(((VLOOKUP(EDATE(B250,-12),Database!$F:$AY,MATCH($L$1,Database!$F$1:$AY$1,),)))))/(((VLOOKUP(EDATE(B250,-12),Database!$F:$AY,MATCH($L$1,Database!$F$1:$AY$1,),))))</f>
        <v/>
      </c>
      <c r="M250" s="13">
        <f>((((VLOOKUP(B250,Database!$F:$AY,MATCH($M$1,Database!$F$1:$AY$1,),))))-(((VLOOKUP(EDATE(B250,-12),Database!$F:$AY,MATCH($M$1,Database!$F$1:$AY$1,),)))))/(((VLOOKUP(EDATE(B250,-12),Database!$F:$AY,MATCH($M$1,Database!$F$1:$AY$1,),))))</f>
        <v/>
      </c>
      <c r="N250" s="13">
        <f>((((VLOOKUP(B250,Database!$F:$AY,MATCH($N$1,Database!$F$1:$AY$1,),))))-(((VLOOKUP(EDATE(B250,-12),Database!$F:$AY,MATCH($N$1,Database!$F$1:$AY$1,),)))))/(((VLOOKUP(EDATE(B250,-12),Database!$F:$AY,MATCH($N$1,Database!$F$1:$AY$1,),))))</f>
        <v/>
      </c>
      <c r="O250" s="13">
        <f>((((VLOOKUP(B250,Database!$F:$AY,MATCH($O$1,Database!$F$1:$AY$1,),))))-(((VLOOKUP(EDATE(B250,-12),Database!$F:$AY,MATCH($O$1,Database!$F$1:$AY$1,),)))))/(((VLOOKUP(EDATE(B250,-12),Database!$F:$AY,MATCH($O$1,Database!$F$1:$AY$1,),))))</f>
        <v/>
      </c>
      <c r="P250" s="13">
        <f>((((VLOOKUP(B250,Database!$F:$AY,MATCH($P$1,Database!$F$1:$AY$1,),))))-(((VLOOKUP(EDATE(B250,-12),Database!$F:$AY,MATCH($P$1,Database!$F$1:$AY$1,),)))))/(((VLOOKUP(EDATE(B250,-12),Database!$F:$AY,MATCH($P$1,Database!$F$1:$AY$1,),))))</f>
        <v/>
      </c>
      <c r="Q250" s="13">
        <f>((((VLOOKUP(B250,Database!$F:$AY,MATCH($Q$1,Database!$F$1:$AY$1,),))))-(((VLOOKUP(EDATE(B250,-12),Database!$F:$AY,MATCH($Q$1,Database!$F$1:$AY$1,),)))))/(((VLOOKUP(EDATE(B250,-12),Database!$F:$AY,MATCH($Q$1,Database!$F$1:$AY$1,),))))</f>
        <v/>
      </c>
      <c r="R250" s="13">
        <f>((((VLOOKUP(B250,Database!$F:$AY,MATCH($R$1,Database!$F$1:$AY$1,),))))-(((VLOOKUP(EDATE(B250,-12),Database!$F:$AY,MATCH($R$1,Database!$F$1:$AY$1,),)))))/(((VLOOKUP(EDATE(B250,-12),Database!$F:$AY,MATCH($R$1,Database!$F$1:$AY$1,),))))</f>
        <v/>
      </c>
      <c r="S250" s="13">
        <f>((((VLOOKUP(B250,Database!$F:$AY,MATCH($S$1,Database!$F$1:$AY$1,),))))-(((VLOOKUP(EDATE(B250,-12),Database!$F:$AY,MATCH($S$1,Database!$F$1:$AY$1,),)))))/(((VLOOKUP(EDATE(B250,-12),Database!$F:$AY,MATCH($S$1,Database!$F$1:$AY$1,),))))</f>
        <v/>
      </c>
      <c r="T250" s="13">
        <f>((((VLOOKUP(B250,Database!$F:$AY,MATCH($T$1,Database!$F$1:$AY$1,),))))-(((VLOOKUP(EDATE(B250,-12),Database!$F:$AY,MATCH($T$1,Database!$F$1:$AY$1,),)))))/(((VLOOKUP(EDATE(B250,-12),Database!$F:$AY,MATCH($T$1,Database!$F$1:$AY$1,),))))</f>
        <v/>
      </c>
      <c r="U250" s="13">
        <f>((((VLOOKUP(B250,Database!$F:$AY,MATCH($U$1,Database!$F$1:$AY$1,),))))-(((VLOOKUP(EDATE(B250,-12),Database!$F:$AY,MATCH($U$1,Database!$F$1:$AY$1,),)))))/(((VLOOKUP(EDATE(B250,-12),Database!$F:$AY,MATCH($U$1,Database!$F$1:$AY$1,),))))</f>
        <v/>
      </c>
      <c r="V250" s="13">
        <f>((((VLOOKUP(B250,Database!$F:$AY,MATCH($V$1,Database!$F$1:$AY$1,),))))-(((VLOOKUP(EDATE(B250,-12),Database!$F:$AY,MATCH($V$1,Database!$F$1:$AY$1,),)))))/(((VLOOKUP(EDATE(B250,-12),Database!$F:$AY,MATCH($V$1,Database!$F$1:$AY$1,),))))</f>
        <v/>
      </c>
    </row>
    <row r="251" customFormat="1" s="100">
      <c r="A251" s="45" t="n"/>
      <c r="B251" s="46" t="n">
        <v>39783</v>
      </c>
      <c r="C251" s="13">
        <f>((((VLOOKUP(B251,Database!$F:$AY,MATCH($C$1,Database!$F$1:$AY$1,),))))-(((VLOOKUP(EDATE(B251,-12),Database!$F:$AY,MATCH($C$1,Database!$F$1:$AY$1,),)))))/(((VLOOKUP(EDATE(B251,-12),Database!$F:$AY,MATCH($C$1,Database!$F$1:$AY$1,),))))</f>
        <v/>
      </c>
      <c r="D251" s="13">
        <f>((((VLOOKUP(B251,Database!$F:$AY,MATCH($D$1,Database!$F$1:$AY$1,),))))-(((VLOOKUP(EDATE(B251,-12),Database!$F:$AY,MATCH($D$1,Database!$F$1:$AY$1,),)))))/(((VLOOKUP(EDATE(B251,-12),Database!$F:$AY,MATCH($D$1,Database!$F$1:$AY$1,),))))</f>
        <v/>
      </c>
      <c r="E251" s="13">
        <f>((((VLOOKUP(B251,Database!$F:$AY,MATCH($E$1,Database!$F$1:$AY$1,),))))-(((VLOOKUP(EDATE(B251,-12),Database!$F:$AY,MATCH($E$1,Database!$F$1:$AY$1,),)))))/(((VLOOKUP(EDATE(B251,-12),Database!$F:$AY,MATCH($E$1,Database!$F$1:$AY$1,),))))</f>
        <v/>
      </c>
      <c r="F251" s="13">
        <f>((((VLOOKUP(B251,Database!$F:$AY,MATCH($F$1,Database!$F$1:$AY$1,),))))-(((VLOOKUP(EDATE(B251,-12),Database!$F:$AY,MATCH($F$1,Database!$F$1:$AY$1,),)))))/(((VLOOKUP(EDATE(B251,-12),Database!$F:$AY,MATCH($F$1,Database!$F$1:$AY$1,),))))</f>
        <v/>
      </c>
      <c r="G251" s="13">
        <f>((((VLOOKUP(B251,Database!$F:$AY,MATCH($G$1,Database!$F$1:$AY$1,),))))-(((VLOOKUP(EDATE(B251,-12),Database!$F:$AY,MATCH($G$1,Database!$F$1:$AY$1,),)))))/(((VLOOKUP(EDATE(B251,-12),Database!$F:$AY,MATCH($G$1,Database!$F$1:$AY$1,),))))</f>
        <v/>
      </c>
      <c r="H251" s="13">
        <f>((((VLOOKUP(B251,Database!$F:$AY,MATCH($H$1,Database!$F$1:$AY$1,),))))-(((VLOOKUP(EDATE(B251,-12),Database!$F:$AY,MATCH($H$1,Database!$F$1:$AY$1,),)))))/(((VLOOKUP(EDATE(B251,-12),Database!$F:$AY,MATCH($H$1,Database!$F$1:$AY$1,),))))</f>
        <v/>
      </c>
      <c r="I251" s="13">
        <f>((((VLOOKUP(B251,Database!$F:$AY,MATCH($I$1,Database!$F$1:$AY$1,),))))-(((VLOOKUP(EDATE(B251,-12),Database!$F:$AY,MATCH($I$1,Database!$F$1:$AY$1,),)))))/(((VLOOKUP(EDATE(B251,-12),Database!$F:$AY,MATCH($I$1,Database!$F$1:$AY$1,),))))</f>
        <v/>
      </c>
      <c r="J251" s="13">
        <f>((((VLOOKUP(B251,Database!$F:$AY,MATCH($J$1,Database!$F$1:$AY$1,),))))-(((VLOOKUP(EDATE(B251,-12),Database!$F:$AY,MATCH($J$1,Database!$F$1:$AY$1,),)))))/(((VLOOKUP(EDATE(B251,-12),Database!$F:$AY,MATCH($J$1,Database!$F$1:$AY$1,),))))</f>
        <v/>
      </c>
      <c r="K251" s="13">
        <f>((((VLOOKUP(B251,Database!$F:$AY,MATCH($K$1,Database!$F$1:$AY$1,),))))-(((VLOOKUP(EDATE(B251,-12),Database!$F:$AY,MATCH($K$1,Database!$F$1:$AY$1,),)))))/(((VLOOKUP(EDATE(B251,-12),Database!$F:$AY,MATCH($K$1,Database!$F$1:$AY$1,),))))</f>
        <v/>
      </c>
      <c r="L251" s="13">
        <f>((((VLOOKUP(B251,Database!$F:$AY,MATCH($L$1,Database!$F$1:$AY$1,),))))-(((VLOOKUP(EDATE(B251,-12),Database!$F:$AY,MATCH($L$1,Database!$F$1:$AY$1,),)))))/(((VLOOKUP(EDATE(B251,-12),Database!$F:$AY,MATCH($L$1,Database!$F$1:$AY$1,),))))</f>
        <v/>
      </c>
      <c r="M251" s="13">
        <f>((((VLOOKUP(B251,Database!$F:$AY,MATCH($M$1,Database!$F$1:$AY$1,),))))-(((VLOOKUP(EDATE(B251,-12),Database!$F:$AY,MATCH($M$1,Database!$F$1:$AY$1,),)))))/(((VLOOKUP(EDATE(B251,-12),Database!$F:$AY,MATCH($M$1,Database!$F$1:$AY$1,),))))</f>
        <v/>
      </c>
      <c r="N251" s="13">
        <f>((((VLOOKUP(B251,Database!$F:$AY,MATCH($N$1,Database!$F$1:$AY$1,),))))-(((VLOOKUP(EDATE(B251,-12),Database!$F:$AY,MATCH($N$1,Database!$F$1:$AY$1,),)))))/(((VLOOKUP(EDATE(B251,-12),Database!$F:$AY,MATCH($N$1,Database!$F$1:$AY$1,),))))</f>
        <v/>
      </c>
      <c r="O251" s="13">
        <f>((((VLOOKUP(B251,Database!$F:$AY,MATCH($O$1,Database!$F$1:$AY$1,),))))-(((VLOOKUP(EDATE(B251,-12),Database!$F:$AY,MATCH($O$1,Database!$F$1:$AY$1,),)))))/(((VLOOKUP(EDATE(B251,-12),Database!$F:$AY,MATCH($O$1,Database!$F$1:$AY$1,),))))</f>
        <v/>
      </c>
      <c r="P251" s="13">
        <f>((((VLOOKUP(B251,Database!$F:$AY,MATCH($P$1,Database!$F$1:$AY$1,),))))-(((VLOOKUP(EDATE(B251,-12),Database!$F:$AY,MATCH($P$1,Database!$F$1:$AY$1,),)))))/(((VLOOKUP(EDATE(B251,-12),Database!$F:$AY,MATCH($P$1,Database!$F$1:$AY$1,),))))</f>
        <v/>
      </c>
      <c r="Q251" s="13">
        <f>((((VLOOKUP(B251,Database!$F:$AY,MATCH($Q$1,Database!$F$1:$AY$1,),))))-(((VLOOKUP(EDATE(B251,-12),Database!$F:$AY,MATCH($Q$1,Database!$F$1:$AY$1,),)))))/(((VLOOKUP(EDATE(B251,-12),Database!$F:$AY,MATCH($Q$1,Database!$F$1:$AY$1,),))))</f>
        <v/>
      </c>
      <c r="R251" s="13">
        <f>((((VLOOKUP(B251,Database!$F:$AY,MATCH($R$1,Database!$F$1:$AY$1,),))))-(((VLOOKUP(EDATE(B251,-12),Database!$F:$AY,MATCH($R$1,Database!$F$1:$AY$1,),)))))/(((VLOOKUP(EDATE(B251,-12),Database!$F:$AY,MATCH($R$1,Database!$F$1:$AY$1,),))))</f>
        <v/>
      </c>
      <c r="S251" s="13">
        <f>((((VLOOKUP(B251,Database!$F:$AY,MATCH($S$1,Database!$F$1:$AY$1,),))))-(((VLOOKUP(EDATE(B251,-12),Database!$F:$AY,MATCH($S$1,Database!$F$1:$AY$1,),)))))/(((VLOOKUP(EDATE(B251,-12),Database!$F:$AY,MATCH($S$1,Database!$F$1:$AY$1,),))))</f>
        <v/>
      </c>
      <c r="T251" s="13">
        <f>((((VLOOKUP(B251,Database!$F:$AY,MATCH($T$1,Database!$F$1:$AY$1,),))))-(((VLOOKUP(EDATE(B251,-12),Database!$F:$AY,MATCH($T$1,Database!$F$1:$AY$1,),)))))/(((VLOOKUP(EDATE(B251,-12),Database!$F:$AY,MATCH($T$1,Database!$F$1:$AY$1,),))))</f>
        <v/>
      </c>
      <c r="U251" s="13">
        <f>((((VLOOKUP(B251,Database!$F:$AY,MATCH($U$1,Database!$F$1:$AY$1,),))))-(((VLOOKUP(EDATE(B251,-12),Database!$F:$AY,MATCH($U$1,Database!$F$1:$AY$1,),)))))/(((VLOOKUP(EDATE(B251,-12),Database!$F:$AY,MATCH($U$1,Database!$F$1:$AY$1,),))))</f>
        <v/>
      </c>
      <c r="V251" s="13">
        <f>((((VLOOKUP(B251,Database!$F:$AY,MATCH($V$1,Database!$F$1:$AY$1,),))))-(((VLOOKUP(EDATE(B251,-12),Database!$F:$AY,MATCH($V$1,Database!$F$1:$AY$1,),)))))/(((VLOOKUP(EDATE(B251,-12),Database!$F:$AY,MATCH($V$1,Database!$F$1:$AY$1,),))))</f>
        <v/>
      </c>
    </row>
    <row r="252" customFormat="1" s="100">
      <c r="A252" s="45" t="n"/>
      <c r="B252" s="46" t="n">
        <v>39814</v>
      </c>
      <c r="C252" s="13">
        <f>((((VLOOKUP(B252,Database!$F:$AY,MATCH($C$1,Database!$F$1:$AY$1,),))))-(((VLOOKUP(EDATE(B252,-12),Database!$F:$AY,MATCH($C$1,Database!$F$1:$AY$1,),)))))/(((VLOOKUP(EDATE(B252,-12),Database!$F:$AY,MATCH($C$1,Database!$F$1:$AY$1,),))))</f>
        <v/>
      </c>
      <c r="D252" s="13">
        <f>((((VLOOKUP(B252,Database!$F:$AY,MATCH($D$1,Database!$F$1:$AY$1,),))))-(((VLOOKUP(EDATE(B252,-12),Database!$F:$AY,MATCH($D$1,Database!$F$1:$AY$1,),)))))/(((VLOOKUP(EDATE(B252,-12),Database!$F:$AY,MATCH($D$1,Database!$F$1:$AY$1,),))))</f>
        <v/>
      </c>
      <c r="E252" s="13">
        <f>((((VLOOKUP(B252,Database!$F:$AY,MATCH($E$1,Database!$F$1:$AY$1,),))))-(((VLOOKUP(EDATE(B252,-12),Database!$F:$AY,MATCH($E$1,Database!$F$1:$AY$1,),)))))/(((VLOOKUP(EDATE(B252,-12),Database!$F:$AY,MATCH($E$1,Database!$F$1:$AY$1,),))))</f>
        <v/>
      </c>
      <c r="F252" s="13">
        <f>((((VLOOKUP(B252,Database!$F:$AY,MATCH($F$1,Database!$F$1:$AY$1,),))))-(((VLOOKUP(EDATE(B252,-12),Database!$F:$AY,MATCH($F$1,Database!$F$1:$AY$1,),)))))/(((VLOOKUP(EDATE(B252,-12),Database!$F:$AY,MATCH($F$1,Database!$F$1:$AY$1,),))))</f>
        <v/>
      </c>
      <c r="G252" s="13">
        <f>((((VLOOKUP(B252,Database!$F:$AY,MATCH($G$1,Database!$F$1:$AY$1,),))))-(((VLOOKUP(EDATE(B252,-12),Database!$F:$AY,MATCH($G$1,Database!$F$1:$AY$1,),)))))/(((VLOOKUP(EDATE(B252,-12),Database!$F:$AY,MATCH($G$1,Database!$F$1:$AY$1,),))))</f>
        <v/>
      </c>
      <c r="H252" s="13">
        <f>((((VLOOKUP(B252,Database!$F:$AY,MATCH($H$1,Database!$F$1:$AY$1,),))))-(((VLOOKUP(EDATE(B252,-12),Database!$F:$AY,MATCH($H$1,Database!$F$1:$AY$1,),)))))/(((VLOOKUP(EDATE(B252,-12),Database!$F:$AY,MATCH($H$1,Database!$F$1:$AY$1,),))))</f>
        <v/>
      </c>
      <c r="I252" s="13">
        <f>((((VLOOKUP(B252,Database!$F:$AY,MATCH($I$1,Database!$F$1:$AY$1,),))))-(((VLOOKUP(EDATE(B252,-12),Database!$F:$AY,MATCH($I$1,Database!$F$1:$AY$1,),)))))/(((VLOOKUP(EDATE(B252,-12),Database!$F:$AY,MATCH($I$1,Database!$F$1:$AY$1,),))))</f>
        <v/>
      </c>
      <c r="J252" s="13">
        <f>((((VLOOKUP(B252,Database!$F:$AY,MATCH($J$1,Database!$F$1:$AY$1,),))))-(((VLOOKUP(EDATE(B252,-12),Database!$F:$AY,MATCH($J$1,Database!$F$1:$AY$1,),)))))/(((VLOOKUP(EDATE(B252,-12),Database!$F:$AY,MATCH($J$1,Database!$F$1:$AY$1,),))))</f>
        <v/>
      </c>
      <c r="K252" s="13">
        <f>((((VLOOKUP(B252,Database!$F:$AY,MATCH($K$1,Database!$F$1:$AY$1,),))))-(((VLOOKUP(EDATE(B252,-12),Database!$F:$AY,MATCH($K$1,Database!$F$1:$AY$1,),)))))/(((VLOOKUP(EDATE(B252,-12),Database!$F:$AY,MATCH($K$1,Database!$F$1:$AY$1,),))))</f>
        <v/>
      </c>
      <c r="L252" s="13">
        <f>((((VLOOKUP(B252,Database!$F:$AY,MATCH($L$1,Database!$F$1:$AY$1,),))))-(((VLOOKUP(EDATE(B252,-12),Database!$F:$AY,MATCH($L$1,Database!$F$1:$AY$1,),)))))/(((VLOOKUP(EDATE(B252,-12),Database!$F:$AY,MATCH($L$1,Database!$F$1:$AY$1,),))))</f>
        <v/>
      </c>
      <c r="M252" s="13">
        <f>((((VLOOKUP(B252,Database!$F:$AY,MATCH($M$1,Database!$F$1:$AY$1,),))))-(((VLOOKUP(EDATE(B252,-12),Database!$F:$AY,MATCH($M$1,Database!$F$1:$AY$1,),)))))/(((VLOOKUP(EDATE(B252,-12),Database!$F:$AY,MATCH($M$1,Database!$F$1:$AY$1,),))))</f>
        <v/>
      </c>
      <c r="N252" s="13">
        <f>((((VLOOKUP(B252,Database!$F:$AY,MATCH($N$1,Database!$F$1:$AY$1,),))))-(((VLOOKUP(EDATE(B252,-12),Database!$F:$AY,MATCH($N$1,Database!$F$1:$AY$1,),)))))/(((VLOOKUP(EDATE(B252,-12),Database!$F:$AY,MATCH($N$1,Database!$F$1:$AY$1,),))))</f>
        <v/>
      </c>
      <c r="O252" s="13">
        <f>((((VLOOKUP(B252,Database!$F:$AY,MATCH($O$1,Database!$F$1:$AY$1,),))))-(((VLOOKUP(EDATE(B252,-12),Database!$F:$AY,MATCH($O$1,Database!$F$1:$AY$1,),)))))/(((VLOOKUP(EDATE(B252,-12),Database!$F:$AY,MATCH($O$1,Database!$F$1:$AY$1,),))))</f>
        <v/>
      </c>
      <c r="P252" s="13">
        <f>((((VLOOKUP(B252,Database!$F:$AY,MATCH($P$1,Database!$F$1:$AY$1,),))))-(((VLOOKUP(EDATE(B252,-12),Database!$F:$AY,MATCH($P$1,Database!$F$1:$AY$1,),)))))/(((VLOOKUP(EDATE(B252,-12),Database!$F:$AY,MATCH($P$1,Database!$F$1:$AY$1,),))))</f>
        <v/>
      </c>
      <c r="Q252" s="13">
        <f>((((VLOOKUP(B252,Database!$F:$AY,MATCH($Q$1,Database!$F$1:$AY$1,),))))-(((VLOOKUP(EDATE(B252,-12),Database!$F:$AY,MATCH($Q$1,Database!$F$1:$AY$1,),)))))/(((VLOOKUP(EDATE(B252,-12),Database!$F:$AY,MATCH($Q$1,Database!$F$1:$AY$1,),))))</f>
        <v/>
      </c>
      <c r="R252" s="13">
        <f>((((VLOOKUP(B252,Database!$F:$AY,MATCH($R$1,Database!$F$1:$AY$1,),))))-(((VLOOKUP(EDATE(B252,-12),Database!$F:$AY,MATCH($R$1,Database!$F$1:$AY$1,),)))))/(((VLOOKUP(EDATE(B252,-12),Database!$F:$AY,MATCH($R$1,Database!$F$1:$AY$1,),))))</f>
        <v/>
      </c>
      <c r="S252" s="13">
        <f>((((VLOOKUP(B252,Database!$F:$AY,MATCH($S$1,Database!$F$1:$AY$1,),))))-(((VLOOKUP(EDATE(B252,-12),Database!$F:$AY,MATCH($S$1,Database!$F$1:$AY$1,),)))))/(((VLOOKUP(EDATE(B252,-12),Database!$F:$AY,MATCH($S$1,Database!$F$1:$AY$1,),))))</f>
        <v/>
      </c>
      <c r="T252" s="13">
        <f>((((VLOOKUP(B252,Database!$F:$AY,MATCH($T$1,Database!$F$1:$AY$1,),))))-(((VLOOKUP(EDATE(B252,-12),Database!$F:$AY,MATCH($T$1,Database!$F$1:$AY$1,),)))))/(((VLOOKUP(EDATE(B252,-12),Database!$F:$AY,MATCH($T$1,Database!$F$1:$AY$1,),))))</f>
        <v/>
      </c>
      <c r="U252" s="13">
        <f>((((VLOOKUP(B252,Database!$F:$AY,MATCH($U$1,Database!$F$1:$AY$1,),))))-(((VLOOKUP(EDATE(B252,-12),Database!$F:$AY,MATCH($U$1,Database!$F$1:$AY$1,),)))))/(((VLOOKUP(EDATE(B252,-12),Database!$F:$AY,MATCH($U$1,Database!$F$1:$AY$1,),))))</f>
        <v/>
      </c>
      <c r="V252" s="13">
        <f>((((VLOOKUP(B252,Database!$F:$AY,MATCH($V$1,Database!$F$1:$AY$1,),))))-(((VLOOKUP(EDATE(B252,-12),Database!$F:$AY,MATCH($V$1,Database!$F$1:$AY$1,),)))))/(((VLOOKUP(EDATE(B252,-12),Database!$F:$AY,MATCH($V$1,Database!$F$1:$AY$1,),))))</f>
        <v/>
      </c>
    </row>
    <row r="253" customFormat="1" s="100">
      <c r="A253" s="45" t="n"/>
      <c r="B253" s="46" t="n">
        <v>39845</v>
      </c>
      <c r="C253" s="13">
        <f>((((VLOOKUP(B253,Database!$F:$AY,MATCH($C$1,Database!$F$1:$AY$1,),))))-(((VLOOKUP(EDATE(B253,-12),Database!$F:$AY,MATCH($C$1,Database!$F$1:$AY$1,),)))))/(((VLOOKUP(EDATE(B253,-12),Database!$F:$AY,MATCH($C$1,Database!$F$1:$AY$1,),))))</f>
        <v/>
      </c>
      <c r="D253" s="13">
        <f>((((VLOOKUP(B253,Database!$F:$AY,MATCH($D$1,Database!$F$1:$AY$1,),))))-(((VLOOKUP(EDATE(B253,-12),Database!$F:$AY,MATCH($D$1,Database!$F$1:$AY$1,),)))))/(((VLOOKUP(EDATE(B253,-12),Database!$F:$AY,MATCH($D$1,Database!$F$1:$AY$1,),))))</f>
        <v/>
      </c>
      <c r="E253" s="13">
        <f>((((VLOOKUP(B253,Database!$F:$AY,MATCH($E$1,Database!$F$1:$AY$1,),))))-(((VLOOKUP(EDATE(B253,-12),Database!$F:$AY,MATCH($E$1,Database!$F$1:$AY$1,),)))))/(((VLOOKUP(EDATE(B253,-12),Database!$F:$AY,MATCH($E$1,Database!$F$1:$AY$1,),))))</f>
        <v/>
      </c>
      <c r="F253" s="13">
        <f>((((VLOOKUP(B253,Database!$F:$AY,MATCH($F$1,Database!$F$1:$AY$1,),))))-(((VLOOKUP(EDATE(B253,-12),Database!$F:$AY,MATCH($F$1,Database!$F$1:$AY$1,),)))))/(((VLOOKUP(EDATE(B253,-12),Database!$F:$AY,MATCH($F$1,Database!$F$1:$AY$1,),))))</f>
        <v/>
      </c>
      <c r="G253" s="13">
        <f>((((VLOOKUP(B253,Database!$F:$AY,MATCH($G$1,Database!$F$1:$AY$1,),))))-(((VLOOKUP(EDATE(B253,-12),Database!$F:$AY,MATCH($G$1,Database!$F$1:$AY$1,),)))))/(((VLOOKUP(EDATE(B253,-12),Database!$F:$AY,MATCH($G$1,Database!$F$1:$AY$1,),))))</f>
        <v/>
      </c>
      <c r="H253" s="13">
        <f>((((VLOOKUP(B253,Database!$F:$AY,MATCH($H$1,Database!$F$1:$AY$1,),))))-(((VLOOKUP(EDATE(B253,-12),Database!$F:$AY,MATCH($H$1,Database!$F$1:$AY$1,),)))))/(((VLOOKUP(EDATE(B253,-12),Database!$F:$AY,MATCH($H$1,Database!$F$1:$AY$1,),))))</f>
        <v/>
      </c>
      <c r="I253" s="13">
        <f>((((VLOOKUP(B253,Database!$F:$AY,MATCH($I$1,Database!$F$1:$AY$1,),))))-(((VLOOKUP(EDATE(B253,-12),Database!$F:$AY,MATCH($I$1,Database!$F$1:$AY$1,),)))))/(((VLOOKUP(EDATE(B253,-12),Database!$F:$AY,MATCH($I$1,Database!$F$1:$AY$1,),))))</f>
        <v/>
      </c>
      <c r="J253" s="13">
        <f>((((VLOOKUP(B253,Database!$F:$AY,MATCH($J$1,Database!$F$1:$AY$1,),))))-(((VLOOKUP(EDATE(B253,-12),Database!$F:$AY,MATCH($J$1,Database!$F$1:$AY$1,),)))))/(((VLOOKUP(EDATE(B253,-12),Database!$F:$AY,MATCH($J$1,Database!$F$1:$AY$1,),))))</f>
        <v/>
      </c>
      <c r="K253" s="13">
        <f>((((VLOOKUP(B253,Database!$F:$AY,MATCH($K$1,Database!$F$1:$AY$1,),))))-(((VLOOKUP(EDATE(B253,-12),Database!$F:$AY,MATCH($K$1,Database!$F$1:$AY$1,),)))))/(((VLOOKUP(EDATE(B253,-12),Database!$F:$AY,MATCH($K$1,Database!$F$1:$AY$1,),))))</f>
        <v/>
      </c>
      <c r="L253" s="13">
        <f>((((VLOOKUP(B253,Database!$F:$AY,MATCH($L$1,Database!$F$1:$AY$1,),))))-(((VLOOKUP(EDATE(B253,-12),Database!$F:$AY,MATCH($L$1,Database!$F$1:$AY$1,),)))))/(((VLOOKUP(EDATE(B253,-12),Database!$F:$AY,MATCH($L$1,Database!$F$1:$AY$1,),))))</f>
        <v/>
      </c>
      <c r="M253" s="13">
        <f>((((VLOOKUP(B253,Database!$F:$AY,MATCH($M$1,Database!$F$1:$AY$1,),))))-(((VLOOKUP(EDATE(B253,-12),Database!$F:$AY,MATCH($M$1,Database!$F$1:$AY$1,),)))))/(((VLOOKUP(EDATE(B253,-12),Database!$F:$AY,MATCH($M$1,Database!$F$1:$AY$1,),))))</f>
        <v/>
      </c>
      <c r="N253" s="13">
        <f>((((VLOOKUP(B253,Database!$F:$AY,MATCH($N$1,Database!$F$1:$AY$1,),))))-(((VLOOKUP(EDATE(B253,-12),Database!$F:$AY,MATCH($N$1,Database!$F$1:$AY$1,),)))))/(((VLOOKUP(EDATE(B253,-12),Database!$F:$AY,MATCH($N$1,Database!$F$1:$AY$1,),))))</f>
        <v/>
      </c>
      <c r="O253" s="13">
        <f>((((VLOOKUP(B253,Database!$F:$AY,MATCH($O$1,Database!$F$1:$AY$1,),))))-(((VLOOKUP(EDATE(B253,-12),Database!$F:$AY,MATCH($O$1,Database!$F$1:$AY$1,),)))))/(((VLOOKUP(EDATE(B253,-12),Database!$F:$AY,MATCH($O$1,Database!$F$1:$AY$1,),))))</f>
        <v/>
      </c>
      <c r="P253" s="13">
        <f>((((VLOOKUP(B253,Database!$F:$AY,MATCH($P$1,Database!$F$1:$AY$1,),))))-(((VLOOKUP(EDATE(B253,-12),Database!$F:$AY,MATCH($P$1,Database!$F$1:$AY$1,),)))))/(((VLOOKUP(EDATE(B253,-12),Database!$F:$AY,MATCH($P$1,Database!$F$1:$AY$1,),))))</f>
        <v/>
      </c>
      <c r="Q253" s="13">
        <f>((((VLOOKUP(B253,Database!$F:$AY,MATCH($Q$1,Database!$F$1:$AY$1,),))))-(((VLOOKUP(EDATE(B253,-12),Database!$F:$AY,MATCH($Q$1,Database!$F$1:$AY$1,),)))))/(((VLOOKUP(EDATE(B253,-12),Database!$F:$AY,MATCH($Q$1,Database!$F$1:$AY$1,),))))</f>
        <v/>
      </c>
      <c r="R253" s="13">
        <f>((((VLOOKUP(B253,Database!$F:$AY,MATCH($R$1,Database!$F$1:$AY$1,),))))-(((VLOOKUP(EDATE(B253,-12),Database!$F:$AY,MATCH($R$1,Database!$F$1:$AY$1,),)))))/(((VLOOKUP(EDATE(B253,-12),Database!$F:$AY,MATCH($R$1,Database!$F$1:$AY$1,),))))</f>
        <v/>
      </c>
      <c r="S253" s="13">
        <f>((((VLOOKUP(B253,Database!$F:$AY,MATCH($S$1,Database!$F$1:$AY$1,),))))-(((VLOOKUP(EDATE(B253,-12),Database!$F:$AY,MATCH($S$1,Database!$F$1:$AY$1,),)))))/(((VLOOKUP(EDATE(B253,-12),Database!$F:$AY,MATCH($S$1,Database!$F$1:$AY$1,),))))</f>
        <v/>
      </c>
      <c r="T253" s="13">
        <f>((((VLOOKUP(B253,Database!$F:$AY,MATCH($T$1,Database!$F$1:$AY$1,),))))-(((VLOOKUP(EDATE(B253,-12),Database!$F:$AY,MATCH($T$1,Database!$F$1:$AY$1,),)))))/(((VLOOKUP(EDATE(B253,-12),Database!$F:$AY,MATCH($T$1,Database!$F$1:$AY$1,),))))</f>
        <v/>
      </c>
      <c r="U253" s="13">
        <f>((((VLOOKUP(B253,Database!$F:$AY,MATCH($U$1,Database!$F$1:$AY$1,),))))-(((VLOOKUP(EDATE(B253,-12),Database!$F:$AY,MATCH($U$1,Database!$F$1:$AY$1,),)))))/(((VLOOKUP(EDATE(B253,-12),Database!$F:$AY,MATCH($U$1,Database!$F$1:$AY$1,),))))</f>
        <v/>
      </c>
      <c r="V253" s="13">
        <f>((((VLOOKUP(B253,Database!$F:$AY,MATCH($V$1,Database!$F$1:$AY$1,),))))-(((VLOOKUP(EDATE(B253,-12),Database!$F:$AY,MATCH($V$1,Database!$F$1:$AY$1,),)))))/(((VLOOKUP(EDATE(B253,-12),Database!$F:$AY,MATCH($V$1,Database!$F$1:$AY$1,),))))</f>
        <v/>
      </c>
    </row>
    <row r="254" customFormat="1" s="100">
      <c r="A254" s="45" t="n"/>
      <c r="B254" s="46" t="n">
        <v>39873</v>
      </c>
      <c r="C254" s="13">
        <f>((((VLOOKUP(B254,Database!$F:$AY,MATCH($C$1,Database!$F$1:$AY$1,),))))-(((VLOOKUP(EDATE(B254,-12),Database!$F:$AY,MATCH($C$1,Database!$F$1:$AY$1,),)))))/(((VLOOKUP(EDATE(B254,-12),Database!$F:$AY,MATCH($C$1,Database!$F$1:$AY$1,),))))</f>
        <v/>
      </c>
      <c r="D254" s="13">
        <f>((((VLOOKUP(B254,Database!$F:$AY,MATCH($D$1,Database!$F$1:$AY$1,),))))-(((VLOOKUP(EDATE(B254,-12),Database!$F:$AY,MATCH($D$1,Database!$F$1:$AY$1,),)))))/(((VLOOKUP(EDATE(B254,-12),Database!$F:$AY,MATCH($D$1,Database!$F$1:$AY$1,),))))</f>
        <v/>
      </c>
      <c r="E254" s="13">
        <f>((((VLOOKUP(B254,Database!$F:$AY,MATCH($E$1,Database!$F$1:$AY$1,),))))-(((VLOOKUP(EDATE(B254,-12),Database!$F:$AY,MATCH($E$1,Database!$F$1:$AY$1,),)))))/(((VLOOKUP(EDATE(B254,-12),Database!$F:$AY,MATCH($E$1,Database!$F$1:$AY$1,),))))</f>
        <v/>
      </c>
      <c r="F254" s="13">
        <f>((((VLOOKUP(B254,Database!$F:$AY,MATCH($F$1,Database!$F$1:$AY$1,),))))-(((VLOOKUP(EDATE(B254,-12),Database!$F:$AY,MATCH($F$1,Database!$F$1:$AY$1,),)))))/(((VLOOKUP(EDATE(B254,-12),Database!$F:$AY,MATCH($F$1,Database!$F$1:$AY$1,),))))</f>
        <v/>
      </c>
      <c r="G254" s="13">
        <f>((((VLOOKUP(B254,Database!$F:$AY,MATCH($G$1,Database!$F$1:$AY$1,),))))-(((VLOOKUP(EDATE(B254,-12),Database!$F:$AY,MATCH($G$1,Database!$F$1:$AY$1,),)))))/(((VLOOKUP(EDATE(B254,-12),Database!$F:$AY,MATCH($G$1,Database!$F$1:$AY$1,),))))</f>
        <v/>
      </c>
      <c r="H254" s="13">
        <f>((((VLOOKUP(B254,Database!$F:$AY,MATCH($H$1,Database!$F$1:$AY$1,),))))-(((VLOOKUP(EDATE(B254,-12),Database!$F:$AY,MATCH($H$1,Database!$F$1:$AY$1,),)))))/(((VLOOKUP(EDATE(B254,-12),Database!$F:$AY,MATCH($H$1,Database!$F$1:$AY$1,),))))</f>
        <v/>
      </c>
      <c r="I254" s="13">
        <f>((((VLOOKUP(B254,Database!$F:$AY,MATCH($I$1,Database!$F$1:$AY$1,),))))-(((VLOOKUP(EDATE(B254,-12),Database!$F:$AY,MATCH($I$1,Database!$F$1:$AY$1,),)))))/(((VLOOKUP(EDATE(B254,-12),Database!$F:$AY,MATCH($I$1,Database!$F$1:$AY$1,),))))</f>
        <v/>
      </c>
      <c r="J254" s="13">
        <f>((((VLOOKUP(B254,Database!$F:$AY,MATCH($J$1,Database!$F$1:$AY$1,),))))-(((VLOOKUP(EDATE(B254,-12),Database!$F:$AY,MATCH($J$1,Database!$F$1:$AY$1,),)))))/(((VLOOKUP(EDATE(B254,-12),Database!$F:$AY,MATCH($J$1,Database!$F$1:$AY$1,),))))</f>
        <v/>
      </c>
      <c r="K254" s="13">
        <f>((((VLOOKUP(B254,Database!$F:$AY,MATCH($K$1,Database!$F$1:$AY$1,),))))-(((VLOOKUP(EDATE(B254,-12),Database!$F:$AY,MATCH($K$1,Database!$F$1:$AY$1,),)))))/(((VLOOKUP(EDATE(B254,-12),Database!$F:$AY,MATCH($K$1,Database!$F$1:$AY$1,),))))</f>
        <v/>
      </c>
      <c r="L254" s="13">
        <f>((((VLOOKUP(B254,Database!$F:$AY,MATCH($L$1,Database!$F$1:$AY$1,),))))-(((VLOOKUP(EDATE(B254,-12),Database!$F:$AY,MATCH($L$1,Database!$F$1:$AY$1,),)))))/(((VLOOKUP(EDATE(B254,-12),Database!$F:$AY,MATCH($L$1,Database!$F$1:$AY$1,),))))</f>
        <v/>
      </c>
      <c r="M254" s="13">
        <f>((((VLOOKUP(B254,Database!$F:$AY,MATCH($M$1,Database!$F$1:$AY$1,),))))-(((VLOOKUP(EDATE(B254,-12),Database!$F:$AY,MATCH($M$1,Database!$F$1:$AY$1,),)))))/(((VLOOKUP(EDATE(B254,-12),Database!$F:$AY,MATCH($M$1,Database!$F$1:$AY$1,),))))</f>
        <v/>
      </c>
      <c r="N254" s="13">
        <f>((((VLOOKUP(B254,Database!$F:$AY,MATCH($N$1,Database!$F$1:$AY$1,),))))-(((VLOOKUP(EDATE(B254,-12),Database!$F:$AY,MATCH($N$1,Database!$F$1:$AY$1,),)))))/(((VLOOKUP(EDATE(B254,-12),Database!$F:$AY,MATCH($N$1,Database!$F$1:$AY$1,),))))</f>
        <v/>
      </c>
      <c r="O254" s="13">
        <f>((((VLOOKUP(B254,Database!$F:$AY,MATCH($O$1,Database!$F$1:$AY$1,),))))-(((VLOOKUP(EDATE(B254,-12),Database!$F:$AY,MATCH($O$1,Database!$F$1:$AY$1,),)))))/(((VLOOKUP(EDATE(B254,-12),Database!$F:$AY,MATCH($O$1,Database!$F$1:$AY$1,),))))</f>
        <v/>
      </c>
      <c r="P254" s="13">
        <f>((((VLOOKUP(B254,Database!$F:$AY,MATCH($P$1,Database!$F$1:$AY$1,),))))-(((VLOOKUP(EDATE(B254,-12),Database!$F:$AY,MATCH($P$1,Database!$F$1:$AY$1,),)))))/(((VLOOKUP(EDATE(B254,-12),Database!$F:$AY,MATCH($P$1,Database!$F$1:$AY$1,),))))</f>
        <v/>
      </c>
      <c r="Q254" s="13">
        <f>((((VLOOKUP(B254,Database!$F:$AY,MATCH($Q$1,Database!$F$1:$AY$1,),))))-(((VLOOKUP(EDATE(B254,-12),Database!$F:$AY,MATCH($Q$1,Database!$F$1:$AY$1,),)))))/(((VLOOKUP(EDATE(B254,-12),Database!$F:$AY,MATCH($Q$1,Database!$F$1:$AY$1,),))))</f>
        <v/>
      </c>
      <c r="R254" s="13">
        <f>((((VLOOKUP(B254,Database!$F:$AY,MATCH($R$1,Database!$F$1:$AY$1,),))))-(((VLOOKUP(EDATE(B254,-12),Database!$F:$AY,MATCH($R$1,Database!$F$1:$AY$1,),)))))/(((VLOOKUP(EDATE(B254,-12),Database!$F:$AY,MATCH($R$1,Database!$F$1:$AY$1,),))))</f>
        <v/>
      </c>
      <c r="S254" s="13">
        <f>((((VLOOKUP(B254,Database!$F:$AY,MATCH($S$1,Database!$F$1:$AY$1,),))))-(((VLOOKUP(EDATE(B254,-12),Database!$F:$AY,MATCH($S$1,Database!$F$1:$AY$1,),)))))/(((VLOOKUP(EDATE(B254,-12),Database!$F:$AY,MATCH($S$1,Database!$F$1:$AY$1,),))))</f>
        <v/>
      </c>
      <c r="T254" s="13">
        <f>((((VLOOKUP(B254,Database!$F:$AY,MATCH($T$1,Database!$F$1:$AY$1,),))))-(((VLOOKUP(EDATE(B254,-12),Database!$F:$AY,MATCH($T$1,Database!$F$1:$AY$1,),)))))/(((VLOOKUP(EDATE(B254,-12),Database!$F:$AY,MATCH($T$1,Database!$F$1:$AY$1,),))))</f>
        <v/>
      </c>
      <c r="U254" s="13">
        <f>((((VLOOKUP(B254,Database!$F:$AY,MATCH($U$1,Database!$F$1:$AY$1,),))))-(((VLOOKUP(EDATE(B254,-12),Database!$F:$AY,MATCH($U$1,Database!$F$1:$AY$1,),)))))/(((VLOOKUP(EDATE(B254,-12),Database!$F:$AY,MATCH($U$1,Database!$F$1:$AY$1,),))))</f>
        <v/>
      </c>
      <c r="V254" s="13">
        <f>((((VLOOKUP(B254,Database!$F:$AY,MATCH($V$1,Database!$F$1:$AY$1,),))))-(((VLOOKUP(EDATE(B254,-12),Database!$F:$AY,MATCH($V$1,Database!$F$1:$AY$1,),)))))/(((VLOOKUP(EDATE(B254,-12),Database!$F:$AY,MATCH($V$1,Database!$F$1:$AY$1,),))))</f>
        <v/>
      </c>
    </row>
    <row r="255" customFormat="1" s="100">
      <c r="A255" s="45" t="n"/>
      <c r="B255" s="46" t="n">
        <v>39904</v>
      </c>
      <c r="C255" s="13">
        <f>((((VLOOKUP(B255,Database!$F:$AY,MATCH($C$1,Database!$F$1:$AY$1,),))))-(((VLOOKUP(EDATE(B255,-12),Database!$F:$AY,MATCH($C$1,Database!$F$1:$AY$1,),)))))/(((VLOOKUP(EDATE(B255,-12),Database!$F:$AY,MATCH($C$1,Database!$F$1:$AY$1,),))))</f>
        <v/>
      </c>
      <c r="D255" s="13">
        <f>((((VLOOKUP(B255,Database!$F:$AY,MATCH($D$1,Database!$F$1:$AY$1,),))))-(((VLOOKUP(EDATE(B255,-12),Database!$F:$AY,MATCH($D$1,Database!$F$1:$AY$1,),)))))/(((VLOOKUP(EDATE(B255,-12),Database!$F:$AY,MATCH($D$1,Database!$F$1:$AY$1,),))))</f>
        <v/>
      </c>
      <c r="E255" s="13">
        <f>((((VLOOKUP(B255,Database!$F:$AY,MATCH($E$1,Database!$F$1:$AY$1,),))))-(((VLOOKUP(EDATE(B255,-12),Database!$F:$AY,MATCH($E$1,Database!$F$1:$AY$1,),)))))/(((VLOOKUP(EDATE(B255,-12),Database!$F:$AY,MATCH($E$1,Database!$F$1:$AY$1,),))))</f>
        <v/>
      </c>
      <c r="F255" s="13">
        <f>((((VLOOKUP(B255,Database!$F:$AY,MATCH($F$1,Database!$F$1:$AY$1,),))))-(((VLOOKUP(EDATE(B255,-12),Database!$F:$AY,MATCH($F$1,Database!$F$1:$AY$1,),)))))/(((VLOOKUP(EDATE(B255,-12),Database!$F:$AY,MATCH($F$1,Database!$F$1:$AY$1,),))))</f>
        <v/>
      </c>
      <c r="G255" s="13">
        <f>((((VLOOKUP(B255,Database!$F:$AY,MATCH($G$1,Database!$F$1:$AY$1,),))))-(((VLOOKUP(EDATE(B255,-12),Database!$F:$AY,MATCH($G$1,Database!$F$1:$AY$1,),)))))/(((VLOOKUP(EDATE(B255,-12),Database!$F:$AY,MATCH($G$1,Database!$F$1:$AY$1,),))))</f>
        <v/>
      </c>
      <c r="H255" s="13">
        <f>((((VLOOKUP(B255,Database!$F:$AY,MATCH($H$1,Database!$F$1:$AY$1,),))))-(((VLOOKUP(EDATE(B255,-12),Database!$F:$AY,MATCH($H$1,Database!$F$1:$AY$1,),)))))/(((VLOOKUP(EDATE(B255,-12),Database!$F:$AY,MATCH($H$1,Database!$F$1:$AY$1,),))))</f>
        <v/>
      </c>
      <c r="I255" s="13">
        <f>((((VLOOKUP(B255,Database!$F:$AY,MATCH($I$1,Database!$F$1:$AY$1,),))))-(((VLOOKUP(EDATE(B255,-12),Database!$F:$AY,MATCH($I$1,Database!$F$1:$AY$1,),)))))/(((VLOOKUP(EDATE(B255,-12),Database!$F:$AY,MATCH($I$1,Database!$F$1:$AY$1,),))))</f>
        <v/>
      </c>
      <c r="J255" s="13">
        <f>((((VLOOKUP(B255,Database!$F:$AY,MATCH($J$1,Database!$F$1:$AY$1,),))))-(((VLOOKUP(EDATE(B255,-12),Database!$F:$AY,MATCH($J$1,Database!$F$1:$AY$1,),)))))/(((VLOOKUP(EDATE(B255,-12),Database!$F:$AY,MATCH($J$1,Database!$F$1:$AY$1,),))))</f>
        <v/>
      </c>
      <c r="K255" s="13">
        <f>((((VLOOKUP(B255,Database!$F:$AY,MATCH($K$1,Database!$F$1:$AY$1,),))))-(((VLOOKUP(EDATE(B255,-12),Database!$F:$AY,MATCH($K$1,Database!$F$1:$AY$1,),)))))/(((VLOOKUP(EDATE(B255,-12),Database!$F:$AY,MATCH($K$1,Database!$F$1:$AY$1,),))))</f>
        <v/>
      </c>
      <c r="L255" s="13">
        <f>((((VLOOKUP(B255,Database!$F:$AY,MATCH($L$1,Database!$F$1:$AY$1,),))))-(((VLOOKUP(EDATE(B255,-12),Database!$F:$AY,MATCH($L$1,Database!$F$1:$AY$1,),)))))/(((VLOOKUP(EDATE(B255,-12),Database!$F:$AY,MATCH($L$1,Database!$F$1:$AY$1,),))))</f>
        <v/>
      </c>
      <c r="M255" s="13">
        <f>((((VLOOKUP(B255,Database!$F:$AY,MATCH($M$1,Database!$F$1:$AY$1,),))))-(((VLOOKUP(EDATE(B255,-12),Database!$F:$AY,MATCH($M$1,Database!$F$1:$AY$1,),)))))/(((VLOOKUP(EDATE(B255,-12),Database!$F:$AY,MATCH($M$1,Database!$F$1:$AY$1,),))))</f>
        <v/>
      </c>
      <c r="N255" s="13">
        <f>((((VLOOKUP(B255,Database!$F:$AY,MATCH($N$1,Database!$F$1:$AY$1,),))))-(((VLOOKUP(EDATE(B255,-12),Database!$F:$AY,MATCH($N$1,Database!$F$1:$AY$1,),)))))/(((VLOOKUP(EDATE(B255,-12),Database!$F:$AY,MATCH($N$1,Database!$F$1:$AY$1,),))))</f>
        <v/>
      </c>
      <c r="O255" s="13">
        <f>((((VLOOKUP(B255,Database!$F:$AY,MATCH($O$1,Database!$F$1:$AY$1,),))))-(((VLOOKUP(EDATE(B255,-12),Database!$F:$AY,MATCH($O$1,Database!$F$1:$AY$1,),)))))/(((VLOOKUP(EDATE(B255,-12),Database!$F:$AY,MATCH($O$1,Database!$F$1:$AY$1,),))))</f>
        <v/>
      </c>
      <c r="P255" s="13">
        <f>((((VLOOKUP(B255,Database!$F:$AY,MATCH($P$1,Database!$F$1:$AY$1,),))))-(((VLOOKUP(EDATE(B255,-12),Database!$F:$AY,MATCH($P$1,Database!$F$1:$AY$1,),)))))/(((VLOOKUP(EDATE(B255,-12),Database!$F:$AY,MATCH($P$1,Database!$F$1:$AY$1,),))))</f>
        <v/>
      </c>
      <c r="Q255" s="13">
        <f>((((VLOOKUP(B255,Database!$F:$AY,MATCH($Q$1,Database!$F$1:$AY$1,),))))-(((VLOOKUP(EDATE(B255,-12),Database!$F:$AY,MATCH($Q$1,Database!$F$1:$AY$1,),)))))/(((VLOOKUP(EDATE(B255,-12),Database!$F:$AY,MATCH($Q$1,Database!$F$1:$AY$1,),))))</f>
        <v/>
      </c>
      <c r="R255" s="13">
        <f>((((VLOOKUP(B255,Database!$F:$AY,MATCH($R$1,Database!$F$1:$AY$1,),))))-(((VLOOKUP(EDATE(B255,-12),Database!$F:$AY,MATCH($R$1,Database!$F$1:$AY$1,),)))))/(((VLOOKUP(EDATE(B255,-12),Database!$F:$AY,MATCH($R$1,Database!$F$1:$AY$1,),))))</f>
        <v/>
      </c>
      <c r="S255" s="13">
        <f>((((VLOOKUP(B255,Database!$F:$AY,MATCH($S$1,Database!$F$1:$AY$1,),))))-(((VLOOKUP(EDATE(B255,-12),Database!$F:$AY,MATCH($S$1,Database!$F$1:$AY$1,),)))))/(((VLOOKUP(EDATE(B255,-12),Database!$F:$AY,MATCH($S$1,Database!$F$1:$AY$1,),))))</f>
        <v/>
      </c>
      <c r="T255" s="13">
        <f>((((VLOOKUP(B255,Database!$F:$AY,MATCH($T$1,Database!$F$1:$AY$1,),))))-(((VLOOKUP(EDATE(B255,-12),Database!$F:$AY,MATCH($T$1,Database!$F$1:$AY$1,),)))))/(((VLOOKUP(EDATE(B255,-12),Database!$F:$AY,MATCH($T$1,Database!$F$1:$AY$1,),))))</f>
        <v/>
      </c>
      <c r="U255" s="13">
        <f>((((VLOOKUP(B255,Database!$F:$AY,MATCH($U$1,Database!$F$1:$AY$1,),))))-(((VLOOKUP(EDATE(B255,-12),Database!$F:$AY,MATCH($U$1,Database!$F$1:$AY$1,),)))))/(((VLOOKUP(EDATE(B255,-12),Database!$F:$AY,MATCH($U$1,Database!$F$1:$AY$1,),))))</f>
        <v/>
      </c>
      <c r="V255" s="13">
        <f>((((VLOOKUP(B255,Database!$F:$AY,MATCH($V$1,Database!$F$1:$AY$1,),))))-(((VLOOKUP(EDATE(B255,-12),Database!$F:$AY,MATCH($V$1,Database!$F$1:$AY$1,),)))))/(((VLOOKUP(EDATE(B255,-12),Database!$F:$AY,MATCH($V$1,Database!$F$1:$AY$1,),))))</f>
        <v/>
      </c>
    </row>
    <row r="256" customFormat="1" s="100">
      <c r="A256" s="45" t="n"/>
      <c r="B256" s="46" t="n">
        <v>39934</v>
      </c>
      <c r="C256" s="13">
        <f>((((VLOOKUP(B256,Database!$F:$AY,MATCH($C$1,Database!$F$1:$AY$1,),))))-(((VLOOKUP(EDATE(B256,-12),Database!$F:$AY,MATCH($C$1,Database!$F$1:$AY$1,),)))))/(((VLOOKUP(EDATE(B256,-12),Database!$F:$AY,MATCH($C$1,Database!$F$1:$AY$1,),))))</f>
        <v/>
      </c>
      <c r="D256" s="13">
        <f>((((VLOOKUP(B256,Database!$F:$AY,MATCH($D$1,Database!$F$1:$AY$1,),))))-(((VLOOKUP(EDATE(B256,-12),Database!$F:$AY,MATCH($D$1,Database!$F$1:$AY$1,),)))))/(((VLOOKUP(EDATE(B256,-12),Database!$F:$AY,MATCH($D$1,Database!$F$1:$AY$1,),))))</f>
        <v/>
      </c>
      <c r="E256" s="13">
        <f>((((VLOOKUP(B256,Database!$F:$AY,MATCH($E$1,Database!$F$1:$AY$1,),))))-(((VLOOKUP(EDATE(B256,-12),Database!$F:$AY,MATCH($E$1,Database!$F$1:$AY$1,),)))))/(((VLOOKUP(EDATE(B256,-12),Database!$F:$AY,MATCH($E$1,Database!$F$1:$AY$1,),))))</f>
        <v/>
      </c>
      <c r="F256" s="13">
        <f>((((VLOOKUP(B256,Database!$F:$AY,MATCH($F$1,Database!$F$1:$AY$1,),))))-(((VLOOKUP(EDATE(B256,-12),Database!$F:$AY,MATCH($F$1,Database!$F$1:$AY$1,),)))))/(((VLOOKUP(EDATE(B256,-12),Database!$F:$AY,MATCH($F$1,Database!$F$1:$AY$1,),))))</f>
        <v/>
      </c>
      <c r="G256" s="13">
        <f>((((VLOOKUP(B256,Database!$F:$AY,MATCH($G$1,Database!$F$1:$AY$1,),))))-(((VLOOKUP(EDATE(B256,-12),Database!$F:$AY,MATCH($G$1,Database!$F$1:$AY$1,),)))))/(((VLOOKUP(EDATE(B256,-12),Database!$F:$AY,MATCH($G$1,Database!$F$1:$AY$1,),))))</f>
        <v/>
      </c>
      <c r="H256" s="13">
        <f>((((VLOOKUP(B256,Database!$F:$AY,MATCH($H$1,Database!$F$1:$AY$1,),))))-(((VLOOKUP(EDATE(B256,-12),Database!$F:$AY,MATCH($H$1,Database!$F$1:$AY$1,),)))))/(((VLOOKUP(EDATE(B256,-12),Database!$F:$AY,MATCH($H$1,Database!$F$1:$AY$1,),))))</f>
        <v/>
      </c>
      <c r="I256" s="13">
        <f>((((VLOOKUP(B256,Database!$F:$AY,MATCH($I$1,Database!$F$1:$AY$1,),))))-(((VLOOKUP(EDATE(B256,-12),Database!$F:$AY,MATCH($I$1,Database!$F$1:$AY$1,),)))))/(((VLOOKUP(EDATE(B256,-12),Database!$F:$AY,MATCH($I$1,Database!$F$1:$AY$1,),))))</f>
        <v/>
      </c>
      <c r="J256" s="13">
        <f>((((VLOOKUP(B256,Database!$F:$AY,MATCH($J$1,Database!$F$1:$AY$1,),))))-(((VLOOKUP(EDATE(B256,-12),Database!$F:$AY,MATCH($J$1,Database!$F$1:$AY$1,),)))))/(((VLOOKUP(EDATE(B256,-12),Database!$F:$AY,MATCH($J$1,Database!$F$1:$AY$1,),))))</f>
        <v/>
      </c>
      <c r="K256" s="13">
        <f>((((VLOOKUP(B256,Database!$F:$AY,MATCH($K$1,Database!$F$1:$AY$1,),))))-(((VLOOKUP(EDATE(B256,-12),Database!$F:$AY,MATCH($K$1,Database!$F$1:$AY$1,),)))))/(((VLOOKUP(EDATE(B256,-12),Database!$F:$AY,MATCH($K$1,Database!$F$1:$AY$1,),))))</f>
        <v/>
      </c>
      <c r="L256" s="13">
        <f>((((VLOOKUP(B256,Database!$F:$AY,MATCH($L$1,Database!$F$1:$AY$1,),))))-(((VLOOKUP(EDATE(B256,-12),Database!$F:$AY,MATCH($L$1,Database!$F$1:$AY$1,),)))))/(((VLOOKUP(EDATE(B256,-12),Database!$F:$AY,MATCH($L$1,Database!$F$1:$AY$1,),))))</f>
        <v/>
      </c>
      <c r="M256" s="13">
        <f>((((VLOOKUP(B256,Database!$F:$AY,MATCH($M$1,Database!$F$1:$AY$1,),))))-(((VLOOKUP(EDATE(B256,-12),Database!$F:$AY,MATCH($M$1,Database!$F$1:$AY$1,),)))))/(((VLOOKUP(EDATE(B256,-12),Database!$F:$AY,MATCH($M$1,Database!$F$1:$AY$1,),))))</f>
        <v/>
      </c>
      <c r="N256" s="13">
        <f>((((VLOOKUP(B256,Database!$F:$AY,MATCH($N$1,Database!$F$1:$AY$1,),))))-(((VLOOKUP(EDATE(B256,-12),Database!$F:$AY,MATCH($N$1,Database!$F$1:$AY$1,),)))))/(((VLOOKUP(EDATE(B256,-12),Database!$F:$AY,MATCH($N$1,Database!$F$1:$AY$1,),))))</f>
        <v/>
      </c>
      <c r="O256" s="13">
        <f>((((VLOOKUP(B256,Database!$F:$AY,MATCH($O$1,Database!$F$1:$AY$1,),))))-(((VLOOKUP(EDATE(B256,-12),Database!$F:$AY,MATCH($O$1,Database!$F$1:$AY$1,),)))))/(((VLOOKUP(EDATE(B256,-12),Database!$F:$AY,MATCH($O$1,Database!$F$1:$AY$1,),))))</f>
        <v/>
      </c>
      <c r="P256" s="13">
        <f>((((VLOOKUP(B256,Database!$F:$AY,MATCH($P$1,Database!$F$1:$AY$1,),))))-(((VLOOKUP(EDATE(B256,-12),Database!$F:$AY,MATCH($P$1,Database!$F$1:$AY$1,),)))))/(((VLOOKUP(EDATE(B256,-12),Database!$F:$AY,MATCH($P$1,Database!$F$1:$AY$1,),))))</f>
        <v/>
      </c>
      <c r="Q256" s="13">
        <f>((((VLOOKUP(B256,Database!$F:$AY,MATCH($Q$1,Database!$F$1:$AY$1,),))))-(((VLOOKUP(EDATE(B256,-12),Database!$F:$AY,MATCH($Q$1,Database!$F$1:$AY$1,),)))))/(((VLOOKUP(EDATE(B256,-12),Database!$F:$AY,MATCH($Q$1,Database!$F$1:$AY$1,),))))</f>
        <v/>
      </c>
      <c r="R256" s="13">
        <f>((((VLOOKUP(B256,Database!$F:$AY,MATCH($R$1,Database!$F$1:$AY$1,),))))-(((VLOOKUP(EDATE(B256,-12),Database!$F:$AY,MATCH($R$1,Database!$F$1:$AY$1,),)))))/(((VLOOKUP(EDATE(B256,-12),Database!$F:$AY,MATCH($R$1,Database!$F$1:$AY$1,),))))</f>
        <v/>
      </c>
      <c r="S256" s="13">
        <f>((((VLOOKUP(B256,Database!$F:$AY,MATCH($S$1,Database!$F$1:$AY$1,),))))-(((VLOOKUP(EDATE(B256,-12),Database!$F:$AY,MATCH($S$1,Database!$F$1:$AY$1,),)))))/(((VLOOKUP(EDATE(B256,-12),Database!$F:$AY,MATCH($S$1,Database!$F$1:$AY$1,),))))</f>
        <v/>
      </c>
      <c r="T256" s="13">
        <f>((((VLOOKUP(B256,Database!$F:$AY,MATCH($T$1,Database!$F$1:$AY$1,),))))-(((VLOOKUP(EDATE(B256,-12),Database!$F:$AY,MATCH($T$1,Database!$F$1:$AY$1,),)))))/(((VLOOKUP(EDATE(B256,-12),Database!$F:$AY,MATCH($T$1,Database!$F$1:$AY$1,),))))</f>
        <v/>
      </c>
      <c r="U256" s="13">
        <f>((((VLOOKUP(B256,Database!$F:$AY,MATCH($U$1,Database!$F$1:$AY$1,),))))-(((VLOOKUP(EDATE(B256,-12),Database!$F:$AY,MATCH($U$1,Database!$F$1:$AY$1,),)))))/(((VLOOKUP(EDATE(B256,-12),Database!$F:$AY,MATCH($U$1,Database!$F$1:$AY$1,),))))</f>
        <v/>
      </c>
      <c r="V256" s="13">
        <f>((((VLOOKUP(B256,Database!$F:$AY,MATCH($V$1,Database!$F$1:$AY$1,),))))-(((VLOOKUP(EDATE(B256,-12),Database!$F:$AY,MATCH($V$1,Database!$F$1:$AY$1,),)))))/(((VLOOKUP(EDATE(B256,-12),Database!$F:$AY,MATCH($V$1,Database!$F$1:$AY$1,),))))</f>
        <v/>
      </c>
    </row>
    <row r="257" customFormat="1" s="100">
      <c r="A257" s="45" t="n"/>
      <c r="B257" s="46" t="n">
        <v>39965</v>
      </c>
      <c r="C257" s="13">
        <f>((((VLOOKUP(B257,Database!$F:$AY,MATCH($C$1,Database!$F$1:$AY$1,),))))-(((VLOOKUP(EDATE(B257,-12),Database!$F:$AY,MATCH($C$1,Database!$F$1:$AY$1,),)))))/(((VLOOKUP(EDATE(B257,-12),Database!$F:$AY,MATCH($C$1,Database!$F$1:$AY$1,),))))</f>
        <v/>
      </c>
      <c r="D257" s="13">
        <f>((((VLOOKUP(B257,Database!$F:$AY,MATCH($D$1,Database!$F$1:$AY$1,),))))-(((VLOOKUP(EDATE(B257,-12),Database!$F:$AY,MATCH($D$1,Database!$F$1:$AY$1,),)))))/(((VLOOKUP(EDATE(B257,-12),Database!$F:$AY,MATCH($D$1,Database!$F$1:$AY$1,),))))</f>
        <v/>
      </c>
      <c r="E257" s="13">
        <f>((((VLOOKUP(B257,Database!$F:$AY,MATCH($E$1,Database!$F$1:$AY$1,),))))-(((VLOOKUP(EDATE(B257,-12),Database!$F:$AY,MATCH($E$1,Database!$F$1:$AY$1,),)))))/(((VLOOKUP(EDATE(B257,-12),Database!$F:$AY,MATCH($E$1,Database!$F$1:$AY$1,),))))</f>
        <v/>
      </c>
      <c r="F257" s="13">
        <f>((((VLOOKUP(B257,Database!$F:$AY,MATCH($F$1,Database!$F$1:$AY$1,),))))-(((VLOOKUP(EDATE(B257,-12),Database!$F:$AY,MATCH($F$1,Database!$F$1:$AY$1,),)))))/(((VLOOKUP(EDATE(B257,-12),Database!$F:$AY,MATCH($F$1,Database!$F$1:$AY$1,),))))</f>
        <v/>
      </c>
      <c r="G257" s="13">
        <f>((((VLOOKUP(B257,Database!$F:$AY,MATCH($G$1,Database!$F$1:$AY$1,),))))-(((VLOOKUP(EDATE(B257,-12),Database!$F:$AY,MATCH($G$1,Database!$F$1:$AY$1,),)))))/(((VLOOKUP(EDATE(B257,-12),Database!$F:$AY,MATCH($G$1,Database!$F$1:$AY$1,),))))</f>
        <v/>
      </c>
      <c r="H257" s="13">
        <f>((((VLOOKUP(B257,Database!$F:$AY,MATCH($H$1,Database!$F$1:$AY$1,),))))-(((VLOOKUP(EDATE(B257,-12),Database!$F:$AY,MATCH($H$1,Database!$F$1:$AY$1,),)))))/(((VLOOKUP(EDATE(B257,-12),Database!$F:$AY,MATCH($H$1,Database!$F$1:$AY$1,),))))</f>
        <v/>
      </c>
      <c r="I257" s="13">
        <f>((((VLOOKUP(B257,Database!$F:$AY,MATCH($I$1,Database!$F$1:$AY$1,),))))-(((VLOOKUP(EDATE(B257,-12),Database!$F:$AY,MATCH($I$1,Database!$F$1:$AY$1,),)))))/(((VLOOKUP(EDATE(B257,-12),Database!$F:$AY,MATCH($I$1,Database!$F$1:$AY$1,),))))</f>
        <v/>
      </c>
      <c r="J257" s="13">
        <f>((((VLOOKUP(B257,Database!$F:$AY,MATCH($J$1,Database!$F$1:$AY$1,),))))-(((VLOOKUP(EDATE(B257,-12),Database!$F:$AY,MATCH($J$1,Database!$F$1:$AY$1,),)))))/(((VLOOKUP(EDATE(B257,-12),Database!$F:$AY,MATCH($J$1,Database!$F$1:$AY$1,),))))</f>
        <v/>
      </c>
      <c r="K257" s="13">
        <f>((((VLOOKUP(B257,Database!$F:$AY,MATCH($K$1,Database!$F$1:$AY$1,),))))-(((VLOOKUP(EDATE(B257,-12),Database!$F:$AY,MATCH($K$1,Database!$F$1:$AY$1,),)))))/(((VLOOKUP(EDATE(B257,-12),Database!$F:$AY,MATCH($K$1,Database!$F$1:$AY$1,),))))</f>
        <v/>
      </c>
      <c r="L257" s="13">
        <f>((((VLOOKUP(B257,Database!$F:$AY,MATCH($L$1,Database!$F$1:$AY$1,),))))-(((VLOOKUP(EDATE(B257,-12),Database!$F:$AY,MATCH($L$1,Database!$F$1:$AY$1,),)))))/(((VLOOKUP(EDATE(B257,-12),Database!$F:$AY,MATCH($L$1,Database!$F$1:$AY$1,),))))</f>
        <v/>
      </c>
      <c r="M257" s="13">
        <f>((((VLOOKUP(B257,Database!$F:$AY,MATCH($M$1,Database!$F$1:$AY$1,),))))-(((VLOOKUP(EDATE(B257,-12),Database!$F:$AY,MATCH($M$1,Database!$F$1:$AY$1,),)))))/(((VLOOKUP(EDATE(B257,-12),Database!$F:$AY,MATCH($M$1,Database!$F$1:$AY$1,),))))</f>
        <v/>
      </c>
      <c r="N257" s="13">
        <f>((((VLOOKUP(B257,Database!$F:$AY,MATCH($N$1,Database!$F$1:$AY$1,),))))-(((VLOOKUP(EDATE(B257,-12),Database!$F:$AY,MATCH($N$1,Database!$F$1:$AY$1,),)))))/(((VLOOKUP(EDATE(B257,-12),Database!$F:$AY,MATCH($N$1,Database!$F$1:$AY$1,),))))</f>
        <v/>
      </c>
      <c r="O257" s="13">
        <f>((((VLOOKUP(B257,Database!$F:$AY,MATCH($O$1,Database!$F$1:$AY$1,),))))-(((VLOOKUP(EDATE(B257,-12),Database!$F:$AY,MATCH($O$1,Database!$F$1:$AY$1,),)))))/(((VLOOKUP(EDATE(B257,-12),Database!$F:$AY,MATCH($O$1,Database!$F$1:$AY$1,),))))</f>
        <v/>
      </c>
      <c r="P257" s="13">
        <f>((((VLOOKUP(B257,Database!$F:$AY,MATCH($P$1,Database!$F$1:$AY$1,),))))-(((VLOOKUP(EDATE(B257,-12),Database!$F:$AY,MATCH($P$1,Database!$F$1:$AY$1,),)))))/(((VLOOKUP(EDATE(B257,-12),Database!$F:$AY,MATCH($P$1,Database!$F$1:$AY$1,),))))</f>
        <v/>
      </c>
      <c r="Q257" s="13">
        <f>((((VLOOKUP(B257,Database!$F:$AY,MATCH($Q$1,Database!$F$1:$AY$1,),))))-(((VLOOKUP(EDATE(B257,-12),Database!$F:$AY,MATCH($Q$1,Database!$F$1:$AY$1,),)))))/(((VLOOKUP(EDATE(B257,-12),Database!$F:$AY,MATCH($Q$1,Database!$F$1:$AY$1,),))))</f>
        <v/>
      </c>
      <c r="R257" s="13">
        <f>((((VLOOKUP(B257,Database!$F:$AY,MATCH($R$1,Database!$F$1:$AY$1,),))))-(((VLOOKUP(EDATE(B257,-12),Database!$F:$AY,MATCH($R$1,Database!$F$1:$AY$1,),)))))/(((VLOOKUP(EDATE(B257,-12),Database!$F:$AY,MATCH($R$1,Database!$F$1:$AY$1,),))))</f>
        <v/>
      </c>
      <c r="S257" s="13">
        <f>((((VLOOKUP(B257,Database!$F:$AY,MATCH($S$1,Database!$F$1:$AY$1,),))))-(((VLOOKUP(EDATE(B257,-12),Database!$F:$AY,MATCH($S$1,Database!$F$1:$AY$1,),)))))/(((VLOOKUP(EDATE(B257,-12),Database!$F:$AY,MATCH($S$1,Database!$F$1:$AY$1,),))))</f>
        <v/>
      </c>
      <c r="T257" s="13">
        <f>((((VLOOKUP(B257,Database!$F:$AY,MATCH($T$1,Database!$F$1:$AY$1,),))))-(((VLOOKUP(EDATE(B257,-12),Database!$F:$AY,MATCH($T$1,Database!$F$1:$AY$1,),)))))/(((VLOOKUP(EDATE(B257,-12),Database!$F:$AY,MATCH($T$1,Database!$F$1:$AY$1,),))))</f>
        <v/>
      </c>
      <c r="U257" s="13">
        <f>((((VLOOKUP(B257,Database!$F:$AY,MATCH($U$1,Database!$F$1:$AY$1,),))))-(((VLOOKUP(EDATE(B257,-12),Database!$F:$AY,MATCH($U$1,Database!$F$1:$AY$1,),)))))/(((VLOOKUP(EDATE(B257,-12),Database!$F:$AY,MATCH($U$1,Database!$F$1:$AY$1,),))))</f>
        <v/>
      </c>
      <c r="V257" s="13">
        <f>((((VLOOKUP(B257,Database!$F:$AY,MATCH($V$1,Database!$F$1:$AY$1,),))))-(((VLOOKUP(EDATE(B257,-12),Database!$F:$AY,MATCH($V$1,Database!$F$1:$AY$1,),)))))/(((VLOOKUP(EDATE(B257,-12),Database!$F:$AY,MATCH($V$1,Database!$F$1:$AY$1,),))))</f>
        <v/>
      </c>
    </row>
    <row r="258" customFormat="1" s="100">
      <c r="A258" s="45" t="n"/>
      <c r="B258" s="46" t="n">
        <v>39995</v>
      </c>
      <c r="C258" s="13">
        <f>((((VLOOKUP(B258,Database!$F:$AY,MATCH($C$1,Database!$F$1:$AY$1,),))))-(((VLOOKUP(EDATE(B258,-12),Database!$F:$AY,MATCH($C$1,Database!$F$1:$AY$1,),)))))/(((VLOOKUP(EDATE(B258,-12),Database!$F:$AY,MATCH($C$1,Database!$F$1:$AY$1,),))))</f>
        <v/>
      </c>
      <c r="D258" s="13">
        <f>((((VLOOKUP(B258,Database!$F:$AY,MATCH($D$1,Database!$F$1:$AY$1,),))))-(((VLOOKUP(EDATE(B258,-12),Database!$F:$AY,MATCH($D$1,Database!$F$1:$AY$1,),)))))/(((VLOOKUP(EDATE(B258,-12),Database!$F:$AY,MATCH($D$1,Database!$F$1:$AY$1,),))))</f>
        <v/>
      </c>
      <c r="E258" s="13">
        <f>((((VLOOKUP(B258,Database!$F:$AY,MATCH($E$1,Database!$F$1:$AY$1,),))))-(((VLOOKUP(EDATE(B258,-12),Database!$F:$AY,MATCH($E$1,Database!$F$1:$AY$1,),)))))/(((VLOOKUP(EDATE(B258,-12),Database!$F:$AY,MATCH($E$1,Database!$F$1:$AY$1,),))))</f>
        <v/>
      </c>
      <c r="F258" s="13">
        <f>((((VLOOKUP(B258,Database!$F:$AY,MATCH($F$1,Database!$F$1:$AY$1,),))))-(((VLOOKUP(EDATE(B258,-12),Database!$F:$AY,MATCH($F$1,Database!$F$1:$AY$1,),)))))/(((VLOOKUP(EDATE(B258,-12),Database!$F:$AY,MATCH($F$1,Database!$F$1:$AY$1,),))))</f>
        <v/>
      </c>
      <c r="G258" s="13">
        <f>((((VLOOKUP(B258,Database!$F:$AY,MATCH($G$1,Database!$F$1:$AY$1,),))))-(((VLOOKUP(EDATE(B258,-12),Database!$F:$AY,MATCH($G$1,Database!$F$1:$AY$1,),)))))/(((VLOOKUP(EDATE(B258,-12),Database!$F:$AY,MATCH($G$1,Database!$F$1:$AY$1,),))))</f>
        <v/>
      </c>
      <c r="H258" s="13">
        <f>((((VLOOKUP(B258,Database!$F:$AY,MATCH($H$1,Database!$F$1:$AY$1,),))))-(((VLOOKUP(EDATE(B258,-12),Database!$F:$AY,MATCH($H$1,Database!$F$1:$AY$1,),)))))/(((VLOOKUP(EDATE(B258,-12),Database!$F:$AY,MATCH($H$1,Database!$F$1:$AY$1,),))))</f>
        <v/>
      </c>
      <c r="I258" s="13">
        <f>((((VLOOKUP(B258,Database!$F:$AY,MATCH($I$1,Database!$F$1:$AY$1,),))))-(((VLOOKUP(EDATE(B258,-12),Database!$F:$AY,MATCH($I$1,Database!$F$1:$AY$1,),)))))/(((VLOOKUP(EDATE(B258,-12),Database!$F:$AY,MATCH($I$1,Database!$F$1:$AY$1,),))))</f>
        <v/>
      </c>
      <c r="J258" s="13">
        <f>((((VLOOKUP(B258,Database!$F:$AY,MATCH($J$1,Database!$F$1:$AY$1,),))))-(((VLOOKUP(EDATE(B258,-12),Database!$F:$AY,MATCH($J$1,Database!$F$1:$AY$1,),)))))/(((VLOOKUP(EDATE(B258,-12),Database!$F:$AY,MATCH($J$1,Database!$F$1:$AY$1,),))))</f>
        <v/>
      </c>
      <c r="K258" s="13">
        <f>((((VLOOKUP(B258,Database!$F:$AY,MATCH($K$1,Database!$F$1:$AY$1,),))))-(((VLOOKUP(EDATE(B258,-12),Database!$F:$AY,MATCH($K$1,Database!$F$1:$AY$1,),)))))/(((VLOOKUP(EDATE(B258,-12),Database!$F:$AY,MATCH($K$1,Database!$F$1:$AY$1,),))))</f>
        <v/>
      </c>
      <c r="L258" s="13">
        <f>((((VLOOKUP(B258,Database!$F:$AY,MATCH($L$1,Database!$F$1:$AY$1,),))))-(((VLOOKUP(EDATE(B258,-12),Database!$F:$AY,MATCH($L$1,Database!$F$1:$AY$1,),)))))/(((VLOOKUP(EDATE(B258,-12),Database!$F:$AY,MATCH($L$1,Database!$F$1:$AY$1,),))))</f>
        <v/>
      </c>
      <c r="M258" s="13">
        <f>((((VLOOKUP(B258,Database!$F:$AY,MATCH($M$1,Database!$F$1:$AY$1,),))))-(((VLOOKUP(EDATE(B258,-12),Database!$F:$AY,MATCH($M$1,Database!$F$1:$AY$1,),)))))/(((VLOOKUP(EDATE(B258,-12),Database!$F:$AY,MATCH($M$1,Database!$F$1:$AY$1,),))))</f>
        <v/>
      </c>
      <c r="N258" s="13">
        <f>((((VLOOKUP(B258,Database!$F:$AY,MATCH($N$1,Database!$F$1:$AY$1,),))))-(((VLOOKUP(EDATE(B258,-12),Database!$F:$AY,MATCH($N$1,Database!$F$1:$AY$1,),)))))/(((VLOOKUP(EDATE(B258,-12),Database!$F:$AY,MATCH($N$1,Database!$F$1:$AY$1,),))))</f>
        <v/>
      </c>
      <c r="O258" s="13">
        <f>((((VLOOKUP(B258,Database!$F:$AY,MATCH($O$1,Database!$F$1:$AY$1,),))))-(((VLOOKUP(EDATE(B258,-12),Database!$F:$AY,MATCH($O$1,Database!$F$1:$AY$1,),)))))/(((VLOOKUP(EDATE(B258,-12),Database!$F:$AY,MATCH($O$1,Database!$F$1:$AY$1,),))))</f>
        <v/>
      </c>
      <c r="P258" s="13">
        <f>((((VLOOKUP(B258,Database!$F:$AY,MATCH($P$1,Database!$F$1:$AY$1,),))))-(((VLOOKUP(EDATE(B258,-12),Database!$F:$AY,MATCH($P$1,Database!$F$1:$AY$1,),)))))/(((VLOOKUP(EDATE(B258,-12),Database!$F:$AY,MATCH($P$1,Database!$F$1:$AY$1,),))))</f>
        <v/>
      </c>
      <c r="Q258" s="13">
        <f>((((VLOOKUP(B258,Database!$F:$AY,MATCH($Q$1,Database!$F$1:$AY$1,),))))-(((VLOOKUP(EDATE(B258,-12),Database!$F:$AY,MATCH($Q$1,Database!$F$1:$AY$1,),)))))/(((VLOOKUP(EDATE(B258,-12),Database!$F:$AY,MATCH($Q$1,Database!$F$1:$AY$1,),))))</f>
        <v/>
      </c>
      <c r="R258" s="13">
        <f>((((VLOOKUP(B258,Database!$F:$AY,MATCH($R$1,Database!$F$1:$AY$1,),))))-(((VLOOKUP(EDATE(B258,-12),Database!$F:$AY,MATCH($R$1,Database!$F$1:$AY$1,),)))))/(((VLOOKUP(EDATE(B258,-12),Database!$F:$AY,MATCH($R$1,Database!$F$1:$AY$1,),))))</f>
        <v/>
      </c>
      <c r="S258" s="13">
        <f>((((VLOOKUP(B258,Database!$F:$AY,MATCH($S$1,Database!$F$1:$AY$1,),))))-(((VLOOKUP(EDATE(B258,-12),Database!$F:$AY,MATCH($S$1,Database!$F$1:$AY$1,),)))))/(((VLOOKUP(EDATE(B258,-12),Database!$F:$AY,MATCH($S$1,Database!$F$1:$AY$1,),))))</f>
        <v/>
      </c>
      <c r="T258" s="13">
        <f>((((VLOOKUP(B258,Database!$F:$AY,MATCH($T$1,Database!$F$1:$AY$1,),))))-(((VLOOKUP(EDATE(B258,-12),Database!$F:$AY,MATCH($T$1,Database!$F$1:$AY$1,),)))))/(((VLOOKUP(EDATE(B258,-12),Database!$F:$AY,MATCH($T$1,Database!$F$1:$AY$1,),))))</f>
        <v/>
      </c>
      <c r="U258" s="13">
        <f>((((VLOOKUP(B258,Database!$F:$AY,MATCH($U$1,Database!$F$1:$AY$1,),))))-(((VLOOKUP(EDATE(B258,-12),Database!$F:$AY,MATCH($U$1,Database!$F$1:$AY$1,),)))))/(((VLOOKUP(EDATE(B258,-12),Database!$F:$AY,MATCH($U$1,Database!$F$1:$AY$1,),))))</f>
        <v/>
      </c>
      <c r="V258" s="13">
        <f>((((VLOOKUP(B258,Database!$F:$AY,MATCH($V$1,Database!$F$1:$AY$1,),))))-(((VLOOKUP(EDATE(B258,-12),Database!$F:$AY,MATCH($V$1,Database!$F$1:$AY$1,),)))))/(((VLOOKUP(EDATE(B258,-12),Database!$F:$AY,MATCH($V$1,Database!$F$1:$AY$1,),))))</f>
        <v/>
      </c>
    </row>
    <row r="259" customFormat="1" s="100">
      <c r="A259" s="45" t="n"/>
      <c r="B259" s="46" t="n">
        <v>40026</v>
      </c>
      <c r="C259" s="13">
        <f>((((VLOOKUP(B259,Database!$F:$AY,MATCH($C$1,Database!$F$1:$AY$1,),))))-(((VLOOKUP(EDATE(B259,-12),Database!$F:$AY,MATCH($C$1,Database!$F$1:$AY$1,),)))))/(((VLOOKUP(EDATE(B259,-12),Database!$F:$AY,MATCH($C$1,Database!$F$1:$AY$1,),))))</f>
        <v/>
      </c>
      <c r="D259" s="13">
        <f>((((VLOOKUP(B259,Database!$F:$AY,MATCH($D$1,Database!$F$1:$AY$1,),))))-(((VLOOKUP(EDATE(B259,-12),Database!$F:$AY,MATCH($D$1,Database!$F$1:$AY$1,),)))))/(((VLOOKUP(EDATE(B259,-12),Database!$F:$AY,MATCH($D$1,Database!$F$1:$AY$1,),))))</f>
        <v/>
      </c>
      <c r="E259" s="13">
        <f>((((VLOOKUP(B259,Database!$F:$AY,MATCH($E$1,Database!$F$1:$AY$1,),))))-(((VLOOKUP(EDATE(B259,-12),Database!$F:$AY,MATCH($E$1,Database!$F$1:$AY$1,),)))))/(((VLOOKUP(EDATE(B259,-12),Database!$F:$AY,MATCH($E$1,Database!$F$1:$AY$1,),))))</f>
        <v/>
      </c>
      <c r="F259" s="13">
        <f>((((VLOOKUP(B259,Database!$F:$AY,MATCH($F$1,Database!$F$1:$AY$1,),))))-(((VLOOKUP(EDATE(B259,-12),Database!$F:$AY,MATCH($F$1,Database!$F$1:$AY$1,),)))))/(((VLOOKUP(EDATE(B259,-12),Database!$F:$AY,MATCH($F$1,Database!$F$1:$AY$1,),))))</f>
        <v/>
      </c>
      <c r="G259" s="13">
        <f>((((VLOOKUP(B259,Database!$F:$AY,MATCH($G$1,Database!$F$1:$AY$1,),))))-(((VLOOKUP(EDATE(B259,-12),Database!$F:$AY,MATCH($G$1,Database!$F$1:$AY$1,),)))))/(((VLOOKUP(EDATE(B259,-12),Database!$F:$AY,MATCH($G$1,Database!$F$1:$AY$1,),))))</f>
        <v/>
      </c>
      <c r="H259" s="13">
        <f>((((VLOOKUP(B259,Database!$F:$AY,MATCH($H$1,Database!$F$1:$AY$1,),))))-(((VLOOKUP(EDATE(B259,-12),Database!$F:$AY,MATCH($H$1,Database!$F$1:$AY$1,),)))))/(((VLOOKUP(EDATE(B259,-12),Database!$F:$AY,MATCH($H$1,Database!$F$1:$AY$1,),))))</f>
        <v/>
      </c>
      <c r="I259" s="13">
        <f>((((VLOOKUP(B259,Database!$F:$AY,MATCH($I$1,Database!$F$1:$AY$1,),))))-(((VLOOKUP(EDATE(B259,-12),Database!$F:$AY,MATCH($I$1,Database!$F$1:$AY$1,),)))))/(((VLOOKUP(EDATE(B259,-12),Database!$F:$AY,MATCH($I$1,Database!$F$1:$AY$1,),))))</f>
        <v/>
      </c>
      <c r="J259" s="13">
        <f>((((VLOOKUP(B259,Database!$F:$AY,MATCH($J$1,Database!$F$1:$AY$1,),))))-(((VLOOKUP(EDATE(B259,-12),Database!$F:$AY,MATCH($J$1,Database!$F$1:$AY$1,),)))))/(((VLOOKUP(EDATE(B259,-12),Database!$F:$AY,MATCH($J$1,Database!$F$1:$AY$1,),))))</f>
        <v/>
      </c>
      <c r="K259" s="13">
        <f>((((VLOOKUP(B259,Database!$F:$AY,MATCH($K$1,Database!$F$1:$AY$1,),))))-(((VLOOKUP(EDATE(B259,-12),Database!$F:$AY,MATCH($K$1,Database!$F$1:$AY$1,),)))))/(((VLOOKUP(EDATE(B259,-12),Database!$F:$AY,MATCH($K$1,Database!$F$1:$AY$1,),))))</f>
        <v/>
      </c>
      <c r="L259" s="13">
        <f>((((VLOOKUP(B259,Database!$F:$AY,MATCH($L$1,Database!$F$1:$AY$1,),))))-(((VLOOKUP(EDATE(B259,-12),Database!$F:$AY,MATCH($L$1,Database!$F$1:$AY$1,),)))))/(((VLOOKUP(EDATE(B259,-12),Database!$F:$AY,MATCH($L$1,Database!$F$1:$AY$1,),))))</f>
        <v/>
      </c>
      <c r="M259" s="13">
        <f>((((VLOOKUP(B259,Database!$F:$AY,MATCH($M$1,Database!$F$1:$AY$1,),))))-(((VLOOKUP(EDATE(B259,-12),Database!$F:$AY,MATCH($M$1,Database!$F$1:$AY$1,),)))))/(((VLOOKUP(EDATE(B259,-12),Database!$F:$AY,MATCH($M$1,Database!$F$1:$AY$1,),))))</f>
        <v/>
      </c>
      <c r="N259" s="13">
        <f>((((VLOOKUP(B259,Database!$F:$AY,MATCH($N$1,Database!$F$1:$AY$1,),))))-(((VLOOKUP(EDATE(B259,-12),Database!$F:$AY,MATCH($N$1,Database!$F$1:$AY$1,),)))))/(((VLOOKUP(EDATE(B259,-12),Database!$F:$AY,MATCH($N$1,Database!$F$1:$AY$1,),))))</f>
        <v/>
      </c>
      <c r="O259" s="13">
        <f>((((VLOOKUP(B259,Database!$F:$AY,MATCH($O$1,Database!$F$1:$AY$1,),))))-(((VLOOKUP(EDATE(B259,-12),Database!$F:$AY,MATCH($O$1,Database!$F$1:$AY$1,),)))))/(((VLOOKUP(EDATE(B259,-12),Database!$F:$AY,MATCH($O$1,Database!$F$1:$AY$1,),))))</f>
        <v/>
      </c>
      <c r="P259" s="13">
        <f>((((VLOOKUP(B259,Database!$F:$AY,MATCH($P$1,Database!$F$1:$AY$1,),))))-(((VLOOKUP(EDATE(B259,-12),Database!$F:$AY,MATCH($P$1,Database!$F$1:$AY$1,),)))))/(((VLOOKUP(EDATE(B259,-12),Database!$F:$AY,MATCH($P$1,Database!$F$1:$AY$1,),))))</f>
        <v/>
      </c>
      <c r="Q259" s="13">
        <f>((((VLOOKUP(B259,Database!$F:$AY,MATCH($Q$1,Database!$F$1:$AY$1,),))))-(((VLOOKUP(EDATE(B259,-12),Database!$F:$AY,MATCH($Q$1,Database!$F$1:$AY$1,),)))))/(((VLOOKUP(EDATE(B259,-12),Database!$F:$AY,MATCH($Q$1,Database!$F$1:$AY$1,),))))</f>
        <v/>
      </c>
      <c r="R259" s="13">
        <f>((((VLOOKUP(B259,Database!$F:$AY,MATCH($R$1,Database!$F$1:$AY$1,),))))-(((VLOOKUP(EDATE(B259,-12),Database!$F:$AY,MATCH($R$1,Database!$F$1:$AY$1,),)))))/(((VLOOKUP(EDATE(B259,-12),Database!$F:$AY,MATCH($R$1,Database!$F$1:$AY$1,),))))</f>
        <v/>
      </c>
      <c r="S259" s="13">
        <f>((((VLOOKUP(B259,Database!$F:$AY,MATCH($S$1,Database!$F$1:$AY$1,),))))-(((VLOOKUP(EDATE(B259,-12),Database!$F:$AY,MATCH($S$1,Database!$F$1:$AY$1,),)))))/(((VLOOKUP(EDATE(B259,-12),Database!$F:$AY,MATCH($S$1,Database!$F$1:$AY$1,),))))</f>
        <v/>
      </c>
      <c r="T259" s="13">
        <f>((((VLOOKUP(B259,Database!$F:$AY,MATCH($T$1,Database!$F$1:$AY$1,),))))-(((VLOOKUP(EDATE(B259,-12),Database!$F:$AY,MATCH($T$1,Database!$F$1:$AY$1,),)))))/(((VLOOKUP(EDATE(B259,-12),Database!$F:$AY,MATCH($T$1,Database!$F$1:$AY$1,),))))</f>
        <v/>
      </c>
      <c r="U259" s="13">
        <f>((((VLOOKUP(B259,Database!$F:$AY,MATCH($U$1,Database!$F$1:$AY$1,),))))-(((VLOOKUP(EDATE(B259,-12),Database!$F:$AY,MATCH($U$1,Database!$F$1:$AY$1,),)))))/(((VLOOKUP(EDATE(B259,-12),Database!$F:$AY,MATCH($U$1,Database!$F$1:$AY$1,),))))</f>
        <v/>
      </c>
      <c r="V259" s="13">
        <f>((((VLOOKUP(B259,Database!$F:$AY,MATCH($V$1,Database!$F$1:$AY$1,),))))-(((VLOOKUP(EDATE(B259,-12),Database!$F:$AY,MATCH($V$1,Database!$F$1:$AY$1,),)))))/(((VLOOKUP(EDATE(B259,-12),Database!$F:$AY,MATCH($V$1,Database!$F$1:$AY$1,),))))</f>
        <v/>
      </c>
    </row>
    <row r="260" customFormat="1" s="100">
      <c r="A260" s="45" t="n"/>
      <c r="B260" s="46" t="n">
        <v>40057</v>
      </c>
      <c r="C260" s="13">
        <f>((((VLOOKUP(B260,Database!$F:$AY,MATCH($C$1,Database!$F$1:$AY$1,),))))-(((VLOOKUP(EDATE(B260,-12),Database!$F:$AY,MATCH($C$1,Database!$F$1:$AY$1,),)))))/(((VLOOKUP(EDATE(B260,-12),Database!$F:$AY,MATCH($C$1,Database!$F$1:$AY$1,),))))</f>
        <v/>
      </c>
      <c r="D260" s="13">
        <f>((((VLOOKUP(B260,Database!$F:$AY,MATCH($D$1,Database!$F$1:$AY$1,),))))-(((VLOOKUP(EDATE(B260,-12),Database!$F:$AY,MATCH($D$1,Database!$F$1:$AY$1,),)))))/(((VLOOKUP(EDATE(B260,-12),Database!$F:$AY,MATCH($D$1,Database!$F$1:$AY$1,),))))</f>
        <v/>
      </c>
      <c r="E260" s="13">
        <f>((((VLOOKUP(B260,Database!$F:$AY,MATCH($E$1,Database!$F$1:$AY$1,),))))-(((VLOOKUP(EDATE(B260,-12),Database!$F:$AY,MATCH($E$1,Database!$F$1:$AY$1,),)))))/(((VLOOKUP(EDATE(B260,-12),Database!$F:$AY,MATCH($E$1,Database!$F$1:$AY$1,),))))</f>
        <v/>
      </c>
      <c r="F260" s="13">
        <f>((((VLOOKUP(B260,Database!$F:$AY,MATCH($F$1,Database!$F$1:$AY$1,),))))-(((VLOOKUP(EDATE(B260,-12),Database!$F:$AY,MATCH($F$1,Database!$F$1:$AY$1,),)))))/(((VLOOKUP(EDATE(B260,-12),Database!$F:$AY,MATCH($F$1,Database!$F$1:$AY$1,),))))</f>
        <v/>
      </c>
      <c r="G260" s="13">
        <f>((((VLOOKUP(B260,Database!$F:$AY,MATCH($G$1,Database!$F$1:$AY$1,),))))-(((VLOOKUP(EDATE(B260,-12),Database!$F:$AY,MATCH($G$1,Database!$F$1:$AY$1,),)))))/(((VLOOKUP(EDATE(B260,-12),Database!$F:$AY,MATCH($G$1,Database!$F$1:$AY$1,),))))</f>
        <v/>
      </c>
      <c r="H260" s="13">
        <f>((((VLOOKUP(B260,Database!$F:$AY,MATCH($H$1,Database!$F$1:$AY$1,),))))-(((VLOOKUP(EDATE(B260,-12),Database!$F:$AY,MATCH($H$1,Database!$F$1:$AY$1,),)))))/(((VLOOKUP(EDATE(B260,-12),Database!$F:$AY,MATCH($H$1,Database!$F$1:$AY$1,),))))</f>
        <v/>
      </c>
      <c r="I260" s="13">
        <f>((((VLOOKUP(B260,Database!$F:$AY,MATCH($I$1,Database!$F$1:$AY$1,),))))-(((VLOOKUP(EDATE(B260,-12),Database!$F:$AY,MATCH($I$1,Database!$F$1:$AY$1,),)))))/(((VLOOKUP(EDATE(B260,-12),Database!$F:$AY,MATCH($I$1,Database!$F$1:$AY$1,),))))</f>
        <v/>
      </c>
      <c r="J260" s="13">
        <f>((((VLOOKUP(B260,Database!$F:$AY,MATCH($J$1,Database!$F$1:$AY$1,),))))-(((VLOOKUP(EDATE(B260,-12),Database!$F:$AY,MATCH($J$1,Database!$F$1:$AY$1,),)))))/(((VLOOKUP(EDATE(B260,-12),Database!$F:$AY,MATCH($J$1,Database!$F$1:$AY$1,),))))</f>
        <v/>
      </c>
      <c r="K260" s="13">
        <f>((((VLOOKUP(B260,Database!$F:$AY,MATCH($K$1,Database!$F$1:$AY$1,),))))-(((VLOOKUP(EDATE(B260,-12),Database!$F:$AY,MATCH($K$1,Database!$F$1:$AY$1,),)))))/(((VLOOKUP(EDATE(B260,-12),Database!$F:$AY,MATCH($K$1,Database!$F$1:$AY$1,),))))</f>
        <v/>
      </c>
      <c r="L260" s="13">
        <f>((((VLOOKUP(B260,Database!$F:$AY,MATCH($L$1,Database!$F$1:$AY$1,),))))-(((VLOOKUP(EDATE(B260,-12),Database!$F:$AY,MATCH($L$1,Database!$F$1:$AY$1,),)))))/(((VLOOKUP(EDATE(B260,-12),Database!$F:$AY,MATCH($L$1,Database!$F$1:$AY$1,),))))</f>
        <v/>
      </c>
      <c r="M260" s="13">
        <f>((((VLOOKUP(B260,Database!$F:$AY,MATCH($M$1,Database!$F$1:$AY$1,),))))-(((VLOOKUP(EDATE(B260,-12),Database!$F:$AY,MATCH($M$1,Database!$F$1:$AY$1,),)))))/(((VLOOKUP(EDATE(B260,-12),Database!$F:$AY,MATCH($M$1,Database!$F$1:$AY$1,),))))</f>
        <v/>
      </c>
      <c r="N260" s="13">
        <f>((((VLOOKUP(B260,Database!$F:$AY,MATCH($N$1,Database!$F$1:$AY$1,),))))-(((VLOOKUP(EDATE(B260,-12),Database!$F:$AY,MATCH($N$1,Database!$F$1:$AY$1,),)))))/(((VLOOKUP(EDATE(B260,-12),Database!$F:$AY,MATCH($N$1,Database!$F$1:$AY$1,),))))</f>
        <v/>
      </c>
      <c r="O260" s="13">
        <f>((((VLOOKUP(B260,Database!$F:$AY,MATCH($O$1,Database!$F$1:$AY$1,),))))-(((VLOOKUP(EDATE(B260,-12),Database!$F:$AY,MATCH($O$1,Database!$F$1:$AY$1,),)))))/(((VLOOKUP(EDATE(B260,-12),Database!$F:$AY,MATCH($O$1,Database!$F$1:$AY$1,),))))</f>
        <v/>
      </c>
      <c r="P260" s="13">
        <f>((((VLOOKUP(B260,Database!$F:$AY,MATCH($P$1,Database!$F$1:$AY$1,),))))-(((VLOOKUP(EDATE(B260,-12),Database!$F:$AY,MATCH($P$1,Database!$F$1:$AY$1,),)))))/(((VLOOKUP(EDATE(B260,-12),Database!$F:$AY,MATCH($P$1,Database!$F$1:$AY$1,),))))</f>
        <v/>
      </c>
      <c r="Q260" s="13">
        <f>((((VLOOKUP(B260,Database!$F:$AY,MATCH($Q$1,Database!$F$1:$AY$1,),))))-(((VLOOKUP(EDATE(B260,-12),Database!$F:$AY,MATCH($Q$1,Database!$F$1:$AY$1,),)))))/(((VLOOKUP(EDATE(B260,-12),Database!$F:$AY,MATCH($Q$1,Database!$F$1:$AY$1,),))))</f>
        <v/>
      </c>
      <c r="R260" s="13">
        <f>((((VLOOKUP(B260,Database!$F:$AY,MATCH($R$1,Database!$F$1:$AY$1,),))))-(((VLOOKUP(EDATE(B260,-12),Database!$F:$AY,MATCH($R$1,Database!$F$1:$AY$1,),)))))/(((VLOOKUP(EDATE(B260,-12),Database!$F:$AY,MATCH($R$1,Database!$F$1:$AY$1,),))))</f>
        <v/>
      </c>
      <c r="S260" s="13">
        <f>((((VLOOKUP(B260,Database!$F:$AY,MATCH($S$1,Database!$F$1:$AY$1,),))))-(((VLOOKUP(EDATE(B260,-12),Database!$F:$AY,MATCH($S$1,Database!$F$1:$AY$1,),)))))/(((VLOOKUP(EDATE(B260,-12),Database!$F:$AY,MATCH($S$1,Database!$F$1:$AY$1,),))))</f>
        <v/>
      </c>
      <c r="T260" s="13">
        <f>((((VLOOKUP(B260,Database!$F:$AY,MATCH($T$1,Database!$F$1:$AY$1,),))))-(((VLOOKUP(EDATE(B260,-12),Database!$F:$AY,MATCH($T$1,Database!$F$1:$AY$1,),)))))/(((VLOOKUP(EDATE(B260,-12),Database!$F:$AY,MATCH($T$1,Database!$F$1:$AY$1,),))))</f>
        <v/>
      </c>
      <c r="U260" s="13">
        <f>((((VLOOKUP(B260,Database!$F:$AY,MATCH($U$1,Database!$F$1:$AY$1,),))))-(((VLOOKUP(EDATE(B260,-12),Database!$F:$AY,MATCH($U$1,Database!$F$1:$AY$1,),)))))/(((VLOOKUP(EDATE(B260,-12),Database!$F:$AY,MATCH($U$1,Database!$F$1:$AY$1,),))))</f>
        <v/>
      </c>
      <c r="V260" s="13">
        <f>((((VLOOKUP(B260,Database!$F:$AY,MATCH($V$1,Database!$F$1:$AY$1,),))))-(((VLOOKUP(EDATE(B260,-12),Database!$F:$AY,MATCH($V$1,Database!$F$1:$AY$1,),)))))/(((VLOOKUP(EDATE(B260,-12),Database!$F:$AY,MATCH($V$1,Database!$F$1:$AY$1,),))))</f>
        <v/>
      </c>
    </row>
    <row r="261" customFormat="1" s="100">
      <c r="A261" s="45" t="n"/>
      <c r="B261" s="46" t="n">
        <v>40087</v>
      </c>
      <c r="C261" s="13">
        <f>((((VLOOKUP(B261,Database!$F:$AY,MATCH($C$1,Database!$F$1:$AY$1,),))))-(((VLOOKUP(EDATE(B261,-12),Database!$F:$AY,MATCH($C$1,Database!$F$1:$AY$1,),)))))/(((VLOOKUP(EDATE(B261,-12),Database!$F:$AY,MATCH($C$1,Database!$F$1:$AY$1,),))))</f>
        <v/>
      </c>
      <c r="D261" s="13">
        <f>((((VLOOKUP(B261,Database!$F:$AY,MATCH($D$1,Database!$F$1:$AY$1,),))))-(((VLOOKUP(EDATE(B261,-12),Database!$F:$AY,MATCH($D$1,Database!$F$1:$AY$1,),)))))/(((VLOOKUP(EDATE(B261,-12),Database!$F:$AY,MATCH($D$1,Database!$F$1:$AY$1,),))))</f>
        <v/>
      </c>
      <c r="E261" s="13">
        <f>((((VLOOKUP(B261,Database!$F:$AY,MATCH($E$1,Database!$F$1:$AY$1,),))))-(((VLOOKUP(EDATE(B261,-12),Database!$F:$AY,MATCH($E$1,Database!$F$1:$AY$1,),)))))/(((VLOOKUP(EDATE(B261,-12),Database!$F:$AY,MATCH($E$1,Database!$F$1:$AY$1,),))))</f>
        <v/>
      </c>
      <c r="F261" s="13">
        <f>((((VLOOKUP(B261,Database!$F:$AY,MATCH($F$1,Database!$F$1:$AY$1,),))))-(((VLOOKUP(EDATE(B261,-12),Database!$F:$AY,MATCH($F$1,Database!$F$1:$AY$1,),)))))/(((VLOOKUP(EDATE(B261,-12),Database!$F:$AY,MATCH($F$1,Database!$F$1:$AY$1,),))))</f>
        <v/>
      </c>
      <c r="G261" s="13">
        <f>((((VLOOKUP(B261,Database!$F:$AY,MATCH($G$1,Database!$F$1:$AY$1,),))))-(((VLOOKUP(EDATE(B261,-12),Database!$F:$AY,MATCH($G$1,Database!$F$1:$AY$1,),)))))/(((VLOOKUP(EDATE(B261,-12),Database!$F:$AY,MATCH($G$1,Database!$F$1:$AY$1,),))))</f>
        <v/>
      </c>
      <c r="H261" s="13">
        <f>((((VLOOKUP(B261,Database!$F:$AY,MATCH($H$1,Database!$F$1:$AY$1,),))))-(((VLOOKUP(EDATE(B261,-12),Database!$F:$AY,MATCH($H$1,Database!$F$1:$AY$1,),)))))/(((VLOOKUP(EDATE(B261,-12),Database!$F:$AY,MATCH($H$1,Database!$F$1:$AY$1,),))))</f>
        <v/>
      </c>
      <c r="I261" s="13">
        <f>((((VLOOKUP(B261,Database!$F:$AY,MATCH($I$1,Database!$F$1:$AY$1,),))))-(((VLOOKUP(EDATE(B261,-12),Database!$F:$AY,MATCH($I$1,Database!$F$1:$AY$1,),)))))/(((VLOOKUP(EDATE(B261,-12),Database!$F:$AY,MATCH($I$1,Database!$F$1:$AY$1,),))))</f>
        <v/>
      </c>
      <c r="J261" s="13">
        <f>((((VLOOKUP(B261,Database!$F:$AY,MATCH($J$1,Database!$F$1:$AY$1,),))))-(((VLOOKUP(EDATE(B261,-12),Database!$F:$AY,MATCH($J$1,Database!$F$1:$AY$1,),)))))/(((VLOOKUP(EDATE(B261,-12),Database!$F:$AY,MATCH($J$1,Database!$F$1:$AY$1,),))))</f>
        <v/>
      </c>
      <c r="K261" s="13">
        <f>((((VLOOKUP(B261,Database!$F:$AY,MATCH($K$1,Database!$F$1:$AY$1,),))))-(((VLOOKUP(EDATE(B261,-12),Database!$F:$AY,MATCH($K$1,Database!$F$1:$AY$1,),)))))/(((VLOOKUP(EDATE(B261,-12),Database!$F:$AY,MATCH($K$1,Database!$F$1:$AY$1,),))))</f>
        <v/>
      </c>
      <c r="L261" s="13">
        <f>((((VLOOKUP(B261,Database!$F:$AY,MATCH($L$1,Database!$F$1:$AY$1,),))))-(((VLOOKUP(EDATE(B261,-12),Database!$F:$AY,MATCH($L$1,Database!$F$1:$AY$1,),)))))/(((VLOOKUP(EDATE(B261,-12),Database!$F:$AY,MATCH($L$1,Database!$F$1:$AY$1,),))))</f>
        <v/>
      </c>
      <c r="M261" s="13">
        <f>((((VLOOKUP(B261,Database!$F:$AY,MATCH($M$1,Database!$F$1:$AY$1,),))))-(((VLOOKUP(EDATE(B261,-12),Database!$F:$AY,MATCH($M$1,Database!$F$1:$AY$1,),)))))/(((VLOOKUP(EDATE(B261,-12),Database!$F:$AY,MATCH($M$1,Database!$F$1:$AY$1,),))))</f>
        <v/>
      </c>
      <c r="N261" s="13">
        <f>((((VLOOKUP(B261,Database!$F:$AY,MATCH($N$1,Database!$F$1:$AY$1,),))))-(((VLOOKUP(EDATE(B261,-12),Database!$F:$AY,MATCH($N$1,Database!$F$1:$AY$1,),)))))/(((VLOOKUP(EDATE(B261,-12),Database!$F:$AY,MATCH($N$1,Database!$F$1:$AY$1,),))))</f>
        <v/>
      </c>
      <c r="O261" s="13">
        <f>((((VLOOKUP(B261,Database!$F:$AY,MATCH($O$1,Database!$F$1:$AY$1,),))))-(((VLOOKUP(EDATE(B261,-12),Database!$F:$AY,MATCH($O$1,Database!$F$1:$AY$1,),)))))/(((VLOOKUP(EDATE(B261,-12),Database!$F:$AY,MATCH($O$1,Database!$F$1:$AY$1,),))))</f>
        <v/>
      </c>
      <c r="P261" s="13">
        <f>((((VLOOKUP(B261,Database!$F:$AY,MATCH($P$1,Database!$F$1:$AY$1,),))))-(((VLOOKUP(EDATE(B261,-12),Database!$F:$AY,MATCH($P$1,Database!$F$1:$AY$1,),)))))/(((VLOOKUP(EDATE(B261,-12),Database!$F:$AY,MATCH($P$1,Database!$F$1:$AY$1,),))))</f>
        <v/>
      </c>
      <c r="Q261" s="13">
        <f>((((VLOOKUP(B261,Database!$F:$AY,MATCH($Q$1,Database!$F$1:$AY$1,),))))-(((VLOOKUP(EDATE(B261,-12),Database!$F:$AY,MATCH($Q$1,Database!$F$1:$AY$1,),)))))/(((VLOOKUP(EDATE(B261,-12),Database!$F:$AY,MATCH($Q$1,Database!$F$1:$AY$1,),))))</f>
        <v/>
      </c>
      <c r="R261" s="13">
        <f>((((VLOOKUP(B261,Database!$F:$AY,MATCH($R$1,Database!$F$1:$AY$1,),))))-(((VLOOKUP(EDATE(B261,-12),Database!$F:$AY,MATCH($R$1,Database!$F$1:$AY$1,),)))))/(((VLOOKUP(EDATE(B261,-12),Database!$F:$AY,MATCH($R$1,Database!$F$1:$AY$1,),))))</f>
        <v/>
      </c>
      <c r="S261" s="13">
        <f>((((VLOOKUP(B261,Database!$F:$AY,MATCH($S$1,Database!$F$1:$AY$1,),))))-(((VLOOKUP(EDATE(B261,-12),Database!$F:$AY,MATCH($S$1,Database!$F$1:$AY$1,),)))))/(((VLOOKUP(EDATE(B261,-12),Database!$F:$AY,MATCH($S$1,Database!$F$1:$AY$1,),))))</f>
        <v/>
      </c>
      <c r="T261" s="13">
        <f>((((VLOOKUP(B261,Database!$F:$AY,MATCH($T$1,Database!$F$1:$AY$1,),))))-(((VLOOKUP(EDATE(B261,-12),Database!$F:$AY,MATCH($T$1,Database!$F$1:$AY$1,),)))))/(((VLOOKUP(EDATE(B261,-12),Database!$F:$AY,MATCH($T$1,Database!$F$1:$AY$1,),))))</f>
        <v/>
      </c>
      <c r="U261" s="13">
        <f>((((VLOOKUP(B261,Database!$F:$AY,MATCH($U$1,Database!$F$1:$AY$1,),))))-(((VLOOKUP(EDATE(B261,-12),Database!$F:$AY,MATCH($U$1,Database!$F$1:$AY$1,),)))))/(((VLOOKUP(EDATE(B261,-12),Database!$F:$AY,MATCH($U$1,Database!$F$1:$AY$1,),))))</f>
        <v/>
      </c>
      <c r="V261" s="13">
        <f>((((VLOOKUP(B261,Database!$F:$AY,MATCH($V$1,Database!$F$1:$AY$1,),))))-(((VLOOKUP(EDATE(B261,-12),Database!$F:$AY,MATCH($V$1,Database!$F$1:$AY$1,),)))))/(((VLOOKUP(EDATE(B261,-12),Database!$F:$AY,MATCH($V$1,Database!$F$1:$AY$1,),))))</f>
        <v/>
      </c>
    </row>
    <row r="262" customFormat="1" s="100">
      <c r="A262" s="45" t="n"/>
      <c r="B262" s="46" t="n">
        <v>40118</v>
      </c>
      <c r="C262" s="13">
        <f>((((VLOOKUP(B262,Database!$F:$AY,MATCH($C$1,Database!$F$1:$AY$1,),))))-(((VLOOKUP(EDATE(B262,-12),Database!$F:$AY,MATCH($C$1,Database!$F$1:$AY$1,),)))))/(((VLOOKUP(EDATE(B262,-12),Database!$F:$AY,MATCH($C$1,Database!$F$1:$AY$1,),))))</f>
        <v/>
      </c>
      <c r="D262" s="13">
        <f>((((VLOOKUP(B262,Database!$F:$AY,MATCH($D$1,Database!$F$1:$AY$1,),))))-(((VLOOKUP(EDATE(B262,-12),Database!$F:$AY,MATCH($D$1,Database!$F$1:$AY$1,),)))))/(((VLOOKUP(EDATE(B262,-12),Database!$F:$AY,MATCH($D$1,Database!$F$1:$AY$1,),))))</f>
        <v/>
      </c>
      <c r="E262" s="13">
        <f>((((VLOOKUP(B262,Database!$F:$AY,MATCH($E$1,Database!$F$1:$AY$1,),))))-(((VLOOKUP(EDATE(B262,-12),Database!$F:$AY,MATCH($E$1,Database!$F$1:$AY$1,),)))))/(((VLOOKUP(EDATE(B262,-12),Database!$F:$AY,MATCH($E$1,Database!$F$1:$AY$1,),))))</f>
        <v/>
      </c>
      <c r="F262" s="13">
        <f>((((VLOOKUP(B262,Database!$F:$AY,MATCH($F$1,Database!$F$1:$AY$1,),))))-(((VLOOKUP(EDATE(B262,-12),Database!$F:$AY,MATCH($F$1,Database!$F$1:$AY$1,),)))))/(((VLOOKUP(EDATE(B262,-12),Database!$F:$AY,MATCH($F$1,Database!$F$1:$AY$1,),))))</f>
        <v/>
      </c>
      <c r="G262" s="13">
        <f>((((VLOOKUP(B262,Database!$F:$AY,MATCH($G$1,Database!$F$1:$AY$1,),))))-(((VLOOKUP(EDATE(B262,-12),Database!$F:$AY,MATCH($G$1,Database!$F$1:$AY$1,),)))))/(((VLOOKUP(EDATE(B262,-12),Database!$F:$AY,MATCH($G$1,Database!$F$1:$AY$1,),))))</f>
        <v/>
      </c>
      <c r="H262" s="13">
        <f>((((VLOOKUP(B262,Database!$F:$AY,MATCH($H$1,Database!$F$1:$AY$1,),))))-(((VLOOKUP(EDATE(B262,-12),Database!$F:$AY,MATCH($H$1,Database!$F$1:$AY$1,),)))))/(((VLOOKUP(EDATE(B262,-12),Database!$F:$AY,MATCH($H$1,Database!$F$1:$AY$1,),))))</f>
        <v/>
      </c>
      <c r="I262" s="13">
        <f>((((VLOOKUP(B262,Database!$F:$AY,MATCH($I$1,Database!$F$1:$AY$1,),))))-(((VLOOKUP(EDATE(B262,-12),Database!$F:$AY,MATCH($I$1,Database!$F$1:$AY$1,),)))))/(((VLOOKUP(EDATE(B262,-12),Database!$F:$AY,MATCH($I$1,Database!$F$1:$AY$1,),))))</f>
        <v/>
      </c>
      <c r="J262" s="13">
        <f>((((VLOOKUP(B262,Database!$F:$AY,MATCH($J$1,Database!$F$1:$AY$1,),))))-(((VLOOKUP(EDATE(B262,-12),Database!$F:$AY,MATCH($J$1,Database!$F$1:$AY$1,),)))))/(((VLOOKUP(EDATE(B262,-12),Database!$F:$AY,MATCH($J$1,Database!$F$1:$AY$1,),))))</f>
        <v/>
      </c>
      <c r="K262" s="13">
        <f>((((VLOOKUP(B262,Database!$F:$AY,MATCH($K$1,Database!$F$1:$AY$1,),))))-(((VLOOKUP(EDATE(B262,-12),Database!$F:$AY,MATCH($K$1,Database!$F$1:$AY$1,),)))))/(((VLOOKUP(EDATE(B262,-12),Database!$F:$AY,MATCH($K$1,Database!$F$1:$AY$1,),))))</f>
        <v/>
      </c>
      <c r="L262" s="13">
        <f>((((VLOOKUP(B262,Database!$F:$AY,MATCH($L$1,Database!$F$1:$AY$1,),))))-(((VLOOKUP(EDATE(B262,-12),Database!$F:$AY,MATCH($L$1,Database!$F$1:$AY$1,),)))))/(((VLOOKUP(EDATE(B262,-12),Database!$F:$AY,MATCH($L$1,Database!$F$1:$AY$1,),))))</f>
        <v/>
      </c>
      <c r="M262" s="13">
        <f>((((VLOOKUP(B262,Database!$F:$AY,MATCH($M$1,Database!$F$1:$AY$1,),))))-(((VLOOKUP(EDATE(B262,-12),Database!$F:$AY,MATCH($M$1,Database!$F$1:$AY$1,),)))))/(((VLOOKUP(EDATE(B262,-12),Database!$F:$AY,MATCH($M$1,Database!$F$1:$AY$1,),))))</f>
        <v/>
      </c>
      <c r="N262" s="13">
        <f>((((VLOOKUP(B262,Database!$F:$AY,MATCH($N$1,Database!$F$1:$AY$1,),))))-(((VLOOKUP(EDATE(B262,-12),Database!$F:$AY,MATCH($N$1,Database!$F$1:$AY$1,),)))))/(((VLOOKUP(EDATE(B262,-12),Database!$F:$AY,MATCH($N$1,Database!$F$1:$AY$1,),))))</f>
        <v/>
      </c>
      <c r="O262" s="13">
        <f>((((VLOOKUP(B262,Database!$F:$AY,MATCH($O$1,Database!$F$1:$AY$1,),))))-(((VLOOKUP(EDATE(B262,-12),Database!$F:$AY,MATCH($O$1,Database!$F$1:$AY$1,),)))))/(((VLOOKUP(EDATE(B262,-12),Database!$F:$AY,MATCH($O$1,Database!$F$1:$AY$1,),))))</f>
        <v/>
      </c>
      <c r="P262" s="13">
        <f>((((VLOOKUP(B262,Database!$F:$AY,MATCH($P$1,Database!$F$1:$AY$1,),))))-(((VLOOKUP(EDATE(B262,-12),Database!$F:$AY,MATCH($P$1,Database!$F$1:$AY$1,),)))))/(((VLOOKUP(EDATE(B262,-12),Database!$F:$AY,MATCH($P$1,Database!$F$1:$AY$1,),))))</f>
        <v/>
      </c>
      <c r="Q262" s="13">
        <f>((((VLOOKUP(B262,Database!$F:$AY,MATCH($Q$1,Database!$F$1:$AY$1,),))))-(((VLOOKUP(EDATE(B262,-12),Database!$F:$AY,MATCH($Q$1,Database!$F$1:$AY$1,),)))))/(((VLOOKUP(EDATE(B262,-12),Database!$F:$AY,MATCH($Q$1,Database!$F$1:$AY$1,),))))</f>
        <v/>
      </c>
      <c r="R262" s="13">
        <f>((((VLOOKUP(B262,Database!$F:$AY,MATCH($R$1,Database!$F$1:$AY$1,),))))-(((VLOOKUP(EDATE(B262,-12),Database!$F:$AY,MATCH($R$1,Database!$F$1:$AY$1,),)))))/(((VLOOKUP(EDATE(B262,-12),Database!$F:$AY,MATCH($R$1,Database!$F$1:$AY$1,),))))</f>
        <v/>
      </c>
      <c r="S262" s="13">
        <f>((((VLOOKUP(B262,Database!$F:$AY,MATCH($S$1,Database!$F$1:$AY$1,),))))-(((VLOOKUP(EDATE(B262,-12),Database!$F:$AY,MATCH($S$1,Database!$F$1:$AY$1,),)))))/(((VLOOKUP(EDATE(B262,-12),Database!$F:$AY,MATCH($S$1,Database!$F$1:$AY$1,),))))</f>
        <v/>
      </c>
      <c r="T262" s="13">
        <f>((((VLOOKUP(B262,Database!$F:$AY,MATCH($T$1,Database!$F$1:$AY$1,),))))-(((VLOOKUP(EDATE(B262,-12),Database!$F:$AY,MATCH($T$1,Database!$F$1:$AY$1,),)))))/(((VLOOKUP(EDATE(B262,-12),Database!$F:$AY,MATCH($T$1,Database!$F$1:$AY$1,),))))</f>
        <v/>
      </c>
      <c r="U262" s="13">
        <f>((((VLOOKUP(B262,Database!$F:$AY,MATCH($U$1,Database!$F$1:$AY$1,),))))-(((VLOOKUP(EDATE(B262,-12),Database!$F:$AY,MATCH($U$1,Database!$F$1:$AY$1,),)))))/(((VLOOKUP(EDATE(B262,-12),Database!$F:$AY,MATCH($U$1,Database!$F$1:$AY$1,),))))</f>
        <v/>
      </c>
      <c r="V262" s="13">
        <f>((((VLOOKUP(B262,Database!$F:$AY,MATCH($V$1,Database!$F$1:$AY$1,),))))-(((VLOOKUP(EDATE(B262,-12),Database!$F:$AY,MATCH($V$1,Database!$F$1:$AY$1,),)))))/(((VLOOKUP(EDATE(B262,-12),Database!$F:$AY,MATCH($V$1,Database!$F$1:$AY$1,),))))</f>
        <v/>
      </c>
    </row>
    <row r="263" customFormat="1" s="100">
      <c r="A263" s="45" t="n"/>
      <c r="B263" s="46" t="n">
        <v>40148</v>
      </c>
      <c r="C263" s="13">
        <f>((((VLOOKUP(B263,Database!$F:$AY,MATCH($C$1,Database!$F$1:$AY$1,),))))-(((VLOOKUP(EDATE(B263,-12),Database!$F:$AY,MATCH($C$1,Database!$F$1:$AY$1,),)))))/(((VLOOKUP(EDATE(B263,-12),Database!$F:$AY,MATCH($C$1,Database!$F$1:$AY$1,),))))</f>
        <v/>
      </c>
      <c r="D263" s="13">
        <f>((((VLOOKUP(B263,Database!$F:$AY,MATCH($D$1,Database!$F$1:$AY$1,),))))-(((VLOOKUP(EDATE(B263,-12),Database!$F:$AY,MATCH($D$1,Database!$F$1:$AY$1,),)))))/(((VLOOKUP(EDATE(B263,-12),Database!$F:$AY,MATCH($D$1,Database!$F$1:$AY$1,),))))</f>
        <v/>
      </c>
      <c r="E263" s="13">
        <f>((((VLOOKUP(B263,Database!$F:$AY,MATCH($E$1,Database!$F$1:$AY$1,),))))-(((VLOOKUP(EDATE(B263,-12),Database!$F:$AY,MATCH($E$1,Database!$F$1:$AY$1,),)))))/(((VLOOKUP(EDATE(B263,-12),Database!$F:$AY,MATCH($E$1,Database!$F$1:$AY$1,),))))</f>
        <v/>
      </c>
      <c r="F263" s="13">
        <f>((((VLOOKUP(B263,Database!$F:$AY,MATCH($F$1,Database!$F$1:$AY$1,),))))-(((VLOOKUP(EDATE(B263,-12),Database!$F:$AY,MATCH($F$1,Database!$F$1:$AY$1,),)))))/(((VLOOKUP(EDATE(B263,-12),Database!$F:$AY,MATCH($F$1,Database!$F$1:$AY$1,),))))</f>
        <v/>
      </c>
      <c r="G263" s="13">
        <f>((((VLOOKUP(B263,Database!$F:$AY,MATCH($G$1,Database!$F$1:$AY$1,),))))-(((VLOOKUP(EDATE(B263,-12),Database!$F:$AY,MATCH($G$1,Database!$F$1:$AY$1,),)))))/(((VLOOKUP(EDATE(B263,-12),Database!$F:$AY,MATCH($G$1,Database!$F$1:$AY$1,),))))</f>
        <v/>
      </c>
      <c r="H263" s="13">
        <f>((((VLOOKUP(B263,Database!$F:$AY,MATCH($H$1,Database!$F$1:$AY$1,),))))-(((VLOOKUP(EDATE(B263,-12),Database!$F:$AY,MATCH($H$1,Database!$F$1:$AY$1,),)))))/(((VLOOKUP(EDATE(B263,-12),Database!$F:$AY,MATCH($H$1,Database!$F$1:$AY$1,),))))</f>
        <v/>
      </c>
      <c r="I263" s="13">
        <f>((((VLOOKUP(B263,Database!$F:$AY,MATCH($I$1,Database!$F$1:$AY$1,),))))-(((VLOOKUP(EDATE(B263,-12),Database!$F:$AY,MATCH($I$1,Database!$F$1:$AY$1,),)))))/(((VLOOKUP(EDATE(B263,-12),Database!$F:$AY,MATCH($I$1,Database!$F$1:$AY$1,),))))</f>
        <v/>
      </c>
      <c r="J263" s="13">
        <f>((((VLOOKUP(B263,Database!$F:$AY,MATCH($J$1,Database!$F$1:$AY$1,),))))-(((VLOOKUP(EDATE(B263,-12),Database!$F:$AY,MATCH($J$1,Database!$F$1:$AY$1,),)))))/(((VLOOKUP(EDATE(B263,-12),Database!$F:$AY,MATCH($J$1,Database!$F$1:$AY$1,),))))</f>
        <v/>
      </c>
      <c r="K263" s="13">
        <f>((((VLOOKUP(B263,Database!$F:$AY,MATCH($K$1,Database!$F$1:$AY$1,),))))-(((VLOOKUP(EDATE(B263,-12),Database!$F:$AY,MATCH($K$1,Database!$F$1:$AY$1,),)))))/(((VLOOKUP(EDATE(B263,-12),Database!$F:$AY,MATCH($K$1,Database!$F$1:$AY$1,),))))</f>
        <v/>
      </c>
      <c r="L263" s="13">
        <f>((((VLOOKUP(B263,Database!$F:$AY,MATCH($L$1,Database!$F$1:$AY$1,),))))-(((VLOOKUP(EDATE(B263,-12),Database!$F:$AY,MATCH($L$1,Database!$F$1:$AY$1,),)))))/(((VLOOKUP(EDATE(B263,-12),Database!$F:$AY,MATCH($L$1,Database!$F$1:$AY$1,),))))</f>
        <v/>
      </c>
      <c r="M263" s="13">
        <f>((((VLOOKUP(B263,Database!$F:$AY,MATCH($M$1,Database!$F$1:$AY$1,),))))-(((VLOOKUP(EDATE(B263,-12),Database!$F:$AY,MATCH($M$1,Database!$F$1:$AY$1,),)))))/(((VLOOKUP(EDATE(B263,-12),Database!$F:$AY,MATCH($M$1,Database!$F$1:$AY$1,),))))</f>
        <v/>
      </c>
      <c r="N263" s="13">
        <f>((((VLOOKUP(B263,Database!$F:$AY,MATCH($N$1,Database!$F$1:$AY$1,),))))-(((VLOOKUP(EDATE(B263,-12),Database!$F:$AY,MATCH($N$1,Database!$F$1:$AY$1,),)))))/(((VLOOKUP(EDATE(B263,-12),Database!$F:$AY,MATCH($N$1,Database!$F$1:$AY$1,),))))</f>
        <v/>
      </c>
      <c r="O263" s="13">
        <f>((((VLOOKUP(B263,Database!$F:$AY,MATCH($O$1,Database!$F$1:$AY$1,),))))-(((VLOOKUP(EDATE(B263,-12),Database!$F:$AY,MATCH($O$1,Database!$F$1:$AY$1,),)))))/(((VLOOKUP(EDATE(B263,-12),Database!$F:$AY,MATCH($O$1,Database!$F$1:$AY$1,),))))</f>
        <v/>
      </c>
      <c r="P263" s="13">
        <f>((((VLOOKUP(B263,Database!$F:$AY,MATCH($P$1,Database!$F$1:$AY$1,),))))-(((VLOOKUP(EDATE(B263,-12),Database!$F:$AY,MATCH($P$1,Database!$F$1:$AY$1,),)))))/(((VLOOKUP(EDATE(B263,-12),Database!$F:$AY,MATCH($P$1,Database!$F$1:$AY$1,),))))</f>
        <v/>
      </c>
      <c r="Q263" s="13">
        <f>((((VLOOKUP(B263,Database!$F:$AY,MATCH($Q$1,Database!$F$1:$AY$1,),))))-(((VLOOKUP(EDATE(B263,-12),Database!$F:$AY,MATCH($Q$1,Database!$F$1:$AY$1,),)))))/(((VLOOKUP(EDATE(B263,-12),Database!$F:$AY,MATCH($Q$1,Database!$F$1:$AY$1,),))))</f>
        <v/>
      </c>
      <c r="R263" s="13">
        <f>((((VLOOKUP(B263,Database!$F:$AY,MATCH($R$1,Database!$F$1:$AY$1,),))))-(((VLOOKUP(EDATE(B263,-12),Database!$F:$AY,MATCH($R$1,Database!$F$1:$AY$1,),)))))/(((VLOOKUP(EDATE(B263,-12),Database!$F:$AY,MATCH($R$1,Database!$F$1:$AY$1,),))))</f>
        <v/>
      </c>
      <c r="S263" s="13">
        <f>((((VLOOKUP(B263,Database!$F:$AY,MATCH($S$1,Database!$F$1:$AY$1,),))))-(((VLOOKUP(EDATE(B263,-12),Database!$F:$AY,MATCH($S$1,Database!$F$1:$AY$1,),)))))/(((VLOOKUP(EDATE(B263,-12),Database!$F:$AY,MATCH($S$1,Database!$F$1:$AY$1,),))))</f>
        <v/>
      </c>
      <c r="T263" s="13">
        <f>((((VLOOKUP(B263,Database!$F:$AY,MATCH($T$1,Database!$F$1:$AY$1,),))))-(((VLOOKUP(EDATE(B263,-12),Database!$F:$AY,MATCH($T$1,Database!$F$1:$AY$1,),)))))/(((VLOOKUP(EDATE(B263,-12),Database!$F:$AY,MATCH($T$1,Database!$F$1:$AY$1,),))))</f>
        <v/>
      </c>
      <c r="U263" s="13">
        <f>((((VLOOKUP(B263,Database!$F:$AY,MATCH($U$1,Database!$F$1:$AY$1,),))))-(((VLOOKUP(EDATE(B263,-12),Database!$F:$AY,MATCH($U$1,Database!$F$1:$AY$1,),)))))/(((VLOOKUP(EDATE(B263,-12),Database!$F:$AY,MATCH($U$1,Database!$F$1:$AY$1,),))))</f>
        <v/>
      </c>
      <c r="V263" s="13">
        <f>((((VLOOKUP(B263,Database!$F:$AY,MATCH($V$1,Database!$F$1:$AY$1,),))))-(((VLOOKUP(EDATE(B263,-12),Database!$F:$AY,MATCH($V$1,Database!$F$1:$AY$1,),)))))/(((VLOOKUP(EDATE(B263,-12),Database!$F:$AY,MATCH($V$1,Database!$F$1:$AY$1,),))))</f>
        <v/>
      </c>
    </row>
    <row r="264" customFormat="1" s="100">
      <c r="A264" s="45" t="n"/>
      <c r="B264" s="46" t="n">
        <v>40179</v>
      </c>
      <c r="C264" s="13">
        <f>((((VLOOKUP(B264,Database!$F:$AY,MATCH($C$1,Database!$F$1:$AY$1,),))))-(((VLOOKUP(EDATE(B264,-12),Database!$F:$AY,MATCH($C$1,Database!$F$1:$AY$1,),)))))/(((VLOOKUP(EDATE(B264,-12),Database!$F:$AY,MATCH($C$1,Database!$F$1:$AY$1,),))))</f>
        <v/>
      </c>
      <c r="D264" s="13">
        <f>((((VLOOKUP(B264,Database!$F:$AY,MATCH($D$1,Database!$F$1:$AY$1,),))))-(((VLOOKUP(EDATE(B264,-12),Database!$F:$AY,MATCH($D$1,Database!$F$1:$AY$1,),)))))/(((VLOOKUP(EDATE(B264,-12),Database!$F:$AY,MATCH($D$1,Database!$F$1:$AY$1,),))))</f>
        <v/>
      </c>
      <c r="E264" s="13">
        <f>((((VLOOKUP(B264,Database!$F:$AY,MATCH($E$1,Database!$F$1:$AY$1,),))))-(((VLOOKUP(EDATE(B264,-12),Database!$F:$AY,MATCH($E$1,Database!$F$1:$AY$1,),)))))/(((VLOOKUP(EDATE(B264,-12),Database!$F:$AY,MATCH($E$1,Database!$F$1:$AY$1,),))))</f>
        <v/>
      </c>
      <c r="F264" s="13">
        <f>((((VLOOKUP(B264,Database!$F:$AY,MATCH($F$1,Database!$F$1:$AY$1,),))))-(((VLOOKUP(EDATE(B264,-12),Database!$F:$AY,MATCH($F$1,Database!$F$1:$AY$1,),)))))/(((VLOOKUP(EDATE(B264,-12),Database!$F:$AY,MATCH($F$1,Database!$F$1:$AY$1,),))))</f>
        <v/>
      </c>
      <c r="G264" s="13">
        <f>((((VLOOKUP(B264,Database!$F:$AY,MATCH($G$1,Database!$F$1:$AY$1,),))))-(((VLOOKUP(EDATE(B264,-12),Database!$F:$AY,MATCH($G$1,Database!$F$1:$AY$1,),)))))/(((VLOOKUP(EDATE(B264,-12),Database!$F:$AY,MATCH($G$1,Database!$F$1:$AY$1,),))))</f>
        <v/>
      </c>
      <c r="H264" s="13">
        <f>((((VLOOKUP(B264,Database!$F:$AY,MATCH($H$1,Database!$F$1:$AY$1,),))))-(((VLOOKUP(EDATE(B264,-12),Database!$F:$AY,MATCH($H$1,Database!$F$1:$AY$1,),)))))/(((VLOOKUP(EDATE(B264,-12),Database!$F:$AY,MATCH($H$1,Database!$F$1:$AY$1,),))))</f>
        <v/>
      </c>
      <c r="I264" s="13">
        <f>((((VLOOKUP(B264,Database!$F:$AY,MATCH($I$1,Database!$F$1:$AY$1,),))))-(((VLOOKUP(EDATE(B264,-12),Database!$F:$AY,MATCH($I$1,Database!$F$1:$AY$1,),)))))/(((VLOOKUP(EDATE(B264,-12),Database!$F:$AY,MATCH($I$1,Database!$F$1:$AY$1,),))))</f>
        <v/>
      </c>
      <c r="J264" s="13">
        <f>((((VLOOKUP(B264,Database!$F:$AY,MATCH($J$1,Database!$F$1:$AY$1,),))))-(((VLOOKUP(EDATE(B264,-12),Database!$F:$AY,MATCH($J$1,Database!$F$1:$AY$1,),)))))/(((VLOOKUP(EDATE(B264,-12),Database!$F:$AY,MATCH($J$1,Database!$F$1:$AY$1,),))))</f>
        <v/>
      </c>
      <c r="K264" s="13">
        <f>((((VLOOKUP(B264,Database!$F:$AY,MATCH($K$1,Database!$F$1:$AY$1,),))))-(((VLOOKUP(EDATE(B264,-12),Database!$F:$AY,MATCH($K$1,Database!$F$1:$AY$1,),)))))/(((VLOOKUP(EDATE(B264,-12),Database!$F:$AY,MATCH($K$1,Database!$F$1:$AY$1,),))))</f>
        <v/>
      </c>
      <c r="L264" s="13">
        <f>((((VLOOKUP(B264,Database!$F:$AY,MATCH($L$1,Database!$F$1:$AY$1,),))))-(((VLOOKUP(EDATE(B264,-12),Database!$F:$AY,MATCH($L$1,Database!$F$1:$AY$1,),)))))/(((VLOOKUP(EDATE(B264,-12),Database!$F:$AY,MATCH($L$1,Database!$F$1:$AY$1,),))))</f>
        <v/>
      </c>
      <c r="M264" s="13">
        <f>((((VLOOKUP(B264,Database!$F:$AY,MATCH($M$1,Database!$F$1:$AY$1,),))))-(((VLOOKUP(EDATE(B264,-12),Database!$F:$AY,MATCH($M$1,Database!$F$1:$AY$1,),)))))/(((VLOOKUP(EDATE(B264,-12),Database!$F:$AY,MATCH($M$1,Database!$F$1:$AY$1,),))))</f>
        <v/>
      </c>
      <c r="N264" s="13">
        <f>((((VLOOKUP(B264,Database!$F:$AY,MATCH($N$1,Database!$F$1:$AY$1,),))))-(((VLOOKUP(EDATE(B264,-12),Database!$F:$AY,MATCH($N$1,Database!$F$1:$AY$1,),)))))/(((VLOOKUP(EDATE(B264,-12),Database!$F:$AY,MATCH($N$1,Database!$F$1:$AY$1,),))))</f>
        <v/>
      </c>
      <c r="O264" s="13">
        <f>((((VLOOKUP(B264,Database!$F:$AY,MATCH($O$1,Database!$F$1:$AY$1,),))))-(((VLOOKUP(EDATE(B264,-12),Database!$F:$AY,MATCH($O$1,Database!$F$1:$AY$1,),)))))/(((VLOOKUP(EDATE(B264,-12),Database!$F:$AY,MATCH($O$1,Database!$F$1:$AY$1,),))))</f>
        <v/>
      </c>
      <c r="P264" s="13">
        <f>((((VLOOKUP(B264,Database!$F:$AY,MATCH($P$1,Database!$F$1:$AY$1,),))))-(((VLOOKUP(EDATE(B264,-12),Database!$F:$AY,MATCH($P$1,Database!$F$1:$AY$1,),)))))/(((VLOOKUP(EDATE(B264,-12),Database!$F:$AY,MATCH($P$1,Database!$F$1:$AY$1,),))))</f>
        <v/>
      </c>
      <c r="Q264" s="13">
        <f>((((VLOOKUP(B264,Database!$F:$AY,MATCH($Q$1,Database!$F$1:$AY$1,),))))-(((VLOOKUP(EDATE(B264,-12),Database!$F:$AY,MATCH($Q$1,Database!$F$1:$AY$1,),)))))/(((VLOOKUP(EDATE(B264,-12),Database!$F:$AY,MATCH($Q$1,Database!$F$1:$AY$1,),))))</f>
        <v/>
      </c>
      <c r="R264" s="13">
        <f>((((VLOOKUP(B264,Database!$F:$AY,MATCH($R$1,Database!$F$1:$AY$1,),))))-(((VLOOKUP(EDATE(B264,-12),Database!$F:$AY,MATCH($R$1,Database!$F$1:$AY$1,),)))))/(((VLOOKUP(EDATE(B264,-12),Database!$F:$AY,MATCH($R$1,Database!$F$1:$AY$1,),))))</f>
        <v/>
      </c>
      <c r="S264" s="13">
        <f>((((VLOOKUP(B264,Database!$F:$AY,MATCH($S$1,Database!$F$1:$AY$1,),))))-(((VLOOKUP(EDATE(B264,-12),Database!$F:$AY,MATCH($S$1,Database!$F$1:$AY$1,),)))))/(((VLOOKUP(EDATE(B264,-12),Database!$F:$AY,MATCH($S$1,Database!$F$1:$AY$1,),))))</f>
        <v/>
      </c>
      <c r="T264" s="13">
        <f>((((VLOOKUP(B264,Database!$F:$AY,MATCH($T$1,Database!$F$1:$AY$1,),))))-(((VLOOKUP(EDATE(B264,-12),Database!$F:$AY,MATCH($T$1,Database!$F$1:$AY$1,),)))))/(((VLOOKUP(EDATE(B264,-12),Database!$F:$AY,MATCH($T$1,Database!$F$1:$AY$1,),))))</f>
        <v/>
      </c>
      <c r="U264" s="13">
        <f>((((VLOOKUP(B264,Database!$F:$AY,MATCH($U$1,Database!$F$1:$AY$1,),))))-(((VLOOKUP(EDATE(B264,-12),Database!$F:$AY,MATCH($U$1,Database!$F$1:$AY$1,),)))))/(((VLOOKUP(EDATE(B264,-12),Database!$F:$AY,MATCH($U$1,Database!$F$1:$AY$1,),))))</f>
        <v/>
      </c>
      <c r="V264" s="13">
        <f>((((VLOOKUP(B264,Database!$F:$AY,MATCH($V$1,Database!$F$1:$AY$1,),))))-(((VLOOKUP(EDATE(B264,-12),Database!$F:$AY,MATCH($V$1,Database!$F$1:$AY$1,),)))))/(((VLOOKUP(EDATE(B264,-12),Database!$F:$AY,MATCH($V$1,Database!$F$1:$AY$1,),))))</f>
        <v/>
      </c>
    </row>
    <row r="265" customFormat="1" s="100">
      <c r="A265" s="45" t="n"/>
      <c r="B265" s="46" t="n">
        <v>40210</v>
      </c>
      <c r="C265" s="13">
        <f>((((VLOOKUP(B265,Database!$F:$AY,MATCH($C$1,Database!$F$1:$AY$1,),))))-(((VLOOKUP(EDATE(B265,-12),Database!$F:$AY,MATCH($C$1,Database!$F$1:$AY$1,),)))))/(((VLOOKUP(EDATE(B265,-12),Database!$F:$AY,MATCH($C$1,Database!$F$1:$AY$1,),))))</f>
        <v/>
      </c>
      <c r="D265" s="13">
        <f>((((VLOOKUP(B265,Database!$F:$AY,MATCH($D$1,Database!$F$1:$AY$1,),))))-(((VLOOKUP(EDATE(B265,-12),Database!$F:$AY,MATCH($D$1,Database!$F$1:$AY$1,),)))))/(((VLOOKUP(EDATE(B265,-12),Database!$F:$AY,MATCH($D$1,Database!$F$1:$AY$1,),))))</f>
        <v/>
      </c>
      <c r="E265" s="13">
        <f>((((VLOOKUP(B265,Database!$F:$AY,MATCH($E$1,Database!$F$1:$AY$1,),))))-(((VLOOKUP(EDATE(B265,-12),Database!$F:$AY,MATCH($E$1,Database!$F$1:$AY$1,),)))))/(((VLOOKUP(EDATE(B265,-12),Database!$F:$AY,MATCH($E$1,Database!$F$1:$AY$1,),))))</f>
        <v/>
      </c>
      <c r="F265" s="13">
        <f>((((VLOOKUP(B265,Database!$F:$AY,MATCH($F$1,Database!$F$1:$AY$1,),))))-(((VLOOKUP(EDATE(B265,-12),Database!$F:$AY,MATCH($F$1,Database!$F$1:$AY$1,),)))))/(((VLOOKUP(EDATE(B265,-12),Database!$F:$AY,MATCH($F$1,Database!$F$1:$AY$1,),))))</f>
        <v/>
      </c>
      <c r="G265" s="13">
        <f>((((VLOOKUP(B265,Database!$F:$AY,MATCH($G$1,Database!$F$1:$AY$1,),))))-(((VLOOKUP(EDATE(B265,-12),Database!$F:$AY,MATCH($G$1,Database!$F$1:$AY$1,),)))))/(((VLOOKUP(EDATE(B265,-12),Database!$F:$AY,MATCH($G$1,Database!$F$1:$AY$1,),))))</f>
        <v/>
      </c>
      <c r="H265" s="13">
        <f>((((VLOOKUP(B265,Database!$F:$AY,MATCH($H$1,Database!$F$1:$AY$1,),))))-(((VLOOKUP(EDATE(B265,-12),Database!$F:$AY,MATCH($H$1,Database!$F$1:$AY$1,),)))))/(((VLOOKUP(EDATE(B265,-12),Database!$F:$AY,MATCH($H$1,Database!$F$1:$AY$1,),))))</f>
        <v/>
      </c>
      <c r="I265" s="13">
        <f>((((VLOOKUP(B265,Database!$F:$AY,MATCH($I$1,Database!$F$1:$AY$1,),))))-(((VLOOKUP(EDATE(B265,-12),Database!$F:$AY,MATCH($I$1,Database!$F$1:$AY$1,),)))))/(((VLOOKUP(EDATE(B265,-12),Database!$F:$AY,MATCH($I$1,Database!$F$1:$AY$1,),))))</f>
        <v/>
      </c>
      <c r="J265" s="13">
        <f>((((VLOOKUP(B265,Database!$F:$AY,MATCH($J$1,Database!$F$1:$AY$1,),))))-(((VLOOKUP(EDATE(B265,-12),Database!$F:$AY,MATCH($J$1,Database!$F$1:$AY$1,),)))))/(((VLOOKUP(EDATE(B265,-12),Database!$F:$AY,MATCH($J$1,Database!$F$1:$AY$1,),))))</f>
        <v/>
      </c>
      <c r="K265" s="13">
        <f>((((VLOOKUP(B265,Database!$F:$AY,MATCH($K$1,Database!$F$1:$AY$1,),))))-(((VLOOKUP(EDATE(B265,-12),Database!$F:$AY,MATCH($K$1,Database!$F$1:$AY$1,),)))))/(((VLOOKUP(EDATE(B265,-12),Database!$F:$AY,MATCH($K$1,Database!$F$1:$AY$1,),))))</f>
        <v/>
      </c>
      <c r="L265" s="13">
        <f>((((VLOOKUP(B265,Database!$F:$AY,MATCH($L$1,Database!$F$1:$AY$1,),))))-(((VLOOKUP(EDATE(B265,-12),Database!$F:$AY,MATCH($L$1,Database!$F$1:$AY$1,),)))))/(((VLOOKUP(EDATE(B265,-12),Database!$F:$AY,MATCH($L$1,Database!$F$1:$AY$1,),))))</f>
        <v/>
      </c>
      <c r="M265" s="13">
        <f>((((VLOOKUP(B265,Database!$F:$AY,MATCH($M$1,Database!$F$1:$AY$1,),))))-(((VLOOKUP(EDATE(B265,-12),Database!$F:$AY,MATCH($M$1,Database!$F$1:$AY$1,),)))))/(((VLOOKUP(EDATE(B265,-12),Database!$F:$AY,MATCH($M$1,Database!$F$1:$AY$1,),))))</f>
        <v/>
      </c>
      <c r="N265" s="13">
        <f>((((VLOOKUP(B265,Database!$F:$AY,MATCH($N$1,Database!$F$1:$AY$1,),))))-(((VLOOKUP(EDATE(B265,-12),Database!$F:$AY,MATCH($N$1,Database!$F$1:$AY$1,),)))))/(((VLOOKUP(EDATE(B265,-12),Database!$F:$AY,MATCH($N$1,Database!$F$1:$AY$1,),))))</f>
        <v/>
      </c>
      <c r="O265" s="13">
        <f>((((VLOOKUP(B265,Database!$F:$AY,MATCH($O$1,Database!$F$1:$AY$1,),))))-(((VLOOKUP(EDATE(B265,-12),Database!$F:$AY,MATCH($O$1,Database!$F$1:$AY$1,),)))))/(((VLOOKUP(EDATE(B265,-12),Database!$F:$AY,MATCH($O$1,Database!$F$1:$AY$1,),))))</f>
        <v/>
      </c>
      <c r="P265" s="13">
        <f>((((VLOOKUP(B265,Database!$F:$AY,MATCH($P$1,Database!$F$1:$AY$1,),))))-(((VLOOKUP(EDATE(B265,-12),Database!$F:$AY,MATCH($P$1,Database!$F$1:$AY$1,),)))))/(((VLOOKUP(EDATE(B265,-12),Database!$F:$AY,MATCH($P$1,Database!$F$1:$AY$1,),))))</f>
        <v/>
      </c>
      <c r="Q265" s="13">
        <f>((((VLOOKUP(B265,Database!$F:$AY,MATCH($Q$1,Database!$F$1:$AY$1,),))))-(((VLOOKUP(EDATE(B265,-12),Database!$F:$AY,MATCH($Q$1,Database!$F$1:$AY$1,),)))))/(((VLOOKUP(EDATE(B265,-12),Database!$F:$AY,MATCH($Q$1,Database!$F$1:$AY$1,),))))</f>
        <v/>
      </c>
      <c r="R265" s="13">
        <f>((((VLOOKUP(B265,Database!$F:$AY,MATCH($R$1,Database!$F$1:$AY$1,),))))-(((VLOOKUP(EDATE(B265,-12),Database!$F:$AY,MATCH($R$1,Database!$F$1:$AY$1,),)))))/(((VLOOKUP(EDATE(B265,-12),Database!$F:$AY,MATCH($R$1,Database!$F$1:$AY$1,),))))</f>
        <v/>
      </c>
      <c r="S265" s="13">
        <f>((((VLOOKUP(B265,Database!$F:$AY,MATCH($S$1,Database!$F$1:$AY$1,),))))-(((VLOOKUP(EDATE(B265,-12),Database!$F:$AY,MATCH($S$1,Database!$F$1:$AY$1,),)))))/(((VLOOKUP(EDATE(B265,-12),Database!$F:$AY,MATCH($S$1,Database!$F$1:$AY$1,),))))</f>
        <v/>
      </c>
      <c r="T265" s="13">
        <f>((((VLOOKUP(B265,Database!$F:$AY,MATCH($T$1,Database!$F$1:$AY$1,),))))-(((VLOOKUP(EDATE(B265,-12),Database!$F:$AY,MATCH($T$1,Database!$F$1:$AY$1,),)))))/(((VLOOKUP(EDATE(B265,-12),Database!$F:$AY,MATCH($T$1,Database!$F$1:$AY$1,),))))</f>
        <v/>
      </c>
      <c r="U265" s="13">
        <f>((((VLOOKUP(B265,Database!$F:$AY,MATCH($U$1,Database!$F$1:$AY$1,),))))-(((VLOOKUP(EDATE(B265,-12),Database!$F:$AY,MATCH($U$1,Database!$F$1:$AY$1,),)))))/(((VLOOKUP(EDATE(B265,-12),Database!$F:$AY,MATCH($U$1,Database!$F$1:$AY$1,),))))</f>
        <v/>
      </c>
      <c r="V265" s="13">
        <f>((((VLOOKUP(B265,Database!$F:$AY,MATCH($V$1,Database!$F$1:$AY$1,),))))-(((VLOOKUP(EDATE(B265,-12),Database!$F:$AY,MATCH($V$1,Database!$F$1:$AY$1,),)))))/(((VLOOKUP(EDATE(B265,-12),Database!$F:$AY,MATCH($V$1,Database!$F$1:$AY$1,),))))</f>
        <v/>
      </c>
    </row>
    <row r="266" customFormat="1" s="100">
      <c r="A266" s="45" t="n"/>
      <c r="B266" s="46" t="n">
        <v>40238</v>
      </c>
      <c r="C266" s="13">
        <f>((((VLOOKUP(B266,Database!$F:$AY,MATCH($C$1,Database!$F$1:$AY$1,),))))-(((VLOOKUP(EDATE(B266,-12),Database!$F:$AY,MATCH($C$1,Database!$F$1:$AY$1,),)))))/(((VLOOKUP(EDATE(B266,-12),Database!$F:$AY,MATCH($C$1,Database!$F$1:$AY$1,),))))</f>
        <v/>
      </c>
      <c r="D266" s="13">
        <f>((((VLOOKUP(B266,Database!$F:$AY,MATCH($D$1,Database!$F$1:$AY$1,),))))-(((VLOOKUP(EDATE(B266,-12),Database!$F:$AY,MATCH($D$1,Database!$F$1:$AY$1,),)))))/(((VLOOKUP(EDATE(B266,-12),Database!$F:$AY,MATCH($D$1,Database!$F$1:$AY$1,),))))</f>
        <v/>
      </c>
      <c r="E266" s="13">
        <f>((((VLOOKUP(B266,Database!$F:$AY,MATCH($E$1,Database!$F$1:$AY$1,),))))-(((VLOOKUP(EDATE(B266,-12),Database!$F:$AY,MATCH($E$1,Database!$F$1:$AY$1,),)))))/(((VLOOKUP(EDATE(B266,-12),Database!$F:$AY,MATCH($E$1,Database!$F$1:$AY$1,),))))</f>
        <v/>
      </c>
      <c r="F266" s="13">
        <f>((((VLOOKUP(B266,Database!$F:$AY,MATCH($F$1,Database!$F$1:$AY$1,),))))-(((VLOOKUP(EDATE(B266,-12),Database!$F:$AY,MATCH($F$1,Database!$F$1:$AY$1,),)))))/(((VLOOKUP(EDATE(B266,-12),Database!$F:$AY,MATCH($F$1,Database!$F$1:$AY$1,),))))</f>
        <v/>
      </c>
      <c r="G266" s="13">
        <f>((((VLOOKUP(B266,Database!$F:$AY,MATCH($G$1,Database!$F$1:$AY$1,),))))-(((VLOOKUP(EDATE(B266,-12),Database!$F:$AY,MATCH($G$1,Database!$F$1:$AY$1,),)))))/(((VLOOKUP(EDATE(B266,-12),Database!$F:$AY,MATCH($G$1,Database!$F$1:$AY$1,),))))</f>
        <v/>
      </c>
      <c r="H266" s="13">
        <f>((((VLOOKUP(B266,Database!$F:$AY,MATCH($H$1,Database!$F$1:$AY$1,),))))-(((VLOOKUP(EDATE(B266,-12),Database!$F:$AY,MATCH($H$1,Database!$F$1:$AY$1,),)))))/(((VLOOKUP(EDATE(B266,-12),Database!$F:$AY,MATCH($H$1,Database!$F$1:$AY$1,),))))</f>
        <v/>
      </c>
      <c r="I266" s="13">
        <f>((((VLOOKUP(B266,Database!$F:$AY,MATCH($I$1,Database!$F$1:$AY$1,),))))-(((VLOOKUP(EDATE(B266,-12),Database!$F:$AY,MATCH($I$1,Database!$F$1:$AY$1,),)))))/(((VLOOKUP(EDATE(B266,-12),Database!$F:$AY,MATCH($I$1,Database!$F$1:$AY$1,),))))</f>
        <v/>
      </c>
      <c r="J266" s="13">
        <f>((((VLOOKUP(B266,Database!$F:$AY,MATCH($J$1,Database!$F$1:$AY$1,),))))-(((VLOOKUP(EDATE(B266,-12),Database!$F:$AY,MATCH($J$1,Database!$F$1:$AY$1,),)))))/(((VLOOKUP(EDATE(B266,-12),Database!$F:$AY,MATCH($J$1,Database!$F$1:$AY$1,),))))</f>
        <v/>
      </c>
      <c r="K266" s="13">
        <f>((((VLOOKUP(B266,Database!$F:$AY,MATCH($K$1,Database!$F$1:$AY$1,),))))-(((VLOOKUP(EDATE(B266,-12),Database!$F:$AY,MATCH($K$1,Database!$F$1:$AY$1,),)))))/(((VLOOKUP(EDATE(B266,-12),Database!$F:$AY,MATCH($K$1,Database!$F$1:$AY$1,),))))</f>
        <v/>
      </c>
      <c r="L266" s="13">
        <f>((((VLOOKUP(B266,Database!$F:$AY,MATCH($L$1,Database!$F$1:$AY$1,),))))-(((VLOOKUP(EDATE(B266,-12),Database!$F:$AY,MATCH($L$1,Database!$F$1:$AY$1,),)))))/(((VLOOKUP(EDATE(B266,-12),Database!$F:$AY,MATCH($L$1,Database!$F$1:$AY$1,),))))</f>
        <v/>
      </c>
      <c r="M266" s="13">
        <f>((((VLOOKUP(B266,Database!$F:$AY,MATCH($M$1,Database!$F$1:$AY$1,),))))-(((VLOOKUP(EDATE(B266,-12),Database!$F:$AY,MATCH($M$1,Database!$F$1:$AY$1,),)))))/(((VLOOKUP(EDATE(B266,-12),Database!$F:$AY,MATCH($M$1,Database!$F$1:$AY$1,),))))</f>
        <v/>
      </c>
      <c r="N266" s="13">
        <f>((((VLOOKUP(B266,Database!$F:$AY,MATCH($N$1,Database!$F$1:$AY$1,),))))-(((VLOOKUP(EDATE(B266,-12),Database!$F:$AY,MATCH($N$1,Database!$F$1:$AY$1,),)))))/(((VLOOKUP(EDATE(B266,-12),Database!$F:$AY,MATCH($N$1,Database!$F$1:$AY$1,),))))</f>
        <v/>
      </c>
      <c r="O266" s="13">
        <f>((((VLOOKUP(B266,Database!$F:$AY,MATCH($O$1,Database!$F$1:$AY$1,),))))-(((VLOOKUP(EDATE(B266,-12),Database!$F:$AY,MATCH($O$1,Database!$F$1:$AY$1,),)))))/(((VLOOKUP(EDATE(B266,-12),Database!$F:$AY,MATCH($O$1,Database!$F$1:$AY$1,),))))</f>
        <v/>
      </c>
      <c r="P266" s="13">
        <f>((((VLOOKUP(B266,Database!$F:$AY,MATCH($P$1,Database!$F$1:$AY$1,),))))-(((VLOOKUP(EDATE(B266,-12),Database!$F:$AY,MATCH($P$1,Database!$F$1:$AY$1,),)))))/(((VLOOKUP(EDATE(B266,-12),Database!$F:$AY,MATCH($P$1,Database!$F$1:$AY$1,),))))</f>
        <v/>
      </c>
      <c r="Q266" s="13">
        <f>((((VLOOKUP(B266,Database!$F:$AY,MATCH($Q$1,Database!$F$1:$AY$1,),))))-(((VLOOKUP(EDATE(B266,-12),Database!$F:$AY,MATCH($Q$1,Database!$F$1:$AY$1,),)))))/(((VLOOKUP(EDATE(B266,-12),Database!$F:$AY,MATCH($Q$1,Database!$F$1:$AY$1,),))))</f>
        <v/>
      </c>
      <c r="R266" s="13">
        <f>((((VLOOKUP(B266,Database!$F:$AY,MATCH($R$1,Database!$F$1:$AY$1,),))))-(((VLOOKUP(EDATE(B266,-12),Database!$F:$AY,MATCH($R$1,Database!$F$1:$AY$1,),)))))/(((VLOOKUP(EDATE(B266,-12),Database!$F:$AY,MATCH($R$1,Database!$F$1:$AY$1,),))))</f>
        <v/>
      </c>
      <c r="S266" s="13">
        <f>((((VLOOKUP(B266,Database!$F:$AY,MATCH($S$1,Database!$F$1:$AY$1,),))))-(((VLOOKUP(EDATE(B266,-12),Database!$F:$AY,MATCH($S$1,Database!$F$1:$AY$1,),)))))/(((VLOOKUP(EDATE(B266,-12),Database!$F:$AY,MATCH($S$1,Database!$F$1:$AY$1,),))))</f>
        <v/>
      </c>
      <c r="T266" s="13">
        <f>((((VLOOKUP(B266,Database!$F:$AY,MATCH($T$1,Database!$F$1:$AY$1,),))))-(((VLOOKUP(EDATE(B266,-12),Database!$F:$AY,MATCH($T$1,Database!$F$1:$AY$1,),)))))/(((VLOOKUP(EDATE(B266,-12),Database!$F:$AY,MATCH($T$1,Database!$F$1:$AY$1,),))))</f>
        <v/>
      </c>
      <c r="U266" s="13">
        <f>((((VLOOKUP(B266,Database!$F:$AY,MATCH($U$1,Database!$F$1:$AY$1,),))))-(((VLOOKUP(EDATE(B266,-12),Database!$F:$AY,MATCH($U$1,Database!$F$1:$AY$1,),)))))/(((VLOOKUP(EDATE(B266,-12),Database!$F:$AY,MATCH($U$1,Database!$F$1:$AY$1,),))))</f>
        <v/>
      </c>
      <c r="V266" s="13">
        <f>((((VLOOKUP(B266,Database!$F:$AY,MATCH($V$1,Database!$F$1:$AY$1,),))))-(((VLOOKUP(EDATE(B266,-12),Database!$F:$AY,MATCH($V$1,Database!$F$1:$AY$1,),)))))/(((VLOOKUP(EDATE(B266,-12),Database!$F:$AY,MATCH($V$1,Database!$F$1:$AY$1,),))))</f>
        <v/>
      </c>
    </row>
    <row r="267" customFormat="1" s="100">
      <c r="A267" s="45" t="n"/>
      <c r="B267" s="46" t="n">
        <v>40269</v>
      </c>
      <c r="C267" s="13">
        <f>((((VLOOKUP(B267,Database!$F:$AY,MATCH($C$1,Database!$F$1:$AY$1,),))))-(((VLOOKUP(EDATE(B267,-12),Database!$F:$AY,MATCH($C$1,Database!$F$1:$AY$1,),)))))/(((VLOOKUP(EDATE(B267,-12),Database!$F:$AY,MATCH($C$1,Database!$F$1:$AY$1,),))))</f>
        <v/>
      </c>
      <c r="D267" s="13">
        <f>((((VLOOKUP(B267,Database!$F:$AY,MATCH($D$1,Database!$F$1:$AY$1,),))))-(((VLOOKUP(EDATE(B267,-12),Database!$F:$AY,MATCH($D$1,Database!$F$1:$AY$1,),)))))/(((VLOOKUP(EDATE(B267,-12),Database!$F:$AY,MATCH($D$1,Database!$F$1:$AY$1,),))))</f>
        <v/>
      </c>
      <c r="E267" s="13">
        <f>((((VLOOKUP(B267,Database!$F:$AY,MATCH($E$1,Database!$F$1:$AY$1,),))))-(((VLOOKUP(EDATE(B267,-12),Database!$F:$AY,MATCH($E$1,Database!$F$1:$AY$1,),)))))/(((VLOOKUP(EDATE(B267,-12),Database!$F:$AY,MATCH($E$1,Database!$F$1:$AY$1,),))))</f>
        <v/>
      </c>
      <c r="F267" s="13">
        <f>((((VLOOKUP(B267,Database!$F:$AY,MATCH($F$1,Database!$F$1:$AY$1,),))))-(((VLOOKUP(EDATE(B267,-12),Database!$F:$AY,MATCH($F$1,Database!$F$1:$AY$1,),)))))/(((VLOOKUP(EDATE(B267,-12),Database!$F:$AY,MATCH($F$1,Database!$F$1:$AY$1,),))))</f>
        <v/>
      </c>
      <c r="G267" s="13">
        <f>((((VLOOKUP(B267,Database!$F:$AY,MATCH($G$1,Database!$F$1:$AY$1,),))))-(((VLOOKUP(EDATE(B267,-12),Database!$F:$AY,MATCH($G$1,Database!$F$1:$AY$1,),)))))/(((VLOOKUP(EDATE(B267,-12),Database!$F:$AY,MATCH($G$1,Database!$F$1:$AY$1,),))))</f>
        <v/>
      </c>
      <c r="H267" s="13">
        <f>((((VLOOKUP(B267,Database!$F:$AY,MATCH($H$1,Database!$F$1:$AY$1,),))))-(((VLOOKUP(EDATE(B267,-12),Database!$F:$AY,MATCH($H$1,Database!$F$1:$AY$1,),)))))/(((VLOOKUP(EDATE(B267,-12),Database!$F:$AY,MATCH($H$1,Database!$F$1:$AY$1,),))))</f>
        <v/>
      </c>
      <c r="I267" s="13">
        <f>((((VLOOKUP(B267,Database!$F:$AY,MATCH($I$1,Database!$F$1:$AY$1,),))))-(((VLOOKUP(EDATE(B267,-12),Database!$F:$AY,MATCH($I$1,Database!$F$1:$AY$1,),)))))/(((VLOOKUP(EDATE(B267,-12),Database!$F:$AY,MATCH($I$1,Database!$F$1:$AY$1,),))))</f>
        <v/>
      </c>
      <c r="J267" s="13">
        <f>((((VLOOKUP(B267,Database!$F:$AY,MATCH($J$1,Database!$F$1:$AY$1,),))))-(((VLOOKUP(EDATE(B267,-12),Database!$F:$AY,MATCH($J$1,Database!$F$1:$AY$1,),)))))/(((VLOOKUP(EDATE(B267,-12),Database!$F:$AY,MATCH($J$1,Database!$F$1:$AY$1,),))))</f>
        <v/>
      </c>
      <c r="K267" s="13">
        <f>((((VLOOKUP(B267,Database!$F:$AY,MATCH($K$1,Database!$F$1:$AY$1,),))))-(((VLOOKUP(EDATE(B267,-12),Database!$F:$AY,MATCH($K$1,Database!$F$1:$AY$1,),)))))/(((VLOOKUP(EDATE(B267,-12),Database!$F:$AY,MATCH($K$1,Database!$F$1:$AY$1,),))))</f>
        <v/>
      </c>
      <c r="L267" s="13">
        <f>((((VLOOKUP(B267,Database!$F:$AY,MATCH($L$1,Database!$F$1:$AY$1,),))))-(((VLOOKUP(EDATE(B267,-12),Database!$F:$AY,MATCH($L$1,Database!$F$1:$AY$1,),)))))/(((VLOOKUP(EDATE(B267,-12),Database!$F:$AY,MATCH($L$1,Database!$F$1:$AY$1,),))))</f>
        <v/>
      </c>
      <c r="M267" s="13">
        <f>((((VLOOKUP(B267,Database!$F:$AY,MATCH($M$1,Database!$F$1:$AY$1,),))))-(((VLOOKUP(EDATE(B267,-12),Database!$F:$AY,MATCH($M$1,Database!$F$1:$AY$1,),)))))/(((VLOOKUP(EDATE(B267,-12),Database!$F:$AY,MATCH($M$1,Database!$F$1:$AY$1,),))))</f>
        <v/>
      </c>
      <c r="N267" s="13">
        <f>((((VLOOKUP(B267,Database!$F:$AY,MATCH($N$1,Database!$F$1:$AY$1,),))))-(((VLOOKUP(EDATE(B267,-12),Database!$F:$AY,MATCH($N$1,Database!$F$1:$AY$1,),)))))/(((VLOOKUP(EDATE(B267,-12),Database!$F:$AY,MATCH($N$1,Database!$F$1:$AY$1,),))))</f>
        <v/>
      </c>
      <c r="O267" s="13">
        <f>((((VLOOKUP(B267,Database!$F:$AY,MATCH($O$1,Database!$F$1:$AY$1,),))))-(((VLOOKUP(EDATE(B267,-12),Database!$F:$AY,MATCH($O$1,Database!$F$1:$AY$1,),)))))/(((VLOOKUP(EDATE(B267,-12),Database!$F:$AY,MATCH($O$1,Database!$F$1:$AY$1,),))))</f>
        <v/>
      </c>
      <c r="P267" s="13">
        <f>((((VLOOKUP(B267,Database!$F:$AY,MATCH($P$1,Database!$F$1:$AY$1,),))))-(((VLOOKUP(EDATE(B267,-12),Database!$F:$AY,MATCH($P$1,Database!$F$1:$AY$1,),)))))/(((VLOOKUP(EDATE(B267,-12),Database!$F:$AY,MATCH($P$1,Database!$F$1:$AY$1,),))))</f>
        <v/>
      </c>
      <c r="Q267" s="13">
        <f>((((VLOOKUP(B267,Database!$F:$AY,MATCH($Q$1,Database!$F$1:$AY$1,),))))-(((VLOOKUP(EDATE(B267,-12),Database!$F:$AY,MATCH($Q$1,Database!$F$1:$AY$1,),)))))/(((VLOOKUP(EDATE(B267,-12),Database!$F:$AY,MATCH($Q$1,Database!$F$1:$AY$1,),))))</f>
        <v/>
      </c>
      <c r="R267" s="13">
        <f>((((VLOOKUP(B267,Database!$F:$AY,MATCH($R$1,Database!$F$1:$AY$1,),))))-(((VLOOKUP(EDATE(B267,-12),Database!$F:$AY,MATCH($R$1,Database!$F$1:$AY$1,),)))))/(((VLOOKUP(EDATE(B267,-12),Database!$F:$AY,MATCH($R$1,Database!$F$1:$AY$1,),))))</f>
        <v/>
      </c>
      <c r="S267" s="13">
        <f>((((VLOOKUP(B267,Database!$F:$AY,MATCH($S$1,Database!$F$1:$AY$1,),))))-(((VLOOKUP(EDATE(B267,-12),Database!$F:$AY,MATCH($S$1,Database!$F$1:$AY$1,),)))))/(((VLOOKUP(EDATE(B267,-12),Database!$F:$AY,MATCH($S$1,Database!$F$1:$AY$1,),))))</f>
        <v/>
      </c>
      <c r="T267" s="13">
        <f>((((VLOOKUP(B267,Database!$F:$AY,MATCH($T$1,Database!$F$1:$AY$1,),))))-(((VLOOKUP(EDATE(B267,-12),Database!$F:$AY,MATCH($T$1,Database!$F$1:$AY$1,),)))))/(((VLOOKUP(EDATE(B267,-12),Database!$F:$AY,MATCH($T$1,Database!$F$1:$AY$1,),))))</f>
        <v/>
      </c>
      <c r="U267" s="13">
        <f>((((VLOOKUP(B267,Database!$F:$AY,MATCH($U$1,Database!$F$1:$AY$1,),))))-(((VLOOKUP(EDATE(B267,-12),Database!$F:$AY,MATCH($U$1,Database!$F$1:$AY$1,),)))))/(((VLOOKUP(EDATE(B267,-12),Database!$F:$AY,MATCH($U$1,Database!$F$1:$AY$1,),))))</f>
        <v/>
      </c>
      <c r="V267" s="13">
        <f>((((VLOOKUP(B267,Database!$F:$AY,MATCH($V$1,Database!$F$1:$AY$1,),))))-(((VLOOKUP(EDATE(B267,-12),Database!$F:$AY,MATCH($V$1,Database!$F$1:$AY$1,),)))))/(((VLOOKUP(EDATE(B267,-12),Database!$F:$AY,MATCH($V$1,Database!$F$1:$AY$1,),))))</f>
        <v/>
      </c>
    </row>
    <row r="268" customFormat="1" s="100">
      <c r="A268" s="45" t="n"/>
      <c r="B268" s="46" t="n">
        <v>40299</v>
      </c>
      <c r="C268" s="13">
        <f>((((VLOOKUP(B268,Database!$F:$AY,MATCH($C$1,Database!$F$1:$AY$1,),))))-(((VLOOKUP(EDATE(B268,-12),Database!$F:$AY,MATCH($C$1,Database!$F$1:$AY$1,),)))))/(((VLOOKUP(EDATE(B268,-12),Database!$F:$AY,MATCH($C$1,Database!$F$1:$AY$1,),))))</f>
        <v/>
      </c>
      <c r="D268" s="13">
        <f>((((VLOOKUP(B268,Database!$F:$AY,MATCH($D$1,Database!$F$1:$AY$1,),))))-(((VLOOKUP(EDATE(B268,-12),Database!$F:$AY,MATCH($D$1,Database!$F$1:$AY$1,),)))))/(((VLOOKUP(EDATE(B268,-12),Database!$F:$AY,MATCH($D$1,Database!$F$1:$AY$1,),))))</f>
        <v/>
      </c>
      <c r="E268" s="13">
        <f>((((VLOOKUP(B268,Database!$F:$AY,MATCH($E$1,Database!$F$1:$AY$1,),))))-(((VLOOKUP(EDATE(B268,-12),Database!$F:$AY,MATCH($E$1,Database!$F$1:$AY$1,),)))))/(((VLOOKUP(EDATE(B268,-12),Database!$F:$AY,MATCH($E$1,Database!$F$1:$AY$1,),))))</f>
        <v/>
      </c>
      <c r="F268" s="13">
        <f>((((VLOOKUP(B268,Database!$F:$AY,MATCH($F$1,Database!$F$1:$AY$1,),))))-(((VLOOKUP(EDATE(B268,-12),Database!$F:$AY,MATCH($F$1,Database!$F$1:$AY$1,),)))))/(((VLOOKUP(EDATE(B268,-12),Database!$F:$AY,MATCH($F$1,Database!$F$1:$AY$1,),))))</f>
        <v/>
      </c>
      <c r="G268" s="13">
        <f>((((VLOOKUP(B268,Database!$F:$AY,MATCH($G$1,Database!$F$1:$AY$1,),))))-(((VLOOKUP(EDATE(B268,-12),Database!$F:$AY,MATCH($G$1,Database!$F$1:$AY$1,),)))))/(((VLOOKUP(EDATE(B268,-12),Database!$F:$AY,MATCH($G$1,Database!$F$1:$AY$1,),))))</f>
        <v/>
      </c>
      <c r="H268" s="13">
        <f>((((VLOOKUP(B268,Database!$F:$AY,MATCH($H$1,Database!$F$1:$AY$1,),))))-(((VLOOKUP(EDATE(B268,-12),Database!$F:$AY,MATCH($H$1,Database!$F$1:$AY$1,),)))))/(((VLOOKUP(EDATE(B268,-12),Database!$F:$AY,MATCH($H$1,Database!$F$1:$AY$1,),))))</f>
        <v/>
      </c>
      <c r="I268" s="13">
        <f>((((VLOOKUP(B268,Database!$F:$AY,MATCH($I$1,Database!$F$1:$AY$1,),))))-(((VLOOKUP(EDATE(B268,-12),Database!$F:$AY,MATCH($I$1,Database!$F$1:$AY$1,),)))))/(((VLOOKUP(EDATE(B268,-12),Database!$F:$AY,MATCH($I$1,Database!$F$1:$AY$1,),))))</f>
        <v/>
      </c>
      <c r="J268" s="13">
        <f>((((VLOOKUP(B268,Database!$F:$AY,MATCH($J$1,Database!$F$1:$AY$1,),))))-(((VLOOKUP(EDATE(B268,-12),Database!$F:$AY,MATCH($J$1,Database!$F$1:$AY$1,),)))))/(((VLOOKUP(EDATE(B268,-12),Database!$F:$AY,MATCH($J$1,Database!$F$1:$AY$1,),))))</f>
        <v/>
      </c>
      <c r="K268" s="13">
        <f>((((VLOOKUP(B268,Database!$F:$AY,MATCH($K$1,Database!$F$1:$AY$1,),))))-(((VLOOKUP(EDATE(B268,-12),Database!$F:$AY,MATCH($K$1,Database!$F$1:$AY$1,),)))))/(((VLOOKUP(EDATE(B268,-12),Database!$F:$AY,MATCH($K$1,Database!$F$1:$AY$1,),))))</f>
        <v/>
      </c>
      <c r="L268" s="13">
        <f>((((VLOOKUP(B268,Database!$F:$AY,MATCH($L$1,Database!$F$1:$AY$1,),))))-(((VLOOKUP(EDATE(B268,-12),Database!$F:$AY,MATCH($L$1,Database!$F$1:$AY$1,),)))))/(((VLOOKUP(EDATE(B268,-12),Database!$F:$AY,MATCH($L$1,Database!$F$1:$AY$1,),))))</f>
        <v/>
      </c>
      <c r="M268" s="13">
        <f>((((VLOOKUP(B268,Database!$F:$AY,MATCH($M$1,Database!$F$1:$AY$1,),))))-(((VLOOKUP(EDATE(B268,-12),Database!$F:$AY,MATCH($M$1,Database!$F$1:$AY$1,),)))))/(((VLOOKUP(EDATE(B268,-12),Database!$F:$AY,MATCH($M$1,Database!$F$1:$AY$1,),))))</f>
        <v/>
      </c>
      <c r="N268" s="13">
        <f>((((VLOOKUP(B268,Database!$F:$AY,MATCH($N$1,Database!$F$1:$AY$1,),))))-(((VLOOKUP(EDATE(B268,-12),Database!$F:$AY,MATCH($N$1,Database!$F$1:$AY$1,),)))))/(((VLOOKUP(EDATE(B268,-12),Database!$F:$AY,MATCH($N$1,Database!$F$1:$AY$1,),))))</f>
        <v/>
      </c>
      <c r="O268" s="13">
        <f>((((VLOOKUP(B268,Database!$F:$AY,MATCH($O$1,Database!$F$1:$AY$1,),))))-(((VLOOKUP(EDATE(B268,-12),Database!$F:$AY,MATCH($O$1,Database!$F$1:$AY$1,),)))))/(((VLOOKUP(EDATE(B268,-12),Database!$F:$AY,MATCH($O$1,Database!$F$1:$AY$1,),))))</f>
        <v/>
      </c>
      <c r="P268" s="13">
        <f>((((VLOOKUP(B268,Database!$F:$AY,MATCH($P$1,Database!$F$1:$AY$1,),))))-(((VLOOKUP(EDATE(B268,-12),Database!$F:$AY,MATCH($P$1,Database!$F$1:$AY$1,),)))))/(((VLOOKUP(EDATE(B268,-12),Database!$F:$AY,MATCH($P$1,Database!$F$1:$AY$1,),))))</f>
        <v/>
      </c>
      <c r="Q268" s="13">
        <f>((((VLOOKUP(B268,Database!$F:$AY,MATCH($Q$1,Database!$F$1:$AY$1,),))))-(((VLOOKUP(EDATE(B268,-12),Database!$F:$AY,MATCH($Q$1,Database!$F$1:$AY$1,),)))))/(((VLOOKUP(EDATE(B268,-12),Database!$F:$AY,MATCH($Q$1,Database!$F$1:$AY$1,),))))</f>
        <v/>
      </c>
      <c r="R268" s="13">
        <f>((((VLOOKUP(B268,Database!$F:$AY,MATCH($R$1,Database!$F$1:$AY$1,),))))-(((VLOOKUP(EDATE(B268,-12),Database!$F:$AY,MATCH($R$1,Database!$F$1:$AY$1,),)))))/(((VLOOKUP(EDATE(B268,-12),Database!$F:$AY,MATCH($R$1,Database!$F$1:$AY$1,),))))</f>
        <v/>
      </c>
      <c r="S268" s="13">
        <f>((((VLOOKUP(B268,Database!$F:$AY,MATCH($S$1,Database!$F$1:$AY$1,),))))-(((VLOOKUP(EDATE(B268,-12),Database!$F:$AY,MATCH($S$1,Database!$F$1:$AY$1,),)))))/(((VLOOKUP(EDATE(B268,-12),Database!$F:$AY,MATCH($S$1,Database!$F$1:$AY$1,),))))</f>
        <v/>
      </c>
      <c r="T268" s="13">
        <f>((((VLOOKUP(B268,Database!$F:$AY,MATCH($T$1,Database!$F$1:$AY$1,),))))-(((VLOOKUP(EDATE(B268,-12),Database!$F:$AY,MATCH($T$1,Database!$F$1:$AY$1,),)))))/(((VLOOKUP(EDATE(B268,-12),Database!$F:$AY,MATCH($T$1,Database!$F$1:$AY$1,),))))</f>
        <v/>
      </c>
      <c r="U268" s="13">
        <f>((((VLOOKUP(B268,Database!$F:$AY,MATCH($U$1,Database!$F$1:$AY$1,),))))-(((VLOOKUP(EDATE(B268,-12),Database!$F:$AY,MATCH($U$1,Database!$F$1:$AY$1,),)))))/(((VLOOKUP(EDATE(B268,-12),Database!$F:$AY,MATCH($U$1,Database!$F$1:$AY$1,),))))</f>
        <v/>
      </c>
      <c r="V268" s="13">
        <f>((((VLOOKUP(B268,Database!$F:$AY,MATCH($V$1,Database!$F$1:$AY$1,),))))-(((VLOOKUP(EDATE(B268,-12),Database!$F:$AY,MATCH($V$1,Database!$F$1:$AY$1,),)))))/(((VLOOKUP(EDATE(B268,-12),Database!$F:$AY,MATCH($V$1,Database!$F$1:$AY$1,),))))</f>
        <v/>
      </c>
    </row>
    <row r="269" customFormat="1" s="100">
      <c r="A269" s="45" t="n"/>
      <c r="B269" s="46" t="n">
        <v>40330</v>
      </c>
      <c r="C269" s="13">
        <f>((((VLOOKUP(B269,Database!$F:$AY,MATCH($C$1,Database!$F$1:$AY$1,),))))-(((VLOOKUP(EDATE(B269,-12),Database!$F:$AY,MATCH($C$1,Database!$F$1:$AY$1,),)))))/(((VLOOKUP(EDATE(B269,-12),Database!$F:$AY,MATCH($C$1,Database!$F$1:$AY$1,),))))</f>
        <v/>
      </c>
      <c r="D269" s="13">
        <f>((((VLOOKUP(B269,Database!$F:$AY,MATCH($D$1,Database!$F$1:$AY$1,),))))-(((VLOOKUP(EDATE(B269,-12),Database!$F:$AY,MATCH($D$1,Database!$F$1:$AY$1,),)))))/(((VLOOKUP(EDATE(B269,-12),Database!$F:$AY,MATCH($D$1,Database!$F$1:$AY$1,),))))</f>
        <v/>
      </c>
      <c r="E269" s="13">
        <f>((((VLOOKUP(B269,Database!$F:$AY,MATCH($E$1,Database!$F$1:$AY$1,),))))-(((VLOOKUP(EDATE(B269,-12),Database!$F:$AY,MATCH($E$1,Database!$F$1:$AY$1,),)))))/(((VLOOKUP(EDATE(B269,-12),Database!$F:$AY,MATCH($E$1,Database!$F$1:$AY$1,),))))</f>
        <v/>
      </c>
      <c r="F269" s="13">
        <f>((((VLOOKUP(B269,Database!$F:$AY,MATCH($F$1,Database!$F$1:$AY$1,),))))-(((VLOOKUP(EDATE(B269,-12),Database!$F:$AY,MATCH($F$1,Database!$F$1:$AY$1,),)))))/(((VLOOKUP(EDATE(B269,-12),Database!$F:$AY,MATCH($F$1,Database!$F$1:$AY$1,),))))</f>
        <v/>
      </c>
      <c r="G269" s="13">
        <f>((((VLOOKUP(B269,Database!$F:$AY,MATCH($G$1,Database!$F$1:$AY$1,),))))-(((VLOOKUP(EDATE(B269,-12),Database!$F:$AY,MATCH($G$1,Database!$F$1:$AY$1,),)))))/(((VLOOKUP(EDATE(B269,-12),Database!$F:$AY,MATCH($G$1,Database!$F$1:$AY$1,),))))</f>
        <v/>
      </c>
      <c r="H269" s="13">
        <f>((((VLOOKUP(B269,Database!$F:$AY,MATCH($H$1,Database!$F$1:$AY$1,),))))-(((VLOOKUP(EDATE(B269,-12),Database!$F:$AY,MATCH($H$1,Database!$F$1:$AY$1,),)))))/(((VLOOKUP(EDATE(B269,-12),Database!$F:$AY,MATCH($H$1,Database!$F$1:$AY$1,),))))</f>
        <v/>
      </c>
      <c r="I269" s="13">
        <f>((((VLOOKUP(B269,Database!$F:$AY,MATCH($I$1,Database!$F$1:$AY$1,),))))-(((VLOOKUP(EDATE(B269,-12),Database!$F:$AY,MATCH($I$1,Database!$F$1:$AY$1,),)))))/(((VLOOKUP(EDATE(B269,-12),Database!$F:$AY,MATCH($I$1,Database!$F$1:$AY$1,),))))</f>
        <v/>
      </c>
      <c r="J269" s="13">
        <f>((((VLOOKUP(B269,Database!$F:$AY,MATCH($J$1,Database!$F$1:$AY$1,),))))-(((VLOOKUP(EDATE(B269,-12),Database!$F:$AY,MATCH($J$1,Database!$F$1:$AY$1,),)))))/(((VLOOKUP(EDATE(B269,-12),Database!$F:$AY,MATCH($J$1,Database!$F$1:$AY$1,),))))</f>
        <v/>
      </c>
      <c r="K269" s="13">
        <f>((((VLOOKUP(B269,Database!$F:$AY,MATCH($K$1,Database!$F$1:$AY$1,),))))-(((VLOOKUP(EDATE(B269,-12),Database!$F:$AY,MATCH($K$1,Database!$F$1:$AY$1,),)))))/(((VLOOKUP(EDATE(B269,-12),Database!$F:$AY,MATCH($K$1,Database!$F$1:$AY$1,),))))</f>
        <v/>
      </c>
      <c r="L269" s="13">
        <f>((((VLOOKUP(B269,Database!$F:$AY,MATCH($L$1,Database!$F$1:$AY$1,),))))-(((VLOOKUP(EDATE(B269,-12),Database!$F:$AY,MATCH($L$1,Database!$F$1:$AY$1,),)))))/(((VLOOKUP(EDATE(B269,-12),Database!$F:$AY,MATCH($L$1,Database!$F$1:$AY$1,),))))</f>
        <v/>
      </c>
      <c r="M269" s="13">
        <f>((((VLOOKUP(B269,Database!$F:$AY,MATCH($M$1,Database!$F$1:$AY$1,),))))-(((VLOOKUP(EDATE(B269,-12),Database!$F:$AY,MATCH($M$1,Database!$F$1:$AY$1,),)))))/(((VLOOKUP(EDATE(B269,-12),Database!$F:$AY,MATCH($M$1,Database!$F$1:$AY$1,),))))</f>
        <v/>
      </c>
      <c r="N269" s="13">
        <f>((((VLOOKUP(B269,Database!$F:$AY,MATCH($N$1,Database!$F$1:$AY$1,),))))-(((VLOOKUP(EDATE(B269,-12),Database!$F:$AY,MATCH($N$1,Database!$F$1:$AY$1,),)))))/(((VLOOKUP(EDATE(B269,-12),Database!$F:$AY,MATCH($N$1,Database!$F$1:$AY$1,),))))</f>
        <v/>
      </c>
      <c r="O269" s="13">
        <f>((((VLOOKUP(B269,Database!$F:$AY,MATCH($O$1,Database!$F$1:$AY$1,),))))-(((VLOOKUP(EDATE(B269,-12),Database!$F:$AY,MATCH($O$1,Database!$F$1:$AY$1,),)))))/(((VLOOKUP(EDATE(B269,-12),Database!$F:$AY,MATCH($O$1,Database!$F$1:$AY$1,),))))</f>
        <v/>
      </c>
      <c r="P269" s="13">
        <f>((((VLOOKUP(B269,Database!$F:$AY,MATCH($P$1,Database!$F$1:$AY$1,),))))-(((VLOOKUP(EDATE(B269,-12),Database!$F:$AY,MATCH($P$1,Database!$F$1:$AY$1,),)))))/(((VLOOKUP(EDATE(B269,-12),Database!$F:$AY,MATCH($P$1,Database!$F$1:$AY$1,),))))</f>
        <v/>
      </c>
      <c r="Q269" s="13">
        <f>((((VLOOKUP(B269,Database!$F:$AY,MATCH($Q$1,Database!$F$1:$AY$1,),))))-(((VLOOKUP(EDATE(B269,-12),Database!$F:$AY,MATCH($Q$1,Database!$F$1:$AY$1,),)))))/(((VLOOKUP(EDATE(B269,-12),Database!$F:$AY,MATCH($Q$1,Database!$F$1:$AY$1,),))))</f>
        <v/>
      </c>
      <c r="R269" s="13">
        <f>((((VLOOKUP(B269,Database!$F:$AY,MATCH($R$1,Database!$F$1:$AY$1,),))))-(((VLOOKUP(EDATE(B269,-12),Database!$F:$AY,MATCH($R$1,Database!$F$1:$AY$1,),)))))/(((VLOOKUP(EDATE(B269,-12),Database!$F:$AY,MATCH($R$1,Database!$F$1:$AY$1,),))))</f>
        <v/>
      </c>
      <c r="S269" s="13">
        <f>((((VLOOKUP(B269,Database!$F:$AY,MATCH($S$1,Database!$F$1:$AY$1,),))))-(((VLOOKUP(EDATE(B269,-12),Database!$F:$AY,MATCH($S$1,Database!$F$1:$AY$1,),)))))/(((VLOOKUP(EDATE(B269,-12),Database!$F:$AY,MATCH($S$1,Database!$F$1:$AY$1,),))))</f>
        <v/>
      </c>
      <c r="T269" s="13">
        <f>((((VLOOKUP(B269,Database!$F:$AY,MATCH($T$1,Database!$F$1:$AY$1,),))))-(((VLOOKUP(EDATE(B269,-12),Database!$F:$AY,MATCH($T$1,Database!$F$1:$AY$1,),)))))/(((VLOOKUP(EDATE(B269,-12),Database!$F:$AY,MATCH($T$1,Database!$F$1:$AY$1,),))))</f>
        <v/>
      </c>
      <c r="U269" s="13">
        <f>((((VLOOKUP(B269,Database!$F:$AY,MATCH($U$1,Database!$F$1:$AY$1,),))))-(((VLOOKUP(EDATE(B269,-12),Database!$F:$AY,MATCH($U$1,Database!$F$1:$AY$1,),)))))/(((VLOOKUP(EDATE(B269,-12),Database!$F:$AY,MATCH($U$1,Database!$F$1:$AY$1,),))))</f>
        <v/>
      </c>
      <c r="V269" s="13">
        <f>((((VLOOKUP(B269,Database!$F:$AY,MATCH($V$1,Database!$F$1:$AY$1,),))))-(((VLOOKUP(EDATE(B269,-12),Database!$F:$AY,MATCH($V$1,Database!$F$1:$AY$1,),)))))/(((VLOOKUP(EDATE(B269,-12),Database!$F:$AY,MATCH($V$1,Database!$F$1:$AY$1,),))))</f>
        <v/>
      </c>
    </row>
    <row r="270" customFormat="1" s="100">
      <c r="A270" s="45" t="n"/>
      <c r="B270" s="46" t="n">
        <v>40360</v>
      </c>
      <c r="C270" s="13">
        <f>((((VLOOKUP(B270,Database!$F:$AY,MATCH($C$1,Database!$F$1:$AY$1,),))))-(((VLOOKUP(EDATE(B270,-12),Database!$F:$AY,MATCH($C$1,Database!$F$1:$AY$1,),)))))/(((VLOOKUP(EDATE(B270,-12),Database!$F:$AY,MATCH($C$1,Database!$F$1:$AY$1,),))))</f>
        <v/>
      </c>
      <c r="D270" s="13">
        <f>((((VLOOKUP(B270,Database!$F:$AY,MATCH($D$1,Database!$F$1:$AY$1,),))))-(((VLOOKUP(EDATE(B270,-12),Database!$F:$AY,MATCH($D$1,Database!$F$1:$AY$1,),)))))/(((VLOOKUP(EDATE(B270,-12),Database!$F:$AY,MATCH($D$1,Database!$F$1:$AY$1,),))))</f>
        <v/>
      </c>
      <c r="E270" s="13">
        <f>((((VLOOKUP(B270,Database!$F:$AY,MATCH($E$1,Database!$F$1:$AY$1,),))))-(((VLOOKUP(EDATE(B270,-12),Database!$F:$AY,MATCH($E$1,Database!$F$1:$AY$1,),)))))/(((VLOOKUP(EDATE(B270,-12),Database!$F:$AY,MATCH($E$1,Database!$F$1:$AY$1,),))))</f>
        <v/>
      </c>
      <c r="F270" s="13">
        <f>((((VLOOKUP(B270,Database!$F:$AY,MATCH($F$1,Database!$F$1:$AY$1,),))))-(((VLOOKUP(EDATE(B270,-12),Database!$F:$AY,MATCH($F$1,Database!$F$1:$AY$1,),)))))/(((VLOOKUP(EDATE(B270,-12),Database!$F:$AY,MATCH($F$1,Database!$F$1:$AY$1,),))))</f>
        <v/>
      </c>
      <c r="G270" s="13">
        <f>((((VLOOKUP(B270,Database!$F:$AY,MATCH($G$1,Database!$F$1:$AY$1,),))))-(((VLOOKUP(EDATE(B270,-12),Database!$F:$AY,MATCH($G$1,Database!$F$1:$AY$1,),)))))/(((VLOOKUP(EDATE(B270,-12),Database!$F:$AY,MATCH($G$1,Database!$F$1:$AY$1,),))))</f>
        <v/>
      </c>
      <c r="H270" s="13">
        <f>((((VLOOKUP(B270,Database!$F:$AY,MATCH($H$1,Database!$F$1:$AY$1,),))))-(((VLOOKUP(EDATE(B270,-12),Database!$F:$AY,MATCH($H$1,Database!$F$1:$AY$1,),)))))/(((VLOOKUP(EDATE(B270,-12),Database!$F:$AY,MATCH($H$1,Database!$F$1:$AY$1,),))))</f>
        <v/>
      </c>
      <c r="I270" s="13">
        <f>((((VLOOKUP(B270,Database!$F:$AY,MATCH($I$1,Database!$F$1:$AY$1,),))))-(((VLOOKUP(EDATE(B270,-12),Database!$F:$AY,MATCH($I$1,Database!$F$1:$AY$1,),)))))/(((VLOOKUP(EDATE(B270,-12),Database!$F:$AY,MATCH($I$1,Database!$F$1:$AY$1,),))))</f>
        <v/>
      </c>
      <c r="J270" s="13">
        <f>((((VLOOKUP(B270,Database!$F:$AY,MATCH($J$1,Database!$F$1:$AY$1,),))))-(((VLOOKUP(EDATE(B270,-12),Database!$F:$AY,MATCH($J$1,Database!$F$1:$AY$1,),)))))/(((VLOOKUP(EDATE(B270,-12),Database!$F:$AY,MATCH($J$1,Database!$F$1:$AY$1,),))))</f>
        <v/>
      </c>
      <c r="K270" s="13">
        <f>((((VLOOKUP(B270,Database!$F:$AY,MATCH($K$1,Database!$F$1:$AY$1,),))))-(((VLOOKUP(EDATE(B270,-12),Database!$F:$AY,MATCH($K$1,Database!$F$1:$AY$1,),)))))/(((VLOOKUP(EDATE(B270,-12),Database!$F:$AY,MATCH($K$1,Database!$F$1:$AY$1,),))))</f>
        <v/>
      </c>
      <c r="L270" s="13">
        <f>((((VLOOKUP(B270,Database!$F:$AY,MATCH($L$1,Database!$F$1:$AY$1,),))))-(((VLOOKUP(EDATE(B270,-12),Database!$F:$AY,MATCH($L$1,Database!$F$1:$AY$1,),)))))/(((VLOOKUP(EDATE(B270,-12),Database!$F:$AY,MATCH($L$1,Database!$F$1:$AY$1,),))))</f>
        <v/>
      </c>
      <c r="M270" s="13">
        <f>((((VLOOKUP(B270,Database!$F:$AY,MATCH($M$1,Database!$F$1:$AY$1,),))))-(((VLOOKUP(EDATE(B270,-12),Database!$F:$AY,MATCH($M$1,Database!$F$1:$AY$1,),)))))/(((VLOOKUP(EDATE(B270,-12),Database!$F:$AY,MATCH($M$1,Database!$F$1:$AY$1,),))))</f>
        <v/>
      </c>
      <c r="N270" s="13">
        <f>((((VLOOKUP(B270,Database!$F:$AY,MATCH($N$1,Database!$F$1:$AY$1,),))))-(((VLOOKUP(EDATE(B270,-12),Database!$F:$AY,MATCH($N$1,Database!$F$1:$AY$1,),)))))/(((VLOOKUP(EDATE(B270,-12),Database!$F:$AY,MATCH($N$1,Database!$F$1:$AY$1,),))))</f>
        <v/>
      </c>
      <c r="O270" s="13">
        <f>((((VLOOKUP(B270,Database!$F:$AY,MATCH($O$1,Database!$F$1:$AY$1,),))))-(((VLOOKUP(EDATE(B270,-12),Database!$F:$AY,MATCH($O$1,Database!$F$1:$AY$1,),)))))/(((VLOOKUP(EDATE(B270,-12),Database!$F:$AY,MATCH($O$1,Database!$F$1:$AY$1,),))))</f>
        <v/>
      </c>
      <c r="P270" s="13">
        <f>((((VLOOKUP(B270,Database!$F:$AY,MATCH($P$1,Database!$F$1:$AY$1,),))))-(((VLOOKUP(EDATE(B270,-12),Database!$F:$AY,MATCH($P$1,Database!$F$1:$AY$1,),)))))/(((VLOOKUP(EDATE(B270,-12),Database!$F:$AY,MATCH($P$1,Database!$F$1:$AY$1,),))))</f>
        <v/>
      </c>
      <c r="Q270" s="13">
        <f>((((VLOOKUP(B270,Database!$F:$AY,MATCH($Q$1,Database!$F$1:$AY$1,),))))-(((VLOOKUP(EDATE(B270,-12),Database!$F:$AY,MATCH($Q$1,Database!$F$1:$AY$1,),)))))/(((VLOOKUP(EDATE(B270,-12),Database!$F:$AY,MATCH($Q$1,Database!$F$1:$AY$1,),))))</f>
        <v/>
      </c>
      <c r="R270" s="13">
        <f>((((VLOOKUP(B270,Database!$F:$AY,MATCH($R$1,Database!$F$1:$AY$1,),))))-(((VLOOKUP(EDATE(B270,-12),Database!$F:$AY,MATCH($R$1,Database!$F$1:$AY$1,),)))))/(((VLOOKUP(EDATE(B270,-12),Database!$F:$AY,MATCH($R$1,Database!$F$1:$AY$1,),))))</f>
        <v/>
      </c>
      <c r="S270" s="13">
        <f>((((VLOOKUP(B270,Database!$F:$AY,MATCH($S$1,Database!$F$1:$AY$1,),))))-(((VLOOKUP(EDATE(B270,-12),Database!$F:$AY,MATCH($S$1,Database!$F$1:$AY$1,),)))))/(((VLOOKUP(EDATE(B270,-12),Database!$F:$AY,MATCH($S$1,Database!$F$1:$AY$1,),))))</f>
        <v/>
      </c>
      <c r="T270" s="13">
        <f>((((VLOOKUP(B270,Database!$F:$AY,MATCH($T$1,Database!$F$1:$AY$1,),))))-(((VLOOKUP(EDATE(B270,-12),Database!$F:$AY,MATCH($T$1,Database!$F$1:$AY$1,),)))))/(((VLOOKUP(EDATE(B270,-12),Database!$F:$AY,MATCH($T$1,Database!$F$1:$AY$1,),))))</f>
        <v/>
      </c>
      <c r="U270" s="13">
        <f>((((VLOOKUP(B270,Database!$F:$AY,MATCH($U$1,Database!$F$1:$AY$1,),))))-(((VLOOKUP(EDATE(B270,-12),Database!$F:$AY,MATCH($U$1,Database!$F$1:$AY$1,),)))))/(((VLOOKUP(EDATE(B270,-12),Database!$F:$AY,MATCH($U$1,Database!$F$1:$AY$1,),))))</f>
        <v/>
      </c>
      <c r="V270" s="13">
        <f>((((VLOOKUP(B270,Database!$F:$AY,MATCH($V$1,Database!$F$1:$AY$1,),))))-(((VLOOKUP(EDATE(B270,-12),Database!$F:$AY,MATCH($V$1,Database!$F$1:$AY$1,),)))))/(((VLOOKUP(EDATE(B270,-12),Database!$F:$AY,MATCH($V$1,Database!$F$1:$AY$1,),))))</f>
        <v/>
      </c>
    </row>
    <row r="271" customFormat="1" s="100">
      <c r="A271" s="45" t="n"/>
      <c r="B271" s="46" t="n">
        <v>40391</v>
      </c>
      <c r="C271" s="13">
        <f>((((VLOOKUP(B271,Database!$F:$AY,MATCH($C$1,Database!$F$1:$AY$1,),))))-(((VLOOKUP(EDATE(B271,-12),Database!$F:$AY,MATCH($C$1,Database!$F$1:$AY$1,),)))))/(((VLOOKUP(EDATE(B271,-12),Database!$F:$AY,MATCH($C$1,Database!$F$1:$AY$1,),))))</f>
        <v/>
      </c>
      <c r="D271" s="13">
        <f>((((VLOOKUP(B271,Database!$F:$AY,MATCH($D$1,Database!$F$1:$AY$1,),))))-(((VLOOKUP(EDATE(B271,-12),Database!$F:$AY,MATCH($D$1,Database!$F$1:$AY$1,),)))))/(((VLOOKUP(EDATE(B271,-12),Database!$F:$AY,MATCH($D$1,Database!$F$1:$AY$1,),))))</f>
        <v/>
      </c>
      <c r="E271" s="13">
        <f>((((VLOOKUP(B271,Database!$F:$AY,MATCH($E$1,Database!$F$1:$AY$1,),))))-(((VLOOKUP(EDATE(B271,-12),Database!$F:$AY,MATCH($E$1,Database!$F$1:$AY$1,),)))))/(((VLOOKUP(EDATE(B271,-12),Database!$F:$AY,MATCH($E$1,Database!$F$1:$AY$1,),))))</f>
        <v/>
      </c>
      <c r="F271" s="13">
        <f>((((VLOOKUP(B271,Database!$F:$AY,MATCH($F$1,Database!$F$1:$AY$1,),))))-(((VLOOKUP(EDATE(B271,-12),Database!$F:$AY,MATCH($F$1,Database!$F$1:$AY$1,),)))))/(((VLOOKUP(EDATE(B271,-12),Database!$F:$AY,MATCH($F$1,Database!$F$1:$AY$1,),))))</f>
        <v/>
      </c>
      <c r="G271" s="13">
        <f>((((VLOOKUP(B271,Database!$F:$AY,MATCH($G$1,Database!$F$1:$AY$1,),))))-(((VLOOKUP(EDATE(B271,-12),Database!$F:$AY,MATCH($G$1,Database!$F$1:$AY$1,),)))))/(((VLOOKUP(EDATE(B271,-12),Database!$F:$AY,MATCH($G$1,Database!$F$1:$AY$1,),))))</f>
        <v/>
      </c>
      <c r="H271" s="13">
        <f>((((VLOOKUP(B271,Database!$F:$AY,MATCH($H$1,Database!$F$1:$AY$1,),))))-(((VLOOKUP(EDATE(B271,-12),Database!$F:$AY,MATCH($H$1,Database!$F$1:$AY$1,),)))))/(((VLOOKUP(EDATE(B271,-12),Database!$F:$AY,MATCH($H$1,Database!$F$1:$AY$1,),))))</f>
        <v/>
      </c>
      <c r="I271" s="13">
        <f>((((VLOOKUP(B271,Database!$F:$AY,MATCH($I$1,Database!$F$1:$AY$1,),))))-(((VLOOKUP(EDATE(B271,-12),Database!$F:$AY,MATCH($I$1,Database!$F$1:$AY$1,),)))))/(((VLOOKUP(EDATE(B271,-12),Database!$F:$AY,MATCH($I$1,Database!$F$1:$AY$1,),))))</f>
        <v/>
      </c>
      <c r="J271" s="13">
        <f>((((VLOOKUP(B271,Database!$F:$AY,MATCH($J$1,Database!$F$1:$AY$1,),))))-(((VLOOKUP(EDATE(B271,-12),Database!$F:$AY,MATCH($J$1,Database!$F$1:$AY$1,),)))))/(((VLOOKUP(EDATE(B271,-12),Database!$F:$AY,MATCH($J$1,Database!$F$1:$AY$1,),))))</f>
        <v/>
      </c>
      <c r="K271" s="13">
        <f>((((VLOOKUP(B271,Database!$F:$AY,MATCH($K$1,Database!$F$1:$AY$1,),))))-(((VLOOKUP(EDATE(B271,-12),Database!$F:$AY,MATCH($K$1,Database!$F$1:$AY$1,),)))))/(((VLOOKUP(EDATE(B271,-12),Database!$F:$AY,MATCH($K$1,Database!$F$1:$AY$1,),))))</f>
        <v/>
      </c>
      <c r="L271" s="13">
        <f>((((VLOOKUP(B271,Database!$F:$AY,MATCH($L$1,Database!$F$1:$AY$1,),))))-(((VLOOKUP(EDATE(B271,-12),Database!$F:$AY,MATCH($L$1,Database!$F$1:$AY$1,),)))))/(((VLOOKUP(EDATE(B271,-12),Database!$F:$AY,MATCH($L$1,Database!$F$1:$AY$1,),))))</f>
        <v/>
      </c>
      <c r="M271" s="13">
        <f>((((VLOOKUP(B271,Database!$F:$AY,MATCH($M$1,Database!$F$1:$AY$1,),))))-(((VLOOKUP(EDATE(B271,-12),Database!$F:$AY,MATCH($M$1,Database!$F$1:$AY$1,),)))))/(((VLOOKUP(EDATE(B271,-12),Database!$F:$AY,MATCH($M$1,Database!$F$1:$AY$1,),))))</f>
        <v/>
      </c>
      <c r="N271" s="13">
        <f>((((VLOOKUP(B271,Database!$F:$AY,MATCH($N$1,Database!$F$1:$AY$1,),))))-(((VLOOKUP(EDATE(B271,-12),Database!$F:$AY,MATCH($N$1,Database!$F$1:$AY$1,),)))))/(((VLOOKUP(EDATE(B271,-12),Database!$F:$AY,MATCH($N$1,Database!$F$1:$AY$1,),))))</f>
        <v/>
      </c>
      <c r="O271" s="13">
        <f>((((VLOOKUP(B271,Database!$F:$AY,MATCH($O$1,Database!$F$1:$AY$1,),))))-(((VLOOKUP(EDATE(B271,-12),Database!$F:$AY,MATCH($O$1,Database!$F$1:$AY$1,),)))))/(((VLOOKUP(EDATE(B271,-12),Database!$F:$AY,MATCH($O$1,Database!$F$1:$AY$1,),))))</f>
        <v/>
      </c>
      <c r="P271" s="13">
        <f>((((VLOOKUP(B271,Database!$F:$AY,MATCH($P$1,Database!$F$1:$AY$1,),))))-(((VLOOKUP(EDATE(B271,-12),Database!$F:$AY,MATCH($P$1,Database!$F$1:$AY$1,),)))))/(((VLOOKUP(EDATE(B271,-12),Database!$F:$AY,MATCH($P$1,Database!$F$1:$AY$1,),))))</f>
        <v/>
      </c>
      <c r="Q271" s="13">
        <f>((((VLOOKUP(B271,Database!$F:$AY,MATCH($Q$1,Database!$F$1:$AY$1,),))))-(((VLOOKUP(EDATE(B271,-12),Database!$F:$AY,MATCH($Q$1,Database!$F$1:$AY$1,),)))))/(((VLOOKUP(EDATE(B271,-12),Database!$F:$AY,MATCH($Q$1,Database!$F$1:$AY$1,),))))</f>
        <v/>
      </c>
      <c r="R271" s="13">
        <f>((((VLOOKUP(B271,Database!$F:$AY,MATCH($R$1,Database!$F$1:$AY$1,),))))-(((VLOOKUP(EDATE(B271,-12),Database!$F:$AY,MATCH($R$1,Database!$F$1:$AY$1,),)))))/(((VLOOKUP(EDATE(B271,-12),Database!$F:$AY,MATCH($R$1,Database!$F$1:$AY$1,),))))</f>
        <v/>
      </c>
      <c r="S271" s="13">
        <f>((((VLOOKUP(B271,Database!$F:$AY,MATCH($S$1,Database!$F$1:$AY$1,),))))-(((VLOOKUP(EDATE(B271,-12),Database!$F:$AY,MATCH($S$1,Database!$F$1:$AY$1,),)))))/(((VLOOKUP(EDATE(B271,-12),Database!$F:$AY,MATCH($S$1,Database!$F$1:$AY$1,),))))</f>
        <v/>
      </c>
      <c r="T271" s="13">
        <f>((((VLOOKUP(B271,Database!$F:$AY,MATCH($T$1,Database!$F$1:$AY$1,),))))-(((VLOOKUP(EDATE(B271,-12),Database!$F:$AY,MATCH($T$1,Database!$F$1:$AY$1,),)))))/(((VLOOKUP(EDATE(B271,-12),Database!$F:$AY,MATCH($T$1,Database!$F$1:$AY$1,),))))</f>
        <v/>
      </c>
      <c r="U271" s="13">
        <f>((((VLOOKUP(B271,Database!$F:$AY,MATCH($U$1,Database!$F$1:$AY$1,),))))-(((VLOOKUP(EDATE(B271,-12),Database!$F:$AY,MATCH($U$1,Database!$F$1:$AY$1,),)))))/(((VLOOKUP(EDATE(B271,-12),Database!$F:$AY,MATCH($U$1,Database!$F$1:$AY$1,),))))</f>
        <v/>
      </c>
      <c r="V271" s="13">
        <f>((((VLOOKUP(B271,Database!$F:$AY,MATCH($V$1,Database!$F$1:$AY$1,),))))-(((VLOOKUP(EDATE(B271,-12),Database!$F:$AY,MATCH($V$1,Database!$F$1:$AY$1,),)))))/(((VLOOKUP(EDATE(B271,-12),Database!$F:$AY,MATCH($V$1,Database!$F$1:$AY$1,),))))</f>
        <v/>
      </c>
    </row>
    <row r="272" customFormat="1" s="100">
      <c r="A272" s="45" t="n"/>
      <c r="B272" s="46" t="n">
        <v>40422</v>
      </c>
      <c r="C272" s="13">
        <f>((((VLOOKUP(B272,Database!$F:$AY,MATCH($C$1,Database!$F$1:$AY$1,),))))-(((VLOOKUP(EDATE(B272,-12),Database!$F:$AY,MATCH($C$1,Database!$F$1:$AY$1,),)))))/(((VLOOKUP(EDATE(B272,-12),Database!$F:$AY,MATCH($C$1,Database!$F$1:$AY$1,),))))</f>
        <v/>
      </c>
      <c r="D272" s="13">
        <f>((((VLOOKUP(B272,Database!$F:$AY,MATCH($D$1,Database!$F$1:$AY$1,),))))-(((VLOOKUP(EDATE(B272,-12),Database!$F:$AY,MATCH($D$1,Database!$F$1:$AY$1,),)))))/(((VLOOKUP(EDATE(B272,-12),Database!$F:$AY,MATCH($D$1,Database!$F$1:$AY$1,),))))</f>
        <v/>
      </c>
      <c r="E272" s="13">
        <f>((((VLOOKUP(B272,Database!$F:$AY,MATCH($E$1,Database!$F$1:$AY$1,),))))-(((VLOOKUP(EDATE(B272,-12),Database!$F:$AY,MATCH($E$1,Database!$F$1:$AY$1,),)))))/(((VLOOKUP(EDATE(B272,-12),Database!$F:$AY,MATCH($E$1,Database!$F$1:$AY$1,),))))</f>
        <v/>
      </c>
      <c r="F272" s="13">
        <f>((((VLOOKUP(B272,Database!$F:$AY,MATCH($F$1,Database!$F$1:$AY$1,),))))-(((VLOOKUP(EDATE(B272,-12),Database!$F:$AY,MATCH($F$1,Database!$F$1:$AY$1,),)))))/(((VLOOKUP(EDATE(B272,-12),Database!$F:$AY,MATCH($F$1,Database!$F$1:$AY$1,),))))</f>
        <v/>
      </c>
      <c r="G272" s="13">
        <f>((((VLOOKUP(B272,Database!$F:$AY,MATCH($G$1,Database!$F$1:$AY$1,),))))-(((VLOOKUP(EDATE(B272,-12),Database!$F:$AY,MATCH($G$1,Database!$F$1:$AY$1,),)))))/(((VLOOKUP(EDATE(B272,-12),Database!$F:$AY,MATCH($G$1,Database!$F$1:$AY$1,),))))</f>
        <v/>
      </c>
      <c r="H272" s="13">
        <f>((((VLOOKUP(B272,Database!$F:$AY,MATCH($H$1,Database!$F$1:$AY$1,),))))-(((VLOOKUP(EDATE(B272,-12),Database!$F:$AY,MATCH($H$1,Database!$F$1:$AY$1,),)))))/(((VLOOKUP(EDATE(B272,-12),Database!$F:$AY,MATCH($H$1,Database!$F$1:$AY$1,),))))</f>
        <v/>
      </c>
      <c r="I272" s="13">
        <f>((((VLOOKUP(B272,Database!$F:$AY,MATCH($I$1,Database!$F$1:$AY$1,),))))-(((VLOOKUP(EDATE(B272,-12),Database!$F:$AY,MATCH($I$1,Database!$F$1:$AY$1,),)))))/(((VLOOKUP(EDATE(B272,-12),Database!$F:$AY,MATCH($I$1,Database!$F$1:$AY$1,),))))</f>
        <v/>
      </c>
      <c r="J272" s="13">
        <f>((((VLOOKUP(B272,Database!$F:$AY,MATCH($J$1,Database!$F$1:$AY$1,),))))-(((VLOOKUP(EDATE(B272,-12),Database!$F:$AY,MATCH($J$1,Database!$F$1:$AY$1,),)))))/(((VLOOKUP(EDATE(B272,-12),Database!$F:$AY,MATCH($J$1,Database!$F$1:$AY$1,),))))</f>
        <v/>
      </c>
      <c r="K272" s="13">
        <f>((((VLOOKUP(B272,Database!$F:$AY,MATCH($K$1,Database!$F$1:$AY$1,),))))-(((VLOOKUP(EDATE(B272,-12),Database!$F:$AY,MATCH($K$1,Database!$F$1:$AY$1,),)))))/(((VLOOKUP(EDATE(B272,-12),Database!$F:$AY,MATCH($K$1,Database!$F$1:$AY$1,),))))</f>
        <v/>
      </c>
      <c r="L272" s="13">
        <f>((((VLOOKUP(B272,Database!$F:$AY,MATCH($L$1,Database!$F$1:$AY$1,),))))-(((VLOOKUP(EDATE(B272,-12),Database!$F:$AY,MATCH($L$1,Database!$F$1:$AY$1,),)))))/(((VLOOKUP(EDATE(B272,-12),Database!$F:$AY,MATCH($L$1,Database!$F$1:$AY$1,),))))</f>
        <v/>
      </c>
      <c r="M272" s="13">
        <f>((((VLOOKUP(B272,Database!$F:$AY,MATCH($M$1,Database!$F$1:$AY$1,),))))-(((VLOOKUP(EDATE(B272,-12),Database!$F:$AY,MATCH($M$1,Database!$F$1:$AY$1,),)))))/(((VLOOKUP(EDATE(B272,-12),Database!$F:$AY,MATCH($M$1,Database!$F$1:$AY$1,),))))</f>
        <v/>
      </c>
      <c r="N272" s="13">
        <f>((((VLOOKUP(B272,Database!$F:$AY,MATCH($N$1,Database!$F$1:$AY$1,),))))-(((VLOOKUP(EDATE(B272,-12),Database!$F:$AY,MATCH($N$1,Database!$F$1:$AY$1,),)))))/(((VLOOKUP(EDATE(B272,-12),Database!$F:$AY,MATCH($N$1,Database!$F$1:$AY$1,),))))</f>
        <v/>
      </c>
      <c r="O272" s="13">
        <f>((((VLOOKUP(B272,Database!$F:$AY,MATCH($O$1,Database!$F$1:$AY$1,),))))-(((VLOOKUP(EDATE(B272,-12),Database!$F:$AY,MATCH($O$1,Database!$F$1:$AY$1,),)))))/(((VLOOKUP(EDATE(B272,-12),Database!$F:$AY,MATCH($O$1,Database!$F$1:$AY$1,),))))</f>
        <v/>
      </c>
      <c r="P272" s="13">
        <f>((((VLOOKUP(B272,Database!$F:$AY,MATCH($P$1,Database!$F$1:$AY$1,),))))-(((VLOOKUP(EDATE(B272,-12),Database!$F:$AY,MATCH($P$1,Database!$F$1:$AY$1,),)))))/(((VLOOKUP(EDATE(B272,-12),Database!$F:$AY,MATCH($P$1,Database!$F$1:$AY$1,),))))</f>
        <v/>
      </c>
      <c r="Q272" s="13">
        <f>((((VLOOKUP(B272,Database!$F:$AY,MATCH($Q$1,Database!$F$1:$AY$1,),))))-(((VLOOKUP(EDATE(B272,-12),Database!$F:$AY,MATCH($Q$1,Database!$F$1:$AY$1,),)))))/(((VLOOKUP(EDATE(B272,-12),Database!$F:$AY,MATCH($Q$1,Database!$F$1:$AY$1,),))))</f>
        <v/>
      </c>
      <c r="R272" s="13">
        <f>((((VLOOKUP(B272,Database!$F:$AY,MATCH($R$1,Database!$F$1:$AY$1,),))))-(((VLOOKUP(EDATE(B272,-12),Database!$F:$AY,MATCH($R$1,Database!$F$1:$AY$1,),)))))/(((VLOOKUP(EDATE(B272,-12),Database!$F:$AY,MATCH($R$1,Database!$F$1:$AY$1,),))))</f>
        <v/>
      </c>
      <c r="S272" s="13">
        <f>((((VLOOKUP(B272,Database!$F:$AY,MATCH($S$1,Database!$F$1:$AY$1,),))))-(((VLOOKUP(EDATE(B272,-12),Database!$F:$AY,MATCH($S$1,Database!$F$1:$AY$1,),)))))/(((VLOOKUP(EDATE(B272,-12),Database!$F:$AY,MATCH($S$1,Database!$F$1:$AY$1,),))))</f>
        <v/>
      </c>
      <c r="T272" s="13">
        <f>((((VLOOKUP(B272,Database!$F:$AY,MATCH($T$1,Database!$F$1:$AY$1,),))))-(((VLOOKUP(EDATE(B272,-12),Database!$F:$AY,MATCH($T$1,Database!$F$1:$AY$1,),)))))/(((VLOOKUP(EDATE(B272,-12),Database!$F:$AY,MATCH($T$1,Database!$F$1:$AY$1,),))))</f>
        <v/>
      </c>
      <c r="U272" s="13">
        <f>((((VLOOKUP(B272,Database!$F:$AY,MATCH($U$1,Database!$F$1:$AY$1,),))))-(((VLOOKUP(EDATE(B272,-12),Database!$F:$AY,MATCH($U$1,Database!$F$1:$AY$1,),)))))/(((VLOOKUP(EDATE(B272,-12),Database!$F:$AY,MATCH($U$1,Database!$F$1:$AY$1,),))))</f>
        <v/>
      </c>
      <c r="V272" s="13">
        <f>((((VLOOKUP(B272,Database!$F:$AY,MATCH($V$1,Database!$F$1:$AY$1,),))))-(((VLOOKUP(EDATE(B272,-12),Database!$F:$AY,MATCH($V$1,Database!$F$1:$AY$1,),)))))/(((VLOOKUP(EDATE(B272,-12),Database!$F:$AY,MATCH($V$1,Database!$F$1:$AY$1,),))))</f>
        <v/>
      </c>
    </row>
    <row r="273" customFormat="1" s="100">
      <c r="A273" s="45" t="n"/>
      <c r="B273" s="46" t="n">
        <v>40452</v>
      </c>
      <c r="C273" s="13">
        <f>((((VLOOKUP(B273,Database!$F:$AY,MATCH($C$1,Database!$F$1:$AY$1,),))))-(((VLOOKUP(EDATE(B273,-12),Database!$F:$AY,MATCH($C$1,Database!$F$1:$AY$1,),)))))/(((VLOOKUP(EDATE(B273,-12),Database!$F:$AY,MATCH($C$1,Database!$F$1:$AY$1,),))))</f>
        <v/>
      </c>
      <c r="D273" s="13">
        <f>((((VLOOKUP(B273,Database!$F:$AY,MATCH($D$1,Database!$F$1:$AY$1,),))))-(((VLOOKUP(EDATE(B273,-12),Database!$F:$AY,MATCH($D$1,Database!$F$1:$AY$1,),)))))/(((VLOOKUP(EDATE(B273,-12),Database!$F:$AY,MATCH($D$1,Database!$F$1:$AY$1,),))))</f>
        <v/>
      </c>
      <c r="E273" s="13">
        <f>((((VLOOKUP(B273,Database!$F:$AY,MATCH($E$1,Database!$F$1:$AY$1,),))))-(((VLOOKUP(EDATE(B273,-12),Database!$F:$AY,MATCH($E$1,Database!$F$1:$AY$1,),)))))/(((VLOOKUP(EDATE(B273,-12),Database!$F:$AY,MATCH($E$1,Database!$F$1:$AY$1,),))))</f>
        <v/>
      </c>
      <c r="F273" s="13">
        <f>((((VLOOKUP(B273,Database!$F:$AY,MATCH($F$1,Database!$F$1:$AY$1,),))))-(((VLOOKUP(EDATE(B273,-12),Database!$F:$AY,MATCH($F$1,Database!$F$1:$AY$1,),)))))/(((VLOOKUP(EDATE(B273,-12),Database!$F:$AY,MATCH($F$1,Database!$F$1:$AY$1,),))))</f>
        <v/>
      </c>
      <c r="G273" s="13">
        <f>((((VLOOKUP(B273,Database!$F:$AY,MATCH($G$1,Database!$F$1:$AY$1,),))))-(((VLOOKUP(EDATE(B273,-12),Database!$F:$AY,MATCH($G$1,Database!$F$1:$AY$1,),)))))/(((VLOOKUP(EDATE(B273,-12),Database!$F:$AY,MATCH($G$1,Database!$F$1:$AY$1,),))))</f>
        <v/>
      </c>
      <c r="H273" s="13">
        <f>((((VLOOKUP(B273,Database!$F:$AY,MATCH($H$1,Database!$F$1:$AY$1,),))))-(((VLOOKUP(EDATE(B273,-12),Database!$F:$AY,MATCH($H$1,Database!$F$1:$AY$1,),)))))/(((VLOOKUP(EDATE(B273,-12),Database!$F:$AY,MATCH($H$1,Database!$F$1:$AY$1,),))))</f>
        <v/>
      </c>
      <c r="I273" s="13">
        <f>((((VLOOKUP(B273,Database!$F:$AY,MATCH($I$1,Database!$F$1:$AY$1,),))))-(((VLOOKUP(EDATE(B273,-12),Database!$F:$AY,MATCH($I$1,Database!$F$1:$AY$1,),)))))/(((VLOOKUP(EDATE(B273,-12),Database!$F:$AY,MATCH($I$1,Database!$F$1:$AY$1,),))))</f>
        <v/>
      </c>
      <c r="J273" s="13">
        <f>((((VLOOKUP(B273,Database!$F:$AY,MATCH($J$1,Database!$F$1:$AY$1,),))))-(((VLOOKUP(EDATE(B273,-12),Database!$F:$AY,MATCH($J$1,Database!$F$1:$AY$1,),)))))/(((VLOOKUP(EDATE(B273,-12),Database!$F:$AY,MATCH($J$1,Database!$F$1:$AY$1,),))))</f>
        <v/>
      </c>
      <c r="K273" s="13">
        <f>((((VLOOKUP(B273,Database!$F:$AY,MATCH($K$1,Database!$F$1:$AY$1,),))))-(((VLOOKUP(EDATE(B273,-12),Database!$F:$AY,MATCH($K$1,Database!$F$1:$AY$1,),)))))/(((VLOOKUP(EDATE(B273,-12),Database!$F:$AY,MATCH($K$1,Database!$F$1:$AY$1,),))))</f>
        <v/>
      </c>
      <c r="L273" s="13">
        <f>((((VLOOKUP(B273,Database!$F:$AY,MATCH($L$1,Database!$F$1:$AY$1,),))))-(((VLOOKUP(EDATE(B273,-12),Database!$F:$AY,MATCH($L$1,Database!$F$1:$AY$1,),)))))/(((VLOOKUP(EDATE(B273,-12),Database!$F:$AY,MATCH($L$1,Database!$F$1:$AY$1,),))))</f>
        <v/>
      </c>
      <c r="M273" s="13">
        <f>((((VLOOKUP(B273,Database!$F:$AY,MATCH($M$1,Database!$F$1:$AY$1,),))))-(((VLOOKUP(EDATE(B273,-12),Database!$F:$AY,MATCH($M$1,Database!$F$1:$AY$1,),)))))/(((VLOOKUP(EDATE(B273,-12),Database!$F:$AY,MATCH($M$1,Database!$F$1:$AY$1,),))))</f>
        <v/>
      </c>
      <c r="N273" s="13">
        <f>((((VLOOKUP(B273,Database!$F:$AY,MATCH($N$1,Database!$F$1:$AY$1,),))))-(((VLOOKUP(EDATE(B273,-12),Database!$F:$AY,MATCH($N$1,Database!$F$1:$AY$1,),)))))/(((VLOOKUP(EDATE(B273,-12),Database!$F:$AY,MATCH($N$1,Database!$F$1:$AY$1,),))))</f>
        <v/>
      </c>
      <c r="O273" s="13">
        <f>((((VLOOKUP(B273,Database!$F:$AY,MATCH($O$1,Database!$F$1:$AY$1,),))))-(((VLOOKUP(EDATE(B273,-12),Database!$F:$AY,MATCH($O$1,Database!$F$1:$AY$1,),)))))/(((VLOOKUP(EDATE(B273,-12),Database!$F:$AY,MATCH($O$1,Database!$F$1:$AY$1,),))))</f>
        <v/>
      </c>
      <c r="P273" s="13">
        <f>((((VLOOKUP(B273,Database!$F:$AY,MATCH($P$1,Database!$F$1:$AY$1,),))))-(((VLOOKUP(EDATE(B273,-12),Database!$F:$AY,MATCH($P$1,Database!$F$1:$AY$1,),)))))/(((VLOOKUP(EDATE(B273,-12),Database!$F:$AY,MATCH($P$1,Database!$F$1:$AY$1,),))))</f>
        <v/>
      </c>
      <c r="Q273" s="13">
        <f>((((VLOOKUP(B273,Database!$F:$AY,MATCH($Q$1,Database!$F$1:$AY$1,),))))-(((VLOOKUP(EDATE(B273,-12),Database!$F:$AY,MATCH($Q$1,Database!$F$1:$AY$1,),)))))/(((VLOOKUP(EDATE(B273,-12),Database!$F:$AY,MATCH($Q$1,Database!$F$1:$AY$1,),))))</f>
        <v/>
      </c>
      <c r="R273" s="13">
        <f>((((VLOOKUP(B273,Database!$F:$AY,MATCH($R$1,Database!$F$1:$AY$1,),))))-(((VLOOKUP(EDATE(B273,-12),Database!$F:$AY,MATCH($R$1,Database!$F$1:$AY$1,),)))))/(((VLOOKUP(EDATE(B273,-12),Database!$F:$AY,MATCH($R$1,Database!$F$1:$AY$1,),))))</f>
        <v/>
      </c>
      <c r="S273" s="13">
        <f>((((VLOOKUP(B273,Database!$F:$AY,MATCH($S$1,Database!$F$1:$AY$1,),))))-(((VLOOKUP(EDATE(B273,-12),Database!$F:$AY,MATCH($S$1,Database!$F$1:$AY$1,),)))))/(((VLOOKUP(EDATE(B273,-12),Database!$F:$AY,MATCH($S$1,Database!$F$1:$AY$1,),))))</f>
        <v/>
      </c>
      <c r="T273" s="13">
        <f>((((VLOOKUP(B273,Database!$F:$AY,MATCH($T$1,Database!$F$1:$AY$1,),))))-(((VLOOKUP(EDATE(B273,-12),Database!$F:$AY,MATCH($T$1,Database!$F$1:$AY$1,),)))))/(((VLOOKUP(EDATE(B273,-12),Database!$F:$AY,MATCH($T$1,Database!$F$1:$AY$1,),))))</f>
        <v/>
      </c>
      <c r="U273" s="13">
        <f>((((VLOOKUP(B273,Database!$F:$AY,MATCH($U$1,Database!$F$1:$AY$1,),))))-(((VLOOKUP(EDATE(B273,-12),Database!$F:$AY,MATCH($U$1,Database!$F$1:$AY$1,),)))))/(((VLOOKUP(EDATE(B273,-12),Database!$F:$AY,MATCH($U$1,Database!$F$1:$AY$1,),))))</f>
        <v/>
      </c>
      <c r="V273" s="13">
        <f>((((VLOOKUP(B273,Database!$F:$AY,MATCH($V$1,Database!$F$1:$AY$1,),))))-(((VLOOKUP(EDATE(B273,-12),Database!$F:$AY,MATCH($V$1,Database!$F$1:$AY$1,),)))))/(((VLOOKUP(EDATE(B273,-12),Database!$F:$AY,MATCH($V$1,Database!$F$1:$AY$1,),))))</f>
        <v/>
      </c>
    </row>
    <row r="274" customFormat="1" s="100">
      <c r="A274" s="45" t="n"/>
      <c r="B274" s="46" t="n">
        <v>40483</v>
      </c>
      <c r="C274" s="13">
        <f>((((VLOOKUP(B274,Database!$F:$AY,MATCH($C$1,Database!$F$1:$AY$1,),))))-(((VLOOKUP(EDATE(B274,-12),Database!$F:$AY,MATCH($C$1,Database!$F$1:$AY$1,),)))))/(((VLOOKUP(EDATE(B274,-12),Database!$F:$AY,MATCH($C$1,Database!$F$1:$AY$1,),))))</f>
        <v/>
      </c>
      <c r="D274" s="13">
        <f>((((VLOOKUP(B274,Database!$F:$AY,MATCH($D$1,Database!$F$1:$AY$1,),))))-(((VLOOKUP(EDATE(B274,-12),Database!$F:$AY,MATCH($D$1,Database!$F$1:$AY$1,),)))))/(((VLOOKUP(EDATE(B274,-12),Database!$F:$AY,MATCH($D$1,Database!$F$1:$AY$1,),))))</f>
        <v/>
      </c>
      <c r="E274" s="13">
        <f>((((VLOOKUP(B274,Database!$F:$AY,MATCH($E$1,Database!$F$1:$AY$1,),))))-(((VLOOKUP(EDATE(B274,-12),Database!$F:$AY,MATCH($E$1,Database!$F$1:$AY$1,),)))))/(((VLOOKUP(EDATE(B274,-12),Database!$F:$AY,MATCH($E$1,Database!$F$1:$AY$1,),))))</f>
        <v/>
      </c>
      <c r="F274" s="13">
        <f>((((VLOOKUP(B274,Database!$F:$AY,MATCH($F$1,Database!$F$1:$AY$1,),))))-(((VLOOKUP(EDATE(B274,-12),Database!$F:$AY,MATCH($F$1,Database!$F$1:$AY$1,),)))))/(((VLOOKUP(EDATE(B274,-12),Database!$F:$AY,MATCH($F$1,Database!$F$1:$AY$1,),))))</f>
        <v/>
      </c>
      <c r="G274" s="13">
        <f>((((VLOOKUP(B274,Database!$F:$AY,MATCH($G$1,Database!$F$1:$AY$1,),))))-(((VLOOKUP(EDATE(B274,-12),Database!$F:$AY,MATCH($G$1,Database!$F$1:$AY$1,),)))))/(((VLOOKUP(EDATE(B274,-12),Database!$F:$AY,MATCH($G$1,Database!$F$1:$AY$1,),))))</f>
        <v/>
      </c>
      <c r="H274" s="13">
        <f>((((VLOOKUP(B274,Database!$F:$AY,MATCH($H$1,Database!$F$1:$AY$1,),))))-(((VLOOKUP(EDATE(B274,-12),Database!$F:$AY,MATCH($H$1,Database!$F$1:$AY$1,),)))))/(((VLOOKUP(EDATE(B274,-12),Database!$F:$AY,MATCH($H$1,Database!$F$1:$AY$1,),))))</f>
        <v/>
      </c>
      <c r="I274" s="13">
        <f>((((VLOOKUP(B274,Database!$F:$AY,MATCH($I$1,Database!$F$1:$AY$1,),))))-(((VLOOKUP(EDATE(B274,-12),Database!$F:$AY,MATCH($I$1,Database!$F$1:$AY$1,),)))))/(((VLOOKUP(EDATE(B274,-12),Database!$F:$AY,MATCH($I$1,Database!$F$1:$AY$1,),))))</f>
        <v/>
      </c>
      <c r="J274" s="13">
        <f>((((VLOOKUP(B274,Database!$F:$AY,MATCH($J$1,Database!$F$1:$AY$1,),))))-(((VLOOKUP(EDATE(B274,-12),Database!$F:$AY,MATCH($J$1,Database!$F$1:$AY$1,),)))))/(((VLOOKUP(EDATE(B274,-12),Database!$F:$AY,MATCH($J$1,Database!$F$1:$AY$1,),))))</f>
        <v/>
      </c>
      <c r="K274" s="13">
        <f>((((VLOOKUP(B274,Database!$F:$AY,MATCH($K$1,Database!$F$1:$AY$1,),))))-(((VLOOKUP(EDATE(B274,-12),Database!$F:$AY,MATCH($K$1,Database!$F$1:$AY$1,),)))))/(((VLOOKUP(EDATE(B274,-12),Database!$F:$AY,MATCH($K$1,Database!$F$1:$AY$1,),))))</f>
        <v/>
      </c>
      <c r="L274" s="13">
        <f>((((VLOOKUP(B274,Database!$F:$AY,MATCH($L$1,Database!$F$1:$AY$1,),))))-(((VLOOKUP(EDATE(B274,-12),Database!$F:$AY,MATCH($L$1,Database!$F$1:$AY$1,),)))))/(((VLOOKUP(EDATE(B274,-12),Database!$F:$AY,MATCH($L$1,Database!$F$1:$AY$1,),))))</f>
        <v/>
      </c>
      <c r="M274" s="13">
        <f>((((VLOOKUP(B274,Database!$F:$AY,MATCH($M$1,Database!$F$1:$AY$1,),))))-(((VLOOKUP(EDATE(B274,-12),Database!$F:$AY,MATCH($M$1,Database!$F$1:$AY$1,),)))))/(((VLOOKUP(EDATE(B274,-12),Database!$F:$AY,MATCH($M$1,Database!$F$1:$AY$1,),))))</f>
        <v/>
      </c>
      <c r="N274" s="13">
        <f>((((VLOOKUP(B274,Database!$F:$AY,MATCH($N$1,Database!$F$1:$AY$1,),))))-(((VLOOKUP(EDATE(B274,-12),Database!$F:$AY,MATCH($N$1,Database!$F$1:$AY$1,),)))))/(((VLOOKUP(EDATE(B274,-12),Database!$F:$AY,MATCH($N$1,Database!$F$1:$AY$1,),))))</f>
        <v/>
      </c>
      <c r="O274" s="13">
        <f>((((VLOOKUP(B274,Database!$F:$AY,MATCH($O$1,Database!$F$1:$AY$1,),))))-(((VLOOKUP(EDATE(B274,-12),Database!$F:$AY,MATCH($O$1,Database!$F$1:$AY$1,),)))))/(((VLOOKUP(EDATE(B274,-12),Database!$F:$AY,MATCH($O$1,Database!$F$1:$AY$1,),))))</f>
        <v/>
      </c>
      <c r="P274" s="13">
        <f>((((VLOOKUP(B274,Database!$F:$AY,MATCH($P$1,Database!$F$1:$AY$1,),))))-(((VLOOKUP(EDATE(B274,-12),Database!$F:$AY,MATCH($P$1,Database!$F$1:$AY$1,),)))))/(((VLOOKUP(EDATE(B274,-12),Database!$F:$AY,MATCH($P$1,Database!$F$1:$AY$1,),))))</f>
        <v/>
      </c>
      <c r="Q274" s="13">
        <f>((((VLOOKUP(B274,Database!$F:$AY,MATCH($Q$1,Database!$F$1:$AY$1,),))))-(((VLOOKUP(EDATE(B274,-12),Database!$F:$AY,MATCH($Q$1,Database!$F$1:$AY$1,),)))))/(((VLOOKUP(EDATE(B274,-12),Database!$F:$AY,MATCH($Q$1,Database!$F$1:$AY$1,),))))</f>
        <v/>
      </c>
      <c r="R274" s="13">
        <f>((((VLOOKUP(B274,Database!$F:$AY,MATCH($R$1,Database!$F$1:$AY$1,),))))-(((VLOOKUP(EDATE(B274,-12),Database!$F:$AY,MATCH($R$1,Database!$F$1:$AY$1,),)))))/(((VLOOKUP(EDATE(B274,-12),Database!$F:$AY,MATCH($R$1,Database!$F$1:$AY$1,),))))</f>
        <v/>
      </c>
      <c r="S274" s="13">
        <f>((((VLOOKUP(B274,Database!$F:$AY,MATCH($S$1,Database!$F$1:$AY$1,),))))-(((VLOOKUP(EDATE(B274,-12),Database!$F:$AY,MATCH($S$1,Database!$F$1:$AY$1,),)))))/(((VLOOKUP(EDATE(B274,-12),Database!$F:$AY,MATCH($S$1,Database!$F$1:$AY$1,),))))</f>
        <v/>
      </c>
      <c r="T274" s="13">
        <f>((((VLOOKUP(B274,Database!$F:$AY,MATCH($T$1,Database!$F$1:$AY$1,),))))-(((VLOOKUP(EDATE(B274,-12),Database!$F:$AY,MATCH($T$1,Database!$F$1:$AY$1,),)))))/(((VLOOKUP(EDATE(B274,-12),Database!$F:$AY,MATCH($T$1,Database!$F$1:$AY$1,),))))</f>
        <v/>
      </c>
      <c r="U274" s="13">
        <f>((((VLOOKUP(B274,Database!$F:$AY,MATCH($U$1,Database!$F$1:$AY$1,),))))-(((VLOOKUP(EDATE(B274,-12),Database!$F:$AY,MATCH($U$1,Database!$F$1:$AY$1,),)))))/(((VLOOKUP(EDATE(B274,-12),Database!$F:$AY,MATCH($U$1,Database!$F$1:$AY$1,),))))</f>
        <v/>
      </c>
      <c r="V274" s="13">
        <f>((((VLOOKUP(B274,Database!$F:$AY,MATCH($V$1,Database!$F$1:$AY$1,),))))-(((VLOOKUP(EDATE(B274,-12),Database!$F:$AY,MATCH($V$1,Database!$F$1:$AY$1,),)))))/(((VLOOKUP(EDATE(B274,-12),Database!$F:$AY,MATCH($V$1,Database!$F$1:$AY$1,),))))</f>
        <v/>
      </c>
    </row>
    <row r="275" customFormat="1" s="100">
      <c r="A275" s="45" t="n"/>
      <c r="B275" s="46" t="n">
        <v>40513</v>
      </c>
      <c r="C275" s="13">
        <f>((((VLOOKUP(B275,Database!$F:$AY,MATCH($C$1,Database!$F$1:$AY$1,),))))-(((VLOOKUP(EDATE(B275,-12),Database!$F:$AY,MATCH($C$1,Database!$F$1:$AY$1,),)))))/(((VLOOKUP(EDATE(B275,-12),Database!$F:$AY,MATCH($C$1,Database!$F$1:$AY$1,),))))</f>
        <v/>
      </c>
      <c r="D275" s="13">
        <f>((((VLOOKUP(B275,Database!$F:$AY,MATCH($D$1,Database!$F$1:$AY$1,),))))-(((VLOOKUP(EDATE(B275,-12),Database!$F:$AY,MATCH($D$1,Database!$F$1:$AY$1,),)))))/(((VLOOKUP(EDATE(B275,-12),Database!$F:$AY,MATCH($D$1,Database!$F$1:$AY$1,),))))</f>
        <v/>
      </c>
      <c r="E275" s="13">
        <f>((((VLOOKUP(B275,Database!$F:$AY,MATCH($E$1,Database!$F$1:$AY$1,),))))-(((VLOOKUP(EDATE(B275,-12),Database!$F:$AY,MATCH($E$1,Database!$F$1:$AY$1,),)))))/(((VLOOKUP(EDATE(B275,-12),Database!$F:$AY,MATCH($E$1,Database!$F$1:$AY$1,),))))</f>
        <v/>
      </c>
      <c r="F275" s="13">
        <f>((((VLOOKUP(B275,Database!$F:$AY,MATCH($F$1,Database!$F$1:$AY$1,),))))-(((VLOOKUP(EDATE(B275,-12),Database!$F:$AY,MATCH($F$1,Database!$F$1:$AY$1,),)))))/(((VLOOKUP(EDATE(B275,-12),Database!$F:$AY,MATCH($F$1,Database!$F$1:$AY$1,),))))</f>
        <v/>
      </c>
      <c r="G275" s="13">
        <f>((((VLOOKUP(B275,Database!$F:$AY,MATCH($G$1,Database!$F$1:$AY$1,),))))-(((VLOOKUP(EDATE(B275,-12),Database!$F:$AY,MATCH($G$1,Database!$F$1:$AY$1,),)))))/(((VLOOKUP(EDATE(B275,-12),Database!$F:$AY,MATCH($G$1,Database!$F$1:$AY$1,),))))</f>
        <v/>
      </c>
      <c r="H275" s="13">
        <f>((((VLOOKUP(B275,Database!$F:$AY,MATCH($H$1,Database!$F$1:$AY$1,),))))-(((VLOOKUP(EDATE(B275,-12),Database!$F:$AY,MATCH($H$1,Database!$F$1:$AY$1,),)))))/(((VLOOKUP(EDATE(B275,-12),Database!$F:$AY,MATCH($H$1,Database!$F$1:$AY$1,),))))</f>
        <v/>
      </c>
      <c r="I275" s="13">
        <f>((((VLOOKUP(B275,Database!$F:$AY,MATCH($I$1,Database!$F$1:$AY$1,),))))-(((VLOOKUP(EDATE(B275,-12),Database!$F:$AY,MATCH($I$1,Database!$F$1:$AY$1,),)))))/(((VLOOKUP(EDATE(B275,-12),Database!$F:$AY,MATCH($I$1,Database!$F$1:$AY$1,),))))</f>
        <v/>
      </c>
      <c r="J275" s="13">
        <f>((((VLOOKUP(B275,Database!$F:$AY,MATCH($J$1,Database!$F$1:$AY$1,),))))-(((VLOOKUP(EDATE(B275,-12),Database!$F:$AY,MATCH($J$1,Database!$F$1:$AY$1,),)))))/(((VLOOKUP(EDATE(B275,-12),Database!$F:$AY,MATCH($J$1,Database!$F$1:$AY$1,),))))</f>
        <v/>
      </c>
      <c r="K275" s="13">
        <f>((((VLOOKUP(B275,Database!$F:$AY,MATCH($K$1,Database!$F$1:$AY$1,),))))-(((VLOOKUP(EDATE(B275,-12),Database!$F:$AY,MATCH($K$1,Database!$F$1:$AY$1,),)))))/(((VLOOKUP(EDATE(B275,-12),Database!$F:$AY,MATCH($K$1,Database!$F$1:$AY$1,),))))</f>
        <v/>
      </c>
      <c r="L275" s="13">
        <f>((((VLOOKUP(B275,Database!$F:$AY,MATCH($L$1,Database!$F$1:$AY$1,),))))-(((VLOOKUP(EDATE(B275,-12),Database!$F:$AY,MATCH($L$1,Database!$F$1:$AY$1,),)))))/(((VLOOKUP(EDATE(B275,-12),Database!$F:$AY,MATCH($L$1,Database!$F$1:$AY$1,),))))</f>
        <v/>
      </c>
      <c r="M275" s="13">
        <f>((((VLOOKUP(B275,Database!$F:$AY,MATCH($M$1,Database!$F$1:$AY$1,),))))-(((VLOOKUP(EDATE(B275,-12),Database!$F:$AY,MATCH($M$1,Database!$F$1:$AY$1,),)))))/(((VLOOKUP(EDATE(B275,-12),Database!$F:$AY,MATCH($M$1,Database!$F$1:$AY$1,),))))</f>
        <v/>
      </c>
      <c r="N275" s="13">
        <f>((((VLOOKUP(B275,Database!$F:$AY,MATCH($N$1,Database!$F$1:$AY$1,),))))-(((VLOOKUP(EDATE(B275,-12),Database!$F:$AY,MATCH($N$1,Database!$F$1:$AY$1,),)))))/(((VLOOKUP(EDATE(B275,-12),Database!$F:$AY,MATCH($N$1,Database!$F$1:$AY$1,),))))</f>
        <v/>
      </c>
      <c r="O275" s="13">
        <f>((((VLOOKUP(B275,Database!$F:$AY,MATCH($O$1,Database!$F$1:$AY$1,),))))-(((VLOOKUP(EDATE(B275,-12),Database!$F:$AY,MATCH($O$1,Database!$F$1:$AY$1,),)))))/(((VLOOKUP(EDATE(B275,-12),Database!$F:$AY,MATCH($O$1,Database!$F$1:$AY$1,),))))</f>
        <v/>
      </c>
      <c r="P275" s="13">
        <f>((((VLOOKUP(B275,Database!$F:$AY,MATCH($P$1,Database!$F$1:$AY$1,),))))-(((VLOOKUP(EDATE(B275,-12),Database!$F:$AY,MATCH($P$1,Database!$F$1:$AY$1,),)))))/(((VLOOKUP(EDATE(B275,-12),Database!$F:$AY,MATCH($P$1,Database!$F$1:$AY$1,),))))</f>
        <v/>
      </c>
      <c r="Q275" s="13">
        <f>((((VLOOKUP(B275,Database!$F:$AY,MATCH($Q$1,Database!$F$1:$AY$1,),))))-(((VLOOKUP(EDATE(B275,-12),Database!$F:$AY,MATCH($Q$1,Database!$F$1:$AY$1,),)))))/(((VLOOKUP(EDATE(B275,-12),Database!$F:$AY,MATCH($Q$1,Database!$F$1:$AY$1,),))))</f>
        <v/>
      </c>
      <c r="R275" s="13">
        <f>((((VLOOKUP(B275,Database!$F:$AY,MATCH($R$1,Database!$F$1:$AY$1,),))))-(((VLOOKUP(EDATE(B275,-12),Database!$F:$AY,MATCH($R$1,Database!$F$1:$AY$1,),)))))/(((VLOOKUP(EDATE(B275,-12),Database!$F:$AY,MATCH($R$1,Database!$F$1:$AY$1,),))))</f>
        <v/>
      </c>
      <c r="S275" s="13">
        <f>((((VLOOKUP(B275,Database!$F:$AY,MATCH($S$1,Database!$F$1:$AY$1,),))))-(((VLOOKUP(EDATE(B275,-12),Database!$F:$AY,MATCH($S$1,Database!$F$1:$AY$1,),)))))/(((VLOOKUP(EDATE(B275,-12),Database!$F:$AY,MATCH($S$1,Database!$F$1:$AY$1,),))))</f>
        <v/>
      </c>
      <c r="T275" s="13">
        <f>((((VLOOKUP(B275,Database!$F:$AY,MATCH($T$1,Database!$F$1:$AY$1,),))))-(((VLOOKUP(EDATE(B275,-12),Database!$F:$AY,MATCH($T$1,Database!$F$1:$AY$1,),)))))/(((VLOOKUP(EDATE(B275,-12),Database!$F:$AY,MATCH($T$1,Database!$F$1:$AY$1,),))))</f>
        <v/>
      </c>
      <c r="U275" s="13">
        <f>((((VLOOKUP(B275,Database!$F:$AY,MATCH($U$1,Database!$F$1:$AY$1,),))))-(((VLOOKUP(EDATE(B275,-12),Database!$F:$AY,MATCH($U$1,Database!$F$1:$AY$1,),)))))/(((VLOOKUP(EDATE(B275,-12),Database!$F:$AY,MATCH($U$1,Database!$F$1:$AY$1,),))))</f>
        <v/>
      </c>
      <c r="V275" s="13">
        <f>((((VLOOKUP(B275,Database!$F:$AY,MATCH($V$1,Database!$F$1:$AY$1,),))))-(((VLOOKUP(EDATE(B275,-12),Database!$F:$AY,MATCH($V$1,Database!$F$1:$AY$1,),)))))/(((VLOOKUP(EDATE(B275,-12),Database!$F:$AY,MATCH($V$1,Database!$F$1:$AY$1,),))))</f>
        <v/>
      </c>
    </row>
    <row r="276" customFormat="1" s="100">
      <c r="A276" s="45" t="n"/>
      <c r="B276" s="46" t="n">
        <v>40544</v>
      </c>
      <c r="C276" s="13">
        <f>((((VLOOKUP(B276,Database!$F:$AY,MATCH($C$1,Database!$F$1:$AY$1,),))))-(((VLOOKUP(EDATE(B276,-12),Database!$F:$AY,MATCH($C$1,Database!$F$1:$AY$1,),)))))/(((VLOOKUP(EDATE(B276,-12),Database!$F:$AY,MATCH($C$1,Database!$F$1:$AY$1,),))))</f>
        <v/>
      </c>
      <c r="D276" s="13">
        <f>((((VLOOKUP(B276,Database!$F:$AY,MATCH($D$1,Database!$F$1:$AY$1,),))))-(((VLOOKUP(EDATE(B276,-12),Database!$F:$AY,MATCH($D$1,Database!$F$1:$AY$1,),)))))/(((VLOOKUP(EDATE(B276,-12),Database!$F:$AY,MATCH($D$1,Database!$F$1:$AY$1,),))))</f>
        <v/>
      </c>
      <c r="E276" s="13">
        <f>((((VLOOKUP(B276,Database!$F:$AY,MATCH($E$1,Database!$F$1:$AY$1,),))))-(((VLOOKUP(EDATE(B276,-12),Database!$F:$AY,MATCH($E$1,Database!$F$1:$AY$1,),)))))/(((VLOOKUP(EDATE(B276,-12),Database!$F:$AY,MATCH($E$1,Database!$F$1:$AY$1,),))))</f>
        <v/>
      </c>
      <c r="F276" s="13">
        <f>((((VLOOKUP(B276,Database!$F:$AY,MATCH($F$1,Database!$F$1:$AY$1,),))))-(((VLOOKUP(EDATE(B276,-12),Database!$F:$AY,MATCH($F$1,Database!$F$1:$AY$1,),)))))/(((VLOOKUP(EDATE(B276,-12),Database!$F:$AY,MATCH($F$1,Database!$F$1:$AY$1,),))))</f>
        <v/>
      </c>
      <c r="G276" s="13">
        <f>((((VLOOKUP(B276,Database!$F:$AY,MATCH($G$1,Database!$F$1:$AY$1,),))))-(((VLOOKUP(EDATE(B276,-12),Database!$F:$AY,MATCH($G$1,Database!$F$1:$AY$1,),)))))/(((VLOOKUP(EDATE(B276,-12),Database!$F:$AY,MATCH($G$1,Database!$F$1:$AY$1,),))))</f>
        <v/>
      </c>
      <c r="H276" s="13">
        <f>((((VLOOKUP(B276,Database!$F:$AY,MATCH($H$1,Database!$F$1:$AY$1,),))))-(((VLOOKUP(EDATE(B276,-12),Database!$F:$AY,MATCH($H$1,Database!$F$1:$AY$1,),)))))/(((VLOOKUP(EDATE(B276,-12),Database!$F:$AY,MATCH($H$1,Database!$F$1:$AY$1,),))))</f>
        <v/>
      </c>
      <c r="I276" s="13">
        <f>((((VLOOKUP(B276,Database!$F:$AY,MATCH($I$1,Database!$F$1:$AY$1,),))))-(((VLOOKUP(EDATE(B276,-12),Database!$F:$AY,MATCH($I$1,Database!$F$1:$AY$1,),)))))/(((VLOOKUP(EDATE(B276,-12),Database!$F:$AY,MATCH($I$1,Database!$F$1:$AY$1,),))))</f>
        <v/>
      </c>
      <c r="J276" s="13">
        <f>((((VLOOKUP(B276,Database!$F:$AY,MATCH($J$1,Database!$F$1:$AY$1,),))))-(((VLOOKUP(EDATE(B276,-12),Database!$F:$AY,MATCH($J$1,Database!$F$1:$AY$1,),)))))/(((VLOOKUP(EDATE(B276,-12),Database!$F:$AY,MATCH($J$1,Database!$F$1:$AY$1,),))))</f>
        <v/>
      </c>
      <c r="K276" s="13">
        <f>((((VLOOKUP(B276,Database!$F:$AY,MATCH($K$1,Database!$F$1:$AY$1,),))))-(((VLOOKUP(EDATE(B276,-12),Database!$F:$AY,MATCH($K$1,Database!$F$1:$AY$1,),)))))/(((VLOOKUP(EDATE(B276,-12),Database!$F:$AY,MATCH($K$1,Database!$F$1:$AY$1,),))))</f>
        <v/>
      </c>
      <c r="L276" s="13">
        <f>((((VLOOKUP(B276,Database!$F:$AY,MATCH($L$1,Database!$F$1:$AY$1,),))))-(((VLOOKUP(EDATE(B276,-12),Database!$F:$AY,MATCH($L$1,Database!$F$1:$AY$1,),)))))/(((VLOOKUP(EDATE(B276,-12),Database!$F:$AY,MATCH($L$1,Database!$F$1:$AY$1,),))))</f>
        <v/>
      </c>
      <c r="M276" s="13">
        <f>((((VLOOKUP(B276,Database!$F:$AY,MATCH($M$1,Database!$F$1:$AY$1,),))))-(((VLOOKUP(EDATE(B276,-12),Database!$F:$AY,MATCH($M$1,Database!$F$1:$AY$1,),)))))/(((VLOOKUP(EDATE(B276,-12),Database!$F:$AY,MATCH($M$1,Database!$F$1:$AY$1,),))))</f>
        <v/>
      </c>
      <c r="N276" s="13">
        <f>((((VLOOKUP(B276,Database!$F:$AY,MATCH($N$1,Database!$F$1:$AY$1,),))))-(((VLOOKUP(EDATE(B276,-12),Database!$F:$AY,MATCH($N$1,Database!$F$1:$AY$1,),)))))/(((VLOOKUP(EDATE(B276,-12),Database!$F:$AY,MATCH($N$1,Database!$F$1:$AY$1,),))))</f>
        <v/>
      </c>
      <c r="O276" s="13">
        <f>((((VLOOKUP(B276,Database!$F:$AY,MATCH($O$1,Database!$F$1:$AY$1,),))))-(((VLOOKUP(EDATE(B276,-12),Database!$F:$AY,MATCH($O$1,Database!$F$1:$AY$1,),)))))/(((VLOOKUP(EDATE(B276,-12),Database!$F:$AY,MATCH($O$1,Database!$F$1:$AY$1,),))))</f>
        <v/>
      </c>
      <c r="P276" s="13">
        <f>((((VLOOKUP(B276,Database!$F:$AY,MATCH($P$1,Database!$F$1:$AY$1,),))))-(((VLOOKUP(EDATE(B276,-12),Database!$F:$AY,MATCH($P$1,Database!$F$1:$AY$1,),)))))/(((VLOOKUP(EDATE(B276,-12),Database!$F:$AY,MATCH($P$1,Database!$F$1:$AY$1,),))))</f>
        <v/>
      </c>
      <c r="Q276" s="13">
        <f>((((VLOOKUP(B276,Database!$F:$AY,MATCH($Q$1,Database!$F$1:$AY$1,),))))-(((VLOOKUP(EDATE(B276,-12),Database!$F:$AY,MATCH($Q$1,Database!$F$1:$AY$1,),)))))/(((VLOOKUP(EDATE(B276,-12),Database!$F:$AY,MATCH($Q$1,Database!$F$1:$AY$1,),))))</f>
        <v/>
      </c>
      <c r="R276" s="13">
        <f>((((VLOOKUP(B276,Database!$F:$AY,MATCH($R$1,Database!$F$1:$AY$1,),))))-(((VLOOKUP(EDATE(B276,-12),Database!$F:$AY,MATCH($R$1,Database!$F$1:$AY$1,),)))))/(((VLOOKUP(EDATE(B276,-12),Database!$F:$AY,MATCH($R$1,Database!$F$1:$AY$1,),))))</f>
        <v/>
      </c>
      <c r="S276" s="13">
        <f>((((VLOOKUP(B276,Database!$F:$AY,MATCH($S$1,Database!$F$1:$AY$1,),))))-(((VLOOKUP(EDATE(B276,-12),Database!$F:$AY,MATCH($S$1,Database!$F$1:$AY$1,),)))))/(((VLOOKUP(EDATE(B276,-12),Database!$F:$AY,MATCH($S$1,Database!$F$1:$AY$1,),))))</f>
        <v/>
      </c>
      <c r="T276" s="13">
        <f>((((VLOOKUP(B276,Database!$F:$AY,MATCH($T$1,Database!$F$1:$AY$1,),))))-(((VLOOKUP(EDATE(B276,-12),Database!$F:$AY,MATCH($T$1,Database!$F$1:$AY$1,),)))))/(((VLOOKUP(EDATE(B276,-12),Database!$F:$AY,MATCH($T$1,Database!$F$1:$AY$1,),))))</f>
        <v/>
      </c>
      <c r="U276" s="13">
        <f>((((VLOOKUP(B276,Database!$F:$AY,MATCH($U$1,Database!$F$1:$AY$1,),))))-(((VLOOKUP(EDATE(B276,-12),Database!$F:$AY,MATCH($U$1,Database!$F$1:$AY$1,),)))))/(((VLOOKUP(EDATE(B276,-12),Database!$F:$AY,MATCH($U$1,Database!$F$1:$AY$1,),))))</f>
        <v/>
      </c>
      <c r="V276" s="13">
        <f>((((VLOOKUP(B276,Database!$F:$AY,MATCH($V$1,Database!$F$1:$AY$1,),))))-(((VLOOKUP(EDATE(B276,-12),Database!$F:$AY,MATCH($V$1,Database!$F$1:$AY$1,),)))))/(((VLOOKUP(EDATE(B276,-12),Database!$F:$AY,MATCH($V$1,Database!$F$1:$AY$1,),))))</f>
        <v/>
      </c>
    </row>
    <row r="277" customFormat="1" s="100">
      <c r="A277" s="45" t="n"/>
      <c r="B277" s="46" t="n">
        <v>40575</v>
      </c>
      <c r="C277" s="13">
        <f>((((VLOOKUP(B277,Database!$F:$AY,MATCH($C$1,Database!$F$1:$AY$1,),))))-(((VLOOKUP(EDATE(B277,-12),Database!$F:$AY,MATCH($C$1,Database!$F$1:$AY$1,),)))))/(((VLOOKUP(EDATE(B277,-12),Database!$F:$AY,MATCH($C$1,Database!$F$1:$AY$1,),))))</f>
        <v/>
      </c>
      <c r="D277" s="13">
        <f>((((VLOOKUP(B277,Database!$F:$AY,MATCH($D$1,Database!$F$1:$AY$1,),))))-(((VLOOKUP(EDATE(B277,-12),Database!$F:$AY,MATCH($D$1,Database!$F$1:$AY$1,),)))))/(((VLOOKUP(EDATE(B277,-12),Database!$F:$AY,MATCH($D$1,Database!$F$1:$AY$1,),))))</f>
        <v/>
      </c>
      <c r="E277" s="13">
        <f>((((VLOOKUP(B277,Database!$F:$AY,MATCH($E$1,Database!$F$1:$AY$1,),))))-(((VLOOKUP(EDATE(B277,-12),Database!$F:$AY,MATCH($E$1,Database!$F$1:$AY$1,),)))))/(((VLOOKUP(EDATE(B277,-12),Database!$F:$AY,MATCH($E$1,Database!$F$1:$AY$1,),))))</f>
        <v/>
      </c>
      <c r="F277" s="13">
        <f>((((VLOOKUP(B277,Database!$F:$AY,MATCH($F$1,Database!$F$1:$AY$1,),))))-(((VLOOKUP(EDATE(B277,-12),Database!$F:$AY,MATCH($F$1,Database!$F$1:$AY$1,),)))))/(((VLOOKUP(EDATE(B277,-12),Database!$F:$AY,MATCH($F$1,Database!$F$1:$AY$1,),))))</f>
        <v/>
      </c>
      <c r="G277" s="13">
        <f>((((VLOOKUP(B277,Database!$F:$AY,MATCH($G$1,Database!$F$1:$AY$1,),))))-(((VLOOKUP(EDATE(B277,-12),Database!$F:$AY,MATCH($G$1,Database!$F$1:$AY$1,),)))))/(((VLOOKUP(EDATE(B277,-12),Database!$F:$AY,MATCH($G$1,Database!$F$1:$AY$1,),))))</f>
        <v/>
      </c>
      <c r="H277" s="13">
        <f>((((VLOOKUP(B277,Database!$F:$AY,MATCH($H$1,Database!$F$1:$AY$1,),))))-(((VLOOKUP(EDATE(B277,-12),Database!$F:$AY,MATCH($H$1,Database!$F$1:$AY$1,),)))))/(((VLOOKUP(EDATE(B277,-12),Database!$F:$AY,MATCH($H$1,Database!$F$1:$AY$1,),))))</f>
        <v/>
      </c>
      <c r="I277" s="13">
        <f>((((VLOOKUP(B277,Database!$F:$AY,MATCH($I$1,Database!$F$1:$AY$1,),))))-(((VLOOKUP(EDATE(B277,-12),Database!$F:$AY,MATCH($I$1,Database!$F$1:$AY$1,),)))))/(((VLOOKUP(EDATE(B277,-12),Database!$F:$AY,MATCH($I$1,Database!$F$1:$AY$1,),))))</f>
        <v/>
      </c>
      <c r="J277" s="13">
        <f>((((VLOOKUP(B277,Database!$F:$AY,MATCH($J$1,Database!$F$1:$AY$1,),))))-(((VLOOKUP(EDATE(B277,-12),Database!$F:$AY,MATCH($J$1,Database!$F$1:$AY$1,),)))))/(((VLOOKUP(EDATE(B277,-12),Database!$F:$AY,MATCH($J$1,Database!$F$1:$AY$1,),))))</f>
        <v/>
      </c>
      <c r="K277" s="13">
        <f>((((VLOOKUP(B277,Database!$F:$AY,MATCH($K$1,Database!$F$1:$AY$1,),))))-(((VLOOKUP(EDATE(B277,-12),Database!$F:$AY,MATCH($K$1,Database!$F$1:$AY$1,),)))))/(((VLOOKUP(EDATE(B277,-12),Database!$F:$AY,MATCH($K$1,Database!$F$1:$AY$1,),))))</f>
        <v/>
      </c>
      <c r="L277" s="13">
        <f>((((VLOOKUP(B277,Database!$F:$AY,MATCH($L$1,Database!$F$1:$AY$1,),))))-(((VLOOKUP(EDATE(B277,-12),Database!$F:$AY,MATCH($L$1,Database!$F$1:$AY$1,),)))))/(((VLOOKUP(EDATE(B277,-12),Database!$F:$AY,MATCH($L$1,Database!$F$1:$AY$1,),))))</f>
        <v/>
      </c>
      <c r="M277" s="13">
        <f>((((VLOOKUP(B277,Database!$F:$AY,MATCH($M$1,Database!$F$1:$AY$1,),))))-(((VLOOKUP(EDATE(B277,-12),Database!$F:$AY,MATCH($M$1,Database!$F$1:$AY$1,),)))))/(((VLOOKUP(EDATE(B277,-12),Database!$F:$AY,MATCH($M$1,Database!$F$1:$AY$1,),))))</f>
        <v/>
      </c>
      <c r="N277" s="13">
        <f>((((VLOOKUP(B277,Database!$F:$AY,MATCH($N$1,Database!$F$1:$AY$1,),))))-(((VLOOKUP(EDATE(B277,-12),Database!$F:$AY,MATCH($N$1,Database!$F$1:$AY$1,),)))))/(((VLOOKUP(EDATE(B277,-12),Database!$F:$AY,MATCH($N$1,Database!$F$1:$AY$1,),))))</f>
        <v/>
      </c>
      <c r="O277" s="13">
        <f>((((VLOOKUP(B277,Database!$F:$AY,MATCH($O$1,Database!$F$1:$AY$1,),))))-(((VLOOKUP(EDATE(B277,-12),Database!$F:$AY,MATCH($O$1,Database!$F$1:$AY$1,),)))))/(((VLOOKUP(EDATE(B277,-12),Database!$F:$AY,MATCH($O$1,Database!$F$1:$AY$1,),))))</f>
        <v/>
      </c>
      <c r="P277" s="13">
        <f>((((VLOOKUP(B277,Database!$F:$AY,MATCH($P$1,Database!$F$1:$AY$1,),))))-(((VLOOKUP(EDATE(B277,-12),Database!$F:$AY,MATCH($P$1,Database!$F$1:$AY$1,),)))))/(((VLOOKUP(EDATE(B277,-12),Database!$F:$AY,MATCH($P$1,Database!$F$1:$AY$1,),))))</f>
        <v/>
      </c>
      <c r="Q277" s="13">
        <f>((((VLOOKUP(B277,Database!$F:$AY,MATCH($Q$1,Database!$F$1:$AY$1,),))))-(((VLOOKUP(EDATE(B277,-12),Database!$F:$AY,MATCH($Q$1,Database!$F$1:$AY$1,),)))))/(((VLOOKUP(EDATE(B277,-12),Database!$F:$AY,MATCH($Q$1,Database!$F$1:$AY$1,),))))</f>
        <v/>
      </c>
      <c r="R277" s="13">
        <f>((((VLOOKUP(B277,Database!$F:$AY,MATCH($R$1,Database!$F$1:$AY$1,),))))-(((VLOOKUP(EDATE(B277,-12),Database!$F:$AY,MATCH($R$1,Database!$F$1:$AY$1,),)))))/(((VLOOKUP(EDATE(B277,-12),Database!$F:$AY,MATCH($R$1,Database!$F$1:$AY$1,),))))</f>
        <v/>
      </c>
      <c r="S277" s="13">
        <f>((((VLOOKUP(B277,Database!$F:$AY,MATCH($S$1,Database!$F$1:$AY$1,),))))-(((VLOOKUP(EDATE(B277,-12),Database!$F:$AY,MATCH($S$1,Database!$F$1:$AY$1,),)))))/(((VLOOKUP(EDATE(B277,-12),Database!$F:$AY,MATCH($S$1,Database!$F$1:$AY$1,),))))</f>
        <v/>
      </c>
      <c r="T277" s="13">
        <f>((((VLOOKUP(B277,Database!$F:$AY,MATCH($T$1,Database!$F$1:$AY$1,),))))-(((VLOOKUP(EDATE(B277,-12),Database!$F:$AY,MATCH($T$1,Database!$F$1:$AY$1,),)))))/(((VLOOKUP(EDATE(B277,-12),Database!$F:$AY,MATCH($T$1,Database!$F$1:$AY$1,),))))</f>
        <v/>
      </c>
      <c r="U277" s="13">
        <f>((((VLOOKUP(B277,Database!$F:$AY,MATCH($U$1,Database!$F$1:$AY$1,),))))-(((VLOOKUP(EDATE(B277,-12),Database!$F:$AY,MATCH($U$1,Database!$F$1:$AY$1,),)))))/(((VLOOKUP(EDATE(B277,-12),Database!$F:$AY,MATCH($U$1,Database!$F$1:$AY$1,),))))</f>
        <v/>
      </c>
      <c r="V277" s="13">
        <f>((((VLOOKUP(B277,Database!$F:$AY,MATCH($V$1,Database!$F$1:$AY$1,),))))-(((VLOOKUP(EDATE(B277,-12),Database!$F:$AY,MATCH($V$1,Database!$F$1:$AY$1,),)))))/(((VLOOKUP(EDATE(B277,-12),Database!$F:$AY,MATCH($V$1,Database!$F$1:$AY$1,),))))</f>
        <v/>
      </c>
    </row>
    <row r="278" customFormat="1" s="100">
      <c r="A278" s="45" t="n"/>
      <c r="B278" s="46" t="n">
        <v>40603</v>
      </c>
      <c r="C278" s="13">
        <f>((((VLOOKUP(B278,Database!$F:$AY,MATCH($C$1,Database!$F$1:$AY$1,),))))-(((VLOOKUP(EDATE(B278,-12),Database!$F:$AY,MATCH($C$1,Database!$F$1:$AY$1,),)))))/(((VLOOKUP(EDATE(B278,-12),Database!$F:$AY,MATCH($C$1,Database!$F$1:$AY$1,),))))</f>
        <v/>
      </c>
      <c r="D278" s="13">
        <f>((((VLOOKUP(B278,Database!$F:$AY,MATCH($D$1,Database!$F$1:$AY$1,),))))-(((VLOOKUP(EDATE(B278,-12),Database!$F:$AY,MATCH($D$1,Database!$F$1:$AY$1,),)))))/(((VLOOKUP(EDATE(B278,-12),Database!$F:$AY,MATCH($D$1,Database!$F$1:$AY$1,),))))</f>
        <v/>
      </c>
      <c r="E278" s="13">
        <f>((((VLOOKUP(B278,Database!$F:$AY,MATCH($E$1,Database!$F$1:$AY$1,),))))-(((VLOOKUP(EDATE(B278,-12),Database!$F:$AY,MATCH($E$1,Database!$F$1:$AY$1,),)))))/(((VLOOKUP(EDATE(B278,-12),Database!$F:$AY,MATCH($E$1,Database!$F$1:$AY$1,),))))</f>
        <v/>
      </c>
      <c r="F278" s="13">
        <f>((((VLOOKUP(B278,Database!$F:$AY,MATCH($F$1,Database!$F$1:$AY$1,),))))-(((VLOOKUP(EDATE(B278,-12),Database!$F:$AY,MATCH($F$1,Database!$F$1:$AY$1,),)))))/(((VLOOKUP(EDATE(B278,-12),Database!$F:$AY,MATCH($F$1,Database!$F$1:$AY$1,),))))</f>
        <v/>
      </c>
      <c r="G278" s="13">
        <f>((((VLOOKUP(B278,Database!$F:$AY,MATCH($G$1,Database!$F$1:$AY$1,),))))-(((VLOOKUP(EDATE(B278,-12),Database!$F:$AY,MATCH($G$1,Database!$F$1:$AY$1,),)))))/(((VLOOKUP(EDATE(B278,-12),Database!$F:$AY,MATCH($G$1,Database!$F$1:$AY$1,),))))</f>
        <v/>
      </c>
      <c r="H278" s="13">
        <f>((((VLOOKUP(B278,Database!$F:$AY,MATCH($H$1,Database!$F$1:$AY$1,),))))-(((VLOOKUP(EDATE(B278,-12),Database!$F:$AY,MATCH($H$1,Database!$F$1:$AY$1,),)))))/(((VLOOKUP(EDATE(B278,-12),Database!$F:$AY,MATCH($H$1,Database!$F$1:$AY$1,),))))</f>
        <v/>
      </c>
      <c r="I278" s="13">
        <f>((((VLOOKUP(B278,Database!$F:$AY,MATCH($I$1,Database!$F$1:$AY$1,),))))-(((VLOOKUP(EDATE(B278,-12),Database!$F:$AY,MATCH($I$1,Database!$F$1:$AY$1,),)))))/(((VLOOKUP(EDATE(B278,-12),Database!$F:$AY,MATCH($I$1,Database!$F$1:$AY$1,),))))</f>
        <v/>
      </c>
      <c r="J278" s="13">
        <f>((((VLOOKUP(B278,Database!$F:$AY,MATCH($J$1,Database!$F$1:$AY$1,),))))-(((VLOOKUP(EDATE(B278,-12),Database!$F:$AY,MATCH($J$1,Database!$F$1:$AY$1,),)))))/(((VLOOKUP(EDATE(B278,-12),Database!$F:$AY,MATCH($J$1,Database!$F$1:$AY$1,),))))</f>
        <v/>
      </c>
      <c r="K278" s="13">
        <f>((((VLOOKUP(B278,Database!$F:$AY,MATCH($K$1,Database!$F$1:$AY$1,),))))-(((VLOOKUP(EDATE(B278,-12),Database!$F:$AY,MATCH($K$1,Database!$F$1:$AY$1,),)))))/(((VLOOKUP(EDATE(B278,-12),Database!$F:$AY,MATCH($K$1,Database!$F$1:$AY$1,),))))</f>
        <v/>
      </c>
      <c r="L278" s="13">
        <f>((((VLOOKUP(B278,Database!$F:$AY,MATCH($L$1,Database!$F$1:$AY$1,),))))-(((VLOOKUP(EDATE(B278,-12),Database!$F:$AY,MATCH($L$1,Database!$F$1:$AY$1,),)))))/(((VLOOKUP(EDATE(B278,-12),Database!$F:$AY,MATCH($L$1,Database!$F$1:$AY$1,),))))</f>
        <v/>
      </c>
      <c r="M278" s="13">
        <f>((((VLOOKUP(B278,Database!$F:$AY,MATCH($M$1,Database!$F$1:$AY$1,),))))-(((VLOOKUP(EDATE(B278,-12),Database!$F:$AY,MATCH($M$1,Database!$F$1:$AY$1,),)))))/(((VLOOKUP(EDATE(B278,-12),Database!$F:$AY,MATCH($M$1,Database!$F$1:$AY$1,),))))</f>
        <v/>
      </c>
      <c r="N278" s="13">
        <f>((((VLOOKUP(B278,Database!$F:$AY,MATCH($N$1,Database!$F$1:$AY$1,),))))-(((VLOOKUP(EDATE(B278,-12),Database!$F:$AY,MATCH($N$1,Database!$F$1:$AY$1,),)))))/(((VLOOKUP(EDATE(B278,-12),Database!$F:$AY,MATCH($N$1,Database!$F$1:$AY$1,),))))</f>
        <v/>
      </c>
      <c r="O278" s="13">
        <f>((((VLOOKUP(B278,Database!$F:$AY,MATCH($O$1,Database!$F$1:$AY$1,),))))-(((VLOOKUP(EDATE(B278,-12),Database!$F:$AY,MATCH($O$1,Database!$F$1:$AY$1,),)))))/(((VLOOKUP(EDATE(B278,-12),Database!$F:$AY,MATCH($O$1,Database!$F$1:$AY$1,),))))</f>
        <v/>
      </c>
      <c r="P278" s="13">
        <f>((((VLOOKUP(B278,Database!$F:$AY,MATCH($P$1,Database!$F$1:$AY$1,),))))-(((VLOOKUP(EDATE(B278,-12),Database!$F:$AY,MATCH($P$1,Database!$F$1:$AY$1,),)))))/(((VLOOKUP(EDATE(B278,-12),Database!$F:$AY,MATCH($P$1,Database!$F$1:$AY$1,),))))</f>
        <v/>
      </c>
      <c r="Q278" s="13">
        <f>((((VLOOKUP(B278,Database!$F:$AY,MATCH($Q$1,Database!$F$1:$AY$1,),))))-(((VLOOKUP(EDATE(B278,-12),Database!$F:$AY,MATCH($Q$1,Database!$F$1:$AY$1,),)))))/(((VLOOKUP(EDATE(B278,-12),Database!$F:$AY,MATCH($Q$1,Database!$F$1:$AY$1,),))))</f>
        <v/>
      </c>
      <c r="R278" s="13">
        <f>((((VLOOKUP(B278,Database!$F:$AY,MATCH($R$1,Database!$F$1:$AY$1,),))))-(((VLOOKUP(EDATE(B278,-12),Database!$F:$AY,MATCH($R$1,Database!$F$1:$AY$1,),)))))/(((VLOOKUP(EDATE(B278,-12),Database!$F:$AY,MATCH($R$1,Database!$F$1:$AY$1,),))))</f>
        <v/>
      </c>
      <c r="S278" s="13">
        <f>((((VLOOKUP(B278,Database!$F:$AY,MATCH($S$1,Database!$F$1:$AY$1,),))))-(((VLOOKUP(EDATE(B278,-12),Database!$F:$AY,MATCH($S$1,Database!$F$1:$AY$1,),)))))/(((VLOOKUP(EDATE(B278,-12),Database!$F:$AY,MATCH($S$1,Database!$F$1:$AY$1,),))))</f>
        <v/>
      </c>
      <c r="T278" s="13">
        <f>((((VLOOKUP(B278,Database!$F:$AY,MATCH($T$1,Database!$F$1:$AY$1,),))))-(((VLOOKUP(EDATE(B278,-12),Database!$F:$AY,MATCH($T$1,Database!$F$1:$AY$1,),)))))/(((VLOOKUP(EDATE(B278,-12),Database!$F:$AY,MATCH($T$1,Database!$F$1:$AY$1,),))))</f>
        <v/>
      </c>
      <c r="U278" s="13">
        <f>((((VLOOKUP(B278,Database!$F:$AY,MATCH($U$1,Database!$F$1:$AY$1,),))))-(((VLOOKUP(EDATE(B278,-12),Database!$F:$AY,MATCH($U$1,Database!$F$1:$AY$1,),)))))/(((VLOOKUP(EDATE(B278,-12),Database!$F:$AY,MATCH($U$1,Database!$F$1:$AY$1,),))))</f>
        <v/>
      </c>
      <c r="V278" s="13">
        <f>((((VLOOKUP(B278,Database!$F:$AY,MATCH($V$1,Database!$F$1:$AY$1,),))))-(((VLOOKUP(EDATE(B278,-12),Database!$F:$AY,MATCH($V$1,Database!$F$1:$AY$1,),)))))/(((VLOOKUP(EDATE(B278,-12),Database!$F:$AY,MATCH($V$1,Database!$F$1:$AY$1,),))))</f>
        <v/>
      </c>
    </row>
    <row r="279" customFormat="1" s="100">
      <c r="A279" s="45" t="n"/>
      <c r="B279" s="46" t="n">
        <v>40634</v>
      </c>
      <c r="C279" s="13">
        <f>((((VLOOKUP(B279,Database!$F:$AY,MATCH($C$1,Database!$F$1:$AY$1,),))))-(((VLOOKUP(EDATE(B279,-12),Database!$F:$AY,MATCH($C$1,Database!$F$1:$AY$1,),)))))/(((VLOOKUP(EDATE(B279,-12),Database!$F:$AY,MATCH($C$1,Database!$F$1:$AY$1,),))))</f>
        <v/>
      </c>
      <c r="D279" s="13">
        <f>((((VLOOKUP(B279,Database!$F:$AY,MATCH($D$1,Database!$F$1:$AY$1,),))))-(((VLOOKUP(EDATE(B279,-12),Database!$F:$AY,MATCH($D$1,Database!$F$1:$AY$1,),)))))/(((VLOOKUP(EDATE(B279,-12),Database!$F:$AY,MATCH($D$1,Database!$F$1:$AY$1,),))))</f>
        <v/>
      </c>
      <c r="E279" s="13">
        <f>((((VLOOKUP(B279,Database!$F:$AY,MATCH($E$1,Database!$F$1:$AY$1,),))))-(((VLOOKUP(EDATE(B279,-12),Database!$F:$AY,MATCH($E$1,Database!$F$1:$AY$1,),)))))/(((VLOOKUP(EDATE(B279,-12),Database!$F:$AY,MATCH($E$1,Database!$F$1:$AY$1,),))))</f>
        <v/>
      </c>
      <c r="F279" s="13">
        <f>((((VLOOKUP(B279,Database!$F:$AY,MATCH($F$1,Database!$F$1:$AY$1,),))))-(((VLOOKUP(EDATE(B279,-12),Database!$F:$AY,MATCH($F$1,Database!$F$1:$AY$1,),)))))/(((VLOOKUP(EDATE(B279,-12),Database!$F:$AY,MATCH($F$1,Database!$F$1:$AY$1,),))))</f>
        <v/>
      </c>
      <c r="G279" s="13">
        <f>((((VLOOKUP(B279,Database!$F:$AY,MATCH($G$1,Database!$F$1:$AY$1,),))))-(((VLOOKUP(EDATE(B279,-12),Database!$F:$AY,MATCH($G$1,Database!$F$1:$AY$1,),)))))/(((VLOOKUP(EDATE(B279,-12),Database!$F:$AY,MATCH($G$1,Database!$F$1:$AY$1,),))))</f>
        <v/>
      </c>
      <c r="H279" s="13">
        <f>((((VLOOKUP(B279,Database!$F:$AY,MATCH($H$1,Database!$F$1:$AY$1,),))))-(((VLOOKUP(EDATE(B279,-12),Database!$F:$AY,MATCH($H$1,Database!$F$1:$AY$1,),)))))/(((VLOOKUP(EDATE(B279,-12),Database!$F:$AY,MATCH($H$1,Database!$F$1:$AY$1,),))))</f>
        <v/>
      </c>
      <c r="I279" s="13">
        <f>((((VLOOKUP(B279,Database!$F:$AY,MATCH($I$1,Database!$F$1:$AY$1,),))))-(((VLOOKUP(EDATE(B279,-12),Database!$F:$AY,MATCH($I$1,Database!$F$1:$AY$1,),)))))/(((VLOOKUP(EDATE(B279,-12),Database!$F:$AY,MATCH($I$1,Database!$F$1:$AY$1,),))))</f>
        <v/>
      </c>
      <c r="J279" s="13">
        <f>((((VLOOKUP(B279,Database!$F:$AY,MATCH($J$1,Database!$F$1:$AY$1,),))))-(((VLOOKUP(EDATE(B279,-12),Database!$F:$AY,MATCH($J$1,Database!$F$1:$AY$1,),)))))/(((VLOOKUP(EDATE(B279,-12),Database!$F:$AY,MATCH($J$1,Database!$F$1:$AY$1,),))))</f>
        <v/>
      </c>
      <c r="K279" s="13">
        <f>((((VLOOKUP(B279,Database!$F:$AY,MATCH($K$1,Database!$F$1:$AY$1,),))))-(((VLOOKUP(EDATE(B279,-12),Database!$F:$AY,MATCH($K$1,Database!$F$1:$AY$1,),)))))/(((VLOOKUP(EDATE(B279,-12),Database!$F:$AY,MATCH($K$1,Database!$F$1:$AY$1,),))))</f>
        <v/>
      </c>
      <c r="L279" s="13">
        <f>((((VLOOKUP(B279,Database!$F:$AY,MATCH($L$1,Database!$F$1:$AY$1,),))))-(((VLOOKUP(EDATE(B279,-12),Database!$F:$AY,MATCH($L$1,Database!$F$1:$AY$1,),)))))/(((VLOOKUP(EDATE(B279,-12),Database!$F:$AY,MATCH($L$1,Database!$F$1:$AY$1,),))))</f>
        <v/>
      </c>
      <c r="M279" s="13">
        <f>((((VLOOKUP(B279,Database!$F:$AY,MATCH($M$1,Database!$F$1:$AY$1,),))))-(((VLOOKUP(EDATE(B279,-12),Database!$F:$AY,MATCH($M$1,Database!$F$1:$AY$1,),)))))/(((VLOOKUP(EDATE(B279,-12),Database!$F:$AY,MATCH($M$1,Database!$F$1:$AY$1,),))))</f>
        <v/>
      </c>
      <c r="N279" s="13">
        <f>((((VLOOKUP(B279,Database!$F:$AY,MATCH($N$1,Database!$F$1:$AY$1,),))))-(((VLOOKUP(EDATE(B279,-12),Database!$F:$AY,MATCH($N$1,Database!$F$1:$AY$1,),)))))/(((VLOOKUP(EDATE(B279,-12),Database!$F:$AY,MATCH($N$1,Database!$F$1:$AY$1,),))))</f>
        <v/>
      </c>
      <c r="O279" s="13">
        <f>((((VLOOKUP(B279,Database!$F:$AY,MATCH($O$1,Database!$F$1:$AY$1,),))))-(((VLOOKUP(EDATE(B279,-12),Database!$F:$AY,MATCH($O$1,Database!$F$1:$AY$1,),)))))/(((VLOOKUP(EDATE(B279,-12),Database!$F:$AY,MATCH($O$1,Database!$F$1:$AY$1,),))))</f>
        <v/>
      </c>
      <c r="P279" s="13">
        <f>((((VLOOKUP(B279,Database!$F:$AY,MATCH($P$1,Database!$F$1:$AY$1,),))))-(((VLOOKUP(EDATE(B279,-12),Database!$F:$AY,MATCH($P$1,Database!$F$1:$AY$1,),)))))/(((VLOOKUP(EDATE(B279,-12),Database!$F:$AY,MATCH($P$1,Database!$F$1:$AY$1,),))))</f>
        <v/>
      </c>
      <c r="Q279" s="13">
        <f>((((VLOOKUP(B279,Database!$F:$AY,MATCH($Q$1,Database!$F$1:$AY$1,),))))-(((VLOOKUP(EDATE(B279,-12),Database!$F:$AY,MATCH($Q$1,Database!$F$1:$AY$1,),)))))/(((VLOOKUP(EDATE(B279,-12),Database!$F:$AY,MATCH($Q$1,Database!$F$1:$AY$1,),))))</f>
        <v/>
      </c>
      <c r="R279" s="13">
        <f>((((VLOOKUP(B279,Database!$F:$AY,MATCH($R$1,Database!$F$1:$AY$1,),))))-(((VLOOKUP(EDATE(B279,-12),Database!$F:$AY,MATCH($R$1,Database!$F$1:$AY$1,),)))))/(((VLOOKUP(EDATE(B279,-12),Database!$F:$AY,MATCH($R$1,Database!$F$1:$AY$1,),))))</f>
        <v/>
      </c>
      <c r="S279" s="13">
        <f>((((VLOOKUP(B279,Database!$F:$AY,MATCH($S$1,Database!$F$1:$AY$1,),))))-(((VLOOKUP(EDATE(B279,-12),Database!$F:$AY,MATCH($S$1,Database!$F$1:$AY$1,),)))))/(((VLOOKUP(EDATE(B279,-12),Database!$F:$AY,MATCH($S$1,Database!$F$1:$AY$1,),))))</f>
        <v/>
      </c>
      <c r="T279" s="13">
        <f>((((VLOOKUP(B279,Database!$F:$AY,MATCH($T$1,Database!$F$1:$AY$1,),))))-(((VLOOKUP(EDATE(B279,-12),Database!$F:$AY,MATCH($T$1,Database!$F$1:$AY$1,),)))))/(((VLOOKUP(EDATE(B279,-12),Database!$F:$AY,MATCH($T$1,Database!$F$1:$AY$1,),))))</f>
        <v/>
      </c>
      <c r="U279" s="13">
        <f>((((VLOOKUP(B279,Database!$F:$AY,MATCH($U$1,Database!$F$1:$AY$1,),))))-(((VLOOKUP(EDATE(B279,-12),Database!$F:$AY,MATCH($U$1,Database!$F$1:$AY$1,),)))))/(((VLOOKUP(EDATE(B279,-12),Database!$F:$AY,MATCH($U$1,Database!$F$1:$AY$1,),))))</f>
        <v/>
      </c>
      <c r="V279" s="13">
        <f>((((VLOOKUP(B279,Database!$F:$AY,MATCH($V$1,Database!$F$1:$AY$1,),))))-(((VLOOKUP(EDATE(B279,-12),Database!$F:$AY,MATCH($V$1,Database!$F$1:$AY$1,),)))))/(((VLOOKUP(EDATE(B279,-12),Database!$F:$AY,MATCH($V$1,Database!$F$1:$AY$1,),))))</f>
        <v/>
      </c>
    </row>
    <row r="280" customFormat="1" s="100">
      <c r="A280" s="45" t="n"/>
      <c r="B280" s="46" t="n">
        <v>40664</v>
      </c>
      <c r="C280" s="13">
        <f>((((VLOOKUP(B280,Database!$F:$AY,MATCH($C$1,Database!$F$1:$AY$1,),))))-(((VLOOKUP(EDATE(B280,-12),Database!$F:$AY,MATCH($C$1,Database!$F$1:$AY$1,),)))))/(((VLOOKUP(EDATE(B280,-12),Database!$F:$AY,MATCH($C$1,Database!$F$1:$AY$1,),))))</f>
        <v/>
      </c>
      <c r="D280" s="13">
        <f>((((VLOOKUP(B280,Database!$F:$AY,MATCH($D$1,Database!$F$1:$AY$1,),))))-(((VLOOKUP(EDATE(B280,-12),Database!$F:$AY,MATCH($D$1,Database!$F$1:$AY$1,),)))))/(((VLOOKUP(EDATE(B280,-12),Database!$F:$AY,MATCH($D$1,Database!$F$1:$AY$1,),))))</f>
        <v/>
      </c>
      <c r="E280" s="13">
        <f>((((VLOOKUP(B280,Database!$F:$AY,MATCH($E$1,Database!$F$1:$AY$1,),))))-(((VLOOKUP(EDATE(B280,-12),Database!$F:$AY,MATCH($E$1,Database!$F$1:$AY$1,),)))))/(((VLOOKUP(EDATE(B280,-12),Database!$F:$AY,MATCH($E$1,Database!$F$1:$AY$1,),))))</f>
        <v/>
      </c>
      <c r="F280" s="13">
        <f>((((VLOOKUP(B280,Database!$F:$AY,MATCH($F$1,Database!$F$1:$AY$1,),))))-(((VLOOKUP(EDATE(B280,-12),Database!$F:$AY,MATCH($F$1,Database!$F$1:$AY$1,),)))))/(((VLOOKUP(EDATE(B280,-12),Database!$F:$AY,MATCH($F$1,Database!$F$1:$AY$1,),))))</f>
        <v/>
      </c>
      <c r="G280" s="13">
        <f>((((VLOOKUP(B280,Database!$F:$AY,MATCH($G$1,Database!$F$1:$AY$1,),))))-(((VLOOKUP(EDATE(B280,-12),Database!$F:$AY,MATCH($G$1,Database!$F$1:$AY$1,),)))))/(((VLOOKUP(EDATE(B280,-12),Database!$F:$AY,MATCH($G$1,Database!$F$1:$AY$1,),))))</f>
        <v/>
      </c>
      <c r="H280" s="13">
        <f>((((VLOOKUP(B280,Database!$F:$AY,MATCH($H$1,Database!$F$1:$AY$1,),))))-(((VLOOKUP(EDATE(B280,-12),Database!$F:$AY,MATCH($H$1,Database!$F$1:$AY$1,),)))))/(((VLOOKUP(EDATE(B280,-12),Database!$F:$AY,MATCH($H$1,Database!$F$1:$AY$1,),))))</f>
        <v/>
      </c>
      <c r="I280" s="13">
        <f>((((VLOOKUP(B280,Database!$F:$AY,MATCH($I$1,Database!$F$1:$AY$1,),))))-(((VLOOKUP(EDATE(B280,-12),Database!$F:$AY,MATCH($I$1,Database!$F$1:$AY$1,),)))))/(((VLOOKUP(EDATE(B280,-12),Database!$F:$AY,MATCH($I$1,Database!$F$1:$AY$1,),))))</f>
        <v/>
      </c>
      <c r="J280" s="13">
        <f>((((VLOOKUP(B280,Database!$F:$AY,MATCH($J$1,Database!$F$1:$AY$1,),))))-(((VLOOKUP(EDATE(B280,-12),Database!$F:$AY,MATCH($J$1,Database!$F$1:$AY$1,),)))))/(((VLOOKUP(EDATE(B280,-12),Database!$F:$AY,MATCH($J$1,Database!$F$1:$AY$1,),))))</f>
        <v/>
      </c>
      <c r="K280" s="13">
        <f>((((VLOOKUP(B280,Database!$F:$AY,MATCH($K$1,Database!$F$1:$AY$1,),))))-(((VLOOKUP(EDATE(B280,-12),Database!$F:$AY,MATCH($K$1,Database!$F$1:$AY$1,),)))))/(((VLOOKUP(EDATE(B280,-12),Database!$F:$AY,MATCH($K$1,Database!$F$1:$AY$1,),))))</f>
        <v/>
      </c>
      <c r="L280" s="13">
        <f>((((VLOOKUP(B280,Database!$F:$AY,MATCH($L$1,Database!$F$1:$AY$1,),))))-(((VLOOKUP(EDATE(B280,-12),Database!$F:$AY,MATCH($L$1,Database!$F$1:$AY$1,),)))))/(((VLOOKUP(EDATE(B280,-12),Database!$F:$AY,MATCH($L$1,Database!$F$1:$AY$1,),))))</f>
        <v/>
      </c>
      <c r="M280" s="13">
        <f>((((VLOOKUP(B280,Database!$F:$AY,MATCH($M$1,Database!$F$1:$AY$1,),))))-(((VLOOKUP(EDATE(B280,-12),Database!$F:$AY,MATCH($M$1,Database!$F$1:$AY$1,),)))))/(((VLOOKUP(EDATE(B280,-12),Database!$F:$AY,MATCH($M$1,Database!$F$1:$AY$1,),))))</f>
        <v/>
      </c>
      <c r="N280" s="13">
        <f>((((VLOOKUP(B280,Database!$F:$AY,MATCH($N$1,Database!$F$1:$AY$1,),))))-(((VLOOKUP(EDATE(B280,-12),Database!$F:$AY,MATCH($N$1,Database!$F$1:$AY$1,),)))))/(((VLOOKUP(EDATE(B280,-12),Database!$F:$AY,MATCH($N$1,Database!$F$1:$AY$1,),))))</f>
        <v/>
      </c>
      <c r="O280" s="13">
        <f>((((VLOOKUP(B280,Database!$F:$AY,MATCH($O$1,Database!$F$1:$AY$1,),))))-(((VLOOKUP(EDATE(B280,-12),Database!$F:$AY,MATCH($O$1,Database!$F$1:$AY$1,),)))))/(((VLOOKUP(EDATE(B280,-12),Database!$F:$AY,MATCH($O$1,Database!$F$1:$AY$1,),))))</f>
        <v/>
      </c>
      <c r="P280" s="13">
        <f>((((VLOOKUP(B280,Database!$F:$AY,MATCH($P$1,Database!$F$1:$AY$1,),))))-(((VLOOKUP(EDATE(B280,-12),Database!$F:$AY,MATCH($P$1,Database!$F$1:$AY$1,),)))))/(((VLOOKUP(EDATE(B280,-12),Database!$F:$AY,MATCH($P$1,Database!$F$1:$AY$1,),))))</f>
        <v/>
      </c>
      <c r="Q280" s="13">
        <f>((((VLOOKUP(B280,Database!$F:$AY,MATCH($Q$1,Database!$F$1:$AY$1,),))))-(((VLOOKUP(EDATE(B280,-12),Database!$F:$AY,MATCH($Q$1,Database!$F$1:$AY$1,),)))))/(((VLOOKUP(EDATE(B280,-12),Database!$F:$AY,MATCH($Q$1,Database!$F$1:$AY$1,),))))</f>
        <v/>
      </c>
      <c r="R280" s="13">
        <f>((((VLOOKUP(B280,Database!$F:$AY,MATCH($R$1,Database!$F$1:$AY$1,),))))-(((VLOOKUP(EDATE(B280,-12),Database!$F:$AY,MATCH($R$1,Database!$F$1:$AY$1,),)))))/(((VLOOKUP(EDATE(B280,-12),Database!$F:$AY,MATCH($R$1,Database!$F$1:$AY$1,),))))</f>
        <v/>
      </c>
      <c r="S280" s="13">
        <f>((((VLOOKUP(B280,Database!$F:$AY,MATCH($S$1,Database!$F$1:$AY$1,),))))-(((VLOOKUP(EDATE(B280,-12),Database!$F:$AY,MATCH($S$1,Database!$F$1:$AY$1,),)))))/(((VLOOKUP(EDATE(B280,-12),Database!$F:$AY,MATCH($S$1,Database!$F$1:$AY$1,),))))</f>
        <v/>
      </c>
      <c r="T280" s="13">
        <f>((((VLOOKUP(B280,Database!$F:$AY,MATCH($T$1,Database!$F$1:$AY$1,),))))-(((VLOOKUP(EDATE(B280,-12),Database!$F:$AY,MATCH($T$1,Database!$F$1:$AY$1,),)))))/(((VLOOKUP(EDATE(B280,-12),Database!$F:$AY,MATCH($T$1,Database!$F$1:$AY$1,),))))</f>
        <v/>
      </c>
      <c r="U280" s="13">
        <f>((((VLOOKUP(B280,Database!$F:$AY,MATCH($U$1,Database!$F$1:$AY$1,),))))-(((VLOOKUP(EDATE(B280,-12),Database!$F:$AY,MATCH($U$1,Database!$F$1:$AY$1,),)))))/(((VLOOKUP(EDATE(B280,-12),Database!$F:$AY,MATCH($U$1,Database!$F$1:$AY$1,),))))</f>
        <v/>
      </c>
      <c r="V280" s="13">
        <f>((((VLOOKUP(B280,Database!$F:$AY,MATCH($V$1,Database!$F$1:$AY$1,),))))-(((VLOOKUP(EDATE(B280,-12),Database!$F:$AY,MATCH($V$1,Database!$F$1:$AY$1,),)))))/(((VLOOKUP(EDATE(B280,-12),Database!$F:$AY,MATCH($V$1,Database!$F$1:$AY$1,),))))</f>
        <v/>
      </c>
    </row>
    <row r="281" customFormat="1" s="100">
      <c r="A281" s="45" t="n"/>
      <c r="B281" s="46" t="n">
        <v>40695</v>
      </c>
      <c r="C281" s="13">
        <f>((((VLOOKUP(B281,Database!$F:$AY,MATCH($C$1,Database!$F$1:$AY$1,),))))-(((VLOOKUP(EDATE(B281,-12),Database!$F:$AY,MATCH($C$1,Database!$F$1:$AY$1,),)))))/(((VLOOKUP(EDATE(B281,-12),Database!$F:$AY,MATCH($C$1,Database!$F$1:$AY$1,),))))</f>
        <v/>
      </c>
      <c r="D281" s="13">
        <f>((((VLOOKUP(B281,Database!$F:$AY,MATCH($D$1,Database!$F$1:$AY$1,),))))-(((VLOOKUP(EDATE(B281,-12),Database!$F:$AY,MATCH($D$1,Database!$F$1:$AY$1,),)))))/(((VLOOKUP(EDATE(B281,-12),Database!$F:$AY,MATCH($D$1,Database!$F$1:$AY$1,),))))</f>
        <v/>
      </c>
      <c r="E281" s="13">
        <f>((((VLOOKUP(B281,Database!$F:$AY,MATCH($E$1,Database!$F$1:$AY$1,),))))-(((VLOOKUP(EDATE(B281,-12),Database!$F:$AY,MATCH($E$1,Database!$F$1:$AY$1,),)))))/(((VLOOKUP(EDATE(B281,-12),Database!$F:$AY,MATCH($E$1,Database!$F$1:$AY$1,),))))</f>
        <v/>
      </c>
      <c r="F281" s="13">
        <f>((((VLOOKUP(B281,Database!$F:$AY,MATCH($F$1,Database!$F$1:$AY$1,),))))-(((VLOOKUP(EDATE(B281,-12),Database!$F:$AY,MATCH($F$1,Database!$F$1:$AY$1,),)))))/(((VLOOKUP(EDATE(B281,-12),Database!$F:$AY,MATCH($F$1,Database!$F$1:$AY$1,),))))</f>
        <v/>
      </c>
      <c r="G281" s="13">
        <f>((((VLOOKUP(B281,Database!$F:$AY,MATCH($G$1,Database!$F$1:$AY$1,),))))-(((VLOOKUP(EDATE(B281,-12),Database!$F:$AY,MATCH($G$1,Database!$F$1:$AY$1,),)))))/(((VLOOKUP(EDATE(B281,-12),Database!$F:$AY,MATCH($G$1,Database!$F$1:$AY$1,),))))</f>
        <v/>
      </c>
      <c r="H281" s="13">
        <f>((((VLOOKUP(B281,Database!$F:$AY,MATCH($H$1,Database!$F$1:$AY$1,),))))-(((VLOOKUP(EDATE(B281,-12),Database!$F:$AY,MATCH($H$1,Database!$F$1:$AY$1,),)))))/(((VLOOKUP(EDATE(B281,-12),Database!$F:$AY,MATCH($H$1,Database!$F$1:$AY$1,),))))</f>
        <v/>
      </c>
      <c r="I281" s="13">
        <f>((((VLOOKUP(B281,Database!$F:$AY,MATCH($I$1,Database!$F$1:$AY$1,),))))-(((VLOOKUP(EDATE(B281,-12),Database!$F:$AY,MATCH($I$1,Database!$F$1:$AY$1,),)))))/(((VLOOKUP(EDATE(B281,-12),Database!$F:$AY,MATCH($I$1,Database!$F$1:$AY$1,),))))</f>
        <v/>
      </c>
      <c r="J281" s="13">
        <f>((((VLOOKUP(B281,Database!$F:$AY,MATCH($J$1,Database!$F$1:$AY$1,),))))-(((VLOOKUP(EDATE(B281,-12),Database!$F:$AY,MATCH($J$1,Database!$F$1:$AY$1,),)))))/(((VLOOKUP(EDATE(B281,-12),Database!$F:$AY,MATCH($J$1,Database!$F$1:$AY$1,),))))</f>
        <v/>
      </c>
      <c r="K281" s="13">
        <f>((((VLOOKUP(B281,Database!$F:$AY,MATCH($K$1,Database!$F$1:$AY$1,),))))-(((VLOOKUP(EDATE(B281,-12),Database!$F:$AY,MATCH($K$1,Database!$F$1:$AY$1,),)))))/(((VLOOKUP(EDATE(B281,-12),Database!$F:$AY,MATCH($K$1,Database!$F$1:$AY$1,),))))</f>
        <v/>
      </c>
      <c r="L281" s="13">
        <f>((((VLOOKUP(B281,Database!$F:$AY,MATCH($L$1,Database!$F$1:$AY$1,),))))-(((VLOOKUP(EDATE(B281,-12),Database!$F:$AY,MATCH($L$1,Database!$F$1:$AY$1,),)))))/(((VLOOKUP(EDATE(B281,-12),Database!$F:$AY,MATCH($L$1,Database!$F$1:$AY$1,),))))</f>
        <v/>
      </c>
      <c r="M281" s="13">
        <f>((((VLOOKUP(B281,Database!$F:$AY,MATCH($M$1,Database!$F$1:$AY$1,),))))-(((VLOOKUP(EDATE(B281,-12),Database!$F:$AY,MATCH($M$1,Database!$F$1:$AY$1,),)))))/(((VLOOKUP(EDATE(B281,-12),Database!$F:$AY,MATCH($M$1,Database!$F$1:$AY$1,),))))</f>
        <v/>
      </c>
      <c r="N281" s="13">
        <f>((((VLOOKUP(B281,Database!$F:$AY,MATCH($N$1,Database!$F$1:$AY$1,),))))-(((VLOOKUP(EDATE(B281,-12),Database!$F:$AY,MATCH($N$1,Database!$F$1:$AY$1,),)))))/(((VLOOKUP(EDATE(B281,-12),Database!$F:$AY,MATCH($N$1,Database!$F$1:$AY$1,),))))</f>
        <v/>
      </c>
      <c r="O281" s="13">
        <f>((((VLOOKUP(B281,Database!$F:$AY,MATCH($O$1,Database!$F$1:$AY$1,),))))-(((VLOOKUP(EDATE(B281,-12),Database!$F:$AY,MATCH($O$1,Database!$F$1:$AY$1,),)))))/(((VLOOKUP(EDATE(B281,-12),Database!$F:$AY,MATCH($O$1,Database!$F$1:$AY$1,),))))</f>
        <v/>
      </c>
      <c r="P281" s="13">
        <f>((((VLOOKUP(B281,Database!$F:$AY,MATCH($P$1,Database!$F$1:$AY$1,),))))-(((VLOOKUP(EDATE(B281,-12),Database!$F:$AY,MATCH($P$1,Database!$F$1:$AY$1,),)))))/(((VLOOKUP(EDATE(B281,-12),Database!$F:$AY,MATCH($P$1,Database!$F$1:$AY$1,),))))</f>
        <v/>
      </c>
      <c r="Q281" s="13">
        <f>((((VLOOKUP(B281,Database!$F:$AY,MATCH($Q$1,Database!$F$1:$AY$1,),))))-(((VLOOKUP(EDATE(B281,-12),Database!$F:$AY,MATCH($Q$1,Database!$F$1:$AY$1,),)))))/(((VLOOKUP(EDATE(B281,-12),Database!$F:$AY,MATCH($Q$1,Database!$F$1:$AY$1,),))))</f>
        <v/>
      </c>
      <c r="R281" s="13">
        <f>((((VLOOKUP(B281,Database!$F:$AY,MATCH($R$1,Database!$F$1:$AY$1,),))))-(((VLOOKUP(EDATE(B281,-12),Database!$F:$AY,MATCH($R$1,Database!$F$1:$AY$1,),)))))/(((VLOOKUP(EDATE(B281,-12),Database!$F:$AY,MATCH($R$1,Database!$F$1:$AY$1,),))))</f>
        <v/>
      </c>
      <c r="S281" s="13">
        <f>((((VLOOKUP(B281,Database!$F:$AY,MATCH($S$1,Database!$F$1:$AY$1,),))))-(((VLOOKUP(EDATE(B281,-12),Database!$F:$AY,MATCH($S$1,Database!$F$1:$AY$1,),)))))/(((VLOOKUP(EDATE(B281,-12),Database!$F:$AY,MATCH($S$1,Database!$F$1:$AY$1,),))))</f>
        <v/>
      </c>
      <c r="T281" s="13">
        <f>((((VLOOKUP(B281,Database!$F:$AY,MATCH($T$1,Database!$F$1:$AY$1,),))))-(((VLOOKUP(EDATE(B281,-12),Database!$F:$AY,MATCH($T$1,Database!$F$1:$AY$1,),)))))/(((VLOOKUP(EDATE(B281,-12),Database!$F:$AY,MATCH($T$1,Database!$F$1:$AY$1,),))))</f>
        <v/>
      </c>
      <c r="U281" s="13">
        <f>((((VLOOKUP(B281,Database!$F:$AY,MATCH($U$1,Database!$F$1:$AY$1,),))))-(((VLOOKUP(EDATE(B281,-12),Database!$F:$AY,MATCH($U$1,Database!$F$1:$AY$1,),)))))/(((VLOOKUP(EDATE(B281,-12),Database!$F:$AY,MATCH($U$1,Database!$F$1:$AY$1,),))))</f>
        <v/>
      </c>
      <c r="V281" s="13">
        <f>((((VLOOKUP(B281,Database!$F:$AY,MATCH($V$1,Database!$F$1:$AY$1,),))))-(((VLOOKUP(EDATE(B281,-12),Database!$F:$AY,MATCH($V$1,Database!$F$1:$AY$1,),)))))/(((VLOOKUP(EDATE(B281,-12),Database!$F:$AY,MATCH($V$1,Database!$F$1:$AY$1,),))))</f>
        <v/>
      </c>
    </row>
    <row r="282" customFormat="1" s="100">
      <c r="A282" s="45" t="n"/>
      <c r="B282" s="46" t="n">
        <v>40725</v>
      </c>
      <c r="C282" s="13">
        <f>((((VLOOKUP(B282,Database!$F:$AY,MATCH($C$1,Database!$F$1:$AY$1,),))))-(((VLOOKUP(EDATE(B282,-12),Database!$F:$AY,MATCH($C$1,Database!$F$1:$AY$1,),)))))/(((VLOOKUP(EDATE(B282,-12),Database!$F:$AY,MATCH($C$1,Database!$F$1:$AY$1,),))))</f>
        <v/>
      </c>
      <c r="D282" s="13">
        <f>((((VLOOKUP(B282,Database!$F:$AY,MATCH($D$1,Database!$F$1:$AY$1,),))))-(((VLOOKUP(EDATE(B282,-12),Database!$F:$AY,MATCH($D$1,Database!$F$1:$AY$1,),)))))/(((VLOOKUP(EDATE(B282,-12),Database!$F:$AY,MATCH($D$1,Database!$F$1:$AY$1,),))))</f>
        <v/>
      </c>
      <c r="E282" s="13">
        <f>((((VLOOKUP(B282,Database!$F:$AY,MATCH($E$1,Database!$F$1:$AY$1,),))))-(((VLOOKUP(EDATE(B282,-12),Database!$F:$AY,MATCH($E$1,Database!$F$1:$AY$1,),)))))/(((VLOOKUP(EDATE(B282,-12),Database!$F:$AY,MATCH($E$1,Database!$F$1:$AY$1,),))))</f>
        <v/>
      </c>
      <c r="F282" s="13">
        <f>((((VLOOKUP(B282,Database!$F:$AY,MATCH($F$1,Database!$F$1:$AY$1,),))))-(((VLOOKUP(EDATE(B282,-12),Database!$F:$AY,MATCH($F$1,Database!$F$1:$AY$1,),)))))/(((VLOOKUP(EDATE(B282,-12),Database!$F:$AY,MATCH($F$1,Database!$F$1:$AY$1,),))))</f>
        <v/>
      </c>
      <c r="G282" s="13">
        <f>((((VLOOKUP(B282,Database!$F:$AY,MATCH($G$1,Database!$F$1:$AY$1,),))))-(((VLOOKUP(EDATE(B282,-12),Database!$F:$AY,MATCH($G$1,Database!$F$1:$AY$1,),)))))/(((VLOOKUP(EDATE(B282,-12),Database!$F:$AY,MATCH($G$1,Database!$F$1:$AY$1,),))))</f>
        <v/>
      </c>
      <c r="H282" s="13">
        <f>((((VLOOKUP(B282,Database!$F:$AY,MATCH($H$1,Database!$F$1:$AY$1,),))))-(((VLOOKUP(EDATE(B282,-12),Database!$F:$AY,MATCH($H$1,Database!$F$1:$AY$1,),)))))/(((VLOOKUP(EDATE(B282,-12),Database!$F:$AY,MATCH($H$1,Database!$F$1:$AY$1,),))))</f>
        <v/>
      </c>
      <c r="I282" s="13">
        <f>((((VLOOKUP(B282,Database!$F:$AY,MATCH($I$1,Database!$F$1:$AY$1,),))))-(((VLOOKUP(EDATE(B282,-12),Database!$F:$AY,MATCH($I$1,Database!$F$1:$AY$1,),)))))/(((VLOOKUP(EDATE(B282,-12),Database!$F:$AY,MATCH($I$1,Database!$F$1:$AY$1,),))))</f>
        <v/>
      </c>
      <c r="J282" s="13">
        <f>((((VLOOKUP(B282,Database!$F:$AY,MATCH($J$1,Database!$F$1:$AY$1,),))))-(((VLOOKUP(EDATE(B282,-12),Database!$F:$AY,MATCH($J$1,Database!$F$1:$AY$1,),)))))/(((VLOOKUP(EDATE(B282,-12),Database!$F:$AY,MATCH($J$1,Database!$F$1:$AY$1,),))))</f>
        <v/>
      </c>
      <c r="K282" s="13">
        <f>((((VLOOKUP(B282,Database!$F:$AY,MATCH($K$1,Database!$F$1:$AY$1,),))))-(((VLOOKUP(EDATE(B282,-12),Database!$F:$AY,MATCH($K$1,Database!$F$1:$AY$1,),)))))/(((VLOOKUP(EDATE(B282,-12),Database!$F:$AY,MATCH($K$1,Database!$F$1:$AY$1,),))))</f>
        <v/>
      </c>
      <c r="L282" s="13">
        <f>((((VLOOKUP(B282,Database!$F:$AY,MATCH($L$1,Database!$F$1:$AY$1,),))))-(((VLOOKUP(EDATE(B282,-12),Database!$F:$AY,MATCH($L$1,Database!$F$1:$AY$1,),)))))/(((VLOOKUP(EDATE(B282,-12),Database!$F:$AY,MATCH($L$1,Database!$F$1:$AY$1,),))))</f>
        <v/>
      </c>
      <c r="M282" s="13">
        <f>((((VLOOKUP(B282,Database!$F:$AY,MATCH($M$1,Database!$F$1:$AY$1,),))))-(((VLOOKUP(EDATE(B282,-12),Database!$F:$AY,MATCH($M$1,Database!$F$1:$AY$1,),)))))/(((VLOOKUP(EDATE(B282,-12),Database!$F:$AY,MATCH($M$1,Database!$F$1:$AY$1,),))))</f>
        <v/>
      </c>
      <c r="N282" s="13">
        <f>((((VLOOKUP(B282,Database!$F:$AY,MATCH($N$1,Database!$F$1:$AY$1,),))))-(((VLOOKUP(EDATE(B282,-12),Database!$F:$AY,MATCH($N$1,Database!$F$1:$AY$1,),)))))/(((VLOOKUP(EDATE(B282,-12),Database!$F:$AY,MATCH($N$1,Database!$F$1:$AY$1,),))))</f>
        <v/>
      </c>
      <c r="O282" s="13">
        <f>((((VLOOKUP(B282,Database!$F:$AY,MATCH($O$1,Database!$F$1:$AY$1,),))))-(((VLOOKUP(EDATE(B282,-12),Database!$F:$AY,MATCH($O$1,Database!$F$1:$AY$1,),)))))/(((VLOOKUP(EDATE(B282,-12),Database!$F:$AY,MATCH($O$1,Database!$F$1:$AY$1,),))))</f>
        <v/>
      </c>
      <c r="P282" s="13">
        <f>((((VLOOKUP(B282,Database!$F:$AY,MATCH($P$1,Database!$F$1:$AY$1,),))))-(((VLOOKUP(EDATE(B282,-12),Database!$F:$AY,MATCH($P$1,Database!$F$1:$AY$1,),)))))/(((VLOOKUP(EDATE(B282,-12),Database!$F:$AY,MATCH($P$1,Database!$F$1:$AY$1,),))))</f>
        <v/>
      </c>
      <c r="Q282" s="13">
        <f>((((VLOOKUP(B282,Database!$F:$AY,MATCH($Q$1,Database!$F$1:$AY$1,),))))-(((VLOOKUP(EDATE(B282,-12),Database!$F:$AY,MATCH($Q$1,Database!$F$1:$AY$1,),)))))/(((VLOOKUP(EDATE(B282,-12),Database!$F:$AY,MATCH($Q$1,Database!$F$1:$AY$1,),))))</f>
        <v/>
      </c>
      <c r="R282" s="13">
        <f>((((VLOOKUP(B282,Database!$F:$AY,MATCH($R$1,Database!$F$1:$AY$1,),))))-(((VLOOKUP(EDATE(B282,-12),Database!$F:$AY,MATCH($R$1,Database!$F$1:$AY$1,),)))))/(((VLOOKUP(EDATE(B282,-12),Database!$F:$AY,MATCH($R$1,Database!$F$1:$AY$1,),))))</f>
        <v/>
      </c>
      <c r="S282" s="13">
        <f>((((VLOOKUP(B282,Database!$F:$AY,MATCH($S$1,Database!$F$1:$AY$1,),))))-(((VLOOKUP(EDATE(B282,-12),Database!$F:$AY,MATCH($S$1,Database!$F$1:$AY$1,),)))))/(((VLOOKUP(EDATE(B282,-12),Database!$F:$AY,MATCH($S$1,Database!$F$1:$AY$1,),))))</f>
        <v/>
      </c>
      <c r="T282" s="13">
        <f>((((VLOOKUP(B282,Database!$F:$AY,MATCH($T$1,Database!$F$1:$AY$1,),))))-(((VLOOKUP(EDATE(B282,-12),Database!$F:$AY,MATCH($T$1,Database!$F$1:$AY$1,),)))))/(((VLOOKUP(EDATE(B282,-12),Database!$F:$AY,MATCH($T$1,Database!$F$1:$AY$1,),))))</f>
        <v/>
      </c>
      <c r="U282" s="13">
        <f>((((VLOOKUP(B282,Database!$F:$AY,MATCH($U$1,Database!$F$1:$AY$1,),))))-(((VLOOKUP(EDATE(B282,-12),Database!$F:$AY,MATCH($U$1,Database!$F$1:$AY$1,),)))))/(((VLOOKUP(EDATE(B282,-12),Database!$F:$AY,MATCH($U$1,Database!$F$1:$AY$1,),))))</f>
        <v/>
      </c>
      <c r="V282" s="13">
        <f>((((VLOOKUP(B282,Database!$F:$AY,MATCH($V$1,Database!$F$1:$AY$1,),))))-(((VLOOKUP(EDATE(B282,-12),Database!$F:$AY,MATCH($V$1,Database!$F$1:$AY$1,),)))))/(((VLOOKUP(EDATE(B282,-12),Database!$F:$AY,MATCH($V$1,Database!$F$1:$AY$1,),))))</f>
        <v/>
      </c>
    </row>
    <row r="283" customFormat="1" s="100">
      <c r="A283" s="45" t="n"/>
      <c r="B283" s="46" t="n">
        <v>40756</v>
      </c>
      <c r="C283" s="13">
        <f>((((VLOOKUP(B283,Database!$F:$AY,MATCH($C$1,Database!$F$1:$AY$1,),))))-(((VLOOKUP(EDATE(B283,-12),Database!$F:$AY,MATCH($C$1,Database!$F$1:$AY$1,),)))))/(((VLOOKUP(EDATE(B283,-12),Database!$F:$AY,MATCH($C$1,Database!$F$1:$AY$1,),))))</f>
        <v/>
      </c>
      <c r="D283" s="13">
        <f>((((VLOOKUP(B283,Database!$F:$AY,MATCH($D$1,Database!$F$1:$AY$1,),))))-(((VLOOKUP(EDATE(B283,-12),Database!$F:$AY,MATCH($D$1,Database!$F$1:$AY$1,),)))))/(((VLOOKUP(EDATE(B283,-12),Database!$F:$AY,MATCH($D$1,Database!$F$1:$AY$1,),))))</f>
        <v/>
      </c>
      <c r="E283" s="13">
        <f>((((VLOOKUP(B283,Database!$F:$AY,MATCH($E$1,Database!$F$1:$AY$1,),))))-(((VLOOKUP(EDATE(B283,-12),Database!$F:$AY,MATCH($E$1,Database!$F$1:$AY$1,),)))))/(((VLOOKUP(EDATE(B283,-12),Database!$F:$AY,MATCH($E$1,Database!$F$1:$AY$1,),))))</f>
        <v/>
      </c>
      <c r="F283" s="13">
        <f>((((VLOOKUP(B283,Database!$F:$AY,MATCH($F$1,Database!$F$1:$AY$1,),))))-(((VLOOKUP(EDATE(B283,-12),Database!$F:$AY,MATCH($F$1,Database!$F$1:$AY$1,),)))))/(((VLOOKUP(EDATE(B283,-12),Database!$F:$AY,MATCH($F$1,Database!$F$1:$AY$1,),))))</f>
        <v/>
      </c>
      <c r="G283" s="13">
        <f>((((VLOOKUP(B283,Database!$F:$AY,MATCH($G$1,Database!$F$1:$AY$1,),))))-(((VLOOKUP(EDATE(B283,-12),Database!$F:$AY,MATCH($G$1,Database!$F$1:$AY$1,),)))))/(((VLOOKUP(EDATE(B283,-12),Database!$F:$AY,MATCH($G$1,Database!$F$1:$AY$1,),))))</f>
        <v/>
      </c>
      <c r="H283" s="13">
        <f>((((VLOOKUP(B283,Database!$F:$AY,MATCH($H$1,Database!$F$1:$AY$1,),))))-(((VLOOKUP(EDATE(B283,-12),Database!$F:$AY,MATCH($H$1,Database!$F$1:$AY$1,),)))))/(((VLOOKUP(EDATE(B283,-12),Database!$F:$AY,MATCH($H$1,Database!$F$1:$AY$1,),))))</f>
        <v/>
      </c>
      <c r="I283" s="13">
        <f>((((VLOOKUP(B283,Database!$F:$AY,MATCH($I$1,Database!$F$1:$AY$1,),))))-(((VLOOKUP(EDATE(B283,-12),Database!$F:$AY,MATCH($I$1,Database!$F$1:$AY$1,),)))))/(((VLOOKUP(EDATE(B283,-12),Database!$F:$AY,MATCH($I$1,Database!$F$1:$AY$1,),))))</f>
        <v/>
      </c>
      <c r="J283" s="13">
        <f>((((VLOOKUP(B283,Database!$F:$AY,MATCH($J$1,Database!$F$1:$AY$1,),))))-(((VLOOKUP(EDATE(B283,-12),Database!$F:$AY,MATCH($J$1,Database!$F$1:$AY$1,),)))))/(((VLOOKUP(EDATE(B283,-12),Database!$F:$AY,MATCH($J$1,Database!$F$1:$AY$1,),))))</f>
        <v/>
      </c>
      <c r="K283" s="13">
        <f>((((VLOOKUP(B283,Database!$F:$AY,MATCH($K$1,Database!$F$1:$AY$1,),))))-(((VLOOKUP(EDATE(B283,-12),Database!$F:$AY,MATCH($K$1,Database!$F$1:$AY$1,),)))))/(((VLOOKUP(EDATE(B283,-12),Database!$F:$AY,MATCH($K$1,Database!$F$1:$AY$1,),))))</f>
        <v/>
      </c>
      <c r="L283" s="13">
        <f>((((VLOOKUP(B283,Database!$F:$AY,MATCH($L$1,Database!$F$1:$AY$1,),))))-(((VLOOKUP(EDATE(B283,-12),Database!$F:$AY,MATCH($L$1,Database!$F$1:$AY$1,),)))))/(((VLOOKUP(EDATE(B283,-12),Database!$F:$AY,MATCH($L$1,Database!$F$1:$AY$1,),))))</f>
        <v/>
      </c>
      <c r="M283" s="13">
        <f>((((VLOOKUP(B283,Database!$F:$AY,MATCH($M$1,Database!$F$1:$AY$1,),))))-(((VLOOKUP(EDATE(B283,-12),Database!$F:$AY,MATCH($M$1,Database!$F$1:$AY$1,),)))))/(((VLOOKUP(EDATE(B283,-12),Database!$F:$AY,MATCH($M$1,Database!$F$1:$AY$1,),))))</f>
        <v/>
      </c>
      <c r="N283" s="13">
        <f>((((VLOOKUP(B283,Database!$F:$AY,MATCH($N$1,Database!$F$1:$AY$1,),))))-(((VLOOKUP(EDATE(B283,-12),Database!$F:$AY,MATCH($N$1,Database!$F$1:$AY$1,),)))))/(((VLOOKUP(EDATE(B283,-12),Database!$F:$AY,MATCH($N$1,Database!$F$1:$AY$1,),))))</f>
        <v/>
      </c>
      <c r="O283" s="13">
        <f>((((VLOOKUP(B283,Database!$F:$AY,MATCH($O$1,Database!$F$1:$AY$1,),))))-(((VLOOKUP(EDATE(B283,-12),Database!$F:$AY,MATCH($O$1,Database!$F$1:$AY$1,),)))))/(((VLOOKUP(EDATE(B283,-12),Database!$F:$AY,MATCH($O$1,Database!$F$1:$AY$1,),))))</f>
        <v/>
      </c>
      <c r="P283" s="13">
        <f>((((VLOOKUP(B283,Database!$F:$AY,MATCH($P$1,Database!$F$1:$AY$1,),))))-(((VLOOKUP(EDATE(B283,-12),Database!$F:$AY,MATCH($P$1,Database!$F$1:$AY$1,),)))))/(((VLOOKUP(EDATE(B283,-12),Database!$F:$AY,MATCH($P$1,Database!$F$1:$AY$1,),))))</f>
        <v/>
      </c>
      <c r="Q283" s="13">
        <f>((((VLOOKUP(B283,Database!$F:$AY,MATCH($Q$1,Database!$F$1:$AY$1,),))))-(((VLOOKUP(EDATE(B283,-12),Database!$F:$AY,MATCH($Q$1,Database!$F$1:$AY$1,),)))))/(((VLOOKUP(EDATE(B283,-12),Database!$F:$AY,MATCH($Q$1,Database!$F$1:$AY$1,),))))</f>
        <v/>
      </c>
      <c r="R283" s="13">
        <f>((((VLOOKUP(B283,Database!$F:$AY,MATCH($R$1,Database!$F$1:$AY$1,),))))-(((VLOOKUP(EDATE(B283,-12),Database!$F:$AY,MATCH($R$1,Database!$F$1:$AY$1,),)))))/(((VLOOKUP(EDATE(B283,-12),Database!$F:$AY,MATCH($R$1,Database!$F$1:$AY$1,),))))</f>
        <v/>
      </c>
      <c r="S283" s="13">
        <f>((((VLOOKUP(B283,Database!$F:$AY,MATCH($S$1,Database!$F$1:$AY$1,),))))-(((VLOOKUP(EDATE(B283,-12),Database!$F:$AY,MATCH($S$1,Database!$F$1:$AY$1,),)))))/(((VLOOKUP(EDATE(B283,-12),Database!$F:$AY,MATCH($S$1,Database!$F$1:$AY$1,),))))</f>
        <v/>
      </c>
      <c r="T283" s="13">
        <f>((((VLOOKUP(B283,Database!$F:$AY,MATCH($T$1,Database!$F$1:$AY$1,),))))-(((VLOOKUP(EDATE(B283,-12),Database!$F:$AY,MATCH($T$1,Database!$F$1:$AY$1,),)))))/(((VLOOKUP(EDATE(B283,-12),Database!$F:$AY,MATCH($T$1,Database!$F$1:$AY$1,),))))</f>
        <v/>
      </c>
      <c r="U283" s="13">
        <f>((((VLOOKUP(B283,Database!$F:$AY,MATCH($U$1,Database!$F$1:$AY$1,),))))-(((VLOOKUP(EDATE(B283,-12),Database!$F:$AY,MATCH($U$1,Database!$F$1:$AY$1,),)))))/(((VLOOKUP(EDATE(B283,-12),Database!$F:$AY,MATCH($U$1,Database!$F$1:$AY$1,),))))</f>
        <v/>
      </c>
      <c r="V283" s="13">
        <f>((((VLOOKUP(B283,Database!$F:$AY,MATCH($V$1,Database!$F$1:$AY$1,),))))-(((VLOOKUP(EDATE(B283,-12),Database!$F:$AY,MATCH($V$1,Database!$F$1:$AY$1,),)))))/(((VLOOKUP(EDATE(B283,-12),Database!$F:$AY,MATCH($V$1,Database!$F$1:$AY$1,),))))</f>
        <v/>
      </c>
    </row>
    <row r="284" customFormat="1" s="100">
      <c r="A284" s="45" t="n"/>
      <c r="B284" s="46" t="n">
        <v>40787</v>
      </c>
      <c r="C284" s="13">
        <f>((((VLOOKUP(B284,Database!$F:$AY,MATCH($C$1,Database!$F$1:$AY$1,),))))-(((VLOOKUP(EDATE(B284,-12),Database!$F:$AY,MATCH($C$1,Database!$F$1:$AY$1,),)))))/(((VLOOKUP(EDATE(B284,-12),Database!$F:$AY,MATCH($C$1,Database!$F$1:$AY$1,),))))</f>
        <v/>
      </c>
      <c r="D284" s="13">
        <f>((((VLOOKUP(B284,Database!$F:$AY,MATCH($D$1,Database!$F$1:$AY$1,),))))-(((VLOOKUP(EDATE(B284,-12),Database!$F:$AY,MATCH($D$1,Database!$F$1:$AY$1,),)))))/(((VLOOKUP(EDATE(B284,-12),Database!$F:$AY,MATCH($D$1,Database!$F$1:$AY$1,),))))</f>
        <v/>
      </c>
      <c r="E284" s="13">
        <f>((((VLOOKUP(B284,Database!$F:$AY,MATCH($E$1,Database!$F$1:$AY$1,),))))-(((VLOOKUP(EDATE(B284,-12),Database!$F:$AY,MATCH($E$1,Database!$F$1:$AY$1,),)))))/(((VLOOKUP(EDATE(B284,-12),Database!$F:$AY,MATCH($E$1,Database!$F$1:$AY$1,),))))</f>
        <v/>
      </c>
      <c r="F284" s="13">
        <f>((((VLOOKUP(B284,Database!$F:$AY,MATCH($F$1,Database!$F$1:$AY$1,),))))-(((VLOOKUP(EDATE(B284,-12),Database!$F:$AY,MATCH($F$1,Database!$F$1:$AY$1,),)))))/(((VLOOKUP(EDATE(B284,-12),Database!$F:$AY,MATCH($F$1,Database!$F$1:$AY$1,),))))</f>
        <v/>
      </c>
      <c r="G284" s="13">
        <f>((((VLOOKUP(B284,Database!$F:$AY,MATCH($G$1,Database!$F$1:$AY$1,),))))-(((VLOOKUP(EDATE(B284,-12),Database!$F:$AY,MATCH($G$1,Database!$F$1:$AY$1,),)))))/(((VLOOKUP(EDATE(B284,-12),Database!$F:$AY,MATCH($G$1,Database!$F$1:$AY$1,),))))</f>
        <v/>
      </c>
      <c r="H284" s="13">
        <f>((((VLOOKUP(B284,Database!$F:$AY,MATCH($H$1,Database!$F$1:$AY$1,),))))-(((VLOOKUP(EDATE(B284,-12),Database!$F:$AY,MATCH($H$1,Database!$F$1:$AY$1,),)))))/(((VLOOKUP(EDATE(B284,-12),Database!$F:$AY,MATCH($H$1,Database!$F$1:$AY$1,),))))</f>
        <v/>
      </c>
      <c r="I284" s="13">
        <f>((((VLOOKUP(B284,Database!$F:$AY,MATCH($I$1,Database!$F$1:$AY$1,),))))-(((VLOOKUP(EDATE(B284,-12),Database!$F:$AY,MATCH($I$1,Database!$F$1:$AY$1,),)))))/(((VLOOKUP(EDATE(B284,-12),Database!$F:$AY,MATCH($I$1,Database!$F$1:$AY$1,),))))</f>
        <v/>
      </c>
      <c r="J284" s="13">
        <f>((((VLOOKUP(B284,Database!$F:$AY,MATCH($J$1,Database!$F$1:$AY$1,),))))-(((VLOOKUP(EDATE(B284,-12),Database!$F:$AY,MATCH($J$1,Database!$F$1:$AY$1,),)))))/(((VLOOKUP(EDATE(B284,-12),Database!$F:$AY,MATCH($J$1,Database!$F$1:$AY$1,),))))</f>
        <v/>
      </c>
      <c r="K284" s="13">
        <f>((((VLOOKUP(B284,Database!$F:$AY,MATCH($K$1,Database!$F$1:$AY$1,),))))-(((VLOOKUP(EDATE(B284,-12),Database!$F:$AY,MATCH($K$1,Database!$F$1:$AY$1,),)))))/(((VLOOKUP(EDATE(B284,-12),Database!$F:$AY,MATCH($K$1,Database!$F$1:$AY$1,),))))</f>
        <v/>
      </c>
      <c r="L284" s="13">
        <f>((((VLOOKUP(B284,Database!$F:$AY,MATCH($L$1,Database!$F$1:$AY$1,),))))-(((VLOOKUP(EDATE(B284,-12),Database!$F:$AY,MATCH($L$1,Database!$F$1:$AY$1,),)))))/(((VLOOKUP(EDATE(B284,-12),Database!$F:$AY,MATCH($L$1,Database!$F$1:$AY$1,),))))</f>
        <v/>
      </c>
      <c r="M284" s="13">
        <f>((((VLOOKUP(B284,Database!$F:$AY,MATCH($M$1,Database!$F$1:$AY$1,),))))-(((VLOOKUP(EDATE(B284,-12),Database!$F:$AY,MATCH($M$1,Database!$F$1:$AY$1,),)))))/(((VLOOKUP(EDATE(B284,-12),Database!$F:$AY,MATCH($M$1,Database!$F$1:$AY$1,),))))</f>
        <v/>
      </c>
      <c r="N284" s="13">
        <f>((((VLOOKUP(B284,Database!$F:$AY,MATCH($N$1,Database!$F$1:$AY$1,),))))-(((VLOOKUP(EDATE(B284,-12),Database!$F:$AY,MATCH($N$1,Database!$F$1:$AY$1,),)))))/(((VLOOKUP(EDATE(B284,-12),Database!$F:$AY,MATCH($N$1,Database!$F$1:$AY$1,),))))</f>
        <v/>
      </c>
      <c r="O284" s="13">
        <f>((((VLOOKUP(B284,Database!$F:$AY,MATCH($O$1,Database!$F$1:$AY$1,),))))-(((VLOOKUP(EDATE(B284,-12),Database!$F:$AY,MATCH($O$1,Database!$F$1:$AY$1,),)))))/(((VLOOKUP(EDATE(B284,-12),Database!$F:$AY,MATCH($O$1,Database!$F$1:$AY$1,),))))</f>
        <v/>
      </c>
      <c r="P284" s="13">
        <f>((((VLOOKUP(B284,Database!$F:$AY,MATCH($P$1,Database!$F$1:$AY$1,),))))-(((VLOOKUP(EDATE(B284,-12),Database!$F:$AY,MATCH($P$1,Database!$F$1:$AY$1,),)))))/(((VLOOKUP(EDATE(B284,-12),Database!$F:$AY,MATCH($P$1,Database!$F$1:$AY$1,),))))</f>
        <v/>
      </c>
      <c r="Q284" s="13">
        <f>((((VLOOKUP(B284,Database!$F:$AY,MATCH($Q$1,Database!$F$1:$AY$1,),))))-(((VLOOKUP(EDATE(B284,-12),Database!$F:$AY,MATCH($Q$1,Database!$F$1:$AY$1,),)))))/(((VLOOKUP(EDATE(B284,-12),Database!$F:$AY,MATCH($Q$1,Database!$F$1:$AY$1,),))))</f>
        <v/>
      </c>
      <c r="R284" s="13">
        <f>((((VLOOKUP(B284,Database!$F:$AY,MATCH($R$1,Database!$F$1:$AY$1,),))))-(((VLOOKUP(EDATE(B284,-12),Database!$F:$AY,MATCH($R$1,Database!$F$1:$AY$1,),)))))/(((VLOOKUP(EDATE(B284,-12),Database!$F:$AY,MATCH($R$1,Database!$F$1:$AY$1,),))))</f>
        <v/>
      </c>
      <c r="S284" s="13">
        <f>((((VLOOKUP(B284,Database!$F:$AY,MATCH($S$1,Database!$F$1:$AY$1,),))))-(((VLOOKUP(EDATE(B284,-12),Database!$F:$AY,MATCH($S$1,Database!$F$1:$AY$1,),)))))/(((VLOOKUP(EDATE(B284,-12),Database!$F:$AY,MATCH($S$1,Database!$F$1:$AY$1,),))))</f>
        <v/>
      </c>
      <c r="T284" s="13">
        <f>((((VLOOKUP(B284,Database!$F:$AY,MATCH($T$1,Database!$F$1:$AY$1,),))))-(((VLOOKUP(EDATE(B284,-12),Database!$F:$AY,MATCH($T$1,Database!$F$1:$AY$1,),)))))/(((VLOOKUP(EDATE(B284,-12),Database!$F:$AY,MATCH($T$1,Database!$F$1:$AY$1,),))))</f>
        <v/>
      </c>
      <c r="U284" s="13">
        <f>((((VLOOKUP(B284,Database!$F:$AY,MATCH($U$1,Database!$F$1:$AY$1,),))))-(((VLOOKUP(EDATE(B284,-12),Database!$F:$AY,MATCH($U$1,Database!$F$1:$AY$1,),)))))/(((VLOOKUP(EDATE(B284,-12),Database!$F:$AY,MATCH($U$1,Database!$F$1:$AY$1,),))))</f>
        <v/>
      </c>
      <c r="V284" s="13">
        <f>((((VLOOKUP(B284,Database!$F:$AY,MATCH($V$1,Database!$F$1:$AY$1,),))))-(((VLOOKUP(EDATE(B284,-12),Database!$F:$AY,MATCH($V$1,Database!$F$1:$AY$1,),)))))/(((VLOOKUP(EDATE(B284,-12),Database!$F:$AY,MATCH($V$1,Database!$F$1:$AY$1,),))))</f>
        <v/>
      </c>
    </row>
    <row r="285" customFormat="1" s="100">
      <c r="A285" s="45" t="n"/>
      <c r="B285" s="46" t="n">
        <v>40817</v>
      </c>
      <c r="C285" s="13">
        <f>((((VLOOKUP(B285,Database!$F:$AY,MATCH($C$1,Database!$F$1:$AY$1,),))))-(((VLOOKUP(EDATE(B285,-12),Database!$F:$AY,MATCH($C$1,Database!$F$1:$AY$1,),)))))/(((VLOOKUP(EDATE(B285,-12),Database!$F:$AY,MATCH($C$1,Database!$F$1:$AY$1,),))))</f>
        <v/>
      </c>
      <c r="D285" s="13">
        <f>((((VLOOKUP(B285,Database!$F:$AY,MATCH($D$1,Database!$F$1:$AY$1,),))))-(((VLOOKUP(EDATE(B285,-12),Database!$F:$AY,MATCH($D$1,Database!$F$1:$AY$1,),)))))/(((VLOOKUP(EDATE(B285,-12),Database!$F:$AY,MATCH($D$1,Database!$F$1:$AY$1,),))))</f>
        <v/>
      </c>
      <c r="E285" s="13">
        <f>((((VLOOKUP(B285,Database!$F:$AY,MATCH($E$1,Database!$F$1:$AY$1,),))))-(((VLOOKUP(EDATE(B285,-12),Database!$F:$AY,MATCH($E$1,Database!$F$1:$AY$1,),)))))/(((VLOOKUP(EDATE(B285,-12),Database!$F:$AY,MATCH($E$1,Database!$F$1:$AY$1,),))))</f>
        <v/>
      </c>
      <c r="F285" s="13">
        <f>((((VLOOKUP(B285,Database!$F:$AY,MATCH($F$1,Database!$F$1:$AY$1,),))))-(((VLOOKUP(EDATE(B285,-12),Database!$F:$AY,MATCH($F$1,Database!$F$1:$AY$1,),)))))/(((VLOOKUP(EDATE(B285,-12),Database!$F:$AY,MATCH($F$1,Database!$F$1:$AY$1,),))))</f>
        <v/>
      </c>
      <c r="G285" s="13">
        <f>((((VLOOKUP(B285,Database!$F:$AY,MATCH($G$1,Database!$F$1:$AY$1,),))))-(((VLOOKUP(EDATE(B285,-12),Database!$F:$AY,MATCH($G$1,Database!$F$1:$AY$1,),)))))/(((VLOOKUP(EDATE(B285,-12),Database!$F:$AY,MATCH($G$1,Database!$F$1:$AY$1,),))))</f>
        <v/>
      </c>
      <c r="H285" s="13">
        <f>((((VLOOKUP(B285,Database!$F:$AY,MATCH($H$1,Database!$F$1:$AY$1,),))))-(((VLOOKUP(EDATE(B285,-12),Database!$F:$AY,MATCH($H$1,Database!$F$1:$AY$1,),)))))/(((VLOOKUP(EDATE(B285,-12),Database!$F:$AY,MATCH($H$1,Database!$F$1:$AY$1,),))))</f>
        <v/>
      </c>
      <c r="I285" s="13">
        <f>((((VLOOKUP(B285,Database!$F:$AY,MATCH($I$1,Database!$F$1:$AY$1,),))))-(((VLOOKUP(EDATE(B285,-12),Database!$F:$AY,MATCH($I$1,Database!$F$1:$AY$1,),)))))/(((VLOOKUP(EDATE(B285,-12),Database!$F:$AY,MATCH($I$1,Database!$F$1:$AY$1,),))))</f>
        <v/>
      </c>
      <c r="J285" s="13">
        <f>((((VLOOKUP(B285,Database!$F:$AY,MATCH($J$1,Database!$F$1:$AY$1,),))))-(((VLOOKUP(EDATE(B285,-12),Database!$F:$AY,MATCH($J$1,Database!$F$1:$AY$1,),)))))/(((VLOOKUP(EDATE(B285,-12),Database!$F:$AY,MATCH($J$1,Database!$F$1:$AY$1,),))))</f>
        <v/>
      </c>
      <c r="K285" s="13">
        <f>((((VLOOKUP(B285,Database!$F:$AY,MATCH($K$1,Database!$F$1:$AY$1,),))))-(((VLOOKUP(EDATE(B285,-12),Database!$F:$AY,MATCH($K$1,Database!$F$1:$AY$1,),)))))/(((VLOOKUP(EDATE(B285,-12),Database!$F:$AY,MATCH($K$1,Database!$F$1:$AY$1,),))))</f>
        <v/>
      </c>
      <c r="L285" s="13">
        <f>((((VLOOKUP(B285,Database!$F:$AY,MATCH($L$1,Database!$F$1:$AY$1,),))))-(((VLOOKUP(EDATE(B285,-12),Database!$F:$AY,MATCH($L$1,Database!$F$1:$AY$1,),)))))/(((VLOOKUP(EDATE(B285,-12),Database!$F:$AY,MATCH($L$1,Database!$F$1:$AY$1,),))))</f>
        <v/>
      </c>
      <c r="M285" s="13">
        <f>((((VLOOKUP(B285,Database!$F:$AY,MATCH($M$1,Database!$F$1:$AY$1,),))))-(((VLOOKUP(EDATE(B285,-12),Database!$F:$AY,MATCH($M$1,Database!$F$1:$AY$1,),)))))/(((VLOOKUP(EDATE(B285,-12),Database!$F:$AY,MATCH($M$1,Database!$F$1:$AY$1,),))))</f>
        <v/>
      </c>
      <c r="N285" s="13">
        <f>((((VLOOKUP(B285,Database!$F:$AY,MATCH($N$1,Database!$F$1:$AY$1,),))))-(((VLOOKUP(EDATE(B285,-12),Database!$F:$AY,MATCH($N$1,Database!$F$1:$AY$1,),)))))/(((VLOOKUP(EDATE(B285,-12),Database!$F:$AY,MATCH($N$1,Database!$F$1:$AY$1,),))))</f>
        <v/>
      </c>
      <c r="O285" s="13">
        <f>((((VLOOKUP(B285,Database!$F:$AY,MATCH($O$1,Database!$F$1:$AY$1,),))))-(((VLOOKUP(EDATE(B285,-12),Database!$F:$AY,MATCH($O$1,Database!$F$1:$AY$1,),)))))/(((VLOOKUP(EDATE(B285,-12),Database!$F:$AY,MATCH($O$1,Database!$F$1:$AY$1,),))))</f>
        <v/>
      </c>
      <c r="P285" s="13">
        <f>((((VLOOKUP(B285,Database!$F:$AY,MATCH($P$1,Database!$F$1:$AY$1,),))))-(((VLOOKUP(EDATE(B285,-12),Database!$F:$AY,MATCH($P$1,Database!$F$1:$AY$1,),)))))/(((VLOOKUP(EDATE(B285,-12),Database!$F:$AY,MATCH($P$1,Database!$F$1:$AY$1,),))))</f>
        <v/>
      </c>
      <c r="Q285" s="13">
        <f>((((VLOOKUP(B285,Database!$F:$AY,MATCH($Q$1,Database!$F$1:$AY$1,),))))-(((VLOOKUP(EDATE(B285,-12),Database!$F:$AY,MATCH($Q$1,Database!$F$1:$AY$1,),)))))/(((VLOOKUP(EDATE(B285,-12),Database!$F:$AY,MATCH($Q$1,Database!$F$1:$AY$1,),))))</f>
        <v/>
      </c>
      <c r="R285" s="13">
        <f>((((VLOOKUP(B285,Database!$F:$AY,MATCH($R$1,Database!$F$1:$AY$1,),))))-(((VLOOKUP(EDATE(B285,-12),Database!$F:$AY,MATCH($R$1,Database!$F$1:$AY$1,),)))))/(((VLOOKUP(EDATE(B285,-12),Database!$F:$AY,MATCH($R$1,Database!$F$1:$AY$1,),))))</f>
        <v/>
      </c>
      <c r="S285" s="13">
        <f>((((VLOOKUP(B285,Database!$F:$AY,MATCH($S$1,Database!$F$1:$AY$1,),))))-(((VLOOKUP(EDATE(B285,-12),Database!$F:$AY,MATCH($S$1,Database!$F$1:$AY$1,),)))))/(((VLOOKUP(EDATE(B285,-12),Database!$F:$AY,MATCH($S$1,Database!$F$1:$AY$1,),))))</f>
        <v/>
      </c>
      <c r="T285" s="13">
        <f>((((VLOOKUP(B285,Database!$F:$AY,MATCH($T$1,Database!$F$1:$AY$1,),))))-(((VLOOKUP(EDATE(B285,-12),Database!$F:$AY,MATCH($T$1,Database!$F$1:$AY$1,),)))))/(((VLOOKUP(EDATE(B285,-12),Database!$F:$AY,MATCH($T$1,Database!$F$1:$AY$1,),))))</f>
        <v/>
      </c>
      <c r="U285" s="13">
        <f>((((VLOOKUP(B285,Database!$F:$AY,MATCH($U$1,Database!$F$1:$AY$1,),))))-(((VLOOKUP(EDATE(B285,-12),Database!$F:$AY,MATCH($U$1,Database!$F$1:$AY$1,),)))))/(((VLOOKUP(EDATE(B285,-12),Database!$F:$AY,MATCH($U$1,Database!$F$1:$AY$1,),))))</f>
        <v/>
      </c>
      <c r="V285" s="13">
        <f>((((VLOOKUP(B285,Database!$F:$AY,MATCH($V$1,Database!$F$1:$AY$1,),))))-(((VLOOKUP(EDATE(B285,-12),Database!$F:$AY,MATCH($V$1,Database!$F$1:$AY$1,),)))))/(((VLOOKUP(EDATE(B285,-12),Database!$F:$AY,MATCH($V$1,Database!$F$1:$AY$1,),))))</f>
        <v/>
      </c>
    </row>
    <row r="286" customFormat="1" s="100">
      <c r="A286" s="45" t="n"/>
      <c r="B286" s="46" t="n">
        <v>40848</v>
      </c>
      <c r="C286" s="13">
        <f>((((VLOOKUP(B286,Database!$F:$AY,MATCH($C$1,Database!$F$1:$AY$1,),))))-(((VLOOKUP(EDATE(B286,-12),Database!$F:$AY,MATCH($C$1,Database!$F$1:$AY$1,),)))))/(((VLOOKUP(EDATE(B286,-12),Database!$F:$AY,MATCH($C$1,Database!$F$1:$AY$1,),))))</f>
        <v/>
      </c>
      <c r="D286" s="13">
        <f>((((VLOOKUP(B286,Database!$F:$AY,MATCH($D$1,Database!$F$1:$AY$1,),))))-(((VLOOKUP(EDATE(B286,-12),Database!$F:$AY,MATCH($D$1,Database!$F$1:$AY$1,),)))))/(((VLOOKUP(EDATE(B286,-12),Database!$F:$AY,MATCH($D$1,Database!$F$1:$AY$1,),))))</f>
        <v/>
      </c>
      <c r="E286" s="13">
        <f>((((VLOOKUP(B286,Database!$F:$AY,MATCH($E$1,Database!$F$1:$AY$1,),))))-(((VLOOKUP(EDATE(B286,-12),Database!$F:$AY,MATCH($E$1,Database!$F$1:$AY$1,),)))))/(((VLOOKUP(EDATE(B286,-12),Database!$F:$AY,MATCH($E$1,Database!$F$1:$AY$1,),))))</f>
        <v/>
      </c>
      <c r="F286" s="13">
        <f>((((VLOOKUP(B286,Database!$F:$AY,MATCH($F$1,Database!$F$1:$AY$1,),))))-(((VLOOKUP(EDATE(B286,-12),Database!$F:$AY,MATCH($F$1,Database!$F$1:$AY$1,),)))))/(((VLOOKUP(EDATE(B286,-12),Database!$F:$AY,MATCH($F$1,Database!$F$1:$AY$1,),))))</f>
        <v/>
      </c>
      <c r="G286" s="13">
        <f>((((VLOOKUP(B286,Database!$F:$AY,MATCH($G$1,Database!$F$1:$AY$1,),))))-(((VLOOKUP(EDATE(B286,-12),Database!$F:$AY,MATCH($G$1,Database!$F$1:$AY$1,),)))))/(((VLOOKUP(EDATE(B286,-12),Database!$F:$AY,MATCH($G$1,Database!$F$1:$AY$1,),))))</f>
        <v/>
      </c>
      <c r="H286" s="13">
        <f>((((VLOOKUP(B286,Database!$F:$AY,MATCH($H$1,Database!$F$1:$AY$1,),))))-(((VLOOKUP(EDATE(B286,-12),Database!$F:$AY,MATCH($H$1,Database!$F$1:$AY$1,),)))))/(((VLOOKUP(EDATE(B286,-12),Database!$F:$AY,MATCH($H$1,Database!$F$1:$AY$1,),))))</f>
        <v/>
      </c>
      <c r="I286" s="13">
        <f>((((VLOOKUP(B286,Database!$F:$AY,MATCH($I$1,Database!$F$1:$AY$1,),))))-(((VLOOKUP(EDATE(B286,-12),Database!$F:$AY,MATCH($I$1,Database!$F$1:$AY$1,),)))))/(((VLOOKUP(EDATE(B286,-12),Database!$F:$AY,MATCH($I$1,Database!$F$1:$AY$1,),))))</f>
        <v/>
      </c>
      <c r="J286" s="13">
        <f>((((VLOOKUP(B286,Database!$F:$AY,MATCH($J$1,Database!$F$1:$AY$1,),))))-(((VLOOKUP(EDATE(B286,-12),Database!$F:$AY,MATCH($J$1,Database!$F$1:$AY$1,),)))))/(((VLOOKUP(EDATE(B286,-12),Database!$F:$AY,MATCH($J$1,Database!$F$1:$AY$1,),))))</f>
        <v/>
      </c>
      <c r="K286" s="13">
        <f>((((VLOOKUP(B286,Database!$F:$AY,MATCH($K$1,Database!$F$1:$AY$1,),))))-(((VLOOKUP(EDATE(B286,-12),Database!$F:$AY,MATCH($K$1,Database!$F$1:$AY$1,),)))))/(((VLOOKUP(EDATE(B286,-12),Database!$F:$AY,MATCH($K$1,Database!$F$1:$AY$1,),))))</f>
        <v/>
      </c>
      <c r="L286" s="13">
        <f>((((VLOOKUP(B286,Database!$F:$AY,MATCH($L$1,Database!$F$1:$AY$1,),))))-(((VLOOKUP(EDATE(B286,-12),Database!$F:$AY,MATCH($L$1,Database!$F$1:$AY$1,),)))))/(((VLOOKUP(EDATE(B286,-12),Database!$F:$AY,MATCH($L$1,Database!$F$1:$AY$1,),))))</f>
        <v/>
      </c>
      <c r="M286" s="13">
        <f>((((VLOOKUP(B286,Database!$F:$AY,MATCH($M$1,Database!$F$1:$AY$1,),))))-(((VLOOKUP(EDATE(B286,-12),Database!$F:$AY,MATCH($M$1,Database!$F$1:$AY$1,),)))))/(((VLOOKUP(EDATE(B286,-12),Database!$F:$AY,MATCH($M$1,Database!$F$1:$AY$1,),))))</f>
        <v/>
      </c>
      <c r="N286" s="13">
        <f>((((VLOOKUP(B286,Database!$F:$AY,MATCH($N$1,Database!$F$1:$AY$1,),))))-(((VLOOKUP(EDATE(B286,-12),Database!$F:$AY,MATCH($N$1,Database!$F$1:$AY$1,),)))))/(((VLOOKUP(EDATE(B286,-12),Database!$F:$AY,MATCH($N$1,Database!$F$1:$AY$1,),))))</f>
        <v/>
      </c>
      <c r="O286" s="13">
        <f>((((VLOOKUP(B286,Database!$F:$AY,MATCH($O$1,Database!$F$1:$AY$1,),))))-(((VLOOKUP(EDATE(B286,-12),Database!$F:$AY,MATCH($O$1,Database!$F$1:$AY$1,),)))))/(((VLOOKUP(EDATE(B286,-12),Database!$F:$AY,MATCH($O$1,Database!$F$1:$AY$1,),))))</f>
        <v/>
      </c>
      <c r="P286" s="13">
        <f>((((VLOOKUP(B286,Database!$F:$AY,MATCH($P$1,Database!$F$1:$AY$1,),))))-(((VLOOKUP(EDATE(B286,-12),Database!$F:$AY,MATCH($P$1,Database!$F$1:$AY$1,),)))))/(((VLOOKUP(EDATE(B286,-12),Database!$F:$AY,MATCH($P$1,Database!$F$1:$AY$1,),))))</f>
        <v/>
      </c>
      <c r="Q286" s="13">
        <f>((((VLOOKUP(B286,Database!$F:$AY,MATCH($Q$1,Database!$F$1:$AY$1,),))))-(((VLOOKUP(EDATE(B286,-12),Database!$F:$AY,MATCH($Q$1,Database!$F$1:$AY$1,),)))))/(((VLOOKUP(EDATE(B286,-12),Database!$F:$AY,MATCH($Q$1,Database!$F$1:$AY$1,),))))</f>
        <v/>
      </c>
      <c r="R286" s="13">
        <f>((((VLOOKUP(B286,Database!$F:$AY,MATCH($R$1,Database!$F$1:$AY$1,),))))-(((VLOOKUP(EDATE(B286,-12),Database!$F:$AY,MATCH($R$1,Database!$F$1:$AY$1,),)))))/(((VLOOKUP(EDATE(B286,-12),Database!$F:$AY,MATCH($R$1,Database!$F$1:$AY$1,),))))</f>
        <v/>
      </c>
      <c r="S286" s="13">
        <f>((((VLOOKUP(B286,Database!$F:$AY,MATCH($S$1,Database!$F$1:$AY$1,),))))-(((VLOOKUP(EDATE(B286,-12),Database!$F:$AY,MATCH($S$1,Database!$F$1:$AY$1,),)))))/(((VLOOKUP(EDATE(B286,-12),Database!$F:$AY,MATCH($S$1,Database!$F$1:$AY$1,),))))</f>
        <v/>
      </c>
      <c r="T286" s="13">
        <f>((((VLOOKUP(B286,Database!$F:$AY,MATCH($T$1,Database!$F$1:$AY$1,),))))-(((VLOOKUP(EDATE(B286,-12),Database!$F:$AY,MATCH($T$1,Database!$F$1:$AY$1,),)))))/(((VLOOKUP(EDATE(B286,-12),Database!$F:$AY,MATCH($T$1,Database!$F$1:$AY$1,),))))</f>
        <v/>
      </c>
      <c r="U286" s="13">
        <f>((((VLOOKUP(B286,Database!$F:$AY,MATCH($U$1,Database!$F$1:$AY$1,),))))-(((VLOOKUP(EDATE(B286,-12),Database!$F:$AY,MATCH($U$1,Database!$F$1:$AY$1,),)))))/(((VLOOKUP(EDATE(B286,-12),Database!$F:$AY,MATCH($U$1,Database!$F$1:$AY$1,),))))</f>
        <v/>
      </c>
      <c r="V286" s="13">
        <f>((((VLOOKUP(B286,Database!$F:$AY,MATCH($V$1,Database!$F$1:$AY$1,),))))-(((VLOOKUP(EDATE(B286,-12),Database!$F:$AY,MATCH($V$1,Database!$F$1:$AY$1,),)))))/(((VLOOKUP(EDATE(B286,-12),Database!$F:$AY,MATCH($V$1,Database!$F$1:$AY$1,),))))</f>
        <v/>
      </c>
    </row>
    <row r="287" customFormat="1" s="100">
      <c r="A287" s="45" t="n"/>
      <c r="B287" s="46" t="n">
        <v>40878</v>
      </c>
      <c r="C287" s="13">
        <f>((((VLOOKUP(B287,Database!$F:$AY,MATCH($C$1,Database!$F$1:$AY$1,),))))-(((VLOOKUP(EDATE(B287,-12),Database!$F:$AY,MATCH($C$1,Database!$F$1:$AY$1,),)))))/(((VLOOKUP(EDATE(B287,-12),Database!$F:$AY,MATCH($C$1,Database!$F$1:$AY$1,),))))</f>
        <v/>
      </c>
      <c r="D287" s="13">
        <f>((((VLOOKUP(B287,Database!$F:$AY,MATCH($D$1,Database!$F$1:$AY$1,),))))-(((VLOOKUP(EDATE(B287,-12),Database!$F:$AY,MATCH($D$1,Database!$F$1:$AY$1,),)))))/(((VLOOKUP(EDATE(B287,-12),Database!$F:$AY,MATCH($D$1,Database!$F$1:$AY$1,),))))</f>
        <v/>
      </c>
      <c r="E287" s="13">
        <f>((((VLOOKUP(B287,Database!$F:$AY,MATCH($E$1,Database!$F$1:$AY$1,),))))-(((VLOOKUP(EDATE(B287,-12),Database!$F:$AY,MATCH($E$1,Database!$F$1:$AY$1,),)))))/(((VLOOKUP(EDATE(B287,-12),Database!$F:$AY,MATCH($E$1,Database!$F$1:$AY$1,),))))</f>
        <v/>
      </c>
      <c r="F287" s="13">
        <f>((((VLOOKUP(B287,Database!$F:$AY,MATCH($F$1,Database!$F$1:$AY$1,),))))-(((VLOOKUP(EDATE(B287,-12),Database!$F:$AY,MATCH($F$1,Database!$F$1:$AY$1,),)))))/(((VLOOKUP(EDATE(B287,-12),Database!$F:$AY,MATCH($F$1,Database!$F$1:$AY$1,),))))</f>
        <v/>
      </c>
      <c r="G287" s="13">
        <f>((((VLOOKUP(B287,Database!$F:$AY,MATCH($G$1,Database!$F$1:$AY$1,),))))-(((VLOOKUP(EDATE(B287,-12),Database!$F:$AY,MATCH($G$1,Database!$F$1:$AY$1,),)))))/(((VLOOKUP(EDATE(B287,-12),Database!$F:$AY,MATCH($G$1,Database!$F$1:$AY$1,),))))</f>
        <v/>
      </c>
      <c r="H287" s="13">
        <f>((((VLOOKUP(B287,Database!$F:$AY,MATCH($H$1,Database!$F$1:$AY$1,),))))-(((VLOOKUP(EDATE(B287,-12),Database!$F:$AY,MATCH($H$1,Database!$F$1:$AY$1,),)))))/(((VLOOKUP(EDATE(B287,-12),Database!$F:$AY,MATCH($H$1,Database!$F$1:$AY$1,),))))</f>
        <v/>
      </c>
      <c r="I287" s="13">
        <f>((((VLOOKUP(B287,Database!$F:$AY,MATCH($I$1,Database!$F$1:$AY$1,),))))-(((VLOOKUP(EDATE(B287,-12),Database!$F:$AY,MATCH($I$1,Database!$F$1:$AY$1,),)))))/(((VLOOKUP(EDATE(B287,-12),Database!$F:$AY,MATCH($I$1,Database!$F$1:$AY$1,),))))</f>
        <v/>
      </c>
      <c r="J287" s="13">
        <f>((((VLOOKUP(B287,Database!$F:$AY,MATCH($J$1,Database!$F$1:$AY$1,),))))-(((VLOOKUP(EDATE(B287,-12),Database!$F:$AY,MATCH($J$1,Database!$F$1:$AY$1,),)))))/(((VLOOKUP(EDATE(B287,-12),Database!$F:$AY,MATCH($J$1,Database!$F$1:$AY$1,),))))</f>
        <v/>
      </c>
      <c r="K287" s="13">
        <f>((((VLOOKUP(B287,Database!$F:$AY,MATCH($K$1,Database!$F$1:$AY$1,),))))-(((VLOOKUP(EDATE(B287,-12),Database!$F:$AY,MATCH($K$1,Database!$F$1:$AY$1,),)))))/(((VLOOKUP(EDATE(B287,-12),Database!$F:$AY,MATCH($K$1,Database!$F$1:$AY$1,),))))</f>
        <v/>
      </c>
      <c r="L287" s="13">
        <f>((((VLOOKUP(B287,Database!$F:$AY,MATCH($L$1,Database!$F$1:$AY$1,),))))-(((VLOOKUP(EDATE(B287,-12),Database!$F:$AY,MATCH($L$1,Database!$F$1:$AY$1,),)))))/(((VLOOKUP(EDATE(B287,-12),Database!$F:$AY,MATCH($L$1,Database!$F$1:$AY$1,),))))</f>
        <v/>
      </c>
      <c r="M287" s="13">
        <f>((((VLOOKUP(B287,Database!$F:$AY,MATCH($M$1,Database!$F$1:$AY$1,),))))-(((VLOOKUP(EDATE(B287,-12),Database!$F:$AY,MATCH($M$1,Database!$F$1:$AY$1,),)))))/(((VLOOKUP(EDATE(B287,-12),Database!$F:$AY,MATCH($M$1,Database!$F$1:$AY$1,),))))</f>
        <v/>
      </c>
      <c r="N287" s="13">
        <f>((((VLOOKUP(B287,Database!$F:$AY,MATCH($N$1,Database!$F$1:$AY$1,),))))-(((VLOOKUP(EDATE(B287,-12),Database!$F:$AY,MATCH($N$1,Database!$F$1:$AY$1,),)))))/(((VLOOKUP(EDATE(B287,-12),Database!$F:$AY,MATCH($N$1,Database!$F$1:$AY$1,),))))</f>
        <v/>
      </c>
      <c r="O287" s="13">
        <f>((((VLOOKUP(B287,Database!$F:$AY,MATCH($O$1,Database!$F$1:$AY$1,),))))-(((VLOOKUP(EDATE(B287,-12),Database!$F:$AY,MATCH($O$1,Database!$F$1:$AY$1,),)))))/(((VLOOKUP(EDATE(B287,-12),Database!$F:$AY,MATCH($O$1,Database!$F$1:$AY$1,),))))</f>
        <v/>
      </c>
      <c r="P287" s="13">
        <f>((((VLOOKUP(B287,Database!$F:$AY,MATCH($P$1,Database!$F$1:$AY$1,),))))-(((VLOOKUP(EDATE(B287,-12),Database!$F:$AY,MATCH($P$1,Database!$F$1:$AY$1,),)))))/(((VLOOKUP(EDATE(B287,-12),Database!$F:$AY,MATCH($P$1,Database!$F$1:$AY$1,),))))</f>
        <v/>
      </c>
      <c r="Q287" s="13">
        <f>((((VLOOKUP(B287,Database!$F:$AY,MATCH($Q$1,Database!$F$1:$AY$1,),))))-(((VLOOKUP(EDATE(B287,-12),Database!$F:$AY,MATCH($Q$1,Database!$F$1:$AY$1,),)))))/(((VLOOKUP(EDATE(B287,-12),Database!$F:$AY,MATCH($Q$1,Database!$F$1:$AY$1,),))))</f>
        <v/>
      </c>
      <c r="R287" s="13">
        <f>((((VLOOKUP(B287,Database!$F:$AY,MATCH($R$1,Database!$F$1:$AY$1,),))))-(((VLOOKUP(EDATE(B287,-12),Database!$F:$AY,MATCH($R$1,Database!$F$1:$AY$1,),)))))/(((VLOOKUP(EDATE(B287,-12),Database!$F:$AY,MATCH($R$1,Database!$F$1:$AY$1,),))))</f>
        <v/>
      </c>
      <c r="S287" s="13">
        <f>((((VLOOKUP(B287,Database!$F:$AY,MATCH($S$1,Database!$F$1:$AY$1,),))))-(((VLOOKUP(EDATE(B287,-12),Database!$F:$AY,MATCH($S$1,Database!$F$1:$AY$1,),)))))/(((VLOOKUP(EDATE(B287,-12),Database!$F:$AY,MATCH($S$1,Database!$F$1:$AY$1,),))))</f>
        <v/>
      </c>
      <c r="T287" s="13">
        <f>((((VLOOKUP(B287,Database!$F:$AY,MATCH($T$1,Database!$F$1:$AY$1,),))))-(((VLOOKUP(EDATE(B287,-12),Database!$F:$AY,MATCH($T$1,Database!$F$1:$AY$1,),)))))/(((VLOOKUP(EDATE(B287,-12),Database!$F:$AY,MATCH($T$1,Database!$F$1:$AY$1,),))))</f>
        <v/>
      </c>
      <c r="U287" s="13">
        <f>((((VLOOKUP(B287,Database!$F:$AY,MATCH($U$1,Database!$F$1:$AY$1,),))))-(((VLOOKUP(EDATE(B287,-12),Database!$F:$AY,MATCH($U$1,Database!$F$1:$AY$1,),)))))/(((VLOOKUP(EDATE(B287,-12),Database!$F:$AY,MATCH($U$1,Database!$F$1:$AY$1,),))))</f>
        <v/>
      </c>
      <c r="V287" s="13">
        <f>((((VLOOKUP(B287,Database!$F:$AY,MATCH($V$1,Database!$F$1:$AY$1,),))))-(((VLOOKUP(EDATE(B287,-12),Database!$F:$AY,MATCH($V$1,Database!$F$1:$AY$1,),)))))/(((VLOOKUP(EDATE(B287,-12),Database!$F:$AY,MATCH($V$1,Database!$F$1:$AY$1,),))))</f>
        <v/>
      </c>
    </row>
    <row r="288" customFormat="1" s="100">
      <c r="A288" s="45" t="n"/>
      <c r="B288" s="46" t="n">
        <v>40909</v>
      </c>
      <c r="C288" s="13">
        <f>((((VLOOKUP(B288,Database!$F:$AY,MATCH($C$1,Database!$F$1:$AY$1,),))))-(((VLOOKUP(EDATE(B288,-12),Database!$F:$AY,MATCH($C$1,Database!$F$1:$AY$1,),)))))/(((VLOOKUP(EDATE(B288,-12),Database!$F:$AY,MATCH($C$1,Database!$F$1:$AY$1,),))))</f>
        <v/>
      </c>
      <c r="D288" s="13">
        <f>((((VLOOKUP(B288,Database!$F:$AY,MATCH($D$1,Database!$F$1:$AY$1,),))))-(((VLOOKUP(EDATE(B288,-12),Database!$F:$AY,MATCH($D$1,Database!$F$1:$AY$1,),)))))/(((VLOOKUP(EDATE(B288,-12),Database!$F:$AY,MATCH($D$1,Database!$F$1:$AY$1,),))))</f>
        <v/>
      </c>
      <c r="E288" s="13">
        <f>((((VLOOKUP(B288,Database!$F:$AY,MATCH($E$1,Database!$F$1:$AY$1,),))))-(((VLOOKUP(EDATE(B288,-12),Database!$F:$AY,MATCH($E$1,Database!$F$1:$AY$1,),)))))/(((VLOOKUP(EDATE(B288,-12),Database!$F:$AY,MATCH($E$1,Database!$F$1:$AY$1,),))))</f>
        <v/>
      </c>
      <c r="F288" s="13">
        <f>((((VLOOKUP(B288,Database!$F:$AY,MATCH($F$1,Database!$F$1:$AY$1,),))))-(((VLOOKUP(EDATE(B288,-12),Database!$F:$AY,MATCH($F$1,Database!$F$1:$AY$1,),)))))/(((VLOOKUP(EDATE(B288,-12),Database!$F:$AY,MATCH($F$1,Database!$F$1:$AY$1,),))))</f>
        <v/>
      </c>
      <c r="G288" s="13">
        <f>((((VLOOKUP(B288,Database!$F:$AY,MATCH($G$1,Database!$F$1:$AY$1,),))))-(((VLOOKUP(EDATE(B288,-12),Database!$F:$AY,MATCH($G$1,Database!$F$1:$AY$1,),)))))/(((VLOOKUP(EDATE(B288,-12),Database!$F:$AY,MATCH($G$1,Database!$F$1:$AY$1,),))))</f>
        <v/>
      </c>
      <c r="H288" s="13">
        <f>((((VLOOKUP(B288,Database!$F:$AY,MATCH($H$1,Database!$F$1:$AY$1,),))))-(((VLOOKUP(EDATE(B288,-12),Database!$F:$AY,MATCH($H$1,Database!$F$1:$AY$1,),)))))/(((VLOOKUP(EDATE(B288,-12),Database!$F:$AY,MATCH($H$1,Database!$F$1:$AY$1,),))))</f>
        <v/>
      </c>
      <c r="I288" s="13">
        <f>((((VLOOKUP(B288,Database!$F:$AY,MATCH($I$1,Database!$F$1:$AY$1,),))))-(((VLOOKUP(EDATE(B288,-12),Database!$F:$AY,MATCH($I$1,Database!$F$1:$AY$1,),)))))/(((VLOOKUP(EDATE(B288,-12),Database!$F:$AY,MATCH($I$1,Database!$F$1:$AY$1,),))))</f>
        <v/>
      </c>
      <c r="J288" s="13">
        <f>((((VLOOKUP(B288,Database!$F:$AY,MATCH($J$1,Database!$F$1:$AY$1,),))))-(((VLOOKUP(EDATE(B288,-12),Database!$F:$AY,MATCH($J$1,Database!$F$1:$AY$1,),)))))/(((VLOOKUP(EDATE(B288,-12),Database!$F:$AY,MATCH($J$1,Database!$F$1:$AY$1,),))))</f>
        <v/>
      </c>
      <c r="K288" s="13">
        <f>((((VLOOKUP(B288,Database!$F:$AY,MATCH($K$1,Database!$F$1:$AY$1,),))))-(((VLOOKUP(EDATE(B288,-12),Database!$F:$AY,MATCH($K$1,Database!$F$1:$AY$1,),)))))/(((VLOOKUP(EDATE(B288,-12),Database!$F:$AY,MATCH($K$1,Database!$F$1:$AY$1,),))))</f>
        <v/>
      </c>
      <c r="L288" s="13">
        <f>((((VLOOKUP(B288,Database!$F:$AY,MATCH($L$1,Database!$F$1:$AY$1,),))))-(((VLOOKUP(EDATE(B288,-12),Database!$F:$AY,MATCH($L$1,Database!$F$1:$AY$1,),)))))/(((VLOOKUP(EDATE(B288,-12),Database!$F:$AY,MATCH($L$1,Database!$F$1:$AY$1,),))))</f>
        <v/>
      </c>
      <c r="M288" s="13">
        <f>((((VLOOKUP(B288,Database!$F:$AY,MATCH($M$1,Database!$F$1:$AY$1,),))))-(((VLOOKUP(EDATE(B288,-12),Database!$F:$AY,MATCH($M$1,Database!$F$1:$AY$1,),)))))/(((VLOOKUP(EDATE(B288,-12),Database!$F:$AY,MATCH($M$1,Database!$F$1:$AY$1,),))))</f>
        <v/>
      </c>
      <c r="N288" s="13">
        <f>((((VLOOKUP(B288,Database!$F:$AY,MATCH($N$1,Database!$F$1:$AY$1,),))))-(((VLOOKUP(EDATE(B288,-12),Database!$F:$AY,MATCH($N$1,Database!$F$1:$AY$1,),)))))/(((VLOOKUP(EDATE(B288,-12),Database!$F:$AY,MATCH($N$1,Database!$F$1:$AY$1,),))))</f>
        <v/>
      </c>
      <c r="O288" s="13">
        <f>((((VLOOKUP(B288,Database!$F:$AY,MATCH($O$1,Database!$F$1:$AY$1,),))))-(((VLOOKUP(EDATE(B288,-12),Database!$F:$AY,MATCH($O$1,Database!$F$1:$AY$1,),)))))/(((VLOOKUP(EDATE(B288,-12),Database!$F:$AY,MATCH($O$1,Database!$F$1:$AY$1,),))))</f>
        <v/>
      </c>
      <c r="P288" s="13">
        <f>((((VLOOKUP(B288,Database!$F:$AY,MATCH($P$1,Database!$F$1:$AY$1,),))))-(((VLOOKUP(EDATE(B288,-12),Database!$F:$AY,MATCH($P$1,Database!$F$1:$AY$1,),)))))/(((VLOOKUP(EDATE(B288,-12),Database!$F:$AY,MATCH($P$1,Database!$F$1:$AY$1,),))))</f>
        <v/>
      </c>
      <c r="Q288" s="13">
        <f>((((VLOOKUP(B288,Database!$F:$AY,MATCH($Q$1,Database!$F$1:$AY$1,),))))-(((VLOOKUP(EDATE(B288,-12),Database!$F:$AY,MATCH($Q$1,Database!$F$1:$AY$1,),)))))/(((VLOOKUP(EDATE(B288,-12),Database!$F:$AY,MATCH($Q$1,Database!$F$1:$AY$1,),))))</f>
        <v/>
      </c>
      <c r="R288" s="13">
        <f>((((VLOOKUP(B288,Database!$F:$AY,MATCH($R$1,Database!$F$1:$AY$1,),))))-(((VLOOKUP(EDATE(B288,-12),Database!$F:$AY,MATCH($R$1,Database!$F$1:$AY$1,),)))))/(((VLOOKUP(EDATE(B288,-12),Database!$F:$AY,MATCH($R$1,Database!$F$1:$AY$1,),))))</f>
        <v/>
      </c>
      <c r="S288" s="13">
        <f>((((VLOOKUP(B288,Database!$F:$AY,MATCH($S$1,Database!$F$1:$AY$1,),))))-(((VLOOKUP(EDATE(B288,-12),Database!$F:$AY,MATCH($S$1,Database!$F$1:$AY$1,),)))))/(((VLOOKUP(EDATE(B288,-12),Database!$F:$AY,MATCH($S$1,Database!$F$1:$AY$1,),))))</f>
        <v/>
      </c>
      <c r="T288" s="13">
        <f>((((VLOOKUP(B288,Database!$F:$AY,MATCH($T$1,Database!$F$1:$AY$1,),))))-(((VLOOKUP(EDATE(B288,-12),Database!$F:$AY,MATCH($T$1,Database!$F$1:$AY$1,),)))))/(((VLOOKUP(EDATE(B288,-12),Database!$F:$AY,MATCH($T$1,Database!$F$1:$AY$1,),))))</f>
        <v/>
      </c>
      <c r="U288" s="13">
        <f>((((VLOOKUP(B288,Database!$F:$AY,MATCH($U$1,Database!$F$1:$AY$1,),))))-(((VLOOKUP(EDATE(B288,-12),Database!$F:$AY,MATCH($U$1,Database!$F$1:$AY$1,),)))))/(((VLOOKUP(EDATE(B288,-12),Database!$F:$AY,MATCH($U$1,Database!$F$1:$AY$1,),))))</f>
        <v/>
      </c>
      <c r="V288" s="13">
        <f>((((VLOOKUP(B288,Database!$F:$AY,MATCH($V$1,Database!$F$1:$AY$1,),))))-(((VLOOKUP(EDATE(B288,-12),Database!$F:$AY,MATCH($V$1,Database!$F$1:$AY$1,),)))))/(((VLOOKUP(EDATE(B288,-12),Database!$F:$AY,MATCH($V$1,Database!$F$1:$AY$1,),))))</f>
        <v/>
      </c>
    </row>
    <row r="289" customFormat="1" s="100">
      <c r="A289" s="45" t="n"/>
      <c r="B289" s="46" t="n">
        <v>40940</v>
      </c>
      <c r="C289" s="13">
        <f>((((VLOOKUP(B289,Database!$F:$AY,MATCH($C$1,Database!$F$1:$AY$1,),))))-(((VLOOKUP(EDATE(B289,-12),Database!$F:$AY,MATCH($C$1,Database!$F$1:$AY$1,),)))))/(((VLOOKUP(EDATE(B289,-12),Database!$F:$AY,MATCH($C$1,Database!$F$1:$AY$1,),))))</f>
        <v/>
      </c>
      <c r="D289" s="13">
        <f>((((VLOOKUP(B289,Database!$F:$AY,MATCH($D$1,Database!$F$1:$AY$1,),))))-(((VLOOKUP(EDATE(B289,-12),Database!$F:$AY,MATCH($D$1,Database!$F$1:$AY$1,),)))))/(((VLOOKUP(EDATE(B289,-12),Database!$F:$AY,MATCH($D$1,Database!$F$1:$AY$1,),))))</f>
        <v/>
      </c>
      <c r="E289" s="13">
        <f>((((VLOOKUP(B289,Database!$F:$AY,MATCH($E$1,Database!$F$1:$AY$1,),))))-(((VLOOKUP(EDATE(B289,-12),Database!$F:$AY,MATCH($E$1,Database!$F$1:$AY$1,),)))))/(((VLOOKUP(EDATE(B289,-12),Database!$F:$AY,MATCH($E$1,Database!$F$1:$AY$1,),))))</f>
        <v/>
      </c>
      <c r="F289" s="13">
        <f>((((VLOOKUP(B289,Database!$F:$AY,MATCH($F$1,Database!$F$1:$AY$1,),))))-(((VLOOKUP(EDATE(B289,-12),Database!$F:$AY,MATCH($F$1,Database!$F$1:$AY$1,),)))))/(((VLOOKUP(EDATE(B289,-12),Database!$F:$AY,MATCH($F$1,Database!$F$1:$AY$1,),))))</f>
        <v/>
      </c>
      <c r="G289" s="13">
        <f>((((VLOOKUP(B289,Database!$F:$AY,MATCH($G$1,Database!$F$1:$AY$1,),))))-(((VLOOKUP(EDATE(B289,-12),Database!$F:$AY,MATCH($G$1,Database!$F$1:$AY$1,),)))))/(((VLOOKUP(EDATE(B289,-12),Database!$F:$AY,MATCH($G$1,Database!$F$1:$AY$1,),))))</f>
        <v/>
      </c>
      <c r="H289" s="13">
        <f>((((VLOOKUP(B289,Database!$F:$AY,MATCH($H$1,Database!$F$1:$AY$1,),))))-(((VLOOKUP(EDATE(B289,-12),Database!$F:$AY,MATCH($H$1,Database!$F$1:$AY$1,),)))))/(((VLOOKUP(EDATE(B289,-12),Database!$F:$AY,MATCH($H$1,Database!$F$1:$AY$1,),))))</f>
        <v/>
      </c>
      <c r="I289" s="13">
        <f>((((VLOOKUP(B289,Database!$F:$AY,MATCH($I$1,Database!$F$1:$AY$1,),))))-(((VLOOKUP(EDATE(B289,-12),Database!$F:$AY,MATCH($I$1,Database!$F$1:$AY$1,),)))))/(((VLOOKUP(EDATE(B289,-12),Database!$F:$AY,MATCH($I$1,Database!$F$1:$AY$1,),))))</f>
        <v/>
      </c>
      <c r="J289" s="13">
        <f>((((VLOOKUP(B289,Database!$F:$AY,MATCH($J$1,Database!$F$1:$AY$1,),))))-(((VLOOKUP(EDATE(B289,-12),Database!$F:$AY,MATCH($J$1,Database!$F$1:$AY$1,),)))))/(((VLOOKUP(EDATE(B289,-12),Database!$F:$AY,MATCH($J$1,Database!$F$1:$AY$1,),))))</f>
        <v/>
      </c>
      <c r="K289" s="13">
        <f>((((VLOOKUP(B289,Database!$F:$AY,MATCH($K$1,Database!$F$1:$AY$1,),))))-(((VLOOKUP(EDATE(B289,-12),Database!$F:$AY,MATCH($K$1,Database!$F$1:$AY$1,),)))))/(((VLOOKUP(EDATE(B289,-12),Database!$F:$AY,MATCH($K$1,Database!$F$1:$AY$1,),))))</f>
        <v/>
      </c>
      <c r="L289" s="13">
        <f>((((VLOOKUP(B289,Database!$F:$AY,MATCH($L$1,Database!$F$1:$AY$1,),))))-(((VLOOKUP(EDATE(B289,-12),Database!$F:$AY,MATCH($L$1,Database!$F$1:$AY$1,),)))))/(((VLOOKUP(EDATE(B289,-12),Database!$F:$AY,MATCH($L$1,Database!$F$1:$AY$1,),))))</f>
        <v/>
      </c>
      <c r="M289" s="13">
        <f>((((VLOOKUP(B289,Database!$F:$AY,MATCH($M$1,Database!$F$1:$AY$1,),))))-(((VLOOKUP(EDATE(B289,-12),Database!$F:$AY,MATCH($M$1,Database!$F$1:$AY$1,),)))))/(((VLOOKUP(EDATE(B289,-12),Database!$F:$AY,MATCH($M$1,Database!$F$1:$AY$1,),))))</f>
        <v/>
      </c>
      <c r="N289" s="13">
        <f>((((VLOOKUP(B289,Database!$F:$AY,MATCH($N$1,Database!$F$1:$AY$1,),))))-(((VLOOKUP(EDATE(B289,-12),Database!$F:$AY,MATCH($N$1,Database!$F$1:$AY$1,),)))))/(((VLOOKUP(EDATE(B289,-12),Database!$F:$AY,MATCH($N$1,Database!$F$1:$AY$1,),))))</f>
        <v/>
      </c>
      <c r="O289" s="13">
        <f>((((VLOOKUP(B289,Database!$F:$AY,MATCH($O$1,Database!$F$1:$AY$1,),))))-(((VLOOKUP(EDATE(B289,-12),Database!$F:$AY,MATCH($O$1,Database!$F$1:$AY$1,),)))))/(((VLOOKUP(EDATE(B289,-12),Database!$F:$AY,MATCH($O$1,Database!$F$1:$AY$1,),))))</f>
        <v/>
      </c>
      <c r="P289" s="13">
        <f>((((VLOOKUP(B289,Database!$F:$AY,MATCH($P$1,Database!$F$1:$AY$1,),))))-(((VLOOKUP(EDATE(B289,-12),Database!$F:$AY,MATCH($P$1,Database!$F$1:$AY$1,),)))))/(((VLOOKUP(EDATE(B289,-12),Database!$F:$AY,MATCH($P$1,Database!$F$1:$AY$1,),))))</f>
        <v/>
      </c>
      <c r="Q289" s="13">
        <f>((((VLOOKUP(B289,Database!$F:$AY,MATCH($Q$1,Database!$F$1:$AY$1,),))))-(((VLOOKUP(EDATE(B289,-12),Database!$F:$AY,MATCH($Q$1,Database!$F$1:$AY$1,),)))))/(((VLOOKUP(EDATE(B289,-12),Database!$F:$AY,MATCH($Q$1,Database!$F$1:$AY$1,),))))</f>
        <v/>
      </c>
      <c r="R289" s="13">
        <f>((((VLOOKUP(B289,Database!$F:$AY,MATCH($R$1,Database!$F$1:$AY$1,),))))-(((VLOOKUP(EDATE(B289,-12),Database!$F:$AY,MATCH($R$1,Database!$F$1:$AY$1,),)))))/(((VLOOKUP(EDATE(B289,-12),Database!$F:$AY,MATCH($R$1,Database!$F$1:$AY$1,),))))</f>
        <v/>
      </c>
      <c r="S289" s="13">
        <f>((((VLOOKUP(B289,Database!$F:$AY,MATCH($S$1,Database!$F$1:$AY$1,),))))-(((VLOOKUP(EDATE(B289,-12),Database!$F:$AY,MATCH($S$1,Database!$F$1:$AY$1,),)))))/(((VLOOKUP(EDATE(B289,-12),Database!$F:$AY,MATCH($S$1,Database!$F$1:$AY$1,),))))</f>
        <v/>
      </c>
      <c r="T289" s="13">
        <f>((((VLOOKUP(B289,Database!$F:$AY,MATCH($T$1,Database!$F$1:$AY$1,),))))-(((VLOOKUP(EDATE(B289,-12),Database!$F:$AY,MATCH($T$1,Database!$F$1:$AY$1,),)))))/(((VLOOKUP(EDATE(B289,-12),Database!$F:$AY,MATCH($T$1,Database!$F$1:$AY$1,),))))</f>
        <v/>
      </c>
      <c r="U289" s="13">
        <f>((((VLOOKUP(B289,Database!$F:$AY,MATCH($U$1,Database!$F$1:$AY$1,),))))-(((VLOOKUP(EDATE(B289,-12),Database!$F:$AY,MATCH($U$1,Database!$F$1:$AY$1,),)))))/(((VLOOKUP(EDATE(B289,-12),Database!$F:$AY,MATCH($U$1,Database!$F$1:$AY$1,),))))</f>
        <v/>
      </c>
      <c r="V289" s="13">
        <f>((((VLOOKUP(B289,Database!$F:$AY,MATCH($V$1,Database!$F$1:$AY$1,),))))-(((VLOOKUP(EDATE(B289,-12),Database!$F:$AY,MATCH($V$1,Database!$F$1:$AY$1,),)))))/(((VLOOKUP(EDATE(B289,-12),Database!$F:$AY,MATCH($V$1,Database!$F$1:$AY$1,),))))</f>
        <v/>
      </c>
    </row>
    <row r="290" customFormat="1" s="100">
      <c r="A290" s="45" t="n"/>
      <c r="B290" s="46" t="n">
        <v>40969</v>
      </c>
      <c r="C290" s="13">
        <f>((((VLOOKUP(B290,Database!$F:$AY,MATCH($C$1,Database!$F$1:$AY$1,),))))-(((VLOOKUP(EDATE(B290,-12),Database!$F:$AY,MATCH($C$1,Database!$F$1:$AY$1,),)))))/(((VLOOKUP(EDATE(B290,-12),Database!$F:$AY,MATCH($C$1,Database!$F$1:$AY$1,),))))</f>
        <v/>
      </c>
      <c r="D290" s="13">
        <f>((((VLOOKUP(B290,Database!$F:$AY,MATCH($D$1,Database!$F$1:$AY$1,),))))-(((VLOOKUP(EDATE(B290,-12),Database!$F:$AY,MATCH($D$1,Database!$F$1:$AY$1,),)))))/(((VLOOKUP(EDATE(B290,-12),Database!$F:$AY,MATCH($D$1,Database!$F$1:$AY$1,),))))</f>
        <v/>
      </c>
      <c r="E290" s="13">
        <f>((((VLOOKUP(B290,Database!$F:$AY,MATCH($E$1,Database!$F$1:$AY$1,),))))-(((VLOOKUP(EDATE(B290,-12),Database!$F:$AY,MATCH($E$1,Database!$F$1:$AY$1,),)))))/(((VLOOKUP(EDATE(B290,-12),Database!$F:$AY,MATCH($E$1,Database!$F$1:$AY$1,),))))</f>
        <v/>
      </c>
      <c r="F290" s="13">
        <f>((((VLOOKUP(B290,Database!$F:$AY,MATCH($F$1,Database!$F$1:$AY$1,),))))-(((VLOOKUP(EDATE(B290,-12),Database!$F:$AY,MATCH($F$1,Database!$F$1:$AY$1,),)))))/(((VLOOKUP(EDATE(B290,-12),Database!$F:$AY,MATCH($F$1,Database!$F$1:$AY$1,),))))</f>
        <v/>
      </c>
      <c r="G290" s="13">
        <f>((((VLOOKUP(B290,Database!$F:$AY,MATCH($G$1,Database!$F$1:$AY$1,),))))-(((VLOOKUP(EDATE(B290,-12),Database!$F:$AY,MATCH($G$1,Database!$F$1:$AY$1,),)))))/(((VLOOKUP(EDATE(B290,-12),Database!$F:$AY,MATCH($G$1,Database!$F$1:$AY$1,),))))</f>
        <v/>
      </c>
      <c r="H290" s="13">
        <f>((((VLOOKUP(B290,Database!$F:$AY,MATCH($H$1,Database!$F$1:$AY$1,),))))-(((VLOOKUP(EDATE(B290,-12),Database!$F:$AY,MATCH($H$1,Database!$F$1:$AY$1,),)))))/(((VLOOKUP(EDATE(B290,-12),Database!$F:$AY,MATCH($H$1,Database!$F$1:$AY$1,),))))</f>
        <v/>
      </c>
      <c r="I290" s="13">
        <f>((((VLOOKUP(B290,Database!$F:$AY,MATCH($I$1,Database!$F$1:$AY$1,),))))-(((VLOOKUP(EDATE(B290,-12),Database!$F:$AY,MATCH($I$1,Database!$F$1:$AY$1,),)))))/(((VLOOKUP(EDATE(B290,-12),Database!$F:$AY,MATCH($I$1,Database!$F$1:$AY$1,),))))</f>
        <v/>
      </c>
      <c r="J290" s="13">
        <f>((((VLOOKUP(B290,Database!$F:$AY,MATCH($J$1,Database!$F$1:$AY$1,),))))-(((VLOOKUP(EDATE(B290,-12),Database!$F:$AY,MATCH($J$1,Database!$F$1:$AY$1,),)))))/(((VLOOKUP(EDATE(B290,-12),Database!$F:$AY,MATCH($J$1,Database!$F$1:$AY$1,),))))</f>
        <v/>
      </c>
      <c r="K290" s="13">
        <f>((((VLOOKUP(B290,Database!$F:$AY,MATCH($K$1,Database!$F$1:$AY$1,),))))-(((VLOOKUP(EDATE(B290,-12),Database!$F:$AY,MATCH($K$1,Database!$F$1:$AY$1,),)))))/(((VLOOKUP(EDATE(B290,-12),Database!$F:$AY,MATCH($K$1,Database!$F$1:$AY$1,),))))</f>
        <v/>
      </c>
      <c r="L290" s="13">
        <f>((((VLOOKUP(B290,Database!$F:$AY,MATCH($L$1,Database!$F$1:$AY$1,),))))-(((VLOOKUP(EDATE(B290,-12),Database!$F:$AY,MATCH($L$1,Database!$F$1:$AY$1,),)))))/(((VLOOKUP(EDATE(B290,-12),Database!$F:$AY,MATCH($L$1,Database!$F$1:$AY$1,),))))</f>
        <v/>
      </c>
      <c r="M290" s="13">
        <f>((((VLOOKUP(B290,Database!$F:$AY,MATCH($M$1,Database!$F$1:$AY$1,),))))-(((VLOOKUP(EDATE(B290,-12),Database!$F:$AY,MATCH($M$1,Database!$F$1:$AY$1,),)))))/(((VLOOKUP(EDATE(B290,-12),Database!$F:$AY,MATCH($M$1,Database!$F$1:$AY$1,),))))</f>
        <v/>
      </c>
      <c r="N290" s="13">
        <f>((((VLOOKUP(B290,Database!$F:$AY,MATCH($N$1,Database!$F$1:$AY$1,),))))-(((VLOOKUP(EDATE(B290,-12),Database!$F:$AY,MATCH($N$1,Database!$F$1:$AY$1,),)))))/(((VLOOKUP(EDATE(B290,-12),Database!$F:$AY,MATCH($N$1,Database!$F$1:$AY$1,),))))</f>
        <v/>
      </c>
      <c r="O290" s="13">
        <f>((((VLOOKUP(B290,Database!$F:$AY,MATCH($O$1,Database!$F$1:$AY$1,),))))-(((VLOOKUP(EDATE(B290,-12),Database!$F:$AY,MATCH($O$1,Database!$F$1:$AY$1,),)))))/(((VLOOKUP(EDATE(B290,-12),Database!$F:$AY,MATCH($O$1,Database!$F$1:$AY$1,),))))</f>
        <v/>
      </c>
      <c r="P290" s="13">
        <f>((((VLOOKUP(B290,Database!$F:$AY,MATCH($P$1,Database!$F$1:$AY$1,),))))-(((VLOOKUP(EDATE(B290,-12),Database!$F:$AY,MATCH($P$1,Database!$F$1:$AY$1,),)))))/(((VLOOKUP(EDATE(B290,-12),Database!$F:$AY,MATCH($P$1,Database!$F$1:$AY$1,),))))</f>
        <v/>
      </c>
      <c r="Q290" s="13">
        <f>((((VLOOKUP(B290,Database!$F:$AY,MATCH($Q$1,Database!$F$1:$AY$1,),))))-(((VLOOKUP(EDATE(B290,-12),Database!$F:$AY,MATCH($Q$1,Database!$F$1:$AY$1,),)))))/(((VLOOKUP(EDATE(B290,-12),Database!$F:$AY,MATCH($Q$1,Database!$F$1:$AY$1,),))))</f>
        <v/>
      </c>
      <c r="R290" s="13">
        <f>((((VLOOKUP(B290,Database!$F:$AY,MATCH($R$1,Database!$F$1:$AY$1,),))))-(((VLOOKUP(EDATE(B290,-12),Database!$F:$AY,MATCH($R$1,Database!$F$1:$AY$1,),)))))/(((VLOOKUP(EDATE(B290,-12),Database!$F:$AY,MATCH($R$1,Database!$F$1:$AY$1,),))))</f>
        <v/>
      </c>
      <c r="S290" s="13">
        <f>((((VLOOKUP(B290,Database!$F:$AY,MATCH($S$1,Database!$F$1:$AY$1,),))))-(((VLOOKUP(EDATE(B290,-12),Database!$F:$AY,MATCH($S$1,Database!$F$1:$AY$1,),)))))/(((VLOOKUP(EDATE(B290,-12),Database!$F:$AY,MATCH($S$1,Database!$F$1:$AY$1,),))))</f>
        <v/>
      </c>
      <c r="T290" s="13">
        <f>((((VLOOKUP(B290,Database!$F:$AY,MATCH($T$1,Database!$F$1:$AY$1,),))))-(((VLOOKUP(EDATE(B290,-12),Database!$F:$AY,MATCH($T$1,Database!$F$1:$AY$1,),)))))/(((VLOOKUP(EDATE(B290,-12),Database!$F:$AY,MATCH($T$1,Database!$F$1:$AY$1,),))))</f>
        <v/>
      </c>
      <c r="U290" s="13">
        <f>((((VLOOKUP(B290,Database!$F:$AY,MATCH($U$1,Database!$F$1:$AY$1,),))))-(((VLOOKUP(EDATE(B290,-12),Database!$F:$AY,MATCH($U$1,Database!$F$1:$AY$1,),)))))/(((VLOOKUP(EDATE(B290,-12),Database!$F:$AY,MATCH($U$1,Database!$F$1:$AY$1,),))))</f>
        <v/>
      </c>
      <c r="V290" s="13">
        <f>((((VLOOKUP(B290,Database!$F:$AY,MATCH($V$1,Database!$F$1:$AY$1,),))))-(((VLOOKUP(EDATE(B290,-12),Database!$F:$AY,MATCH($V$1,Database!$F$1:$AY$1,),)))))/(((VLOOKUP(EDATE(B290,-12),Database!$F:$AY,MATCH($V$1,Database!$F$1:$AY$1,),))))</f>
        <v/>
      </c>
    </row>
    <row r="291" customFormat="1" s="100">
      <c r="A291" s="45" t="n"/>
      <c r="B291" s="46" t="n">
        <v>41000</v>
      </c>
      <c r="C291" s="13">
        <f>((((VLOOKUP(B291,Database!$F:$AY,MATCH($C$1,Database!$F$1:$AY$1,),))))-(((VLOOKUP(EDATE(B291,-12),Database!$F:$AY,MATCH($C$1,Database!$F$1:$AY$1,),)))))/(((VLOOKUP(EDATE(B291,-12),Database!$F:$AY,MATCH($C$1,Database!$F$1:$AY$1,),))))</f>
        <v/>
      </c>
      <c r="D291" s="13">
        <f>((((VLOOKUP(B291,Database!$F:$AY,MATCH($D$1,Database!$F$1:$AY$1,),))))-(((VLOOKUP(EDATE(B291,-12),Database!$F:$AY,MATCH($D$1,Database!$F$1:$AY$1,),)))))/(((VLOOKUP(EDATE(B291,-12),Database!$F:$AY,MATCH($D$1,Database!$F$1:$AY$1,),))))</f>
        <v/>
      </c>
      <c r="E291" s="13">
        <f>((((VLOOKUP(B291,Database!$F:$AY,MATCH($E$1,Database!$F$1:$AY$1,),))))-(((VLOOKUP(EDATE(B291,-12),Database!$F:$AY,MATCH($E$1,Database!$F$1:$AY$1,),)))))/(((VLOOKUP(EDATE(B291,-12),Database!$F:$AY,MATCH($E$1,Database!$F$1:$AY$1,),))))</f>
        <v/>
      </c>
      <c r="F291" s="13">
        <f>((((VLOOKUP(B291,Database!$F:$AY,MATCH($F$1,Database!$F$1:$AY$1,),))))-(((VLOOKUP(EDATE(B291,-12),Database!$F:$AY,MATCH($F$1,Database!$F$1:$AY$1,),)))))/(((VLOOKUP(EDATE(B291,-12),Database!$F:$AY,MATCH($F$1,Database!$F$1:$AY$1,),))))</f>
        <v/>
      </c>
      <c r="G291" s="13">
        <f>((((VLOOKUP(B291,Database!$F:$AY,MATCH($G$1,Database!$F$1:$AY$1,),))))-(((VLOOKUP(EDATE(B291,-12),Database!$F:$AY,MATCH($G$1,Database!$F$1:$AY$1,),)))))/(((VLOOKUP(EDATE(B291,-12),Database!$F:$AY,MATCH($G$1,Database!$F$1:$AY$1,),))))</f>
        <v/>
      </c>
      <c r="H291" s="13">
        <f>((((VLOOKUP(B291,Database!$F:$AY,MATCH($H$1,Database!$F$1:$AY$1,),))))-(((VLOOKUP(EDATE(B291,-12),Database!$F:$AY,MATCH($H$1,Database!$F$1:$AY$1,),)))))/(((VLOOKUP(EDATE(B291,-12),Database!$F:$AY,MATCH($H$1,Database!$F$1:$AY$1,),))))</f>
        <v/>
      </c>
      <c r="I291" s="13">
        <f>((((VLOOKUP(B291,Database!$F:$AY,MATCH($I$1,Database!$F$1:$AY$1,),))))-(((VLOOKUP(EDATE(B291,-12),Database!$F:$AY,MATCH($I$1,Database!$F$1:$AY$1,),)))))/(((VLOOKUP(EDATE(B291,-12),Database!$F:$AY,MATCH($I$1,Database!$F$1:$AY$1,),))))</f>
        <v/>
      </c>
      <c r="J291" s="13">
        <f>((((VLOOKUP(B291,Database!$F:$AY,MATCH($J$1,Database!$F$1:$AY$1,),))))-(((VLOOKUP(EDATE(B291,-12),Database!$F:$AY,MATCH($J$1,Database!$F$1:$AY$1,),)))))/(((VLOOKUP(EDATE(B291,-12),Database!$F:$AY,MATCH($J$1,Database!$F$1:$AY$1,),))))</f>
        <v/>
      </c>
      <c r="K291" s="13">
        <f>((((VLOOKUP(B291,Database!$F:$AY,MATCH($K$1,Database!$F$1:$AY$1,),))))-(((VLOOKUP(EDATE(B291,-12),Database!$F:$AY,MATCH($K$1,Database!$F$1:$AY$1,),)))))/(((VLOOKUP(EDATE(B291,-12),Database!$F:$AY,MATCH($K$1,Database!$F$1:$AY$1,),))))</f>
        <v/>
      </c>
      <c r="L291" s="13">
        <f>((((VLOOKUP(B291,Database!$F:$AY,MATCH($L$1,Database!$F$1:$AY$1,),))))-(((VLOOKUP(EDATE(B291,-12),Database!$F:$AY,MATCH($L$1,Database!$F$1:$AY$1,),)))))/(((VLOOKUP(EDATE(B291,-12),Database!$F:$AY,MATCH($L$1,Database!$F$1:$AY$1,),))))</f>
        <v/>
      </c>
      <c r="M291" s="13">
        <f>((((VLOOKUP(B291,Database!$F:$AY,MATCH($M$1,Database!$F$1:$AY$1,),))))-(((VLOOKUP(EDATE(B291,-12),Database!$F:$AY,MATCH($M$1,Database!$F$1:$AY$1,),)))))/(((VLOOKUP(EDATE(B291,-12),Database!$F:$AY,MATCH($M$1,Database!$F$1:$AY$1,),))))</f>
        <v/>
      </c>
      <c r="N291" s="13">
        <f>((((VLOOKUP(B291,Database!$F:$AY,MATCH($N$1,Database!$F$1:$AY$1,),))))-(((VLOOKUP(EDATE(B291,-12),Database!$F:$AY,MATCH($N$1,Database!$F$1:$AY$1,),)))))/(((VLOOKUP(EDATE(B291,-12),Database!$F:$AY,MATCH($N$1,Database!$F$1:$AY$1,),))))</f>
        <v/>
      </c>
      <c r="O291" s="13">
        <f>((((VLOOKUP(B291,Database!$F:$AY,MATCH($O$1,Database!$F$1:$AY$1,),))))-(((VLOOKUP(EDATE(B291,-12),Database!$F:$AY,MATCH($O$1,Database!$F$1:$AY$1,),)))))/(((VLOOKUP(EDATE(B291,-12),Database!$F:$AY,MATCH($O$1,Database!$F$1:$AY$1,),))))</f>
        <v/>
      </c>
      <c r="P291" s="13">
        <f>((((VLOOKUP(B291,Database!$F:$AY,MATCH($P$1,Database!$F$1:$AY$1,),))))-(((VLOOKUP(EDATE(B291,-12),Database!$F:$AY,MATCH($P$1,Database!$F$1:$AY$1,),)))))/(((VLOOKUP(EDATE(B291,-12),Database!$F:$AY,MATCH($P$1,Database!$F$1:$AY$1,),))))</f>
        <v/>
      </c>
      <c r="Q291" s="13">
        <f>((((VLOOKUP(B291,Database!$F:$AY,MATCH($Q$1,Database!$F$1:$AY$1,),))))-(((VLOOKUP(EDATE(B291,-12),Database!$F:$AY,MATCH($Q$1,Database!$F$1:$AY$1,),)))))/(((VLOOKUP(EDATE(B291,-12),Database!$F:$AY,MATCH($Q$1,Database!$F$1:$AY$1,),))))</f>
        <v/>
      </c>
      <c r="R291" s="13">
        <f>((((VLOOKUP(B291,Database!$F:$AY,MATCH($R$1,Database!$F$1:$AY$1,),))))-(((VLOOKUP(EDATE(B291,-12),Database!$F:$AY,MATCH($R$1,Database!$F$1:$AY$1,),)))))/(((VLOOKUP(EDATE(B291,-12),Database!$F:$AY,MATCH($R$1,Database!$F$1:$AY$1,),))))</f>
        <v/>
      </c>
      <c r="S291" s="13">
        <f>((((VLOOKUP(B291,Database!$F:$AY,MATCH($S$1,Database!$F$1:$AY$1,),))))-(((VLOOKUP(EDATE(B291,-12),Database!$F:$AY,MATCH($S$1,Database!$F$1:$AY$1,),)))))/(((VLOOKUP(EDATE(B291,-12),Database!$F:$AY,MATCH($S$1,Database!$F$1:$AY$1,),))))</f>
        <v/>
      </c>
      <c r="T291" s="13">
        <f>((((VLOOKUP(B291,Database!$F:$AY,MATCH($T$1,Database!$F$1:$AY$1,),))))-(((VLOOKUP(EDATE(B291,-12),Database!$F:$AY,MATCH($T$1,Database!$F$1:$AY$1,),)))))/(((VLOOKUP(EDATE(B291,-12),Database!$F:$AY,MATCH($T$1,Database!$F$1:$AY$1,),))))</f>
        <v/>
      </c>
      <c r="U291" s="13">
        <f>((((VLOOKUP(B291,Database!$F:$AY,MATCH($U$1,Database!$F$1:$AY$1,),))))-(((VLOOKUP(EDATE(B291,-12),Database!$F:$AY,MATCH($U$1,Database!$F$1:$AY$1,),)))))/(((VLOOKUP(EDATE(B291,-12),Database!$F:$AY,MATCH($U$1,Database!$F$1:$AY$1,),))))</f>
        <v/>
      </c>
      <c r="V291" s="13">
        <f>((((VLOOKUP(B291,Database!$F:$AY,MATCH($V$1,Database!$F$1:$AY$1,),))))-(((VLOOKUP(EDATE(B291,-12),Database!$F:$AY,MATCH($V$1,Database!$F$1:$AY$1,),)))))/(((VLOOKUP(EDATE(B291,-12),Database!$F:$AY,MATCH($V$1,Database!$F$1:$AY$1,),))))</f>
        <v/>
      </c>
    </row>
    <row r="292" customFormat="1" s="100">
      <c r="A292" s="45" t="n"/>
      <c r="B292" s="46" t="n">
        <v>41030</v>
      </c>
      <c r="C292" s="13">
        <f>((((VLOOKUP(B292,Database!$F:$AY,MATCH($C$1,Database!$F$1:$AY$1,),))))-(((VLOOKUP(EDATE(B292,-12),Database!$F:$AY,MATCH($C$1,Database!$F$1:$AY$1,),)))))/(((VLOOKUP(EDATE(B292,-12),Database!$F:$AY,MATCH($C$1,Database!$F$1:$AY$1,),))))</f>
        <v/>
      </c>
      <c r="D292" s="13">
        <f>((((VLOOKUP(B292,Database!$F:$AY,MATCH($D$1,Database!$F$1:$AY$1,),))))-(((VLOOKUP(EDATE(B292,-12),Database!$F:$AY,MATCH($D$1,Database!$F$1:$AY$1,),)))))/(((VLOOKUP(EDATE(B292,-12),Database!$F:$AY,MATCH($D$1,Database!$F$1:$AY$1,),))))</f>
        <v/>
      </c>
      <c r="E292" s="13">
        <f>((((VLOOKUP(B292,Database!$F:$AY,MATCH($E$1,Database!$F$1:$AY$1,),))))-(((VLOOKUP(EDATE(B292,-12),Database!$F:$AY,MATCH($E$1,Database!$F$1:$AY$1,),)))))/(((VLOOKUP(EDATE(B292,-12),Database!$F:$AY,MATCH($E$1,Database!$F$1:$AY$1,),))))</f>
        <v/>
      </c>
      <c r="F292" s="13">
        <f>((((VLOOKUP(B292,Database!$F:$AY,MATCH($F$1,Database!$F$1:$AY$1,),))))-(((VLOOKUP(EDATE(B292,-12),Database!$F:$AY,MATCH($F$1,Database!$F$1:$AY$1,),)))))/(((VLOOKUP(EDATE(B292,-12),Database!$F:$AY,MATCH($F$1,Database!$F$1:$AY$1,),))))</f>
        <v/>
      </c>
      <c r="G292" s="13">
        <f>((((VLOOKUP(B292,Database!$F:$AY,MATCH($G$1,Database!$F$1:$AY$1,),))))-(((VLOOKUP(EDATE(B292,-12),Database!$F:$AY,MATCH($G$1,Database!$F$1:$AY$1,),)))))/(((VLOOKUP(EDATE(B292,-12),Database!$F:$AY,MATCH($G$1,Database!$F$1:$AY$1,),))))</f>
        <v/>
      </c>
      <c r="H292" s="13">
        <f>((((VLOOKUP(B292,Database!$F:$AY,MATCH($H$1,Database!$F$1:$AY$1,),))))-(((VLOOKUP(EDATE(B292,-12),Database!$F:$AY,MATCH($H$1,Database!$F$1:$AY$1,),)))))/(((VLOOKUP(EDATE(B292,-12),Database!$F:$AY,MATCH($H$1,Database!$F$1:$AY$1,),))))</f>
        <v/>
      </c>
      <c r="I292" s="13">
        <f>((((VLOOKUP(B292,Database!$F:$AY,MATCH($I$1,Database!$F$1:$AY$1,),))))-(((VLOOKUP(EDATE(B292,-12),Database!$F:$AY,MATCH($I$1,Database!$F$1:$AY$1,),)))))/(((VLOOKUP(EDATE(B292,-12),Database!$F:$AY,MATCH($I$1,Database!$F$1:$AY$1,),))))</f>
        <v/>
      </c>
      <c r="J292" s="13">
        <f>((((VLOOKUP(B292,Database!$F:$AY,MATCH($J$1,Database!$F$1:$AY$1,),))))-(((VLOOKUP(EDATE(B292,-12),Database!$F:$AY,MATCH($J$1,Database!$F$1:$AY$1,),)))))/(((VLOOKUP(EDATE(B292,-12),Database!$F:$AY,MATCH($J$1,Database!$F$1:$AY$1,),))))</f>
        <v/>
      </c>
      <c r="K292" s="13">
        <f>((((VLOOKUP(B292,Database!$F:$AY,MATCH($K$1,Database!$F$1:$AY$1,),))))-(((VLOOKUP(EDATE(B292,-12),Database!$F:$AY,MATCH($K$1,Database!$F$1:$AY$1,),)))))/(((VLOOKUP(EDATE(B292,-12),Database!$F:$AY,MATCH($K$1,Database!$F$1:$AY$1,),))))</f>
        <v/>
      </c>
      <c r="L292" s="13">
        <f>((((VLOOKUP(B292,Database!$F:$AY,MATCH($L$1,Database!$F$1:$AY$1,),))))-(((VLOOKUP(EDATE(B292,-12),Database!$F:$AY,MATCH($L$1,Database!$F$1:$AY$1,),)))))/(((VLOOKUP(EDATE(B292,-12),Database!$F:$AY,MATCH($L$1,Database!$F$1:$AY$1,),))))</f>
        <v/>
      </c>
      <c r="M292" s="13">
        <f>((((VLOOKUP(B292,Database!$F:$AY,MATCH($M$1,Database!$F$1:$AY$1,),))))-(((VLOOKUP(EDATE(B292,-12),Database!$F:$AY,MATCH($M$1,Database!$F$1:$AY$1,),)))))/(((VLOOKUP(EDATE(B292,-12),Database!$F:$AY,MATCH($M$1,Database!$F$1:$AY$1,),))))</f>
        <v/>
      </c>
      <c r="N292" s="13">
        <f>((((VLOOKUP(B292,Database!$F:$AY,MATCH($N$1,Database!$F$1:$AY$1,),))))-(((VLOOKUP(EDATE(B292,-12),Database!$F:$AY,MATCH($N$1,Database!$F$1:$AY$1,),)))))/(((VLOOKUP(EDATE(B292,-12),Database!$F:$AY,MATCH($N$1,Database!$F$1:$AY$1,),))))</f>
        <v/>
      </c>
      <c r="O292" s="13">
        <f>((((VLOOKUP(B292,Database!$F:$AY,MATCH($O$1,Database!$F$1:$AY$1,),))))-(((VLOOKUP(EDATE(B292,-12),Database!$F:$AY,MATCH($O$1,Database!$F$1:$AY$1,),)))))/(((VLOOKUP(EDATE(B292,-12),Database!$F:$AY,MATCH($O$1,Database!$F$1:$AY$1,),))))</f>
        <v/>
      </c>
      <c r="P292" s="13">
        <f>((((VLOOKUP(B292,Database!$F:$AY,MATCH($P$1,Database!$F$1:$AY$1,),))))-(((VLOOKUP(EDATE(B292,-12),Database!$F:$AY,MATCH($P$1,Database!$F$1:$AY$1,),)))))/(((VLOOKUP(EDATE(B292,-12),Database!$F:$AY,MATCH($P$1,Database!$F$1:$AY$1,),))))</f>
        <v/>
      </c>
      <c r="Q292" s="13">
        <f>((((VLOOKUP(B292,Database!$F:$AY,MATCH($Q$1,Database!$F$1:$AY$1,),))))-(((VLOOKUP(EDATE(B292,-12),Database!$F:$AY,MATCH($Q$1,Database!$F$1:$AY$1,),)))))/(((VLOOKUP(EDATE(B292,-12),Database!$F:$AY,MATCH($Q$1,Database!$F$1:$AY$1,),))))</f>
        <v/>
      </c>
      <c r="R292" s="13">
        <f>((((VLOOKUP(B292,Database!$F:$AY,MATCH($R$1,Database!$F$1:$AY$1,),))))-(((VLOOKUP(EDATE(B292,-12),Database!$F:$AY,MATCH($R$1,Database!$F$1:$AY$1,),)))))/(((VLOOKUP(EDATE(B292,-12),Database!$F:$AY,MATCH($R$1,Database!$F$1:$AY$1,),))))</f>
        <v/>
      </c>
      <c r="S292" s="13">
        <f>((((VLOOKUP(B292,Database!$F:$AY,MATCH($S$1,Database!$F$1:$AY$1,),))))-(((VLOOKUP(EDATE(B292,-12),Database!$F:$AY,MATCH($S$1,Database!$F$1:$AY$1,),)))))/(((VLOOKUP(EDATE(B292,-12),Database!$F:$AY,MATCH($S$1,Database!$F$1:$AY$1,),))))</f>
        <v/>
      </c>
      <c r="T292" s="13">
        <f>((((VLOOKUP(B292,Database!$F:$AY,MATCH($T$1,Database!$F$1:$AY$1,),))))-(((VLOOKUP(EDATE(B292,-12),Database!$F:$AY,MATCH($T$1,Database!$F$1:$AY$1,),)))))/(((VLOOKUP(EDATE(B292,-12),Database!$F:$AY,MATCH($T$1,Database!$F$1:$AY$1,),))))</f>
        <v/>
      </c>
      <c r="U292" s="13">
        <f>((((VLOOKUP(B292,Database!$F:$AY,MATCH($U$1,Database!$F$1:$AY$1,),))))-(((VLOOKUP(EDATE(B292,-12),Database!$F:$AY,MATCH($U$1,Database!$F$1:$AY$1,),)))))/(((VLOOKUP(EDATE(B292,-12),Database!$F:$AY,MATCH($U$1,Database!$F$1:$AY$1,),))))</f>
        <v/>
      </c>
      <c r="V292" s="13">
        <f>((((VLOOKUP(B292,Database!$F:$AY,MATCH($V$1,Database!$F$1:$AY$1,),))))-(((VLOOKUP(EDATE(B292,-12),Database!$F:$AY,MATCH($V$1,Database!$F$1:$AY$1,),)))))/(((VLOOKUP(EDATE(B292,-12),Database!$F:$AY,MATCH($V$1,Database!$F$1:$AY$1,),))))</f>
        <v/>
      </c>
    </row>
    <row r="293" customFormat="1" s="100">
      <c r="A293" s="45" t="n"/>
      <c r="B293" s="46" t="n">
        <v>41061</v>
      </c>
      <c r="C293" s="13">
        <f>((((VLOOKUP(B293,Database!$F:$AY,MATCH($C$1,Database!$F$1:$AY$1,),))))-(((VLOOKUP(EDATE(B293,-12),Database!$F:$AY,MATCH($C$1,Database!$F$1:$AY$1,),)))))/(((VLOOKUP(EDATE(B293,-12),Database!$F:$AY,MATCH($C$1,Database!$F$1:$AY$1,),))))</f>
        <v/>
      </c>
      <c r="D293" s="13">
        <f>((((VLOOKUP(B293,Database!$F:$AY,MATCH($D$1,Database!$F$1:$AY$1,),))))-(((VLOOKUP(EDATE(B293,-12),Database!$F:$AY,MATCH($D$1,Database!$F$1:$AY$1,),)))))/(((VLOOKUP(EDATE(B293,-12),Database!$F:$AY,MATCH($D$1,Database!$F$1:$AY$1,),))))</f>
        <v/>
      </c>
      <c r="E293" s="13">
        <f>((((VLOOKUP(B293,Database!$F:$AY,MATCH($E$1,Database!$F$1:$AY$1,),))))-(((VLOOKUP(EDATE(B293,-12),Database!$F:$AY,MATCH($E$1,Database!$F$1:$AY$1,),)))))/(((VLOOKUP(EDATE(B293,-12),Database!$F:$AY,MATCH($E$1,Database!$F$1:$AY$1,),))))</f>
        <v/>
      </c>
      <c r="F293" s="13">
        <f>((((VLOOKUP(B293,Database!$F:$AY,MATCH($F$1,Database!$F$1:$AY$1,),))))-(((VLOOKUP(EDATE(B293,-12),Database!$F:$AY,MATCH($F$1,Database!$F$1:$AY$1,),)))))/(((VLOOKUP(EDATE(B293,-12),Database!$F:$AY,MATCH($F$1,Database!$F$1:$AY$1,),))))</f>
        <v/>
      </c>
      <c r="G293" s="13">
        <f>((((VLOOKUP(B293,Database!$F:$AY,MATCH($G$1,Database!$F$1:$AY$1,),))))-(((VLOOKUP(EDATE(B293,-12),Database!$F:$AY,MATCH($G$1,Database!$F$1:$AY$1,),)))))/(((VLOOKUP(EDATE(B293,-12),Database!$F:$AY,MATCH($G$1,Database!$F$1:$AY$1,),))))</f>
        <v/>
      </c>
      <c r="H293" s="13">
        <f>((((VLOOKUP(B293,Database!$F:$AY,MATCH($H$1,Database!$F$1:$AY$1,),))))-(((VLOOKUP(EDATE(B293,-12),Database!$F:$AY,MATCH($H$1,Database!$F$1:$AY$1,),)))))/(((VLOOKUP(EDATE(B293,-12),Database!$F:$AY,MATCH($H$1,Database!$F$1:$AY$1,),))))</f>
        <v/>
      </c>
      <c r="I293" s="13">
        <f>((((VLOOKUP(B293,Database!$F:$AY,MATCH($I$1,Database!$F$1:$AY$1,),))))-(((VLOOKUP(EDATE(B293,-12),Database!$F:$AY,MATCH($I$1,Database!$F$1:$AY$1,),)))))/(((VLOOKUP(EDATE(B293,-12),Database!$F:$AY,MATCH($I$1,Database!$F$1:$AY$1,),))))</f>
        <v/>
      </c>
      <c r="J293" s="13">
        <f>((((VLOOKUP(B293,Database!$F:$AY,MATCH($J$1,Database!$F$1:$AY$1,),))))-(((VLOOKUP(EDATE(B293,-12),Database!$F:$AY,MATCH($J$1,Database!$F$1:$AY$1,),)))))/(((VLOOKUP(EDATE(B293,-12),Database!$F:$AY,MATCH($J$1,Database!$F$1:$AY$1,),))))</f>
        <v/>
      </c>
      <c r="K293" s="13">
        <f>((((VLOOKUP(B293,Database!$F:$AY,MATCH($K$1,Database!$F$1:$AY$1,),))))-(((VLOOKUP(EDATE(B293,-12),Database!$F:$AY,MATCH($K$1,Database!$F$1:$AY$1,),)))))/(((VLOOKUP(EDATE(B293,-12),Database!$F:$AY,MATCH($K$1,Database!$F$1:$AY$1,),))))</f>
        <v/>
      </c>
      <c r="L293" s="13">
        <f>((((VLOOKUP(B293,Database!$F:$AY,MATCH($L$1,Database!$F$1:$AY$1,),))))-(((VLOOKUP(EDATE(B293,-12),Database!$F:$AY,MATCH($L$1,Database!$F$1:$AY$1,),)))))/(((VLOOKUP(EDATE(B293,-12),Database!$F:$AY,MATCH($L$1,Database!$F$1:$AY$1,),))))</f>
        <v/>
      </c>
      <c r="M293" s="13">
        <f>((((VLOOKUP(B293,Database!$F:$AY,MATCH($M$1,Database!$F$1:$AY$1,),))))-(((VLOOKUP(EDATE(B293,-12),Database!$F:$AY,MATCH($M$1,Database!$F$1:$AY$1,),)))))/(((VLOOKUP(EDATE(B293,-12),Database!$F:$AY,MATCH($M$1,Database!$F$1:$AY$1,),))))</f>
        <v/>
      </c>
      <c r="N293" s="13">
        <f>((((VLOOKUP(B293,Database!$F:$AY,MATCH($N$1,Database!$F$1:$AY$1,),))))-(((VLOOKUP(EDATE(B293,-12),Database!$F:$AY,MATCH($N$1,Database!$F$1:$AY$1,),)))))/(((VLOOKUP(EDATE(B293,-12),Database!$F:$AY,MATCH($N$1,Database!$F$1:$AY$1,),))))</f>
        <v/>
      </c>
      <c r="O293" s="13">
        <f>((((VLOOKUP(B293,Database!$F:$AY,MATCH($O$1,Database!$F$1:$AY$1,),))))-(((VLOOKUP(EDATE(B293,-12),Database!$F:$AY,MATCH($O$1,Database!$F$1:$AY$1,),)))))/(((VLOOKUP(EDATE(B293,-12),Database!$F:$AY,MATCH($O$1,Database!$F$1:$AY$1,),))))</f>
        <v/>
      </c>
      <c r="P293" s="13">
        <f>((((VLOOKUP(B293,Database!$F:$AY,MATCH($P$1,Database!$F$1:$AY$1,),))))-(((VLOOKUP(EDATE(B293,-12),Database!$F:$AY,MATCH($P$1,Database!$F$1:$AY$1,),)))))/(((VLOOKUP(EDATE(B293,-12),Database!$F:$AY,MATCH($P$1,Database!$F$1:$AY$1,),))))</f>
        <v/>
      </c>
      <c r="Q293" s="13">
        <f>((((VLOOKUP(B293,Database!$F:$AY,MATCH($Q$1,Database!$F$1:$AY$1,),))))-(((VLOOKUP(EDATE(B293,-12),Database!$F:$AY,MATCH($Q$1,Database!$F$1:$AY$1,),)))))/(((VLOOKUP(EDATE(B293,-12),Database!$F:$AY,MATCH($Q$1,Database!$F$1:$AY$1,),))))</f>
        <v/>
      </c>
      <c r="R293" s="13">
        <f>((((VLOOKUP(B293,Database!$F:$AY,MATCH($R$1,Database!$F$1:$AY$1,),))))-(((VLOOKUP(EDATE(B293,-12),Database!$F:$AY,MATCH($R$1,Database!$F$1:$AY$1,),)))))/(((VLOOKUP(EDATE(B293,-12),Database!$F:$AY,MATCH($R$1,Database!$F$1:$AY$1,),))))</f>
        <v/>
      </c>
      <c r="S293" s="13">
        <f>((((VLOOKUP(B293,Database!$F:$AY,MATCH($S$1,Database!$F$1:$AY$1,),))))-(((VLOOKUP(EDATE(B293,-12),Database!$F:$AY,MATCH($S$1,Database!$F$1:$AY$1,),)))))/(((VLOOKUP(EDATE(B293,-12),Database!$F:$AY,MATCH($S$1,Database!$F$1:$AY$1,),))))</f>
        <v/>
      </c>
      <c r="T293" s="13">
        <f>((((VLOOKUP(B293,Database!$F:$AY,MATCH($T$1,Database!$F$1:$AY$1,),))))-(((VLOOKUP(EDATE(B293,-12),Database!$F:$AY,MATCH($T$1,Database!$F$1:$AY$1,),)))))/(((VLOOKUP(EDATE(B293,-12),Database!$F:$AY,MATCH($T$1,Database!$F$1:$AY$1,),))))</f>
        <v/>
      </c>
      <c r="U293" s="13">
        <f>((((VLOOKUP(B293,Database!$F:$AY,MATCH($U$1,Database!$F$1:$AY$1,),))))-(((VLOOKUP(EDATE(B293,-12),Database!$F:$AY,MATCH($U$1,Database!$F$1:$AY$1,),)))))/(((VLOOKUP(EDATE(B293,-12),Database!$F:$AY,MATCH($U$1,Database!$F$1:$AY$1,),))))</f>
        <v/>
      </c>
      <c r="V293" s="13">
        <f>((((VLOOKUP(B293,Database!$F:$AY,MATCH($V$1,Database!$F$1:$AY$1,),))))-(((VLOOKUP(EDATE(B293,-12),Database!$F:$AY,MATCH($V$1,Database!$F$1:$AY$1,),)))))/(((VLOOKUP(EDATE(B293,-12),Database!$F:$AY,MATCH($V$1,Database!$F$1:$AY$1,),))))</f>
        <v/>
      </c>
    </row>
    <row r="294" customFormat="1" s="100">
      <c r="A294" s="45" t="n"/>
      <c r="B294" s="46" t="n">
        <v>41091</v>
      </c>
      <c r="C294" s="13">
        <f>((((VLOOKUP(B294,Database!$F:$AY,MATCH($C$1,Database!$F$1:$AY$1,),))))-(((VLOOKUP(EDATE(B294,-12),Database!$F:$AY,MATCH($C$1,Database!$F$1:$AY$1,),)))))/(((VLOOKUP(EDATE(B294,-12),Database!$F:$AY,MATCH($C$1,Database!$F$1:$AY$1,),))))</f>
        <v/>
      </c>
      <c r="D294" s="13">
        <f>((((VLOOKUP(B294,Database!$F:$AY,MATCH($D$1,Database!$F$1:$AY$1,),))))-(((VLOOKUP(EDATE(B294,-12),Database!$F:$AY,MATCH($D$1,Database!$F$1:$AY$1,),)))))/(((VLOOKUP(EDATE(B294,-12),Database!$F:$AY,MATCH($D$1,Database!$F$1:$AY$1,),))))</f>
        <v/>
      </c>
      <c r="E294" s="13">
        <f>((((VLOOKUP(B294,Database!$F:$AY,MATCH($E$1,Database!$F$1:$AY$1,),))))-(((VLOOKUP(EDATE(B294,-12),Database!$F:$AY,MATCH($E$1,Database!$F$1:$AY$1,),)))))/(((VLOOKUP(EDATE(B294,-12),Database!$F:$AY,MATCH($E$1,Database!$F$1:$AY$1,),))))</f>
        <v/>
      </c>
      <c r="F294" s="13">
        <f>((((VLOOKUP(B294,Database!$F:$AY,MATCH($F$1,Database!$F$1:$AY$1,),))))-(((VLOOKUP(EDATE(B294,-12),Database!$F:$AY,MATCH($F$1,Database!$F$1:$AY$1,),)))))/(((VLOOKUP(EDATE(B294,-12),Database!$F:$AY,MATCH($F$1,Database!$F$1:$AY$1,),))))</f>
        <v/>
      </c>
      <c r="G294" s="13">
        <f>((((VLOOKUP(B294,Database!$F:$AY,MATCH($G$1,Database!$F$1:$AY$1,),))))-(((VLOOKUP(EDATE(B294,-12),Database!$F:$AY,MATCH($G$1,Database!$F$1:$AY$1,),)))))/(((VLOOKUP(EDATE(B294,-12),Database!$F:$AY,MATCH($G$1,Database!$F$1:$AY$1,),))))</f>
        <v/>
      </c>
      <c r="H294" s="13">
        <f>((((VLOOKUP(B294,Database!$F:$AY,MATCH($H$1,Database!$F$1:$AY$1,),))))-(((VLOOKUP(EDATE(B294,-12),Database!$F:$AY,MATCH($H$1,Database!$F$1:$AY$1,),)))))/(((VLOOKUP(EDATE(B294,-12),Database!$F:$AY,MATCH($H$1,Database!$F$1:$AY$1,),))))</f>
        <v/>
      </c>
      <c r="I294" s="13">
        <f>((((VLOOKUP(B294,Database!$F:$AY,MATCH($I$1,Database!$F$1:$AY$1,),))))-(((VLOOKUP(EDATE(B294,-12),Database!$F:$AY,MATCH($I$1,Database!$F$1:$AY$1,),)))))/(((VLOOKUP(EDATE(B294,-12),Database!$F:$AY,MATCH($I$1,Database!$F$1:$AY$1,),))))</f>
        <v/>
      </c>
      <c r="J294" s="13">
        <f>((((VLOOKUP(B294,Database!$F:$AY,MATCH($J$1,Database!$F$1:$AY$1,),))))-(((VLOOKUP(EDATE(B294,-12),Database!$F:$AY,MATCH($J$1,Database!$F$1:$AY$1,),)))))/(((VLOOKUP(EDATE(B294,-12),Database!$F:$AY,MATCH($J$1,Database!$F$1:$AY$1,),))))</f>
        <v/>
      </c>
      <c r="K294" s="13">
        <f>((((VLOOKUP(B294,Database!$F:$AY,MATCH($K$1,Database!$F$1:$AY$1,),))))-(((VLOOKUP(EDATE(B294,-12),Database!$F:$AY,MATCH($K$1,Database!$F$1:$AY$1,),)))))/(((VLOOKUP(EDATE(B294,-12),Database!$F:$AY,MATCH($K$1,Database!$F$1:$AY$1,),))))</f>
        <v/>
      </c>
      <c r="L294" s="13">
        <f>((((VLOOKUP(B294,Database!$F:$AY,MATCH($L$1,Database!$F$1:$AY$1,),))))-(((VLOOKUP(EDATE(B294,-12),Database!$F:$AY,MATCH($L$1,Database!$F$1:$AY$1,),)))))/(((VLOOKUP(EDATE(B294,-12),Database!$F:$AY,MATCH($L$1,Database!$F$1:$AY$1,),))))</f>
        <v/>
      </c>
      <c r="M294" s="13">
        <f>((((VLOOKUP(B294,Database!$F:$AY,MATCH($M$1,Database!$F$1:$AY$1,),))))-(((VLOOKUP(EDATE(B294,-12),Database!$F:$AY,MATCH($M$1,Database!$F$1:$AY$1,),)))))/(((VLOOKUP(EDATE(B294,-12),Database!$F:$AY,MATCH($M$1,Database!$F$1:$AY$1,),))))</f>
        <v/>
      </c>
      <c r="N294" s="13">
        <f>((((VLOOKUP(B294,Database!$F:$AY,MATCH($N$1,Database!$F$1:$AY$1,),))))-(((VLOOKUP(EDATE(B294,-12),Database!$F:$AY,MATCH($N$1,Database!$F$1:$AY$1,),)))))/(((VLOOKUP(EDATE(B294,-12),Database!$F:$AY,MATCH($N$1,Database!$F$1:$AY$1,),))))</f>
        <v/>
      </c>
      <c r="O294" s="13">
        <f>((((VLOOKUP(B294,Database!$F:$AY,MATCH($O$1,Database!$F$1:$AY$1,),))))-(((VLOOKUP(EDATE(B294,-12),Database!$F:$AY,MATCH($O$1,Database!$F$1:$AY$1,),)))))/(((VLOOKUP(EDATE(B294,-12),Database!$F:$AY,MATCH($O$1,Database!$F$1:$AY$1,),))))</f>
        <v/>
      </c>
      <c r="P294" s="13">
        <f>((((VLOOKUP(B294,Database!$F:$AY,MATCH($P$1,Database!$F$1:$AY$1,),))))-(((VLOOKUP(EDATE(B294,-12),Database!$F:$AY,MATCH($P$1,Database!$F$1:$AY$1,),)))))/(((VLOOKUP(EDATE(B294,-12),Database!$F:$AY,MATCH($P$1,Database!$F$1:$AY$1,),))))</f>
        <v/>
      </c>
      <c r="Q294" s="13">
        <f>((((VLOOKUP(B294,Database!$F:$AY,MATCH($Q$1,Database!$F$1:$AY$1,),))))-(((VLOOKUP(EDATE(B294,-12),Database!$F:$AY,MATCH($Q$1,Database!$F$1:$AY$1,),)))))/(((VLOOKUP(EDATE(B294,-12),Database!$F:$AY,MATCH($Q$1,Database!$F$1:$AY$1,),))))</f>
        <v/>
      </c>
      <c r="R294" s="13">
        <f>((((VLOOKUP(B294,Database!$F:$AY,MATCH($R$1,Database!$F$1:$AY$1,),))))-(((VLOOKUP(EDATE(B294,-12),Database!$F:$AY,MATCH($R$1,Database!$F$1:$AY$1,),)))))/(((VLOOKUP(EDATE(B294,-12),Database!$F:$AY,MATCH($R$1,Database!$F$1:$AY$1,),))))</f>
        <v/>
      </c>
      <c r="S294" s="13">
        <f>((((VLOOKUP(B294,Database!$F:$AY,MATCH($S$1,Database!$F$1:$AY$1,),))))-(((VLOOKUP(EDATE(B294,-12),Database!$F:$AY,MATCH($S$1,Database!$F$1:$AY$1,),)))))/(((VLOOKUP(EDATE(B294,-12),Database!$F:$AY,MATCH($S$1,Database!$F$1:$AY$1,),))))</f>
        <v/>
      </c>
      <c r="T294" s="13">
        <f>((((VLOOKUP(B294,Database!$F:$AY,MATCH($T$1,Database!$F$1:$AY$1,),))))-(((VLOOKUP(EDATE(B294,-12),Database!$F:$AY,MATCH($T$1,Database!$F$1:$AY$1,),)))))/(((VLOOKUP(EDATE(B294,-12),Database!$F:$AY,MATCH($T$1,Database!$F$1:$AY$1,),))))</f>
        <v/>
      </c>
      <c r="U294" s="13">
        <f>((((VLOOKUP(B294,Database!$F:$AY,MATCH($U$1,Database!$F$1:$AY$1,),))))-(((VLOOKUP(EDATE(B294,-12),Database!$F:$AY,MATCH($U$1,Database!$F$1:$AY$1,),)))))/(((VLOOKUP(EDATE(B294,-12),Database!$F:$AY,MATCH($U$1,Database!$F$1:$AY$1,),))))</f>
        <v/>
      </c>
      <c r="V294" s="13">
        <f>((((VLOOKUP(B294,Database!$F:$AY,MATCH($V$1,Database!$F$1:$AY$1,),))))-(((VLOOKUP(EDATE(B294,-12),Database!$F:$AY,MATCH($V$1,Database!$F$1:$AY$1,),)))))/(((VLOOKUP(EDATE(B294,-12),Database!$F:$AY,MATCH($V$1,Database!$F$1:$AY$1,),))))</f>
        <v/>
      </c>
    </row>
    <row r="295" customFormat="1" s="100">
      <c r="A295" s="45" t="n"/>
      <c r="B295" s="46" t="n">
        <v>41122</v>
      </c>
      <c r="C295" s="13">
        <f>((((VLOOKUP(B295,Database!$F:$AY,MATCH($C$1,Database!$F$1:$AY$1,),))))-(((VLOOKUP(EDATE(B295,-12),Database!$F:$AY,MATCH($C$1,Database!$F$1:$AY$1,),)))))/(((VLOOKUP(EDATE(B295,-12),Database!$F:$AY,MATCH($C$1,Database!$F$1:$AY$1,),))))</f>
        <v/>
      </c>
      <c r="D295" s="13">
        <f>((((VLOOKUP(B295,Database!$F:$AY,MATCH($D$1,Database!$F$1:$AY$1,),))))-(((VLOOKUP(EDATE(B295,-12),Database!$F:$AY,MATCH($D$1,Database!$F$1:$AY$1,),)))))/(((VLOOKUP(EDATE(B295,-12),Database!$F:$AY,MATCH($D$1,Database!$F$1:$AY$1,),))))</f>
        <v/>
      </c>
      <c r="E295" s="13">
        <f>((((VLOOKUP(B295,Database!$F:$AY,MATCH($E$1,Database!$F$1:$AY$1,),))))-(((VLOOKUP(EDATE(B295,-12),Database!$F:$AY,MATCH($E$1,Database!$F$1:$AY$1,),)))))/(((VLOOKUP(EDATE(B295,-12),Database!$F:$AY,MATCH($E$1,Database!$F$1:$AY$1,),))))</f>
        <v/>
      </c>
      <c r="F295" s="13">
        <f>((((VLOOKUP(B295,Database!$F:$AY,MATCH($F$1,Database!$F$1:$AY$1,),))))-(((VLOOKUP(EDATE(B295,-12),Database!$F:$AY,MATCH($F$1,Database!$F$1:$AY$1,),)))))/(((VLOOKUP(EDATE(B295,-12),Database!$F:$AY,MATCH($F$1,Database!$F$1:$AY$1,),))))</f>
        <v/>
      </c>
      <c r="G295" s="13">
        <f>((((VLOOKUP(B295,Database!$F:$AY,MATCH($G$1,Database!$F$1:$AY$1,),))))-(((VLOOKUP(EDATE(B295,-12),Database!$F:$AY,MATCH($G$1,Database!$F$1:$AY$1,),)))))/(((VLOOKUP(EDATE(B295,-12),Database!$F:$AY,MATCH($G$1,Database!$F$1:$AY$1,),))))</f>
        <v/>
      </c>
      <c r="H295" s="13">
        <f>((((VLOOKUP(B295,Database!$F:$AY,MATCH($H$1,Database!$F$1:$AY$1,),))))-(((VLOOKUP(EDATE(B295,-12),Database!$F:$AY,MATCH($H$1,Database!$F$1:$AY$1,),)))))/(((VLOOKUP(EDATE(B295,-12),Database!$F:$AY,MATCH($H$1,Database!$F$1:$AY$1,),))))</f>
        <v/>
      </c>
      <c r="I295" s="13">
        <f>((((VLOOKUP(B295,Database!$F:$AY,MATCH($I$1,Database!$F$1:$AY$1,),))))-(((VLOOKUP(EDATE(B295,-12),Database!$F:$AY,MATCH($I$1,Database!$F$1:$AY$1,),)))))/(((VLOOKUP(EDATE(B295,-12),Database!$F:$AY,MATCH($I$1,Database!$F$1:$AY$1,),))))</f>
        <v/>
      </c>
      <c r="J295" s="13">
        <f>((((VLOOKUP(B295,Database!$F:$AY,MATCH($J$1,Database!$F$1:$AY$1,),))))-(((VLOOKUP(EDATE(B295,-12),Database!$F:$AY,MATCH($J$1,Database!$F$1:$AY$1,),)))))/(((VLOOKUP(EDATE(B295,-12),Database!$F:$AY,MATCH($J$1,Database!$F$1:$AY$1,),))))</f>
        <v/>
      </c>
      <c r="K295" s="13">
        <f>((((VLOOKUP(B295,Database!$F:$AY,MATCH($K$1,Database!$F$1:$AY$1,),))))-(((VLOOKUP(EDATE(B295,-12),Database!$F:$AY,MATCH($K$1,Database!$F$1:$AY$1,),)))))/(((VLOOKUP(EDATE(B295,-12),Database!$F:$AY,MATCH($K$1,Database!$F$1:$AY$1,),))))</f>
        <v/>
      </c>
      <c r="L295" s="13">
        <f>((((VLOOKUP(B295,Database!$F:$AY,MATCH($L$1,Database!$F$1:$AY$1,),))))-(((VLOOKUP(EDATE(B295,-12),Database!$F:$AY,MATCH($L$1,Database!$F$1:$AY$1,),)))))/(((VLOOKUP(EDATE(B295,-12),Database!$F:$AY,MATCH($L$1,Database!$F$1:$AY$1,),))))</f>
        <v/>
      </c>
      <c r="M295" s="13">
        <f>((((VLOOKUP(B295,Database!$F:$AY,MATCH($M$1,Database!$F$1:$AY$1,),))))-(((VLOOKUP(EDATE(B295,-12),Database!$F:$AY,MATCH($M$1,Database!$F$1:$AY$1,),)))))/(((VLOOKUP(EDATE(B295,-12),Database!$F:$AY,MATCH($M$1,Database!$F$1:$AY$1,),))))</f>
        <v/>
      </c>
      <c r="N295" s="13">
        <f>((((VLOOKUP(B295,Database!$F:$AY,MATCH($N$1,Database!$F$1:$AY$1,),))))-(((VLOOKUP(EDATE(B295,-12),Database!$F:$AY,MATCH($N$1,Database!$F$1:$AY$1,),)))))/(((VLOOKUP(EDATE(B295,-12),Database!$F:$AY,MATCH($N$1,Database!$F$1:$AY$1,),))))</f>
        <v/>
      </c>
      <c r="O295" s="13">
        <f>((((VLOOKUP(B295,Database!$F:$AY,MATCH($O$1,Database!$F$1:$AY$1,),))))-(((VLOOKUP(EDATE(B295,-12),Database!$F:$AY,MATCH($O$1,Database!$F$1:$AY$1,),)))))/(((VLOOKUP(EDATE(B295,-12),Database!$F:$AY,MATCH($O$1,Database!$F$1:$AY$1,),))))</f>
        <v/>
      </c>
      <c r="P295" s="13">
        <f>((((VLOOKUP(B295,Database!$F:$AY,MATCH($P$1,Database!$F$1:$AY$1,),))))-(((VLOOKUP(EDATE(B295,-12),Database!$F:$AY,MATCH($P$1,Database!$F$1:$AY$1,),)))))/(((VLOOKUP(EDATE(B295,-12),Database!$F:$AY,MATCH($P$1,Database!$F$1:$AY$1,),))))</f>
        <v/>
      </c>
      <c r="Q295" s="13">
        <f>((((VLOOKUP(B295,Database!$F:$AY,MATCH($Q$1,Database!$F$1:$AY$1,),))))-(((VLOOKUP(EDATE(B295,-12),Database!$F:$AY,MATCH($Q$1,Database!$F$1:$AY$1,),)))))/(((VLOOKUP(EDATE(B295,-12),Database!$F:$AY,MATCH($Q$1,Database!$F$1:$AY$1,),))))</f>
        <v/>
      </c>
      <c r="R295" s="13">
        <f>((((VLOOKUP(B295,Database!$F:$AY,MATCH($R$1,Database!$F$1:$AY$1,),))))-(((VLOOKUP(EDATE(B295,-12),Database!$F:$AY,MATCH($R$1,Database!$F$1:$AY$1,),)))))/(((VLOOKUP(EDATE(B295,-12),Database!$F:$AY,MATCH($R$1,Database!$F$1:$AY$1,),))))</f>
        <v/>
      </c>
      <c r="S295" s="13">
        <f>((((VLOOKUP(B295,Database!$F:$AY,MATCH($S$1,Database!$F$1:$AY$1,),))))-(((VLOOKUP(EDATE(B295,-12),Database!$F:$AY,MATCH($S$1,Database!$F$1:$AY$1,),)))))/(((VLOOKUP(EDATE(B295,-12),Database!$F:$AY,MATCH($S$1,Database!$F$1:$AY$1,),))))</f>
        <v/>
      </c>
      <c r="T295" s="13">
        <f>((((VLOOKUP(B295,Database!$F:$AY,MATCH($T$1,Database!$F$1:$AY$1,),))))-(((VLOOKUP(EDATE(B295,-12),Database!$F:$AY,MATCH($T$1,Database!$F$1:$AY$1,),)))))/(((VLOOKUP(EDATE(B295,-12),Database!$F:$AY,MATCH($T$1,Database!$F$1:$AY$1,),))))</f>
        <v/>
      </c>
      <c r="U295" s="13">
        <f>((((VLOOKUP(B295,Database!$F:$AY,MATCH($U$1,Database!$F$1:$AY$1,),))))-(((VLOOKUP(EDATE(B295,-12),Database!$F:$AY,MATCH($U$1,Database!$F$1:$AY$1,),)))))/(((VLOOKUP(EDATE(B295,-12),Database!$F:$AY,MATCH($U$1,Database!$F$1:$AY$1,),))))</f>
        <v/>
      </c>
      <c r="V295" s="13">
        <f>((((VLOOKUP(B295,Database!$F:$AY,MATCH($V$1,Database!$F$1:$AY$1,),))))-(((VLOOKUP(EDATE(B295,-12),Database!$F:$AY,MATCH($V$1,Database!$F$1:$AY$1,),)))))/(((VLOOKUP(EDATE(B295,-12),Database!$F:$AY,MATCH($V$1,Database!$F$1:$AY$1,),))))</f>
        <v/>
      </c>
    </row>
    <row r="296" customFormat="1" s="100">
      <c r="A296" s="45" t="n"/>
      <c r="B296" s="46" t="n">
        <v>41153</v>
      </c>
      <c r="C296" s="13">
        <f>((((VLOOKUP(B296,Database!$F:$AY,MATCH($C$1,Database!$F$1:$AY$1,),))))-(((VLOOKUP(EDATE(B296,-12),Database!$F:$AY,MATCH($C$1,Database!$F$1:$AY$1,),)))))/(((VLOOKUP(EDATE(B296,-12),Database!$F:$AY,MATCH($C$1,Database!$F$1:$AY$1,),))))</f>
        <v/>
      </c>
      <c r="D296" s="13">
        <f>((((VLOOKUP(B296,Database!$F:$AY,MATCH($D$1,Database!$F$1:$AY$1,),))))-(((VLOOKUP(EDATE(B296,-12),Database!$F:$AY,MATCH($D$1,Database!$F$1:$AY$1,),)))))/(((VLOOKUP(EDATE(B296,-12),Database!$F:$AY,MATCH($D$1,Database!$F$1:$AY$1,),))))</f>
        <v/>
      </c>
      <c r="E296" s="13">
        <f>((((VLOOKUP(B296,Database!$F:$AY,MATCH($E$1,Database!$F$1:$AY$1,),))))-(((VLOOKUP(EDATE(B296,-12),Database!$F:$AY,MATCH($E$1,Database!$F$1:$AY$1,),)))))/(((VLOOKUP(EDATE(B296,-12),Database!$F:$AY,MATCH($E$1,Database!$F$1:$AY$1,),))))</f>
        <v/>
      </c>
      <c r="F296" s="13">
        <f>((((VLOOKUP(B296,Database!$F:$AY,MATCH($F$1,Database!$F$1:$AY$1,),))))-(((VLOOKUP(EDATE(B296,-12),Database!$F:$AY,MATCH($F$1,Database!$F$1:$AY$1,),)))))/(((VLOOKUP(EDATE(B296,-12),Database!$F:$AY,MATCH($F$1,Database!$F$1:$AY$1,),))))</f>
        <v/>
      </c>
      <c r="G296" s="13">
        <f>((((VLOOKUP(B296,Database!$F:$AY,MATCH($G$1,Database!$F$1:$AY$1,),))))-(((VLOOKUP(EDATE(B296,-12),Database!$F:$AY,MATCH($G$1,Database!$F$1:$AY$1,),)))))/(((VLOOKUP(EDATE(B296,-12),Database!$F:$AY,MATCH($G$1,Database!$F$1:$AY$1,),))))</f>
        <v/>
      </c>
      <c r="H296" s="13">
        <f>((((VLOOKUP(B296,Database!$F:$AY,MATCH($H$1,Database!$F$1:$AY$1,),))))-(((VLOOKUP(EDATE(B296,-12),Database!$F:$AY,MATCH($H$1,Database!$F$1:$AY$1,),)))))/(((VLOOKUP(EDATE(B296,-12),Database!$F:$AY,MATCH($H$1,Database!$F$1:$AY$1,),))))</f>
        <v/>
      </c>
      <c r="I296" s="13">
        <f>((((VLOOKUP(B296,Database!$F:$AY,MATCH($I$1,Database!$F$1:$AY$1,),))))-(((VLOOKUP(EDATE(B296,-12),Database!$F:$AY,MATCH($I$1,Database!$F$1:$AY$1,),)))))/(((VLOOKUP(EDATE(B296,-12),Database!$F:$AY,MATCH($I$1,Database!$F$1:$AY$1,),))))</f>
        <v/>
      </c>
      <c r="J296" s="13">
        <f>((((VLOOKUP(B296,Database!$F:$AY,MATCH($J$1,Database!$F$1:$AY$1,),))))-(((VLOOKUP(EDATE(B296,-12),Database!$F:$AY,MATCH($J$1,Database!$F$1:$AY$1,),)))))/(((VLOOKUP(EDATE(B296,-12),Database!$F:$AY,MATCH($J$1,Database!$F$1:$AY$1,),))))</f>
        <v/>
      </c>
      <c r="K296" s="13">
        <f>((((VLOOKUP(B296,Database!$F:$AY,MATCH($K$1,Database!$F$1:$AY$1,),))))-(((VLOOKUP(EDATE(B296,-12),Database!$F:$AY,MATCH($K$1,Database!$F$1:$AY$1,),)))))/(((VLOOKUP(EDATE(B296,-12),Database!$F:$AY,MATCH($K$1,Database!$F$1:$AY$1,),))))</f>
        <v/>
      </c>
      <c r="L296" s="13">
        <f>((((VLOOKUP(B296,Database!$F:$AY,MATCH($L$1,Database!$F$1:$AY$1,),))))-(((VLOOKUP(EDATE(B296,-12),Database!$F:$AY,MATCH($L$1,Database!$F$1:$AY$1,),)))))/(((VLOOKUP(EDATE(B296,-12),Database!$F:$AY,MATCH($L$1,Database!$F$1:$AY$1,),))))</f>
        <v/>
      </c>
      <c r="M296" s="13">
        <f>((((VLOOKUP(B296,Database!$F:$AY,MATCH($M$1,Database!$F$1:$AY$1,),))))-(((VLOOKUP(EDATE(B296,-12),Database!$F:$AY,MATCH($M$1,Database!$F$1:$AY$1,),)))))/(((VLOOKUP(EDATE(B296,-12),Database!$F:$AY,MATCH($M$1,Database!$F$1:$AY$1,),))))</f>
        <v/>
      </c>
      <c r="N296" s="13">
        <f>((((VLOOKUP(B296,Database!$F:$AY,MATCH($N$1,Database!$F$1:$AY$1,),))))-(((VLOOKUP(EDATE(B296,-12),Database!$F:$AY,MATCH($N$1,Database!$F$1:$AY$1,),)))))/(((VLOOKUP(EDATE(B296,-12),Database!$F:$AY,MATCH($N$1,Database!$F$1:$AY$1,),))))</f>
        <v/>
      </c>
      <c r="O296" s="13">
        <f>((((VLOOKUP(B296,Database!$F:$AY,MATCH($O$1,Database!$F$1:$AY$1,),))))-(((VLOOKUP(EDATE(B296,-12),Database!$F:$AY,MATCH($O$1,Database!$F$1:$AY$1,),)))))/(((VLOOKUP(EDATE(B296,-12),Database!$F:$AY,MATCH($O$1,Database!$F$1:$AY$1,),))))</f>
        <v/>
      </c>
      <c r="P296" s="13">
        <f>((((VLOOKUP(B296,Database!$F:$AY,MATCH($P$1,Database!$F$1:$AY$1,),))))-(((VLOOKUP(EDATE(B296,-12),Database!$F:$AY,MATCH($P$1,Database!$F$1:$AY$1,),)))))/(((VLOOKUP(EDATE(B296,-12),Database!$F:$AY,MATCH($P$1,Database!$F$1:$AY$1,),))))</f>
        <v/>
      </c>
      <c r="Q296" s="13">
        <f>((((VLOOKUP(B296,Database!$F:$AY,MATCH($Q$1,Database!$F$1:$AY$1,),))))-(((VLOOKUP(EDATE(B296,-12),Database!$F:$AY,MATCH($Q$1,Database!$F$1:$AY$1,),)))))/(((VLOOKUP(EDATE(B296,-12),Database!$F:$AY,MATCH($Q$1,Database!$F$1:$AY$1,),))))</f>
        <v/>
      </c>
      <c r="R296" s="13">
        <f>((((VLOOKUP(B296,Database!$F:$AY,MATCH($R$1,Database!$F$1:$AY$1,),))))-(((VLOOKUP(EDATE(B296,-12),Database!$F:$AY,MATCH($R$1,Database!$F$1:$AY$1,),)))))/(((VLOOKUP(EDATE(B296,-12),Database!$F:$AY,MATCH($R$1,Database!$F$1:$AY$1,),))))</f>
        <v/>
      </c>
      <c r="S296" s="13">
        <f>((((VLOOKUP(B296,Database!$F:$AY,MATCH($S$1,Database!$F$1:$AY$1,),))))-(((VLOOKUP(EDATE(B296,-12),Database!$F:$AY,MATCH($S$1,Database!$F$1:$AY$1,),)))))/(((VLOOKUP(EDATE(B296,-12),Database!$F:$AY,MATCH($S$1,Database!$F$1:$AY$1,),))))</f>
        <v/>
      </c>
      <c r="T296" s="13">
        <f>((((VLOOKUP(B296,Database!$F:$AY,MATCH($T$1,Database!$F$1:$AY$1,),))))-(((VLOOKUP(EDATE(B296,-12),Database!$F:$AY,MATCH($T$1,Database!$F$1:$AY$1,),)))))/(((VLOOKUP(EDATE(B296,-12),Database!$F:$AY,MATCH($T$1,Database!$F$1:$AY$1,),))))</f>
        <v/>
      </c>
      <c r="U296" s="13">
        <f>((((VLOOKUP(B296,Database!$F:$AY,MATCH($U$1,Database!$F$1:$AY$1,),))))-(((VLOOKUP(EDATE(B296,-12),Database!$F:$AY,MATCH($U$1,Database!$F$1:$AY$1,),)))))/(((VLOOKUP(EDATE(B296,-12),Database!$F:$AY,MATCH($U$1,Database!$F$1:$AY$1,),))))</f>
        <v/>
      </c>
      <c r="V296" s="13">
        <f>((((VLOOKUP(B296,Database!$F:$AY,MATCH($V$1,Database!$F$1:$AY$1,),))))-(((VLOOKUP(EDATE(B296,-12),Database!$F:$AY,MATCH($V$1,Database!$F$1:$AY$1,),)))))/(((VLOOKUP(EDATE(B296,-12),Database!$F:$AY,MATCH($V$1,Database!$F$1:$AY$1,),))))</f>
        <v/>
      </c>
    </row>
    <row r="297" customFormat="1" s="100">
      <c r="A297" s="45" t="n"/>
      <c r="B297" s="46" t="n">
        <v>41183</v>
      </c>
      <c r="C297" s="13">
        <f>((((VLOOKUP(B297,Database!$F:$AY,MATCH($C$1,Database!$F$1:$AY$1,),))))-(((VLOOKUP(EDATE(B297,-12),Database!$F:$AY,MATCH($C$1,Database!$F$1:$AY$1,),)))))/(((VLOOKUP(EDATE(B297,-12),Database!$F:$AY,MATCH($C$1,Database!$F$1:$AY$1,),))))</f>
        <v/>
      </c>
      <c r="D297" s="13">
        <f>((((VLOOKUP(B297,Database!$F:$AY,MATCH($D$1,Database!$F$1:$AY$1,),))))-(((VLOOKUP(EDATE(B297,-12),Database!$F:$AY,MATCH($D$1,Database!$F$1:$AY$1,),)))))/(((VLOOKUP(EDATE(B297,-12),Database!$F:$AY,MATCH($D$1,Database!$F$1:$AY$1,),))))</f>
        <v/>
      </c>
      <c r="E297" s="13">
        <f>((((VLOOKUP(B297,Database!$F:$AY,MATCH($E$1,Database!$F$1:$AY$1,),))))-(((VLOOKUP(EDATE(B297,-12),Database!$F:$AY,MATCH($E$1,Database!$F$1:$AY$1,),)))))/(((VLOOKUP(EDATE(B297,-12),Database!$F:$AY,MATCH($E$1,Database!$F$1:$AY$1,),))))</f>
        <v/>
      </c>
      <c r="F297" s="13">
        <f>((((VLOOKUP(B297,Database!$F:$AY,MATCH($F$1,Database!$F$1:$AY$1,),))))-(((VLOOKUP(EDATE(B297,-12),Database!$F:$AY,MATCH($F$1,Database!$F$1:$AY$1,),)))))/(((VLOOKUP(EDATE(B297,-12),Database!$F:$AY,MATCH($F$1,Database!$F$1:$AY$1,),))))</f>
        <v/>
      </c>
      <c r="G297" s="13">
        <f>((((VLOOKUP(B297,Database!$F:$AY,MATCH($G$1,Database!$F$1:$AY$1,),))))-(((VLOOKUP(EDATE(B297,-12),Database!$F:$AY,MATCH($G$1,Database!$F$1:$AY$1,),)))))/(((VLOOKUP(EDATE(B297,-12),Database!$F:$AY,MATCH($G$1,Database!$F$1:$AY$1,),))))</f>
        <v/>
      </c>
      <c r="H297" s="13">
        <f>((((VLOOKUP(B297,Database!$F:$AY,MATCH($H$1,Database!$F$1:$AY$1,),))))-(((VLOOKUP(EDATE(B297,-12),Database!$F:$AY,MATCH($H$1,Database!$F$1:$AY$1,),)))))/(((VLOOKUP(EDATE(B297,-12),Database!$F:$AY,MATCH($H$1,Database!$F$1:$AY$1,),))))</f>
        <v/>
      </c>
      <c r="I297" s="13">
        <f>((((VLOOKUP(B297,Database!$F:$AY,MATCH($I$1,Database!$F$1:$AY$1,),))))-(((VLOOKUP(EDATE(B297,-12),Database!$F:$AY,MATCH($I$1,Database!$F$1:$AY$1,),)))))/(((VLOOKUP(EDATE(B297,-12),Database!$F:$AY,MATCH($I$1,Database!$F$1:$AY$1,),))))</f>
        <v/>
      </c>
      <c r="J297" s="13">
        <f>((((VLOOKUP(B297,Database!$F:$AY,MATCH($J$1,Database!$F$1:$AY$1,),))))-(((VLOOKUP(EDATE(B297,-12),Database!$F:$AY,MATCH($J$1,Database!$F$1:$AY$1,),)))))/(((VLOOKUP(EDATE(B297,-12),Database!$F:$AY,MATCH($J$1,Database!$F$1:$AY$1,),))))</f>
        <v/>
      </c>
      <c r="K297" s="13">
        <f>((((VLOOKUP(B297,Database!$F:$AY,MATCH($K$1,Database!$F$1:$AY$1,),))))-(((VLOOKUP(EDATE(B297,-12),Database!$F:$AY,MATCH($K$1,Database!$F$1:$AY$1,),)))))/(((VLOOKUP(EDATE(B297,-12),Database!$F:$AY,MATCH($K$1,Database!$F$1:$AY$1,),))))</f>
        <v/>
      </c>
      <c r="L297" s="13">
        <f>((((VLOOKUP(B297,Database!$F:$AY,MATCH($L$1,Database!$F$1:$AY$1,),))))-(((VLOOKUP(EDATE(B297,-12),Database!$F:$AY,MATCH($L$1,Database!$F$1:$AY$1,),)))))/(((VLOOKUP(EDATE(B297,-12),Database!$F:$AY,MATCH($L$1,Database!$F$1:$AY$1,),))))</f>
        <v/>
      </c>
      <c r="M297" s="13">
        <f>((((VLOOKUP(B297,Database!$F:$AY,MATCH($M$1,Database!$F$1:$AY$1,),))))-(((VLOOKUP(EDATE(B297,-12),Database!$F:$AY,MATCH($M$1,Database!$F$1:$AY$1,),)))))/(((VLOOKUP(EDATE(B297,-12),Database!$F:$AY,MATCH($M$1,Database!$F$1:$AY$1,),))))</f>
        <v/>
      </c>
      <c r="N297" s="13">
        <f>((((VLOOKUP(B297,Database!$F:$AY,MATCH($N$1,Database!$F$1:$AY$1,),))))-(((VLOOKUP(EDATE(B297,-12),Database!$F:$AY,MATCH($N$1,Database!$F$1:$AY$1,),)))))/(((VLOOKUP(EDATE(B297,-12),Database!$F:$AY,MATCH($N$1,Database!$F$1:$AY$1,),))))</f>
        <v/>
      </c>
      <c r="O297" s="13">
        <f>((((VLOOKUP(B297,Database!$F:$AY,MATCH($O$1,Database!$F$1:$AY$1,),))))-(((VLOOKUP(EDATE(B297,-12),Database!$F:$AY,MATCH($O$1,Database!$F$1:$AY$1,),)))))/(((VLOOKUP(EDATE(B297,-12),Database!$F:$AY,MATCH($O$1,Database!$F$1:$AY$1,),))))</f>
        <v/>
      </c>
      <c r="P297" s="13">
        <f>((((VLOOKUP(B297,Database!$F:$AY,MATCH($P$1,Database!$F$1:$AY$1,),))))-(((VLOOKUP(EDATE(B297,-12),Database!$F:$AY,MATCH($P$1,Database!$F$1:$AY$1,),)))))/(((VLOOKUP(EDATE(B297,-12),Database!$F:$AY,MATCH($P$1,Database!$F$1:$AY$1,),))))</f>
        <v/>
      </c>
      <c r="Q297" s="13">
        <f>((((VLOOKUP(B297,Database!$F:$AY,MATCH($Q$1,Database!$F$1:$AY$1,),))))-(((VLOOKUP(EDATE(B297,-12),Database!$F:$AY,MATCH($Q$1,Database!$F$1:$AY$1,),)))))/(((VLOOKUP(EDATE(B297,-12),Database!$F:$AY,MATCH($Q$1,Database!$F$1:$AY$1,),))))</f>
        <v/>
      </c>
      <c r="R297" s="13">
        <f>((((VLOOKUP(B297,Database!$F:$AY,MATCH($R$1,Database!$F$1:$AY$1,),))))-(((VLOOKUP(EDATE(B297,-12),Database!$F:$AY,MATCH($R$1,Database!$F$1:$AY$1,),)))))/(((VLOOKUP(EDATE(B297,-12),Database!$F:$AY,MATCH($R$1,Database!$F$1:$AY$1,),))))</f>
        <v/>
      </c>
      <c r="S297" s="13">
        <f>((((VLOOKUP(B297,Database!$F:$AY,MATCH($S$1,Database!$F$1:$AY$1,),))))-(((VLOOKUP(EDATE(B297,-12),Database!$F:$AY,MATCH($S$1,Database!$F$1:$AY$1,),)))))/(((VLOOKUP(EDATE(B297,-12),Database!$F:$AY,MATCH($S$1,Database!$F$1:$AY$1,),))))</f>
        <v/>
      </c>
      <c r="T297" s="13">
        <f>((((VLOOKUP(B297,Database!$F:$AY,MATCH($T$1,Database!$F$1:$AY$1,),))))-(((VLOOKUP(EDATE(B297,-12),Database!$F:$AY,MATCH($T$1,Database!$F$1:$AY$1,),)))))/(((VLOOKUP(EDATE(B297,-12),Database!$F:$AY,MATCH($T$1,Database!$F$1:$AY$1,),))))</f>
        <v/>
      </c>
      <c r="U297" s="13">
        <f>((((VLOOKUP(B297,Database!$F:$AY,MATCH($U$1,Database!$F$1:$AY$1,),))))-(((VLOOKUP(EDATE(B297,-12),Database!$F:$AY,MATCH($U$1,Database!$F$1:$AY$1,),)))))/(((VLOOKUP(EDATE(B297,-12),Database!$F:$AY,MATCH($U$1,Database!$F$1:$AY$1,),))))</f>
        <v/>
      </c>
      <c r="V297" s="13">
        <f>((((VLOOKUP(B297,Database!$F:$AY,MATCH($V$1,Database!$F$1:$AY$1,),))))-(((VLOOKUP(EDATE(B297,-12),Database!$F:$AY,MATCH($V$1,Database!$F$1:$AY$1,),)))))/(((VLOOKUP(EDATE(B297,-12),Database!$F:$AY,MATCH($V$1,Database!$F$1:$AY$1,),))))</f>
        <v/>
      </c>
    </row>
    <row r="298" customFormat="1" s="100">
      <c r="A298" s="45" t="n"/>
      <c r="B298" s="46" t="n">
        <v>41214</v>
      </c>
      <c r="C298" s="13">
        <f>((((VLOOKUP(B298,Database!$F:$AY,MATCH($C$1,Database!$F$1:$AY$1,),))))-(((VLOOKUP(EDATE(B298,-12),Database!$F:$AY,MATCH($C$1,Database!$F$1:$AY$1,),)))))/(((VLOOKUP(EDATE(B298,-12),Database!$F:$AY,MATCH($C$1,Database!$F$1:$AY$1,),))))</f>
        <v/>
      </c>
      <c r="D298" s="13">
        <f>((((VLOOKUP(B298,Database!$F:$AY,MATCH($D$1,Database!$F$1:$AY$1,),))))-(((VLOOKUP(EDATE(B298,-12),Database!$F:$AY,MATCH($D$1,Database!$F$1:$AY$1,),)))))/(((VLOOKUP(EDATE(B298,-12),Database!$F:$AY,MATCH($D$1,Database!$F$1:$AY$1,),))))</f>
        <v/>
      </c>
      <c r="E298" s="13">
        <f>((((VLOOKUP(B298,Database!$F:$AY,MATCH($E$1,Database!$F$1:$AY$1,),))))-(((VLOOKUP(EDATE(B298,-12),Database!$F:$AY,MATCH($E$1,Database!$F$1:$AY$1,),)))))/(((VLOOKUP(EDATE(B298,-12),Database!$F:$AY,MATCH($E$1,Database!$F$1:$AY$1,),))))</f>
        <v/>
      </c>
      <c r="F298" s="13">
        <f>((((VLOOKUP(B298,Database!$F:$AY,MATCH($F$1,Database!$F$1:$AY$1,),))))-(((VLOOKUP(EDATE(B298,-12),Database!$F:$AY,MATCH($F$1,Database!$F$1:$AY$1,),)))))/(((VLOOKUP(EDATE(B298,-12),Database!$F:$AY,MATCH($F$1,Database!$F$1:$AY$1,),))))</f>
        <v/>
      </c>
      <c r="G298" s="13">
        <f>((((VLOOKUP(B298,Database!$F:$AY,MATCH($G$1,Database!$F$1:$AY$1,),))))-(((VLOOKUP(EDATE(B298,-12),Database!$F:$AY,MATCH($G$1,Database!$F$1:$AY$1,),)))))/(((VLOOKUP(EDATE(B298,-12),Database!$F:$AY,MATCH($G$1,Database!$F$1:$AY$1,),))))</f>
        <v/>
      </c>
      <c r="H298" s="13">
        <f>((((VLOOKUP(B298,Database!$F:$AY,MATCH($H$1,Database!$F$1:$AY$1,),))))-(((VLOOKUP(EDATE(B298,-12),Database!$F:$AY,MATCH($H$1,Database!$F$1:$AY$1,),)))))/(((VLOOKUP(EDATE(B298,-12),Database!$F:$AY,MATCH($H$1,Database!$F$1:$AY$1,),))))</f>
        <v/>
      </c>
      <c r="I298" s="13">
        <f>((((VLOOKUP(B298,Database!$F:$AY,MATCH($I$1,Database!$F$1:$AY$1,),))))-(((VLOOKUP(EDATE(B298,-12),Database!$F:$AY,MATCH($I$1,Database!$F$1:$AY$1,),)))))/(((VLOOKUP(EDATE(B298,-12),Database!$F:$AY,MATCH($I$1,Database!$F$1:$AY$1,),))))</f>
        <v/>
      </c>
      <c r="J298" s="13">
        <f>((((VLOOKUP(B298,Database!$F:$AY,MATCH($J$1,Database!$F$1:$AY$1,),))))-(((VLOOKUP(EDATE(B298,-12),Database!$F:$AY,MATCH($J$1,Database!$F$1:$AY$1,),)))))/(((VLOOKUP(EDATE(B298,-12),Database!$F:$AY,MATCH($J$1,Database!$F$1:$AY$1,),))))</f>
        <v/>
      </c>
      <c r="K298" s="13">
        <f>((((VLOOKUP(B298,Database!$F:$AY,MATCH($K$1,Database!$F$1:$AY$1,),))))-(((VLOOKUP(EDATE(B298,-12),Database!$F:$AY,MATCH($K$1,Database!$F$1:$AY$1,),)))))/(((VLOOKUP(EDATE(B298,-12),Database!$F:$AY,MATCH($K$1,Database!$F$1:$AY$1,),))))</f>
        <v/>
      </c>
      <c r="L298" s="13">
        <f>((((VLOOKUP(B298,Database!$F:$AY,MATCH($L$1,Database!$F$1:$AY$1,),))))-(((VLOOKUP(EDATE(B298,-12),Database!$F:$AY,MATCH($L$1,Database!$F$1:$AY$1,),)))))/(((VLOOKUP(EDATE(B298,-12),Database!$F:$AY,MATCH($L$1,Database!$F$1:$AY$1,),))))</f>
        <v/>
      </c>
      <c r="M298" s="13">
        <f>((((VLOOKUP(B298,Database!$F:$AY,MATCH($M$1,Database!$F$1:$AY$1,),))))-(((VLOOKUP(EDATE(B298,-12),Database!$F:$AY,MATCH($M$1,Database!$F$1:$AY$1,),)))))/(((VLOOKUP(EDATE(B298,-12),Database!$F:$AY,MATCH($M$1,Database!$F$1:$AY$1,),))))</f>
        <v/>
      </c>
      <c r="N298" s="13">
        <f>((((VLOOKUP(B298,Database!$F:$AY,MATCH($N$1,Database!$F$1:$AY$1,),))))-(((VLOOKUP(EDATE(B298,-12),Database!$F:$AY,MATCH($N$1,Database!$F$1:$AY$1,),)))))/(((VLOOKUP(EDATE(B298,-12),Database!$F:$AY,MATCH($N$1,Database!$F$1:$AY$1,),))))</f>
        <v/>
      </c>
      <c r="O298" s="13">
        <f>((((VLOOKUP(B298,Database!$F:$AY,MATCH($O$1,Database!$F$1:$AY$1,),))))-(((VLOOKUP(EDATE(B298,-12),Database!$F:$AY,MATCH($O$1,Database!$F$1:$AY$1,),)))))/(((VLOOKUP(EDATE(B298,-12),Database!$F:$AY,MATCH($O$1,Database!$F$1:$AY$1,),))))</f>
        <v/>
      </c>
      <c r="P298" s="13">
        <f>((((VLOOKUP(B298,Database!$F:$AY,MATCH($P$1,Database!$F$1:$AY$1,),))))-(((VLOOKUP(EDATE(B298,-12),Database!$F:$AY,MATCH($P$1,Database!$F$1:$AY$1,),)))))/(((VLOOKUP(EDATE(B298,-12),Database!$F:$AY,MATCH($P$1,Database!$F$1:$AY$1,),))))</f>
        <v/>
      </c>
      <c r="Q298" s="13">
        <f>((((VLOOKUP(B298,Database!$F:$AY,MATCH($Q$1,Database!$F$1:$AY$1,),))))-(((VLOOKUP(EDATE(B298,-12),Database!$F:$AY,MATCH($Q$1,Database!$F$1:$AY$1,),)))))/(((VLOOKUP(EDATE(B298,-12),Database!$F:$AY,MATCH($Q$1,Database!$F$1:$AY$1,),))))</f>
        <v/>
      </c>
      <c r="R298" s="13">
        <f>((((VLOOKUP(B298,Database!$F:$AY,MATCH($R$1,Database!$F$1:$AY$1,),))))-(((VLOOKUP(EDATE(B298,-12),Database!$F:$AY,MATCH($R$1,Database!$F$1:$AY$1,),)))))/(((VLOOKUP(EDATE(B298,-12),Database!$F:$AY,MATCH($R$1,Database!$F$1:$AY$1,),))))</f>
        <v/>
      </c>
      <c r="S298" s="13">
        <f>((((VLOOKUP(B298,Database!$F:$AY,MATCH($S$1,Database!$F$1:$AY$1,),))))-(((VLOOKUP(EDATE(B298,-12),Database!$F:$AY,MATCH($S$1,Database!$F$1:$AY$1,),)))))/(((VLOOKUP(EDATE(B298,-12),Database!$F:$AY,MATCH($S$1,Database!$F$1:$AY$1,),))))</f>
        <v/>
      </c>
      <c r="T298" s="13">
        <f>((((VLOOKUP(B298,Database!$F:$AY,MATCH($T$1,Database!$F$1:$AY$1,),))))-(((VLOOKUP(EDATE(B298,-12),Database!$F:$AY,MATCH($T$1,Database!$F$1:$AY$1,),)))))/(((VLOOKUP(EDATE(B298,-12),Database!$F:$AY,MATCH($T$1,Database!$F$1:$AY$1,),))))</f>
        <v/>
      </c>
      <c r="U298" s="13">
        <f>((((VLOOKUP(B298,Database!$F:$AY,MATCH($U$1,Database!$F$1:$AY$1,),))))-(((VLOOKUP(EDATE(B298,-12),Database!$F:$AY,MATCH($U$1,Database!$F$1:$AY$1,),)))))/(((VLOOKUP(EDATE(B298,-12),Database!$F:$AY,MATCH($U$1,Database!$F$1:$AY$1,),))))</f>
        <v/>
      </c>
      <c r="V298" s="13">
        <f>((((VLOOKUP(B298,Database!$F:$AY,MATCH($V$1,Database!$F$1:$AY$1,),))))-(((VLOOKUP(EDATE(B298,-12),Database!$F:$AY,MATCH($V$1,Database!$F$1:$AY$1,),)))))/(((VLOOKUP(EDATE(B298,-12),Database!$F:$AY,MATCH($V$1,Database!$F$1:$AY$1,),))))</f>
        <v/>
      </c>
    </row>
    <row r="299" customFormat="1" s="100">
      <c r="A299" s="45" t="n"/>
      <c r="B299" s="46" t="n">
        <v>41244</v>
      </c>
      <c r="C299" s="13">
        <f>((((VLOOKUP(B299,Database!$F:$AY,MATCH($C$1,Database!$F$1:$AY$1,),))))-(((VLOOKUP(EDATE(B299,-12),Database!$F:$AY,MATCH($C$1,Database!$F$1:$AY$1,),)))))/(((VLOOKUP(EDATE(B299,-12),Database!$F:$AY,MATCH($C$1,Database!$F$1:$AY$1,),))))</f>
        <v/>
      </c>
      <c r="D299" s="13">
        <f>((((VLOOKUP(B299,Database!$F:$AY,MATCH($D$1,Database!$F$1:$AY$1,),))))-(((VLOOKUP(EDATE(B299,-12),Database!$F:$AY,MATCH($D$1,Database!$F$1:$AY$1,),)))))/(((VLOOKUP(EDATE(B299,-12),Database!$F:$AY,MATCH($D$1,Database!$F$1:$AY$1,),))))</f>
        <v/>
      </c>
      <c r="E299" s="13">
        <f>((((VLOOKUP(B299,Database!$F:$AY,MATCH($E$1,Database!$F$1:$AY$1,),))))-(((VLOOKUP(EDATE(B299,-12),Database!$F:$AY,MATCH($E$1,Database!$F$1:$AY$1,),)))))/(((VLOOKUP(EDATE(B299,-12),Database!$F:$AY,MATCH($E$1,Database!$F$1:$AY$1,),))))</f>
        <v/>
      </c>
      <c r="F299" s="13">
        <f>((((VLOOKUP(B299,Database!$F:$AY,MATCH($F$1,Database!$F$1:$AY$1,),))))-(((VLOOKUP(EDATE(B299,-12),Database!$F:$AY,MATCH($F$1,Database!$F$1:$AY$1,),)))))/(((VLOOKUP(EDATE(B299,-12),Database!$F:$AY,MATCH($F$1,Database!$F$1:$AY$1,),))))</f>
        <v/>
      </c>
      <c r="G299" s="13">
        <f>((((VLOOKUP(B299,Database!$F:$AY,MATCH($G$1,Database!$F$1:$AY$1,),))))-(((VLOOKUP(EDATE(B299,-12),Database!$F:$AY,MATCH($G$1,Database!$F$1:$AY$1,),)))))/(((VLOOKUP(EDATE(B299,-12),Database!$F:$AY,MATCH($G$1,Database!$F$1:$AY$1,),))))</f>
        <v/>
      </c>
      <c r="H299" s="13">
        <f>((((VLOOKUP(B299,Database!$F:$AY,MATCH($H$1,Database!$F$1:$AY$1,),))))-(((VLOOKUP(EDATE(B299,-12),Database!$F:$AY,MATCH($H$1,Database!$F$1:$AY$1,),)))))/(((VLOOKUP(EDATE(B299,-12),Database!$F:$AY,MATCH($H$1,Database!$F$1:$AY$1,),))))</f>
        <v/>
      </c>
      <c r="I299" s="13">
        <f>((((VLOOKUP(B299,Database!$F:$AY,MATCH($I$1,Database!$F$1:$AY$1,),))))-(((VLOOKUP(EDATE(B299,-12),Database!$F:$AY,MATCH($I$1,Database!$F$1:$AY$1,),)))))/(((VLOOKUP(EDATE(B299,-12),Database!$F:$AY,MATCH($I$1,Database!$F$1:$AY$1,),))))</f>
        <v/>
      </c>
      <c r="J299" s="13">
        <f>((((VLOOKUP(B299,Database!$F:$AY,MATCH($J$1,Database!$F$1:$AY$1,),))))-(((VLOOKUP(EDATE(B299,-12),Database!$F:$AY,MATCH($J$1,Database!$F$1:$AY$1,),)))))/(((VLOOKUP(EDATE(B299,-12),Database!$F:$AY,MATCH($J$1,Database!$F$1:$AY$1,),))))</f>
        <v/>
      </c>
      <c r="K299" s="13">
        <f>((((VLOOKUP(B299,Database!$F:$AY,MATCH($K$1,Database!$F$1:$AY$1,),))))-(((VLOOKUP(EDATE(B299,-12),Database!$F:$AY,MATCH($K$1,Database!$F$1:$AY$1,),)))))/(((VLOOKUP(EDATE(B299,-12),Database!$F:$AY,MATCH($K$1,Database!$F$1:$AY$1,),))))</f>
        <v/>
      </c>
      <c r="L299" s="13">
        <f>((((VLOOKUP(B299,Database!$F:$AY,MATCH($L$1,Database!$F$1:$AY$1,),))))-(((VLOOKUP(EDATE(B299,-12),Database!$F:$AY,MATCH($L$1,Database!$F$1:$AY$1,),)))))/(((VLOOKUP(EDATE(B299,-12),Database!$F:$AY,MATCH($L$1,Database!$F$1:$AY$1,),))))</f>
        <v/>
      </c>
      <c r="M299" s="13">
        <f>((((VLOOKUP(B299,Database!$F:$AY,MATCH($M$1,Database!$F$1:$AY$1,),))))-(((VLOOKUP(EDATE(B299,-12),Database!$F:$AY,MATCH($M$1,Database!$F$1:$AY$1,),)))))/(((VLOOKUP(EDATE(B299,-12),Database!$F:$AY,MATCH($M$1,Database!$F$1:$AY$1,),))))</f>
        <v/>
      </c>
      <c r="N299" s="13">
        <f>((((VLOOKUP(B299,Database!$F:$AY,MATCH($N$1,Database!$F$1:$AY$1,),))))-(((VLOOKUP(EDATE(B299,-12),Database!$F:$AY,MATCH($N$1,Database!$F$1:$AY$1,),)))))/(((VLOOKUP(EDATE(B299,-12),Database!$F:$AY,MATCH($N$1,Database!$F$1:$AY$1,),))))</f>
        <v/>
      </c>
      <c r="O299" s="13">
        <f>((((VLOOKUP(B299,Database!$F:$AY,MATCH($O$1,Database!$F$1:$AY$1,),))))-(((VLOOKUP(EDATE(B299,-12),Database!$F:$AY,MATCH($O$1,Database!$F$1:$AY$1,),)))))/(((VLOOKUP(EDATE(B299,-12),Database!$F:$AY,MATCH($O$1,Database!$F$1:$AY$1,),))))</f>
        <v/>
      </c>
      <c r="P299" s="13">
        <f>((((VLOOKUP(B299,Database!$F:$AY,MATCH($P$1,Database!$F$1:$AY$1,),))))-(((VLOOKUP(EDATE(B299,-12),Database!$F:$AY,MATCH($P$1,Database!$F$1:$AY$1,),)))))/(((VLOOKUP(EDATE(B299,-12),Database!$F:$AY,MATCH($P$1,Database!$F$1:$AY$1,),))))</f>
        <v/>
      </c>
      <c r="Q299" s="13">
        <f>((((VLOOKUP(B299,Database!$F:$AY,MATCH($Q$1,Database!$F$1:$AY$1,),))))-(((VLOOKUP(EDATE(B299,-12),Database!$F:$AY,MATCH($Q$1,Database!$F$1:$AY$1,),)))))/(((VLOOKUP(EDATE(B299,-12),Database!$F:$AY,MATCH($Q$1,Database!$F$1:$AY$1,),))))</f>
        <v/>
      </c>
      <c r="R299" s="13">
        <f>((((VLOOKUP(B299,Database!$F:$AY,MATCH($R$1,Database!$F$1:$AY$1,),))))-(((VLOOKUP(EDATE(B299,-12),Database!$F:$AY,MATCH($R$1,Database!$F$1:$AY$1,),)))))/(((VLOOKUP(EDATE(B299,-12),Database!$F:$AY,MATCH($R$1,Database!$F$1:$AY$1,),))))</f>
        <v/>
      </c>
      <c r="S299" s="13">
        <f>((((VLOOKUP(B299,Database!$F:$AY,MATCH($S$1,Database!$F$1:$AY$1,),))))-(((VLOOKUP(EDATE(B299,-12),Database!$F:$AY,MATCH($S$1,Database!$F$1:$AY$1,),)))))/(((VLOOKUP(EDATE(B299,-12),Database!$F:$AY,MATCH($S$1,Database!$F$1:$AY$1,),))))</f>
        <v/>
      </c>
      <c r="T299" s="13">
        <f>((((VLOOKUP(B299,Database!$F:$AY,MATCH($T$1,Database!$F$1:$AY$1,),))))-(((VLOOKUP(EDATE(B299,-12),Database!$F:$AY,MATCH($T$1,Database!$F$1:$AY$1,),)))))/(((VLOOKUP(EDATE(B299,-12),Database!$F:$AY,MATCH($T$1,Database!$F$1:$AY$1,),))))</f>
        <v/>
      </c>
      <c r="U299" s="13">
        <f>((((VLOOKUP(B299,Database!$F:$AY,MATCH($U$1,Database!$F$1:$AY$1,),))))-(((VLOOKUP(EDATE(B299,-12),Database!$F:$AY,MATCH($U$1,Database!$F$1:$AY$1,),)))))/(((VLOOKUP(EDATE(B299,-12),Database!$F:$AY,MATCH($U$1,Database!$F$1:$AY$1,),))))</f>
        <v/>
      </c>
      <c r="V299" s="13">
        <f>((((VLOOKUP(B299,Database!$F:$AY,MATCH($V$1,Database!$F$1:$AY$1,),))))-(((VLOOKUP(EDATE(B299,-12),Database!$F:$AY,MATCH($V$1,Database!$F$1:$AY$1,),)))))/(((VLOOKUP(EDATE(B299,-12),Database!$F:$AY,MATCH($V$1,Database!$F$1:$AY$1,),))))</f>
        <v/>
      </c>
    </row>
    <row r="300" customFormat="1" s="100">
      <c r="A300" s="45" t="n"/>
      <c r="B300" s="46" t="n">
        <v>41275</v>
      </c>
      <c r="C300" s="13">
        <f>((((VLOOKUP(B300,Database!$F:$AY,MATCH($C$1,Database!$F$1:$AY$1,),))))-(((VLOOKUP(EDATE(B300,-12),Database!$F:$AY,MATCH($C$1,Database!$F$1:$AY$1,),)))))/(((VLOOKUP(EDATE(B300,-12),Database!$F:$AY,MATCH($C$1,Database!$F$1:$AY$1,),))))</f>
        <v/>
      </c>
      <c r="D300" s="13">
        <f>((((VLOOKUP(B300,Database!$F:$AY,MATCH($D$1,Database!$F$1:$AY$1,),))))-(((VLOOKUP(EDATE(B300,-12),Database!$F:$AY,MATCH($D$1,Database!$F$1:$AY$1,),)))))/(((VLOOKUP(EDATE(B300,-12),Database!$F:$AY,MATCH($D$1,Database!$F$1:$AY$1,),))))</f>
        <v/>
      </c>
      <c r="E300" s="13">
        <f>((((VLOOKUP(B300,Database!$F:$AY,MATCH($E$1,Database!$F$1:$AY$1,),))))-(((VLOOKUP(EDATE(B300,-12),Database!$F:$AY,MATCH($E$1,Database!$F$1:$AY$1,),)))))/(((VLOOKUP(EDATE(B300,-12),Database!$F:$AY,MATCH($E$1,Database!$F$1:$AY$1,),))))</f>
        <v/>
      </c>
      <c r="F300" s="13">
        <f>((((VLOOKUP(B300,Database!$F:$AY,MATCH($F$1,Database!$F$1:$AY$1,),))))-(((VLOOKUP(EDATE(B300,-12),Database!$F:$AY,MATCH($F$1,Database!$F$1:$AY$1,),)))))/(((VLOOKUP(EDATE(B300,-12),Database!$F:$AY,MATCH($F$1,Database!$F$1:$AY$1,),))))</f>
        <v/>
      </c>
      <c r="G300" s="13">
        <f>((((VLOOKUP(B300,Database!$F:$AY,MATCH($G$1,Database!$F$1:$AY$1,),))))-(((VLOOKUP(EDATE(B300,-12),Database!$F:$AY,MATCH($G$1,Database!$F$1:$AY$1,),)))))/(((VLOOKUP(EDATE(B300,-12),Database!$F:$AY,MATCH($G$1,Database!$F$1:$AY$1,),))))</f>
        <v/>
      </c>
      <c r="H300" s="13">
        <f>((((VLOOKUP(B300,Database!$F:$AY,MATCH($H$1,Database!$F$1:$AY$1,),))))-(((VLOOKUP(EDATE(B300,-12),Database!$F:$AY,MATCH($H$1,Database!$F$1:$AY$1,),)))))/(((VLOOKUP(EDATE(B300,-12),Database!$F:$AY,MATCH($H$1,Database!$F$1:$AY$1,),))))</f>
        <v/>
      </c>
      <c r="I300" s="13">
        <f>((((VLOOKUP(B300,Database!$F:$AY,MATCH($I$1,Database!$F$1:$AY$1,),))))-(((VLOOKUP(EDATE(B300,-12),Database!$F:$AY,MATCH($I$1,Database!$F$1:$AY$1,),)))))/(((VLOOKUP(EDATE(B300,-12),Database!$F:$AY,MATCH($I$1,Database!$F$1:$AY$1,),))))</f>
        <v/>
      </c>
      <c r="J300" s="13">
        <f>((((VLOOKUP(B300,Database!$F:$AY,MATCH($J$1,Database!$F$1:$AY$1,),))))-(((VLOOKUP(EDATE(B300,-12),Database!$F:$AY,MATCH($J$1,Database!$F$1:$AY$1,),)))))/(((VLOOKUP(EDATE(B300,-12),Database!$F:$AY,MATCH($J$1,Database!$F$1:$AY$1,),))))</f>
        <v/>
      </c>
      <c r="K300" s="13">
        <f>((((VLOOKUP(B300,Database!$F:$AY,MATCH($K$1,Database!$F$1:$AY$1,),))))-(((VLOOKUP(EDATE(B300,-12),Database!$F:$AY,MATCH($K$1,Database!$F$1:$AY$1,),)))))/(((VLOOKUP(EDATE(B300,-12),Database!$F:$AY,MATCH($K$1,Database!$F$1:$AY$1,),))))</f>
        <v/>
      </c>
      <c r="L300" s="13">
        <f>((((VLOOKUP(B300,Database!$F:$AY,MATCH($L$1,Database!$F$1:$AY$1,),))))-(((VLOOKUP(EDATE(B300,-12),Database!$F:$AY,MATCH($L$1,Database!$F$1:$AY$1,),)))))/(((VLOOKUP(EDATE(B300,-12),Database!$F:$AY,MATCH($L$1,Database!$F$1:$AY$1,),))))</f>
        <v/>
      </c>
      <c r="M300" s="13">
        <f>((((VLOOKUP(B300,Database!$F:$AY,MATCH($M$1,Database!$F$1:$AY$1,),))))-(((VLOOKUP(EDATE(B300,-12),Database!$F:$AY,MATCH($M$1,Database!$F$1:$AY$1,),)))))/(((VLOOKUP(EDATE(B300,-12),Database!$F:$AY,MATCH($M$1,Database!$F$1:$AY$1,),))))</f>
        <v/>
      </c>
      <c r="N300" s="13">
        <f>((((VLOOKUP(B300,Database!$F:$AY,MATCH($N$1,Database!$F$1:$AY$1,),))))-(((VLOOKUP(EDATE(B300,-12),Database!$F:$AY,MATCH($N$1,Database!$F$1:$AY$1,),)))))/(((VLOOKUP(EDATE(B300,-12),Database!$F:$AY,MATCH($N$1,Database!$F$1:$AY$1,),))))</f>
        <v/>
      </c>
      <c r="O300" s="13">
        <f>((((VLOOKUP(B300,Database!$F:$AY,MATCH($O$1,Database!$F$1:$AY$1,),))))-(((VLOOKUP(EDATE(B300,-12),Database!$F:$AY,MATCH($O$1,Database!$F$1:$AY$1,),)))))/(((VLOOKUP(EDATE(B300,-12),Database!$F:$AY,MATCH($O$1,Database!$F$1:$AY$1,),))))</f>
        <v/>
      </c>
      <c r="P300" s="13">
        <f>((((VLOOKUP(B300,Database!$F:$AY,MATCH($P$1,Database!$F$1:$AY$1,),))))-(((VLOOKUP(EDATE(B300,-12),Database!$F:$AY,MATCH($P$1,Database!$F$1:$AY$1,),)))))/(((VLOOKUP(EDATE(B300,-12),Database!$F:$AY,MATCH($P$1,Database!$F$1:$AY$1,),))))</f>
        <v/>
      </c>
      <c r="Q300" s="13">
        <f>((((VLOOKUP(B300,Database!$F:$AY,MATCH($Q$1,Database!$F$1:$AY$1,),))))-(((VLOOKUP(EDATE(B300,-12),Database!$F:$AY,MATCH($Q$1,Database!$F$1:$AY$1,),)))))/(((VLOOKUP(EDATE(B300,-12),Database!$F:$AY,MATCH($Q$1,Database!$F$1:$AY$1,),))))</f>
        <v/>
      </c>
      <c r="R300" s="13">
        <f>((((VLOOKUP(B300,Database!$F:$AY,MATCH($R$1,Database!$F$1:$AY$1,),))))-(((VLOOKUP(EDATE(B300,-12),Database!$F:$AY,MATCH($R$1,Database!$F$1:$AY$1,),)))))/(((VLOOKUP(EDATE(B300,-12),Database!$F:$AY,MATCH($R$1,Database!$F$1:$AY$1,),))))</f>
        <v/>
      </c>
      <c r="S300" s="13">
        <f>((((VLOOKUP(B300,Database!$F:$AY,MATCH($S$1,Database!$F$1:$AY$1,),))))-(((VLOOKUP(EDATE(B300,-12),Database!$F:$AY,MATCH($S$1,Database!$F$1:$AY$1,),)))))/(((VLOOKUP(EDATE(B300,-12),Database!$F:$AY,MATCH($S$1,Database!$F$1:$AY$1,),))))</f>
        <v/>
      </c>
      <c r="T300" s="13">
        <f>((((VLOOKUP(B300,Database!$F:$AY,MATCH($T$1,Database!$F$1:$AY$1,),))))-(((VLOOKUP(EDATE(B300,-12),Database!$F:$AY,MATCH($T$1,Database!$F$1:$AY$1,),)))))/(((VLOOKUP(EDATE(B300,-12),Database!$F:$AY,MATCH($T$1,Database!$F$1:$AY$1,),))))</f>
        <v/>
      </c>
      <c r="U300" s="13">
        <f>((((VLOOKUP(B300,Database!$F:$AY,MATCH($U$1,Database!$F$1:$AY$1,),))))-(((VLOOKUP(EDATE(B300,-12),Database!$F:$AY,MATCH($U$1,Database!$F$1:$AY$1,),)))))/(((VLOOKUP(EDATE(B300,-12),Database!$F:$AY,MATCH($U$1,Database!$F$1:$AY$1,),))))</f>
        <v/>
      </c>
      <c r="V300" s="13">
        <f>((((VLOOKUP(B300,Database!$F:$AY,MATCH($V$1,Database!$F$1:$AY$1,),))))-(((VLOOKUP(EDATE(B300,-12),Database!$F:$AY,MATCH($V$1,Database!$F$1:$AY$1,),)))))/(((VLOOKUP(EDATE(B300,-12),Database!$F:$AY,MATCH($V$1,Database!$F$1:$AY$1,),))))</f>
        <v/>
      </c>
    </row>
    <row r="301" customFormat="1" s="100">
      <c r="A301" s="45" t="n"/>
      <c r="B301" s="46" t="n">
        <v>41306</v>
      </c>
      <c r="C301" s="13">
        <f>((((VLOOKUP(B301,Database!$F:$AY,MATCH($C$1,Database!$F$1:$AY$1,),))))-(((VLOOKUP(EDATE(B301,-12),Database!$F:$AY,MATCH($C$1,Database!$F$1:$AY$1,),)))))/(((VLOOKUP(EDATE(B301,-12),Database!$F:$AY,MATCH($C$1,Database!$F$1:$AY$1,),))))</f>
        <v/>
      </c>
      <c r="D301" s="13">
        <f>((((VLOOKUP(B301,Database!$F:$AY,MATCH($D$1,Database!$F$1:$AY$1,),))))-(((VLOOKUP(EDATE(B301,-12),Database!$F:$AY,MATCH($D$1,Database!$F$1:$AY$1,),)))))/(((VLOOKUP(EDATE(B301,-12),Database!$F:$AY,MATCH($D$1,Database!$F$1:$AY$1,),))))</f>
        <v/>
      </c>
      <c r="E301" s="13">
        <f>((((VLOOKUP(B301,Database!$F:$AY,MATCH($E$1,Database!$F$1:$AY$1,),))))-(((VLOOKUP(EDATE(B301,-12),Database!$F:$AY,MATCH($E$1,Database!$F$1:$AY$1,),)))))/(((VLOOKUP(EDATE(B301,-12),Database!$F:$AY,MATCH($E$1,Database!$F$1:$AY$1,),))))</f>
        <v/>
      </c>
      <c r="F301" s="13">
        <f>((((VLOOKUP(B301,Database!$F:$AY,MATCH($F$1,Database!$F$1:$AY$1,),))))-(((VLOOKUP(EDATE(B301,-12),Database!$F:$AY,MATCH($F$1,Database!$F$1:$AY$1,),)))))/(((VLOOKUP(EDATE(B301,-12),Database!$F:$AY,MATCH($F$1,Database!$F$1:$AY$1,),))))</f>
        <v/>
      </c>
      <c r="G301" s="13">
        <f>((((VLOOKUP(B301,Database!$F:$AY,MATCH($G$1,Database!$F$1:$AY$1,),))))-(((VLOOKUP(EDATE(B301,-12),Database!$F:$AY,MATCH($G$1,Database!$F$1:$AY$1,),)))))/(((VLOOKUP(EDATE(B301,-12),Database!$F:$AY,MATCH($G$1,Database!$F$1:$AY$1,),))))</f>
        <v/>
      </c>
      <c r="H301" s="13">
        <f>((((VLOOKUP(B301,Database!$F:$AY,MATCH($H$1,Database!$F$1:$AY$1,),))))-(((VLOOKUP(EDATE(B301,-12),Database!$F:$AY,MATCH($H$1,Database!$F$1:$AY$1,),)))))/(((VLOOKUP(EDATE(B301,-12),Database!$F:$AY,MATCH($H$1,Database!$F$1:$AY$1,),))))</f>
        <v/>
      </c>
      <c r="I301" s="13">
        <f>((((VLOOKUP(B301,Database!$F:$AY,MATCH($I$1,Database!$F$1:$AY$1,),))))-(((VLOOKUP(EDATE(B301,-12),Database!$F:$AY,MATCH($I$1,Database!$F$1:$AY$1,),)))))/(((VLOOKUP(EDATE(B301,-12),Database!$F:$AY,MATCH($I$1,Database!$F$1:$AY$1,),))))</f>
        <v/>
      </c>
      <c r="J301" s="13">
        <f>((((VLOOKUP(B301,Database!$F:$AY,MATCH($J$1,Database!$F$1:$AY$1,),))))-(((VLOOKUP(EDATE(B301,-12),Database!$F:$AY,MATCH($J$1,Database!$F$1:$AY$1,),)))))/(((VLOOKUP(EDATE(B301,-12),Database!$F:$AY,MATCH($J$1,Database!$F$1:$AY$1,),))))</f>
        <v/>
      </c>
      <c r="K301" s="13">
        <f>((((VLOOKUP(B301,Database!$F:$AY,MATCH($K$1,Database!$F$1:$AY$1,),))))-(((VLOOKUP(EDATE(B301,-12),Database!$F:$AY,MATCH($K$1,Database!$F$1:$AY$1,),)))))/(((VLOOKUP(EDATE(B301,-12),Database!$F:$AY,MATCH($K$1,Database!$F$1:$AY$1,),))))</f>
        <v/>
      </c>
      <c r="L301" s="13">
        <f>((((VLOOKUP(B301,Database!$F:$AY,MATCH($L$1,Database!$F$1:$AY$1,),))))-(((VLOOKUP(EDATE(B301,-12),Database!$F:$AY,MATCH($L$1,Database!$F$1:$AY$1,),)))))/(((VLOOKUP(EDATE(B301,-12),Database!$F:$AY,MATCH($L$1,Database!$F$1:$AY$1,),))))</f>
        <v/>
      </c>
      <c r="M301" s="13">
        <f>((((VLOOKUP(B301,Database!$F:$AY,MATCH($M$1,Database!$F$1:$AY$1,),))))-(((VLOOKUP(EDATE(B301,-12),Database!$F:$AY,MATCH($M$1,Database!$F$1:$AY$1,),)))))/(((VLOOKUP(EDATE(B301,-12),Database!$F:$AY,MATCH($M$1,Database!$F$1:$AY$1,),))))</f>
        <v/>
      </c>
      <c r="N301" s="13">
        <f>((((VLOOKUP(B301,Database!$F:$AY,MATCH($N$1,Database!$F$1:$AY$1,),))))-(((VLOOKUP(EDATE(B301,-12),Database!$F:$AY,MATCH($N$1,Database!$F$1:$AY$1,),)))))/(((VLOOKUP(EDATE(B301,-12),Database!$F:$AY,MATCH($N$1,Database!$F$1:$AY$1,),))))</f>
        <v/>
      </c>
      <c r="O301" s="13">
        <f>((((VLOOKUP(B301,Database!$F:$AY,MATCH($O$1,Database!$F$1:$AY$1,),))))-(((VLOOKUP(EDATE(B301,-12),Database!$F:$AY,MATCH($O$1,Database!$F$1:$AY$1,),)))))/(((VLOOKUP(EDATE(B301,-12),Database!$F:$AY,MATCH($O$1,Database!$F$1:$AY$1,),))))</f>
        <v/>
      </c>
      <c r="P301" s="13">
        <f>((((VLOOKUP(B301,Database!$F:$AY,MATCH($P$1,Database!$F$1:$AY$1,),))))-(((VLOOKUP(EDATE(B301,-12),Database!$F:$AY,MATCH($P$1,Database!$F$1:$AY$1,),)))))/(((VLOOKUP(EDATE(B301,-12),Database!$F:$AY,MATCH($P$1,Database!$F$1:$AY$1,),))))</f>
        <v/>
      </c>
      <c r="Q301" s="13">
        <f>((((VLOOKUP(B301,Database!$F:$AY,MATCH($Q$1,Database!$F$1:$AY$1,),))))-(((VLOOKUP(EDATE(B301,-12),Database!$F:$AY,MATCH($Q$1,Database!$F$1:$AY$1,),)))))/(((VLOOKUP(EDATE(B301,-12),Database!$F:$AY,MATCH($Q$1,Database!$F$1:$AY$1,),))))</f>
        <v/>
      </c>
      <c r="R301" s="13">
        <f>((((VLOOKUP(B301,Database!$F:$AY,MATCH($R$1,Database!$F$1:$AY$1,),))))-(((VLOOKUP(EDATE(B301,-12),Database!$F:$AY,MATCH($R$1,Database!$F$1:$AY$1,),)))))/(((VLOOKUP(EDATE(B301,-12),Database!$F:$AY,MATCH($R$1,Database!$F$1:$AY$1,),))))</f>
        <v/>
      </c>
      <c r="S301" s="13">
        <f>((((VLOOKUP(B301,Database!$F:$AY,MATCH($S$1,Database!$F$1:$AY$1,),))))-(((VLOOKUP(EDATE(B301,-12),Database!$F:$AY,MATCH($S$1,Database!$F$1:$AY$1,),)))))/(((VLOOKUP(EDATE(B301,-12),Database!$F:$AY,MATCH($S$1,Database!$F$1:$AY$1,),))))</f>
        <v/>
      </c>
      <c r="T301" s="13">
        <f>((((VLOOKUP(B301,Database!$F:$AY,MATCH($T$1,Database!$F$1:$AY$1,),))))-(((VLOOKUP(EDATE(B301,-12),Database!$F:$AY,MATCH($T$1,Database!$F$1:$AY$1,),)))))/(((VLOOKUP(EDATE(B301,-12),Database!$F:$AY,MATCH($T$1,Database!$F$1:$AY$1,),))))</f>
        <v/>
      </c>
      <c r="U301" s="13">
        <f>((((VLOOKUP(B301,Database!$F:$AY,MATCH($U$1,Database!$F$1:$AY$1,),))))-(((VLOOKUP(EDATE(B301,-12),Database!$F:$AY,MATCH($U$1,Database!$F$1:$AY$1,),)))))/(((VLOOKUP(EDATE(B301,-12),Database!$F:$AY,MATCH($U$1,Database!$F$1:$AY$1,),))))</f>
        <v/>
      </c>
      <c r="V301" s="13">
        <f>((((VLOOKUP(B301,Database!$F:$AY,MATCH($V$1,Database!$F$1:$AY$1,),))))-(((VLOOKUP(EDATE(B301,-12),Database!$F:$AY,MATCH($V$1,Database!$F$1:$AY$1,),)))))/(((VLOOKUP(EDATE(B301,-12),Database!$F:$AY,MATCH($V$1,Database!$F$1:$AY$1,),))))</f>
        <v/>
      </c>
    </row>
    <row r="302" customFormat="1" s="100">
      <c r="A302" s="45" t="n"/>
      <c r="B302" s="46" t="n">
        <v>41334</v>
      </c>
      <c r="C302" s="13">
        <f>((((VLOOKUP(B302,Database!$F:$AY,MATCH($C$1,Database!$F$1:$AY$1,),))))-(((VLOOKUP(EDATE(B302,-12),Database!$F:$AY,MATCH($C$1,Database!$F$1:$AY$1,),)))))/(((VLOOKUP(EDATE(B302,-12),Database!$F:$AY,MATCH($C$1,Database!$F$1:$AY$1,),))))</f>
        <v/>
      </c>
      <c r="D302" s="13">
        <f>((((VLOOKUP(B302,Database!$F:$AY,MATCH($D$1,Database!$F$1:$AY$1,),))))-(((VLOOKUP(EDATE(B302,-12),Database!$F:$AY,MATCH($D$1,Database!$F$1:$AY$1,),)))))/(((VLOOKUP(EDATE(B302,-12),Database!$F:$AY,MATCH($D$1,Database!$F$1:$AY$1,),))))</f>
        <v/>
      </c>
      <c r="E302" s="13">
        <f>((((VLOOKUP(B302,Database!$F:$AY,MATCH($E$1,Database!$F$1:$AY$1,),))))-(((VLOOKUP(EDATE(B302,-12),Database!$F:$AY,MATCH($E$1,Database!$F$1:$AY$1,),)))))/(((VLOOKUP(EDATE(B302,-12),Database!$F:$AY,MATCH($E$1,Database!$F$1:$AY$1,),))))</f>
        <v/>
      </c>
      <c r="F302" s="13">
        <f>((((VLOOKUP(B302,Database!$F:$AY,MATCH($F$1,Database!$F$1:$AY$1,),))))-(((VLOOKUP(EDATE(B302,-12),Database!$F:$AY,MATCH($F$1,Database!$F$1:$AY$1,),)))))/(((VLOOKUP(EDATE(B302,-12),Database!$F:$AY,MATCH($F$1,Database!$F$1:$AY$1,),))))</f>
        <v/>
      </c>
      <c r="G302" s="13">
        <f>((((VLOOKUP(B302,Database!$F:$AY,MATCH($G$1,Database!$F$1:$AY$1,),))))-(((VLOOKUP(EDATE(B302,-12),Database!$F:$AY,MATCH($G$1,Database!$F$1:$AY$1,),)))))/(((VLOOKUP(EDATE(B302,-12),Database!$F:$AY,MATCH($G$1,Database!$F$1:$AY$1,),))))</f>
        <v/>
      </c>
      <c r="H302" s="13">
        <f>((((VLOOKUP(B302,Database!$F:$AY,MATCH($H$1,Database!$F$1:$AY$1,),))))-(((VLOOKUP(EDATE(B302,-12),Database!$F:$AY,MATCH($H$1,Database!$F$1:$AY$1,),)))))/(((VLOOKUP(EDATE(B302,-12),Database!$F:$AY,MATCH($H$1,Database!$F$1:$AY$1,),))))</f>
        <v/>
      </c>
      <c r="I302" s="13">
        <f>((((VLOOKUP(B302,Database!$F:$AY,MATCH($I$1,Database!$F$1:$AY$1,),))))-(((VLOOKUP(EDATE(B302,-12),Database!$F:$AY,MATCH($I$1,Database!$F$1:$AY$1,),)))))/(((VLOOKUP(EDATE(B302,-12),Database!$F:$AY,MATCH($I$1,Database!$F$1:$AY$1,),))))</f>
        <v/>
      </c>
      <c r="J302" s="13">
        <f>((((VLOOKUP(B302,Database!$F:$AY,MATCH($J$1,Database!$F$1:$AY$1,),))))-(((VLOOKUP(EDATE(B302,-12),Database!$F:$AY,MATCH($J$1,Database!$F$1:$AY$1,),)))))/(((VLOOKUP(EDATE(B302,-12),Database!$F:$AY,MATCH($J$1,Database!$F$1:$AY$1,),))))</f>
        <v/>
      </c>
      <c r="K302" s="13">
        <f>((((VLOOKUP(B302,Database!$F:$AY,MATCH($K$1,Database!$F$1:$AY$1,),))))-(((VLOOKUP(EDATE(B302,-12),Database!$F:$AY,MATCH($K$1,Database!$F$1:$AY$1,),)))))/(((VLOOKUP(EDATE(B302,-12),Database!$F:$AY,MATCH($K$1,Database!$F$1:$AY$1,),))))</f>
        <v/>
      </c>
      <c r="L302" s="13">
        <f>((((VLOOKUP(B302,Database!$F:$AY,MATCH($L$1,Database!$F$1:$AY$1,),))))-(((VLOOKUP(EDATE(B302,-12),Database!$F:$AY,MATCH($L$1,Database!$F$1:$AY$1,),)))))/(((VLOOKUP(EDATE(B302,-12),Database!$F:$AY,MATCH($L$1,Database!$F$1:$AY$1,),))))</f>
        <v/>
      </c>
      <c r="M302" s="13">
        <f>((((VLOOKUP(B302,Database!$F:$AY,MATCH($M$1,Database!$F$1:$AY$1,),))))-(((VLOOKUP(EDATE(B302,-12),Database!$F:$AY,MATCH($M$1,Database!$F$1:$AY$1,),)))))/(((VLOOKUP(EDATE(B302,-12),Database!$F:$AY,MATCH($M$1,Database!$F$1:$AY$1,),))))</f>
        <v/>
      </c>
      <c r="N302" s="13">
        <f>((((VLOOKUP(B302,Database!$F:$AY,MATCH($N$1,Database!$F$1:$AY$1,),))))-(((VLOOKUP(EDATE(B302,-12),Database!$F:$AY,MATCH($N$1,Database!$F$1:$AY$1,),)))))/(((VLOOKUP(EDATE(B302,-12),Database!$F:$AY,MATCH($N$1,Database!$F$1:$AY$1,),))))</f>
        <v/>
      </c>
      <c r="O302" s="13">
        <f>((((VLOOKUP(B302,Database!$F:$AY,MATCH($O$1,Database!$F$1:$AY$1,),))))-(((VLOOKUP(EDATE(B302,-12),Database!$F:$AY,MATCH($O$1,Database!$F$1:$AY$1,),)))))/(((VLOOKUP(EDATE(B302,-12),Database!$F:$AY,MATCH($O$1,Database!$F$1:$AY$1,),))))</f>
        <v/>
      </c>
      <c r="P302" s="13">
        <f>((((VLOOKUP(B302,Database!$F:$AY,MATCH($P$1,Database!$F$1:$AY$1,),))))-(((VLOOKUP(EDATE(B302,-12),Database!$F:$AY,MATCH($P$1,Database!$F$1:$AY$1,),)))))/(((VLOOKUP(EDATE(B302,-12),Database!$F:$AY,MATCH($P$1,Database!$F$1:$AY$1,),))))</f>
        <v/>
      </c>
      <c r="Q302" s="13">
        <f>((((VLOOKUP(B302,Database!$F:$AY,MATCH($Q$1,Database!$F$1:$AY$1,),))))-(((VLOOKUP(EDATE(B302,-12),Database!$F:$AY,MATCH($Q$1,Database!$F$1:$AY$1,),)))))/(((VLOOKUP(EDATE(B302,-12),Database!$F:$AY,MATCH($Q$1,Database!$F$1:$AY$1,),))))</f>
        <v/>
      </c>
      <c r="R302" s="13">
        <f>((((VLOOKUP(B302,Database!$F:$AY,MATCH($R$1,Database!$F$1:$AY$1,),))))-(((VLOOKUP(EDATE(B302,-12),Database!$F:$AY,MATCH($R$1,Database!$F$1:$AY$1,),)))))/(((VLOOKUP(EDATE(B302,-12),Database!$F:$AY,MATCH($R$1,Database!$F$1:$AY$1,),))))</f>
        <v/>
      </c>
      <c r="S302" s="13">
        <f>((((VLOOKUP(B302,Database!$F:$AY,MATCH($S$1,Database!$F$1:$AY$1,),))))-(((VLOOKUP(EDATE(B302,-12),Database!$F:$AY,MATCH($S$1,Database!$F$1:$AY$1,),)))))/(((VLOOKUP(EDATE(B302,-12),Database!$F:$AY,MATCH($S$1,Database!$F$1:$AY$1,),))))</f>
        <v/>
      </c>
      <c r="T302" s="13">
        <f>((((VLOOKUP(B302,Database!$F:$AY,MATCH($T$1,Database!$F$1:$AY$1,),))))-(((VLOOKUP(EDATE(B302,-12),Database!$F:$AY,MATCH($T$1,Database!$F$1:$AY$1,),)))))/(((VLOOKUP(EDATE(B302,-12),Database!$F:$AY,MATCH($T$1,Database!$F$1:$AY$1,),))))</f>
        <v/>
      </c>
      <c r="U302" s="13">
        <f>((((VLOOKUP(B302,Database!$F:$AY,MATCH($U$1,Database!$F$1:$AY$1,),))))-(((VLOOKUP(EDATE(B302,-12),Database!$F:$AY,MATCH($U$1,Database!$F$1:$AY$1,),)))))/(((VLOOKUP(EDATE(B302,-12),Database!$F:$AY,MATCH($U$1,Database!$F$1:$AY$1,),))))</f>
        <v/>
      </c>
      <c r="V302" s="13">
        <f>((((VLOOKUP(B302,Database!$F:$AY,MATCH($V$1,Database!$F$1:$AY$1,),))))-(((VLOOKUP(EDATE(B302,-12),Database!$F:$AY,MATCH($V$1,Database!$F$1:$AY$1,),)))))/(((VLOOKUP(EDATE(B302,-12),Database!$F:$AY,MATCH($V$1,Database!$F$1:$AY$1,),))))</f>
        <v/>
      </c>
    </row>
    <row r="303" customFormat="1" s="100">
      <c r="A303" s="45" t="n"/>
      <c r="B303" s="46" t="n">
        <v>41365</v>
      </c>
      <c r="C303" s="13">
        <f>((((VLOOKUP(B303,Database!$F:$AY,MATCH($C$1,Database!$F$1:$AY$1,),))))-(((VLOOKUP(EDATE(B303,-12),Database!$F:$AY,MATCH($C$1,Database!$F$1:$AY$1,),)))))/(((VLOOKUP(EDATE(B303,-12),Database!$F:$AY,MATCH($C$1,Database!$F$1:$AY$1,),))))</f>
        <v/>
      </c>
      <c r="D303" s="13">
        <f>((((VLOOKUP(B303,Database!$F:$AY,MATCH($D$1,Database!$F$1:$AY$1,),))))-(((VLOOKUP(EDATE(B303,-12),Database!$F:$AY,MATCH($D$1,Database!$F$1:$AY$1,),)))))/(((VLOOKUP(EDATE(B303,-12),Database!$F:$AY,MATCH($D$1,Database!$F$1:$AY$1,),))))</f>
        <v/>
      </c>
      <c r="E303" s="13">
        <f>((((VLOOKUP(B303,Database!$F:$AY,MATCH($E$1,Database!$F$1:$AY$1,),))))-(((VLOOKUP(EDATE(B303,-12),Database!$F:$AY,MATCH($E$1,Database!$F$1:$AY$1,),)))))/(((VLOOKUP(EDATE(B303,-12),Database!$F:$AY,MATCH($E$1,Database!$F$1:$AY$1,),))))</f>
        <v/>
      </c>
      <c r="F303" s="13">
        <f>((((VLOOKUP(B303,Database!$F:$AY,MATCH($F$1,Database!$F$1:$AY$1,),))))-(((VLOOKUP(EDATE(B303,-12),Database!$F:$AY,MATCH($F$1,Database!$F$1:$AY$1,),)))))/(((VLOOKUP(EDATE(B303,-12),Database!$F:$AY,MATCH($F$1,Database!$F$1:$AY$1,),))))</f>
        <v/>
      </c>
      <c r="G303" s="13">
        <f>((((VLOOKUP(B303,Database!$F:$AY,MATCH($G$1,Database!$F$1:$AY$1,),))))-(((VLOOKUP(EDATE(B303,-12),Database!$F:$AY,MATCH($G$1,Database!$F$1:$AY$1,),)))))/(((VLOOKUP(EDATE(B303,-12),Database!$F:$AY,MATCH($G$1,Database!$F$1:$AY$1,),))))</f>
        <v/>
      </c>
      <c r="H303" s="13">
        <f>((((VLOOKUP(B303,Database!$F:$AY,MATCH($H$1,Database!$F$1:$AY$1,),))))-(((VLOOKUP(EDATE(B303,-12),Database!$F:$AY,MATCH($H$1,Database!$F$1:$AY$1,),)))))/(((VLOOKUP(EDATE(B303,-12),Database!$F:$AY,MATCH($H$1,Database!$F$1:$AY$1,),))))</f>
        <v/>
      </c>
      <c r="I303" s="13">
        <f>((((VLOOKUP(B303,Database!$F:$AY,MATCH($I$1,Database!$F$1:$AY$1,),))))-(((VLOOKUP(EDATE(B303,-12),Database!$F:$AY,MATCH($I$1,Database!$F$1:$AY$1,),)))))/(((VLOOKUP(EDATE(B303,-12),Database!$F:$AY,MATCH($I$1,Database!$F$1:$AY$1,),))))</f>
        <v/>
      </c>
      <c r="J303" s="13">
        <f>((((VLOOKUP(B303,Database!$F:$AY,MATCH($J$1,Database!$F$1:$AY$1,),))))-(((VLOOKUP(EDATE(B303,-12),Database!$F:$AY,MATCH($J$1,Database!$F$1:$AY$1,),)))))/(((VLOOKUP(EDATE(B303,-12),Database!$F:$AY,MATCH($J$1,Database!$F$1:$AY$1,),))))</f>
        <v/>
      </c>
      <c r="K303" s="13">
        <f>((((VLOOKUP(B303,Database!$F:$AY,MATCH($K$1,Database!$F$1:$AY$1,),))))-(((VLOOKUP(EDATE(B303,-12),Database!$F:$AY,MATCH($K$1,Database!$F$1:$AY$1,),)))))/(((VLOOKUP(EDATE(B303,-12),Database!$F:$AY,MATCH($K$1,Database!$F$1:$AY$1,),))))</f>
        <v/>
      </c>
      <c r="L303" s="13">
        <f>((((VLOOKUP(B303,Database!$F:$AY,MATCH($L$1,Database!$F$1:$AY$1,),))))-(((VLOOKUP(EDATE(B303,-12),Database!$F:$AY,MATCH($L$1,Database!$F$1:$AY$1,),)))))/(((VLOOKUP(EDATE(B303,-12),Database!$F:$AY,MATCH($L$1,Database!$F$1:$AY$1,),))))</f>
        <v/>
      </c>
      <c r="M303" s="13">
        <f>((((VLOOKUP(B303,Database!$F:$AY,MATCH($M$1,Database!$F$1:$AY$1,),))))-(((VLOOKUP(EDATE(B303,-12),Database!$F:$AY,MATCH($M$1,Database!$F$1:$AY$1,),)))))/(((VLOOKUP(EDATE(B303,-12),Database!$F:$AY,MATCH($M$1,Database!$F$1:$AY$1,),))))</f>
        <v/>
      </c>
      <c r="N303" s="13">
        <f>((((VLOOKUP(B303,Database!$F:$AY,MATCH($N$1,Database!$F$1:$AY$1,),))))-(((VLOOKUP(EDATE(B303,-12),Database!$F:$AY,MATCH($N$1,Database!$F$1:$AY$1,),)))))/(((VLOOKUP(EDATE(B303,-12),Database!$F:$AY,MATCH($N$1,Database!$F$1:$AY$1,),))))</f>
        <v/>
      </c>
      <c r="O303" s="13">
        <f>((((VLOOKUP(B303,Database!$F:$AY,MATCH($O$1,Database!$F$1:$AY$1,),))))-(((VLOOKUP(EDATE(B303,-12),Database!$F:$AY,MATCH($O$1,Database!$F$1:$AY$1,),)))))/(((VLOOKUP(EDATE(B303,-12),Database!$F:$AY,MATCH($O$1,Database!$F$1:$AY$1,),))))</f>
        <v/>
      </c>
      <c r="P303" s="13">
        <f>((((VLOOKUP(B303,Database!$F:$AY,MATCH($P$1,Database!$F$1:$AY$1,),))))-(((VLOOKUP(EDATE(B303,-12),Database!$F:$AY,MATCH($P$1,Database!$F$1:$AY$1,),)))))/(((VLOOKUP(EDATE(B303,-12),Database!$F:$AY,MATCH($P$1,Database!$F$1:$AY$1,),))))</f>
        <v/>
      </c>
      <c r="Q303" s="13">
        <f>((((VLOOKUP(B303,Database!$F:$AY,MATCH($Q$1,Database!$F$1:$AY$1,),))))-(((VLOOKUP(EDATE(B303,-12),Database!$F:$AY,MATCH($Q$1,Database!$F$1:$AY$1,),)))))/(((VLOOKUP(EDATE(B303,-12),Database!$F:$AY,MATCH($Q$1,Database!$F$1:$AY$1,),))))</f>
        <v/>
      </c>
      <c r="R303" s="13">
        <f>((((VLOOKUP(B303,Database!$F:$AY,MATCH($R$1,Database!$F$1:$AY$1,),))))-(((VLOOKUP(EDATE(B303,-12),Database!$F:$AY,MATCH($R$1,Database!$F$1:$AY$1,),)))))/(((VLOOKUP(EDATE(B303,-12),Database!$F:$AY,MATCH($R$1,Database!$F$1:$AY$1,),))))</f>
        <v/>
      </c>
      <c r="S303" s="13">
        <f>((((VLOOKUP(B303,Database!$F:$AY,MATCH($S$1,Database!$F$1:$AY$1,),))))-(((VLOOKUP(EDATE(B303,-12),Database!$F:$AY,MATCH($S$1,Database!$F$1:$AY$1,),)))))/(((VLOOKUP(EDATE(B303,-12),Database!$F:$AY,MATCH($S$1,Database!$F$1:$AY$1,),))))</f>
        <v/>
      </c>
      <c r="T303" s="13">
        <f>((((VLOOKUP(B303,Database!$F:$AY,MATCH($T$1,Database!$F$1:$AY$1,),))))-(((VLOOKUP(EDATE(B303,-12),Database!$F:$AY,MATCH($T$1,Database!$F$1:$AY$1,),)))))/(((VLOOKUP(EDATE(B303,-12),Database!$F:$AY,MATCH($T$1,Database!$F$1:$AY$1,),))))</f>
        <v/>
      </c>
      <c r="U303" s="13">
        <f>((((VLOOKUP(B303,Database!$F:$AY,MATCH($U$1,Database!$F$1:$AY$1,),))))-(((VLOOKUP(EDATE(B303,-12),Database!$F:$AY,MATCH($U$1,Database!$F$1:$AY$1,),)))))/(((VLOOKUP(EDATE(B303,-12),Database!$F:$AY,MATCH($U$1,Database!$F$1:$AY$1,),))))</f>
        <v/>
      </c>
      <c r="V303" s="13">
        <f>((((VLOOKUP(B303,Database!$F:$AY,MATCH($V$1,Database!$F$1:$AY$1,),))))-(((VLOOKUP(EDATE(B303,-12),Database!$F:$AY,MATCH($V$1,Database!$F$1:$AY$1,),)))))/(((VLOOKUP(EDATE(B303,-12),Database!$F:$AY,MATCH($V$1,Database!$F$1:$AY$1,),))))</f>
        <v/>
      </c>
    </row>
    <row r="304" customFormat="1" s="100">
      <c r="A304" s="45" t="n"/>
      <c r="B304" s="46" t="n">
        <v>41395</v>
      </c>
      <c r="C304" s="13">
        <f>((((VLOOKUP(B304,Database!$F:$AY,MATCH($C$1,Database!$F$1:$AY$1,),))))-(((VLOOKUP(EDATE(B304,-12),Database!$F:$AY,MATCH($C$1,Database!$F$1:$AY$1,),)))))/(((VLOOKUP(EDATE(B304,-12),Database!$F:$AY,MATCH($C$1,Database!$F$1:$AY$1,),))))</f>
        <v/>
      </c>
      <c r="D304" s="13">
        <f>((((VLOOKUP(B304,Database!$F:$AY,MATCH($D$1,Database!$F$1:$AY$1,),))))-(((VLOOKUP(EDATE(B304,-12),Database!$F:$AY,MATCH($D$1,Database!$F$1:$AY$1,),)))))/(((VLOOKUP(EDATE(B304,-12),Database!$F:$AY,MATCH($D$1,Database!$F$1:$AY$1,),))))</f>
        <v/>
      </c>
      <c r="E304" s="13">
        <f>((((VLOOKUP(B304,Database!$F:$AY,MATCH($E$1,Database!$F$1:$AY$1,),))))-(((VLOOKUP(EDATE(B304,-12),Database!$F:$AY,MATCH($E$1,Database!$F$1:$AY$1,),)))))/(((VLOOKUP(EDATE(B304,-12),Database!$F:$AY,MATCH($E$1,Database!$F$1:$AY$1,),))))</f>
        <v/>
      </c>
      <c r="F304" s="13">
        <f>((((VLOOKUP(B304,Database!$F:$AY,MATCH($F$1,Database!$F$1:$AY$1,),))))-(((VLOOKUP(EDATE(B304,-12),Database!$F:$AY,MATCH($F$1,Database!$F$1:$AY$1,),)))))/(((VLOOKUP(EDATE(B304,-12),Database!$F:$AY,MATCH($F$1,Database!$F$1:$AY$1,),))))</f>
        <v/>
      </c>
      <c r="G304" s="13">
        <f>((((VLOOKUP(B304,Database!$F:$AY,MATCH($G$1,Database!$F$1:$AY$1,),))))-(((VLOOKUP(EDATE(B304,-12),Database!$F:$AY,MATCH($G$1,Database!$F$1:$AY$1,),)))))/(((VLOOKUP(EDATE(B304,-12),Database!$F:$AY,MATCH($G$1,Database!$F$1:$AY$1,),))))</f>
        <v/>
      </c>
      <c r="H304" s="13">
        <f>((((VLOOKUP(B304,Database!$F:$AY,MATCH($H$1,Database!$F$1:$AY$1,),))))-(((VLOOKUP(EDATE(B304,-12),Database!$F:$AY,MATCH($H$1,Database!$F$1:$AY$1,),)))))/(((VLOOKUP(EDATE(B304,-12),Database!$F:$AY,MATCH($H$1,Database!$F$1:$AY$1,),))))</f>
        <v/>
      </c>
      <c r="I304" s="13">
        <f>((((VLOOKUP(B304,Database!$F:$AY,MATCH($I$1,Database!$F$1:$AY$1,),))))-(((VLOOKUP(EDATE(B304,-12),Database!$F:$AY,MATCH($I$1,Database!$F$1:$AY$1,),)))))/(((VLOOKUP(EDATE(B304,-12),Database!$F:$AY,MATCH($I$1,Database!$F$1:$AY$1,),))))</f>
        <v/>
      </c>
      <c r="J304" s="13">
        <f>((((VLOOKUP(B304,Database!$F:$AY,MATCH($J$1,Database!$F$1:$AY$1,),))))-(((VLOOKUP(EDATE(B304,-12),Database!$F:$AY,MATCH($J$1,Database!$F$1:$AY$1,),)))))/(((VLOOKUP(EDATE(B304,-12),Database!$F:$AY,MATCH($J$1,Database!$F$1:$AY$1,),))))</f>
        <v/>
      </c>
      <c r="K304" s="13">
        <f>((((VLOOKUP(B304,Database!$F:$AY,MATCH($K$1,Database!$F$1:$AY$1,),))))-(((VLOOKUP(EDATE(B304,-12),Database!$F:$AY,MATCH($K$1,Database!$F$1:$AY$1,),)))))/(((VLOOKUP(EDATE(B304,-12),Database!$F:$AY,MATCH($K$1,Database!$F$1:$AY$1,),))))</f>
        <v/>
      </c>
      <c r="L304" s="13">
        <f>((((VLOOKUP(B304,Database!$F:$AY,MATCH($L$1,Database!$F$1:$AY$1,),))))-(((VLOOKUP(EDATE(B304,-12),Database!$F:$AY,MATCH($L$1,Database!$F$1:$AY$1,),)))))/(((VLOOKUP(EDATE(B304,-12),Database!$F:$AY,MATCH($L$1,Database!$F$1:$AY$1,),))))</f>
        <v/>
      </c>
      <c r="M304" s="13">
        <f>((((VLOOKUP(B304,Database!$F:$AY,MATCH($M$1,Database!$F$1:$AY$1,),))))-(((VLOOKUP(EDATE(B304,-12),Database!$F:$AY,MATCH($M$1,Database!$F$1:$AY$1,),)))))/(((VLOOKUP(EDATE(B304,-12),Database!$F:$AY,MATCH($M$1,Database!$F$1:$AY$1,),))))</f>
        <v/>
      </c>
      <c r="N304" s="13">
        <f>((((VLOOKUP(B304,Database!$F:$AY,MATCH($N$1,Database!$F$1:$AY$1,),))))-(((VLOOKUP(EDATE(B304,-12),Database!$F:$AY,MATCH($N$1,Database!$F$1:$AY$1,),)))))/(((VLOOKUP(EDATE(B304,-12),Database!$F:$AY,MATCH($N$1,Database!$F$1:$AY$1,),))))</f>
        <v/>
      </c>
      <c r="O304" s="13">
        <f>((((VLOOKUP(B304,Database!$F:$AY,MATCH($O$1,Database!$F$1:$AY$1,),))))-(((VLOOKUP(EDATE(B304,-12),Database!$F:$AY,MATCH($O$1,Database!$F$1:$AY$1,),)))))/(((VLOOKUP(EDATE(B304,-12),Database!$F:$AY,MATCH($O$1,Database!$F$1:$AY$1,),))))</f>
        <v/>
      </c>
      <c r="P304" s="13">
        <f>((((VLOOKUP(B304,Database!$F:$AY,MATCH($P$1,Database!$F$1:$AY$1,),))))-(((VLOOKUP(EDATE(B304,-12),Database!$F:$AY,MATCH($P$1,Database!$F$1:$AY$1,),)))))/(((VLOOKUP(EDATE(B304,-12),Database!$F:$AY,MATCH($P$1,Database!$F$1:$AY$1,),))))</f>
        <v/>
      </c>
      <c r="Q304" s="13">
        <f>((((VLOOKUP(B304,Database!$F:$AY,MATCH($Q$1,Database!$F$1:$AY$1,),))))-(((VLOOKUP(EDATE(B304,-12),Database!$F:$AY,MATCH($Q$1,Database!$F$1:$AY$1,),)))))/(((VLOOKUP(EDATE(B304,-12),Database!$F:$AY,MATCH($Q$1,Database!$F$1:$AY$1,),))))</f>
        <v/>
      </c>
      <c r="R304" s="13">
        <f>((((VLOOKUP(B304,Database!$F:$AY,MATCH($R$1,Database!$F$1:$AY$1,),))))-(((VLOOKUP(EDATE(B304,-12),Database!$F:$AY,MATCH($R$1,Database!$F$1:$AY$1,),)))))/(((VLOOKUP(EDATE(B304,-12),Database!$F:$AY,MATCH($R$1,Database!$F$1:$AY$1,),))))</f>
        <v/>
      </c>
      <c r="S304" s="13">
        <f>((((VLOOKUP(B304,Database!$F:$AY,MATCH($S$1,Database!$F$1:$AY$1,),))))-(((VLOOKUP(EDATE(B304,-12),Database!$F:$AY,MATCH($S$1,Database!$F$1:$AY$1,),)))))/(((VLOOKUP(EDATE(B304,-12),Database!$F:$AY,MATCH($S$1,Database!$F$1:$AY$1,),))))</f>
        <v/>
      </c>
      <c r="T304" s="13">
        <f>((((VLOOKUP(B304,Database!$F:$AY,MATCH($T$1,Database!$F$1:$AY$1,),))))-(((VLOOKUP(EDATE(B304,-12),Database!$F:$AY,MATCH($T$1,Database!$F$1:$AY$1,),)))))/(((VLOOKUP(EDATE(B304,-12),Database!$F:$AY,MATCH($T$1,Database!$F$1:$AY$1,),))))</f>
        <v/>
      </c>
      <c r="U304" s="13">
        <f>((((VLOOKUP(B304,Database!$F:$AY,MATCH($U$1,Database!$F$1:$AY$1,),))))-(((VLOOKUP(EDATE(B304,-12),Database!$F:$AY,MATCH($U$1,Database!$F$1:$AY$1,),)))))/(((VLOOKUP(EDATE(B304,-12),Database!$F:$AY,MATCH($U$1,Database!$F$1:$AY$1,),))))</f>
        <v/>
      </c>
      <c r="V304" s="13">
        <f>((((VLOOKUP(B304,Database!$F:$AY,MATCH($V$1,Database!$F$1:$AY$1,),))))-(((VLOOKUP(EDATE(B304,-12),Database!$F:$AY,MATCH($V$1,Database!$F$1:$AY$1,),)))))/(((VLOOKUP(EDATE(B304,-12),Database!$F:$AY,MATCH($V$1,Database!$F$1:$AY$1,),))))</f>
        <v/>
      </c>
    </row>
    <row r="305" customFormat="1" s="100">
      <c r="A305" s="45" t="n"/>
      <c r="B305" s="46" t="n">
        <v>41426</v>
      </c>
      <c r="C305" s="13">
        <f>((((VLOOKUP(B305,Database!$F:$AY,MATCH($C$1,Database!$F$1:$AY$1,),))))-(((VLOOKUP(EDATE(B305,-12),Database!$F:$AY,MATCH($C$1,Database!$F$1:$AY$1,),)))))/(((VLOOKUP(EDATE(B305,-12),Database!$F:$AY,MATCH($C$1,Database!$F$1:$AY$1,),))))</f>
        <v/>
      </c>
      <c r="D305" s="13">
        <f>((((VLOOKUP(B305,Database!$F:$AY,MATCH($D$1,Database!$F$1:$AY$1,),))))-(((VLOOKUP(EDATE(B305,-12),Database!$F:$AY,MATCH($D$1,Database!$F$1:$AY$1,),)))))/(((VLOOKUP(EDATE(B305,-12),Database!$F:$AY,MATCH($D$1,Database!$F$1:$AY$1,),))))</f>
        <v/>
      </c>
      <c r="E305" s="13">
        <f>((((VLOOKUP(B305,Database!$F:$AY,MATCH($E$1,Database!$F$1:$AY$1,),))))-(((VLOOKUP(EDATE(B305,-12),Database!$F:$AY,MATCH($E$1,Database!$F$1:$AY$1,),)))))/(((VLOOKUP(EDATE(B305,-12),Database!$F:$AY,MATCH($E$1,Database!$F$1:$AY$1,),))))</f>
        <v/>
      </c>
      <c r="F305" s="13">
        <f>((((VLOOKUP(B305,Database!$F:$AY,MATCH($F$1,Database!$F$1:$AY$1,),))))-(((VLOOKUP(EDATE(B305,-12),Database!$F:$AY,MATCH($F$1,Database!$F$1:$AY$1,),)))))/(((VLOOKUP(EDATE(B305,-12),Database!$F:$AY,MATCH($F$1,Database!$F$1:$AY$1,),))))</f>
        <v/>
      </c>
      <c r="G305" s="13">
        <f>((((VLOOKUP(B305,Database!$F:$AY,MATCH($G$1,Database!$F$1:$AY$1,),))))-(((VLOOKUP(EDATE(B305,-12),Database!$F:$AY,MATCH($G$1,Database!$F$1:$AY$1,),)))))/(((VLOOKUP(EDATE(B305,-12),Database!$F:$AY,MATCH($G$1,Database!$F$1:$AY$1,),))))</f>
        <v/>
      </c>
      <c r="H305" s="13">
        <f>((((VLOOKUP(B305,Database!$F:$AY,MATCH($H$1,Database!$F$1:$AY$1,),))))-(((VLOOKUP(EDATE(B305,-12),Database!$F:$AY,MATCH($H$1,Database!$F$1:$AY$1,),)))))/(((VLOOKUP(EDATE(B305,-12),Database!$F:$AY,MATCH($H$1,Database!$F$1:$AY$1,),))))</f>
        <v/>
      </c>
      <c r="I305" s="13">
        <f>((((VLOOKUP(B305,Database!$F:$AY,MATCH($I$1,Database!$F$1:$AY$1,),))))-(((VLOOKUP(EDATE(B305,-12),Database!$F:$AY,MATCH($I$1,Database!$F$1:$AY$1,),)))))/(((VLOOKUP(EDATE(B305,-12),Database!$F:$AY,MATCH($I$1,Database!$F$1:$AY$1,),))))</f>
        <v/>
      </c>
      <c r="J305" s="13">
        <f>((((VLOOKUP(B305,Database!$F:$AY,MATCH($J$1,Database!$F$1:$AY$1,),))))-(((VLOOKUP(EDATE(B305,-12),Database!$F:$AY,MATCH($J$1,Database!$F$1:$AY$1,),)))))/(((VLOOKUP(EDATE(B305,-12),Database!$F:$AY,MATCH($J$1,Database!$F$1:$AY$1,),))))</f>
        <v/>
      </c>
      <c r="K305" s="13">
        <f>((((VLOOKUP(B305,Database!$F:$AY,MATCH($K$1,Database!$F$1:$AY$1,),))))-(((VLOOKUP(EDATE(B305,-12),Database!$F:$AY,MATCH($K$1,Database!$F$1:$AY$1,),)))))/(((VLOOKUP(EDATE(B305,-12),Database!$F:$AY,MATCH($K$1,Database!$F$1:$AY$1,),))))</f>
        <v/>
      </c>
      <c r="L305" s="13">
        <f>((((VLOOKUP(B305,Database!$F:$AY,MATCH($L$1,Database!$F$1:$AY$1,),))))-(((VLOOKUP(EDATE(B305,-12),Database!$F:$AY,MATCH($L$1,Database!$F$1:$AY$1,),)))))/(((VLOOKUP(EDATE(B305,-12),Database!$F:$AY,MATCH($L$1,Database!$F$1:$AY$1,),))))</f>
        <v/>
      </c>
      <c r="M305" s="13">
        <f>((((VLOOKUP(B305,Database!$F:$AY,MATCH($M$1,Database!$F$1:$AY$1,),))))-(((VLOOKUP(EDATE(B305,-12),Database!$F:$AY,MATCH($M$1,Database!$F$1:$AY$1,),)))))/(((VLOOKUP(EDATE(B305,-12),Database!$F:$AY,MATCH($M$1,Database!$F$1:$AY$1,),))))</f>
        <v/>
      </c>
      <c r="N305" s="13">
        <f>((((VLOOKUP(B305,Database!$F:$AY,MATCH($N$1,Database!$F$1:$AY$1,),))))-(((VLOOKUP(EDATE(B305,-12),Database!$F:$AY,MATCH($N$1,Database!$F$1:$AY$1,),)))))/(((VLOOKUP(EDATE(B305,-12),Database!$F:$AY,MATCH($N$1,Database!$F$1:$AY$1,),))))</f>
        <v/>
      </c>
      <c r="O305" s="13">
        <f>((((VLOOKUP(B305,Database!$F:$AY,MATCH($O$1,Database!$F$1:$AY$1,),))))-(((VLOOKUP(EDATE(B305,-12),Database!$F:$AY,MATCH($O$1,Database!$F$1:$AY$1,),)))))/(((VLOOKUP(EDATE(B305,-12),Database!$F:$AY,MATCH($O$1,Database!$F$1:$AY$1,),))))</f>
        <v/>
      </c>
      <c r="P305" s="13">
        <f>((((VLOOKUP(B305,Database!$F:$AY,MATCH($P$1,Database!$F$1:$AY$1,),))))-(((VLOOKUP(EDATE(B305,-12),Database!$F:$AY,MATCH($P$1,Database!$F$1:$AY$1,),)))))/(((VLOOKUP(EDATE(B305,-12),Database!$F:$AY,MATCH($P$1,Database!$F$1:$AY$1,),))))</f>
        <v/>
      </c>
      <c r="Q305" s="13">
        <f>((((VLOOKUP(B305,Database!$F:$AY,MATCH($Q$1,Database!$F$1:$AY$1,),))))-(((VLOOKUP(EDATE(B305,-12),Database!$F:$AY,MATCH($Q$1,Database!$F$1:$AY$1,),)))))/(((VLOOKUP(EDATE(B305,-12),Database!$F:$AY,MATCH($Q$1,Database!$F$1:$AY$1,),))))</f>
        <v/>
      </c>
      <c r="R305" s="13">
        <f>((((VLOOKUP(B305,Database!$F:$AY,MATCH($R$1,Database!$F$1:$AY$1,),))))-(((VLOOKUP(EDATE(B305,-12),Database!$F:$AY,MATCH($R$1,Database!$F$1:$AY$1,),)))))/(((VLOOKUP(EDATE(B305,-12),Database!$F:$AY,MATCH($R$1,Database!$F$1:$AY$1,),))))</f>
        <v/>
      </c>
      <c r="S305" s="13">
        <f>((((VLOOKUP(B305,Database!$F:$AY,MATCH($S$1,Database!$F$1:$AY$1,),))))-(((VLOOKUP(EDATE(B305,-12),Database!$F:$AY,MATCH($S$1,Database!$F$1:$AY$1,),)))))/(((VLOOKUP(EDATE(B305,-12),Database!$F:$AY,MATCH($S$1,Database!$F$1:$AY$1,),))))</f>
        <v/>
      </c>
      <c r="T305" s="13">
        <f>((((VLOOKUP(B305,Database!$F:$AY,MATCH($T$1,Database!$F$1:$AY$1,),))))-(((VLOOKUP(EDATE(B305,-12),Database!$F:$AY,MATCH($T$1,Database!$F$1:$AY$1,),)))))/(((VLOOKUP(EDATE(B305,-12),Database!$F:$AY,MATCH($T$1,Database!$F$1:$AY$1,),))))</f>
        <v/>
      </c>
      <c r="U305" s="13">
        <f>((((VLOOKUP(B305,Database!$F:$AY,MATCH($U$1,Database!$F$1:$AY$1,),))))-(((VLOOKUP(EDATE(B305,-12),Database!$F:$AY,MATCH($U$1,Database!$F$1:$AY$1,),)))))/(((VLOOKUP(EDATE(B305,-12),Database!$F:$AY,MATCH($U$1,Database!$F$1:$AY$1,),))))</f>
        <v/>
      </c>
      <c r="V305" s="13">
        <f>((((VLOOKUP(B305,Database!$F:$AY,MATCH($V$1,Database!$F$1:$AY$1,),))))-(((VLOOKUP(EDATE(B305,-12),Database!$F:$AY,MATCH($V$1,Database!$F$1:$AY$1,),)))))/(((VLOOKUP(EDATE(B305,-12),Database!$F:$AY,MATCH($V$1,Database!$F$1:$AY$1,),))))</f>
        <v/>
      </c>
    </row>
    <row r="306" customFormat="1" s="100">
      <c r="A306" s="45" t="n"/>
      <c r="B306" s="46" t="n">
        <v>41456</v>
      </c>
      <c r="C306" s="13">
        <f>((((VLOOKUP(B306,Database!$F:$AY,MATCH($C$1,Database!$F$1:$AY$1,),))))-(((VLOOKUP(EDATE(B306,-12),Database!$F:$AY,MATCH($C$1,Database!$F$1:$AY$1,),)))))/(((VLOOKUP(EDATE(B306,-12),Database!$F:$AY,MATCH($C$1,Database!$F$1:$AY$1,),))))</f>
        <v/>
      </c>
      <c r="D306" s="13">
        <f>((((VLOOKUP(B306,Database!$F:$AY,MATCH($D$1,Database!$F$1:$AY$1,),))))-(((VLOOKUP(EDATE(B306,-12),Database!$F:$AY,MATCH($D$1,Database!$F$1:$AY$1,),)))))/(((VLOOKUP(EDATE(B306,-12),Database!$F:$AY,MATCH($D$1,Database!$F$1:$AY$1,),))))</f>
        <v/>
      </c>
      <c r="E306" s="13">
        <f>((((VLOOKUP(B306,Database!$F:$AY,MATCH($E$1,Database!$F$1:$AY$1,),))))-(((VLOOKUP(EDATE(B306,-12),Database!$F:$AY,MATCH($E$1,Database!$F$1:$AY$1,),)))))/(((VLOOKUP(EDATE(B306,-12),Database!$F:$AY,MATCH($E$1,Database!$F$1:$AY$1,),))))</f>
        <v/>
      </c>
      <c r="F306" s="13">
        <f>((((VLOOKUP(B306,Database!$F:$AY,MATCH($F$1,Database!$F$1:$AY$1,),))))-(((VLOOKUP(EDATE(B306,-12),Database!$F:$AY,MATCH($F$1,Database!$F$1:$AY$1,),)))))/(((VLOOKUP(EDATE(B306,-12),Database!$F:$AY,MATCH($F$1,Database!$F$1:$AY$1,),))))</f>
        <v/>
      </c>
      <c r="G306" s="13">
        <f>((((VLOOKUP(B306,Database!$F:$AY,MATCH($G$1,Database!$F$1:$AY$1,),))))-(((VLOOKUP(EDATE(B306,-12),Database!$F:$AY,MATCH($G$1,Database!$F$1:$AY$1,),)))))/(((VLOOKUP(EDATE(B306,-12),Database!$F:$AY,MATCH($G$1,Database!$F$1:$AY$1,),))))</f>
        <v/>
      </c>
      <c r="H306" s="13">
        <f>((((VLOOKUP(B306,Database!$F:$AY,MATCH($H$1,Database!$F$1:$AY$1,),))))-(((VLOOKUP(EDATE(B306,-12),Database!$F:$AY,MATCH($H$1,Database!$F$1:$AY$1,),)))))/(((VLOOKUP(EDATE(B306,-12),Database!$F:$AY,MATCH($H$1,Database!$F$1:$AY$1,),))))</f>
        <v/>
      </c>
      <c r="I306" s="13">
        <f>((((VLOOKUP(B306,Database!$F:$AY,MATCH($I$1,Database!$F$1:$AY$1,),))))-(((VLOOKUP(EDATE(B306,-12),Database!$F:$AY,MATCH($I$1,Database!$F$1:$AY$1,),)))))/(((VLOOKUP(EDATE(B306,-12),Database!$F:$AY,MATCH($I$1,Database!$F$1:$AY$1,),))))</f>
        <v/>
      </c>
      <c r="J306" s="13">
        <f>((((VLOOKUP(B306,Database!$F:$AY,MATCH($J$1,Database!$F$1:$AY$1,),))))-(((VLOOKUP(EDATE(B306,-12),Database!$F:$AY,MATCH($J$1,Database!$F$1:$AY$1,),)))))/(((VLOOKUP(EDATE(B306,-12),Database!$F:$AY,MATCH($J$1,Database!$F$1:$AY$1,),))))</f>
        <v/>
      </c>
      <c r="K306" s="13">
        <f>((((VLOOKUP(B306,Database!$F:$AY,MATCH($K$1,Database!$F$1:$AY$1,),))))-(((VLOOKUP(EDATE(B306,-12),Database!$F:$AY,MATCH($K$1,Database!$F$1:$AY$1,),)))))/(((VLOOKUP(EDATE(B306,-12),Database!$F:$AY,MATCH($K$1,Database!$F$1:$AY$1,),))))</f>
        <v/>
      </c>
      <c r="L306" s="13">
        <f>((((VLOOKUP(B306,Database!$F:$AY,MATCH($L$1,Database!$F$1:$AY$1,),))))-(((VLOOKUP(EDATE(B306,-12),Database!$F:$AY,MATCH($L$1,Database!$F$1:$AY$1,),)))))/(((VLOOKUP(EDATE(B306,-12),Database!$F:$AY,MATCH($L$1,Database!$F$1:$AY$1,),))))</f>
        <v/>
      </c>
      <c r="M306" s="13">
        <f>((((VLOOKUP(B306,Database!$F:$AY,MATCH($M$1,Database!$F$1:$AY$1,),))))-(((VLOOKUP(EDATE(B306,-12),Database!$F:$AY,MATCH($M$1,Database!$F$1:$AY$1,),)))))/(((VLOOKUP(EDATE(B306,-12),Database!$F:$AY,MATCH($M$1,Database!$F$1:$AY$1,),))))</f>
        <v/>
      </c>
      <c r="N306" s="13">
        <f>((((VLOOKUP(B306,Database!$F:$AY,MATCH($N$1,Database!$F$1:$AY$1,),))))-(((VLOOKUP(EDATE(B306,-12),Database!$F:$AY,MATCH($N$1,Database!$F$1:$AY$1,),)))))/(((VLOOKUP(EDATE(B306,-12),Database!$F:$AY,MATCH($N$1,Database!$F$1:$AY$1,),))))</f>
        <v/>
      </c>
      <c r="O306" s="13">
        <f>((((VLOOKUP(B306,Database!$F:$AY,MATCH($O$1,Database!$F$1:$AY$1,),))))-(((VLOOKUP(EDATE(B306,-12),Database!$F:$AY,MATCH($O$1,Database!$F$1:$AY$1,),)))))/(((VLOOKUP(EDATE(B306,-12),Database!$F:$AY,MATCH($O$1,Database!$F$1:$AY$1,),))))</f>
        <v/>
      </c>
      <c r="P306" s="13">
        <f>((((VLOOKUP(B306,Database!$F:$AY,MATCH($P$1,Database!$F$1:$AY$1,),))))-(((VLOOKUP(EDATE(B306,-12),Database!$F:$AY,MATCH($P$1,Database!$F$1:$AY$1,),)))))/(((VLOOKUP(EDATE(B306,-12),Database!$F:$AY,MATCH($P$1,Database!$F$1:$AY$1,),))))</f>
        <v/>
      </c>
      <c r="Q306" s="13">
        <f>((((VLOOKUP(B306,Database!$F:$AY,MATCH($Q$1,Database!$F$1:$AY$1,),))))-(((VLOOKUP(EDATE(B306,-12),Database!$F:$AY,MATCH($Q$1,Database!$F$1:$AY$1,),)))))/(((VLOOKUP(EDATE(B306,-12),Database!$F:$AY,MATCH($Q$1,Database!$F$1:$AY$1,),))))</f>
        <v/>
      </c>
      <c r="R306" s="13">
        <f>((((VLOOKUP(B306,Database!$F:$AY,MATCH($R$1,Database!$F$1:$AY$1,),))))-(((VLOOKUP(EDATE(B306,-12),Database!$F:$AY,MATCH($R$1,Database!$F$1:$AY$1,),)))))/(((VLOOKUP(EDATE(B306,-12),Database!$F:$AY,MATCH($R$1,Database!$F$1:$AY$1,),))))</f>
        <v/>
      </c>
      <c r="S306" s="13">
        <f>((((VLOOKUP(B306,Database!$F:$AY,MATCH($S$1,Database!$F$1:$AY$1,),))))-(((VLOOKUP(EDATE(B306,-12),Database!$F:$AY,MATCH($S$1,Database!$F$1:$AY$1,),)))))/(((VLOOKUP(EDATE(B306,-12),Database!$F:$AY,MATCH($S$1,Database!$F$1:$AY$1,),))))</f>
        <v/>
      </c>
      <c r="T306" s="13">
        <f>((((VLOOKUP(B306,Database!$F:$AY,MATCH($T$1,Database!$F$1:$AY$1,),))))-(((VLOOKUP(EDATE(B306,-12),Database!$F:$AY,MATCH($T$1,Database!$F$1:$AY$1,),)))))/(((VLOOKUP(EDATE(B306,-12),Database!$F:$AY,MATCH($T$1,Database!$F$1:$AY$1,),))))</f>
        <v/>
      </c>
      <c r="U306" s="13">
        <f>((((VLOOKUP(B306,Database!$F:$AY,MATCH($U$1,Database!$F$1:$AY$1,),))))-(((VLOOKUP(EDATE(B306,-12),Database!$F:$AY,MATCH($U$1,Database!$F$1:$AY$1,),)))))/(((VLOOKUP(EDATE(B306,-12),Database!$F:$AY,MATCH($U$1,Database!$F$1:$AY$1,),))))</f>
        <v/>
      </c>
      <c r="V306" s="13">
        <f>((((VLOOKUP(B306,Database!$F:$AY,MATCH($V$1,Database!$F$1:$AY$1,),))))-(((VLOOKUP(EDATE(B306,-12),Database!$F:$AY,MATCH($V$1,Database!$F$1:$AY$1,),)))))/(((VLOOKUP(EDATE(B306,-12),Database!$F:$AY,MATCH($V$1,Database!$F$1:$AY$1,),))))</f>
        <v/>
      </c>
    </row>
    <row r="307" customFormat="1" s="100">
      <c r="A307" s="45" t="n"/>
      <c r="B307" s="46" t="n">
        <v>41487</v>
      </c>
      <c r="C307" s="13">
        <f>((((VLOOKUP(B307,Database!$F:$AY,MATCH($C$1,Database!$F$1:$AY$1,),))))-(((VLOOKUP(EDATE(B307,-12),Database!$F:$AY,MATCH($C$1,Database!$F$1:$AY$1,),)))))/(((VLOOKUP(EDATE(B307,-12),Database!$F:$AY,MATCH($C$1,Database!$F$1:$AY$1,),))))</f>
        <v/>
      </c>
      <c r="D307" s="13">
        <f>((((VLOOKUP(B307,Database!$F:$AY,MATCH($D$1,Database!$F$1:$AY$1,),))))-(((VLOOKUP(EDATE(B307,-12),Database!$F:$AY,MATCH($D$1,Database!$F$1:$AY$1,),)))))/(((VLOOKUP(EDATE(B307,-12),Database!$F:$AY,MATCH($D$1,Database!$F$1:$AY$1,),))))</f>
        <v/>
      </c>
      <c r="E307" s="13">
        <f>((((VLOOKUP(B307,Database!$F:$AY,MATCH($E$1,Database!$F$1:$AY$1,),))))-(((VLOOKUP(EDATE(B307,-12),Database!$F:$AY,MATCH($E$1,Database!$F$1:$AY$1,),)))))/(((VLOOKUP(EDATE(B307,-12),Database!$F:$AY,MATCH($E$1,Database!$F$1:$AY$1,),))))</f>
        <v/>
      </c>
      <c r="F307" s="13">
        <f>((((VLOOKUP(B307,Database!$F:$AY,MATCH($F$1,Database!$F$1:$AY$1,),))))-(((VLOOKUP(EDATE(B307,-12),Database!$F:$AY,MATCH($F$1,Database!$F$1:$AY$1,),)))))/(((VLOOKUP(EDATE(B307,-12),Database!$F:$AY,MATCH($F$1,Database!$F$1:$AY$1,),))))</f>
        <v/>
      </c>
      <c r="G307" s="13">
        <f>((((VLOOKUP(B307,Database!$F:$AY,MATCH($G$1,Database!$F$1:$AY$1,),))))-(((VLOOKUP(EDATE(B307,-12),Database!$F:$AY,MATCH($G$1,Database!$F$1:$AY$1,),)))))/(((VLOOKUP(EDATE(B307,-12),Database!$F:$AY,MATCH($G$1,Database!$F$1:$AY$1,),))))</f>
        <v/>
      </c>
      <c r="H307" s="13">
        <f>((((VLOOKUP(B307,Database!$F:$AY,MATCH($H$1,Database!$F$1:$AY$1,),))))-(((VLOOKUP(EDATE(B307,-12),Database!$F:$AY,MATCH($H$1,Database!$F$1:$AY$1,),)))))/(((VLOOKUP(EDATE(B307,-12),Database!$F:$AY,MATCH($H$1,Database!$F$1:$AY$1,),))))</f>
        <v/>
      </c>
      <c r="I307" s="13">
        <f>((((VLOOKUP(B307,Database!$F:$AY,MATCH($I$1,Database!$F$1:$AY$1,),))))-(((VLOOKUP(EDATE(B307,-12),Database!$F:$AY,MATCH($I$1,Database!$F$1:$AY$1,),)))))/(((VLOOKUP(EDATE(B307,-12),Database!$F:$AY,MATCH($I$1,Database!$F$1:$AY$1,),))))</f>
        <v/>
      </c>
      <c r="J307" s="13">
        <f>((((VLOOKUP(B307,Database!$F:$AY,MATCH($J$1,Database!$F$1:$AY$1,),))))-(((VLOOKUP(EDATE(B307,-12),Database!$F:$AY,MATCH($J$1,Database!$F$1:$AY$1,),)))))/(((VLOOKUP(EDATE(B307,-12),Database!$F:$AY,MATCH($J$1,Database!$F$1:$AY$1,),))))</f>
        <v/>
      </c>
      <c r="K307" s="13">
        <f>((((VLOOKUP(B307,Database!$F:$AY,MATCH($K$1,Database!$F$1:$AY$1,),))))-(((VLOOKUP(EDATE(B307,-12),Database!$F:$AY,MATCH($K$1,Database!$F$1:$AY$1,),)))))/(((VLOOKUP(EDATE(B307,-12),Database!$F:$AY,MATCH($K$1,Database!$F$1:$AY$1,),))))</f>
        <v/>
      </c>
      <c r="L307" s="13">
        <f>((((VLOOKUP(B307,Database!$F:$AY,MATCH($L$1,Database!$F$1:$AY$1,),))))-(((VLOOKUP(EDATE(B307,-12),Database!$F:$AY,MATCH($L$1,Database!$F$1:$AY$1,),)))))/(((VLOOKUP(EDATE(B307,-12),Database!$F:$AY,MATCH($L$1,Database!$F$1:$AY$1,),))))</f>
        <v/>
      </c>
      <c r="M307" s="13">
        <f>((((VLOOKUP(B307,Database!$F:$AY,MATCH($M$1,Database!$F$1:$AY$1,),))))-(((VLOOKUP(EDATE(B307,-12),Database!$F:$AY,MATCH($M$1,Database!$F$1:$AY$1,),)))))/(((VLOOKUP(EDATE(B307,-12),Database!$F:$AY,MATCH($M$1,Database!$F$1:$AY$1,),))))</f>
        <v/>
      </c>
      <c r="N307" s="13">
        <f>((((VLOOKUP(B307,Database!$F:$AY,MATCH($N$1,Database!$F$1:$AY$1,),))))-(((VLOOKUP(EDATE(B307,-12),Database!$F:$AY,MATCH($N$1,Database!$F$1:$AY$1,),)))))/(((VLOOKUP(EDATE(B307,-12),Database!$F:$AY,MATCH($N$1,Database!$F$1:$AY$1,),))))</f>
        <v/>
      </c>
      <c r="O307" s="13">
        <f>((((VLOOKUP(B307,Database!$F:$AY,MATCH($O$1,Database!$F$1:$AY$1,),))))-(((VLOOKUP(EDATE(B307,-12),Database!$F:$AY,MATCH($O$1,Database!$F$1:$AY$1,),)))))/(((VLOOKUP(EDATE(B307,-12),Database!$F:$AY,MATCH($O$1,Database!$F$1:$AY$1,),))))</f>
        <v/>
      </c>
      <c r="P307" s="13">
        <f>((((VLOOKUP(B307,Database!$F:$AY,MATCH($P$1,Database!$F$1:$AY$1,),))))-(((VLOOKUP(EDATE(B307,-12),Database!$F:$AY,MATCH($P$1,Database!$F$1:$AY$1,),)))))/(((VLOOKUP(EDATE(B307,-12),Database!$F:$AY,MATCH($P$1,Database!$F$1:$AY$1,),))))</f>
        <v/>
      </c>
      <c r="Q307" s="13">
        <f>((((VLOOKUP(B307,Database!$F:$AY,MATCH($Q$1,Database!$F$1:$AY$1,),))))-(((VLOOKUP(EDATE(B307,-12),Database!$F:$AY,MATCH($Q$1,Database!$F$1:$AY$1,),)))))/(((VLOOKUP(EDATE(B307,-12),Database!$F:$AY,MATCH($Q$1,Database!$F$1:$AY$1,),))))</f>
        <v/>
      </c>
      <c r="R307" s="13">
        <f>((((VLOOKUP(B307,Database!$F:$AY,MATCH($R$1,Database!$F$1:$AY$1,),))))-(((VLOOKUP(EDATE(B307,-12),Database!$F:$AY,MATCH($R$1,Database!$F$1:$AY$1,),)))))/(((VLOOKUP(EDATE(B307,-12),Database!$F:$AY,MATCH($R$1,Database!$F$1:$AY$1,),))))</f>
        <v/>
      </c>
      <c r="S307" s="13">
        <f>((((VLOOKUP(B307,Database!$F:$AY,MATCH($S$1,Database!$F$1:$AY$1,),))))-(((VLOOKUP(EDATE(B307,-12),Database!$F:$AY,MATCH($S$1,Database!$F$1:$AY$1,),)))))/(((VLOOKUP(EDATE(B307,-12),Database!$F:$AY,MATCH($S$1,Database!$F$1:$AY$1,),))))</f>
        <v/>
      </c>
      <c r="T307" s="13">
        <f>((((VLOOKUP(B307,Database!$F:$AY,MATCH($T$1,Database!$F$1:$AY$1,),))))-(((VLOOKUP(EDATE(B307,-12),Database!$F:$AY,MATCH($T$1,Database!$F$1:$AY$1,),)))))/(((VLOOKUP(EDATE(B307,-12),Database!$F:$AY,MATCH($T$1,Database!$F$1:$AY$1,),))))</f>
        <v/>
      </c>
      <c r="U307" s="13">
        <f>((((VLOOKUP(B307,Database!$F:$AY,MATCH($U$1,Database!$F$1:$AY$1,),))))-(((VLOOKUP(EDATE(B307,-12),Database!$F:$AY,MATCH($U$1,Database!$F$1:$AY$1,),)))))/(((VLOOKUP(EDATE(B307,-12),Database!$F:$AY,MATCH($U$1,Database!$F$1:$AY$1,),))))</f>
        <v/>
      </c>
      <c r="V307" s="13">
        <f>((((VLOOKUP(B307,Database!$F:$AY,MATCH($V$1,Database!$F$1:$AY$1,),))))-(((VLOOKUP(EDATE(B307,-12),Database!$F:$AY,MATCH($V$1,Database!$F$1:$AY$1,),)))))/(((VLOOKUP(EDATE(B307,-12),Database!$F:$AY,MATCH($V$1,Database!$F$1:$AY$1,),))))</f>
        <v/>
      </c>
    </row>
    <row r="308" customFormat="1" s="100">
      <c r="A308" s="45" t="n"/>
      <c r="B308" s="46" t="n">
        <v>41518</v>
      </c>
      <c r="C308" s="13">
        <f>((((VLOOKUP(B308,Database!$F:$AY,MATCH($C$1,Database!$F$1:$AY$1,),))))-(((VLOOKUP(EDATE(B308,-12),Database!$F:$AY,MATCH($C$1,Database!$F$1:$AY$1,),)))))/(((VLOOKUP(EDATE(B308,-12),Database!$F:$AY,MATCH($C$1,Database!$F$1:$AY$1,),))))</f>
        <v/>
      </c>
      <c r="D308" s="13">
        <f>((((VLOOKUP(B308,Database!$F:$AY,MATCH($D$1,Database!$F$1:$AY$1,),))))-(((VLOOKUP(EDATE(B308,-12),Database!$F:$AY,MATCH($D$1,Database!$F$1:$AY$1,),)))))/(((VLOOKUP(EDATE(B308,-12),Database!$F:$AY,MATCH($D$1,Database!$F$1:$AY$1,),))))</f>
        <v/>
      </c>
      <c r="E308" s="13">
        <f>((((VLOOKUP(B308,Database!$F:$AY,MATCH($E$1,Database!$F$1:$AY$1,),))))-(((VLOOKUP(EDATE(B308,-12),Database!$F:$AY,MATCH($E$1,Database!$F$1:$AY$1,),)))))/(((VLOOKUP(EDATE(B308,-12),Database!$F:$AY,MATCH($E$1,Database!$F$1:$AY$1,),))))</f>
        <v/>
      </c>
      <c r="F308" s="13">
        <f>((((VLOOKUP(B308,Database!$F:$AY,MATCH($F$1,Database!$F$1:$AY$1,),))))-(((VLOOKUP(EDATE(B308,-12),Database!$F:$AY,MATCH($F$1,Database!$F$1:$AY$1,),)))))/(((VLOOKUP(EDATE(B308,-12),Database!$F:$AY,MATCH($F$1,Database!$F$1:$AY$1,),))))</f>
        <v/>
      </c>
      <c r="G308" s="13">
        <f>((((VLOOKUP(B308,Database!$F:$AY,MATCH($G$1,Database!$F$1:$AY$1,),))))-(((VLOOKUP(EDATE(B308,-12),Database!$F:$AY,MATCH($G$1,Database!$F$1:$AY$1,),)))))/(((VLOOKUP(EDATE(B308,-12),Database!$F:$AY,MATCH($G$1,Database!$F$1:$AY$1,),))))</f>
        <v/>
      </c>
      <c r="H308" s="13">
        <f>((((VLOOKUP(B308,Database!$F:$AY,MATCH($H$1,Database!$F$1:$AY$1,),))))-(((VLOOKUP(EDATE(B308,-12),Database!$F:$AY,MATCH($H$1,Database!$F$1:$AY$1,),)))))/(((VLOOKUP(EDATE(B308,-12),Database!$F:$AY,MATCH($H$1,Database!$F$1:$AY$1,),))))</f>
        <v/>
      </c>
      <c r="I308" s="13">
        <f>((((VLOOKUP(B308,Database!$F:$AY,MATCH($I$1,Database!$F$1:$AY$1,),))))-(((VLOOKUP(EDATE(B308,-12),Database!$F:$AY,MATCH($I$1,Database!$F$1:$AY$1,),)))))/(((VLOOKUP(EDATE(B308,-12),Database!$F:$AY,MATCH($I$1,Database!$F$1:$AY$1,),))))</f>
        <v/>
      </c>
      <c r="J308" s="13">
        <f>((((VLOOKUP(B308,Database!$F:$AY,MATCH($J$1,Database!$F$1:$AY$1,),))))-(((VLOOKUP(EDATE(B308,-12),Database!$F:$AY,MATCH($J$1,Database!$F$1:$AY$1,),)))))/(((VLOOKUP(EDATE(B308,-12),Database!$F:$AY,MATCH($J$1,Database!$F$1:$AY$1,),))))</f>
        <v/>
      </c>
      <c r="K308" s="13">
        <f>((((VLOOKUP(B308,Database!$F:$AY,MATCH($K$1,Database!$F$1:$AY$1,),))))-(((VLOOKUP(EDATE(B308,-12),Database!$F:$AY,MATCH($K$1,Database!$F$1:$AY$1,),)))))/(((VLOOKUP(EDATE(B308,-12),Database!$F:$AY,MATCH($K$1,Database!$F$1:$AY$1,),))))</f>
        <v/>
      </c>
      <c r="L308" s="13">
        <f>((((VLOOKUP(B308,Database!$F:$AY,MATCH($L$1,Database!$F$1:$AY$1,),))))-(((VLOOKUP(EDATE(B308,-12),Database!$F:$AY,MATCH($L$1,Database!$F$1:$AY$1,),)))))/(((VLOOKUP(EDATE(B308,-12),Database!$F:$AY,MATCH($L$1,Database!$F$1:$AY$1,),))))</f>
        <v/>
      </c>
      <c r="M308" s="13">
        <f>((((VLOOKUP(B308,Database!$F:$AY,MATCH($M$1,Database!$F$1:$AY$1,),))))-(((VLOOKUP(EDATE(B308,-12),Database!$F:$AY,MATCH($M$1,Database!$F$1:$AY$1,),)))))/(((VLOOKUP(EDATE(B308,-12),Database!$F:$AY,MATCH($M$1,Database!$F$1:$AY$1,),))))</f>
        <v/>
      </c>
      <c r="N308" s="13">
        <f>((((VLOOKUP(B308,Database!$F:$AY,MATCH($N$1,Database!$F$1:$AY$1,),))))-(((VLOOKUP(EDATE(B308,-12),Database!$F:$AY,MATCH($N$1,Database!$F$1:$AY$1,),)))))/(((VLOOKUP(EDATE(B308,-12),Database!$F:$AY,MATCH($N$1,Database!$F$1:$AY$1,),))))</f>
        <v/>
      </c>
      <c r="O308" s="13">
        <f>((((VLOOKUP(B308,Database!$F:$AY,MATCH($O$1,Database!$F$1:$AY$1,),))))-(((VLOOKUP(EDATE(B308,-12),Database!$F:$AY,MATCH($O$1,Database!$F$1:$AY$1,),)))))/(((VLOOKUP(EDATE(B308,-12),Database!$F:$AY,MATCH($O$1,Database!$F$1:$AY$1,),))))</f>
        <v/>
      </c>
      <c r="P308" s="13">
        <f>((((VLOOKUP(B308,Database!$F:$AY,MATCH($P$1,Database!$F$1:$AY$1,),))))-(((VLOOKUP(EDATE(B308,-12),Database!$F:$AY,MATCH($P$1,Database!$F$1:$AY$1,),)))))/(((VLOOKUP(EDATE(B308,-12),Database!$F:$AY,MATCH($P$1,Database!$F$1:$AY$1,),))))</f>
        <v/>
      </c>
      <c r="Q308" s="13">
        <f>((((VLOOKUP(B308,Database!$F:$AY,MATCH($Q$1,Database!$F$1:$AY$1,),))))-(((VLOOKUP(EDATE(B308,-12),Database!$F:$AY,MATCH($Q$1,Database!$F$1:$AY$1,),)))))/(((VLOOKUP(EDATE(B308,-12),Database!$F:$AY,MATCH($Q$1,Database!$F$1:$AY$1,),))))</f>
        <v/>
      </c>
      <c r="R308" s="13">
        <f>((((VLOOKUP(B308,Database!$F:$AY,MATCH($R$1,Database!$F$1:$AY$1,),))))-(((VLOOKUP(EDATE(B308,-12),Database!$F:$AY,MATCH($R$1,Database!$F$1:$AY$1,),)))))/(((VLOOKUP(EDATE(B308,-12),Database!$F:$AY,MATCH($R$1,Database!$F$1:$AY$1,),))))</f>
        <v/>
      </c>
      <c r="S308" s="13">
        <f>((((VLOOKUP(B308,Database!$F:$AY,MATCH($S$1,Database!$F$1:$AY$1,),))))-(((VLOOKUP(EDATE(B308,-12),Database!$F:$AY,MATCH($S$1,Database!$F$1:$AY$1,),)))))/(((VLOOKUP(EDATE(B308,-12),Database!$F:$AY,MATCH($S$1,Database!$F$1:$AY$1,),))))</f>
        <v/>
      </c>
      <c r="T308" s="13">
        <f>((((VLOOKUP(B308,Database!$F:$AY,MATCH($T$1,Database!$F$1:$AY$1,),))))-(((VLOOKUP(EDATE(B308,-12),Database!$F:$AY,MATCH($T$1,Database!$F$1:$AY$1,),)))))/(((VLOOKUP(EDATE(B308,-12),Database!$F:$AY,MATCH($T$1,Database!$F$1:$AY$1,),))))</f>
        <v/>
      </c>
      <c r="U308" s="13">
        <f>((((VLOOKUP(B308,Database!$F:$AY,MATCH($U$1,Database!$F$1:$AY$1,),))))-(((VLOOKUP(EDATE(B308,-12),Database!$F:$AY,MATCH($U$1,Database!$F$1:$AY$1,),)))))/(((VLOOKUP(EDATE(B308,-12),Database!$F:$AY,MATCH($U$1,Database!$F$1:$AY$1,),))))</f>
        <v/>
      </c>
      <c r="V308" s="13">
        <f>((((VLOOKUP(B308,Database!$F:$AY,MATCH($V$1,Database!$F$1:$AY$1,),))))-(((VLOOKUP(EDATE(B308,-12),Database!$F:$AY,MATCH($V$1,Database!$F$1:$AY$1,),)))))/(((VLOOKUP(EDATE(B308,-12),Database!$F:$AY,MATCH($V$1,Database!$F$1:$AY$1,),))))</f>
        <v/>
      </c>
    </row>
    <row r="309" customFormat="1" s="100">
      <c r="A309" s="45" t="n"/>
      <c r="B309" s="46" t="n">
        <v>41548</v>
      </c>
      <c r="C309" s="13">
        <f>((((VLOOKUP(B309,Database!$F:$AY,MATCH($C$1,Database!$F$1:$AY$1,),))))-(((VLOOKUP(EDATE(B309,-12),Database!$F:$AY,MATCH($C$1,Database!$F$1:$AY$1,),)))))/(((VLOOKUP(EDATE(B309,-12),Database!$F:$AY,MATCH($C$1,Database!$F$1:$AY$1,),))))</f>
        <v/>
      </c>
      <c r="D309" s="13">
        <f>((((VLOOKUP(B309,Database!$F:$AY,MATCH($D$1,Database!$F$1:$AY$1,),))))-(((VLOOKUP(EDATE(B309,-12),Database!$F:$AY,MATCH($D$1,Database!$F$1:$AY$1,),)))))/(((VLOOKUP(EDATE(B309,-12),Database!$F:$AY,MATCH($D$1,Database!$F$1:$AY$1,),))))</f>
        <v/>
      </c>
      <c r="E309" s="13">
        <f>((((VLOOKUP(B309,Database!$F:$AY,MATCH($E$1,Database!$F$1:$AY$1,),))))-(((VLOOKUP(EDATE(B309,-12),Database!$F:$AY,MATCH($E$1,Database!$F$1:$AY$1,),)))))/(((VLOOKUP(EDATE(B309,-12),Database!$F:$AY,MATCH($E$1,Database!$F$1:$AY$1,),))))</f>
        <v/>
      </c>
      <c r="F309" s="13">
        <f>((((VLOOKUP(B309,Database!$F:$AY,MATCH($F$1,Database!$F$1:$AY$1,),))))-(((VLOOKUP(EDATE(B309,-12),Database!$F:$AY,MATCH($F$1,Database!$F$1:$AY$1,),)))))/(((VLOOKUP(EDATE(B309,-12),Database!$F:$AY,MATCH($F$1,Database!$F$1:$AY$1,),))))</f>
        <v/>
      </c>
      <c r="G309" s="13">
        <f>((((VLOOKUP(B309,Database!$F:$AY,MATCH($G$1,Database!$F$1:$AY$1,),))))-(((VLOOKUP(EDATE(B309,-12),Database!$F:$AY,MATCH($G$1,Database!$F$1:$AY$1,),)))))/(((VLOOKUP(EDATE(B309,-12),Database!$F:$AY,MATCH($G$1,Database!$F$1:$AY$1,),))))</f>
        <v/>
      </c>
      <c r="H309" s="13">
        <f>((((VLOOKUP(B309,Database!$F:$AY,MATCH($H$1,Database!$F$1:$AY$1,),))))-(((VLOOKUP(EDATE(B309,-12),Database!$F:$AY,MATCH($H$1,Database!$F$1:$AY$1,),)))))/(((VLOOKUP(EDATE(B309,-12),Database!$F:$AY,MATCH($H$1,Database!$F$1:$AY$1,),))))</f>
        <v/>
      </c>
      <c r="I309" s="13">
        <f>((((VLOOKUP(B309,Database!$F:$AY,MATCH($I$1,Database!$F$1:$AY$1,),))))-(((VLOOKUP(EDATE(B309,-12),Database!$F:$AY,MATCH($I$1,Database!$F$1:$AY$1,),)))))/(((VLOOKUP(EDATE(B309,-12),Database!$F:$AY,MATCH($I$1,Database!$F$1:$AY$1,),))))</f>
        <v/>
      </c>
      <c r="J309" s="13">
        <f>((((VLOOKUP(B309,Database!$F:$AY,MATCH($J$1,Database!$F$1:$AY$1,),))))-(((VLOOKUP(EDATE(B309,-12),Database!$F:$AY,MATCH($J$1,Database!$F$1:$AY$1,),)))))/(((VLOOKUP(EDATE(B309,-12),Database!$F:$AY,MATCH($J$1,Database!$F$1:$AY$1,),))))</f>
        <v/>
      </c>
      <c r="K309" s="13">
        <f>((((VLOOKUP(B309,Database!$F:$AY,MATCH($K$1,Database!$F$1:$AY$1,),))))-(((VLOOKUP(EDATE(B309,-12),Database!$F:$AY,MATCH($K$1,Database!$F$1:$AY$1,),)))))/(((VLOOKUP(EDATE(B309,-12),Database!$F:$AY,MATCH($K$1,Database!$F$1:$AY$1,),))))</f>
        <v/>
      </c>
      <c r="L309" s="13">
        <f>((((VLOOKUP(B309,Database!$F:$AY,MATCH($L$1,Database!$F$1:$AY$1,),))))-(((VLOOKUP(EDATE(B309,-12),Database!$F:$AY,MATCH($L$1,Database!$F$1:$AY$1,),)))))/(((VLOOKUP(EDATE(B309,-12),Database!$F:$AY,MATCH($L$1,Database!$F$1:$AY$1,),))))</f>
        <v/>
      </c>
      <c r="M309" s="13">
        <f>((((VLOOKUP(B309,Database!$F:$AY,MATCH($M$1,Database!$F$1:$AY$1,),))))-(((VLOOKUP(EDATE(B309,-12),Database!$F:$AY,MATCH($M$1,Database!$F$1:$AY$1,),)))))/(((VLOOKUP(EDATE(B309,-12),Database!$F:$AY,MATCH($M$1,Database!$F$1:$AY$1,),))))</f>
        <v/>
      </c>
      <c r="N309" s="13">
        <f>((((VLOOKUP(B309,Database!$F:$AY,MATCH($N$1,Database!$F$1:$AY$1,),))))-(((VLOOKUP(EDATE(B309,-12),Database!$F:$AY,MATCH($N$1,Database!$F$1:$AY$1,),)))))/(((VLOOKUP(EDATE(B309,-12),Database!$F:$AY,MATCH($N$1,Database!$F$1:$AY$1,),))))</f>
        <v/>
      </c>
      <c r="O309" s="13">
        <f>((((VLOOKUP(B309,Database!$F:$AY,MATCH($O$1,Database!$F$1:$AY$1,),))))-(((VLOOKUP(EDATE(B309,-12),Database!$F:$AY,MATCH($O$1,Database!$F$1:$AY$1,),)))))/(((VLOOKUP(EDATE(B309,-12),Database!$F:$AY,MATCH($O$1,Database!$F$1:$AY$1,),))))</f>
        <v/>
      </c>
      <c r="P309" s="13">
        <f>((((VLOOKUP(B309,Database!$F:$AY,MATCH($P$1,Database!$F$1:$AY$1,),))))-(((VLOOKUP(EDATE(B309,-12),Database!$F:$AY,MATCH($P$1,Database!$F$1:$AY$1,),)))))/(((VLOOKUP(EDATE(B309,-12),Database!$F:$AY,MATCH($P$1,Database!$F$1:$AY$1,),))))</f>
        <v/>
      </c>
      <c r="Q309" s="13">
        <f>((((VLOOKUP(B309,Database!$F:$AY,MATCH($Q$1,Database!$F$1:$AY$1,),))))-(((VLOOKUP(EDATE(B309,-12),Database!$F:$AY,MATCH($Q$1,Database!$F$1:$AY$1,),)))))/(((VLOOKUP(EDATE(B309,-12),Database!$F:$AY,MATCH($Q$1,Database!$F$1:$AY$1,),))))</f>
        <v/>
      </c>
      <c r="R309" s="13">
        <f>((((VLOOKUP(B309,Database!$F:$AY,MATCH($R$1,Database!$F$1:$AY$1,),))))-(((VLOOKUP(EDATE(B309,-12),Database!$F:$AY,MATCH($R$1,Database!$F$1:$AY$1,),)))))/(((VLOOKUP(EDATE(B309,-12),Database!$F:$AY,MATCH($R$1,Database!$F$1:$AY$1,),))))</f>
        <v/>
      </c>
      <c r="S309" s="13">
        <f>((((VLOOKUP(B309,Database!$F:$AY,MATCH($S$1,Database!$F$1:$AY$1,),))))-(((VLOOKUP(EDATE(B309,-12),Database!$F:$AY,MATCH($S$1,Database!$F$1:$AY$1,),)))))/(((VLOOKUP(EDATE(B309,-12),Database!$F:$AY,MATCH($S$1,Database!$F$1:$AY$1,),))))</f>
        <v/>
      </c>
      <c r="T309" s="13">
        <f>((((VLOOKUP(B309,Database!$F:$AY,MATCH($T$1,Database!$F$1:$AY$1,),))))-(((VLOOKUP(EDATE(B309,-12),Database!$F:$AY,MATCH($T$1,Database!$F$1:$AY$1,),)))))/(((VLOOKUP(EDATE(B309,-12),Database!$F:$AY,MATCH($T$1,Database!$F$1:$AY$1,),))))</f>
        <v/>
      </c>
      <c r="U309" s="13">
        <f>((((VLOOKUP(B309,Database!$F:$AY,MATCH($U$1,Database!$F$1:$AY$1,),))))-(((VLOOKUP(EDATE(B309,-12),Database!$F:$AY,MATCH($U$1,Database!$F$1:$AY$1,),)))))/(((VLOOKUP(EDATE(B309,-12),Database!$F:$AY,MATCH($U$1,Database!$F$1:$AY$1,),))))</f>
        <v/>
      </c>
      <c r="V309" s="13">
        <f>((((VLOOKUP(B309,Database!$F:$AY,MATCH($V$1,Database!$F$1:$AY$1,),))))-(((VLOOKUP(EDATE(B309,-12),Database!$F:$AY,MATCH($V$1,Database!$F$1:$AY$1,),)))))/(((VLOOKUP(EDATE(B309,-12),Database!$F:$AY,MATCH($V$1,Database!$F$1:$AY$1,),))))</f>
        <v/>
      </c>
    </row>
    <row r="310" customFormat="1" s="100">
      <c r="A310" s="45" t="n"/>
      <c r="B310" s="46" t="n">
        <v>41579</v>
      </c>
      <c r="C310" s="13">
        <f>((((VLOOKUP(B310,Database!$F:$AY,MATCH($C$1,Database!$F$1:$AY$1,),))))-(((VLOOKUP(EDATE(B310,-12),Database!$F:$AY,MATCH($C$1,Database!$F$1:$AY$1,),)))))/(((VLOOKUP(EDATE(B310,-12),Database!$F:$AY,MATCH($C$1,Database!$F$1:$AY$1,),))))</f>
        <v/>
      </c>
      <c r="D310" s="13">
        <f>((((VLOOKUP(B310,Database!$F:$AY,MATCH($D$1,Database!$F$1:$AY$1,),))))-(((VLOOKUP(EDATE(B310,-12),Database!$F:$AY,MATCH($D$1,Database!$F$1:$AY$1,),)))))/(((VLOOKUP(EDATE(B310,-12),Database!$F:$AY,MATCH($D$1,Database!$F$1:$AY$1,),))))</f>
        <v/>
      </c>
      <c r="E310" s="13">
        <f>((((VLOOKUP(B310,Database!$F:$AY,MATCH($E$1,Database!$F$1:$AY$1,),))))-(((VLOOKUP(EDATE(B310,-12),Database!$F:$AY,MATCH($E$1,Database!$F$1:$AY$1,),)))))/(((VLOOKUP(EDATE(B310,-12),Database!$F:$AY,MATCH($E$1,Database!$F$1:$AY$1,),))))</f>
        <v/>
      </c>
      <c r="F310" s="13">
        <f>((((VLOOKUP(B310,Database!$F:$AY,MATCH($F$1,Database!$F$1:$AY$1,),))))-(((VLOOKUP(EDATE(B310,-12),Database!$F:$AY,MATCH($F$1,Database!$F$1:$AY$1,),)))))/(((VLOOKUP(EDATE(B310,-12),Database!$F:$AY,MATCH($F$1,Database!$F$1:$AY$1,),))))</f>
        <v/>
      </c>
      <c r="G310" s="13">
        <f>((((VLOOKUP(B310,Database!$F:$AY,MATCH($G$1,Database!$F$1:$AY$1,),))))-(((VLOOKUP(EDATE(B310,-12),Database!$F:$AY,MATCH($G$1,Database!$F$1:$AY$1,),)))))/(((VLOOKUP(EDATE(B310,-12),Database!$F:$AY,MATCH($G$1,Database!$F$1:$AY$1,),))))</f>
        <v/>
      </c>
      <c r="H310" s="13">
        <f>((((VLOOKUP(B310,Database!$F:$AY,MATCH($H$1,Database!$F$1:$AY$1,),))))-(((VLOOKUP(EDATE(B310,-12),Database!$F:$AY,MATCH($H$1,Database!$F$1:$AY$1,),)))))/(((VLOOKUP(EDATE(B310,-12),Database!$F:$AY,MATCH($H$1,Database!$F$1:$AY$1,),))))</f>
        <v/>
      </c>
      <c r="I310" s="13">
        <f>((((VLOOKUP(B310,Database!$F:$AY,MATCH($I$1,Database!$F$1:$AY$1,),))))-(((VLOOKUP(EDATE(B310,-12),Database!$F:$AY,MATCH($I$1,Database!$F$1:$AY$1,),)))))/(((VLOOKUP(EDATE(B310,-12),Database!$F:$AY,MATCH($I$1,Database!$F$1:$AY$1,),))))</f>
        <v/>
      </c>
      <c r="J310" s="13">
        <f>((((VLOOKUP(B310,Database!$F:$AY,MATCH($J$1,Database!$F$1:$AY$1,),))))-(((VLOOKUP(EDATE(B310,-12),Database!$F:$AY,MATCH($J$1,Database!$F$1:$AY$1,),)))))/(((VLOOKUP(EDATE(B310,-12),Database!$F:$AY,MATCH($J$1,Database!$F$1:$AY$1,),))))</f>
        <v/>
      </c>
      <c r="K310" s="13">
        <f>((((VLOOKUP(B310,Database!$F:$AY,MATCH($K$1,Database!$F$1:$AY$1,),))))-(((VLOOKUP(EDATE(B310,-12),Database!$F:$AY,MATCH($K$1,Database!$F$1:$AY$1,),)))))/(((VLOOKUP(EDATE(B310,-12),Database!$F:$AY,MATCH($K$1,Database!$F$1:$AY$1,),))))</f>
        <v/>
      </c>
      <c r="L310" s="13">
        <f>((((VLOOKUP(B310,Database!$F:$AY,MATCH($L$1,Database!$F$1:$AY$1,),))))-(((VLOOKUP(EDATE(B310,-12),Database!$F:$AY,MATCH($L$1,Database!$F$1:$AY$1,),)))))/(((VLOOKUP(EDATE(B310,-12),Database!$F:$AY,MATCH($L$1,Database!$F$1:$AY$1,),))))</f>
        <v/>
      </c>
      <c r="M310" s="13">
        <f>((((VLOOKUP(B310,Database!$F:$AY,MATCH($M$1,Database!$F$1:$AY$1,),))))-(((VLOOKUP(EDATE(B310,-12),Database!$F:$AY,MATCH($M$1,Database!$F$1:$AY$1,),)))))/(((VLOOKUP(EDATE(B310,-12),Database!$F:$AY,MATCH($M$1,Database!$F$1:$AY$1,),))))</f>
        <v/>
      </c>
      <c r="N310" s="13">
        <f>((((VLOOKUP(B310,Database!$F:$AY,MATCH($N$1,Database!$F$1:$AY$1,),))))-(((VLOOKUP(EDATE(B310,-12),Database!$F:$AY,MATCH($N$1,Database!$F$1:$AY$1,),)))))/(((VLOOKUP(EDATE(B310,-12),Database!$F:$AY,MATCH($N$1,Database!$F$1:$AY$1,),))))</f>
        <v/>
      </c>
      <c r="O310" s="13">
        <f>((((VLOOKUP(B310,Database!$F:$AY,MATCH($O$1,Database!$F$1:$AY$1,),))))-(((VLOOKUP(EDATE(B310,-12),Database!$F:$AY,MATCH($O$1,Database!$F$1:$AY$1,),)))))/(((VLOOKUP(EDATE(B310,-12),Database!$F:$AY,MATCH($O$1,Database!$F$1:$AY$1,),))))</f>
        <v/>
      </c>
      <c r="P310" s="13">
        <f>((((VLOOKUP(B310,Database!$F:$AY,MATCH($P$1,Database!$F$1:$AY$1,),))))-(((VLOOKUP(EDATE(B310,-12),Database!$F:$AY,MATCH($P$1,Database!$F$1:$AY$1,),)))))/(((VLOOKUP(EDATE(B310,-12),Database!$F:$AY,MATCH($P$1,Database!$F$1:$AY$1,),))))</f>
        <v/>
      </c>
      <c r="Q310" s="13">
        <f>((((VLOOKUP(B310,Database!$F:$AY,MATCH($Q$1,Database!$F$1:$AY$1,),))))-(((VLOOKUP(EDATE(B310,-12),Database!$F:$AY,MATCH($Q$1,Database!$F$1:$AY$1,),)))))/(((VLOOKUP(EDATE(B310,-12),Database!$F:$AY,MATCH($Q$1,Database!$F$1:$AY$1,),))))</f>
        <v/>
      </c>
      <c r="R310" s="13">
        <f>((((VLOOKUP(B310,Database!$F:$AY,MATCH($R$1,Database!$F$1:$AY$1,),))))-(((VLOOKUP(EDATE(B310,-12),Database!$F:$AY,MATCH($R$1,Database!$F$1:$AY$1,),)))))/(((VLOOKUP(EDATE(B310,-12),Database!$F:$AY,MATCH($R$1,Database!$F$1:$AY$1,),))))</f>
        <v/>
      </c>
      <c r="S310" s="13">
        <f>((((VLOOKUP(B310,Database!$F:$AY,MATCH($S$1,Database!$F$1:$AY$1,),))))-(((VLOOKUP(EDATE(B310,-12),Database!$F:$AY,MATCH($S$1,Database!$F$1:$AY$1,),)))))/(((VLOOKUP(EDATE(B310,-12),Database!$F:$AY,MATCH($S$1,Database!$F$1:$AY$1,),))))</f>
        <v/>
      </c>
      <c r="T310" s="13">
        <f>((((VLOOKUP(B310,Database!$F:$AY,MATCH($T$1,Database!$F$1:$AY$1,),))))-(((VLOOKUP(EDATE(B310,-12),Database!$F:$AY,MATCH($T$1,Database!$F$1:$AY$1,),)))))/(((VLOOKUP(EDATE(B310,-12),Database!$F:$AY,MATCH($T$1,Database!$F$1:$AY$1,),))))</f>
        <v/>
      </c>
      <c r="U310" s="13">
        <f>((((VLOOKUP(B310,Database!$F:$AY,MATCH($U$1,Database!$F$1:$AY$1,),))))-(((VLOOKUP(EDATE(B310,-12),Database!$F:$AY,MATCH($U$1,Database!$F$1:$AY$1,),)))))/(((VLOOKUP(EDATE(B310,-12),Database!$F:$AY,MATCH($U$1,Database!$F$1:$AY$1,),))))</f>
        <v/>
      </c>
      <c r="V310" s="13">
        <f>((((VLOOKUP(B310,Database!$F:$AY,MATCH($V$1,Database!$F$1:$AY$1,),))))-(((VLOOKUP(EDATE(B310,-12),Database!$F:$AY,MATCH($V$1,Database!$F$1:$AY$1,),)))))/(((VLOOKUP(EDATE(B310,-12),Database!$F:$AY,MATCH($V$1,Database!$F$1:$AY$1,),))))</f>
        <v/>
      </c>
    </row>
    <row r="311" customFormat="1" s="100">
      <c r="A311" s="45" t="n"/>
      <c r="B311" s="46" t="n">
        <v>41609</v>
      </c>
      <c r="C311" s="13">
        <f>((((VLOOKUP(B311,Database!$F:$AY,MATCH($C$1,Database!$F$1:$AY$1,),))))-(((VLOOKUP(EDATE(B311,-12),Database!$F:$AY,MATCH($C$1,Database!$F$1:$AY$1,),)))))/(((VLOOKUP(EDATE(B311,-12),Database!$F:$AY,MATCH($C$1,Database!$F$1:$AY$1,),))))</f>
        <v/>
      </c>
      <c r="D311" s="13">
        <f>((((VLOOKUP(B311,Database!$F:$AY,MATCH($D$1,Database!$F$1:$AY$1,),))))-(((VLOOKUP(EDATE(B311,-12),Database!$F:$AY,MATCH($D$1,Database!$F$1:$AY$1,),)))))/(((VLOOKUP(EDATE(B311,-12),Database!$F:$AY,MATCH($D$1,Database!$F$1:$AY$1,),))))</f>
        <v/>
      </c>
      <c r="E311" s="13">
        <f>((((VLOOKUP(B311,Database!$F:$AY,MATCH($E$1,Database!$F$1:$AY$1,),))))-(((VLOOKUP(EDATE(B311,-12),Database!$F:$AY,MATCH($E$1,Database!$F$1:$AY$1,),)))))/(((VLOOKUP(EDATE(B311,-12),Database!$F:$AY,MATCH($E$1,Database!$F$1:$AY$1,),))))</f>
        <v/>
      </c>
      <c r="F311" s="13">
        <f>((((VLOOKUP(B311,Database!$F:$AY,MATCH($F$1,Database!$F$1:$AY$1,),))))-(((VLOOKUP(EDATE(B311,-12),Database!$F:$AY,MATCH($F$1,Database!$F$1:$AY$1,),)))))/(((VLOOKUP(EDATE(B311,-12),Database!$F:$AY,MATCH($F$1,Database!$F$1:$AY$1,),))))</f>
        <v/>
      </c>
      <c r="G311" s="13">
        <f>((((VLOOKUP(B311,Database!$F:$AY,MATCH($G$1,Database!$F$1:$AY$1,),))))-(((VLOOKUP(EDATE(B311,-12),Database!$F:$AY,MATCH($G$1,Database!$F$1:$AY$1,),)))))/(((VLOOKUP(EDATE(B311,-12),Database!$F:$AY,MATCH($G$1,Database!$F$1:$AY$1,),))))</f>
        <v/>
      </c>
      <c r="H311" s="13">
        <f>((((VLOOKUP(B311,Database!$F:$AY,MATCH($H$1,Database!$F$1:$AY$1,),))))-(((VLOOKUP(EDATE(B311,-12),Database!$F:$AY,MATCH($H$1,Database!$F$1:$AY$1,),)))))/(((VLOOKUP(EDATE(B311,-12),Database!$F:$AY,MATCH($H$1,Database!$F$1:$AY$1,),))))</f>
        <v/>
      </c>
      <c r="I311" s="13">
        <f>((((VLOOKUP(B311,Database!$F:$AY,MATCH($I$1,Database!$F$1:$AY$1,),))))-(((VLOOKUP(EDATE(B311,-12),Database!$F:$AY,MATCH($I$1,Database!$F$1:$AY$1,),)))))/(((VLOOKUP(EDATE(B311,-12),Database!$F:$AY,MATCH($I$1,Database!$F$1:$AY$1,),))))</f>
        <v/>
      </c>
      <c r="J311" s="13">
        <f>((((VLOOKUP(B311,Database!$F:$AY,MATCH($J$1,Database!$F$1:$AY$1,),))))-(((VLOOKUP(EDATE(B311,-12),Database!$F:$AY,MATCH($J$1,Database!$F$1:$AY$1,),)))))/(((VLOOKUP(EDATE(B311,-12),Database!$F:$AY,MATCH($J$1,Database!$F$1:$AY$1,),))))</f>
        <v/>
      </c>
      <c r="K311" s="13">
        <f>((((VLOOKUP(B311,Database!$F:$AY,MATCH($K$1,Database!$F$1:$AY$1,),))))-(((VLOOKUP(EDATE(B311,-12),Database!$F:$AY,MATCH($K$1,Database!$F$1:$AY$1,),)))))/(((VLOOKUP(EDATE(B311,-12),Database!$F:$AY,MATCH($K$1,Database!$F$1:$AY$1,),))))</f>
        <v/>
      </c>
      <c r="L311" s="13">
        <f>((((VLOOKUP(B311,Database!$F:$AY,MATCH($L$1,Database!$F$1:$AY$1,),))))-(((VLOOKUP(EDATE(B311,-12),Database!$F:$AY,MATCH($L$1,Database!$F$1:$AY$1,),)))))/(((VLOOKUP(EDATE(B311,-12),Database!$F:$AY,MATCH($L$1,Database!$F$1:$AY$1,),))))</f>
        <v/>
      </c>
      <c r="M311" s="13">
        <f>((((VLOOKUP(B311,Database!$F:$AY,MATCH($M$1,Database!$F$1:$AY$1,),))))-(((VLOOKUP(EDATE(B311,-12),Database!$F:$AY,MATCH($M$1,Database!$F$1:$AY$1,),)))))/(((VLOOKUP(EDATE(B311,-12),Database!$F:$AY,MATCH($M$1,Database!$F$1:$AY$1,),))))</f>
        <v/>
      </c>
      <c r="N311" s="13">
        <f>((((VLOOKUP(B311,Database!$F:$AY,MATCH($N$1,Database!$F$1:$AY$1,),))))-(((VLOOKUP(EDATE(B311,-12),Database!$F:$AY,MATCH($N$1,Database!$F$1:$AY$1,),)))))/(((VLOOKUP(EDATE(B311,-12),Database!$F:$AY,MATCH($N$1,Database!$F$1:$AY$1,),))))</f>
        <v/>
      </c>
      <c r="O311" s="13">
        <f>((((VLOOKUP(B311,Database!$F:$AY,MATCH($O$1,Database!$F$1:$AY$1,),))))-(((VLOOKUP(EDATE(B311,-12),Database!$F:$AY,MATCH($O$1,Database!$F$1:$AY$1,),)))))/(((VLOOKUP(EDATE(B311,-12),Database!$F:$AY,MATCH($O$1,Database!$F$1:$AY$1,),))))</f>
        <v/>
      </c>
      <c r="P311" s="13">
        <f>((((VLOOKUP(B311,Database!$F:$AY,MATCH($P$1,Database!$F$1:$AY$1,),))))-(((VLOOKUP(EDATE(B311,-12),Database!$F:$AY,MATCH($P$1,Database!$F$1:$AY$1,),)))))/(((VLOOKUP(EDATE(B311,-12),Database!$F:$AY,MATCH($P$1,Database!$F$1:$AY$1,),))))</f>
        <v/>
      </c>
      <c r="Q311" s="13">
        <f>((((VLOOKUP(B311,Database!$F:$AY,MATCH($Q$1,Database!$F$1:$AY$1,),))))-(((VLOOKUP(EDATE(B311,-12),Database!$F:$AY,MATCH($Q$1,Database!$F$1:$AY$1,),)))))/(((VLOOKUP(EDATE(B311,-12),Database!$F:$AY,MATCH($Q$1,Database!$F$1:$AY$1,),))))</f>
        <v/>
      </c>
      <c r="R311" s="13">
        <f>((((VLOOKUP(B311,Database!$F:$AY,MATCH($R$1,Database!$F$1:$AY$1,),))))-(((VLOOKUP(EDATE(B311,-12),Database!$F:$AY,MATCH($R$1,Database!$F$1:$AY$1,),)))))/(((VLOOKUP(EDATE(B311,-12),Database!$F:$AY,MATCH($R$1,Database!$F$1:$AY$1,),))))</f>
        <v/>
      </c>
      <c r="S311" s="13">
        <f>((((VLOOKUP(B311,Database!$F:$AY,MATCH($S$1,Database!$F$1:$AY$1,),))))-(((VLOOKUP(EDATE(B311,-12),Database!$F:$AY,MATCH($S$1,Database!$F$1:$AY$1,),)))))/(((VLOOKUP(EDATE(B311,-12),Database!$F:$AY,MATCH($S$1,Database!$F$1:$AY$1,),))))</f>
        <v/>
      </c>
      <c r="T311" s="13">
        <f>((((VLOOKUP(B311,Database!$F:$AY,MATCH($T$1,Database!$F$1:$AY$1,),))))-(((VLOOKUP(EDATE(B311,-12),Database!$F:$AY,MATCH($T$1,Database!$F$1:$AY$1,),)))))/(((VLOOKUP(EDATE(B311,-12),Database!$F:$AY,MATCH($T$1,Database!$F$1:$AY$1,),))))</f>
        <v/>
      </c>
      <c r="U311" s="13">
        <f>((((VLOOKUP(B311,Database!$F:$AY,MATCH($U$1,Database!$F$1:$AY$1,),))))-(((VLOOKUP(EDATE(B311,-12),Database!$F:$AY,MATCH($U$1,Database!$F$1:$AY$1,),)))))/(((VLOOKUP(EDATE(B311,-12),Database!$F:$AY,MATCH($U$1,Database!$F$1:$AY$1,),))))</f>
        <v/>
      </c>
      <c r="V311" s="13">
        <f>((((VLOOKUP(B311,Database!$F:$AY,MATCH($V$1,Database!$F$1:$AY$1,),))))-(((VLOOKUP(EDATE(B311,-12),Database!$F:$AY,MATCH($V$1,Database!$F$1:$AY$1,),)))))/(((VLOOKUP(EDATE(B311,-12),Database!$F:$AY,MATCH($V$1,Database!$F$1:$AY$1,),))))</f>
        <v/>
      </c>
    </row>
    <row r="312" customFormat="1" s="100">
      <c r="A312" s="45" t="n"/>
      <c r="B312" s="46" t="n">
        <v>41640</v>
      </c>
      <c r="C312" s="13">
        <f>((((VLOOKUP(B312,Database!$F:$AY,MATCH($C$1,Database!$F$1:$AY$1,),))))-(((VLOOKUP(EDATE(B312,-12),Database!$F:$AY,MATCH($C$1,Database!$F$1:$AY$1,),)))))/(((VLOOKUP(EDATE(B312,-12),Database!$F:$AY,MATCH($C$1,Database!$F$1:$AY$1,),))))</f>
        <v/>
      </c>
      <c r="D312" s="13">
        <f>((((VLOOKUP(B312,Database!$F:$AY,MATCH($D$1,Database!$F$1:$AY$1,),))))-(((VLOOKUP(EDATE(B312,-12),Database!$F:$AY,MATCH($D$1,Database!$F$1:$AY$1,),)))))/(((VLOOKUP(EDATE(B312,-12),Database!$F:$AY,MATCH($D$1,Database!$F$1:$AY$1,),))))</f>
        <v/>
      </c>
      <c r="E312" s="13">
        <f>((((VLOOKUP(B312,Database!$F:$AY,MATCH($E$1,Database!$F$1:$AY$1,),))))-(((VLOOKUP(EDATE(B312,-12),Database!$F:$AY,MATCH($E$1,Database!$F$1:$AY$1,),)))))/(((VLOOKUP(EDATE(B312,-12),Database!$F:$AY,MATCH($E$1,Database!$F$1:$AY$1,),))))</f>
        <v/>
      </c>
      <c r="F312" s="13">
        <f>((((VLOOKUP(B312,Database!$F:$AY,MATCH($F$1,Database!$F$1:$AY$1,),))))-(((VLOOKUP(EDATE(B312,-12),Database!$F:$AY,MATCH($F$1,Database!$F$1:$AY$1,),)))))/(((VLOOKUP(EDATE(B312,-12),Database!$F:$AY,MATCH($F$1,Database!$F$1:$AY$1,),))))</f>
        <v/>
      </c>
      <c r="G312" s="13">
        <f>((((VLOOKUP(B312,Database!$F:$AY,MATCH($G$1,Database!$F$1:$AY$1,),))))-(((VLOOKUP(EDATE(B312,-12),Database!$F:$AY,MATCH($G$1,Database!$F$1:$AY$1,),)))))/(((VLOOKUP(EDATE(B312,-12),Database!$F:$AY,MATCH($G$1,Database!$F$1:$AY$1,),))))</f>
        <v/>
      </c>
      <c r="H312" s="13">
        <f>((((VLOOKUP(B312,Database!$F:$AY,MATCH($H$1,Database!$F$1:$AY$1,),))))-(((VLOOKUP(EDATE(B312,-12),Database!$F:$AY,MATCH($H$1,Database!$F$1:$AY$1,),)))))/(((VLOOKUP(EDATE(B312,-12),Database!$F:$AY,MATCH($H$1,Database!$F$1:$AY$1,),))))</f>
        <v/>
      </c>
      <c r="I312" s="13">
        <f>((((VLOOKUP(B312,Database!$F:$AY,MATCH($I$1,Database!$F$1:$AY$1,),))))-(((VLOOKUP(EDATE(B312,-12),Database!$F:$AY,MATCH($I$1,Database!$F$1:$AY$1,),)))))/(((VLOOKUP(EDATE(B312,-12),Database!$F:$AY,MATCH($I$1,Database!$F$1:$AY$1,),))))</f>
        <v/>
      </c>
      <c r="J312" s="13">
        <f>((((VLOOKUP(B312,Database!$F:$AY,MATCH($J$1,Database!$F$1:$AY$1,),))))-(((VLOOKUP(EDATE(B312,-12),Database!$F:$AY,MATCH($J$1,Database!$F$1:$AY$1,),)))))/(((VLOOKUP(EDATE(B312,-12),Database!$F:$AY,MATCH($J$1,Database!$F$1:$AY$1,),))))</f>
        <v/>
      </c>
      <c r="K312" s="13">
        <f>((((VLOOKUP(B312,Database!$F:$AY,MATCH($K$1,Database!$F$1:$AY$1,),))))-(((VLOOKUP(EDATE(B312,-12),Database!$F:$AY,MATCH($K$1,Database!$F$1:$AY$1,),)))))/(((VLOOKUP(EDATE(B312,-12),Database!$F:$AY,MATCH($K$1,Database!$F$1:$AY$1,),))))</f>
        <v/>
      </c>
      <c r="L312" s="13">
        <f>((((VLOOKUP(B312,Database!$F:$AY,MATCH($L$1,Database!$F$1:$AY$1,),))))-(((VLOOKUP(EDATE(B312,-12),Database!$F:$AY,MATCH($L$1,Database!$F$1:$AY$1,),)))))/(((VLOOKUP(EDATE(B312,-12),Database!$F:$AY,MATCH($L$1,Database!$F$1:$AY$1,),))))</f>
        <v/>
      </c>
      <c r="M312" s="13">
        <f>((((VLOOKUP(B312,Database!$F:$AY,MATCH($M$1,Database!$F$1:$AY$1,),))))-(((VLOOKUP(EDATE(B312,-12),Database!$F:$AY,MATCH($M$1,Database!$F$1:$AY$1,),)))))/(((VLOOKUP(EDATE(B312,-12),Database!$F:$AY,MATCH($M$1,Database!$F$1:$AY$1,),))))</f>
        <v/>
      </c>
      <c r="N312" s="13">
        <f>((((VLOOKUP(B312,Database!$F:$AY,MATCH($N$1,Database!$F$1:$AY$1,),))))-(((VLOOKUP(EDATE(B312,-12),Database!$F:$AY,MATCH($N$1,Database!$F$1:$AY$1,),)))))/(((VLOOKUP(EDATE(B312,-12),Database!$F:$AY,MATCH($N$1,Database!$F$1:$AY$1,),))))</f>
        <v/>
      </c>
      <c r="O312" s="13">
        <f>((((VLOOKUP(B312,Database!$F:$AY,MATCH($O$1,Database!$F$1:$AY$1,),))))-(((VLOOKUP(EDATE(B312,-12),Database!$F:$AY,MATCH($O$1,Database!$F$1:$AY$1,),)))))/(((VLOOKUP(EDATE(B312,-12),Database!$F:$AY,MATCH($O$1,Database!$F$1:$AY$1,),))))</f>
        <v/>
      </c>
      <c r="P312" s="13">
        <f>((((VLOOKUP(B312,Database!$F:$AY,MATCH($P$1,Database!$F$1:$AY$1,),))))-(((VLOOKUP(EDATE(B312,-12),Database!$F:$AY,MATCH($P$1,Database!$F$1:$AY$1,),)))))/(((VLOOKUP(EDATE(B312,-12),Database!$F:$AY,MATCH($P$1,Database!$F$1:$AY$1,),))))</f>
        <v/>
      </c>
      <c r="Q312" s="13">
        <f>((((VLOOKUP(B312,Database!$F:$AY,MATCH($Q$1,Database!$F$1:$AY$1,),))))-(((VLOOKUP(EDATE(B312,-12),Database!$F:$AY,MATCH($Q$1,Database!$F$1:$AY$1,),)))))/(((VLOOKUP(EDATE(B312,-12),Database!$F:$AY,MATCH($Q$1,Database!$F$1:$AY$1,),))))</f>
        <v/>
      </c>
      <c r="R312" s="13">
        <f>((((VLOOKUP(B312,Database!$F:$AY,MATCH($R$1,Database!$F$1:$AY$1,),))))-(((VLOOKUP(EDATE(B312,-12),Database!$F:$AY,MATCH($R$1,Database!$F$1:$AY$1,),)))))/(((VLOOKUP(EDATE(B312,-12),Database!$F:$AY,MATCH($R$1,Database!$F$1:$AY$1,),))))</f>
        <v/>
      </c>
      <c r="S312" s="13">
        <f>((((VLOOKUP(B312,Database!$F:$AY,MATCH($S$1,Database!$F$1:$AY$1,),))))-(((VLOOKUP(EDATE(B312,-12),Database!$F:$AY,MATCH($S$1,Database!$F$1:$AY$1,),)))))/(((VLOOKUP(EDATE(B312,-12),Database!$F:$AY,MATCH($S$1,Database!$F$1:$AY$1,),))))</f>
        <v/>
      </c>
      <c r="T312" s="13">
        <f>((((VLOOKUP(B312,Database!$F:$AY,MATCH($T$1,Database!$F$1:$AY$1,),))))-(((VLOOKUP(EDATE(B312,-12),Database!$F:$AY,MATCH($T$1,Database!$F$1:$AY$1,),)))))/(((VLOOKUP(EDATE(B312,-12),Database!$F:$AY,MATCH($T$1,Database!$F$1:$AY$1,),))))</f>
        <v/>
      </c>
      <c r="U312" s="13">
        <f>((((VLOOKUP(B312,Database!$F:$AY,MATCH($U$1,Database!$F$1:$AY$1,),))))-(((VLOOKUP(EDATE(B312,-12),Database!$F:$AY,MATCH($U$1,Database!$F$1:$AY$1,),)))))/(((VLOOKUP(EDATE(B312,-12),Database!$F:$AY,MATCH($U$1,Database!$F$1:$AY$1,),))))</f>
        <v/>
      </c>
      <c r="V312" s="13">
        <f>((((VLOOKUP(B312,Database!$F:$AY,MATCH($V$1,Database!$F$1:$AY$1,),))))-(((VLOOKUP(EDATE(B312,-12),Database!$F:$AY,MATCH($V$1,Database!$F$1:$AY$1,),)))))/(((VLOOKUP(EDATE(B312,-12),Database!$F:$AY,MATCH($V$1,Database!$F$1:$AY$1,),))))</f>
        <v/>
      </c>
    </row>
    <row r="313" customFormat="1" s="100">
      <c r="A313" s="45" t="n"/>
      <c r="B313" s="46" t="n">
        <v>41671</v>
      </c>
      <c r="C313" s="13">
        <f>((((VLOOKUP(B313,Database!$F:$AY,MATCH($C$1,Database!$F$1:$AY$1,),))))-(((VLOOKUP(EDATE(B313,-12),Database!$F:$AY,MATCH($C$1,Database!$F$1:$AY$1,),)))))/(((VLOOKUP(EDATE(B313,-12),Database!$F:$AY,MATCH($C$1,Database!$F$1:$AY$1,),))))</f>
        <v/>
      </c>
      <c r="D313" s="13">
        <f>((((VLOOKUP(B313,Database!$F:$AY,MATCH($D$1,Database!$F$1:$AY$1,),))))-(((VLOOKUP(EDATE(B313,-12),Database!$F:$AY,MATCH($D$1,Database!$F$1:$AY$1,),)))))/(((VLOOKUP(EDATE(B313,-12),Database!$F:$AY,MATCH($D$1,Database!$F$1:$AY$1,),))))</f>
        <v/>
      </c>
      <c r="E313" s="13">
        <f>((((VLOOKUP(B313,Database!$F:$AY,MATCH($E$1,Database!$F$1:$AY$1,),))))-(((VLOOKUP(EDATE(B313,-12),Database!$F:$AY,MATCH($E$1,Database!$F$1:$AY$1,),)))))/(((VLOOKUP(EDATE(B313,-12),Database!$F:$AY,MATCH($E$1,Database!$F$1:$AY$1,),))))</f>
        <v/>
      </c>
      <c r="F313" s="13">
        <f>((((VLOOKUP(B313,Database!$F:$AY,MATCH($F$1,Database!$F$1:$AY$1,),))))-(((VLOOKUP(EDATE(B313,-12),Database!$F:$AY,MATCH($F$1,Database!$F$1:$AY$1,),)))))/(((VLOOKUP(EDATE(B313,-12),Database!$F:$AY,MATCH($F$1,Database!$F$1:$AY$1,),))))</f>
        <v/>
      </c>
      <c r="G313" s="13">
        <f>((((VLOOKUP(B313,Database!$F:$AY,MATCH($G$1,Database!$F$1:$AY$1,),))))-(((VLOOKUP(EDATE(B313,-12),Database!$F:$AY,MATCH($G$1,Database!$F$1:$AY$1,),)))))/(((VLOOKUP(EDATE(B313,-12),Database!$F:$AY,MATCH($G$1,Database!$F$1:$AY$1,),))))</f>
        <v/>
      </c>
      <c r="H313" s="13">
        <f>((((VLOOKUP(B313,Database!$F:$AY,MATCH($H$1,Database!$F$1:$AY$1,),))))-(((VLOOKUP(EDATE(B313,-12),Database!$F:$AY,MATCH($H$1,Database!$F$1:$AY$1,),)))))/(((VLOOKUP(EDATE(B313,-12),Database!$F:$AY,MATCH($H$1,Database!$F$1:$AY$1,),))))</f>
        <v/>
      </c>
      <c r="I313" s="13">
        <f>((((VLOOKUP(B313,Database!$F:$AY,MATCH($I$1,Database!$F$1:$AY$1,),))))-(((VLOOKUP(EDATE(B313,-12),Database!$F:$AY,MATCH($I$1,Database!$F$1:$AY$1,),)))))/(((VLOOKUP(EDATE(B313,-12),Database!$F:$AY,MATCH($I$1,Database!$F$1:$AY$1,),))))</f>
        <v/>
      </c>
      <c r="J313" s="13">
        <f>((((VLOOKUP(B313,Database!$F:$AY,MATCH($J$1,Database!$F$1:$AY$1,),))))-(((VLOOKUP(EDATE(B313,-12),Database!$F:$AY,MATCH($J$1,Database!$F$1:$AY$1,),)))))/(((VLOOKUP(EDATE(B313,-12),Database!$F:$AY,MATCH($J$1,Database!$F$1:$AY$1,),))))</f>
        <v/>
      </c>
      <c r="K313" s="13">
        <f>((((VLOOKUP(B313,Database!$F:$AY,MATCH($K$1,Database!$F$1:$AY$1,),))))-(((VLOOKUP(EDATE(B313,-12),Database!$F:$AY,MATCH($K$1,Database!$F$1:$AY$1,),)))))/(((VLOOKUP(EDATE(B313,-12),Database!$F:$AY,MATCH($K$1,Database!$F$1:$AY$1,),))))</f>
        <v/>
      </c>
      <c r="L313" s="13">
        <f>((((VLOOKUP(B313,Database!$F:$AY,MATCH($L$1,Database!$F$1:$AY$1,),))))-(((VLOOKUP(EDATE(B313,-12),Database!$F:$AY,MATCH($L$1,Database!$F$1:$AY$1,),)))))/(((VLOOKUP(EDATE(B313,-12),Database!$F:$AY,MATCH($L$1,Database!$F$1:$AY$1,),))))</f>
        <v/>
      </c>
      <c r="M313" s="13">
        <f>((((VLOOKUP(B313,Database!$F:$AY,MATCH($M$1,Database!$F$1:$AY$1,),))))-(((VLOOKUP(EDATE(B313,-12),Database!$F:$AY,MATCH($M$1,Database!$F$1:$AY$1,),)))))/(((VLOOKUP(EDATE(B313,-12),Database!$F:$AY,MATCH($M$1,Database!$F$1:$AY$1,),))))</f>
        <v/>
      </c>
      <c r="N313" s="13">
        <f>((((VLOOKUP(B313,Database!$F:$AY,MATCH($N$1,Database!$F$1:$AY$1,),))))-(((VLOOKUP(EDATE(B313,-12),Database!$F:$AY,MATCH($N$1,Database!$F$1:$AY$1,),)))))/(((VLOOKUP(EDATE(B313,-12),Database!$F:$AY,MATCH($N$1,Database!$F$1:$AY$1,),))))</f>
        <v/>
      </c>
      <c r="O313" s="13">
        <f>((((VLOOKUP(B313,Database!$F:$AY,MATCH($O$1,Database!$F$1:$AY$1,),))))-(((VLOOKUP(EDATE(B313,-12),Database!$F:$AY,MATCH($O$1,Database!$F$1:$AY$1,),)))))/(((VLOOKUP(EDATE(B313,-12),Database!$F:$AY,MATCH($O$1,Database!$F$1:$AY$1,),))))</f>
        <v/>
      </c>
      <c r="P313" s="13">
        <f>((((VLOOKUP(B313,Database!$F:$AY,MATCH($P$1,Database!$F$1:$AY$1,),))))-(((VLOOKUP(EDATE(B313,-12),Database!$F:$AY,MATCH($P$1,Database!$F$1:$AY$1,),)))))/(((VLOOKUP(EDATE(B313,-12),Database!$F:$AY,MATCH($P$1,Database!$F$1:$AY$1,),))))</f>
        <v/>
      </c>
      <c r="Q313" s="13">
        <f>((((VLOOKUP(B313,Database!$F:$AY,MATCH($Q$1,Database!$F$1:$AY$1,),))))-(((VLOOKUP(EDATE(B313,-12),Database!$F:$AY,MATCH($Q$1,Database!$F$1:$AY$1,),)))))/(((VLOOKUP(EDATE(B313,-12),Database!$F:$AY,MATCH($Q$1,Database!$F$1:$AY$1,),))))</f>
        <v/>
      </c>
      <c r="R313" s="13">
        <f>((((VLOOKUP(B313,Database!$F:$AY,MATCH($R$1,Database!$F$1:$AY$1,),))))-(((VLOOKUP(EDATE(B313,-12),Database!$F:$AY,MATCH($R$1,Database!$F$1:$AY$1,),)))))/(((VLOOKUP(EDATE(B313,-12),Database!$F:$AY,MATCH($R$1,Database!$F$1:$AY$1,),))))</f>
        <v/>
      </c>
      <c r="S313" s="13">
        <f>((((VLOOKUP(B313,Database!$F:$AY,MATCH($S$1,Database!$F$1:$AY$1,),))))-(((VLOOKUP(EDATE(B313,-12),Database!$F:$AY,MATCH($S$1,Database!$F$1:$AY$1,),)))))/(((VLOOKUP(EDATE(B313,-12),Database!$F:$AY,MATCH($S$1,Database!$F$1:$AY$1,),))))</f>
        <v/>
      </c>
      <c r="T313" s="13">
        <f>((((VLOOKUP(B313,Database!$F:$AY,MATCH($T$1,Database!$F$1:$AY$1,),))))-(((VLOOKUP(EDATE(B313,-12),Database!$F:$AY,MATCH($T$1,Database!$F$1:$AY$1,),)))))/(((VLOOKUP(EDATE(B313,-12),Database!$F:$AY,MATCH($T$1,Database!$F$1:$AY$1,),))))</f>
        <v/>
      </c>
      <c r="U313" s="13">
        <f>((((VLOOKUP(B313,Database!$F:$AY,MATCH($U$1,Database!$F$1:$AY$1,),))))-(((VLOOKUP(EDATE(B313,-12),Database!$F:$AY,MATCH($U$1,Database!$F$1:$AY$1,),)))))/(((VLOOKUP(EDATE(B313,-12),Database!$F:$AY,MATCH($U$1,Database!$F$1:$AY$1,),))))</f>
        <v/>
      </c>
      <c r="V313" s="13">
        <f>((((VLOOKUP(B313,Database!$F:$AY,MATCH($V$1,Database!$F$1:$AY$1,),))))-(((VLOOKUP(EDATE(B313,-12),Database!$F:$AY,MATCH($V$1,Database!$F$1:$AY$1,),)))))/(((VLOOKUP(EDATE(B313,-12),Database!$F:$AY,MATCH($V$1,Database!$F$1:$AY$1,),))))</f>
        <v/>
      </c>
    </row>
    <row r="314" customFormat="1" s="100">
      <c r="A314" s="45" t="n"/>
      <c r="B314" s="46" t="n">
        <v>41699</v>
      </c>
      <c r="C314" s="13">
        <f>((((VLOOKUP(B314,Database!$F:$AY,MATCH($C$1,Database!$F$1:$AY$1,),))))-(((VLOOKUP(EDATE(B314,-12),Database!$F:$AY,MATCH($C$1,Database!$F$1:$AY$1,),)))))/(((VLOOKUP(EDATE(B314,-12),Database!$F:$AY,MATCH($C$1,Database!$F$1:$AY$1,),))))</f>
        <v/>
      </c>
      <c r="D314" s="13">
        <f>((((VLOOKUP(B314,Database!$F:$AY,MATCH($D$1,Database!$F$1:$AY$1,),))))-(((VLOOKUP(EDATE(B314,-12),Database!$F:$AY,MATCH($D$1,Database!$F$1:$AY$1,),)))))/(((VLOOKUP(EDATE(B314,-12),Database!$F:$AY,MATCH($D$1,Database!$F$1:$AY$1,),))))</f>
        <v/>
      </c>
      <c r="E314" s="13">
        <f>((((VLOOKUP(B314,Database!$F:$AY,MATCH($E$1,Database!$F$1:$AY$1,),))))-(((VLOOKUP(EDATE(B314,-12),Database!$F:$AY,MATCH($E$1,Database!$F$1:$AY$1,),)))))/(((VLOOKUP(EDATE(B314,-12),Database!$F:$AY,MATCH($E$1,Database!$F$1:$AY$1,),))))</f>
        <v/>
      </c>
      <c r="F314" s="13">
        <f>((((VLOOKUP(B314,Database!$F:$AY,MATCH($F$1,Database!$F$1:$AY$1,),))))-(((VLOOKUP(EDATE(B314,-12),Database!$F:$AY,MATCH($F$1,Database!$F$1:$AY$1,),)))))/(((VLOOKUP(EDATE(B314,-12),Database!$F:$AY,MATCH($F$1,Database!$F$1:$AY$1,),))))</f>
        <v/>
      </c>
      <c r="G314" s="13">
        <f>((((VLOOKUP(B314,Database!$F:$AY,MATCH($G$1,Database!$F$1:$AY$1,),))))-(((VLOOKUP(EDATE(B314,-12),Database!$F:$AY,MATCH($G$1,Database!$F$1:$AY$1,),)))))/(((VLOOKUP(EDATE(B314,-12),Database!$F:$AY,MATCH($G$1,Database!$F$1:$AY$1,),))))</f>
        <v/>
      </c>
      <c r="H314" s="13">
        <f>((((VLOOKUP(B314,Database!$F:$AY,MATCH($H$1,Database!$F$1:$AY$1,),))))-(((VLOOKUP(EDATE(B314,-12),Database!$F:$AY,MATCH($H$1,Database!$F$1:$AY$1,),)))))/(((VLOOKUP(EDATE(B314,-12),Database!$F:$AY,MATCH($H$1,Database!$F$1:$AY$1,),))))</f>
        <v/>
      </c>
      <c r="I314" s="13">
        <f>((((VLOOKUP(B314,Database!$F:$AY,MATCH($I$1,Database!$F$1:$AY$1,),))))-(((VLOOKUP(EDATE(B314,-12),Database!$F:$AY,MATCH($I$1,Database!$F$1:$AY$1,),)))))/(((VLOOKUP(EDATE(B314,-12),Database!$F:$AY,MATCH($I$1,Database!$F$1:$AY$1,),))))</f>
        <v/>
      </c>
      <c r="J314" s="13">
        <f>((((VLOOKUP(B314,Database!$F:$AY,MATCH($J$1,Database!$F$1:$AY$1,),))))-(((VLOOKUP(EDATE(B314,-12),Database!$F:$AY,MATCH($J$1,Database!$F$1:$AY$1,),)))))/(((VLOOKUP(EDATE(B314,-12),Database!$F:$AY,MATCH($J$1,Database!$F$1:$AY$1,),))))</f>
        <v/>
      </c>
      <c r="K314" s="13">
        <f>((((VLOOKUP(B314,Database!$F:$AY,MATCH($K$1,Database!$F$1:$AY$1,),))))-(((VLOOKUP(EDATE(B314,-12),Database!$F:$AY,MATCH($K$1,Database!$F$1:$AY$1,),)))))/(((VLOOKUP(EDATE(B314,-12),Database!$F:$AY,MATCH($K$1,Database!$F$1:$AY$1,),))))</f>
        <v/>
      </c>
      <c r="L314" s="13">
        <f>((((VLOOKUP(B314,Database!$F:$AY,MATCH($L$1,Database!$F$1:$AY$1,),))))-(((VLOOKUP(EDATE(B314,-12),Database!$F:$AY,MATCH($L$1,Database!$F$1:$AY$1,),)))))/(((VLOOKUP(EDATE(B314,-12),Database!$F:$AY,MATCH($L$1,Database!$F$1:$AY$1,),))))</f>
        <v/>
      </c>
      <c r="M314" s="13">
        <f>((((VLOOKUP(B314,Database!$F:$AY,MATCH($M$1,Database!$F$1:$AY$1,),))))-(((VLOOKUP(EDATE(B314,-12),Database!$F:$AY,MATCH($M$1,Database!$F$1:$AY$1,),)))))/(((VLOOKUP(EDATE(B314,-12),Database!$F:$AY,MATCH($M$1,Database!$F$1:$AY$1,),))))</f>
        <v/>
      </c>
      <c r="N314" s="13">
        <f>((((VLOOKUP(B314,Database!$F:$AY,MATCH($N$1,Database!$F$1:$AY$1,),))))-(((VLOOKUP(EDATE(B314,-12),Database!$F:$AY,MATCH($N$1,Database!$F$1:$AY$1,),)))))/(((VLOOKUP(EDATE(B314,-12),Database!$F:$AY,MATCH($N$1,Database!$F$1:$AY$1,),))))</f>
        <v/>
      </c>
      <c r="O314" s="13">
        <f>((((VLOOKUP(B314,Database!$F:$AY,MATCH($O$1,Database!$F$1:$AY$1,),))))-(((VLOOKUP(EDATE(B314,-12),Database!$F:$AY,MATCH($O$1,Database!$F$1:$AY$1,),)))))/(((VLOOKUP(EDATE(B314,-12),Database!$F:$AY,MATCH($O$1,Database!$F$1:$AY$1,),))))</f>
        <v/>
      </c>
      <c r="P314" s="13">
        <f>((((VLOOKUP(B314,Database!$F:$AY,MATCH($P$1,Database!$F$1:$AY$1,),))))-(((VLOOKUP(EDATE(B314,-12),Database!$F:$AY,MATCH($P$1,Database!$F$1:$AY$1,),)))))/(((VLOOKUP(EDATE(B314,-12),Database!$F:$AY,MATCH($P$1,Database!$F$1:$AY$1,),))))</f>
        <v/>
      </c>
      <c r="Q314" s="13">
        <f>((((VLOOKUP(B314,Database!$F:$AY,MATCH($Q$1,Database!$F$1:$AY$1,),))))-(((VLOOKUP(EDATE(B314,-12),Database!$F:$AY,MATCH($Q$1,Database!$F$1:$AY$1,),)))))/(((VLOOKUP(EDATE(B314,-12),Database!$F:$AY,MATCH($Q$1,Database!$F$1:$AY$1,),))))</f>
        <v/>
      </c>
      <c r="R314" s="13">
        <f>((((VLOOKUP(B314,Database!$F:$AY,MATCH($R$1,Database!$F$1:$AY$1,),))))-(((VLOOKUP(EDATE(B314,-12),Database!$F:$AY,MATCH($R$1,Database!$F$1:$AY$1,),)))))/(((VLOOKUP(EDATE(B314,-12),Database!$F:$AY,MATCH($R$1,Database!$F$1:$AY$1,),))))</f>
        <v/>
      </c>
      <c r="S314" s="13">
        <f>((((VLOOKUP(B314,Database!$F:$AY,MATCH($S$1,Database!$F$1:$AY$1,),))))-(((VLOOKUP(EDATE(B314,-12),Database!$F:$AY,MATCH($S$1,Database!$F$1:$AY$1,),)))))/(((VLOOKUP(EDATE(B314,-12),Database!$F:$AY,MATCH($S$1,Database!$F$1:$AY$1,),))))</f>
        <v/>
      </c>
      <c r="T314" s="13">
        <f>((((VLOOKUP(B314,Database!$F:$AY,MATCH($T$1,Database!$F$1:$AY$1,),))))-(((VLOOKUP(EDATE(B314,-12),Database!$F:$AY,MATCH($T$1,Database!$F$1:$AY$1,),)))))/(((VLOOKUP(EDATE(B314,-12),Database!$F:$AY,MATCH($T$1,Database!$F$1:$AY$1,),))))</f>
        <v/>
      </c>
      <c r="U314" s="13">
        <f>((((VLOOKUP(B314,Database!$F:$AY,MATCH($U$1,Database!$F$1:$AY$1,),))))-(((VLOOKUP(EDATE(B314,-12),Database!$F:$AY,MATCH($U$1,Database!$F$1:$AY$1,),)))))/(((VLOOKUP(EDATE(B314,-12),Database!$F:$AY,MATCH($U$1,Database!$F$1:$AY$1,),))))</f>
        <v/>
      </c>
      <c r="V314" s="13">
        <f>((((VLOOKUP(B314,Database!$F:$AY,MATCH($V$1,Database!$F$1:$AY$1,),))))-(((VLOOKUP(EDATE(B314,-12),Database!$F:$AY,MATCH($V$1,Database!$F$1:$AY$1,),)))))/(((VLOOKUP(EDATE(B314,-12),Database!$F:$AY,MATCH($V$1,Database!$F$1:$AY$1,),))))</f>
        <v/>
      </c>
    </row>
    <row r="315" customFormat="1" s="100">
      <c r="A315" s="45" t="n"/>
      <c r="B315" s="46" t="n">
        <v>41730</v>
      </c>
      <c r="C315" s="13">
        <f>((((VLOOKUP(B315,Database!$F:$AY,MATCH($C$1,Database!$F$1:$AY$1,),))))-(((VLOOKUP(EDATE(B315,-12),Database!$F:$AY,MATCH($C$1,Database!$F$1:$AY$1,),)))))/(((VLOOKUP(EDATE(B315,-12),Database!$F:$AY,MATCH($C$1,Database!$F$1:$AY$1,),))))</f>
        <v/>
      </c>
      <c r="D315" s="13">
        <f>((((VLOOKUP(B315,Database!$F:$AY,MATCH($D$1,Database!$F$1:$AY$1,),))))-(((VLOOKUP(EDATE(B315,-12),Database!$F:$AY,MATCH($D$1,Database!$F$1:$AY$1,),)))))/(((VLOOKUP(EDATE(B315,-12),Database!$F:$AY,MATCH($D$1,Database!$F$1:$AY$1,),))))</f>
        <v/>
      </c>
      <c r="E315" s="13">
        <f>((((VLOOKUP(B315,Database!$F:$AY,MATCH($E$1,Database!$F$1:$AY$1,),))))-(((VLOOKUP(EDATE(B315,-12),Database!$F:$AY,MATCH($E$1,Database!$F$1:$AY$1,),)))))/(((VLOOKUP(EDATE(B315,-12),Database!$F:$AY,MATCH($E$1,Database!$F$1:$AY$1,),))))</f>
        <v/>
      </c>
      <c r="F315" s="13">
        <f>((((VLOOKUP(B315,Database!$F:$AY,MATCH($F$1,Database!$F$1:$AY$1,),))))-(((VLOOKUP(EDATE(B315,-12),Database!$F:$AY,MATCH($F$1,Database!$F$1:$AY$1,),)))))/(((VLOOKUP(EDATE(B315,-12),Database!$F:$AY,MATCH($F$1,Database!$F$1:$AY$1,),))))</f>
        <v/>
      </c>
      <c r="G315" s="13">
        <f>((((VLOOKUP(B315,Database!$F:$AY,MATCH($G$1,Database!$F$1:$AY$1,),))))-(((VLOOKUP(EDATE(B315,-12),Database!$F:$AY,MATCH($G$1,Database!$F$1:$AY$1,),)))))/(((VLOOKUP(EDATE(B315,-12),Database!$F:$AY,MATCH($G$1,Database!$F$1:$AY$1,),))))</f>
        <v/>
      </c>
      <c r="H315" s="13">
        <f>((((VLOOKUP(B315,Database!$F:$AY,MATCH($H$1,Database!$F$1:$AY$1,),))))-(((VLOOKUP(EDATE(B315,-12),Database!$F:$AY,MATCH($H$1,Database!$F$1:$AY$1,),)))))/(((VLOOKUP(EDATE(B315,-12),Database!$F:$AY,MATCH($H$1,Database!$F$1:$AY$1,),))))</f>
        <v/>
      </c>
      <c r="I315" s="13">
        <f>((((VLOOKUP(B315,Database!$F:$AY,MATCH($I$1,Database!$F$1:$AY$1,),))))-(((VLOOKUP(EDATE(B315,-12),Database!$F:$AY,MATCH($I$1,Database!$F$1:$AY$1,),)))))/(((VLOOKUP(EDATE(B315,-12),Database!$F:$AY,MATCH($I$1,Database!$F$1:$AY$1,),))))</f>
        <v/>
      </c>
      <c r="J315" s="13">
        <f>((((VLOOKUP(B315,Database!$F:$AY,MATCH($J$1,Database!$F$1:$AY$1,),))))-(((VLOOKUP(EDATE(B315,-12),Database!$F:$AY,MATCH($J$1,Database!$F$1:$AY$1,),)))))/(((VLOOKUP(EDATE(B315,-12),Database!$F:$AY,MATCH($J$1,Database!$F$1:$AY$1,),))))</f>
        <v/>
      </c>
      <c r="K315" s="13">
        <f>((((VLOOKUP(B315,Database!$F:$AY,MATCH($K$1,Database!$F$1:$AY$1,),))))-(((VLOOKUP(EDATE(B315,-12),Database!$F:$AY,MATCH($K$1,Database!$F$1:$AY$1,),)))))/(((VLOOKUP(EDATE(B315,-12),Database!$F:$AY,MATCH($K$1,Database!$F$1:$AY$1,),))))</f>
        <v/>
      </c>
      <c r="L315" s="13">
        <f>((((VLOOKUP(B315,Database!$F:$AY,MATCH($L$1,Database!$F$1:$AY$1,),))))-(((VLOOKUP(EDATE(B315,-12),Database!$F:$AY,MATCH($L$1,Database!$F$1:$AY$1,),)))))/(((VLOOKUP(EDATE(B315,-12),Database!$F:$AY,MATCH($L$1,Database!$F$1:$AY$1,),))))</f>
        <v/>
      </c>
      <c r="M315" s="13">
        <f>((((VLOOKUP(B315,Database!$F:$AY,MATCH($M$1,Database!$F$1:$AY$1,),))))-(((VLOOKUP(EDATE(B315,-12),Database!$F:$AY,MATCH($M$1,Database!$F$1:$AY$1,),)))))/(((VLOOKUP(EDATE(B315,-12),Database!$F:$AY,MATCH($M$1,Database!$F$1:$AY$1,),))))</f>
        <v/>
      </c>
      <c r="N315" s="13">
        <f>((((VLOOKUP(B315,Database!$F:$AY,MATCH($N$1,Database!$F$1:$AY$1,),))))-(((VLOOKUP(EDATE(B315,-12),Database!$F:$AY,MATCH($N$1,Database!$F$1:$AY$1,),)))))/(((VLOOKUP(EDATE(B315,-12),Database!$F:$AY,MATCH($N$1,Database!$F$1:$AY$1,),))))</f>
        <v/>
      </c>
      <c r="O315" s="13">
        <f>((((VLOOKUP(B315,Database!$F:$AY,MATCH($O$1,Database!$F$1:$AY$1,),))))-(((VLOOKUP(EDATE(B315,-12),Database!$F:$AY,MATCH($O$1,Database!$F$1:$AY$1,),)))))/(((VLOOKUP(EDATE(B315,-12),Database!$F:$AY,MATCH($O$1,Database!$F$1:$AY$1,),))))</f>
        <v/>
      </c>
      <c r="P315" s="13">
        <f>((((VLOOKUP(B315,Database!$F:$AY,MATCH($P$1,Database!$F$1:$AY$1,),))))-(((VLOOKUP(EDATE(B315,-12),Database!$F:$AY,MATCH($P$1,Database!$F$1:$AY$1,),)))))/(((VLOOKUP(EDATE(B315,-12),Database!$F:$AY,MATCH($P$1,Database!$F$1:$AY$1,),))))</f>
        <v/>
      </c>
      <c r="Q315" s="13">
        <f>((((VLOOKUP(B315,Database!$F:$AY,MATCH($Q$1,Database!$F$1:$AY$1,),))))-(((VLOOKUP(EDATE(B315,-12),Database!$F:$AY,MATCH($Q$1,Database!$F$1:$AY$1,),)))))/(((VLOOKUP(EDATE(B315,-12),Database!$F:$AY,MATCH($Q$1,Database!$F$1:$AY$1,),))))</f>
        <v/>
      </c>
      <c r="R315" s="13">
        <f>((((VLOOKUP(B315,Database!$F:$AY,MATCH($R$1,Database!$F$1:$AY$1,),))))-(((VLOOKUP(EDATE(B315,-12),Database!$F:$AY,MATCH($R$1,Database!$F$1:$AY$1,),)))))/(((VLOOKUP(EDATE(B315,-12),Database!$F:$AY,MATCH($R$1,Database!$F$1:$AY$1,),))))</f>
        <v/>
      </c>
      <c r="S315" s="13">
        <f>((((VLOOKUP(B315,Database!$F:$AY,MATCH($S$1,Database!$F$1:$AY$1,),))))-(((VLOOKUP(EDATE(B315,-12),Database!$F:$AY,MATCH($S$1,Database!$F$1:$AY$1,),)))))/(((VLOOKUP(EDATE(B315,-12),Database!$F:$AY,MATCH($S$1,Database!$F$1:$AY$1,),))))</f>
        <v/>
      </c>
      <c r="T315" s="13">
        <f>((((VLOOKUP(B315,Database!$F:$AY,MATCH($T$1,Database!$F$1:$AY$1,),))))-(((VLOOKUP(EDATE(B315,-12),Database!$F:$AY,MATCH($T$1,Database!$F$1:$AY$1,),)))))/(((VLOOKUP(EDATE(B315,-12),Database!$F:$AY,MATCH($T$1,Database!$F$1:$AY$1,),))))</f>
        <v/>
      </c>
      <c r="U315" s="13">
        <f>((((VLOOKUP(B315,Database!$F:$AY,MATCH($U$1,Database!$F$1:$AY$1,),))))-(((VLOOKUP(EDATE(B315,-12),Database!$F:$AY,MATCH($U$1,Database!$F$1:$AY$1,),)))))/(((VLOOKUP(EDATE(B315,-12),Database!$F:$AY,MATCH($U$1,Database!$F$1:$AY$1,),))))</f>
        <v/>
      </c>
      <c r="V315" s="13">
        <f>((((VLOOKUP(B315,Database!$F:$AY,MATCH($V$1,Database!$F$1:$AY$1,),))))-(((VLOOKUP(EDATE(B315,-12),Database!$F:$AY,MATCH($V$1,Database!$F$1:$AY$1,),)))))/(((VLOOKUP(EDATE(B315,-12),Database!$F:$AY,MATCH($V$1,Database!$F$1:$AY$1,),))))</f>
        <v/>
      </c>
    </row>
    <row r="316" customFormat="1" s="100">
      <c r="A316" s="45" t="n"/>
      <c r="B316" s="46" t="n">
        <v>41760</v>
      </c>
      <c r="C316" s="13">
        <f>((((VLOOKUP(B316,Database!$F:$AY,MATCH($C$1,Database!$F$1:$AY$1,),))))-(((VLOOKUP(EDATE(B316,-12),Database!$F:$AY,MATCH($C$1,Database!$F$1:$AY$1,),)))))/(((VLOOKUP(EDATE(B316,-12),Database!$F:$AY,MATCH($C$1,Database!$F$1:$AY$1,),))))</f>
        <v/>
      </c>
      <c r="D316" s="13">
        <f>((((VLOOKUP(B316,Database!$F:$AY,MATCH($D$1,Database!$F$1:$AY$1,),))))-(((VLOOKUP(EDATE(B316,-12),Database!$F:$AY,MATCH($D$1,Database!$F$1:$AY$1,),)))))/(((VLOOKUP(EDATE(B316,-12),Database!$F:$AY,MATCH($D$1,Database!$F$1:$AY$1,),))))</f>
        <v/>
      </c>
      <c r="E316" s="13">
        <f>((((VLOOKUP(B316,Database!$F:$AY,MATCH($E$1,Database!$F$1:$AY$1,),))))-(((VLOOKUP(EDATE(B316,-12),Database!$F:$AY,MATCH($E$1,Database!$F$1:$AY$1,),)))))/(((VLOOKUP(EDATE(B316,-12),Database!$F:$AY,MATCH($E$1,Database!$F$1:$AY$1,),))))</f>
        <v/>
      </c>
      <c r="F316" s="13">
        <f>((((VLOOKUP(B316,Database!$F:$AY,MATCH($F$1,Database!$F$1:$AY$1,),))))-(((VLOOKUP(EDATE(B316,-12),Database!$F:$AY,MATCH($F$1,Database!$F$1:$AY$1,),)))))/(((VLOOKUP(EDATE(B316,-12),Database!$F:$AY,MATCH($F$1,Database!$F$1:$AY$1,),))))</f>
        <v/>
      </c>
      <c r="G316" s="13">
        <f>((((VLOOKUP(B316,Database!$F:$AY,MATCH($G$1,Database!$F$1:$AY$1,),))))-(((VLOOKUP(EDATE(B316,-12),Database!$F:$AY,MATCH($G$1,Database!$F$1:$AY$1,),)))))/(((VLOOKUP(EDATE(B316,-12),Database!$F:$AY,MATCH($G$1,Database!$F$1:$AY$1,),))))</f>
        <v/>
      </c>
      <c r="H316" s="13">
        <f>((((VLOOKUP(B316,Database!$F:$AY,MATCH($H$1,Database!$F$1:$AY$1,),))))-(((VLOOKUP(EDATE(B316,-12),Database!$F:$AY,MATCH($H$1,Database!$F$1:$AY$1,),)))))/(((VLOOKUP(EDATE(B316,-12),Database!$F:$AY,MATCH($H$1,Database!$F$1:$AY$1,),))))</f>
        <v/>
      </c>
      <c r="I316" s="13">
        <f>((((VLOOKUP(B316,Database!$F:$AY,MATCH($I$1,Database!$F$1:$AY$1,),))))-(((VLOOKUP(EDATE(B316,-12),Database!$F:$AY,MATCH($I$1,Database!$F$1:$AY$1,),)))))/(((VLOOKUP(EDATE(B316,-12),Database!$F:$AY,MATCH($I$1,Database!$F$1:$AY$1,),))))</f>
        <v/>
      </c>
      <c r="J316" s="13">
        <f>((((VLOOKUP(B316,Database!$F:$AY,MATCH($J$1,Database!$F$1:$AY$1,),))))-(((VLOOKUP(EDATE(B316,-12),Database!$F:$AY,MATCH($J$1,Database!$F$1:$AY$1,),)))))/(((VLOOKUP(EDATE(B316,-12),Database!$F:$AY,MATCH($J$1,Database!$F$1:$AY$1,),))))</f>
        <v/>
      </c>
      <c r="K316" s="13">
        <f>((((VLOOKUP(B316,Database!$F:$AY,MATCH($K$1,Database!$F$1:$AY$1,),))))-(((VLOOKUP(EDATE(B316,-12),Database!$F:$AY,MATCH($K$1,Database!$F$1:$AY$1,),)))))/(((VLOOKUP(EDATE(B316,-12),Database!$F:$AY,MATCH($K$1,Database!$F$1:$AY$1,),))))</f>
        <v/>
      </c>
      <c r="L316" s="13">
        <f>((((VLOOKUP(B316,Database!$F:$AY,MATCH($L$1,Database!$F$1:$AY$1,),))))-(((VLOOKUP(EDATE(B316,-12),Database!$F:$AY,MATCH($L$1,Database!$F$1:$AY$1,),)))))/(((VLOOKUP(EDATE(B316,-12),Database!$F:$AY,MATCH($L$1,Database!$F$1:$AY$1,),))))</f>
        <v/>
      </c>
      <c r="M316" s="13">
        <f>((((VLOOKUP(B316,Database!$F:$AY,MATCH($M$1,Database!$F$1:$AY$1,),))))-(((VLOOKUP(EDATE(B316,-12),Database!$F:$AY,MATCH($M$1,Database!$F$1:$AY$1,),)))))/(((VLOOKUP(EDATE(B316,-12),Database!$F:$AY,MATCH($M$1,Database!$F$1:$AY$1,),))))</f>
        <v/>
      </c>
      <c r="N316" s="13">
        <f>((((VLOOKUP(B316,Database!$F:$AY,MATCH($N$1,Database!$F$1:$AY$1,),))))-(((VLOOKUP(EDATE(B316,-12),Database!$F:$AY,MATCH($N$1,Database!$F$1:$AY$1,),)))))/(((VLOOKUP(EDATE(B316,-12),Database!$F:$AY,MATCH($N$1,Database!$F$1:$AY$1,),))))</f>
        <v/>
      </c>
      <c r="O316" s="13">
        <f>((((VLOOKUP(B316,Database!$F:$AY,MATCH($O$1,Database!$F$1:$AY$1,),))))-(((VLOOKUP(EDATE(B316,-12),Database!$F:$AY,MATCH($O$1,Database!$F$1:$AY$1,),)))))/(((VLOOKUP(EDATE(B316,-12),Database!$F:$AY,MATCH($O$1,Database!$F$1:$AY$1,),))))</f>
        <v/>
      </c>
      <c r="P316" s="13">
        <f>((((VLOOKUP(B316,Database!$F:$AY,MATCH($P$1,Database!$F$1:$AY$1,),))))-(((VLOOKUP(EDATE(B316,-12),Database!$F:$AY,MATCH($P$1,Database!$F$1:$AY$1,),)))))/(((VLOOKUP(EDATE(B316,-12),Database!$F:$AY,MATCH($P$1,Database!$F$1:$AY$1,),))))</f>
        <v/>
      </c>
      <c r="Q316" s="13">
        <f>((((VLOOKUP(B316,Database!$F:$AY,MATCH($Q$1,Database!$F$1:$AY$1,),))))-(((VLOOKUP(EDATE(B316,-12),Database!$F:$AY,MATCH($Q$1,Database!$F$1:$AY$1,),)))))/(((VLOOKUP(EDATE(B316,-12),Database!$F:$AY,MATCH($Q$1,Database!$F$1:$AY$1,),))))</f>
        <v/>
      </c>
      <c r="R316" s="13">
        <f>((((VLOOKUP(B316,Database!$F:$AY,MATCH($R$1,Database!$F$1:$AY$1,),))))-(((VLOOKUP(EDATE(B316,-12),Database!$F:$AY,MATCH($R$1,Database!$F$1:$AY$1,),)))))/(((VLOOKUP(EDATE(B316,-12),Database!$F:$AY,MATCH($R$1,Database!$F$1:$AY$1,),))))</f>
        <v/>
      </c>
      <c r="S316" s="13">
        <f>((((VLOOKUP(B316,Database!$F:$AY,MATCH($S$1,Database!$F$1:$AY$1,),))))-(((VLOOKUP(EDATE(B316,-12),Database!$F:$AY,MATCH($S$1,Database!$F$1:$AY$1,),)))))/(((VLOOKUP(EDATE(B316,-12),Database!$F:$AY,MATCH($S$1,Database!$F$1:$AY$1,),))))</f>
        <v/>
      </c>
      <c r="T316" s="13">
        <f>((((VLOOKUP(B316,Database!$F:$AY,MATCH($T$1,Database!$F$1:$AY$1,),))))-(((VLOOKUP(EDATE(B316,-12),Database!$F:$AY,MATCH($T$1,Database!$F$1:$AY$1,),)))))/(((VLOOKUP(EDATE(B316,-12),Database!$F:$AY,MATCH($T$1,Database!$F$1:$AY$1,),))))</f>
        <v/>
      </c>
      <c r="U316" s="13">
        <f>((((VLOOKUP(B316,Database!$F:$AY,MATCH($U$1,Database!$F$1:$AY$1,),))))-(((VLOOKUP(EDATE(B316,-12),Database!$F:$AY,MATCH($U$1,Database!$F$1:$AY$1,),)))))/(((VLOOKUP(EDATE(B316,-12),Database!$F:$AY,MATCH($U$1,Database!$F$1:$AY$1,),))))</f>
        <v/>
      </c>
      <c r="V316" s="13">
        <f>((((VLOOKUP(B316,Database!$F:$AY,MATCH($V$1,Database!$F$1:$AY$1,),))))-(((VLOOKUP(EDATE(B316,-12),Database!$F:$AY,MATCH($V$1,Database!$F$1:$AY$1,),)))))/(((VLOOKUP(EDATE(B316,-12),Database!$F:$AY,MATCH($V$1,Database!$F$1:$AY$1,),))))</f>
        <v/>
      </c>
    </row>
    <row r="317" customFormat="1" s="100">
      <c r="A317" s="45" t="n"/>
      <c r="B317" s="46" t="n">
        <v>41791</v>
      </c>
      <c r="C317" s="13">
        <f>((((VLOOKUP(B317,Database!$F:$AY,MATCH($C$1,Database!$F$1:$AY$1,),))))-(((VLOOKUP(EDATE(B317,-12),Database!$F:$AY,MATCH($C$1,Database!$F$1:$AY$1,),)))))/(((VLOOKUP(EDATE(B317,-12),Database!$F:$AY,MATCH($C$1,Database!$F$1:$AY$1,),))))</f>
        <v/>
      </c>
      <c r="D317" s="13">
        <f>((((VLOOKUP(B317,Database!$F:$AY,MATCH($D$1,Database!$F$1:$AY$1,),))))-(((VLOOKUP(EDATE(B317,-12),Database!$F:$AY,MATCH($D$1,Database!$F$1:$AY$1,),)))))/(((VLOOKUP(EDATE(B317,-12),Database!$F:$AY,MATCH($D$1,Database!$F$1:$AY$1,),))))</f>
        <v/>
      </c>
      <c r="E317" s="13">
        <f>((((VLOOKUP(B317,Database!$F:$AY,MATCH($E$1,Database!$F$1:$AY$1,),))))-(((VLOOKUP(EDATE(B317,-12),Database!$F:$AY,MATCH($E$1,Database!$F$1:$AY$1,),)))))/(((VLOOKUP(EDATE(B317,-12),Database!$F:$AY,MATCH($E$1,Database!$F$1:$AY$1,),))))</f>
        <v/>
      </c>
      <c r="F317" s="13">
        <f>((((VLOOKUP(B317,Database!$F:$AY,MATCH($F$1,Database!$F$1:$AY$1,),))))-(((VLOOKUP(EDATE(B317,-12),Database!$F:$AY,MATCH($F$1,Database!$F$1:$AY$1,),)))))/(((VLOOKUP(EDATE(B317,-12),Database!$F:$AY,MATCH($F$1,Database!$F$1:$AY$1,),))))</f>
        <v/>
      </c>
      <c r="G317" s="13">
        <f>((((VLOOKUP(B317,Database!$F:$AY,MATCH($G$1,Database!$F$1:$AY$1,),))))-(((VLOOKUP(EDATE(B317,-12),Database!$F:$AY,MATCH($G$1,Database!$F$1:$AY$1,),)))))/(((VLOOKUP(EDATE(B317,-12),Database!$F:$AY,MATCH($G$1,Database!$F$1:$AY$1,),))))</f>
        <v/>
      </c>
      <c r="H317" s="13">
        <f>((((VLOOKUP(B317,Database!$F:$AY,MATCH($H$1,Database!$F$1:$AY$1,),))))-(((VLOOKUP(EDATE(B317,-12),Database!$F:$AY,MATCH($H$1,Database!$F$1:$AY$1,),)))))/(((VLOOKUP(EDATE(B317,-12),Database!$F:$AY,MATCH($H$1,Database!$F$1:$AY$1,),))))</f>
        <v/>
      </c>
      <c r="I317" s="13">
        <f>((((VLOOKUP(B317,Database!$F:$AY,MATCH($I$1,Database!$F$1:$AY$1,),))))-(((VLOOKUP(EDATE(B317,-12),Database!$F:$AY,MATCH($I$1,Database!$F$1:$AY$1,),)))))/(((VLOOKUP(EDATE(B317,-12),Database!$F:$AY,MATCH($I$1,Database!$F$1:$AY$1,),))))</f>
        <v/>
      </c>
      <c r="J317" s="13">
        <f>((((VLOOKUP(B317,Database!$F:$AY,MATCH($J$1,Database!$F$1:$AY$1,),))))-(((VLOOKUP(EDATE(B317,-12),Database!$F:$AY,MATCH($J$1,Database!$F$1:$AY$1,),)))))/(((VLOOKUP(EDATE(B317,-12),Database!$F:$AY,MATCH($J$1,Database!$F$1:$AY$1,),))))</f>
        <v/>
      </c>
      <c r="K317" s="13">
        <f>((((VLOOKUP(B317,Database!$F:$AY,MATCH($K$1,Database!$F$1:$AY$1,),))))-(((VLOOKUP(EDATE(B317,-12),Database!$F:$AY,MATCH($K$1,Database!$F$1:$AY$1,),)))))/(((VLOOKUP(EDATE(B317,-12),Database!$F:$AY,MATCH($K$1,Database!$F$1:$AY$1,),))))</f>
        <v/>
      </c>
      <c r="L317" s="13">
        <f>((((VLOOKUP(B317,Database!$F:$AY,MATCH($L$1,Database!$F$1:$AY$1,),))))-(((VLOOKUP(EDATE(B317,-12),Database!$F:$AY,MATCH($L$1,Database!$F$1:$AY$1,),)))))/(((VLOOKUP(EDATE(B317,-12),Database!$F:$AY,MATCH($L$1,Database!$F$1:$AY$1,),))))</f>
        <v/>
      </c>
      <c r="M317" s="13">
        <f>((((VLOOKUP(B317,Database!$F:$AY,MATCH($M$1,Database!$F$1:$AY$1,),))))-(((VLOOKUP(EDATE(B317,-12),Database!$F:$AY,MATCH($M$1,Database!$F$1:$AY$1,),)))))/(((VLOOKUP(EDATE(B317,-12),Database!$F:$AY,MATCH($M$1,Database!$F$1:$AY$1,),))))</f>
        <v/>
      </c>
      <c r="N317" s="13">
        <f>((((VLOOKUP(B317,Database!$F:$AY,MATCH($N$1,Database!$F$1:$AY$1,),))))-(((VLOOKUP(EDATE(B317,-12),Database!$F:$AY,MATCH($N$1,Database!$F$1:$AY$1,),)))))/(((VLOOKUP(EDATE(B317,-12),Database!$F:$AY,MATCH($N$1,Database!$F$1:$AY$1,),))))</f>
        <v/>
      </c>
      <c r="O317" s="13">
        <f>((((VLOOKUP(B317,Database!$F:$AY,MATCH($O$1,Database!$F$1:$AY$1,),))))-(((VLOOKUP(EDATE(B317,-12),Database!$F:$AY,MATCH($O$1,Database!$F$1:$AY$1,),)))))/(((VLOOKUP(EDATE(B317,-12),Database!$F:$AY,MATCH($O$1,Database!$F$1:$AY$1,),))))</f>
        <v/>
      </c>
      <c r="P317" s="13">
        <f>((((VLOOKUP(B317,Database!$F:$AY,MATCH($P$1,Database!$F$1:$AY$1,),))))-(((VLOOKUP(EDATE(B317,-12),Database!$F:$AY,MATCH($P$1,Database!$F$1:$AY$1,),)))))/(((VLOOKUP(EDATE(B317,-12),Database!$F:$AY,MATCH($P$1,Database!$F$1:$AY$1,),))))</f>
        <v/>
      </c>
      <c r="Q317" s="13">
        <f>((((VLOOKUP(B317,Database!$F:$AY,MATCH($Q$1,Database!$F$1:$AY$1,),))))-(((VLOOKUP(EDATE(B317,-12),Database!$F:$AY,MATCH($Q$1,Database!$F$1:$AY$1,),)))))/(((VLOOKUP(EDATE(B317,-12),Database!$F:$AY,MATCH($Q$1,Database!$F$1:$AY$1,),))))</f>
        <v/>
      </c>
      <c r="R317" s="13">
        <f>((((VLOOKUP(B317,Database!$F:$AY,MATCH($R$1,Database!$F$1:$AY$1,),))))-(((VLOOKUP(EDATE(B317,-12),Database!$F:$AY,MATCH($R$1,Database!$F$1:$AY$1,),)))))/(((VLOOKUP(EDATE(B317,-12),Database!$F:$AY,MATCH($R$1,Database!$F$1:$AY$1,),))))</f>
        <v/>
      </c>
      <c r="S317" s="13">
        <f>((((VLOOKUP(B317,Database!$F:$AY,MATCH($S$1,Database!$F$1:$AY$1,),))))-(((VLOOKUP(EDATE(B317,-12),Database!$F:$AY,MATCH($S$1,Database!$F$1:$AY$1,),)))))/(((VLOOKUP(EDATE(B317,-12),Database!$F:$AY,MATCH($S$1,Database!$F$1:$AY$1,),))))</f>
        <v/>
      </c>
      <c r="T317" s="13">
        <f>((((VLOOKUP(B317,Database!$F:$AY,MATCH($T$1,Database!$F$1:$AY$1,),))))-(((VLOOKUP(EDATE(B317,-12),Database!$F:$AY,MATCH($T$1,Database!$F$1:$AY$1,),)))))/(((VLOOKUP(EDATE(B317,-12),Database!$F:$AY,MATCH($T$1,Database!$F$1:$AY$1,),))))</f>
        <v/>
      </c>
      <c r="U317" s="13">
        <f>((((VLOOKUP(B317,Database!$F:$AY,MATCH($U$1,Database!$F$1:$AY$1,),))))-(((VLOOKUP(EDATE(B317,-12),Database!$F:$AY,MATCH($U$1,Database!$F$1:$AY$1,),)))))/(((VLOOKUP(EDATE(B317,-12),Database!$F:$AY,MATCH($U$1,Database!$F$1:$AY$1,),))))</f>
        <v/>
      </c>
      <c r="V317" s="13">
        <f>((((VLOOKUP(B317,Database!$F:$AY,MATCH($V$1,Database!$F$1:$AY$1,),))))-(((VLOOKUP(EDATE(B317,-12),Database!$F:$AY,MATCH($V$1,Database!$F$1:$AY$1,),)))))/(((VLOOKUP(EDATE(B317,-12),Database!$F:$AY,MATCH($V$1,Database!$F$1:$AY$1,),))))</f>
        <v/>
      </c>
    </row>
    <row r="318" customFormat="1" s="100">
      <c r="A318" s="45" t="n"/>
      <c r="B318" s="46" t="n">
        <v>41821</v>
      </c>
      <c r="C318" s="13">
        <f>((((VLOOKUP(B318,Database!$F:$AY,MATCH($C$1,Database!$F$1:$AY$1,),))))-(((VLOOKUP(EDATE(B318,-12),Database!$F:$AY,MATCH($C$1,Database!$F$1:$AY$1,),)))))/(((VLOOKUP(EDATE(B318,-12),Database!$F:$AY,MATCH($C$1,Database!$F$1:$AY$1,),))))</f>
        <v/>
      </c>
      <c r="D318" s="13">
        <f>((((VLOOKUP(B318,Database!$F:$AY,MATCH($D$1,Database!$F$1:$AY$1,),))))-(((VLOOKUP(EDATE(B318,-12),Database!$F:$AY,MATCH($D$1,Database!$F$1:$AY$1,),)))))/(((VLOOKUP(EDATE(B318,-12),Database!$F:$AY,MATCH($D$1,Database!$F$1:$AY$1,),))))</f>
        <v/>
      </c>
      <c r="E318" s="13">
        <f>((((VLOOKUP(B318,Database!$F:$AY,MATCH($E$1,Database!$F$1:$AY$1,),))))-(((VLOOKUP(EDATE(B318,-12),Database!$F:$AY,MATCH($E$1,Database!$F$1:$AY$1,),)))))/(((VLOOKUP(EDATE(B318,-12),Database!$F:$AY,MATCH($E$1,Database!$F$1:$AY$1,),))))</f>
        <v/>
      </c>
      <c r="F318" s="13">
        <f>((((VLOOKUP(B318,Database!$F:$AY,MATCH($F$1,Database!$F$1:$AY$1,),))))-(((VLOOKUP(EDATE(B318,-12),Database!$F:$AY,MATCH($F$1,Database!$F$1:$AY$1,),)))))/(((VLOOKUP(EDATE(B318,-12),Database!$F:$AY,MATCH($F$1,Database!$F$1:$AY$1,),))))</f>
        <v/>
      </c>
      <c r="G318" s="13">
        <f>((((VLOOKUP(B318,Database!$F:$AY,MATCH($G$1,Database!$F$1:$AY$1,),))))-(((VLOOKUP(EDATE(B318,-12),Database!$F:$AY,MATCH($G$1,Database!$F$1:$AY$1,),)))))/(((VLOOKUP(EDATE(B318,-12),Database!$F:$AY,MATCH($G$1,Database!$F$1:$AY$1,),))))</f>
        <v/>
      </c>
      <c r="H318" s="13">
        <f>((((VLOOKUP(B318,Database!$F:$AY,MATCH($H$1,Database!$F$1:$AY$1,),))))-(((VLOOKUP(EDATE(B318,-12),Database!$F:$AY,MATCH($H$1,Database!$F$1:$AY$1,),)))))/(((VLOOKUP(EDATE(B318,-12),Database!$F:$AY,MATCH($H$1,Database!$F$1:$AY$1,),))))</f>
        <v/>
      </c>
      <c r="I318" s="13">
        <f>((((VLOOKUP(B318,Database!$F:$AY,MATCH($I$1,Database!$F$1:$AY$1,),))))-(((VLOOKUP(EDATE(B318,-12),Database!$F:$AY,MATCH($I$1,Database!$F$1:$AY$1,),)))))/(((VLOOKUP(EDATE(B318,-12),Database!$F:$AY,MATCH($I$1,Database!$F$1:$AY$1,),))))</f>
        <v/>
      </c>
      <c r="J318" s="13">
        <f>((((VLOOKUP(B318,Database!$F:$AY,MATCH($J$1,Database!$F$1:$AY$1,),))))-(((VLOOKUP(EDATE(B318,-12),Database!$F:$AY,MATCH($J$1,Database!$F$1:$AY$1,),)))))/(((VLOOKUP(EDATE(B318,-12),Database!$F:$AY,MATCH($J$1,Database!$F$1:$AY$1,),))))</f>
        <v/>
      </c>
      <c r="K318" s="13">
        <f>((((VLOOKUP(B318,Database!$F:$AY,MATCH($K$1,Database!$F$1:$AY$1,),))))-(((VLOOKUP(EDATE(B318,-12),Database!$F:$AY,MATCH($K$1,Database!$F$1:$AY$1,),)))))/(((VLOOKUP(EDATE(B318,-12),Database!$F:$AY,MATCH($K$1,Database!$F$1:$AY$1,),))))</f>
        <v/>
      </c>
      <c r="L318" s="13">
        <f>((((VLOOKUP(B318,Database!$F:$AY,MATCH($L$1,Database!$F$1:$AY$1,),))))-(((VLOOKUP(EDATE(B318,-12),Database!$F:$AY,MATCH($L$1,Database!$F$1:$AY$1,),)))))/(((VLOOKUP(EDATE(B318,-12),Database!$F:$AY,MATCH($L$1,Database!$F$1:$AY$1,),))))</f>
        <v/>
      </c>
      <c r="M318" s="13">
        <f>((((VLOOKUP(B318,Database!$F:$AY,MATCH($M$1,Database!$F$1:$AY$1,),))))-(((VLOOKUP(EDATE(B318,-12),Database!$F:$AY,MATCH($M$1,Database!$F$1:$AY$1,),)))))/(((VLOOKUP(EDATE(B318,-12),Database!$F:$AY,MATCH($M$1,Database!$F$1:$AY$1,),))))</f>
        <v/>
      </c>
      <c r="N318" s="13">
        <f>((((VLOOKUP(B318,Database!$F:$AY,MATCH($N$1,Database!$F$1:$AY$1,),))))-(((VLOOKUP(EDATE(B318,-12),Database!$F:$AY,MATCH($N$1,Database!$F$1:$AY$1,),)))))/(((VLOOKUP(EDATE(B318,-12),Database!$F:$AY,MATCH($N$1,Database!$F$1:$AY$1,),))))</f>
        <v/>
      </c>
      <c r="O318" s="13">
        <f>((((VLOOKUP(B318,Database!$F:$AY,MATCH($O$1,Database!$F$1:$AY$1,),))))-(((VLOOKUP(EDATE(B318,-12),Database!$F:$AY,MATCH($O$1,Database!$F$1:$AY$1,),)))))/(((VLOOKUP(EDATE(B318,-12),Database!$F:$AY,MATCH($O$1,Database!$F$1:$AY$1,),))))</f>
        <v/>
      </c>
      <c r="P318" s="13">
        <f>((((VLOOKUP(B318,Database!$F:$AY,MATCH($P$1,Database!$F$1:$AY$1,),))))-(((VLOOKUP(EDATE(B318,-12),Database!$F:$AY,MATCH($P$1,Database!$F$1:$AY$1,),)))))/(((VLOOKUP(EDATE(B318,-12),Database!$F:$AY,MATCH($P$1,Database!$F$1:$AY$1,),))))</f>
        <v/>
      </c>
      <c r="Q318" s="13">
        <f>((((VLOOKUP(B318,Database!$F:$AY,MATCH($Q$1,Database!$F$1:$AY$1,),))))-(((VLOOKUP(EDATE(B318,-12),Database!$F:$AY,MATCH($Q$1,Database!$F$1:$AY$1,),)))))/(((VLOOKUP(EDATE(B318,-12),Database!$F:$AY,MATCH($Q$1,Database!$F$1:$AY$1,),))))</f>
        <v/>
      </c>
      <c r="R318" s="13">
        <f>((((VLOOKUP(B318,Database!$F:$AY,MATCH($R$1,Database!$F$1:$AY$1,),))))-(((VLOOKUP(EDATE(B318,-12),Database!$F:$AY,MATCH($R$1,Database!$F$1:$AY$1,),)))))/(((VLOOKUP(EDATE(B318,-12),Database!$F:$AY,MATCH($R$1,Database!$F$1:$AY$1,),))))</f>
        <v/>
      </c>
      <c r="S318" s="13">
        <f>((((VLOOKUP(B318,Database!$F:$AY,MATCH($S$1,Database!$F$1:$AY$1,),))))-(((VLOOKUP(EDATE(B318,-12),Database!$F:$AY,MATCH($S$1,Database!$F$1:$AY$1,),)))))/(((VLOOKUP(EDATE(B318,-12),Database!$F:$AY,MATCH($S$1,Database!$F$1:$AY$1,),))))</f>
        <v/>
      </c>
      <c r="T318" s="13">
        <f>((((VLOOKUP(B318,Database!$F:$AY,MATCH($T$1,Database!$F$1:$AY$1,),))))-(((VLOOKUP(EDATE(B318,-12),Database!$F:$AY,MATCH($T$1,Database!$F$1:$AY$1,),)))))/(((VLOOKUP(EDATE(B318,-12),Database!$F:$AY,MATCH($T$1,Database!$F$1:$AY$1,),))))</f>
        <v/>
      </c>
      <c r="U318" s="13">
        <f>((((VLOOKUP(B318,Database!$F:$AY,MATCH($U$1,Database!$F$1:$AY$1,),))))-(((VLOOKUP(EDATE(B318,-12),Database!$F:$AY,MATCH($U$1,Database!$F$1:$AY$1,),)))))/(((VLOOKUP(EDATE(B318,-12),Database!$F:$AY,MATCH($U$1,Database!$F$1:$AY$1,),))))</f>
        <v/>
      </c>
      <c r="V318" s="13">
        <f>((((VLOOKUP(B318,Database!$F:$AY,MATCH($V$1,Database!$F$1:$AY$1,),))))-(((VLOOKUP(EDATE(B318,-12),Database!$F:$AY,MATCH($V$1,Database!$F$1:$AY$1,),)))))/(((VLOOKUP(EDATE(B318,-12),Database!$F:$AY,MATCH($V$1,Database!$F$1:$AY$1,),))))</f>
        <v/>
      </c>
    </row>
    <row r="319" customFormat="1" s="100">
      <c r="A319" s="45" t="n"/>
      <c r="B319" s="46" t="n">
        <v>41852</v>
      </c>
      <c r="C319" s="13">
        <f>((((VLOOKUP(B319,Database!$F:$AY,MATCH($C$1,Database!$F$1:$AY$1,),))))-(((VLOOKUP(EDATE(B319,-12),Database!$F:$AY,MATCH($C$1,Database!$F$1:$AY$1,),)))))/(((VLOOKUP(EDATE(B319,-12),Database!$F:$AY,MATCH($C$1,Database!$F$1:$AY$1,),))))</f>
        <v/>
      </c>
      <c r="D319" s="13">
        <f>((((VLOOKUP(B319,Database!$F:$AY,MATCH($D$1,Database!$F$1:$AY$1,),))))-(((VLOOKUP(EDATE(B319,-12),Database!$F:$AY,MATCH($D$1,Database!$F$1:$AY$1,),)))))/(((VLOOKUP(EDATE(B319,-12),Database!$F:$AY,MATCH($D$1,Database!$F$1:$AY$1,),))))</f>
        <v/>
      </c>
      <c r="E319" s="13">
        <f>((((VLOOKUP(B319,Database!$F:$AY,MATCH($E$1,Database!$F$1:$AY$1,),))))-(((VLOOKUP(EDATE(B319,-12),Database!$F:$AY,MATCH($E$1,Database!$F$1:$AY$1,),)))))/(((VLOOKUP(EDATE(B319,-12),Database!$F:$AY,MATCH($E$1,Database!$F$1:$AY$1,),))))</f>
        <v/>
      </c>
      <c r="F319" s="13">
        <f>((((VLOOKUP(B319,Database!$F:$AY,MATCH($F$1,Database!$F$1:$AY$1,),))))-(((VLOOKUP(EDATE(B319,-12),Database!$F:$AY,MATCH($F$1,Database!$F$1:$AY$1,),)))))/(((VLOOKUP(EDATE(B319,-12),Database!$F:$AY,MATCH($F$1,Database!$F$1:$AY$1,),))))</f>
        <v/>
      </c>
      <c r="G319" s="13">
        <f>((((VLOOKUP(B319,Database!$F:$AY,MATCH($G$1,Database!$F$1:$AY$1,),))))-(((VLOOKUP(EDATE(B319,-12),Database!$F:$AY,MATCH($G$1,Database!$F$1:$AY$1,),)))))/(((VLOOKUP(EDATE(B319,-12),Database!$F:$AY,MATCH($G$1,Database!$F$1:$AY$1,),))))</f>
        <v/>
      </c>
      <c r="H319" s="13">
        <f>((((VLOOKUP(B319,Database!$F:$AY,MATCH($H$1,Database!$F$1:$AY$1,),))))-(((VLOOKUP(EDATE(B319,-12),Database!$F:$AY,MATCH($H$1,Database!$F$1:$AY$1,),)))))/(((VLOOKUP(EDATE(B319,-12),Database!$F:$AY,MATCH($H$1,Database!$F$1:$AY$1,),))))</f>
        <v/>
      </c>
      <c r="I319" s="13">
        <f>((((VLOOKUP(B319,Database!$F:$AY,MATCH($I$1,Database!$F$1:$AY$1,),))))-(((VLOOKUP(EDATE(B319,-12),Database!$F:$AY,MATCH($I$1,Database!$F$1:$AY$1,),)))))/(((VLOOKUP(EDATE(B319,-12),Database!$F:$AY,MATCH($I$1,Database!$F$1:$AY$1,),))))</f>
        <v/>
      </c>
      <c r="J319" s="13">
        <f>((((VLOOKUP(B319,Database!$F:$AY,MATCH($J$1,Database!$F$1:$AY$1,),))))-(((VLOOKUP(EDATE(B319,-12),Database!$F:$AY,MATCH($J$1,Database!$F$1:$AY$1,),)))))/(((VLOOKUP(EDATE(B319,-12),Database!$F:$AY,MATCH($J$1,Database!$F$1:$AY$1,),))))</f>
        <v/>
      </c>
      <c r="K319" s="13">
        <f>((((VLOOKUP(B319,Database!$F:$AY,MATCH($K$1,Database!$F$1:$AY$1,),))))-(((VLOOKUP(EDATE(B319,-12),Database!$F:$AY,MATCH($K$1,Database!$F$1:$AY$1,),)))))/(((VLOOKUP(EDATE(B319,-12),Database!$F:$AY,MATCH($K$1,Database!$F$1:$AY$1,),))))</f>
        <v/>
      </c>
      <c r="L319" s="13">
        <f>((((VLOOKUP(B319,Database!$F:$AY,MATCH($L$1,Database!$F$1:$AY$1,),))))-(((VLOOKUP(EDATE(B319,-12),Database!$F:$AY,MATCH($L$1,Database!$F$1:$AY$1,),)))))/(((VLOOKUP(EDATE(B319,-12),Database!$F:$AY,MATCH($L$1,Database!$F$1:$AY$1,),))))</f>
        <v/>
      </c>
      <c r="M319" s="13">
        <f>((((VLOOKUP(B319,Database!$F:$AY,MATCH($M$1,Database!$F$1:$AY$1,),))))-(((VLOOKUP(EDATE(B319,-12),Database!$F:$AY,MATCH($M$1,Database!$F$1:$AY$1,),)))))/(((VLOOKUP(EDATE(B319,-12),Database!$F:$AY,MATCH($M$1,Database!$F$1:$AY$1,),))))</f>
        <v/>
      </c>
      <c r="N319" s="13">
        <f>((((VLOOKUP(B319,Database!$F:$AY,MATCH($N$1,Database!$F$1:$AY$1,),))))-(((VLOOKUP(EDATE(B319,-12),Database!$F:$AY,MATCH($N$1,Database!$F$1:$AY$1,),)))))/(((VLOOKUP(EDATE(B319,-12),Database!$F:$AY,MATCH($N$1,Database!$F$1:$AY$1,),))))</f>
        <v/>
      </c>
      <c r="O319" s="13">
        <f>((((VLOOKUP(B319,Database!$F:$AY,MATCH($O$1,Database!$F$1:$AY$1,),))))-(((VLOOKUP(EDATE(B319,-12),Database!$F:$AY,MATCH($O$1,Database!$F$1:$AY$1,),)))))/(((VLOOKUP(EDATE(B319,-12),Database!$F:$AY,MATCH($O$1,Database!$F$1:$AY$1,),))))</f>
        <v/>
      </c>
      <c r="P319" s="13">
        <f>((((VLOOKUP(B319,Database!$F:$AY,MATCH($P$1,Database!$F$1:$AY$1,),))))-(((VLOOKUP(EDATE(B319,-12),Database!$F:$AY,MATCH($P$1,Database!$F$1:$AY$1,),)))))/(((VLOOKUP(EDATE(B319,-12),Database!$F:$AY,MATCH($P$1,Database!$F$1:$AY$1,),))))</f>
        <v/>
      </c>
      <c r="Q319" s="13">
        <f>((((VLOOKUP(B319,Database!$F:$AY,MATCH($Q$1,Database!$F$1:$AY$1,),))))-(((VLOOKUP(EDATE(B319,-12),Database!$F:$AY,MATCH($Q$1,Database!$F$1:$AY$1,),)))))/(((VLOOKUP(EDATE(B319,-12),Database!$F:$AY,MATCH($Q$1,Database!$F$1:$AY$1,),))))</f>
        <v/>
      </c>
      <c r="R319" s="13">
        <f>((((VLOOKUP(B319,Database!$F:$AY,MATCH($R$1,Database!$F$1:$AY$1,),))))-(((VLOOKUP(EDATE(B319,-12),Database!$F:$AY,MATCH($R$1,Database!$F$1:$AY$1,),)))))/(((VLOOKUP(EDATE(B319,-12),Database!$F:$AY,MATCH($R$1,Database!$F$1:$AY$1,),))))</f>
        <v/>
      </c>
      <c r="S319" s="13">
        <f>((((VLOOKUP(B319,Database!$F:$AY,MATCH($S$1,Database!$F$1:$AY$1,),))))-(((VLOOKUP(EDATE(B319,-12),Database!$F:$AY,MATCH($S$1,Database!$F$1:$AY$1,),)))))/(((VLOOKUP(EDATE(B319,-12),Database!$F:$AY,MATCH($S$1,Database!$F$1:$AY$1,),))))</f>
        <v/>
      </c>
      <c r="T319" s="13">
        <f>((((VLOOKUP(B319,Database!$F:$AY,MATCH($T$1,Database!$F$1:$AY$1,),))))-(((VLOOKUP(EDATE(B319,-12),Database!$F:$AY,MATCH($T$1,Database!$F$1:$AY$1,),)))))/(((VLOOKUP(EDATE(B319,-12),Database!$F:$AY,MATCH($T$1,Database!$F$1:$AY$1,),))))</f>
        <v/>
      </c>
      <c r="U319" s="13">
        <f>((((VLOOKUP(B319,Database!$F:$AY,MATCH($U$1,Database!$F$1:$AY$1,),))))-(((VLOOKUP(EDATE(B319,-12),Database!$F:$AY,MATCH($U$1,Database!$F$1:$AY$1,),)))))/(((VLOOKUP(EDATE(B319,-12),Database!$F:$AY,MATCH($U$1,Database!$F$1:$AY$1,),))))</f>
        <v/>
      </c>
      <c r="V319" s="13">
        <f>((((VLOOKUP(B319,Database!$F:$AY,MATCH($V$1,Database!$F$1:$AY$1,),))))-(((VLOOKUP(EDATE(B319,-12),Database!$F:$AY,MATCH($V$1,Database!$F$1:$AY$1,),)))))/(((VLOOKUP(EDATE(B319,-12),Database!$F:$AY,MATCH($V$1,Database!$F$1:$AY$1,),))))</f>
        <v/>
      </c>
    </row>
    <row r="320" customFormat="1" s="100">
      <c r="A320" s="45" t="n"/>
      <c r="B320" s="46" t="n">
        <v>41883</v>
      </c>
      <c r="C320" s="13">
        <f>((((VLOOKUP(B320,Database!$F:$AY,MATCH($C$1,Database!$F$1:$AY$1,),))))-(((VLOOKUP(EDATE(B320,-12),Database!$F:$AY,MATCH($C$1,Database!$F$1:$AY$1,),)))))/(((VLOOKUP(EDATE(B320,-12),Database!$F:$AY,MATCH($C$1,Database!$F$1:$AY$1,),))))</f>
        <v/>
      </c>
      <c r="D320" s="13">
        <f>((((VLOOKUP(B320,Database!$F:$AY,MATCH($D$1,Database!$F$1:$AY$1,),))))-(((VLOOKUP(EDATE(B320,-12),Database!$F:$AY,MATCH($D$1,Database!$F$1:$AY$1,),)))))/(((VLOOKUP(EDATE(B320,-12),Database!$F:$AY,MATCH($D$1,Database!$F$1:$AY$1,),))))</f>
        <v/>
      </c>
      <c r="E320" s="13">
        <f>((((VLOOKUP(B320,Database!$F:$AY,MATCH($E$1,Database!$F$1:$AY$1,),))))-(((VLOOKUP(EDATE(B320,-12),Database!$F:$AY,MATCH($E$1,Database!$F$1:$AY$1,),)))))/(((VLOOKUP(EDATE(B320,-12),Database!$F:$AY,MATCH($E$1,Database!$F$1:$AY$1,),))))</f>
        <v/>
      </c>
      <c r="F320" s="13">
        <f>((((VLOOKUP(B320,Database!$F:$AY,MATCH($F$1,Database!$F$1:$AY$1,),))))-(((VLOOKUP(EDATE(B320,-12),Database!$F:$AY,MATCH($F$1,Database!$F$1:$AY$1,),)))))/(((VLOOKUP(EDATE(B320,-12),Database!$F:$AY,MATCH($F$1,Database!$F$1:$AY$1,),))))</f>
        <v/>
      </c>
      <c r="G320" s="13">
        <f>((((VLOOKUP(B320,Database!$F:$AY,MATCH($G$1,Database!$F$1:$AY$1,),))))-(((VLOOKUP(EDATE(B320,-12),Database!$F:$AY,MATCH($G$1,Database!$F$1:$AY$1,),)))))/(((VLOOKUP(EDATE(B320,-12),Database!$F:$AY,MATCH($G$1,Database!$F$1:$AY$1,),))))</f>
        <v/>
      </c>
      <c r="H320" s="13">
        <f>((((VLOOKUP(B320,Database!$F:$AY,MATCH($H$1,Database!$F$1:$AY$1,),))))-(((VLOOKUP(EDATE(B320,-12),Database!$F:$AY,MATCH($H$1,Database!$F$1:$AY$1,),)))))/(((VLOOKUP(EDATE(B320,-12),Database!$F:$AY,MATCH($H$1,Database!$F$1:$AY$1,),))))</f>
        <v/>
      </c>
      <c r="I320" s="13">
        <f>((((VLOOKUP(B320,Database!$F:$AY,MATCH($I$1,Database!$F$1:$AY$1,),))))-(((VLOOKUP(EDATE(B320,-12),Database!$F:$AY,MATCH($I$1,Database!$F$1:$AY$1,),)))))/(((VLOOKUP(EDATE(B320,-12),Database!$F:$AY,MATCH($I$1,Database!$F$1:$AY$1,),))))</f>
        <v/>
      </c>
      <c r="J320" s="13">
        <f>((((VLOOKUP(B320,Database!$F:$AY,MATCH($J$1,Database!$F$1:$AY$1,),))))-(((VLOOKUP(EDATE(B320,-12),Database!$F:$AY,MATCH($J$1,Database!$F$1:$AY$1,),)))))/(((VLOOKUP(EDATE(B320,-12),Database!$F:$AY,MATCH($J$1,Database!$F$1:$AY$1,),))))</f>
        <v/>
      </c>
      <c r="K320" s="13">
        <f>((((VLOOKUP(B320,Database!$F:$AY,MATCH($K$1,Database!$F$1:$AY$1,),))))-(((VLOOKUP(EDATE(B320,-12),Database!$F:$AY,MATCH($K$1,Database!$F$1:$AY$1,),)))))/(((VLOOKUP(EDATE(B320,-12),Database!$F:$AY,MATCH($K$1,Database!$F$1:$AY$1,),))))</f>
        <v/>
      </c>
      <c r="L320" s="13">
        <f>((((VLOOKUP(B320,Database!$F:$AY,MATCH($L$1,Database!$F$1:$AY$1,),))))-(((VLOOKUP(EDATE(B320,-12),Database!$F:$AY,MATCH($L$1,Database!$F$1:$AY$1,),)))))/(((VLOOKUP(EDATE(B320,-12),Database!$F:$AY,MATCH($L$1,Database!$F$1:$AY$1,),))))</f>
        <v/>
      </c>
      <c r="M320" s="13">
        <f>((((VLOOKUP(B320,Database!$F:$AY,MATCH($M$1,Database!$F$1:$AY$1,),))))-(((VLOOKUP(EDATE(B320,-12),Database!$F:$AY,MATCH($M$1,Database!$F$1:$AY$1,),)))))/(((VLOOKUP(EDATE(B320,-12),Database!$F:$AY,MATCH($M$1,Database!$F$1:$AY$1,),))))</f>
        <v/>
      </c>
      <c r="N320" s="13">
        <f>((((VLOOKUP(B320,Database!$F:$AY,MATCH($N$1,Database!$F$1:$AY$1,),))))-(((VLOOKUP(EDATE(B320,-12),Database!$F:$AY,MATCH($N$1,Database!$F$1:$AY$1,),)))))/(((VLOOKUP(EDATE(B320,-12),Database!$F:$AY,MATCH($N$1,Database!$F$1:$AY$1,),))))</f>
        <v/>
      </c>
      <c r="O320" s="13">
        <f>((((VLOOKUP(B320,Database!$F:$AY,MATCH($O$1,Database!$F$1:$AY$1,),))))-(((VLOOKUP(EDATE(B320,-12),Database!$F:$AY,MATCH($O$1,Database!$F$1:$AY$1,),)))))/(((VLOOKUP(EDATE(B320,-12),Database!$F:$AY,MATCH($O$1,Database!$F$1:$AY$1,),))))</f>
        <v/>
      </c>
      <c r="P320" s="13">
        <f>((((VLOOKUP(B320,Database!$F:$AY,MATCH($P$1,Database!$F$1:$AY$1,),))))-(((VLOOKUP(EDATE(B320,-12),Database!$F:$AY,MATCH($P$1,Database!$F$1:$AY$1,),)))))/(((VLOOKUP(EDATE(B320,-12),Database!$F:$AY,MATCH($P$1,Database!$F$1:$AY$1,),))))</f>
        <v/>
      </c>
      <c r="Q320" s="13">
        <f>((((VLOOKUP(B320,Database!$F:$AY,MATCH($Q$1,Database!$F$1:$AY$1,),))))-(((VLOOKUP(EDATE(B320,-12),Database!$F:$AY,MATCH($Q$1,Database!$F$1:$AY$1,),)))))/(((VLOOKUP(EDATE(B320,-12),Database!$F:$AY,MATCH($Q$1,Database!$F$1:$AY$1,),))))</f>
        <v/>
      </c>
      <c r="R320" s="13">
        <f>((((VLOOKUP(B320,Database!$F:$AY,MATCH($R$1,Database!$F$1:$AY$1,),))))-(((VLOOKUP(EDATE(B320,-12),Database!$F:$AY,MATCH($R$1,Database!$F$1:$AY$1,),)))))/(((VLOOKUP(EDATE(B320,-12),Database!$F:$AY,MATCH($R$1,Database!$F$1:$AY$1,),))))</f>
        <v/>
      </c>
      <c r="S320" s="13">
        <f>((((VLOOKUP(B320,Database!$F:$AY,MATCH($S$1,Database!$F$1:$AY$1,),))))-(((VLOOKUP(EDATE(B320,-12),Database!$F:$AY,MATCH($S$1,Database!$F$1:$AY$1,),)))))/(((VLOOKUP(EDATE(B320,-12),Database!$F:$AY,MATCH($S$1,Database!$F$1:$AY$1,),))))</f>
        <v/>
      </c>
      <c r="T320" s="13">
        <f>((((VLOOKUP(B320,Database!$F:$AY,MATCH($T$1,Database!$F$1:$AY$1,),))))-(((VLOOKUP(EDATE(B320,-12),Database!$F:$AY,MATCH($T$1,Database!$F$1:$AY$1,),)))))/(((VLOOKUP(EDATE(B320,-12),Database!$F:$AY,MATCH($T$1,Database!$F$1:$AY$1,),))))</f>
        <v/>
      </c>
      <c r="U320" s="13">
        <f>((((VLOOKUP(B320,Database!$F:$AY,MATCH($U$1,Database!$F$1:$AY$1,),))))-(((VLOOKUP(EDATE(B320,-12),Database!$F:$AY,MATCH($U$1,Database!$F$1:$AY$1,),)))))/(((VLOOKUP(EDATE(B320,-12),Database!$F:$AY,MATCH($U$1,Database!$F$1:$AY$1,),))))</f>
        <v/>
      </c>
      <c r="V320" s="13">
        <f>((((VLOOKUP(B320,Database!$F:$AY,MATCH($V$1,Database!$F$1:$AY$1,),))))-(((VLOOKUP(EDATE(B320,-12),Database!$F:$AY,MATCH($V$1,Database!$F$1:$AY$1,),)))))/(((VLOOKUP(EDATE(B320,-12),Database!$F:$AY,MATCH($V$1,Database!$F$1:$AY$1,),))))</f>
        <v/>
      </c>
    </row>
    <row r="321" customFormat="1" s="100">
      <c r="A321" s="45" t="n"/>
      <c r="B321" s="46" t="n">
        <v>41913</v>
      </c>
      <c r="C321" s="13">
        <f>((((VLOOKUP(B321,Database!$F:$AY,MATCH($C$1,Database!$F$1:$AY$1,),))))-(((VLOOKUP(EDATE(B321,-12),Database!$F:$AY,MATCH($C$1,Database!$F$1:$AY$1,),)))))/(((VLOOKUP(EDATE(B321,-12),Database!$F:$AY,MATCH($C$1,Database!$F$1:$AY$1,),))))</f>
        <v/>
      </c>
      <c r="D321" s="13">
        <f>((((VLOOKUP(B321,Database!$F:$AY,MATCH($D$1,Database!$F$1:$AY$1,),))))-(((VLOOKUP(EDATE(B321,-12),Database!$F:$AY,MATCH($D$1,Database!$F$1:$AY$1,),)))))/(((VLOOKUP(EDATE(B321,-12),Database!$F:$AY,MATCH($D$1,Database!$F$1:$AY$1,),))))</f>
        <v/>
      </c>
      <c r="E321" s="13">
        <f>((((VLOOKUP(B321,Database!$F:$AY,MATCH($E$1,Database!$F$1:$AY$1,),))))-(((VLOOKUP(EDATE(B321,-12),Database!$F:$AY,MATCH($E$1,Database!$F$1:$AY$1,),)))))/(((VLOOKUP(EDATE(B321,-12),Database!$F:$AY,MATCH($E$1,Database!$F$1:$AY$1,),))))</f>
        <v/>
      </c>
      <c r="F321" s="13">
        <f>((((VLOOKUP(B321,Database!$F:$AY,MATCH($F$1,Database!$F$1:$AY$1,),))))-(((VLOOKUP(EDATE(B321,-12),Database!$F:$AY,MATCH($F$1,Database!$F$1:$AY$1,),)))))/(((VLOOKUP(EDATE(B321,-12),Database!$F:$AY,MATCH($F$1,Database!$F$1:$AY$1,),))))</f>
        <v/>
      </c>
      <c r="G321" s="13">
        <f>((((VLOOKUP(B321,Database!$F:$AY,MATCH($G$1,Database!$F$1:$AY$1,),))))-(((VLOOKUP(EDATE(B321,-12),Database!$F:$AY,MATCH($G$1,Database!$F$1:$AY$1,),)))))/(((VLOOKUP(EDATE(B321,-12),Database!$F:$AY,MATCH($G$1,Database!$F$1:$AY$1,),))))</f>
        <v/>
      </c>
      <c r="H321" s="13">
        <f>((((VLOOKUP(B321,Database!$F:$AY,MATCH($H$1,Database!$F$1:$AY$1,),))))-(((VLOOKUP(EDATE(B321,-12),Database!$F:$AY,MATCH($H$1,Database!$F$1:$AY$1,),)))))/(((VLOOKUP(EDATE(B321,-12),Database!$F:$AY,MATCH($H$1,Database!$F$1:$AY$1,),))))</f>
        <v/>
      </c>
      <c r="I321" s="13">
        <f>((((VLOOKUP(B321,Database!$F:$AY,MATCH($I$1,Database!$F$1:$AY$1,),))))-(((VLOOKUP(EDATE(B321,-12),Database!$F:$AY,MATCH($I$1,Database!$F$1:$AY$1,),)))))/(((VLOOKUP(EDATE(B321,-12),Database!$F:$AY,MATCH($I$1,Database!$F$1:$AY$1,),))))</f>
        <v/>
      </c>
      <c r="J321" s="13">
        <f>((((VLOOKUP(B321,Database!$F:$AY,MATCH($J$1,Database!$F$1:$AY$1,),))))-(((VLOOKUP(EDATE(B321,-12),Database!$F:$AY,MATCH($J$1,Database!$F$1:$AY$1,),)))))/(((VLOOKUP(EDATE(B321,-12),Database!$F:$AY,MATCH($J$1,Database!$F$1:$AY$1,),))))</f>
        <v/>
      </c>
      <c r="K321" s="13">
        <f>((((VLOOKUP(B321,Database!$F:$AY,MATCH($K$1,Database!$F$1:$AY$1,),))))-(((VLOOKUP(EDATE(B321,-12),Database!$F:$AY,MATCH($K$1,Database!$F$1:$AY$1,),)))))/(((VLOOKUP(EDATE(B321,-12),Database!$F:$AY,MATCH($K$1,Database!$F$1:$AY$1,),))))</f>
        <v/>
      </c>
      <c r="L321" s="13">
        <f>((((VLOOKUP(B321,Database!$F:$AY,MATCH($L$1,Database!$F$1:$AY$1,),))))-(((VLOOKUP(EDATE(B321,-12),Database!$F:$AY,MATCH($L$1,Database!$F$1:$AY$1,),)))))/(((VLOOKUP(EDATE(B321,-12),Database!$F:$AY,MATCH($L$1,Database!$F$1:$AY$1,),))))</f>
        <v/>
      </c>
      <c r="M321" s="13">
        <f>((((VLOOKUP(B321,Database!$F:$AY,MATCH($M$1,Database!$F$1:$AY$1,),))))-(((VLOOKUP(EDATE(B321,-12),Database!$F:$AY,MATCH($M$1,Database!$F$1:$AY$1,),)))))/(((VLOOKUP(EDATE(B321,-12),Database!$F:$AY,MATCH($M$1,Database!$F$1:$AY$1,),))))</f>
        <v/>
      </c>
      <c r="N321" s="13">
        <f>((((VLOOKUP(B321,Database!$F:$AY,MATCH($N$1,Database!$F$1:$AY$1,),))))-(((VLOOKUP(EDATE(B321,-12),Database!$F:$AY,MATCH($N$1,Database!$F$1:$AY$1,),)))))/(((VLOOKUP(EDATE(B321,-12),Database!$F:$AY,MATCH($N$1,Database!$F$1:$AY$1,),))))</f>
        <v/>
      </c>
      <c r="O321" s="13">
        <f>((((VLOOKUP(B321,Database!$F:$AY,MATCH($O$1,Database!$F$1:$AY$1,),))))-(((VLOOKUP(EDATE(B321,-12),Database!$F:$AY,MATCH($O$1,Database!$F$1:$AY$1,),)))))/(((VLOOKUP(EDATE(B321,-12),Database!$F:$AY,MATCH($O$1,Database!$F$1:$AY$1,),))))</f>
        <v/>
      </c>
      <c r="P321" s="13">
        <f>((((VLOOKUP(B321,Database!$F:$AY,MATCH($P$1,Database!$F$1:$AY$1,),))))-(((VLOOKUP(EDATE(B321,-12),Database!$F:$AY,MATCH($P$1,Database!$F$1:$AY$1,),)))))/(((VLOOKUP(EDATE(B321,-12),Database!$F:$AY,MATCH($P$1,Database!$F$1:$AY$1,),))))</f>
        <v/>
      </c>
      <c r="Q321" s="13">
        <f>((((VLOOKUP(B321,Database!$F:$AY,MATCH($Q$1,Database!$F$1:$AY$1,),))))-(((VLOOKUP(EDATE(B321,-12),Database!$F:$AY,MATCH($Q$1,Database!$F$1:$AY$1,),)))))/(((VLOOKUP(EDATE(B321,-12),Database!$F:$AY,MATCH($Q$1,Database!$F$1:$AY$1,),))))</f>
        <v/>
      </c>
      <c r="R321" s="13">
        <f>((((VLOOKUP(B321,Database!$F:$AY,MATCH($R$1,Database!$F$1:$AY$1,),))))-(((VLOOKUP(EDATE(B321,-12),Database!$F:$AY,MATCH($R$1,Database!$F$1:$AY$1,),)))))/(((VLOOKUP(EDATE(B321,-12),Database!$F:$AY,MATCH($R$1,Database!$F$1:$AY$1,),))))</f>
        <v/>
      </c>
      <c r="S321" s="13">
        <f>((((VLOOKUP(B321,Database!$F:$AY,MATCH($S$1,Database!$F$1:$AY$1,),))))-(((VLOOKUP(EDATE(B321,-12),Database!$F:$AY,MATCH($S$1,Database!$F$1:$AY$1,),)))))/(((VLOOKUP(EDATE(B321,-12),Database!$F:$AY,MATCH($S$1,Database!$F$1:$AY$1,),))))</f>
        <v/>
      </c>
      <c r="T321" s="13">
        <f>((((VLOOKUP(B321,Database!$F:$AY,MATCH($T$1,Database!$F$1:$AY$1,),))))-(((VLOOKUP(EDATE(B321,-12),Database!$F:$AY,MATCH($T$1,Database!$F$1:$AY$1,),)))))/(((VLOOKUP(EDATE(B321,-12),Database!$F:$AY,MATCH($T$1,Database!$F$1:$AY$1,),))))</f>
        <v/>
      </c>
      <c r="U321" s="13">
        <f>((((VLOOKUP(B321,Database!$F:$AY,MATCH($U$1,Database!$F$1:$AY$1,),))))-(((VLOOKUP(EDATE(B321,-12),Database!$F:$AY,MATCH($U$1,Database!$F$1:$AY$1,),)))))/(((VLOOKUP(EDATE(B321,-12),Database!$F:$AY,MATCH($U$1,Database!$F$1:$AY$1,),))))</f>
        <v/>
      </c>
      <c r="V321" s="13">
        <f>((((VLOOKUP(B321,Database!$F:$AY,MATCH($V$1,Database!$F$1:$AY$1,),))))-(((VLOOKUP(EDATE(B321,-12),Database!$F:$AY,MATCH($V$1,Database!$F$1:$AY$1,),)))))/(((VLOOKUP(EDATE(B321,-12),Database!$F:$AY,MATCH($V$1,Database!$F$1:$AY$1,),))))</f>
        <v/>
      </c>
    </row>
    <row r="322" customFormat="1" s="100">
      <c r="A322" s="45" t="n"/>
      <c r="B322" s="46" t="n">
        <v>41944</v>
      </c>
      <c r="C322" s="13">
        <f>((((VLOOKUP(B322,Database!$F:$AY,MATCH($C$1,Database!$F$1:$AY$1,),))))-(((VLOOKUP(EDATE(B322,-12),Database!$F:$AY,MATCH($C$1,Database!$F$1:$AY$1,),)))))/(((VLOOKUP(EDATE(B322,-12),Database!$F:$AY,MATCH($C$1,Database!$F$1:$AY$1,),))))</f>
        <v/>
      </c>
      <c r="D322" s="13">
        <f>((((VLOOKUP(B322,Database!$F:$AY,MATCH($D$1,Database!$F$1:$AY$1,),))))-(((VLOOKUP(EDATE(B322,-12),Database!$F:$AY,MATCH($D$1,Database!$F$1:$AY$1,),)))))/(((VLOOKUP(EDATE(B322,-12),Database!$F:$AY,MATCH($D$1,Database!$F$1:$AY$1,),))))</f>
        <v/>
      </c>
      <c r="E322" s="13">
        <f>((((VLOOKUP(B322,Database!$F:$AY,MATCH($E$1,Database!$F$1:$AY$1,),))))-(((VLOOKUP(EDATE(B322,-12),Database!$F:$AY,MATCH($E$1,Database!$F$1:$AY$1,),)))))/(((VLOOKUP(EDATE(B322,-12),Database!$F:$AY,MATCH($E$1,Database!$F$1:$AY$1,),))))</f>
        <v/>
      </c>
      <c r="F322" s="13">
        <f>((((VLOOKUP(B322,Database!$F:$AY,MATCH($F$1,Database!$F$1:$AY$1,),))))-(((VLOOKUP(EDATE(B322,-12),Database!$F:$AY,MATCH($F$1,Database!$F$1:$AY$1,),)))))/(((VLOOKUP(EDATE(B322,-12),Database!$F:$AY,MATCH($F$1,Database!$F$1:$AY$1,),))))</f>
        <v/>
      </c>
      <c r="G322" s="13">
        <f>((((VLOOKUP(B322,Database!$F:$AY,MATCH($G$1,Database!$F$1:$AY$1,),))))-(((VLOOKUP(EDATE(B322,-12),Database!$F:$AY,MATCH($G$1,Database!$F$1:$AY$1,),)))))/(((VLOOKUP(EDATE(B322,-12),Database!$F:$AY,MATCH($G$1,Database!$F$1:$AY$1,),))))</f>
        <v/>
      </c>
      <c r="H322" s="13">
        <f>((((VLOOKUP(B322,Database!$F:$AY,MATCH($H$1,Database!$F$1:$AY$1,),))))-(((VLOOKUP(EDATE(B322,-12),Database!$F:$AY,MATCH($H$1,Database!$F$1:$AY$1,),)))))/(((VLOOKUP(EDATE(B322,-12),Database!$F:$AY,MATCH($H$1,Database!$F$1:$AY$1,),))))</f>
        <v/>
      </c>
      <c r="I322" s="13">
        <f>((((VLOOKUP(B322,Database!$F:$AY,MATCH($I$1,Database!$F$1:$AY$1,),))))-(((VLOOKUP(EDATE(B322,-12),Database!$F:$AY,MATCH($I$1,Database!$F$1:$AY$1,),)))))/(((VLOOKUP(EDATE(B322,-12),Database!$F:$AY,MATCH($I$1,Database!$F$1:$AY$1,),))))</f>
        <v/>
      </c>
      <c r="J322" s="13">
        <f>((((VLOOKUP(B322,Database!$F:$AY,MATCH($J$1,Database!$F$1:$AY$1,),))))-(((VLOOKUP(EDATE(B322,-12),Database!$F:$AY,MATCH($J$1,Database!$F$1:$AY$1,),)))))/(((VLOOKUP(EDATE(B322,-12),Database!$F:$AY,MATCH($J$1,Database!$F$1:$AY$1,),))))</f>
        <v/>
      </c>
      <c r="K322" s="13">
        <f>((((VLOOKUP(B322,Database!$F:$AY,MATCH($K$1,Database!$F$1:$AY$1,),))))-(((VLOOKUP(EDATE(B322,-12),Database!$F:$AY,MATCH($K$1,Database!$F$1:$AY$1,),)))))/(((VLOOKUP(EDATE(B322,-12),Database!$F:$AY,MATCH($K$1,Database!$F$1:$AY$1,),))))</f>
        <v/>
      </c>
      <c r="L322" s="13">
        <f>((((VLOOKUP(B322,Database!$F:$AY,MATCH($L$1,Database!$F$1:$AY$1,),))))-(((VLOOKUP(EDATE(B322,-12),Database!$F:$AY,MATCH($L$1,Database!$F$1:$AY$1,),)))))/(((VLOOKUP(EDATE(B322,-12),Database!$F:$AY,MATCH($L$1,Database!$F$1:$AY$1,),))))</f>
        <v/>
      </c>
      <c r="M322" s="13">
        <f>((((VLOOKUP(B322,Database!$F:$AY,MATCH($M$1,Database!$F$1:$AY$1,),))))-(((VLOOKUP(EDATE(B322,-12),Database!$F:$AY,MATCH($M$1,Database!$F$1:$AY$1,),)))))/(((VLOOKUP(EDATE(B322,-12),Database!$F:$AY,MATCH($M$1,Database!$F$1:$AY$1,),))))</f>
        <v/>
      </c>
      <c r="N322" s="13">
        <f>((((VLOOKUP(B322,Database!$F:$AY,MATCH($N$1,Database!$F$1:$AY$1,),))))-(((VLOOKUP(EDATE(B322,-12),Database!$F:$AY,MATCH($N$1,Database!$F$1:$AY$1,),)))))/(((VLOOKUP(EDATE(B322,-12),Database!$F:$AY,MATCH($N$1,Database!$F$1:$AY$1,),))))</f>
        <v/>
      </c>
      <c r="O322" s="13">
        <f>((((VLOOKUP(B322,Database!$F:$AY,MATCH($O$1,Database!$F$1:$AY$1,),))))-(((VLOOKUP(EDATE(B322,-12),Database!$F:$AY,MATCH($O$1,Database!$F$1:$AY$1,),)))))/(((VLOOKUP(EDATE(B322,-12),Database!$F:$AY,MATCH($O$1,Database!$F$1:$AY$1,),))))</f>
        <v/>
      </c>
      <c r="P322" s="13">
        <f>((((VLOOKUP(B322,Database!$F:$AY,MATCH($P$1,Database!$F$1:$AY$1,),))))-(((VLOOKUP(EDATE(B322,-12),Database!$F:$AY,MATCH($P$1,Database!$F$1:$AY$1,),)))))/(((VLOOKUP(EDATE(B322,-12),Database!$F:$AY,MATCH($P$1,Database!$F$1:$AY$1,),))))</f>
        <v/>
      </c>
      <c r="Q322" s="13">
        <f>((((VLOOKUP(B322,Database!$F:$AY,MATCH($Q$1,Database!$F$1:$AY$1,),))))-(((VLOOKUP(EDATE(B322,-12),Database!$F:$AY,MATCH($Q$1,Database!$F$1:$AY$1,),)))))/(((VLOOKUP(EDATE(B322,-12),Database!$F:$AY,MATCH($Q$1,Database!$F$1:$AY$1,),))))</f>
        <v/>
      </c>
      <c r="R322" s="13">
        <f>((((VLOOKUP(B322,Database!$F:$AY,MATCH($R$1,Database!$F$1:$AY$1,),))))-(((VLOOKUP(EDATE(B322,-12),Database!$F:$AY,MATCH($R$1,Database!$F$1:$AY$1,),)))))/(((VLOOKUP(EDATE(B322,-12),Database!$F:$AY,MATCH($R$1,Database!$F$1:$AY$1,),))))</f>
        <v/>
      </c>
      <c r="S322" s="13">
        <f>((((VLOOKUP(B322,Database!$F:$AY,MATCH($S$1,Database!$F$1:$AY$1,),))))-(((VLOOKUP(EDATE(B322,-12),Database!$F:$AY,MATCH($S$1,Database!$F$1:$AY$1,),)))))/(((VLOOKUP(EDATE(B322,-12),Database!$F:$AY,MATCH($S$1,Database!$F$1:$AY$1,),))))</f>
        <v/>
      </c>
      <c r="T322" s="13">
        <f>((((VLOOKUP(B322,Database!$F:$AY,MATCH($T$1,Database!$F$1:$AY$1,),))))-(((VLOOKUP(EDATE(B322,-12),Database!$F:$AY,MATCH($T$1,Database!$F$1:$AY$1,),)))))/(((VLOOKUP(EDATE(B322,-12),Database!$F:$AY,MATCH($T$1,Database!$F$1:$AY$1,),))))</f>
        <v/>
      </c>
      <c r="U322" s="13">
        <f>((((VLOOKUP(B322,Database!$F:$AY,MATCH($U$1,Database!$F$1:$AY$1,),))))-(((VLOOKUP(EDATE(B322,-12),Database!$F:$AY,MATCH($U$1,Database!$F$1:$AY$1,),)))))/(((VLOOKUP(EDATE(B322,-12),Database!$F:$AY,MATCH($U$1,Database!$F$1:$AY$1,),))))</f>
        <v/>
      </c>
      <c r="V322" s="13">
        <f>((((VLOOKUP(B322,Database!$F:$AY,MATCH($V$1,Database!$F$1:$AY$1,),))))-(((VLOOKUP(EDATE(B322,-12),Database!$F:$AY,MATCH($V$1,Database!$F$1:$AY$1,),)))))/(((VLOOKUP(EDATE(B322,-12),Database!$F:$AY,MATCH($V$1,Database!$F$1:$AY$1,),))))</f>
        <v/>
      </c>
    </row>
    <row r="323" customFormat="1" s="100">
      <c r="A323" s="45" t="n"/>
      <c r="B323" s="46" t="n">
        <v>41974</v>
      </c>
      <c r="C323" s="13">
        <f>((((VLOOKUP(B323,Database!$F:$AY,MATCH($C$1,Database!$F$1:$AY$1,),))))-(((VLOOKUP(EDATE(B323,-12),Database!$F:$AY,MATCH($C$1,Database!$F$1:$AY$1,),)))))/(((VLOOKUP(EDATE(B323,-12),Database!$F:$AY,MATCH($C$1,Database!$F$1:$AY$1,),))))</f>
        <v/>
      </c>
      <c r="D323" s="13">
        <f>((((VLOOKUP(B323,Database!$F:$AY,MATCH($D$1,Database!$F$1:$AY$1,),))))-(((VLOOKUP(EDATE(B323,-12),Database!$F:$AY,MATCH($D$1,Database!$F$1:$AY$1,),)))))/(((VLOOKUP(EDATE(B323,-12),Database!$F:$AY,MATCH($D$1,Database!$F$1:$AY$1,),))))</f>
        <v/>
      </c>
      <c r="E323" s="13">
        <f>((((VLOOKUP(B323,Database!$F:$AY,MATCH($E$1,Database!$F$1:$AY$1,),))))-(((VLOOKUP(EDATE(B323,-12),Database!$F:$AY,MATCH($E$1,Database!$F$1:$AY$1,),)))))/(((VLOOKUP(EDATE(B323,-12),Database!$F:$AY,MATCH($E$1,Database!$F$1:$AY$1,),))))</f>
        <v/>
      </c>
      <c r="F323" s="13">
        <f>((((VLOOKUP(B323,Database!$F:$AY,MATCH($F$1,Database!$F$1:$AY$1,),))))-(((VLOOKUP(EDATE(B323,-12),Database!$F:$AY,MATCH($F$1,Database!$F$1:$AY$1,),)))))/(((VLOOKUP(EDATE(B323,-12),Database!$F:$AY,MATCH($F$1,Database!$F$1:$AY$1,),))))</f>
        <v/>
      </c>
      <c r="G323" s="13">
        <f>((((VLOOKUP(B323,Database!$F:$AY,MATCH($G$1,Database!$F$1:$AY$1,),))))-(((VLOOKUP(EDATE(B323,-12),Database!$F:$AY,MATCH($G$1,Database!$F$1:$AY$1,),)))))/(((VLOOKUP(EDATE(B323,-12),Database!$F:$AY,MATCH($G$1,Database!$F$1:$AY$1,),))))</f>
        <v/>
      </c>
      <c r="H323" s="13">
        <f>((((VLOOKUP(B323,Database!$F:$AY,MATCH($H$1,Database!$F$1:$AY$1,),))))-(((VLOOKUP(EDATE(B323,-12),Database!$F:$AY,MATCH($H$1,Database!$F$1:$AY$1,),)))))/(((VLOOKUP(EDATE(B323,-12),Database!$F:$AY,MATCH($H$1,Database!$F$1:$AY$1,),))))</f>
        <v/>
      </c>
      <c r="I323" s="13">
        <f>((((VLOOKUP(B323,Database!$F:$AY,MATCH($I$1,Database!$F$1:$AY$1,),))))-(((VLOOKUP(EDATE(B323,-12),Database!$F:$AY,MATCH($I$1,Database!$F$1:$AY$1,),)))))/(((VLOOKUP(EDATE(B323,-12),Database!$F:$AY,MATCH($I$1,Database!$F$1:$AY$1,),))))</f>
        <v/>
      </c>
      <c r="J323" s="13">
        <f>((((VLOOKUP(B323,Database!$F:$AY,MATCH($J$1,Database!$F$1:$AY$1,),))))-(((VLOOKUP(EDATE(B323,-12),Database!$F:$AY,MATCH($J$1,Database!$F$1:$AY$1,),)))))/(((VLOOKUP(EDATE(B323,-12),Database!$F:$AY,MATCH($J$1,Database!$F$1:$AY$1,),))))</f>
        <v/>
      </c>
      <c r="K323" s="13">
        <f>((((VLOOKUP(B323,Database!$F:$AY,MATCH($K$1,Database!$F$1:$AY$1,),))))-(((VLOOKUP(EDATE(B323,-12),Database!$F:$AY,MATCH($K$1,Database!$F$1:$AY$1,),)))))/(((VLOOKUP(EDATE(B323,-12),Database!$F:$AY,MATCH($K$1,Database!$F$1:$AY$1,),))))</f>
        <v/>
      </c>
      <c r="L323" s="13">
        <f>((((VLOOKUP(B323,Database!$F:$AY,MATCH($L$1,Database!$F$1:$AY$1,),))))-(((VLOOKUP(EDATE(B323,-12),Database!$F:$AY,MATCH($L$1,Database!$F$1:$AY$1,),)))))/(((VLOOKUP(EDATE(B323,-12),Database!$F:$AY,MATCH($L$1,Database!$F$1:$AY$1,),))))</f>
        <v/>
      </c>
      <c r="M323" s="13">
        <f>((((VLOOKUP(B323,Database!$F:$AY,MATCH($M$1,Database!$F$1:$AY$1,),))))-(((VLOOKUP(EDATE(B323,-12),Database!$F:$AY,MATCH($M$1,Database!$F$1:$AY$1,),)))))/(((VLOOKUP(EDATE(B323,-12),Database!$F:$AY,MATCH($M$1,Database!$F$1:$AY$1,),))))</f>
        <v/>
      </c>
      <c r="N323" s="13">
        <f>((((VLOOKUP(B323,Database!$F:$AY,MATCH($N$1,Database!$F$1:$AY$1,),))))-(((VLOOKUP(EDATE(B323,-12),Database!$F:$AY,MATCH($N$1,Database!$F$1:$AY$1,),)))))/(((VLOOKUP(EDATE(B323,-12),Database!$F:$AY,MATCH($N$1,Database!$F$1:$AY$1,),))))</f>
        <v/>
      </c>
      <c r="O323" s="13">
        <f>((((VLOOKUP(B323,Database!$F:$AY,MATCH($O$1,Database!$F$1:$AY$1,),))))-(((VLOOKUP(EDATE(B323,-12),Database!$F:$AY,MATCH($O$1,Database!$F$1:$AY$1,),)))))/(((VLOOKUP(EDATE(B323,-12),Database!$F:$AY,MATCH($O$1,Database!$F$1:$AY$1,),))))</f>
        <v/>
      </c>
      <c r="P323" s="13">
        <f>((((VLOOKUP(B323,Database!$F:$AY,MATCH($P$1,Database!$F$1:$AY$1,),))))-(((VLOOKUP(EDATE(B323,-12),Database!$F:$AY,MATCH($P$1,Database!$F$1:$AY$1,),)))))/(((VLOOKUP(EDATE(B323,-12),Database!$F:$AY,MATCH($P$1,Database!$F$1:$AY$1,),))))</f>
        <v/>
      </c>
      <c r="Q323" s="13">
        <f>((((VLOOKUP(B323,Database!$F:$AY,MATCH($Q$1,Database!$F$1:$AY$1,),))))-(((VLOOKUP(EDATE(B323,-12),Database!$F:$AY,MATCH($Q$1,Database!$F$1:$AY$1,),)))))/(((VLOOKUP(EDATE(B323,-12),Database!$F:$AY,MATCH($Q$1,Database!$F$1:$AY$1,),))))</f>
        <v/>
      </c>
      <c r="R323" s="13">
        <f>((((VLOOKUP(B323,Database!$F:$AY,MATCH($R$1,Database!$F$1:$AY$1,),))))-(((VLOOKUP(EDATE(B323,-12),Database!$F:$AY,MATCH($R$1,Database!$F$1:$AY$1,),)))))/(((VLOOKUP(EDATE(B323,-12),Database!$F:$AY,MATCH($R$1,Database!$F$1:$AY$1,),))))</f>
        <v/>
      </c>
      <c r="S323" s="13">
        <f>((((VLOOKUP(B323,Database!$F:$AY,MATCH($S$1,Database!$F$1:$AY$1,),))))-(((VLOOKUP(EDATE(B323,-12),Database!$F:$AY,MATCH($S$1,Database!$F$1:$AY$1,),)))))/(((VLOOKUP(EDATE(B323,-12),Database!$F:$AY,MATCH($S$1,Database!$F$1:$AY$1,),))))</f>
        <v/>
      </c>
      <c r="T323" s="13">
        <f>((((VLOOKUP(B323,Database!$F:$AY,MATCH($T$1,Database!$F$1:$AY$1,),))))-(((VLOOKUP(EDATE(B323,-12),Database!$F:$AY,MATCH($T$1,Database!$F$1:$AY$1,),)))))/(((VLOOKUP(EDATE(B323,-12),Database!$F:$AY,MATCH($T$1,Database!$F$1:$AY$1,),))))</f>
        <v/>
      </c>
      <c r="U323" s="13">
        <f>((((VLOOKUP(B323,Database!$F:$AY,MATCH($U$1,Database!$F$1:$AY$1,),))))-(((VLOOKUP(EDATE(B323,-12),Database!$F:$AY,MATCH($U$1,Database!$F$1:$AY$1,),)))))/(((VLOOKUP(EDATE(B323,-12),Database!$F:$AY,MATCH($U$1,Database!$F$1:$AY$1,),))))</f>
        <v/>
      </c>
      <c r="V323" s="13">
        <f>((((VLOOKUP(B323,Database!$F:$AY,MATCH($V$1,Database!$F$1:$AY$1,),))))-(((VLOOKUP(EDATE(B323,-12),Database!$F:$AY,MATCH($V$1,Database!$F$1:$AY$1,),)))))/(((VLOOKUP(EDATE(B323,-12),Database!$F:$AY,MATCH($V$1,Database!$F$1:$AY$1,),))))</f>
        <v/>
      </c>
    </row>
    <row r="324" customFormat="1" s="100">
      <c r="A324" s="45" t="n"/>
      <c r="B324" s="46" t="n">
        <v>42005</v>
      </c>
      <c r="C324" s="13">
        <f>((((VLOOKUP(B324,Database!$F:$AY,MATCH($C$1,Database!$F$1:$AY$1,),))))-(((VLOOKUP(EDATE(B324,-12),Database!$F:$AY,MATCH($C$1,Database!$F$1:$AY$1,),)))))/(((VLOOKUP(EDATE(B324,-12),Database!$F:$AY,MATCH($C$1,Database!$F$1:$AY$1,),))))</f>
        <v/>
      </c>
      <c r="D324" s="13">
        <f>((((VLOOKUP(B324,Database!$F:$AY,MATCH($D$1,Database!$F$1:$AY$1,),))))-(((VLOOKUP(EDATE(B324,-12),Database!$F:$AY,MATCH($D$1,Database!$F$1:$AY$1,),)))))/(((VLOOKUP(EDATE(B324,-12),Database!$F:$AY,MATCH($D$1,Database!$F$1:$AY$1,),))))</f>
        <v/>
      </c>
      <c r="E324" s="13">
        <f>((((VLOOKUP(B324,Database!$F:$AY,MATCH($E$1,Database!$F$1:$AY$1,),))))-(((VLOOKUP(EDATE(B324,-12),Database!$F:$AY,MATCH($E$1,Database!$F$1:$AY$1,),)))))/(((VLOOKUP(EDATE(B324,-12),Database!$F:$AY,MATCH($E$1,Database!$F$1:$AY$1,),))))</f>
        <v/>
      </c>
      <c r="F324" s="13">
        <f>((((VLOOKUP(B324,Database!$F:$AY,MATCH($F$1,Database!$F$1:$AY$1,),))))-(((VLOOKUP(EDATE(B324,-12),Database!$F:$AY,MATCH($F$1,Database!$F$1:$AY$1,),)))))/(((VLOOKUP(EDATE(B324,-12),Database!$F:$AY,MATCH($F$1,Database!$F$1:$AY$1,),))))</f>
        <v/>
      </c>
      <c r="G324" s="13">
        <f>((((VLOOKUP(B324,Database!$F:$AY,MATCH($G$1,Database!$F$1:$AY$1,),))))-(((VLOOKUP(EDATE(B324,-12),Database!$F:$AY,MATCH($G$1,Database!$F$1:$AY$1,),)))))/(((VLOOKUP(EDATE(B324,-12),Database!$F:$AY,MATCH($G$1,Database!$F$1:$AY$1,),))))</f>
        <v/>
      </c>
      <c r="H324" s="13">
        <f>((((VLOOKUP(B324,Database!$F:$AY,MATCH($H$1,Database!$F$1:$AY$1,),))))-(((VLOOKUP(EDATE(B324,-12),Database!$F:$AY,MATCH($H$1,Database!$F$1:$AY$1,),)))))/(((VLOOKUP(EDATE(B324,-12),Database!$F:$AY,MATCH($H$1,Database!$F$1:$AY$1,),))))</f>
        <v/>
      </c>
      <c r="I324" s="13">
        <f>((((VLOOKUP(B324,Database!$F:$AY,MATCH($I$1,Database!$F$1:$AY$1,),))))-(((VLOOKUP(EDATE(B324,-12),Database!$F:$AY,MATCH($I$1,Database!$F$1:$AY$1,),)))))/(((VLOOKUP(EDATE(B324,-12),Database!$F:$AY,MATCH($I$1,Database!$F$1:$AY$1,),))))</f>
        <v/>
      </c>
      <c r="J324" s="13">
        <f>((((VLOOKUP(B324,Database!$F:$AY,MATCH($J$1,Database!$F$1:$AY$1,),))))-(((VLOOKUP(EDATE(B324,-12),Database!$F:$AY,MATCH($J$1,Database!$F$1:$AY$1,),)))))/(((VLOOKUP(EDATE(B324,-12),Database!$F:$AY,MATCH($J$1,Database!$F$1:$AY$1,),))))</f>
        <v/>
      </c>
      <c r="K324" s="13">
        <f>((((VLOOKUP(B324,Database!$F:$AY,MATCH($K$1,Database!$F$1:$AY$1,),))))-(((VLOOKUP(EDATE(B324,-12),Database!$F:$AY,MATCH($K$1,Database!$F$1:$AY$1,),)))))/(((VLOOKUP(EDATE(B324,-12),Database!$F:$AY,MATCH($K$1,Database!$F$1:$AY$1,),))))</f>
        <v/>
      </c>
      <c r="L324" s="13">
        <f>((((VLOOKUP(B324,Database!$F:$AY,MATCH($L$1,Database!$F$1:$AY$1,),))))-(((VLOOKUP(EDATE(B324,-12),Database!$F:$AY,MATCH($L$1,Database!$F$1:$AY$1,),)))))/(((VLOOKUP(EDATE(B324,-12),Database!$F:$AY,MATCH($L$1,Database!$F$1:$AY$1,),))))</f>
        <v/>
      </c>
      <c r="M324" s="13">
        <f>((((VLOOKUP(B324,Database!$F:$AY,MATCH($M$1,Database!$F$1:$AY$1,),))))-(((VLOOKUP(EDATE(B324,-12),Database!$F:$AY,MATCH($M$1,Database!$F$1:$AY$1,),)))))/(((VLOOKUP(EDATE(B324,-12),Database!$F:$AY,MATCH($M$1,Database!$F$1:$AY$1,),))))</f>
        <v/>
      </c>
      <c r="N324" s="13">
        <f>((((VLOOKUP(B324,Database!$F:$AY,MATCH($N$1,Database!$F$1:$AY$1,),))))-(((VLOOKUP(EDATE(B324,-12),Database!$F:$AY,MATCH($N$1,Database!$F$1:$AY$1,),)))))/(((VLOOKUP(EDATE(B324,-12),Database!$F:$AY,MATCH($N$1,Database!$F$1:$AY$1,),))))</f>
        <v/>
      </c>
      <c r="O324" s="13">
        <f>((((VLOOKUP(B324,Database!$F:$AY,MATCH($O$1,Database!$F$1:$AY$1,),))))-(((VLOOKUP(EDATE(B324,-12),Database!$F:$AY,MATCH($O$1,Database!$F$1:$AY$1,),)))))/(((VLOOKUP(EDATE(B324,-12),Database!$F:$AY,MATCH($O$1,Database!$F$1:$AY$1,),))))</f>
        <v/>
      </c>
      <c r="P324" s="13">
        <f>((((VLOOKUP(B324,Database!$F:$AY,MATCH($P$1,Database!$F$1:$AY$1,),))))-(((VLOOKUP(EDATE(B324,-12),Database!$F:$AY,MATCH($P$1,Database!$F$1:$AY$1,),)))))/(((VLOOKUP(EDATE(B324,-12),Database!$F:$AY,MATCH($P$1,Database!$F$1:$AY$1,),))))</f>
        <v/>
      </c>
      <c r="Q324" s="13">
        <f>((((VLOOKUP(B324,Database!$F:$AY,MATCH($Q$1,Database!$F$1:$AY$1,),))))-(((VLOOKUP(EDATE(B324,-12),Database!$F:$AY,MATCH($Q$1,Database!$F$1:$AY$1,),)))))/(((VLOOKUP(EDATE(B324,-12),Database!$F:$AY,MATCH($Q$1,Database!$F$1:$AY$1,),))))</f>
        <v/>
      </c>
      <c r="R324" s="13">
        <f>((((VLOOKUP(B324,Database!$F:$AY,MATCH($R$1,Database!$F$1:$AY$1,),))))-(((VLOOKUP(EDATE(B324,-12),Database!$F:$AY,MATCH($R$1,Database!$F$1:$AY$1,),)))))/(((VLOOKUP(EDATE(B324,-12),Database!$F:$AY,MATCH($R$1,Database!$F$1:$AY$1,),))))</f>
        <v/>
      </c>
      <c r="S324" s="13">
        <f>((((VLOOKUP(B324,Database!$F:$AY,MATCH($S$1,Database!$F$1:$AY$1,),))))-(((VLOOKUP(EDATE(B324,-12),Database!$F:$AY,MATCH($S$1,Database!$F$1:$AY$1,),)))))/(((VLOOKUP(EDATE(B324,-12),Database!$F:$AY,MATCH($S$1,Database!$F$1:$AY$1,),))))</f>
        <v/>
      </c>
      <c r="T324" s="13">
        <f>((((VLOOKUP(B324,Database!$F:$AY,MATCH($T$1,Database!$F$1:$AY$1,),))))-(((VLOOKUP(EDATE(B324,-12),Database!$F:$AY,MATCH($T$1,Database!$F$1:$AY$1,),)))))/(((VLOOKUP(EDATE(B324,-12),Database!$F:$AY,MATCH($T$1,Database!$F$1:$AY$1,),))))</f>
        <v/>
      </c>
      <c r="U324" s="13">
        <f>((((VLOOKUP(B324,Database!$F:$AY,MATCH($U$1,Database!$F$1:$AY$1,),))))-(((VLOOKUP(EDATE(B324,-12),Database!$F:$AY,MATCH($U$1,Database!$F$1:$AY$1,),)))))/(((VLOOKUP(EDATE(B324,-12),Database!$F:$AY,MATCH($U$1,Database!$F$1:$AY$1,),))))</f>
        <v/>
      </c>
      <c r="V324" s="13">
        <f>((((VLOOKUP(B324,Database!$F:$AY,MATCH($V$1,Database!$F$1:$AY$1,),))))-(((VLOOKUP(EDATE(B324,-12),Database!$F:$AY,MATCH($V$1,Database!$F$1:$AY$1,),)))))/(((VLOOKUP(EDATE(B324,-12),Database!$F:$AY,MATCH($V$1,Database!$F$1:$AY$1,),))))</f>
        <v/>
      </c>
    </row>
    <row r="325" customFormat="1" s="100">
      <c r="A325" s="45" t="n"/>
      <c r="B325" s="46" t="n">
        <v>42036</v>
      </c>
      <c r="C325" s="13">
        <f>((((VLOOKUP(B325,Database!$F:$AY,MATCH($C$1,Database!$F$1:$AY$1,),))))-(((VLOOKUP(EDATE(B325,-12),Database!$F:$AY,MATCH($C$1,Database!$F$1:$AY$1,),)))))/(((VLOOKUP(EDATE(B325,-12),Database!$F:$AY,MATCH($C$1,Database!$F$1:$AY$1,),))))</f>
        <v/>
      </c>
      <c r="D325" s="13">
        <f>((((VLOOKUP(B325,Database!$F:$AY,MATCH($D$1,Database!$F$1:$AY$1,),))))-(((VLOOKUP(EDATE(B325,-12),Database!$F:$AY,MATCH($D$1,Database!$F$1:$AY$1,),)))))/(((VLOOKUP(EDATE(B325,-12),Database!$F:$AY,MATCH($D$1,Database!$F$1:$AY$1,),))))</f>
        <v/>
      </c>
      <c r="E325" s="13">
        <f>((((VLOOKUP(B325,Database!$F:$AY,MATCH($E$1,Database!$F$1:$AY$1,),))))-(((VLOOKUP(EDATE(B325,-12),Database!$F:$AY,MATCH($E$1,Database!$F$1:$AY$1,),)))))/(((VLOOKUP(EDATE(B325,-12),Database!$F:$AY,MATCH($E$1,Database!$F$1:$AY$1,),))))</f>
        <v/>
      </c>
      <c r="F325" s="13">
        <f>((((VLOOKUP(B325,Database!$F:$AY,MATCH($F$1,Database!$F$1:$AY$1,),))))-(((VLOOKUP(EDATE(B325,-12),Database!$F:$AY,MATCH($F$1,Database!$F$1:$AY$1,),)))))/(((VLOOKUP(EDATE(B325,-12),Database!$F:$AY,MATCH($F$1,Database!$F$1:$AY$1,),))))</f>
        <v/>
      </c>
      <c r="G325" s="13">
        <f>((((VLOOKUP(B325,Database!$F:$AY,MATCH($G$1,Database!$F$1:$AY$1,),))))-(((VLOOKUP(EDATE(B325,-12),Database!$F:$AY,MATCH($G$1,Database!$F$1:$AY$1,),)))))/(((VLOOKUP(EDATE(B325,-12),Database!$F:$AY,MATCH($G$1,Database!$F$1:$AY$1,),))))</f>
        <v/>
      </c>
      <c r="H325" s="13">
        <f>((((VLOOKUP(B325,Database!$F:$AY,MATCH($H$1,Database!$F$1:$AY$1,),))))-(((VLOOKUP(EDATE(B325,-12),Database!$F:$AY,MATCH($H$1,Database!$F$1:$AY$1,),)))))/(((VLOOKUP(EDATE(B325,-12),Database!$F:$AY,MATCH($H$1,Database!$F$1:$AY$1,),))))</f>
        <v/>
      </c>
      <c r="I325" s="13">
        <f>((((VLOOKUP(B325,Database!$F:$AY,MATCH($I$1,Database!$F$1:$AY$1,),))))-(((VLOOKUP(EDATE(B325,-12),Database!$F:$AY,MATCH($I$1,Database!$F$1:$AY$1,),)))))/(((VLOOKUP(EDATE(B325,-12),Database!$F:$AY,MATCH($I$1,Database!$F$1:$AY$1,),))))</f>
        <v/>
      </c>
      <c r="J325" s="13">
        <f>((((VLOOKUP(B325,Database!$F:$AY,MATCH($J$1,Database!$F$1:$AY$1,),))))-(((VLOOKUP(EDATE(B325,-12),Database!$F:$AY,MATCH($J$1,Database!$F$1:$AY$1,),)))))/(((VLOOKUP(EDATE(B325,-12),Database!$F:$AY,MATCH($J$1,Database!$F$1:$AY$1,),))))</f>
        <v/>
      </c>
      <c r="K325" s="13">
        <f>((((VLOOKUP(B325,Database!$F:$AY,MATCH($K$1,Database!$F$1:$AY$1,),))))-(((VLOOKUP(EDATE(B325,-12),Database!$F:$AY,MATCH($K$1,Database!$F$1:$AY$1,),)))))/(((VLOOKUP(EDATE(B325,-12),Database!$F:$AY,MATCH($K$1,Database!$F$1:$AY$1,),))))</f>
        <v/>
      </c>
      <c r="L325" s="13">
        <f>((((VLOOKUP(B325,Database!$F:$AY,MATCH($L$1,Database!$F$1:$AY$1,),))))-(((VLOOKUP(EDATE(B325,-12),Database!$F:$AY,MATCH($L$1,Database!$F$1:$AY$1,),)))))/(((VLOOKUP(EDATE(B325,-12),Database!$F:$AY,MATCH($L$1,Database!$F$1:$AY$1,),))))</f>
        <v/>
      </c>
      <c r="M325" s="13">
        <f>((((VLOOKUP(B325,Database!$F:$AY,MATCH($M$1,Database!$F$1:$AY$1,),))))-(((VLOOKUP(EDATE(B325,-12),Database!$F:$AY,MATCH($M$1,Database!$F$1:$AY$1,),)))))/(((VLOOKUP(EDATE(B325,-12),Database!$F:$AY,MATCH($M$1,Database!$F$1:$AY$1,),))))</f>
        <v/>
      </c>
      <c r="N325" s="13">
        <f>((((VLOOKUP(B325,Database!$F:$AY,MATCH($N$1,Database!$F$1:$AY$1,),))))-(((VLOOKUP(EDATE(B325,-12),Database!$F:$AY,MATCH($N$1,Database!$F$1:$AY$1,),)))))/(((VLOOKUP(EDATE(B325,-12),Database!$F:$AY,MATCH($N$1,Database!$F$1:$AY$1,),))))</f>
        <v/>
      </c>
      <c r="O325" s="13">
        <f>((((VLOOKUP(B325,Database!$F:$AY,MATCH($O$1,Database!$F$1:$AY$1,),))))-(((VLOOKUP(EDATE(B325,-12),Database!$F:$AY,MATCH($O$1,Database!$F$1:$AY$1,),)))))/(((VLOOKUP(EDATE(B325,-12),Database!$F:$AY,MATCH($O$1,Database!$F$1:$AY$1,),))))</f>
        <v/>
      </c>
      <c r="P325" s="13">
        <f>((((VLOOKUP(B325,Database!$F:$AY,MATCH($P$1,Database!$F$1:$AY$1,),))))-(((VLOOKUP(EDATE(B325,-12),Database!$F:$AY,MATCH($P$1,Database!$F$1:$AY$1,),)))))/(((VLOOKUP(EDATE(B325,-12),Database!$F:$AY,MATCH($P$1,Database!$F$1:$AY$1,),))))</f>
        <v/>
      </c>
      <c r="Q325" s="13">
        <f>((((VLOOKUP(B325,Database!$F:$AY,MATCH($Q$1,Database!$F$1:$AY$1,),))))-(((VLOOKUP(EDATE(B325,-12),Database!$F:$AY,MATCH($Q$1,Database!$F$1:$AY$1,),)))))/(((VLOOKUP(EDATE(B325,-12),Database!$F:$AY,MATCH($Q$1,Database!$F$1:$AY$1,),))))</f>
        <v/>
      </c>
      <c r="R325" s="13">
        <f>((((VLOOKUP(B325,Database!$F:$AY,MATCH($R$1,Database!$F$1:$AY$1,),))))-(((VLOOKUP(EDATE(B325,-12),Database!$F:$AY,MATCH($R$1,Database!$F$1:$AY$1,),)))))/(((VLOOKUP(EDATE(B325,-12),Database!$F:$AY,MATCH($R$1,Database!$F$1:$AY$1,),))))</f>
        <v/>
      </c>
      <c r="S325" s="13">
        <f>((((VLOOKUP(B325,Database!$F:$AY,MATCH($S$1,Database!$F$1:$AY$1,),))))-(((VLOOKUP(EDATE(B325,-12),Database!$F:$AY,MATCH($S$1,Database!$F$1:$AY$1,),)))))/(((VLOOKUP(EDATE(B325,-12),Database!$F:$AY,MATCH($S$1,Database!$F$1:$AY$1,),))))</f>
        <v/>
      </c>
      <c r="T325" s="13">
        <f>((((VLOOKUP(B325,Database!$F:$AY,MATCH($T$1,Database!$F$1:$AY$1,),))))-(((VLOOKUP(EDATE(B325,-12),Database!$F:$AY,MATCH($T$1,Database!$F$1:$AY$1,),)))))/(((VLOOKUP(EDATE(B325,-12),Database!$F:$AY,MATCH($T$1,Database!$F$1:$AY$1,),))))</f>
        <v/>
      </c>
      <c r="U325" s="13">
        <f>((((VLOOKUP(B325,Database!$F:$AY,MATCH($U$1,Database!$F$1:$AY$1,),))))-(((VLOOKUP(EDATE(B325,-12),Database!$F:$AY,MATCH($U$1,Database!$F$1:$AY$1,),)))))/(((VLOOKUP(EDATE(B325,-12),Database!$F:$AY,MATCH($U$1,Database!$F$1:$AY$1,),))))</f>
        <v/>
      </c>
      <c r="V325" s="13">
        <f>((((VLOOKUP(B325,Database!$F:$AY,MATCH($V$1,Database!$F$1:$AY$1,),))))-(((VLOOKUP(EDATE(B325,-12),Database!$F:$AY,MATCH($V$1,Database!$F$1:$AY$1,),)))))/(((VLOOKUP(EDATE(B325,-12),Database!$F:$AY,MATCH($V$1,Database!$F$1:$AY$1,),))))</f>
        <v/>
      </c>
    </row>
    <row r="326" customFormat="1" s="100">
      <c r="A326" s="45" t="n"/>
      <c r="B326" s="46" t="n">
        <v>42064</v>
      </c>
      <c r="C326" s="13">
        <f>((((VLOOKUP(B326,Database!$F:$AY,MATCH($C$1,Database!$F$1:$AY$1,),))))-(((VLOOKUP(EDATE(B326,-12),Database!$F:$AY,MATCH($C$1,Database!$F$1:$AY$1,),)))))/(((VLOOKUP(EDATE(B326,-12),Database!$F:$AY,MATCH($C$1,Database!$F$1:$AY$1,),))))</f>
        <v/>
      </c>
      <c r="D326" s="13">
        <f>((((VLOOKUP(B326,Database!$F:$AY,MATCH($D$1,Database!$F$1:$AY$1,),))))-(((VLOOKUP(EDATE(B326,-12),Database!$F:$AY,MATCH($D$1,Database!$F$1:$AY$1,),)))))/(((VLOOKUP(EDATE(B326,-12),Database!$F:$AY,MATCH($D$1,Database!$F$1:$AY$1,),))))</f>
        <v/>
      </c>
      <c r="E326" s="13">
        <f>((((VLOOKUP(B326,Database!$F:$AY,MATCH($E$1,Database!$F$1:$AY$1,),))))-(((VLOOKUP(EDATE(B326,-12),Database!$F:$AY,MATCH($E$1,Database!$F$1:$AY$1,),)))))/(((VLOOKUP(EDATE(B326,-12),Database!$F:$AY,MATCH($E$1,Database!$F$1:$AY$1,),))))</f>
        <v/>
      </c>
      <c r="F326" s="13">
        <f>((((VLOOKUP(B326,Database!$F:$AY,MATCH($F$1,Database!$F$1:$AY$1,),))))-(((VLOOKUP(EDATE(B326,-12),Database!$F:$AY,MATCH($F$1,Database!$F$1:$AY$1,),)))))/(((VLOOKUP(EDATE(B326,-12),Database!$F:$AY,MATCH($F$1,Database!$F$1:$AY$1,),))))</f>
        <v/>
      </c>
      <c r="G326" s="13">
        <f>((((VLOOKUP(B326,Database!$F:$AY,MATCH($G$1,Database!$F$1:$AY$1,),))))-(((VLOOKUP(EDATE(B326,-12),Database!$F:$AY,MATCH($G$1,Database!$F$1:$AY$1,),)))))/(((VLOOKUP(EDATE(B326,-12),Database!$F:$AY,MATCH($G$1,Database!$F$1:$AY$1,),))))</f>
        <v/>
      </c>
      <c r="H326" s="13">
        <f>((((VLOOKUP(B326,Database!$F:$AY,MATCH($H$1,Database!$F$1:$AY$1,),))))-(((VLOOKUP(EDATE(B326,-12),Database!$F:$AY,MATCH($H$1,Database!$F$1:$AY$1,),)))))/(((VLOOKUP(EDATE(B326,-12),Database!$F:$AY,MATCH($H$1,Database!$F$1:$AY$1,),))))</f>
        <v/>
      </c>
      <c r="I326" s="13">
        <f>((((VLOOKUP(B326,Database!$F:$AY,MATCH($I$1,Database!$F$1:$AY$1,),))))-(((VLOOKUP(EDATE(B326,-12),Database!$F:$AY,MATCH($I$1,Database!$F$1:$AY$1,),)))))/(((VLOOKUP(EDATE(B326,-12),Database!$F:$AY,MATCH($I$1,Database!$F$1:$AY$1,),))))</f>
        <v/>
      </c>
      <c r="J326" s="13">
        <f>((((VLOOKUP(B326,Database!$F:$AY,MATCH($J$1,Database!$F$1:$AY$1,),))))-(((VLOOKUP(EDATE(B326,-12),Database!$F:$AY,MATCH($J$1,Database!$F$1:$AY$1,),)))))/(((VLOOKUP(EDATE(B326,-12),Database!$F:$AY,MATCH($J$1,Database!$F$1:$AY$1,),))))</f>
        <v/>
      </c>
      <c r="K326" s="13">
        <f>((((VLOOKUP(B326,Database!$F:$AY,MATCH($K$1,Database!$F$1:$AY$1,),))))-(((VLOOKUP(EDATE(B326,-12),Database!$F:$AY,MATCH($K$1,Database!$F$1:$AY$1,),)))))/(((VLOOKUP(EDATE(B326,-12),Database!$F:$AY,MATCH($K$1,Database!$F$1:$AY$1,),))))</f>
        <v/>
      </c>
      <c r="L326" s="13">
        <f>((((VLOOKUP(B326,Database!$F:$AY,MATCH($L$1,Database!$F$1:$AY$1,),))))-(((VLOOKUP(EDATE(B326,-12),Database!$F:$AY,MATCH($L$1,Database!$F$1:$AY$1,),)))))/(((VLOOKUP(EDATE(B326,-12),Database!$F:$AY,MATCH($L$1,Database!$F$1:$AY$1,),))))</f>
        <v/>
      </c>
      <c r="M326" s="13">
        <f>((((VLOOKUP(B326,Database!$F:$AY,MATCH($M$1,Database!$F$1:$AY$1,),))))-(((VLOOKUP(EDATE(B326,-12),Database!$F:$AY,MATCH($M$1,Database!$F$1:$AY$1,),)))))/(((VLOOKUP(EDATE(B326,-12),Database!$F:$AY,MATCH($M$1,Database!$F$1:$AY$1,),))))</f>
        <v/>
      </c>
      <c r="N326" s="13">
        <f>((((VLOOKUP(B326,Database!$F:$AY,MATCH($N$1,Database!$F$1:$AY$1,),))))-(((VLOOKUP(EDATE(B326,-12),Database!$F:$AY,MATCH($N$1,Database!$F$1:$AY$1,),)))))/(((VLOOKUP(EDATE(B326,-12),Database!$F:$AY,MATCH($N$1,Database!$F$1:$AY$1,),))))</f>
        <v/>
      </c>
      <c r="O326" s="13">
        <f>((((VLOOKUP(B326,Database!$F:$AY,MATCH($O$1,Database!$F$1:$AY$1,),))))-(((VLOOKUP(EDATE(B326,-12),Database!$F:$AY,MATCH($O$1,Database!$F$1:$AY$1,),)))))/(((VLOOKUP(EDATE(B326,-12),Database!$F:$AY,MATCH($O$1,Database!$F$1:$AY$1,),))))</f>
        <v/>
      </c>
      <c r="P326" s="13">
        <f>((((VLOOKUP(B326,Database!$F:$AY,MATCH($P$1,Database!$F$1:$AY$1,),))))-(((VLOOKUP(EDATE(B326,-12),Database!$F:$AY,MATCH($P$1,Database!$F$1:$AY$1,),)))))/(((VLOOKUP(EDATE(B326,-12),Database!$F:$AY,MATCH($P$1,Database!$F$1:$AY$1,),))))</f>
        <v/>
      </c>
      <c r="Q326" s="13">
        <f>((((VLOOKUP(B326,Database!$F:$AY,MATCH($Q$1,Database!$F$1:$AY$1,),))))-(((VLOOKUP(EDATE(B326,-12),Database!$F:$AY,MATCH($Q$1,Database!$F$1:$AY$1,),)))))/(((VLOOKUP(EDATE(B326,-12),Database!$F:$AY,MATCH($Q$1,Database!$F$1:$AY$1,),))))</f>
        <v/>
      </c>
      <c r="R326" s="13">
        <f>((((VLOOKUP(B326,Database!$F:$AY,MATCH($R$1,Database!$F$1:$AY$1,),))))-(((VLOOKUP(EDATE(B326,-12),Database!$F:$AY,MATCH($R$1,Database!$F$1:$AY$1,),)))))/(((VLOOKUP(EDATE(B326,-12),Database!$F:$AY,MATCH($R$1,Database!$F$1:$AY$1,),))))</f>
        <v/>
      </c>
      <c r="S326" s="13">
        <f>((((VLOOKUP(B326,Database!$F:$AY,MATCH($S$1,Database!$F$1:$AY$1,),))))-(((VLOOKUP(EDATE(B326,-12),Database!$F:$AY,MATCH($S$1,Database!$F$1:$AY$1,),)))))/(((VLOOKUP(EDATE(B326,-12),Database!$F:$AY,MATCH($S$1,Database!$F$1:$AY$1,),))))</f>
        <v/>
      </c>
      <c r="T326" s="13">
        <f>((((VLOOKUP(B326,Database!$F:$AY,MATCH($T$1,Database!$F$1:$AY$1,),))))-(((VLOOKUP(EDATE(B326,-12),Database!$F:$AY,MATCH($T$1,Database!$F$1:$AY$1,),)))))/(((VLOOKUP(EDATE(B326,-12),Database!$F:$AY,MATCH($T$1,Database!$F$1:$AY$1,),))))</f>
        <v/>
      </c>
      <c r="U326" s="13">
        <f>((((VLOOKUP(B326,Database!$F:$AY,MATCH($U$1,Database!$F$1:$AY$1,),))))-(((VLOOKUP(EDATE(B326,-12),Database!$F:$AY,MATCH($U$1,Database!$F$1:$AY$1,),)))))/(((VLOOKUP(EDATE(B326,-12),Database!$F:$AY,MATCH($U$1,Database!$F$1:$AY$1,),))))</f>
        <v/>
      </c>
      <c r="V326" s="13">
        <f>((((VLOOKUP(B326,Database!$F:$AY,MATCH($V$1,Database!$F$1:$AY$1,),))))-(((VLOOKUP(EDATE(B326,-12),Database!$F:$AY,MATCH($V$1,Database!$F$1:$AY$1,),)))))/(((VLOOKUP(EDATE(B326,-12),Database!$F:$AY,MATCH($V$1,Database!$F$1:$AY$1,),))))</f>
        <v/>
      </c>
    </row>
    <row r="327" customFormat="1" s="100">
      <c r="A327" s="45" t="n"/>
      <c r="B327" s="46" t="n">
        <v>42095</v>
      </c>
      <c r="C327" s="13">
        <f>((((VLOOKUP(B327,Database!$F:$AY,MATCH($C$1,Database!$F$1:$AY$1,),))))-(((VLOOKUP(EDATE(B327,-12),Database!$F:$AY,MATCH($C$1,Database!$F$1:$AY$1,),)))))/(((VLOOKUP(EDATE(B327,-12),Database!$F:$AY,MATCH($C$1,Database!$F$1:$AY$1,),))))</f>
        <v/>
      </c>
      <c r="D327" s="13">
        <f>((((VLOOKUP(B327,Database!$F:$AY,MATCH($D$1,Database!$F$1:$AY$1,),))))-(((VLOOKUP(EDATE(B327,-12),Database!$F:$AY,MATCH($D$1,Database!$F$1:$AY$1,),)))))/(((VLOOKUP(EDATE(B327,-12),Database!$F:$AY,MATCH($D$1,Database!$F$1:$AY$1,),))))</f>
        <v/>
      </c>
      <c r="E327" s="13">
        <f>((((VLOOKUP(B327,Database!$F:$AY,MATCH($E$1,Database!$F$1:$AY$1,),))))-(((VLOOKUP(EDATE(B327,-12),Database!$F:$AY,MATCH($E$1,Database!$F$1:$AY$1,),)))))/(((VLOOKUP(EDATE(B327,-12),Database!$F:$AY,MATCH($E$1,Database!$F$1:$AY$1,),))))</f>
        <v/>
      </c>
      <c r="F327" s="13">
        <f>((((VLOOKUP(B327,Database!$F:$AY,MATCH($F$1,Database!$F$1:$AY$1,),))))-(((VLOOKUP(EDATE(B327,-12),Database!$F:$AY,MATCH($F$1,Database!$F$1:$AY$1,),)))))/(((VLOOKUP(EDATE(B327,-12),Database!$F:$AY,MATCH($F$1,Database!$F$1:$AY$1,),))))</f>
        <v/>
      </c>
      <c r="G327" s="13">
        <f>((((VLOOKUP(B327,Database!$F:$AY,MATCH($G$1,Database!$F$1:$AY$1,),))))-(((VLOOKUP(EDATE(B327,-12),Database!$F:$AY,MATCH($G$1,Database!$F$1:$AY$1,),)))))/(((VLOOKUP(EDATE(B327,-12),Database!$F:$AY,MATCH($G$1,Database!$F$1:$AY$1,),))))</f>
        <v/>
      </c>
      <c r="H327" s="13">
        <f>((((VLOOKUP(B327,Database!$F:$AY,MATCH($H$1,Database!$F$1:$AY$1,),))))-(((VLOOKUP(EDATE(B327,-12),Database!$F:$AY,MATCH($H$1,Database!$F$1:$AY$1,),)))))/(((VLOOKUP(EDATE(B327,-12),Database!$F:$AY,MATCH($H$1,Database!$F$1:$AY$1,),))))</f>
        <v/>
      </c>
      <c r="I327" s="13">
        <f>((((VLOOKUP(B327,Database!$F:$AY,MATCH($I$1,Database!$F$1:$AY$1,),))))-(((VLOOKUP(EDATE(B327,-12),Database!$F:$AY,MATCH($I$1,Database!$F$1:$AY$1,),)))))/(((VLOOKUP(EDATE(B327,-12),Database!$F:$AY,MATCH($I$1,Database!$F$1:$AY$1,),))))</f>
        <v/>
      </c>
      <c r="J327" s="13">
        <f>((((VLOOKUP(B327,Database!$F:$AY,MATCH($J$1,Database!$F$1:$AY$1,),))))-(((VLOOKUP(EDATE(B327,-12),Database!$F:$AY,MATCH($J$1,Database!$F$1:$AY$1,),)))))/(((VLOOKUP(EDATE(B327,-12),Database!$F:$AY,MATCH($J$1,Database!$F$1:$AY$1,),))))</f>
        <v/>
      </c>
      <c r="K327" s="13">
        <f>((((VLOOKUP(B327,Database!$F:$AY,MATCH($K$1,Database!$F$1:$AY$1,),))))-(((VLOOKUP(EDATE(B327,-12),Database!$F:$AY,MATCH($K$1,Database!$F$1:$AY$1,),)))))/(((VLOOKUP(EDATE(B327,-12),Database!$F:$AY,MATCH($K$1,Database!$F$1:$AY$1,),))))</f>
        <v/>
      </c>
      <c r="L327" s="13">
        <f>((((VLOOKUP(B327,Database!$F:$AY,MATCH($L$1,Database!$F$1:$AY$1,),))))-(((VLOOKUP(EDATE(B327,-12),Database!$F:$AY,MATCH($L$1,Database!$F$1:$AY$1,),)))))/(((VLOOKUP(EDATE(B327,-12),Database!$F:$AY,MATCH($L$1,Database!$F$1:$AY$1,),))))</f>
        <v/>
      </c>
      <c r="M327" s="13">
        <f>((((VLOOKUP(B327,Database!$F:$AY,MATCH($M$1,Database!$F$1:$AY$1,),))))-(((VLOOKUP(EDATE(B327,-12),Database!$F:$AY,MATCH($M$1,Database!$F$1:$AY$1,),)))))/(((VLOOKUP(EDATE(B327,-12),Database!$F:$AY,MATCH($M$1,Database!$F$1:$AY$1,),))))</f>
        <v/>
      </c>
      <c r="N327" s="13">
        <f>((((VLOOKUP(B327,Database!$F:$AY,MATCH($N$1,Database!$F$1:$AY$1,),))))-(((VLOOKUP(EDATE(B327,-12),Database!$F:$AY,MATCH($N$1,Database!$F$1:$AY$1,),)))))/(((VLOOKUP(EDATE(B327,-12),Database!$F:$AY,MATCH($N$1,Database!$F$1:$AY$1,),))))</f>
        <v/>
      </c>
      <c r="O327" s="13">
        <f>((((VLOOKUP(B327,Database!$F:$AY,MATCH($O$1,Database!$F$1:$AY$1,),))))-(((VLOOKUP(EDATE(B327,-12),Database!$F:$AY,MATCH($O$1,Database!$F$1:$AY$1,),)))))/(((VLOOKUP(EDATE(B327,-12),Database!$F:$AY,MATCH($O$1,Database!$F$1:$AY$1,),))))</f>
        <v/>
      </c>
      <c r="P327" s="13">
        <f>((((VLOOKUP(B327,Database!$F:$AY,MATCH($P$1,Database!$F$1:$AY$1,),))))-(((VLOOKUP(EDATE(B327,-12),Database!$F:$AY,MATCH($P$1,Database!$F$1:$AY$1,),)))))/(((VLOOKUP(EDATE(B327,-12),Database!$F:$AY,MATCH($P$1,Database!$F$1:$AY$1,),))))</f>
        <v/>
      </c>
      <c r="Q327" s="13">
        <f>((((VLOOKUP(B327,Database!$F:$AY,MATCH($Q$1,Database!$F$1:$AY$1,),))))-(((VLOOKUP(EDATE(B327,-12),Database!$F:$AY,MATCH($Q$1,Database!$F$1:$AY$1,),)))))/(((VLOOKUP(EDATE(B327,-12),Database!$F:$AY,MATCH($Q$1,Database!$F$1:$AY$1,),))))</f>
        <v/>
      </c>
      <c r="R327" s="13">
        <f>((((VLOOKUP(B327,Database!$F:$AY,MATCH($R$1,Database!$F$1:$AY$1,),))))-(((VLOOKUP(EDATE(B327,-12),Database!$F:$AY,MATCH($R$1,Database!$F$1:$AY$1,),)))))/(((VLOOKUP(EDATE(B327,-12),Database!$F:$AY,MATCH($R$1,Database!$F$1:$AY$1,),))))</f>
        <v/>
      </c>
      <c r="S327" s="13">
        <f>((((VLOOKUP(B327,Database!$F:$AY,MATCH($S$1,Database!$F$1:$AY$1,),))))-(((VLOOKUP(EDATE(B327,-12),Database!$F:$AY,MATCH($S$1,Database!$F$1:$AY$1,),)))))/(((VLOOKUP(EDATE(B327,-12),Database!$F:$AY,MATCH($S$1,Database!$F$1:$AY$1,),))))</f>
        <v/>
      </c>
      <c r="T327" s="13">
        <f>((((VLOOKUP(B327,Database!$F:$AY,MATCH($T$1,Database!$F$1:$AY$1,),))))-(((VLOOKUP(EDATE(B327,-12),Database!$F:$AY,MATCH($T$1,Database!$F$1:$AY$1,),)))))/(((VLOOKUP(EDATE(B327,-12),Database!$F:$AY,MATCH($T$1,Database!$F$1:$AY$1,),))))</f>
        <v/>
      </c>
      <c r="U327" s="13">
        <f>((((VLOOKUP(B327,Database!$F:$AY,MATCH($U$1,Database!$F$1:$AY$1,),))))-(((VLOOKUP(EDATE(B327,-12),Database!$F:$AY,MATCH($U$1,Database!$F$1:$AY$1,),)))))/(((VLOOKUP(EDATE(B327,-12),Database!$F:$AY,MATCH($U$1,Database!$F$1:$AY$1,),))))</f>
        <v/>
      </c>
      <c r="V327" s="13">
        <f>((((VLOOKUP(B327,Database!$F:$AY,MATCH($V$1,Database!$F$1:$AY$1,),))))-(((VLOOKUP(EDATE(B327,-12),Database!$F:$AY,MATCH($V$1,Database!$F$1:$AY$1,),)))))/(((VLOOKUP(EDATE(B327,-12),Database!$F:$AY,MATCH($V$1,Database!$F$1:$AY$1,),))))</f>
        <v/>
      </c>
    </row>
    <row r="328" customFormat="1" s="100">
      <c r="A328" s="45" t="n"/>
      <c r="B328" s="46" t="n">
        <v>42125</v>
      </c>
      <c r="C328" s="13">
        <f>((((VLOOKUP(B328,Database!$F:$AY,MATCH($C$1,Database!$F$1:$AY$1,),))))-(((VLOOKUP(EDATE(B328,-12),Database!$F:$AY,MATCH($C$1,Database!$F$1:$AY$1,),)))))/(((VLOOKUP(EDATE(B328,-12),Database!$F:$AY,MATCH($C$1,Database!$F$1:$AY$1,),))))</f>
        <v/>
      </c>
      <c r="D328" s="13">
        <f>((((VLOOKUP(B328,Database!$F:$AY,MATCH($D$1,Database!$F$1:$AY$1,),))))-(((VLOOKUP(EDATE(B328,-12),Database!$F:$AY,MATCH($D$1,Database!$F$1:$AY$1,),)))))/(((VLOOKUP(EDATE(B328,-12),Database!$F:$AY,MATCH($D$1,Database!$F$1:$AY$1,),))))</f>
        <v/>
      </c>
      <c r="E328" s="13">
        <f>((((VLOOKUP(B328,Database!$F:$AY,MATCH($E$1,Database!$F$1:$AY$1,),))))-(((VLOOKUP(EDATE(B328,-12),Database!$F:$AY,MATCH($E$1,Database!$F$1:$AY$1,),)))))/(((VLOOKUP(EDATE(B328,-12),Database!$F:$AY,MATCH($E$1,Database!$F$1:$AY$1,),))))</f>
        <v/>
      </c>
      <c r="F328" s="13">
        <f>((((VLOOKUP(B328,Database!$F:$AY,MATCH($F$1,Database!$F$1:$AY$1,),))))-(((VLOOKUP(EDATE(B328,-12),Database!$F:$AY,MATCH($F$1,Database!$F$1:$AY$1,),)))))/(((VLOOKUP(EDATE(B328,-12),Database!$F:$AY,MATCH($F$1,Database!$F$1:$AY$1,),))))</f>
        <v/>
      </c>
      <c r="G328" s="13">
        <f>((((VLOOKUP(B328,Database!$F:$AY,MATCH($G$1,Database!$F$1:$AY$1,),))))-(((VLOOKUP(EDATE(B328,-12),Database!$F:$AY,MATCH($G$1,Database!$F$1:$AY$1,),)))))/(((VLOOKUP(EDATE(B328,-12),Database!$F:$AY,MATCH($G$1,Database!$F$1:$AY$1,),))))</f>
        <v/>
      </c>
      <c r="H328" s="13">
        <f>((((VLOOKUP(B328,Database!$F:$AY,MATCH($H$1,Database!$F$1:$AY$1,),))))-(((VLOOKUP(EDATE(B328,-12),Database!$F:$AY,MATCH($H$1,Database!$F$1:$AY$1,),)))))/(((VLOOKUP(EDATE(B328,-12),Database!$F:$AY,MATCH($H$1,Database!$F$1:$AY$1,),))))</f>
        <v/>
      </c>
      <c r="I328" s="13">
        <f>((((VLOOKUP(B328,Database!$F:$AY,MATCH($I$1,Database!$F$1:$AY$1,),))))-(((VLOOKUP(EDATE(B328,-12),Database!$F:$AY,MATCH($I$1,Database!$F$1:$AY$1,),)))))/(((VLOOKUP(EDATE(B328,-12),Database!$F:$AY,MATCH($I$1,Database!$F$1:$AY$1,),))))</f>
        <v/>
      </c>
      <c r="J328" s="13">
        <f>((((VLOOKUP(B328,Database!$F:$AY,MATCH($J$1,Database!$F$1:$AY$1,),))))-(((VLOOKUP(EDATE(B328,-12),Database!$F:$AY,MATCH($J$1,Database!$F$1:$AY$1,),)))))/(((VLOOKUP(EDATE(B328,-12),Database!$F:$AY,MATCH($J$1,Database!$F$1:$AY$1,),))))</f>
        <v/>
      </c>
      <c r="K328" s="13">
        <f>((((VLOOKUP(B328,Database!$F:$AY,MATCH($K$1,Database!$F$1:$AY$1,),))))-(((VLOOKUP(EDATE(B328,-12),Database!$F:$AY,MATCH($K$1,Database!$F$1:$AY$1,),)))))/(((VLOOKUP(EDATE(B328,-12),Database!$F:$AY,MATCH($K$1,Database!$F$1:$AY$1,),))))</f>
        <v/>
      </c>
      <c r="L328" s="13">
        <f>((((VLOOKUP(B328,Database!$F:$AY,MATCH($L$1,Database!$F$1:$AY$1,),))))-(((VLOOKUP(EDATE(B328,-12),Database!$F:$AY,MATCH($L$1,Database!$F$1:$AY$1,),)))))/(((VLOOKUP(EDATE(B328,-12),Database!$F:$AY,MATCH($L$1,Database!$F$1:$AY$1,),))))</f>
        <v/>
      </c>
      <c r="M328" s="13">
        <f>((((VLOOKUP(B328,Database!$F:$AY,MATCH($M$1,Database!$F$1:$AY$1,),))))-(((VLOOKUP(EDATE(B328,-12),Database!$F:$AY,MATCH($M$1,Database!$F$1:$AY$1,),)))))/(((VLOOKUP(EDATE(B328,-12),Database!$F:$AY,MATCH($M$1,Database!$F$1:$AY$1,),))))</f>
        <v/>
      </c>
      <c r="N328" s="13">
        <f>((((VLOOKUP(B328,Database!$F:$AY,MATCH($N$1,Database!$F$1:$AY$1,),))))-(((VLOOKUP(EDATE(B328,-12),Database!$F:$AY,MATCH($N$1,Database!$F$1:$AY$1,),)))))/(((VLOOKUP(EDATE(B328,-12),Database!$F:$AY,MATCH($N$1,Database!$F$1:$AY$1,),))))</f>
        <v/>
      </c>
      <c r="O328" s="13">
        <f>((((VLOOKUP(B328,Database!$F:$AY,MATCH($O$1,Database!$F$1:$AY$1,),))))-(((VLOOKUP(EDATE(B328,-12),Database!$F:$AY,MATCH($O$1,Database!$F$1:$AY$1,),)))))/(((VLOOKUP(EDATE(B328,-12),Database!$F:$AY,MATCH($O$1,Database!$F$1:$AY$1,),))))</f>
        <v/>
      </c>
      <c r="P328" s="13">
        <f>((((VLOOKUP(B328,Database!$F:$AY,MATCH($P$1,Database!$F$1:$AY$1,),))))-(((VLOOKUP(EDATE(B328,-12),Database!$F:$AY,MATCH($P$1,Database!$F$1:$AY$1,),)))))/(((VLOOKUP(EDATE(B328,-12),Database!$F:$AY,MATCH($P$1,Database!$F$1:$AY$1,),))))</f>
        <v/>
      </c>
      <c r="Q328" s="13">
        <f>((((VLOOKUP(B328,Database!$F:$AY,MATCH($Q$1,Database!$F$1:$AY$1,),))))-(((VLOOKUP(EDATE(B328,-12),Database!$F:$AY,MATCH($Q$1,Database!$F$1:$AY$1,),)))))/(((VLOOKUP(EDATE(B328,-12),Database!$F:$AY,MATCH($Q$1,Database!$F$1:$AY$1,),))))</f>
        <v/>
      </c>
      <c r="R328" s="13">
        <f>((((VLOOKUP(B328,Database!$F:$AY,MATCH($R$1,Database!$F$1:$AY$1,),))))-(((VLOOKUP(EDATE(B328,-12),Database!$F:$AY,MATCH($R$1,Database!$F$1:$AY$1,),)))))/(((VLOOKUP(EDATE(B328,-12),Database!$F:$AY,MATCH($R$1,Database!$F$1:$AY$1,),))))</f>
        <v/>
      </c>
      <c r="S328" s="13">
        <f>((((VLOOKUP(B328,Database!$F:$AY,MATCH($S$1,Database!$F$1:$AY$1,),))))-(((VLOOKUP(EDATE(B328,-12),Database!$F:$AY,MATCH($S$1,Database!$F$1:$AY$1,),)))))/(((VLOOKUP(EDATE(B328,-12),Database!$F:$AY,MATCH($S$1,Database!$F$1:$AY$1,),))))</f>
        <v/>
      </c>
      <c r="T328" s="13">
        <f>((((VLOOKUP(B328,Database!$F:$AY,MATCH($T$1,Database!$F$1:$AY$1,),))))-(((VLOOKUP(EDATE(B328,-12),Database!$F:$AY,MATCH($T$1,Database!$F$1:$AY$1,),)))))/(((VLOOKUP(EDATE(B328,-12),Database!$F:$AY,MATCH($T$1,Database!$F$1:$AY$1,),))))</f>
        <v/>
      </c>
      <c r="U328" s="13">
        <f>((((VLOOKUP(B328,Database!$F:$AY,MATCH($U$1,Database!$F$1:$AY$1,),))))-(((VLOOKUP(EDATE(B328,-12),Database!$F:$AY,MATCH($U$1,Database!$F$1:$AY$1,),)))))/(((VLOOKUP(EDATE(B328,-12),Database!$F:$AY,MATCH($U$1,Database!$F$1:$AY$1,),))))</f>
        <v/>
      </c>
      <c r="V328" s="13">
        <f>((((VLOOKUP(B328,Database!$F:$AY,MATCH($V$1,Database!$F$1:$AY$1,),))))-(((VLOOKUP(EDATE(B328,-12),Database!$F:$AY,MATCH($V$1,Database!$F$1:$AY$1,),)))))/(((VLOOKUP(EDATE(B328,-12),Database!$F:$AY,MATCH($V$1,Database!$F$1:$AY$1,),))))</f>
        <v/>
      </c>
    </row>
    <row r="329" customFormat="1" s="100">
      <c r="A329" s="45" t="n"/>
      <c r="B329" s="46" t="n">
        <v>42156</v>
      </c>
      <c r="C329" s="13">
        <f>((((VLOOKUP(B329,Database!$F:$AY,MATCH($C$1,Database!$F$1:$AY$1,),))))-(((VLOOKUP(EDATE(B329,-12),Database!$F:$AY,MATCH($C$1,Database!$F$1:$AY$1,),)))))/(((VLOOKUP(EDATE(B329,-12),Database!$F:$AY,MATCH($C$1,Database!$F$1:$AY$1,),))))</f>
        <v/>
      </c>
      <c r="D329" s="13">
        <f>((((VLOOKUP(B329,Database!$F:$AY,MATCH($D$1,Database!$F$1:$AY$1,),))))-(((VLOOKUP(EDATE(B329,-12),Database!$F:$AY,MATCH($D$1,Database!$F$1:$AY$1,),)))))/(((VLOOKUP(EDATE(B329,-12),Database!$F:$AY,MATCH($D$1,Database!$F$1:$AY$1,),))))</f>
        <v/>
      </c>
      <c r="E329" s="13">
        <f>((((VLOOKUP(B329,Database!$F:$AY,MATCH($E$1,Database!$F$1:$AY$1,),))))-(((VLOOKUP(EDATE(B329,-12),Database!$F:$AY,MATCH($E$1,Database!$F$1:$AY$1,),)))))/(((VLOOKUP(EDATE(B329,-12),Database!$F:$AY,MATCH($E$1,Database!$F$1:$AY$1,),))))</f>
        <v/>
      </c>
      <c r="F329" s="13">
        <f>((((VLOOKUP(B329,Database!$F:$AY,MATCH($F$1,Database!$F$1:$AY$1,),))))-(((VLOOKUP(EDATE(B329,-12),Database!$F:$AY,MATCH($F$1,Database!$F$1:$AY$1,),)))))/(((VLOOKUP(EDATE(B329,-12),Database!$F:$AY,MATCH($F$1,Database!$F$1:$AY$1,),))))</f>
        <v/>
      </c>
      <c r="G329" s="13">
        <f>((((VLOOKUP(B329,Database!$F:$AY,MATCH($G$1,Database!$F$1:$AY$1,),))))-(((VLOOKUP(EDATE(B329,-12),Database!$F:$AY,MATCH($G$1,Database!$F$1:$AY$1,),)))))/(((VLOOKUP(EDATE(B329,-12),Database!$F:$AY,MATCH($G$1,Database!$F$1:$AY$1,),))))</f>
        <v/>
      </c>
      <c r="H329" s="13">
        <f>((((VLOOKUP(B329,Database!$F:$AY,MATCH($H$1,Database!$F$1:$AY$1,),))))-(((VLOOKUP(EDATE(B329,-12),Database!$F:$AY,MATCH($H$1,Database!$F$1:$AY$1,),)))))/(((VLOOKUP(EDATE(B329,-12),Database!$F:$AY,MATCH($H$1,Database!$F$1:$AY$1,),))))</f>
        <v/>
      </c>
      <c r="I329" s="13">
        <f>((((VLOOKUP(B329,Database!$F:$AY,MATCH($I$1,Database!$F$1:$AY$1,),))))-(((VLOOKUP(EDATE(B329,-12),Database!$F:$AY,MATCH($I$1,Database!$F$1:$AY$1,),)))))/(((VLOOKUP(EDATE(B329,-12),Database!$F:$AY,MATCH($I$1,Database!$F$1:$AY$1,),))))</f>
        <v/>
      </c>
      <c r="J329" s="13">
        <f>((((VLOOKUP(B329,Database!$F:$AY,MATCH($J$1,Database!$F$1:$AY$1,),))))-(((VLOOKUP(EDATE(B329,-12),Database!$F:$AY,MATCH($J$1,Database!$F$1:$AY$1,),)))))/(((VLOOKUP(EDATE(B329,-12),Database!$F:$AY,MATCH($J$1,Database!$F$1:$AY$1,),))))</f>
        <v/>
      </c>
      <c r="K329" s="13">
        <f>((((VLOOKUP(B329,Database!$F:$AY,MATCH($K$1,Database!$F$1:$AY$1,),))))-(((VLOOKUP(EDATE(B329,-12),Database!$F:$AY,MATCH($K$1,Database!$F$1:$AY$1,),)))))/(((VLOOKUP(EDATE(B329,-12),Database!$F:$AY,MATCH($K$1,Database!$F$1:$AY$1,),))))</f>
        <v/>
      </c>
      <c r="L329" s="13">
        <f>((((VLOOKUP(B329,Database!$F:$AY,MATCH($L$1,Database!$F$1:$AY$1,),))))-(((VLOOKUP(EDATE(B329,-12),Database!$F:$AY,MATCH($L$1,Database!$F$1:$AY$1,),)))))/(((VLOOKUP(EDATE(B329,-12),Database!$F:$AY,MATCH($L$1,Database!$F$1:$AY$1,),))))</f>
        <v/>
      </c>
      <c r="M329" s="13">
        <f>((((VLOOKUP(B329,Database!$F:$AY,MATCH($M$1,Database!$F$1:$AY$1,),))))-(((VLOOKUP(EDATE(B329,-12),Database!$F:$AY,MATCH($M$1,Database!$F$1:$AY$1,),)))))/(((VLOOKUP(EDATE(B329,-12),Database!$F:$AY,MATCH($M$1,Database!$F$1:$AY$1,),))))</f>
        <v/>
      </c>
      <c r="N329" s="13">
        <f>((((VLOOKUP(B329,Database!$F:$AY,MATCH($N$1,Database!$F$1:$AY$1,),))))-(((VLOOKUP(EDATE(B329,-12),Database!$F:$AY,MATCH($N$1,Database!$F$1:$AY$1,),)))))/(((VLOOKUP(EDATE(B329,-12),Database!$F:$AY,MATCH($N$1,Database!$F$1:$AY$1,),))))</f>
        <v/>
      </c>
      <c r="O329" s="13">
        <f>((((VLOOKUP(B329,Database!$F:$AY,MATCH($O$1,Database!$F$1:$AY$1,),))))-(((VLOOKUP(EDATE(B329,-12),Database!$F:$AY,MATCH($O$1,Database!$F$1:$AY$1,),)))))/(((VLOOKUP(EDATE(B329,-12),Database!$F:$AY,MATCH($O$1,Database!$F$1:$AY$1,),))))</f>
        <v/>
      </c>
      <c r="P329" s="13">
        <f>((((VLOOKUP(B329,Database!$F:$AY,MATCH($P$1,Database!$F$1:$AY$1,),))))-(((VLOOKUP(EDATE(B329,-12),Database!$F:$AY,MATCH($P$1,Database!$F$1:$AY$1,),)))))/(((VLOOKUP(EDATE(B329,-12),Database!$F:$AY,MATCH($P$1,Database!$F$1:$AY$1,),))))</f>
        <v/>
      </c>
      <c r="Q329" s="13">
        <f>((((VLOOKUP(B329,Database!$F:$AY,MATCH($Q$1,Database!$F$1:$AY$1,),))))-(((VLOOKUP(EDATE(B329,-12),Database!$F:$AY,MATCH($Q$1,Database!$F$1:$AY$1,),)))))/(((VLOOKUP(EDATE(B329,-12),Database!$F:$AY,MATCH($Q$1,Database!$F$1:$AY$1,),))))</f>
        <v/>
      </c>
      <c r="R329" s="13">
        <f>((((VLOOKUP(B329,Database!$F:$AY,MATCH($R$1,Database!$F$1:$AY$1,),))))-(((VLOOKUP(EDATE(B329,-12),Database!$F:$AY,MATCH($R$1,Database!$F$1:$AY$1,),)))))/(((VLOOKUP(EDATE(B329,-12),Database!$F:$AY,MATCH($R$1,Database!$F$1:$AY$1,),))))</f>
        <v/>
      </c>
      <c r="S329" s="13">
        <f>((((VLOOKUP(B329,Database!$F:$AY,MATCH($S$1,Database!$F$1:$AY$1,),))))-(((VLOOKUP(EDATE(B329,-12),Database!$F:$AY,MATCH($S$1,Database!$F$1:$AY$1,),)))))/(((VLOOKUP(EDATE(B329,-12),Database!$F:$AY,MATCH($S$1,Database!$F$1:$AY$1,),))))</f>
        <v/>
      </c>
      <c r="T329" s="13">
        <f>((((VLOOKUP(B329,Database!$F:$AY,MATCH($T$1,Database!$F$1:$AY$1,),))))-(((VLOOKUP(EDATE(B329,-12),Database!$F:$AY,MATCH($T$1,Database!$F$1:$AY$1,),)))))/(((VLOOKUP(EDATE(B329,-12),Database!$F:$AY,MATCH($T$1,Database!$F$1:$AY$1,),))))</f>
        <v/>
      </c>
      <c r="U329" s="13">
        <f>((((VLOOKUP(B329,Database!$F:$AY,MATCH($U$1,Database!$F$1:$AY$1,),))))-(((VLOOKUP(EDATE(B329,-12),Database!$F:$AY,MATCH($U$1,Database!$F$1:$AY$1,),)))))/(((VLOOKUP(EDATE(B329,-12),Database!$F:$AY,MATCH($U$1,Database!$F$1:$AY$1,),))))</f>
        <v/>
      </c>
      <c r="V329" s="13">
        <f>((((VLOOKUP(B329,Database!$F:$AY,MATCH($V$1,Database!$F$1:$AY$1,),))))-(((VLOOKUP(EDATE(B329,-12),Database!$F:$AY,MATCH($V$1,Database!$F$1:$AY$1,),)))))/(((VLOOKUP(EDATE(B329,-12),Database!$F:$AY,MATCH($V$1,Database!$F$1:$AY$1,),))))</f>
        <v/>
      </c>
    </row>
    <row r="330" customFormat="1" s="100">
      <c r="A330" s="45" t="n"/>
      <c r="B330" s="46" t="n">
        <v>42186</v>
      </c>
      <c r="C330" s="13">
        <f>((((VLOOKUP(B330,Database!$F:$AY,MATCH($C$1,Database!$F$1:$AY$1,),))))-(((VLOOKUP(EDATE(B330,-12),Database!$F:$AY,MATCH($C$1,Database!$F$1:$AY$1,),)))))/(((VLOOKUP(EDATE(B330,-12),Database!$F:$AY,MATCH($C$1,Database!$F$1:$AY$1,),))))</f>
        <v/>
      </c>
      <c r="D330" s="13">
        <f>((((VLOOKUP(B330,Database!$F:$AY,MATCH($D$1,Database!$F$1:$AY$1,),))))-(((VLOOKUP(EDATE(B330,-12),Database!$F:$AY,MATCH($D$1,Database!$F$1:$AY$1,),)))))/(((VLOOKUP(EDATE(B330,-12),Database!$F:$AY,MATCH($D$1,Database!$F$1:$AY$1,),))))</f>
        <v/>
      </c>
      <c r="E330" s="13">
        <f>((((VLOOKUP(B330,Database!$F:$AY,MATCH($E$1,Database!$F$1:$AY$1,),))))-(((VLOOKUP(EDATE(B330,-12),Database!$F:$AY,MATCH($E$1,Database!$F$1:$AY$1,),)))))/(((VLOOKUP(EDATE(B330,-12),Database!$F:$AY,MATCH($E$1,Database!$F$1:$AY$1,),))))</f>
        <v/>
      </c>
      <c r="F330" s="13">
        <f>((((VLOOKUP(B330,Database!$F:$AY,MATCH($F$1,Database!$F$1:$AY$1,),))))-(((VLOOKUP(EDATE(B330,-12),Database!$F:$AY,MATCH($F$1,Database!$F$1:$AY$1,),)))))/(((VLOOKUP(EDATE(B330,-12),Database!$F:$AY,MATCH($F$1,Database!$F$1:$AY$1,),))))</f>
        <v/>
      </c>
      <c r="G330" s="13">
        <f>((((VLOOKUP(B330,Database!$F:$AY,MATCH($G$1,Database!$F$1:$AY$1,),))))-(((VLOOKUP(EDATE(B330,-12),Database!$F:$AY,MATCH($G$1,Database!$F$1:$AY$1,),)))))/(((VLOOKUP(EDATE(B330,-12),Database!$F:$AY,MATCH($G$1,Database!$F$1:$AY$1,),))))</f>
        <v/>
      </c>
      <c r="H330" s="13">
        <f>((((VLOOKUP(B330,Database!$F:$AY,MATCH($H$1,Database!$F$1:$AY$1,),))))-(((VLOOKUP(EDATE(B330,-12),Database!$F:$AY,MATCH($H$1,Database!$F$1:$AY$1,),)))))/(((VLOOKUP(EDATE(B330,-12),Database!$F:$AY,MATCH($H$1,Database!$F$1:$AY$1,),))))</f>
        <v/>
      </c>
      <c r="I330" s="13">
        <f>((((VLOOKUP(B330,Database!$F:$AY,MATCH($I$1,Database!$F$1:$AY$1,),))))-(((VLOOKUP(EDATE(B330,-12),Database!$F:$AY,MATCH($I$1,Database!$F$1:$AY$1,),)))))/(((VLOOKUP(EDATE(B330,-12),Database!$F:$AY,MATCH($I$1,Database!$F$1:$AY$1,),))))</f>
        <v/>
      </c>
      <c r="J330" s="13">
        <f>((((VLOOKUP(B330,Database!$F:$AY,MATCH($J$1,Database!$F$1:$AY$1,),))))-(((VLOOKUP(EDATE(B330,-12),Database!$F:$AY,MATCH($J$1,Database!$F$1:$AY$1,),)))))/(((VLOOKUP(EDATE(B330,-12),Database!$F:$AY,MATCH($J$1,Database!$F$1:$AY$1,),))))</f>
        <v/>
      </c>
      <c r="K330" s="13">
        <f>((((VLOOKUP(B330,Database!$F:$AY,MATCH($K$1,Database!$F$1:$AY$1,),))))-(((VLOOKUP(EDATE(B330,-12),Database!$F:$AY,MATCH($K$1,Database!$F$1:$AY$1,),)))))/(((VLOOKUP(EDATE(B330,-12),Database!$F:$AY,MATCH($K$1,Database!$F$1:$AY$1,),))))</f>
        <v/>
      </c>
      <c r="L330" s="13">
        <f>((((VLOOKUP(B330,Database!$F:$AY,MATCH($L$1,Database!$F$1:$AY$1,),))))-(((VLOOKUP(EDATE(B330,-12),Database!$F:$AY,MATCH($L$1,Database!$F$1:$AY$1,),)))))/(((VLOOKUP(EDATE(B330,-12),Database!$F:$AY,MATCH($L$1,Database!$F$1:$AY$1,),))))</f>
        <v/>
      </c>
      <c r="M330" s="13">
        <f>((((VLOOKUP(B330,Database!$F:$AY,MATCH($M$1,Database!$F$1:$AY$1,),))))-(((VLOOKUP(EDATE(B330,-12),Database!$F:$AY,MATCH($M$1,Database!$F$1:$AY$1,),)))))/(((VLOOKUP(EDATE(B330,-12),Database!$F:$AY,MATCH($M$1,Database!$F$1:$AY$1,),))))</f>
        <v/>
      </c>
      <c r="N330" s="13">
        <f>((((VLOOKUP(B330,Database!$F:$AY,MATCH($N$1,Database!$F$1:$AY$1,),))))-(((VLOOKUP(EDATE(B330,-12),Database!$F:$AY,MATCH($N$1,Database!$F$1:$AY$1,),)))))/(((VLOOKUP(EDATE(B330,-12),Database!$F:$AY,MATCH($N$1,Database!$F$1:$AY$1,),))))</f>
        <v/>
      </c>
      <c r="O330" s="13">
        <f>((((VLOOKUP(B330,Database!$F:$AY,MATCH($O$1,Database!$F$1:$AY$1,),))))-(((VLOOKUP(EDATE(B330,-12),Database!$F:$AY,MATCH($O$1,Database!$F$1:$AY$1,),)))))/(((VLOOKUP(EDATE(B330,-12),Database!$F:$AY,MATCH($O$1,Database!$F$1:$AY$1,),))))</f>
        <v/>
      </c>
      <c r="P330" s="13">
        <f>((((VLOOKUP(B330,Database!$F:$AY,MATCH($P$1,Database!$F$1:$AY$1,),))))-(((VLOOKUP(EDATE(B330,-12),Database!$F:$AY,MATCH($P$1,Database!$F$1:$AY$1,),)))))/(((VLOOKUP(EDATE(B330,-12),Database!$F:$AY,MATCH($P$1,Database!$F$1:$AY$1,),))))</f>
        <v/>
      </c>
      <c r="Q330" s="13">
        <f>((((VLOOKUP(B330,Database!$F:$AY,MATCH($Q$1,Database!$F$1:$AY$1,),))))-(((VLOOKUP(EDATE(B330,-12),Database!$F:$AY,MATCH($Q$1,Database!$F$1:$AY$1,),)))))/(((VLOOKUP(EDATE(B330,-12),Database!$F:$AY,MATCH($Q$1,Database!$F$1:$AY$1,),))))</f>
        <v/>
      </c>
      <c r="R330" s="13">
        <f>((((VLOOKUP(B330,Database!$F:$AY,MATCH($R$1,Database!$F$1:$AY$1,),))))-(((VLOOKUP(EDATE(B330,-12),Database!$F:$AY,MATCH($R$1,Database!$F$1:$AY$1,),)))))/(((VLOOKUP(EDATE(B330,-12),Database!$F:$AY,MATCH($R$1,Database!$F$1:$AY$1,),))))</f>
        <v/>
      </c>
      <c r="S330" s="13">
        <f>((((VLOOKUP(B330,Database!$F:$AY,MATCH($S$1,Database!$F$1:$AY$1,),))))-(((VLOOKUP(EDATE(B330,-12),Database!$F:$AY,MATCH($S$1,Database!$F$1:$AY$1,),)))))/(((VLOOKUP(EDATE(B330,-12),Database!$F:$AY,MATCH($S$1,Database!$F$1:$AY$1,),))))</f>
        <v/>
      </c>
      <c r="T330" s="13">
        <f>((((VLOOKUP(B330,Database!$F:$AY,MATCH($T$1,Database!$F$1:$AY$1,),))))-(((VLOOKUP(EDATE(B330,-12),Database!$F:$AY,MATCH($T$1,Database!$F$1:$AY$1,),)))))/(((VLOOKUP(EDATE(B330,-12),Database!$F:$AY,MATCH($T$1,Database!$F$1:$AY$1,),))))</f>
        <v/>
      </c>
      <c r="U330" s="13">
        <f>((((VLOOKUP(B330,Database!$F:$AY,MATCH($U$1,Database!$F$1:$AY$1,),))))-(((VLOOKUP(EDATE(B330,-12),Database!$F:$AY,MATCH($U$1,Database!$F$1:$AY$1,),)))))/(((VLOOKUP(EDATE(B330,-12),Database!$F:$AY,MATCH($U$1,Database!$F$1:$AY$1,),))))</f>
        <v/>
      </c>
      <c r="V330" s="13">
        <f>((((VLOOKUP(B330,Database!$F:$AY,MATCH($V$1,Database!$F$1:$AY$1,),))))-(((VLOOKUP(EDATE(B330,-12),Database!$F:$AY,MATCH($V$1,Database!$F$1:$AY$1,),)))))/(((VLOOKUP(EDATE(B330,-12),Database!$F:$AY,MATCH($V$1,Database!$F$1:$AY$1,),))))</f>
        <v/>
      </c>
    </row>
    <row r="331" customFormat="1" s="100">
      <c r="A331" s="45" t="n"/>
      <c r="B331" s="46" t="n">
        <v>42217</v>
      </c>
      <c r="C331" s="13">
        <f>((((VLOOKUP(B331,Database!$F:$AY,MATCH($C$1,Database!$F$1:$AY$1,),))))-(((VLOOKUP(EDATE(B331,-12),Database!$F:$AY,MATCH($C$1,Database!$F$1:$AY$1,),)))))/(((VLOOKUP(EDATE(B331,-12),Database!$F:$AY,MATCH($C$1,Database!$F$1:$AY$1,),))))</f>
        <v/>
      </c>
      <c r="D331" s="13">
        <f>((((VLOOKUP(B331,Database!$F:$AY,MATCH($D$1,Database!$F$1:$AY$1,),))))-(((VLOOKUP(EDATE(B331,-12),Database!$F:$AY,MATCH($D$1,Database!$F$1:$AY$1,),)))))/(((VLOOKUP(EDATE(B331,-12),Database!$F:$AY,MATCH($D$1,Database!$F$1:$AY$1,),))))</f>
        <v/>
      </c>
      <c r="E331" s="13">
        <f>((((VLOOKUP(B331,Database!$F:$AY,MATCH($E$1,Database!$F$1:$AY$1,),))))-(((VLOOKUP(EDATE(B331,-12),Database!$F:$AY,MATCH($E$1,Database!$F$1:$AY$1,),)))))/(((VLOOKUP(EDATE(B331,-12),Database!$F:$AY,MATCH($E$1,Database!$F$1:$AY$1,),))))</f>
        <v/>
      </c>
      <c r="F331" s="13">
        <f>((((VLOOKUP(B331,Database!$F:$AY,MATCH($F$1,Database!$F$1:$AY$1,),))))-(((VLOOKUP(EDATE(B331,-12),Database!$F:$AY,MATCH($F$1,Database!$F$1:$AY$1,),)))))/(((VLOOKUP(EDATE(B331,-12),Database!$F:$AY,MATCH($F$1,Database!$F$1:$AY$1,),))))</f>
        <v/>
      </c>
      <c r="G331" s="13">
        <f>((((VLOOKUP(B331,Database!$F:$AY,MATCH($G$1,Database!$F$1:$AY$1,),))))-(((VLOOKUP(EDATE(B331,-12),Database!$F:$AY,MATCH($G$1,Database!$F$1:$AY$1,),)))))/(((VLOOKUP(EDATE(B331,-12),Database!$F:$AY,MATCH($G$1,Database!$F$1:$AY$1,),))))</f>
        <v/>
      </c>
      <c r="H331" s="13">
        <f>((((VLOOKUP(B331,Database!$F:$AY,MATCH($H$1,Database!$F$1:$AY$1,),))))-(((VLOOKUP(EDATE(B331,-12),Database!$F:$AY,MATCH($H$1,Database!$F$1:$AY$1,),)))))/(((VLOOKUP(EDATE(B331,-12),Database!$F:$AY,MATCH($H$1,Database!$F$1:$AY$1,),))))</f>
        <v/>
      </c>
      <c r="I331" s="13">
        <f>((((VLOOKUP(B331,Database!$F:$AY,MATCH($I$1,Database!$F$1:$AY$1,),))))-(((VLOOKUP(EDATE(B331,-12),Database!$F:$AY,MATCH($I$1,Database!$F$1:$AY$1,),)))))/(((VLOOKUP(EDATE(B331,-12),Database!$F:$AY,MATCH($I$1,Database!$F$1:$AY$1,),))))</f>
        <v/>
      </c>
      <c r="J331" s="13">
        <f>((((VLOOKUP(B331,Database!$F:$AY,MATCH($J$1,Database!$F$1:$AY$1,),))))-(((VLOOKUP(EDATE(B331,-12),Database!$F:$AY,MATCH($J$1,Database!$F$1:$AY$1,),)))))/(((VLOOKUP(EDATE(B331,-12),Database!$F:$AY,MATCH($J$1,Database!$F$1:$AY$1,),))))</f>
        <v/>
      </c>
      <c r="K331" s="13">
        <f>((((VLOOKUP(B331,Database!$F:$AY,MATCH($K$1,Database!$F$1:$AY$1,),))))-(((VLOOKUP(EDATE(B331,-12),Database!$F:$AY,MATCH($K$1,Database!$F$1:$AY$1,),)))))/(((VLOOKUP(EDATE(B331,-12),Database!$F:$AY,MATCH($K$1,Database!$F$1:$AY$1,),))))</f>
        <v/>
      </c>
      <c r="L331" s="13">
        <f>((((VLOOKUP(B331,Database!$F:$AY,MATCH($L$1,Database!$F$1:$AY$1,),))))-(((VLOOKUP(EDATE(B331,-12),Database!$F:$AY,MATCH($L$1,Database!$F$1:$AY$1,),)))))/(((VLOOKUP(EDATE(B331,-12),Database!$F:$AY,MATCH($L$1,Database!$F$1:$AY$1,),))))</f>
        <v/>
      </c>
      <c r="M331" s="13">
        <f>((((VLOOKUP(B331,Database!$F:$AY,MATCH($M$1,Database!$F$1:$AY$1,),))))-(((VLOOKUP(EDATE(B331,-12),Database!$F:$AY,MATCH($M$1,Database!$F$1:$AY$1,),)))))/(((VLOOKUP(EDATE(B331,-12),Database!$F:$AY,MATCH($M$1,Database!$F$1:$AY$1,),))))</f>
        <v/>
      </c>
      <c r="N331" s="13">
        <f>((((VLOOKUP(B331,Database!$F:$AY,MATCH($N$1,Database!$F$1:$AY$1,),))))-(((VLOOKUP(EDATE(B331,-12),Database!$F:$AY,MATCH($N$1,Database!$F$1:$AY$1,),)))))/(((VLOOKUP(EDATE(B331,-12),Database!$F:$AY,MATCH($N$1,Database!$F$1:$AY$1,),))))</f>
        <v/>
      </c>
      <c r="O331" s="13">
        <f>((((VLOOKUP(B331,Database!$F:$AY,MATCH($O$1,Database!$F$1:$AY$1,),))))-(((VLOOKUP(EDATE(B331,-12),Database!$F:$AY,MATCH($O$1,Database!$F$1:$AY$1,),)))))/(((VLOOKUP(EDATE(B331,-12),Database!$F:$AY,MATCH($O$1,Database!$F$1:$AY$1,),))))</f>
        <v/>
      </c>
      <c r="P331" s="13">
        <f>((((VLOOKUP(B331,Database!$F:$AY,MATCH($P$1,Database!$F$1:$AY$1,),))))-(((VLOOKUP(EDATE(B331,-12),Database!$F:$AY,MATCH($P$1,Database!$F$1:$AY$1,),)))))/(((VLOOKUP(EDATE(B331,-12),Database!$F:$AY,MATCH($P$1,Database!$F$1:$AY$1,),))))</f>
        <v/>
      </c>
      <c r="Q331" s="13">
        <f>((((VLOOKUP(B331,Database!$F:$AY,MATCH($Q$1,Database!$F$1:$AY$1,),))))-(((VLOOKUP(EDATE(B331,-12),Database!$F:$AY,MATCH($Q$1,Database!$F$1:$AY$1,),)))))/(((VLOOKUP(EDATE(B331,-12),Database!$F:$AY,MATCH($Q$1,Database!$F$1:$AY$1,),))))</f>
        <v/>
      </c>
      <c r="R331" s="13">
        <f>((((VLOOKUP(B331,Database!$F:$AY,MATCH($R$1,Database!$F$1:$AY$1,),))))-(((VLOOKUP(EDATE(B331,-12),Database!$F:$AY,MATCH($R$1,Database!$F$1:$AY$1,),)))))/(((VLOOKUP(EDATE(B331,-12),Database!$F:$AY,MATCH($R$1,Database!$F$1:$AY$1,),))))</f>
        <v/>
      </c>
      <c r="S331" s="13">
        <f>((((VLOOKUP(B331,Database!$F:$AY,MATCH($S$1,Database!$F$1:$AY$1,),))))-(((VLOOKUP(EDATE(B331,-12),Database!$F:$AY,MATCH($S$1,Database!$F$1:$AY$1,),)))))/(((VLOOKUP(EDATE(B331,-12),Database!$F:$AY,MATCH($S$1,Database!$F$1:$AY$1,),))))</f>
        <v/>
      </c>
      <c r="T331" s="13">
        <f>((((VLOOKUP(B331,Database!$F:$AY,MATCH($T$1,Database!$F$1:$AY$1,),))))-(((VLOOKUP(EDATE(B331,-12),Database!$F:$AY,MATCH($T$1,Database!$F$1:$AY$1,),)))))/(((VLOOKUP(EDATE(B331,-12),Database!$F:$AY,MATCH($T$1,Database!$F$1:$AY$1,),))))</f>
        <v/>
      </c>
      <c r="U331" s="13">
        <f>((((VLOOKUP(B331,Database!$F:$AY,MATCH($U$1,Database!$F$1:$AY$1,),))))-(((VLOOKUP(EDATE(B331,-12),Database!$F:$AY,MATCH($U$1,Database!$F$1:$AY$1,),)))))/(((VLOOKUP(EDATE(B331,-12),Database!$F:$AY,MATCH($U$1,Database!$F$1:$AY$1,),))))</f>
        <v/>
      </c>
      <c r="V331" s="13">
        <f>((((VLOOKUP(B331,Database!$F:$AY,MATCH($V$1,Database!$F$1:$AY$1,),))))-(((VLOOKUP(EDATE(B331,-12),Database!$F:$AY,MATCH($V$1,Database!$F$1:$AY$1,),)))))/(((VLOOKUP(EDATE(B331,-12),Database!$F:$AY,MATCH($V$1,Database!$F$1:$AY$1,),))))</f>
        <v/>
      </c>
    </row>
    <row r="332" customFormat="1" s="100">
      <c r="A332" s="45" t="n"/>
      <c r="B332" s="46" t="n">
        <v>42248</v>
      </c>
      <c r="C332" s="13">
        <f>((((VLOOKUP(B332,Database!$F:$AY,MATCH($C$1,Database!$F$1:$AY$1,),))))-(((VLOOKUP(EDATE(B332,-12),Database!$F:$AY,MATCH($C$1,Database!$F$1:$AY$1,),)))))/(((VLOOKUP(EDATE(B332,-12),Database!$F:$AY,MATCH($C$1,Database!$F$1:$AY$1,),))))</f>
        <v/>
      </c>
      <c r="D332" s="13">
        <f>((((VLOOKUP(B332,Database!$F:$AY,MATCH($D$1,Database!$F$1:$AY$1,),))))-(((VLOOKUP(EDATE(B332,-12),Database!$F:$AY,MATCH($D$1,Database!$F$1:$AY$1,),)))))/(((VLOOKUP(EDATE(B332,-12),Database!$F:$AY,MATCH($D$1,Database!$F$1:$AY$1,),))))</f>
        <v/>
      </c>
      <c r="E332" s="13">
        <f>((((VLOOKUP(B332,Database!$F:$AY,MATCH($E$1,Database!$F$1:$AY$1,),))))-(((VLOOKUP(EDATE(B332,-12),Database!$F:$AY,MATCH($E$1,Database!$F$1:$AY$1,),)))))/(((VLOOKUP(EDATE(B332,-12),Database!$F:$AY,MATCH($E$1,Database!$F$1:$AY$1,),))))</f>
        <v/>
      </c>
      <c r="F332" s="13">
        <f>((((VLOOKUP(B332,Database!$F:$AY,MATCH($F$1,Database!$F$1:$AY$1,),))))-(((VLOOKUP(EDATE(B332,-12),Database!$F:$AY,MATCH($F$1,Database!$F$1:$AY$1,),)))))/(((VLOOKUP(EDATE(B332,-12),Database!$F:$AY,MATCH($F$1,Database!$F$1:$AY$1,),))))</f>
        <v/>
      </c>
      <c r="G332" s="13">
        <f>((((VLOOKUP(B332,Database!$F:$AY,MATCH($G$1,Database!$F$1:$AY$1,),))))-(((VLOOKUP(EDATE(B332,-12),Database!$F:$AY,MATCH($G$1,Database!$F$1:$AY$1,),)))))/(((VLOOKUP(EDATE(B332,-12),Database!$F:$AY,MATCH($G$1,Database!$F$1:$AY$1,),))))</f>
        <v/>
      </c>
      <c r="H332" s="13">
        <f>((((VLOOKUP(B332,Database!$F:$AY,MATCH($H$1,Database!$F$1:$AY$1,),))))-(((VLOOKUP(EDATE(B332,-12),Database!$F:$AY,MATCH($H$1,Database!$F$1:$AY$1,),)))))/(((VLOOKUP(EDATE(B332,-12),Database!$F:$AY,MATCH($H$1,Database!$F$1:$AY$1,),))))</f>
        <v/>
      </c>
      <c r="I332" s="13">
        <f>((((VLOOKUP(B332,Database!$F:$AY,MATCH($I$1,Database!$F$1:$AY$1,),))))-(((VLOOKUP(EDATE(B332,-12),Database!$F:$AY,MATCH($I$1,Database!$F$1:$AY$1,),)))))/(((VLOOKUP(EDATE(B332,-12),Database!$F:$AY,MATCH($I$1,Database!$F$1:$AY$1,),))))</f>
        <v/>
      </c>
      <c r="J332" s="13">
        <f>((((VLOOKUP(B332,Database!$F:$AY,MATCH($J$1,Database!$F$1:$AY$1,),))))-(((VLOOKUP(EDATE(B332,-12),Database!$F:$AY,MATCH($J$1,Database!$F$1:$AY$1,),)))))/(((VLOOKUP(EDATE(B332,-12),Database!$F:$AY,MATCH($J$1,Database!$F$1:$AY$1,),))))</f>
        <v/>
      </c>
      <c r="K332" s="13">
        <f>((((VLOOKUP(B332,Database!$F:$AY,MATCH($K$1,Database!$F$1:$AY$1,),))))-(((VLOOKUP(EDATE(B332,-12),Database!$F:$AY,MATCH($K$1,Database!$F$1:$AY$1,),)))))/(((VLOOKUP(EDATE(B332,-12),Database!$F:$AY,MATCH($K$1,Database!$F$1:$AY$1,),))))</f>
        <v/>
      </c>
      <c r="L332" s="13">
        <f>((((VLOOKUP(B332,Database!$F:$AY,MATCH($L$1,Database!$F$1:$AY$1,),))))-(((VLOOKUP(EDATE(B332,-12),Database!$F:$AY,MATCH($L$1,Database!$F$1:$AY$1,),)))))/(((VLOOKUP(EDATE(B332,-12),Database!$F:$AY,MATCH($L$1,Database!$F$1:$AY$1,),))))</f>
        <v/>
      </c>
      <c r="M332" s="13">
        <f>((((VLOOKUP(B332,Database!$F:$AY,MATCH($M$1,Database!$F$1:$AY$1,),))))-(((VLOOKUP(EDATE(B332,-12),Database!$F:$AY,MATCH($M$1,Database!$F$1:$AY$1,),)))))/(((VLOOKUP(EDATE(B332,-12),Database!$F:$AY,MATCH($M$1,Database!$F$1:$AY$1,),))))</f>
        <v/>
      </c>
      <c r="N332" s="13">
        <f>((((VLOOKUP(B332,Database!$F:$AY,MATCH($N$1,Database!$F$1:$AY$1,),))))-(((VLOOKUP(EDATE(B332,-12),Database!$F:$AY,MATCH($N$1,Database!$F$1:$AY$1,),)))))/(((VLOOKUP(EDATE(B332,-12),Database!$F:$AY,MATCH($N$1,Database!$F$1:$AY$1,),))))</f>
        <v/>
      </c>
      <c r="O332" s="13">
        <f>((((VLOOKUP(B332,Database!$F:$AY,MATCH($O$1,Database!$F$1:$AY$1,),))))-(((VLOOKUP(EDATE(B332,-12),Database!$F:$AY,MATCH($O$1,Database!$F$1:$AY$1,),)))))/(((VLOOKUP(EDATE(B332,-12),Database!$F:$AY,MATCH($O$1,Database!$F$1:$AY$1,),))))</f>
        <v/>
      </c>
      <c r="P332" s="13">
        <f>((((VLOOKUP(B332,Database!$F:$AY,MATCH($P$1,Database!$F$1:$AY$1,),))))-(((VLOOKUP(EDATE(B332,-12),Database!$F:$AY,MATCH($P$1,Database!$F$1:$AY$1,),)))))/(((VLOOKUP(EDATE(B332,-12),Database!$F:$AY,MATCH($P$1,Database!$F$1:$AY$1,),))))</f>
        <v/>
      </c>
      <c r="Q332" s="13">
        <f>((((VLOOKUP(B332,Database!$F:$AY,MATCH($Q$1,Database!$F$1:$AY$1,),))))-(((VLOOKUP(EDATE(B332,-12),Database!$F:$AY,MATCH($Q$1,Database!$F$1:$AY$1,),)))))/(((VLOOKUP(EDATE(B332,-12),Database!$F:$AY,MATCH($Q$1,Database!$F$1:$AY$1,),))))</f>
        <v/>
      </c>
      <c r="R332" s="13">
        <f>((((VLOOKUP(B332,Database!$F:$AY,MATCH($R$1,Database!$F$1:$AY$1,),))))-(((VLOOKUP(EDATE(B332,-12),Database!$F:$AY,MATCH($R$1,Database!$F$1:$AY$1,),)))))/(((VLOOKUP(EDATE(B332,-12),Database!$F:$AY,MATCH($R$1,Database!$F$1:$AY$1,),))))</f>
        <v/>
      </c>
      <c r="S332" s="13">
        <f>((((VLOOKUP(B332,Database!$F:$AY,MATCH($S$1,Database!$F$1:$AY$1,),))))-(((VLOOKUP(EDATE(B332,-12),Database!$F:$AY,MATCH($S$1,Database!$F$1:$AY$1,),)))))/(((VLOOKUP(EDATE(B332,-12),Database!$F:$AY,MATCH($S$1,Database!$F$1:$AY$1,),))))</f>
        <v/>
      </c>
      <c r="T332" s="13">
        <f>((((VLOOKUP(B332,Database!$F:$AY,MATCH($T$1,Database!$F$1:$AY$1,),))))-(((VLOOKUP(EDATE(B332,-12),Database!$F:$AY,MATCH($T$1,Database!$F$1:$AY$1,),)))))/(((VLOOKUP(EDATE(B332,-12),Database!$F:$AY,MATCH($T$1,Database!$F$1:$AY$1,),))))</f>
        <v/>
      </c>
      <c r="U332" s="13">
        <f>((((VLOOKUP(B332,Database!$F:$AY,MATCH($U$1,Database!$F$1:$AY$1,),))))-(((VLOOKUP(EDATE(B332,-12),Database!$F:$AY,MATCH($U$1,Database!$F$1:$AY$1,),)))))/(((VLOOKUP(EDATE(B332,-12),Database!$F:$AY,MATCH($U$1,Database!$F$1:$AY$1,),))))</f>
        <v/>
      </c>
      <c r="V332" s="13">
        <f>((((VLOOKUP(B332,Database!$F:$AY,MATCH($V$1,Database!$F$1:$AY$1,),))))-(((VLOOKUP(EDATE(B332,-12),Database!$F:$AY,MATCH($V$1,Database!$F$1:$AY$1,),)))))/(((VLOOKUP(EDATE(B332,-12),Database!$F:$AY,MATCH($V$1,Database!$F$1:$AY$1,),))))</f>
        <v/>
      </c>
    </row>
    <row r="333" customFormat="1" s="100">
      <c r="A333" s="45" t="n"/>
      <c r="B333" s="46" t="n">
        <v>42278</v>
      </c>
      <c r="C333" s="13">
        <f>((((VLOOKUP(B333,Database!$F:$AY,MATCH($C$1,Database!$F$1:$AY$1,),))))-(((VLOOKUP(EDATE(B333,-12),Database!$F:$AY,MATCH($C$1,Database!$F$1:$AY$1,),)))))/(((VLOOKUP(EDATE(B333,-12),Database!$F:$AY,MATCH($C$1,Database!$F$1:$AY$1,),))))</f>
        <v/>
      </c>
      <c r="D333" s="13">
        <f>((((VLOOKUP(B333,Database!$F:$AY,MATCH($D$1,Database!$F$1:$AY$1,),))))-(((VLOOKUP(EDATE(B333,-12),Database!$F:$AY,MATCH($D$1,Database!$F$1:$AY$1,),)))))/(((VLOOKUP(EDATE(B333,-12),Database!$F:$AY,MATCH($D$1,Database!$F$1:$AY$1,),))))</f>
        <v/>
      </c>
      <c r="E333" s="13">
        <f>((((VLOOKUP(B333,Database!$F:$AY,MATCH($E$1,Database!$F$1:$AY$1,),))))-(((VLOOKUP(EDATE(B333,-12),Database!$F:$AY,MATCH($E$1,Database!$F$1:$AY$1,),)))))/(((VLOOKUP(EDATE(B333,-12),Database!$F:$AY,MATCH($E$1,Database!$F$1:$AY$1,),))))</f>
        <v/>
      </c>
      <c r="F333" s="13">
        <f>((((VLOOKUP(B333,Database!$F:$AY,MATCH($F$1,Database!$F$1:$AY$1,),))))-(((VLOOKUP(EDATE(B333,-12),Database!$F:$AY,MATCH($F$1,Database!$F$1:$AY$1,),)))))/(((VLOOKUP(EDATE(B333,-12),Database!$F:$AY,MATCH($F$1,Database!$F$1:$AY$1,),))))</f>
        <v/>
      </c>
      <c r="G333" s="13">
        <f>((((VLOOKUP(B333,Database!$F:$AY,MATCH($G$1,Database!$F$1:$AY$1,),))))-(((VLOOKUP(EDATE(B333,-12),Database!$F:$AY,MATCH($G$1,Database!$F$1:$AY$1,),)))))/(((VLOOKUP(EDATE(B333,-12),Database!$F:$AY,MATCH($G$1,Database!$F$1:$AY$1,),))))</f>
        <v/>
      </c>
      <c r="H333" s="13">
        <f>((((VLOOKUP(B333,Database!$F:$AY,MATCH($H$1,Database!$F$1:$AY$1,),))))-(((VLOOKUP(EDATE(B333,-12),Database!$F:$AY,MATCH($H$1,Database!$F$1:$AY$1,),)))))/(((VLOOKUP(EDATE(B333,-12),Database!$F:$AY,MATCH($H$1,Database!$F$1:$AY$1,),))))</f>
        <v/>
      </c>
      <c r="I333" s="13">
        <f>((((VLOOKUP(B333,Database!$F:$AY,MATCH($I$1,Database!$F$1:$AY$1,),))))-(((VLOOKUP(EDATE(B333,-12),Database!$F:$AY,MATCH($I$1,Database!$F$1:$AY$1,),)))))/(((VLOOKUP(EDATE(B333,-12),Database!$F:$AY,MATCH($I$1,Database!$F$1:$AY$1,),))))</f>
        <v/>
      </c>
      <c r="J333" s="13">
        <f>((((VLOOKUP(B333,Database!$F:$AY,MATCH($J$1,Database!$F$1:$AY$1,),))))-(((VLOOKUP(EDATE(B333,-12),Database!$F:$AY,MATCH($J$1,Database!$F$1:$AY$1,),)))))/(((VLOOKUP(EDATE(B333,-12),Database!$F:$AY,MATCH($J$1,Database!$F$1:$AY$1,),))))</f>
        <v/>
      </c>
      <c r="K333" s="13">
        <f>((((VLOOKUP(B333,Database!$F:$AY,MATCH($K$1,Database!$F$1:$AY$1,),))))-(((VLOOKUP(EDATE(B333,-12),Database!$F:$AY,MATCH($K$1,Database!$F$1:$AY$1,),)))))/(((VLOOKUP(EDATE(B333,-12),Database!$F:$AY,MATCH($K$1,Database!$F$1:$AY$1,),))))</f>
        <v/>
      </c>
      <c r="L333" s="13">
        <f>((((VLOOKUP(B333,Database!$F:$AY,MATCH($L$1,Database!$F$1:$AY$1,),))))-(((VLOOKUP(EDATE(B333,-12),Database!$F:$AY,MATCH($L$1,Database!$F$1:$AY$1,),)))))/(((VLOOKUP(EDATE(B333,-12),Database!$F:$AY,MATCH($L$1,Database!$F$1:$AY$1,),))))</f>
        <v/>
      </c>
      <c r="M333" s="13">
        <f>((((VLOOKUP(B333,Database!$F:$AY,MATCH($M$1,Database!$F$1:$AY$1,),))))-(((VLOOKUP(EDATE(B333,-12),Database!$F:$AY,MATCH($M$1,Database!$F$1:$AY$1,),)))))/(((VLOOKUP(EDATE(B333,-12),Database!$F:$AY,MATCH($M$1,Database!$F$1:$AY$1,),))))</f>
        <v/>
      </c>
      <c r="N333" s="13">
        <f>((((VLOOKUP(B333,Database!$F:$AY,MATCH($N$1,Database!$F$1:$AY$1,),))))-(((VLOOKUP(EDATE(B333,-12),Database!$F:$AY,MATCH($N$1,Database!$F$1:$AY$1,),)))))/(((VLOOKUP(EDATE(B333,-12),Database!$F:$AY,MATCH($N$1,Database!$F$1:$AY$1,),))))</f>
        <v/>
      </c>
      <c r="O333" s="13">
        <f>((((VLOOKUP(B333,Database!$F:$AY,MATCH($O$1,Database!$F$1:$AY$1,),))))-(((VLOOKUP(EDATE(B333,-12),Database!$F:$AY,MATCH($O$1,Database!$F$1:$AY$1,),)))))/(((VLOOKUP(EDATE(B333,-12),Database!$F:$AY,MATCH($O$1,Database!$F$1:$AY$1,),))))</f>
        <v/>
      </c>
      <c r="P333" s="13">
        <f>((((VLOOKUP(B333,Database!$F:$AY,MATCH($P$1,Database!$F$1:$AY$1,),))))-(((VLOOKUP(EDATE(B333,-12),Database!$F:$AY,MATCH($P$1,Database!$F$1:$AY$1,),)))))/(((VLOOKUP(EDATE(B333,-12),Database!$F:$AY,MATCH($P$1,Database!$F$1:$AY$1,),))))</f>
        <v/>
      </c>
      <c r="Q333" s="13">
        <f>((((VLOOKUP(B333,Database!$F:$AY,MATCH($Q$1,Database!$F$1:$AY$1,),))))-(((VLOOKUP(EDATE(B333,-12),Database!$F:$AY,MATCH($Q$1,Database!$F$1:$AY$1,),)))))/(((VLOOKUP(EDATE(B333,-12),Database!$F:$AY,MATCH($Q$1,Database!$F$1:$AY$1,),))))</f>
        <v/>
      </c>
      <c r="R333" s="13">
        <f>((((VLOOKUP(B333,Database!$F:$AY,MATCH($R$1,Database!$F$1:$AY$1,),))))-(((VLOOKUP(EDATE(B333,-12),Database!$F:$AY,MATCH($R$1,Database!$F$1:$AY$1,),)))))/(((VLOOKUP(EDATE(B333,-12),Database!$F:$AY,MATCH($R$1,Database!$F$1:$AY$1,),))))</f>
        <v/>
      </c>
      <c r="S333" s="13">
        <f>((((VLOOKUP(B333,Database!$F:$AY,MATCH($S$1,Database!$F$1:$AY$1,),))))-(((VLOOKUP(EDATE(B333,-12),Database!$F:$AY,MATCH($S$1,Database!$F$1:$AY$1,),)))))/(((VLOOKUP(EDATE(B333,-12),Database!$F:$AY,MATCH($S$1,Database!$F$1:$AY$1,),))))</f>
        <v/>
      </c>
      <c r="T333" s="13">
        <f>((((VLOOKUP(B333,Database!$F:$AY,MATCH($T$1,Database!$F$1:$AY$1,),))))-(((VLOOKUP(EDATE(B333,-12),Database!$F:$AY,MATCH($T$1,Database!$F$1:$AY$1,),)))))/(((VLOOKUP(EDATE(B333,-12),Database!$F:$AY,MATCH($T$1,Database!$F$1:$AY$1,),))))</f>
        <v/>
      </c>
      <c r="U333" s="13">
        <f>((((VLOOKUP(B333,Database!$F:$AY,MATCH($U$1,Database!$F$1:$AY$1,),))))-(((VLOOKUP(EDATE(B333,-12),Database!$F:$AY,MATCH($U$1,Database!$F$1:$AY$1,),)))))/(((VLOOKUP(EDATE(B333,-12),Database!$F:$AY,MATCH($U$1,Database!$F$1:$AY$1,),))))</f>
        <v/>
      </c>
      <c r="V333" s="13">
        <f>((((VLOOKUP(B333,Database!$F:$AY,MATCH($V$1,Database!$F$1:$AY$1,),))))-(((VLOOKUP(EDATE(B333,-12),Database!$F:$AY,MATCH($V$1,Database!$F$1:$AY$1,),)))))/(((VLOOKUP(EDATE(B333,-12),Database!$F:$AY,MATCH($V$1,Database!$F$1:$AY$1,),))))</f>
        <v/>
      </c>
    </row>
    <row r="334" customFormat="1" s="100">
      <c r="A334" s="45" t="n"/>
      <c r="B334" s="46" t="n">
        <v>42309</v>
      </c>
      <c r="C334" s="13">
        <f>((((VLOOKUP(B334,Database!$F:$AY,MATCH($C$1,Database!$F$1:$AY$1,),))))-(((VLOOKUP(EDATE(B334,-12),Database!$F:$AY,MATCH($C$1,Database!$F$1:$AY$1,),)))))/(((VLOOKUP(EDATE(B334,-12),Database!$F:$AY,MATCH($C$1,Database!$F$1:$AY$1,),))))</f>
        <v/>
      </c>
      <c r="D334" s="13">
        <f>((((VLOOKUP(B334,Database!$F:$AY,MATCH($D$1,Database!$F$1:$AY$1,),))))-(((VLOOKUP(EDATE(B334,-12),Database!$F:$AY,MATCH($D$1,Database!$F$1:$AY$1,),)))))/(((VLOOKUP(EDATE(B334,-12),Database!$F:$AY,MATCH($D$1,Database!$F$1:$AY$1,),))))</f>
        <v/>
      </c>
      <c r="E334" s="13">
        <f>((((VLOOKUP(B334,Database!$F:$AY,MATCH($E$1,Database!$F$1:$AY$1,),))))-(((VLOOKUP(EDATE(B334,-12),Database!$F:$AY,MATCH($E$1,Database!$F$1:$AY$1,),)))))/(((VLOOKUP(EDATE(B334,-12),Database!$F:$AY,MATCH($E$1,Database!$F$1:$AY$1,),))))</f>
        <v/>
      </c>
      <c r="F334" s="13">
        <f>((((VLOOKUP(B334,Database!$F:$AY,MATCH($F$1,Database!$F$1:$AY$1,),))))-(((VLOOKUP(EDATE(B334,-12),Database!$F:$AY,MATCH($F$1,Database!$F$1:$AY$1,),)))))/(((VLOOKUP(EDATE(B334,-12),Database!$F:$AY,MATCH($F$1,Database!$F$1:$AY$1,),))))</f>
        <v/>
      </c>
      <c r="G334" s="13">
        <f>((((VLOOKUP(B334,Database!$F:$AY,MATCH($G$1,Database!$F$1:$AY$1,),))))-(((VLOOKUP(EDATE(B334,-12),Database!$F:$AY,MATCH($G$1,Database!$F$1:$AY$1,),)))))/(((VLOOKUP(EDATE(B334,-12),Database!$F:$AY,MATCH($G$1,Database!$F$1:$AY$1,),))))</f>
        <v/>
      </c>
      <c r="H334" s="13">
        <f>((((VLOOKUP(B334,Database!$F:$AY,MATCH($H$1,Database!$F$1:$AY$1,),))))-(((VLOOKUP(EDATE(B334,-12),Database!$F:$AY,MATCH($H$1,Database!$F$1:$AY$1,),)))))/(((VLOOKUP(EDATE(B334,-12),Database!$F:$AY,MATCH($H$1,Database!$F$1:$AY$1,),))))</f>
        <v/>
      </c>
      <c r="I334" s="13">
        <f>((((VLOOKUP(B334,Database!$F:$AY,MATCH($I$1,Database!$F$1:$AY$1,),))))-(((VLOOKUP(EDATE(B334,-12),Database!$F:$AY,MATCH($I$1,Database!$F$1:$AY$1,),)))))/(((VLOOKUP(EDATE(B334,-12),Database!$F:$AY,MATCH($I$1,Database!$F$1:$AY$1,),))))</f>
        <v/>
      </c>
      <c r="J334" s="13">
        <f>((((VLOOKUP(B334,Database!$F:$AY,MATCH($J$1,Database!$F$1:$AY$1,),))))-(((VLOOKUP(EDATE(B334,-12),Database!$F:$AY,MATCH($J$1,Database!$F$1:$AY$1,),)))))/(((VLOOKUP(EDATE(B334,-12),Database!$F:$AY,MATCH($J$1,Database!$F$1:$AY$1,),))))</f>
        <v/>
      </c>
      <c r="K334" s="13">
        <f>((((VLOOKUP(B334,Database!$F:$AY,MATCH($K$1,Database!$F$1:$AY$1,),))))-(((VLOOKUP(EDATE(B334,-12),Database!$F:$AY,MATCH($K$1,Database!$F$1:$AY$1,),)))))/(((VLOOKUP(EDATE(B334,-12),Database!$F:$AY,MATCH($K$1,Database!$F$1:$AY$1,),))))</f>
        <v/>
      </c>
      <c r="L334" s="13">
        <f>((((VLOOKUP(B334,Database!$F:$AY,MATCH($L$1,Database!$F$1:$AY$1,),))))-(((VLOOKUP(EDATE(B334,-12),Database!$F:$AY,MATCH($L$1,Database!$F$1:$AY$1,),)))))/(((VLOOKUP(EDATE(B334,-12),Database!$F:$AY,MATCH($L$1,Database!$F$1:$AY$1,),))))</f>
        <v/>
      </c>
      <c r="M334" s="13">
        <f>((((VLOOKUP(B334,Database!$F:$AY,MATCH($M$1,Database!$F$1:$AY$1,),))))-(((VLOOKUP(EDATE(B334,-12),Database!$F:$AY,MATCH($M$1,Database!$F$1:$AY$1,),)))))/(((VLOOKUP(EDATE(B334,-12),Database!$F:$AY,MATCH($M$1,Database!$F$1:$AY$1,),))))</f>
        <v/>
      </c>
      <c r="N334" s="13">
        <f>((((VLOOKUP(B334,Database!$F:$AY,MATCH($N$1,Database!$F$1:$AY$1,),))))-(((VLOOKUP(EDATE(B334,-12),Database!$F:$AY,MATCH($N$1,Database!$F$1:$AY$1,),)))))/(((VLOOKUP(EDATE(B334,-12),Database!$F:$AY,MATCH($N$1,Database!$F$1:$AY$1,),))))</f>
        <v/>
      </c>
      <c r="O334" s="13">
        <f>((((VLOOKUP(B334,Database!$F:$AY,MATCH($O$1,Database!$F$1:$AY$1,),))))-(((VLOOKUP(EDATE(B334,-12),Database!$F:$AY,MATCH($O$1,Database!$F$1:$AY$1,),)))))/(((VLOOKUP(EDATE(B334,-12),Database!$F:$AY,MATCH($O$1,Database!$F$1:$AY$1,),))))</f>
        <v/>
      </c>
      <c r="P334" s="13">
        <f>((((VLOOKUP(B334,Database!$F:$AY,MATCH($P$1,Database!$F$1:$AY$1,),))))-(((VLOOKUP(EDATE(B334,-12),Database!$F:$AY,MATCH($P$1,Database!$F$1:$AY$1,),)))))/(((VLOOKUP(EDATE(B334,-12),Database!$F:$AY,MATCH($P$1,Database!$F$1:$AY$1,),))))</f>
        <v/>
      </c>
      <c r="Q334" s="13">
        <f>((((VLOOKUP(B334,Database!$F:$AY,MATCH($Q$1,Database!$F$1:$AY$1,),))))-(((VLOOKUP(EDATE(B334,-12),Database!$F:$AY,MATCH($Q$1,Database!$F$1:$AY$1,),)))))/(((VLOOKUP(EDATE(B334,-12),Database!$F:$AY,MATCH($Q$1,Database!$F$1:$AY$1,),))))</f>
        <v/>
      </c>
      <c r="R334" s="13">
        <f>((((VLOOKUP(B334,Database!$F:$AY,MATCH($R$1,Database!$F$1:$AY$1,),))))-(((VLOOKUP(EDATE(B334,-12),Database!$F:$AY,MATCH($R$1,Database!$F$1:$AY$1,),)))))/(((VLOOKUP(EDATE(B334,-12),Database!$F:$AY,MATCH($R$1,Database!$F$1:$AY$1,),))))</f>
        <v/>
      </c>
      <c r="S334" s="13">
        <f>((((VLOOKUP(B334,Database!$F:$AY,MATCH($S$1,Database!$F$1:$AY$1,),))))-(((VLOOKUP(EDATE(B334,-12),Database!$F:$AY,MATCH($S$1,Database!$F$1:$AY$1,),)))))/(((VLOOKUP(EDATE(B334,-12),Database!$F:$AY,MATCH($S$1,Database!$F$1:$AY$1,),))))</f>
        <v/>
      </c>
      <c r="T334" s="13">
        <f>((((VLOOKUP(B334,Database!$F:$AY,MATCH($T$1,Database!$F$1:$AY$1,),))))-(((VLOOKUP(EDATE(B334,-12),Database!$F:$AY,MATCH($T$1,Database!$F$1:$AY$1,),)))))/(((VLOOKUP(EDATE(B334,-12),Database!$F:$AY,MATCH($T$1,Database!$F$1:$AY$1,),))))</f>
        <v/>
      </c>
      <c r="U334" s="13">
        <f>((((VLOOKUP(B334,Database!$F:$AY,MATCH($U$1,Database!$F$1:$AY$1,),))))-(((VLOOKUP(EDATE(B334,-12),Database!$F:$AY,MATCH($U$1,Database!$F$1:$AY$1,),)))))/(((VLOOKUP(EDATE(B334,-12),Database!$F:$AY,MATCH($U$1,Database!$F$1:$AY$1,),))))</f>
        <v/>
      </c>
      <c r="V334" s="13">
        <f>((((VLOOKUP(B334,Database!$F:$AY,MATCH($V$1,Database!$F$1:$AY$1,),))))-(((VLOOKUP(EDATE(B334,-12),Database!$F:$AY,MATCH($V$1,Database!$F$1:$AY$1,),)))))/(((VLOOKUP(EDATE(B334,-12),Database!$F:$AY,MATCH($V$1,Database!$F$1:$AY$1,),))))</f>
        <v/>
      </c>
    </row>
    <row r="335" customFormat="1" s="100">
      <c r="A335" s="45" t="n"/>
      <c r="B335" s="46" t="n">
        <v>42339</v>
      </c>
      <c r="C335" s="13">
        <f>((((VLOOKUP(B335,Database!$F:$AY,MATCH($C$1,Database!$F$1:$AY$1,),))))-(((VLOOKUP(EDATE(B335,-12),Database!$F:$AY,MATCH($C$1,Database!$F$1:$AY$1,),)))))/(((VLOOKUP(EDATE(B335,-12),Database!$F:$AY,MATCH($C$1,Database!$F$1:$AY$1,),))))</f>
        <v/>
      </c>
      <c r="D335" s="13">
        <f>((((VLOOKUP(B335,Database!$F:$AY,MATCH($D$1,Database!$F$1:$AY$1,),))))-(((VLOOKUP(EDATE(B335,-12),Database!$F:$AY,MATCH($D$1,Database!$F$1:$AY$1,),)))))/(((VLOOKUP(EDATE(B335,-12),Database!$F:$AY,MATCH($D$1,Database!$F$1:$AY$1,),))))</f>
        <v/>
      </c>
      <c r="E335" s="13">
        <f>((((VLOOKUP(B335,Database!$F:$AY,MATCH($E$1,Database!$F$1:$AY$1,),))))-(((VLOOKUP(EDATE(B335,-12),Database!$F:$AY,MATCH($E$1,Database!$F$1:$AY$1,),)))))/(((VLOOKUP(EDATE(B335,-12),Database!$F:$AY,MATCH($E$1,Database!$F$1:$AY$1,),))))</f>
        <v/>
      </c>
      <c r="F335" s="13">
        <f>((((VLOOKUP(B335,Database!$F:$AY,MATCH($F$1,Database!$F$1:$AY$1,),))))-(((VLOOKUP(EDATE(B335,-12),Database!$F:$AY,MATCH($F$1,Database!$F$1:$AY$1,),)))))/(((VLOOKUP(EDATE(B335,-12),Database!$F:$AY,MATCH($F$1,Database!$F$1:$AY$1,),))))</f>
        <v/>
      </c>
      <c r="G335" s="13">
        <f>((((VLOOKUP(B335,Database!$F:$AY,MATCH($G$1,Database!$F$1:$AY$1,),))))-(((VLOOKUP(EDATE(B335,-12),Database!$F:$AY,MATCH($G$1,Database!$F$1:$AY$1,),)))))/(((VLOOKUP(EDATE(B335,-12),Database!$F:$AY,MATCH($G$1,Database!$F$1:$AY$1,),))))</f>
        <v/>
      </c>
      <c r="H335" s="13">
        <f>((((VLOOKUP(B335,Database!$F:$AY,MATCH($H$1,Database!$F$1:$AY$1,),))))-(((VLOOKUP(EDATE(B335,-12),Database!$F:$AY,MATCH($H$1,Database!$F$1:$AY$1,),)))))/(((VLOOKUP(EDATE(B335,-12),Database!$F:$AY,MATCH($H$1,Database!$F$1:$AY$1,),))))</f>
        <v/>
      </c>
      <c r="I335" s="13">
        <f>((((VLOOKUP(B335,Database!$F:$AY,MATCH($I$1,Database!$F$1:$AY$1,),))))-(((VLOOKUP(EDATE(B335,-12),Database!$F:$AY,MATCH($I$1,Database!$F$1:$AY$1,),)))))/(((VLOOKUP(EDATE(B335,-12),Database!$F:$AY,MATCH($I$1,Database!$F$1:$AY$1,),))))</f>
        <v/>
      </c>
      <c r="J335" s="13">
        <f>((((VLOOKUP(B335,Database!$F:$AY,MATCH($J$1,Database!$F$1:$AY$1,),))))-(((VLOOKUP(EDATE(B335,-12),Database!$F:$AY,MATCH($J$1,Database!$F$1:$AY$1,),)))))/(((VLOOKUP(EDATE(B335,-12),Database!$F:$AY,MATCH($J$1,Database!$F$1:$AY$1,),))))</f>
        <v/>
      </c>
      <c r="K335" s="13">
        <f>((((VLOOKUP(B335,Database!$F:$AY,MATCH($K$1,Database!$F$1:$AY$1,),))))-(((VLOOKUP(EDATE(B335,-12),Database!$F:$AY,MATCH($K$1,Database!$F$1:$AY$1,),)))))/(((VLOOKUP(EDATE(B335,-12),Database!$F:$AY,MATCH($K$1,Database!$F$1:$AY$1,),))))</f>
        <v/>
      </c>
      <c r="L335" s="13">
        <f>((((VLOOKUP(B335,Database!$F:$AY,MATCH($L$1,Database!$F$1:$AY$1,),))))-(((VLOOKUP(EDATE(B335,-12),Database!$F:$AY,MATCH($L$1,Database!$F$1:$AY$1,),)))))/(((VLOOKUP(EDATE(B335,-12),Database!$F:$AY,MATCH($L$1,Database!$F$1:$AY$1,),))))</f>
        <v/>
      </c>
      <c r="M335" s="13">
        <f>((((VLOOKUP(B335,Database!$F:$AY,MATCH($M$1,Database!$F$1:$AY$1,),))))-(((VLOOKUP(EDATE(B335,-12),Database!$F:$AY,MATCH($M$1,Database!$F$1:$AY$1,),)))))/(((VLOOKUP(EDATE(B335,-12),Database!$F:$AY,MATCH($M$1,Database!$F$1:$AY$1,),))))</f>
        <v/>
      </c>
      <c r="N335" s="13">
        <f>((((VLOOKUP(B335,Database!$F:$AY,MATCH($N$1,Database!$F$1:$AY$1,),))))-(((VLOOKUP(EDATE(B335,-12),Database!$F:$AY,MATCH($N$1,Database!$F$1:$AY$1,),)))))/(((VLOOKUP(EDATE(B335,-12),Database!$F:$AY,MATCH($N$1,Database!$F$1:$AY$1,),))))</f>
        <v/>
      </c>
      <c r="O335" s="13">
        <f>((((VLOOKUP(B335,Database!$F:$AY,MATCH($O$1,Database!$F$1:$AY$1,),))))-(((VLOOKUP(EDATE(B335,-12),Database!$F:$AY,MATCH($O$1,Database!$F$1:$AY$1,),)))))/(((VLOOKUP(EDATE(B335,-12),Database!$F:$AY,MATCH($O$1,Database!$F$1:$AY$1,),))))</f>
        <v/>
      </c>
      <c r="P335" s="13">
        <f>((((VLOOKUP(B335,Database!$F:$AY,MATCH($P$1,Database!$F$1:$AY$1,),))))-(((VLOOKUP(EDATE(B335,-12),Database!$F:$AY,MATCH($P$1,Database!$F$1:$AY$1,),)))))/(((VLOOKUP(EDATE(B335,-12),Database!$F:$AY,MATCH($P$1,Database!$F$1:$AY$1,),))))</f>
        <v/>
      </c>
      <c r="Q335" s="13">
        <f>((((VLOOKUP(B335,Database!$F:$AY,MATCH($Q$1,Database!$F$1:$AY$1,),))))-(((VLOOKUP(EDATE(B335,-12),Database!$F:$AY,MATCH($Q$1,Database!$F$1:$AY$1,),)))))/(((VLOOKUP(EDATE(B335,-12),Database!$F:$AY,MATCH($Q$1,Database!$F$1:$AY$1,),))))</f>
        <v/>
      </c>
      <c r="R335" s="13">
        <f>((((VLOOKUP(B335,Database!$F:$AY,MATCH($R$1,Database!$F$1:$AY$1,),))))-(((VLOOKUP(EDATE(B335,-12),Database!$F:$AY,MATCH($R$1,Database!$F$1:$AY$1,),)))))/(((VLOOKUP(EDATE(B335,-12),Database!$F:$AY,MATCH($R$1,Database!$F$1:$AY$1,),))))</f>
        <v/>
      </c>
      <c r="S335" s="13">
        <f>((((VLOOKUP(B335,Database!$F:$AY,MATCH($S$1,Database!$F$1:$AY$1,),))))-(((VLOOKUP(EDATE(B335,-12),Database!$F:$AY,MATCH($S$1,Database!$F$1:$AY$1,),)))))/(((VLOOKUP(EDATE(B335,-12),Database!$F:$AY,MATCH($S$1,Database!$F$1:$AY$1,),))))</f>
        <v/>
      </c>
      <c r="T335" s="13">
        <f>((((VLOOKUP(B335,Database!$F:$AY,MATCH($T$1,Database!$F$1:$AY$1,),))))-(((VLOOKUP(EDATE(B335,-12),Database!$F:$AY,MATCH($T$1,Database!$F$1:$AY$1,),)))))/(((VLOOKUP(EDATE(B335,-12),Database!$F:$AY,MATCH($T$1,Database!$F$1:$AY$1,),))))</f>
        <v/>
      </c>
      <c r="U335" s="13">
        <f>((((VLOOKUP(B335,Database!$F:$AY,MATCH($U$1,Database!$F$1:$AY$1,),))))-(((VLOOKUP(EDATE(B335,-12),Database!$F:$AY,MATCH($U$1,Database!$F$1:$AY$1,),)))))/(((VLOOKUP(EDATE(B335,-12),Database!$F:$AY,MATCH($U$1,Database!$F$1:$AY$1,),))))</f>
        <v/>
      </c>
      <c r="V335" s="13">
        <f>((((VLOOKUP(B335,Database!$F:$AY,MATCH($V$1,Database!$F$1:$AY$1,),))))-(((VLOOKUP(EDATE(B335,-12),Database!$F:$AY,MATCH($V$1,Database!$F$1:$AY$1,),)))))/(((VLOOKUP(EDATE(B335,-12),Database!$F:$AY,MATCH($V$1,Database!$F$1:$AY$1,),))))</f>
        <v/>
      </c>
    </row>
    <row r="336" customFormat="1" s="100">
      <c r="A336" s="45" t="n"/>
      <c r="B336" s="46" t="n">
        <v>42370</v>
      </c>
      <c r="C336" s="13">
        <f>((((VLOOKUP(B336,Database!$F:$AY,MATCH($C$1,Database!$F$1:$AY$1,),))))-(((VLOOKUP(EDATE(B336,-12),Database!$F:$AY,MATCH($C$1,Database!$F$1:$AY$1,),)))))/(((VLOOKUP(EDATE(B336,-12),Database!$F:$AY,MATCH($C$1,Database!$F$1:$AY$1,),))))</f>
        <v/>
      </c>
      <c r="D336" s="13">
        <f>((((VLOOKUP(B336,Database!$F:$AY,MATCH($D$1,Database!$F$1:$AY$1,),))))-(((VLOOKUP(EDATE(B336,-12),Database!$F:$AY,MATCH($D$1,Database!$F$1:$AY$1,),)))))/(((VLOOKUP(EDATE(B336,-12),Database!$F:$AY,MATCH($D$1,Database!$F$1:$AY$1,),))))</f>
        <v/>
      </c>
      <c r="E336" s="13">
        <f>((((VLOOKUP(B336,Database!$F:$AY,MATCH($E$1,Database!$F$1:$AY$1,),))))-(((VLOOKUP(EDATE(B336,-12),Database!$F:$AY,MATCH($E$1,Database!$F$1:$AY$1,),)))))/(((VLOOKUP(EDATE(B336,-12),Database!$F:$AY,MATCH($E$1,Database!$F$1:$AY$1,),))))</f>
        <v/>
      </c>
      <c r="F336" s="13">
        <f>((((VLOOKUP(B336,Database!$F:$AY,MATCH($F$1,Database!$F$1:$AY$1,),))))-(((VLOOKUP(EDATE(B336,-12),Database!$F:$AY,MATCH($F$1,Database!$F$1:$AY$1,),)))))/(((VLOOKUP(EDATE(B336,-12),Database!$F:$AY,MATCH($F$1,Database!$F$1:$AY$1,),))))</f>
        <v/>
      </c>
      <c r="G336" s="13">
        <f>((((VLOOKUP(B336,Database!$F:$AY,MATCH($G$1,Database!$F$1:$AY$1,),))))-(((VLOOKUP(EDATE(B336,-12),Database!$F:$AY,MATCH($G$1,Database!$F$1:$AY$1,),)))))/(((VLOOKUP(EDATE(B336,-12),Database!$F:$AY,MATCH($G$1,Database!$F$1:$AY$1,),))))</f>
        <v/>
      </c>
      <c r="H336" s="13">
        <f>((((VLOOKUP(B336,Database!$F:$AY,MATCH($H$1,Database!$F$1:$AY$1,),))))-(((VLOOKUP(EDATE(B336,-12),Database!$F:$AY,MATCH($H$1,Database!$F$1:$AY$1,),)))))/(((VLOOKUP(EDATE(B336,-12),Database!$F:$AY,MATCH($H$1,Database!$F$1:$AY$1,),))))</f>
        <v/>
      </c>
      <c r="I336" s="13">
        <f>((((VLOOKUP(B336,Database!$F:$AY,MATCH($I$1,Database!$F$1:$AY$1,),))))-(((VLOOKUP(EDATE(B336,-12),Database!$F:$AY,MATCH($I$1,Database!$F$1:$AY$1,),)))))/(((VLOOKUP(EDATE(B336,-12),Database!$F:$AY,MATCH($I$1,Database!$F$1:$AY$1,),))))</f>
        <v/>
      </c>
      <c r="J336" s="13">
        <f>((((VLOOKUP(B336,Database!$F:$AY,MATCH($J$1,Database!$F$1:$AY$1,),))))-(((VLOOKUP(EDATE(B336,-12),Database!$F:$AY,MATCH($J$1,Database!$F$1:$AY$1,),)))))/(((VLOOKUP(EDATE(B336,-12),Database!$F:$AY,MATCH($J$1,Database!$F$1:$AY$1,),))))</f>
        <v/>
      </c>
      <c r="K336" s="13">
        <f>((((VLOOKUP(B336,Database!$F:$AY,MATCH($K$1,Database!$F$1:$AY$1,),))))-(((VLOOKUP(EDATE(B336,-12),Database!$F:$AY,MATCH($K$1,Database!$F$1:$AY$1,),)))))/(((VLOOKUP(EDATE(B336,-12),Database!$F:$AY,MATCH($K$1,Database!$F$1:$AY$1,),))))</f>
        <v/>
      </c>
      <c r="L336" s="13">
        <f>((((VLOOKUP(B336,Database!$F:$AY,MATCH($L$1,Database!$F$1:$AY$1,),))))-(((VLOOKUP(EDATE(B336,-12),Database!$F:$AY,MATCH($L$1,Database!$F$1:$AY$1,),)))))/(((VLOOKUP(EDATE(B336,-12),Database!$F:$AY,MATCH($L$1,Database!$F$1:$AY$1,),))))</f>
        <v/>
      </c>
      <c r="M336" s="13">
        <f>((((VLOOKUP(B336,Database!$F:$AY,MATCH($M$1,Database!$F$1:$AY$1,),))))-(((VLOOKUP(EDATE(B336,-12),Database!$F:$AY,MATCH($M$1,Database!$F$1:$AY$1,),)))))/(((VLOOKUP(EDATE(B336,-12),Database!$F:$AY,MATCH($M$1,Database!$F$1:$AY$1,),))))</f>
        <v/>
      </c>
      <c r="N336" s="13">
        <f>((((VLOOKUP(B336,Database!$F:$AY,MATCH($N$1,Database!$F$1:$AY$1,),))))-(((VLOOKUP(EDATE(B336,-12),Database!$F:$AY,MATCH($N$1,Database!$F$1:$AY$1,),)))))/(((VLOOKUP(EDATE(B336,-12),Database!$F:$AY,MATCH($N$1,Database!$F$1:$AY$1,),))))</f>
        <v/>
      </c>
      <c r="O336" s="13">
        <f>((((VLOOKUP(B336,Database!$F:$AY,MATCH($O$1,Database!$F$1:$AY$1,),))))-(((VLOOKUP(EDATE(B336,-12),Database!$F:$AY,MATCH($O$1,Database!$F$1:$AY$1,),)))))/(((VLOOKUP(EDATE(B336,-12),Database!$F:$AY,MATCH($O$1,Database!$F$1:$AY$1,),))))</f>
        <v/>
      </c>
      <c r="P336" s="13">
        <f>((((VLOOKUP(B336,Database!$F:$AY,MATCH($P$1,Database!$F$1:$AY$1,),))))-(((VLOOKUP(EDATE(B336,-12),Database!$F:$AY,MATCH($P$1,Database!$F$1:$AY$1,),)))))/(((VLOOKUP(EDATE(B336,-12),Database!$F:$AY,MATCH($P$1,Database!$F$1:$AY$1,),))))</f>
        <v/>
      </c>
      <c r="Q336" s="13">
        <f>((((VLOOKUP(B336,Database!$F:$AY,MATCH($Q$1,Database!$F$1:$AY$1,),))))-(((VLOOKUP(EDATE(B336,-12),Database!$F:$AY,MATCH($Q$1,Database!$F$1:$AY$1,),)))))/(((VLOOKUP(EDATE(B336,-12),Database!$F:$AY,MATCH($Q$1,Database!$F$1:$AY$1,),))))</f>
        <v/>
      </c>
      <c r="R336" s="13">
        <f>((((VLOOKUP(B336,Database!$F:$AY,MATCH($R$1,Database!$F$1:$AY$1,),))))-(((VLOOKUP(EDATE(B336,-12),Database!$F:$AY,MATCH($R$1,Database!$F$1:$AY$1,),)))))/(((VLOOKUP(EDATE(B336,-12),Database!$F:$AY,MATCH($R$1,Database!$F$1:$AY$1,),))))</f>
        <v/>
      </c>
      <c r="S336" s="13">
        <f>((((VLOOKUP(B336,Database!$F:$AY,MATCH($S$1,Database!$F$1:$AY$1,),))))-(((VLOOKUP(EDATE(B336,-12),Database!$F:$AY,MATCH($S$1,Database!$F$1:$AY$1,),)))))/(((VLOOKUP(EDATE(B336,-12),Database!$F:$AY,MATCH($S$1,Database!$F$1:$AY$1,),))))</f>
        <v/>
      </c>
      <c r="T336" s="13">
        <f>((((VLOOKUP(B336,Database!$F:$AY,MATCH($T$1,Database!$F$1:$AY$1,),))))-(((VLOOKUP(EDATE(B336,-12),Database!$F:$AY,MATCH($T$1,Database!$F$1:$AY$1,),)))))/(((VLOOKUP(EDATE(B336,-12),Database!$F:$AY,MATCH($T$1,Database!$F$1:$AY$1,),))))</f>
        <v/>
      </c>
      <c r="U336" s="13">
        <f>((((VLOOKUP(B336,Database!$F:$AY,MATCH($U$1,Database!$F$1:$AY$1,),))))-(((VLOOKUP(EDATE(B336,-12),Database!$F:$AY,MATCH($U$1,Database!$F$1:$AY$1,),)))))/(((VLOOKUP(EDATE(B336,-12),Database!$F:$AY,MATCH($U$1,Database!$F$1:$AY$1,),))))</f>
        <v/>
      </c>
      <c r="V336" s="13">
        <f>((((VLOOKUP(B336,Database!$F:$AY,MATCH($V$1,Database!$F$1:$AY$1,),))))-(((VLOOKUP(EDATE(B336,-12),Database!$F:$AY,MATCH($V$1,Database!$F$1:$AY$1,),)))))/(((VLOOKUP(EDATE(B336,-12),Database!$F:$AY,MATCH($V$1,Database!$F$1:$AY$1,),))))</f>
        <v/>
      </c>
    </row>
    <row r="337" customFormat="1" s="100">
      <c r="A337" s="45" t="n"/>
      <c r="B337" s="46" t="n">
        <v>42401</v>
      </c>
      <c r="C337" s="13">
        <f>((((VLOOKUP(B337,Database!$F:$AY,MATCH($C$1,Database!$F$1:$AY$1,),))))-(((VLOOKUP(EDATE(B337,-12),Database!$F:$AY,MATCH($C$1,Database!$F$1:$AY$1,),)))))/(((VLOOKUP(EDATE(B337,-12),Database!$F:$AY,MATCH($C$1,Database!$F$1:$AY$1,),))))</f>
        <v/>
      </c>
      <c r="D337" s="13">
        <f>((((VLOOKUP(B337,Database!$F:$AY,MATCH($D$1,Database!$F$1:$AY$1,),))))-(((VLOOKUP(EDATE(B337,-12),Database!$F:$AY,MATCH($D$1,Database!$F$1:$AY$1,),)))))/(((VLOOKUP(EDATE(B337,-12),Database!$F:$AY,MATCH($D$1,Database!$F$1:$AY$1,),))))</f>
        <v/>
      </c>
      <c r="E337" s="13">
        <f>((((VLOOKUP(B337,Database!$F:$AY,MATCH($E$1,Database!$F$1:$AY$1,),))))-(((VLOOKUP(EDATE(B337,-12),Database!$F:$AY,MATCH($E$1,Database!$F$1:$AY$1,),)))))/(((VLOOKUP(EDATE(B337,-12),Database!$F:$AY,MATCH($E$1,Database!$F$1:$AY$1,),))))</f>
        <v/>
      </c>
      <c r="F337" s="13">
        <f>((((VLOOKUP(B337,Database!$F:$AY,MATCH($F$1,Database!$F$1:$AY$1,),))))-(((VLOOKUP(EDATE(B337,-12),Database!$F:$AY,MATCH($F$1,Database!$F$1:$AY$1,),)))))/(((VLOOKUP(EDATE(B337,-12),Database!$F:$AY,MATCH($F$1,Database!$F$1:$AY$1,),))))</f>
        <v/>
      </c>
      <c r="G337" s="13">
        <f>((((VLOOKUP(B337,Database!$F:$AY,MATCH($G$1,Database!$F$1:$AY$1,),))))-(((VLOOKUP(EDATE(B337,-12),Database!$F:$AY,MATCH($G$1,Database!$F$1:$AY$1,),)))))/(((VLOOKUP(EDATE(B337,-12),Database!$F:$AY,MATCH($G$1,Database!$F$1:$AY$1,),))))</f>
        <v/>
      </c>
      <c r="H337" s="13">
        <f>((((VLOOKUP(B337,Database!$F:$AY,MATCH($H$1,Database!$F$1:$AY$1,),))))-(((VLOOKUP(EDATE(B337,-12),Database!$F:$AY,MATCH($H$1,Database!$F$1:$AY$1,),)))))/(((VLOOKUP(EDATE(B337,-12),Database!$F:$AY,MATCH($H$1,Database!$F$1:$AY$1,),))))</f>
        <v/>
      </c>
      <c r="I337" s="13">
        <f>((((VLOOKUP(B337,Database!$F:$AY,MATCH($I$1,Database!$F$1:$AY$1,),))))-(((VLOOKUP(EDATE(B337,-12),Database!$F:$AY,MATCH($I$1,Database!$F$1:$AY$1,),)))))/(((VLOOKUP(EDATE(B337,-12),Database!$F:$AY,MATCH($I$1,Database!$F$1:$AY$1,),))))</f>
        <v/>
      </c>
      <c r="J337" s="13">
        <f>((((VLOOKUP(B337,Database!$F:$AY,MATCH($J$1,Database!$F$1:$AY$1,),))))-(((VLOOKUP(EDATE(B337,-12),Database!$F:$AY,MATCH($J$1,Database!$F$1:$AY$1,),)))))/(((VLOOKUP(EDATE(B337,-12),Database!$F:$AY,MATCH($J$1,Database!$F$1:$AY$1,),))))</f>
        <v/>
      </c>
      <c r="K337" s="13">
        <f>((((VLOOKUP(B337,Database!$F:$AY,MATCH($K$1,Database!$F$1:$AY$1,),))))-(((VLOOKUP(EDATE(B337,-12),Database!$F:$AY,MATCH($K$1,Database!$F$1:$AY$1,),)))))/(((VLOOKUP(EDATE(B337,-12),Database!$F:$AY,MATCH($K$1,Database!$F$1:$AY$1,),))))</f>
        <v/>
      </c>
      <c r="L337" s="13">
        <f>((((VLOOKUP(B337,Database!$F:$AY,MATCH($L$1,Database!$F$1:$AY$1,),))))-(((VLOOKUP(EDATE(B337,-12),Database!$F:$AY,MATCH($L$1,Database!$F$1:$AY$1,),)))))/(((VLOOKUP(EDATE(B337,-12),Database!$F:$AY,MATCH($L$1,Database!$F$1:$AY$1,),))))</f>
        <v/>
      </c>
      <c r="M337" s="13">
        <f>((((VLOOKUP(B337,Database!$F:$AY,MATCH($M$1,Database!$F$1:$AY$1,),))))-(((VLOOKUP(EDATE(B337,-12),Database!$F:$AY,MATCH($M$1,Database!$F$1:$AY$1,),)))))/(((VLOOKUP(EDATE(B337,-12),Database!$F:$AY,MATCH($M$1,Database!$F$1:$AY$1,),))))</f>
        <v/>
      </c>
      <c r="N337" s="13">
        <f>((((VLOOKUP(B337,Database!$F:$AY,MATCH($N$1,Database!$F$1:$AY$1,),))))-(((VLOOKUP(EDATE(B337,-12),Database!$F:$AY,MATCH($N$1,Database!$F$1:$AY$1,),)))))/(((VLOOKUP(EDATE(B337,-12),Database!$F:$AY,MATCH($N$1,Database!$F$1:$AY$1,),))))</f>
        <v/>
      </c>
      <c r="O337" s="13">
        <f>((((VLOOKUP(B337,Database!$F:$AY,MATCH($O$1,Database!$F$1:$AY$1,),))))-(((VLOOKUP(EDATE(B337,-12),Database!$F:$AY,MATCH($O$1,Database!$F$1:$AY$1,),)))))/(((VLOOKUP(EDATE(B337,-12),Database!$F:$AY,MATCH($O$1,Database!$F$1:$AY$1,),))))</f>
        <v/>
      </c>
      <c r="P337" s="13">
        <f>((((VLOOKUP(B337,Database!$F:$AY,MATCH($P$1,Database!$F$1:$AY$1,),))))-(((VLOOKUP(EDATE(B337,-12),Database!$F:$AY,MATCH($P$1,Database!$F$1:$AY$1,),)))))/(((VLOOKUP(EDATE(B337,-12),Database!$F:$AY,MATCH($P$1,Database!$F$1:$AY$1,),))))</f>
        <v/>
      </c>
      <c r="Q337" s="13">
        <f>((((VLOOKUP(B337,Database!$F:$AY,MATCH($Q$1,Database!$F$1:$AY$1,),))))-(((VLOOKUP(EDATE(B337,-12),Database!$F:$AY,MATCH($Q$1,Database!$F$1:$AY$1,),)))))/(((VLOOKUP(EDATE(B337,-12),Database!$F:$AY,MATCH($Q$1,Database!$F$1:$AY$1,),))))</f>
        <v/>
      </c>
      <c r="R337" s="13">
        <f>((((VLOOKUP(B337,Database!$F:$AY,MATCH($R$1,Database!$F$1:$AY$1,),))))-(((VLOOKUP(EDATE(B337,-12),Database!$F:$AY,MATCH($R$1,Database!$F$1:$AY$1,),)))))/(((VLOOKUP(EDATE(B337,-12),Database!$F:$AY,MATCH($R$1,Database!$F$1:$AY$1,),))))</f>
        <v/>
      </c>
      <c r="S337" s="13">
        <f>((((VLOOKUP(B337,Database!$F:$AY,MATCH($S$1,Database!$F$1:$AY$1,),))))-(((VLOOKUP(EDATE(B337,-12),Database!$F:$AY,MATCH($S$1,Database!$F$1:$AY$1,),)))))/(((VLOOKUP(EDATE(B337,-12),Database!$F:$AY,MATCH($S$1,Database!$F$1:$AY$1,),))))</f>
        <v/>
      </c>
      <c r="T337" s="13">
        <f>((((VLOOKUP(B337,Database!$F:$AY,MATCH($T$1,Database!$F$1:$AY$1,),))))-(((VLOOKUP(EDATE(B337,-12),Database!$F:$AY,MATCH($T$1,Database!$F$1:$AY$1,),)))))/(((VLOOKUP(EDATE(B337,-12),Database!$F:$AY,MATCH($T$1,Database!$F$1:$AY$1,),))))</f>
        <v/>
      </c>
      <c r="U337" s="13">
        <f>((((VLOOKUP(B337,Database!$F:$AY,MATCH($U$1,Database!$F$1:$AY$1,),))))-(((VLOOKUP(EDATE(B337,-12),Database!$F:$AY,MATCH($U$1,Database!$F$1:$AY$1,),)))))/(((VLOOKUP(EDATE(B337,-12),Database!$F:$AY,MATCH($U$1,Database!$F$1:$AY$1,),))))</f>
        <v/>
      </c>
      <c r="V337" s="13">
        <f>((((VLOOKUP(B337,Database!$F:$AY,MATCH($V$1,Database!$F$1:$AY$1,),))))-(((VLOOKUP(EDATE(B337,-12),Database!$F:$AY,MATCH($V$1,Database!$F$1:$AY$1,),)))))/(((VLOOKUP(EDATE(B337,-12),Database!$F:$AY,MATCH($V$1,Database!$F$1:$AY$1,),))))</f>
        <v/>
      </c>
    </row>
    <row r="338" customFormat="1" s="100">
      <c r="A338" s="45" t="n"/>
      <c r="B338" s="46" t="n">
        <v>42430</v>
      </c>
      <c r="C338" s="13">
        <f>((((VLOOKUP(B338,Database!$F:$AY,MATCH($C$1,Database!$F$1:$AY$1,),))))-(((VLOOKUP(EDATE(B338,-12),Database!$F:$AY,MATCH($C$1,Database!$F$1:$AY$1,),)))))/(((VLOOKUP(EDATE(B338,-12),Database!$F:$AY,MATCH($C$1,Database!$F$1:$AY$1,),))))</f>
        <v/>
      </c>
      <c r="D338" s="13">
        <f>((((VLOOKUP(B338,Database!$F:$AY,MATCH($D$1,Database!$F$1:$AY$1,),))))-(((VLOOKUP(EDATE(B338,-12),Database!$F:$AY,MATCH($D$1,Database!$F$1:$AY$1,),)))))/(((VLOOKUP(EDATE(B338,-12),Database!$F:$AY,MATCH($D$1,Database!$F$1:$AY$1,),))))</f>
        <v/>
      </c>
      <c r="E338" s="13">
        <f>((((VLOOKUP(B338,Database!$F:$AY,MATCH($E$1,Database!$F$1:$AY$1,),))))-(((VLOOKUP(EDATE(B338,-12),Database!$F:$AY,MATCH($E$1,Database!$F$1:$AY$1,),)))))/(((VLOOKUP(EDATE(B338,-12),Database!$F:$AY,MATCH($E$1,Database!$F$1:$AY$1,),))))</f>
        <v/>
      </c>
      <c r="F338" s="13">
        <f>((((VLOOKUP(B338,Database!$F:$AY,MATCH($F$1,Database!$F$1:$AY$1,),))))-(((VLOOKUP(EDATE(B338,-12),Database!$F:$AY,MATCH($F$1,Database!$F$1:$AY$1,),)))))/(((VLOOKUP(EDATE(B338,-12),Database!$F:$AY,MATCH($F$1,Database!$F$1:$AY$1,),))))</f>
        <v/>
      </c>
      <c r="G338" s="13">
        <f>((((VLOOKUP(B338,Database!$F:$AY,MATCH($G$1,Database!$F$1:$AY$1,),))))-(((VLOOKUP(EDATE(B338,-12),Database!$F:$AY,MATCH($G$1,Database!$F$1:$AY$1,),)))))/(((VLOOKUP(EDATE(B338,-12),Database!$F:$AY,MATCH($G$1,Database!$F$1:$AY$1,),))))</f>
        <v/>
      </c>
      <c r="H338" s="13">
        <f>((((VLOOKUP(B338,Database!$F:$AY,MATCH($H$1,Database!$F$1:$AY$1,),))))-(((VLOOKUP(EDATE(B338,-12),Database!$F:$AY,MATCH($H$1,Database!$F$1:$AY$1,),)))))/(((VLOOKUP(EDATE(B338,-12),Database!$F:$AY,MATCH($H$1,Database!$F$1:$AY$1,),))))</f>
        <v/>
      </c>
      <c r="I338" s="13">
        <f>((((VLOOKUP(B338,Database!$F:$AY,MATCH($I$1,Database!$F$1:$AY$1,),))))-(((VLOOKUP(EDATE(B338,-12),Database!$F:$AY,MATCH($I$1,Database!$F$1:$AY$1,),)))))/(((VLOOKUP(EDATE(B338,-12),Database!$F:$AY,MATCH($I$1,Database!$F$1:$AY$1,),))))</f>
        <v/>
      </c>
      <c r="J338" s="13">
        <f>((((VLOOKUP(B338,Database!$F:$AY,MATCH($J$1,Database!$F$1:$AY$1,),))))-(((VLOOKUP(EDATE(B338,-12),Database!$F:$AY,MATCH($J$1,Database!$F$1:$AY$1,),)))))/(((VLOOKUP(EDATE(B338,-12),Database!$F:$AY,MATCH($J$1,Database!$F$1:$AY$1,),))))</f>
        <v/>
      </c>
      <c r="K338" s="13">
        <f>((((VLOOKUP(B338,Database!$F:$AY,MATCH($K$1,Database!$F$1:$AY$1,),))))-(((VLOOKUP(EDATE(B338,-12),Database!$F:$AY,MATCH($K$1,Database!$F$1:$AY$1,),)))))/(((VLOOKUP(EDATE(B338,-12),Database!$F:$AY,MATCH($K$1,Database!$F$1:$AY$1,),))))</f>
        <v/>
      </c>
      <c r="L338" s="13">
        <f>((((VLOOKUP(B338,Database!$F:$AY,MATCH($L$1,Database!$F$1:$AY$1,),))))-(((VLOOKUP(EDATE(B338,-12),Database!$F:$AY,MATCH($L$1,Database!$F$1:$AY$1,),)))))/(((VLOOKUP(EDATE(B338,-12),Database!$F:$AY,MATCH($L$1,Database!$F$1:$AY$1,),))))</f>
        <v/>
      </c>
      <c r="M338" s="13">
        <f>((((VLOOKUP(B338,Database!$F:$AY,MATCH($M$1,Database!$F$1:$AY$1,),))))-(((VLOOKUP(EDATE(B338,-12),Database!$F:$AY,MATCH($M$1,Database!$F$1:$AY$1,),)))))/(((VLOOKUP(EDATE(B338,-12),Database!$F:$AY,MATCH($M$1,Database!$F$1:$AY$1,),))))</f>
        <v/>
      </c>
      <c r="N338" s="13">
        <f>((((VLOOKUP(B338,Database!$F:$AY,MATCH($N$1,Database!$F$1:$AY$1,),))))-(((VLOOKUP(EDATE(B338,-12),Database!$F:$AY,MATCH($N$1,Database!$F$1:$AY$1,),)))))/(((VLOOKUP(EDATE(B338,-12),Database!$F:$AY,MATCH($N$1,Database!$F$1:$AY$1,),))))</f>
        <v/>
      </c>
      <c r="O338" s="13">
        <f>((((VLOOKUP(B338,Database!$F:$AY,MATCH($O$1,Database!$F$1:$AY$1,),))))-(((VLOOKUP(EDATE(B338,-12),Database!$F:$AY,MATCH($O$1,Database!$F$1:$AY$1,),)))))/(((VLOOKUP(EDATE(B338,-12),Database!$F:$AY,MATCH($O$1,Database!$F$1:$AY$1,),))))</f>
        <v/>
      </c>
      <c r="P338" s="13">
        <f>((((VLOOKUP(B338,Database!$F:$AY,MATCH($P$1,Database!$F$1:$AY$1,),))))-(((VLOOKUP(EDATE(B338,-12),Database!$F:$AY,MATCH($P$1,Database!$F$1:$AY$1,),)))))/(((VLOOKUP(EDATE(B338,-12),Database!$F:$AY,MATCH($P$1,Database!$F$1:$AY$1,),))))</f>
        <v/>
      </c>
      <c r="Q338" s="13">
        <f>((((VLOOKUP(B338,Database!$F:$AY,MATCH($Q$1,Database!$F$1:$AY$1,),))))-(((VLOOKUP(EDATE(B338,-12),Database!$F:$AY,MATCH($Q$1,Database!$F$1:$AY$1,),)))))/(((VLOOKUP(EDATE(B338,-12),Database!$F:$AY,MATCH($Q$1,Database!$F$1:$AY$1,),))))</f>
        <v/>
      </c>
      <c r="R338" s="13">
        <f>((((VLOOKUP(B338,Database!$F:$AY,MATCH($R$1,Database!$F$1:$AY$1,),))))-(((VLOOKUP(EDATE(B338,-12),Database!$F:$AY,MATCH($R$1,Database!$F$1:$AY$1,),)))))/(((VLOOKUP(EDATE(B338,-12),Database!$F:$AY,MATCH($R$1,Database!$F$1:$AY$1,),))))</f>
        <v/>
      </c>
      <c r="S338" s="13">
        <f>((((VLOOKUP(B338,Database!$F:$AY,MATCH($S$1,Database!$F$1:$AY$1,),))))-(((VLOOKUP(EDATE(B338,-12),Database!$F:$AY,MATCH($S$1,Database!$F$1:$AY$1,),)))))/(((VLOOKUP(EDATE(B338,-12),Database!$F:$AY,MATCH($S$1,Database!$F$1:$AY$1,),))))</f>
        <v/>
      </c>
      <c r="T338" s="13">
        <f>((((VLOOKUP(B338,Database!$F:$AY,MATCH($T$1,Database!$F$1:$AY$1,),))))-(((VLOOKUP(EDATE(B338,-12),Database!$F:$AY,MATCH($T$1,Database!$F$1:$AY$1,),)))))/(((VLOOKUP(EDATE(B338,-12),Database!$F:$AY,MATCH($T$1,Database!$F$1:$AY$1,),))))</f>
        <v/>
      </c>
      <c r="U338" s="13">
        <f>((((VLOOKUP(B338,Database!$F:$AY,MATCH($U$1,Database!$F$1:$AY$1,),))))-(((VLOOKUP(EDATE(B338,-12),Database!$F:$AY,MATCH($U$1,Database!$F$1:$AY$1,),)))))/(((VLOOKUP(EDATE(B338,-12),Database!$F:$AY,MATCH($U$1,Database!$F$1:$AY$1,),))))</f>
        <v/>
      </c>
      <c r="V338" s="13">
        <f>((((VLOOKUP(B338,Database!$F:$AY,MATCH($V$1,Database!$F$1:$AY$1,),))))-(((VLOOKUP(EDATE(B338,-12),Database!$F:$AY,MATCH($V$1,Database!$F$1:$AY$1,),)))))/(((VLOOKUP(EDATE(B338,-12),Database!$F:$AY,MATCH($V$1,Database!$F$1:$AY$1,),))))</f>
        <v/>
      </c>
    </row>
    <row r="339" customFormat="1" s="100">
      <c r="A339" s="45" t="n"/>
      <c r="B339" s="46" t="n">
        <v>42461</v>
      </c>
      <c r="C339" s="13">
        <f>((((VLOOKUP(B339,Database!$F:$AY,MATCH($C$1,Database!$F$1:$AY$1,),))))-(((VLOOKUP(EDATE(B339,-12),Database!$F:$AY,MATCH($C$1,Database!$F$1:$AY$1,),)))))/(((VLOOKUP(EDATE(B339,-12),Database!$F:$AY,MATCH($C$1,Database!$F$1:$AY$1,),))))</f>
        <v/>
      </c>
      <c r="D339" s="13">
        <f>((((VLOOKUP(B339,Database!$F:$AY,MATCH($D$1,Database!$F$1:$AY$1,),))))-(((VLOOKUP(EDATE(B339,-12),Database!$F:$AY,MATCH($D$1,Database!$F$1:$AY$1,),)))))/(((VLOOKUP(EDATE(B339,-12),Database!$F:$AY,MATCH($D$1,Database!$F$1:$AY$1,),))))</f>
        <v/>
      </c>
      <c r="E339" s="13">
        <f>((((VLOOKUP(B339,Database!$F:$AY,MATCH($E$1,Database!$F$1:$AY$1,),))))-(((VLOOKUP(EDATE(B339,-12),Database!$F:$AY,MATCH($E$1,Database!$F$1:$AY$1,),)))))/(((VLOOKUP(EDATE(B339,-12),Database!$F:$AY,MATCH($E$1,Database!$F$1:$AY$1,),))))</f>
        <v/>
      </c>
      <c r="F339" s="13">
        <f>((((VLOOKUP(B339,Database!$F:$AY,MATCH($F$1,Database!$F$1:$AY$1,),))))-(((VLOOKUP(EDATE(B339,-12),Database!$F:$AY,MATCH($F$1,Database!$F$1:$AY$1,),)))))/(((VLOOKUP(EDATE(B339,-12),Database!$F:$AY,MATCH($F$1,Database!$F$1:$AY$1,),))))</f>
        <v/>
      </c>
      <c r="G339" s="13">
        <f>((((VLOOKUP(B339,Database!$F:$AY,MATCH($G$1,Database!$F$1:$AY$1,),))))-(((VLOOKUP(EDATE(B339,-12),Database!$F:$AY,MATCH($G$1,Database!$F$1:$AY$1,),)))))/(((VLOOKUP(EDATE(B339,-12),Database!$F:$AY,MATCH($G$1,Database!$F$1:$AY$1,),))))</f>
        <v/>
      </c>
      <c r="H339" s="13">
        <f>((((VLOOKUP(B339,Database!$F:$AY,MATCH($H$1,Database!$F$1:$AY$1,),))))-(((VLOOKUP(EDATE(B339,-12),Database!$F:$AY,MATCH($H$1,Database!$F$1:$AY$1,),)))))/(((VLOOKUP(EDATE(B339,-12),Database!$F:$AY,MATCH($H$1,Database!$F$1:$AY$1,),))))</f>
        <v/>
      </c>
      <c r="I339" s="13">
        <f>((((VLOOKUP(B339,Database!$F:$AY,MATCH($I$1,Database!$F$1:$AY$1,),))))-(((VLOOKUP(EDATE(B339,-12),Database!$F:$AY,MATCH($I$1,Database!$F$1:$AY$1,),)))))/(((VLOOKUP(EDATE(B339,-12),Database!$F:$AY,MATCH($I$1,Database!$F$1:$AY$1,),))))</f>
        <v/>
      </c>
      <c r="J339" s="13">
        <f>((((VLOOKUP(B339,Database!$F:$AY,MATCH($J$1,Database!$F$1:$AY$1,),))))-(((VLOOKUP(EDATE(B339,-12),Database!$F:$AY,MATCH($J$1,Database!$F$1:$AY$1,),)))))/(((VLOOKUP(EDATE(B339,-12),Database!$F:$AY,MATCH($J$1,Database!$F$1:$AY$1,),))))</f>
        <v/>
      </c>
      <c r="K339" s="13">
        <f>((((VLOOKUP(B339,Database!$F:$AY,MATCH($K$1,Database!$F$1:$AY$1,),))))-(((VLOOKUP(EDATE(B339,-12),Database!$F:$AY,MATCH($K$1,Database!$F$1:$AY$1,),)))))/(((VLOOKUP(EDATE(B339,-12),Database!$F:$AY,MATCH($K$1,Database!$F$1:$AY$1,),))))</f>
        <v/>
      </c>
      <c r="L339" s="13">
        <f>((((VLOOKUP(B339,Database!$F:$AY,MATCH($L$1,Database!$F$1:$AY$1,),))))-(((VLOOKUP(EDATE(B339,-12),Database!$F:$AY,MATCH($L$1,Database!$F$1:$AY$1,),)))))/(((VLOOKUP(EDATE(B339,-12),Database!$F:$AY,MATCH($L$1,Database!$F$1:$AY$1,),))))</f>
        <v/>
      </c>
      <c r="M339" s="13">
        <f>((((VLOOKUP(B339,Database!$F:$AY,MATCH($M$1,Database!$F$1:$AY$1,),))))-(((VLOOKUP(EDATE(B339,-12),Database!$F:$AY,MATCH($M$1,Database!$F$1:$AY$1,),)))))/(((VLOOKUP(EDATE(B339,-12),Database!$F:$AY,MATCH($M$1,Database!$F$1:$AY$1,),))))</f>
        <v/>
      </c>
      <c r="N339" s="13">
        <f>((((VLOOKUP(B339,Database!$F:$AY,MATCH($N$1,Database!$F$1:$AY$1,),))))-(((VLOOKUP(EDATE(B339,-12),Database!$F:$AY,MATCH($N$1,Database!$F$1:$AY$1,),)))))/(((VLOOKUP(EDATE(B339,-12),Database!$F:$AY,MATCH($N$1,Database!$F$1:$AY$1,),))))</f>
        <v/>
      </c>
      <c r="O339" s="13">
        <f>((((VLOOKUP(B339,Database!$F:$AY,MATCH($O$1,Database!$F$1:$AY$1,),))))-(((VLOOKUP(EDATE(B339,-12),Database!$F:$AY,MATCH($O$1,Database!$F$1:$AY$1,),)))))/(((VLOOKUP(EDATE(B339,-12),Database!$F:$AY,MATCH($O$1,Database!$F$1:$AY$1,),))))</f>
        <v/>
      </c>
      <c r="P339" s="13">
        <f>((((VLOOKUP(B339,Database!$F:$AY,MATCH($P$1,Database!$F$1:$AY$1,),))))-(((VLOOKUP(EDATE(B339,-12),Database!$F:$AY,MATCH($P$1,Database!$F$1:$AY$1,),)))))/(((VLOOKUP(EDATE(B339,-12),Database!$F:$AY,MATCH($P$1,Database!$F$1:$AY$1,),))))</f>
        <v/>
      </c>
      <c r="Q339" s="13">
        <f>((((VLOOKUP(B339,Database!$F:$AY,MATCH($Q$1,Database!$F$1:$AY$1,),))))-(((VLOOKUP(EDATE(B339,-12),Database!$F:$AY,MATCH($Q$1,Database!$F$1:$AY$1,),)))))/(((VLOOKUP(EDATE(B339,-12),Database!$F:$AY,MATCH($Q$1,Database!$F$1:$AY$1,),))))</f>
        <v/>
      </c>
      <c r="R339" s="13">
        <f>((((VLOOKUP(B339,Database!$F:$AY,MATCH($R$1,Database!$F$1:$AY$1,),))))-(((VLOOKUP(EDATE(B339,-12),Database!$F:$AY,MATCH($R$1,Database!$F$1:$AY$1,),)))))/(((VLOOKUP(EDATE(B339,-12),Database!$F:$AY,MATCH($R$1,Database!$F$1:$AY$1,),))))</f>
        <v/>
      </c>
      <c r="S339" s="13">
        <f>((((VLOOKUP(B339,Database!$F:$AY,MATCH($S$1,Database!$F$1:$AY$1,),))))-(((VLOOKUP(EDATE(B339,-12),Database!$F:$AY,MATCH($S$1,Database!$F$1:$AY$1,),)))))/(((VLOOKUP(EDATE(B339,-12),Database!$F:$AY,MATCH($S$1,Database!$F$1:$AY$1,),))))</f>
        <v/>
      </c>
      <c r="T339" s="13">
        <f>((((VLOOKUP(B339,Database!$F:$AY,MATCH($T$1,Database!$F$1:$AY$1,),))))-(((VLOOKUP(EDATE(B339,-12),Database!$F:$AY,MATCH($T$1,Database!$F$1:$AY$1,),)))))/(((VLOOKUP(EDATE(B339,-12),Database!$F:$AY,MATCH($T$1,Database!$F$1:$AY$1,),))))</f>
        <v/>
      </c>
      <c r="U339" s="13">
        <f>((((VLOOKUP(B339,Database!$F:$AY,MATCH($U$1,Database!$F$1:$AY$1,),))))-(((VLOOKUP(EDATE(B339,-12),Database!$F:$AY,MATCH($U$1,Database!$F$1:$AY$1,),)))))/(((VLOOKUP(EDATE(B339,-12),Database!$F:$AY,MATCH($U$1,Database!$F$1:$AY$1,),))))</f>
        <v/>
      </c>
      <c r="V339" s="13">
        <f>((((VLOOKUP(B339,Database!$F:$AY,MATCH($V$1,Database!$F$1:$AY$1,),))))-(((VLOOKUP(EDATE(B339,-12),Database!$F:$AY,MATCH($V$1,Database!$F$1:$AY$1,),)))))/(((VLOOKUP(EDATE(B339,-12),Database!$F:$AY,MATCH($V$1,Database!$F$1:$AY$1,),))))</f>
        <v/>
      </c>
    </row>
    <row r="340" customFormat="1" s="100">
      <c r="A340" s="45" t="n"/>
      <c r="B340" s="46" t="n">
        <v>42491</v>
      </c>
      <c r="C340" s="13">
        <f>((((VLOOKUP(B340,Database!$F:$AY,MATCH($C$1,Database!$F$1:$AY$1,),))))-(((VLOOKUP(EDATE(B340,-12),Database!$F:$AY,MATCH($C$1,Database!$F$1:$AY$1,),)))))/(((VLOOKUP(EDATE(B340,-12),Database!$F:$AY,MATCH($C$1,Database!$F$1:$AY$1,),))))</f>
        <v/>
      </c>
      <c r="D340" s="13">
        <f>((((VLOOKUP(B340,Database!$F:$AY,MATCH($D$1,Database!$F$1:$AY$1,),))))-(((VLOOKUP(EDATE(B340,-12),Database!$F:$AY,MATCH($D$1,Database!$F$1:$AY$1,),)))))/(((VLOOKUP(EDATE(B340,-12),Database!$F:$AY,MATCH($D$1,Database!$F$1:$AY$1,),))))</f>
        <v/>
      </c>
      <c r="E340" s="13">
        <f>((((VLOOKUP(B340,Database!$F:$AY,MATCH($E$1,Database!$F$1:$AY$1,),))))-(((VLOOKUP(EDATE(B340,-12),Database!$F:$AY,MATCH($E$1,Database!$F$1:$AY$1,),)))))/(((VLOOKUP(EDATE(B340,-12),Database!$F:$AY,MATCH($E$1,Database!$F$1:$AY$1,),))))</f>
        <v/>
      </c>
      <c r="F340" s="13">
        <f>((((VLOOKUP(B340,Database!$F:$AY,MATCH($F$1,Database!$F$1:$AY$1,),))))-(((VLOOKUP(EDATE(B340,-12),Database!$F:$AY,MATCH($F$1,Database!$F$1:$AY$1,),)))))/(((VLOOKUP(EDATE(B340,-12),Database!$F:$AY,MATCH($F$1,Database!$F$1:$AY$1,),))))</f>
        <v/>
      </c>
      <c r="G340" s="13">
        <f>((((VLOOKUP(B340,Database!$F:$AY,MATCH($G$1,Database!$F$1:$AY$1,),))))-(((VLOOKUP(EDATE(B340,-12),Database!$F:$AY,MATCH($G$1,Database!$F$1:$AY$1,),)))))/(((VLOOKUP(EDATE(B340,-12),Database!$F:$AY,MATCH($G$1,Database!$F$1:$AY$1,),))))</f>
        <v/>
      </c>
      <c r="H340" s="13">
        <f>((((VLOOKUP(B340,Database!$F:$AY,MATCH($H$1,Database!$F$1:$AY$1,),))))-(((VLOOKUP(EDATE(B340,-12),Database!$F:$AY,MATCH($H$1,Database!$F$1:$AY$1,),)))))/(((VLOOKUP(EDATE(B340,-12),Database!$F:$AY,MATCH($H$1,Database!$F$1:$AY$1,),))))</f>
        <v/>
      </c>
      <c r="I340" s="13">
        <f>((((VLOOKUP(B340,Database!$F:$AY,MATCH($I$1,Database!$F$1:$AY$1,),))))-(((VLOOKUP(EDATE(B340,-12),Database!$F:$AY,MATCH($I$1,Database!$F$1:$AY$1,),)))))/(((VLOOKUP(EDATE(B340,-12),Database!$F:$AY,MATCH($I$1,Database!$F$1:$AY$1,),))))</f>
        <v/>
      </c>
      <c r="J340" s="13">
        <f>((((VLOOKUP(B340,Database!$F:$AY,MATCH($J$1,Database!$F$1:$AY$1,),))))-(((VLOOKUP(EDATE(B340,-12),Database!$F:$AY,MATCH($J$1,Database!$F$1:$AY$1,),)))))/(((VLOOKUP(EDATE(B340,-12),Database!$F:$AY,MATCH($J$1,Database!$F$1:$AY$1,),))))</f>
        <v/>
      </c>
      <c r="K340" s="13">
        <f>((((VLOOKUP(B340,Database!$F:$AY,MATCH($K$1,Database!$F$1:$AY$1,),))))-(((VLOOKUP(EDATE(B340,-12),Database!$F:$AY,MATCH($K$1,Database!$F$1:$AY$1,),)))))/(((VLOOKUP(EDATE(B340,-12),Database!$F:$AY,MATCH($K$1,Database!$F$1:$AY$1,),))))</f>
        <v/>
      </c>
      <c r="L340" s="13">
        <f>((((VLOOKUP(B340,Database!$F:$AY,MATCH($L$1,Database!$F$1:$AY$1,),))))-(((VLOOKUP(EDATE(B340,-12),Database!$F:$AY,MATCH($L$1,Database!$F$1:$AY$1,),)))))/(((VLOOKUP(EDATE(B340,-12),Database!$F:$AY,MATCH($L$1,Database!$F$1:$AY$1,),))))</f>
        <v/>
      </c>
      <c r="M340" s="13">
        <f>((((VLOOKUP(B340,Database!$F:$AY,MATCH($M$1,Database!$F$1:$AY$1,),))))-(((VLOOKUP(EDATE(B340,-12),Database!$F:$AY,MATCH($M$1,Database!$F$1:$AY$1,),)))))/(((VLOOKUP(EDATE(B340,-12),Database!$F:$AY,MATCH($M$1,Database!$F$1:$AY$1,),))))</f>
        <v/>
      </c>
      <c r="N340" s="13">
        <f>((((VLOOKUP(B340,Database!$F:$AY,MATCH($N$1,Database!$F$1:$AY$1,),))))-(((VLOOKUP(EDATE(B340,-12),Database!$F:$AY,MATCH($N$1,Database!$F$1:$AY$1,),)))))/(((VLOOKUP(EDATE(B340,-12),Database!$F:$AY,MATCH($N$1,Database!$F$1:$AY$1,),))))</f>
        <v/>
      </c>
      <c r="O340" s="13">
        <f>((((VLOOKUP(B340,Database!$F:$AY,MATCH($O$1,Database!$F$1:$AY$1,),))))-(((VLOOKUP(EDATE(B340,-12),Database!$F:$AY,MATCH($O$1,Database!$F$1:$AY$1,),)))))/(((VLOOKUP(EDATE(B340,-12),Database!$F:$AY,MATCH($O$1,Database!$F$1:$AY$1,),))))</f>
        <v/>
      </c>
      <c r="P340" s="13">
        <f>((((VLOOKUP(B340,Database!$F:$AY,MATCH($P$1,Database!$F$1:$AY$1,),))))-(((VLOOKUP(EDATE(B340,-12),Database!$F:$AY,MATCH($P$1,Database!$F$1:$AY$1,),)))))/(((VLOOKUP(EDATE(B340,-12),Database!$F:$AY,MATCH($P$1,Database!$F$1:$AY$1,),))))</f>
        <v/>
      </c>
      <c r="Q340" s="13">
        <f>((((VLOOKUP(B340,Database!$F:$AY,MATCH($Q$1,Database!$F$1:$AY$1,),))))-(((VLOOKUP(EDATE(B340,-12),Database!$F:$AY,MATCH($Q$1,Database!$F$1:$AY$1,),)))))/(((VLOOKUP(EDATE(B340,-12),Database!$F:$AY,MATCH($Q$1,Database!$F$1:$AY$1,),))))</f>
        <v/>
      </c>
      <c r="R340" s="13">
        <f>((((VLOOKUP(B340,Database!$F:$AY,MATCH($R$1,Database!$F$1:$AY$1,),))))-(((VLOOKUP(EDATE(B340,-12),Database!$F:$AY,MATCH($R$1,Database!$F$1:$AY$1,),)))))/(((VLOOKUP(EDATE(B340,-12),Database!$F:$AY,MATCH($R$1,Database!$F$1:$AY$1,),))))</f>
        <v/>
      </c>
      <c r="S340" s="13">
        <f>((((VLOOKUP(B340,Database!$F:$AY,MATCH($S$1,Database!$F$1:$AY$1,),))))-(((VLOOKUP(EDATE(B340,-12),Database!$F:$AY,MATCH($S$1,Database!$F$1:$AY$1,),)))))/(((VLOOKUP(EDATE(B340,-12),Database!$F:$AY,MATCH($S$1,Database!$F$1:$AY$1,),))))</f>
        <v/>
      </c>
      <c r="T340" s="13">
        <f>((((VLOOKUP(B340,Database!$F:$AY,MATCH($T$1,Database!$F$1:$AY$1,),))))-(((VLOOKUP(EDATE(B340,-12),Database!$F:$AY,MATCH($T$1,Database!$F$1:$AY$1,),)))))/(((VLOOKUP(EDATE(B340,-12),Database!$F:$AY,MATCH($T$1,Database!$F$1:$AY$1,),))))</f>
        <v/>
      </c>
      <c r="U340" s="13">
        <f>((((VLOOKUP(B340,Database!$F:$AY,MATCH($U$1,Database!$F$1:$AY$1,),))))-(((VLOOKUP(EDATE(B340,-12),Database!$F:$AY,MATCH($U$1,Database!$F$1:$AY$1,),)))))/(((VLOOKUP(EDATE(B340,-12),Database!$F:$AY,MATCH($U$1,Database!$F$1:$AY$1,),))))</f>
        <v/>
      </c>
      <c r="V340" s="13">
        <f>((((VLOOKUP(B340,Database!$F:$AY,MATCH($V$1,Database!$F$1:$AY$1,),))))-(((VLOOKUP(EDATE(B340,-12),Database!$F:$AY,MATCH($V$1,Database!$F$1:$AY$1,),)))))/(((VLOOKUP(EDATE(B340,-12),Database!$F:$AY,MATCH($V$1,Database!$F$1:$AY$1,),))))</f>
        <v/>
      </c>
    </row>
    <row r="341" customFormat="1" s="100">
      <c r="A341" s="45" t="n"/>
      <c r="B341" s="46" t="n">
        <v>42522</v>
      </c>
      <c r="C341" s="13">
        <f>((((VLOOKUP(B341,Database!$F:$AY,MATCH($C$1,Database!$F$1:$AY$1,),))))-(((VLOOKUP(EDATE(B341,-12),Database!$F:$AY,MATCH($C$1,Database!$F$1:$AY$1,),)))))/(((VLOOKUP(EDATE(B341,-12),Database!$F:$AY,MATCH($C$1,Database!$F$1:$AY$1,),))))</f>
        <v/>
      </c>
      <c r="D341" s="13">
        <f>((((VLOOKUP(B341,Database!$F:$AY,MATCH($D$1,Database!$F$1:$AY$1,),))))-(((VLOOKUP(EDATE(B341,-12),Database!$F:$AY,MATCH($D$1,Database!$F$1:$AY$1,),)))))/(((VLOOKUP(EDATE(B341,-12),Database!$F:$AY,MATCH($D$1,Database!$F$1:$AY$1,),))))</f>
        <v/>
      </c>
      <c r="E341" s="13">
        <f>((((VLOOKUP(B341,Database!$F:$AY,MATCH($E$1,Database!$F$1:$AY$1,),))))-(((VLOOKUP(EDATE(B341,-12),Database!$F:$AY,MATCH($E$1,Database!$F$1:$AY$1,),)))))/(((VLOOKUP(EDATE(B341,-12),Database!$F:$AY,MATCH($E$1,Database!$F$1:$AY$1,),))))</f>
        <v/>
      </c>
      <c r="F341" s="13">
        <f>((((VLOOKUP(B341,Database!$F:$AY,MATCH($F$1,Database!$F$1:$AY$1,),))))-(((VLOOKUP(EDATE(B341,-12),Database!$F:$AY,MATCH($F$1,Database!$F$1:$AY$1,),)))))/(((VLOOKUP(EDATE(B341,-12),Database!$F:$AY,MATCH($F$1,Database!$F$1:$AY$1,),))))</f>
        <v/>
      </c>
      <c r="G341" s="13">
        <f>((((VLOOKUP(B341,Database!$F:$AY,MATCH($G$1,Database!$F$1:$AY$1,),))))-(((VLOOKUP(EDATE(B341,-12),Database!$F:$AY,MATCH($G$1,Database!$F$1:$AY$1,),)))))/(((VLOOKUP(EDATE(B341,-12),Database!$F:$AY,MATCH($G$1,Database!$F$1:$AY$1,),))))</f>
        <v/>
      </c>
      <c r="H341" s="13">
        <f>((((VLOOKUP(B341,Database!$F:$AY,MATCH($H$1,Database!$F$1:$AY$1,),))))-(((VLOOKUP(EDATE(B341,-12),Database!$F:$AY,MATCH($H$1,Database!$F$1:$AY$1,),)))))/(((VLOOKUP(EDATE(B341,-12),Database!$F:$AY,MATCH($H$1,Database!$F$1:$AY$1,),))))</f>
        <v/>
      </c>
      <c r="I341" s="13">
        <f>((((VLOOKUP(B341,Database!$F:$AY,MATCH($I$1,Database!$F$1:$AY$1,),))))-(((VLOOKUP(EDATE(B341,-12),Database!$F:$AY,MATCH($I$1,Database!$F$1:$AY$1,),)))))/(((VLOOKUP(EDATE(B341,-12),Database!$F:$AY,MATCH($I$1,Database!$F$1:$AY$1,),))))</f>
        <v/>
      </c>
      <c r="J341" s="13">
        <f>((((VLOOKUP(B341,Database!$F:$AY,MATCH($J$1,Database!$F$1:$AY$1,),))))-(((VLOOKUP(EDATE(B341,-12),Database!$F:$AY,MATCH($J$1,Database!$F$1:$AY$1,),)))))/(((VLOOKUP(EDATE(B341,-12),Database!$F:$AY,MATCH($J$1,Database!$F$1:$AY$1,),))))</f>
        <v/>
      </c>
      <c r="K341" s="13">
        <f>((((VLOOKUP(B341,Database!$F:$AY,MATCH($K$1,Database!$F$1:$AY$1,),))))-(((VLOOKUP(EDATE(B341,-12),Database!$F:$AY,MATCH($K$1,Database!$F$1:$AY$1,),)))))/(((VLOOKUP(EDATE(B341,-12),Database!$F:$AY,MATCH($K$1,Database!$F$1:$AY$1,),))))</f>
        <v/>
      </c>
      <c r="L341" s="13">
        <f>((((VLOOKUP(B341,Database!$F:$AY,MATCH($L$1,Database!$F$1:$AY$1,),))))-(((VLOOKUP(EDATE(B341,-12),Database!$F:$AY,MATCH($L$1,Database!$F$1:$AY$1,),)))))/(((VLOOKUP(EDATE(B341,-12),Database!$F:$AY,MATCH($L$1,Database!$F$1:$AY$1,),))))</f>
        <v/>
      </c>
      <c r="M341" s="13">
        <f>((((VLOOKUP(B341,Database!$F:$AY,MATCH($M$1,Database!$F$1:$AY$1,),))))-(((VLOOKUP(EDATE(B341,-12),Database!$F:$AY,MATCH($M$1,Database!$F$1:$AY$1,),)))))/(((VLOOKUP(EDATE(B341,-12),Database!$F:$AY,MATCH($M$1,Database!$F$1:$AY$1,),))))</f>
        <v/>
      </c>
      <c r="N341" s="13">
        <f>((((VLOOKUP(B341,Database!$F:$AY,MATCH($N$1,Database!$F$1:$AY$1,),))))-(((VLOOKUP(EDATE(B341,-12),Database!$F:$AY,MATCH($N$1,Database!$F$1:$AY$1,),)))))/(((VLOOKUP(EDATE(B341,-12),Database!$F:$AY,MATCH($N$1,Database!$F$1:$AY$1,),))))</f>
        <v/>
      </c>
      <c r="O341" s="13">
        <f>((((VLOOKUP(B341,Database!$F:$AY,MATCH($O$1,Database!$F$1:$AY$1,),))))-(((VLOOKUP(EDATE(B341,-12),Database!$F:$AY,MATCH($O$1,Database!$F$1:$AY$1,),)))))/(((VLOOKUP(EDATE(B341,-12),Database!$F:$AY,MATCH($O$1,Database!$F$1:$AY$1,),))))</f>
        <v/>
      </c>
      <c r="P341" s="13">
        <f>((((VLOOKUP(B341,Database!$F:$AY,MATCH($P$1,Database!$F$1:$AY$1,),))))-(((VLOOKUP(EDATE(B341,-12),Database!$F:$AY,MATCH($P$1,Database!$F$1:$AY$1,),)))))/(((VLOOKUP(EDATE(B341,-12),Database!$F:$AY,MATCH($P$1,Database!$F$1:$AY$1,),))))</f>
        <v/>
      </c>
      <c r="Q341" s="13">
        <f>((((VLOOKUP(B341,Database!$F:$AY,MATCH($Q$1,Database!$F$1:$AY$1,),))))-(((VLOOKUP(EDATE(B341,-12),Database!$F:$AY,MATCH($Q$1,Database!$F$1:$AY$1,),)))))/(((VLOOKUP(EDATE(B341,-12),Database!$F:$AY,MATCH($Q$1,Database!$F$1:$AY$1,),))))</f>
        <v/>
      </c>
      <c r="R341" s="13">
        <f>((((VLOOKUP(B341,Database!$F:$AY,MATCH($R$1,Database!$F$1:$AY$1,),))))-(((VLOOKUP(EDATE(B341,-12),Database!$F:$AY,MATCH($R$1,Database!$F$1:$AY$1,),)))))/(((VLOOKUP(EDATE(B341,-12),Database!$F:$AY,MATCH($R$1,Database!$F$1:$AY$1,),))))</f>
        <v/>
      </c>
      <c r="S341" s="13">
        <f>((((VLOOKUP(B341,Database!$F:$AY,MATCH($S$1,Database!$F$1:$AY$1,),))))-(((VLOOKUP(EDATE(B341,-12),Database!$F:$AY,MATCH($S$1,Database!$F$1:$AY$1,),)))))/(((VLOOKUP(EDATE(B341,-12),Database!$F:$AY,MATCH($S$1,Database!$F$1:$AY$1,),))))</f>
        <v/>
      </c>
      <c r="T341" s="13">
        <f>((((VLOOKUP(B341,Database!$F:$AY,MATCH($T$1,Database!$F$1:$AY$1,),))))-(((VLOOKUP(EDATE(B341,-12),Database!$F:$AY,MATCH($T$1,Database!$F$1:$AY$1,),)))))/(((VLOOKUP(EDATE(B341,-12),Database!$F:$AY,MATCH($T$1,Database!$F$1:$AY$1,),))))</f>
        <v/>
      </c>
      <c r="U341" s="13">
        <f>((((VLOOKUP(B341,Database!$F:$AY,MATCH($U$1,Database!$F$1:$AY$1,),))))-(((VLOOKUP(EDATE(B341,-12),Database!$F:$AY,MATCH($U$1,Database!$F$1:$AY$1,),)))))/(((VLOOKUP(EDATE(B341,-12),Database!$F:$AY,MATCH($U$1,Database!$F$1:$AY$1,),))))</f>
        <v/>
      </c>
      <c r="V341" s="13">
        <f>((((VLOOKUP(B341,Database!$F:$AY,MATCH($V$1,Database!$F$1:$AY$1,),))))-(((VLOOKUP(EDATE(B341,-12),Database!$F:$AY,MATCH($V$1,Database!$F$1:$AY$1,),)))))/(((VLOOKUP(EDATE(B341,-12),Database!$F:$AY,MATCH($V$1,Database!$F$1:$AY$1,),))))</f>
        <v/>
      </c>
    </row>
    <row r="342" customFormat="1" s="100">
      <c r="A342" s="45" t="n"/>
      <c r="B342" s="46" t="n">
        <v>42552</v>
      </c>
      <c r="C342" s="13">
        <f>((((VLOOKUP(B342,Database!$F:$AY,MATCH($C$1,Database!$F$1:$AY$1,),))))-(((VLOOKUP(EDATE(B342,-12),Database!$F:$AY,MATCH($C$1,Database!$F$1:$AY$1,),)))))/(((VLOOKUP(EDATE(B342,-12),Database!$F:$AY,MATCH($C$1,Database!$F$1:$AY$1,),))))</f>
        <v/>
      </c>
      <c r="D342" s="13">
        <f>((((VLOOKUP(B342,Database!$F:$AY,MATCH($D$1,Database!$F$1:$AY$1,),))))-(((VLOOKUP(EDATE(B342,-12),Database!$F:$AY,MATCH($D$1,Database!$F$1:$AY$1,),)))))/(((VLOOKUP(EDATE(B342,-12),Database!$F:$AY,MATCH($D$1,Database!$F$1:$AY$1,),))))</f>
        <v/>
      </c>
      <c r="E342" s="13">
        <f>((((VLOOKUP(B342,Database!$F:$AY,MATCH($E$1,Database!$F$1:$AY$1,),))))-(((VLOOKUP(EDATE(B342,-12),Database!$F:$AY,MATCH($E$1,Database!$F$1:$AY$1,),)))))/(((VLOOKUP(EDATE(B342,-12),Database!$F:$AY,MATCH($E$1,Database!$F$1:$AY$1,),))))</f>
        <v/>
      </c>
      <c r="F342" s="13">
        <f>((((VLOOKUP(B342,Database!$F:$AY,MATCH($F$1,Database!$F$1:$AY$1,),))))-(((VLOOKUP(EDATE(B342,-12),Database!$F:$AY,MATCH($F$1,Database!$F$1:$AY$1,),)))))/(((VLOOKUP(EDATE(B342,-12),Database!$F:$AY,MATCH($F$1,Database!$F$1:$AY$1,),))))</f>
        <v/>
      </c>
      <c r="G342" s="13">
        <f>((((VLOOKUP(B342,Database!$F:$AY,MATCH($G$1,Database!$F$1:$AY$1,),))))-(((VLOOKUP(EDATE(B342,-12),Database!$F:$AY,MATCH($G$1,Database!$F$1:$AY$1,),)))))/(((VLOOKUP(EDATE(B342,-12),Database!$F:$AY,MATCH($G$1,Database!$F$1:$AY$1,),))))</f>
        <v/>
      </c>
      <c r="H342" s="13">
        <f>((((VLOOKUP(B342,Database!$F:$AY,MATCH($H$1,Database!$F$1:$AY$1,),))))-(((VLOOKUP(EDATE(B342,-12),Database!$F:$AY,MATCH($H$1,Database!$F$1:$AY$1,),)))))/(((VLOOKUP(EDATE(B342,-12),Database!$F:$AY,MATCH($H$1,Database!$F$1:$AY$1,),))))</f>
        <v/>
      </c>
      <c r="I342" s="13">
        <f>((((VLOOKUP(B342,Database!$F:$AY,MATCH($I$1,Database!$F$1:$AY$1,),))))-(((VLOOKUP(EDATE(B342,-12),Database!$F:$AY,MATCH($I$1,Database!$F$1:$AY$1,),)))))/(((VLOOKUP(EDATE(B342,-12),Database!$F:$AY,MATCH($I$1,Database!$F$1:$AY$1,),))))</f>
        <v/>
      </c>
      <c r="J342" s="13">
        <f>((((VLOOKUP(B342,Database!$F:$AY,MATCH($J$1,Database!$F$1:$AY$1,),))))-(((VLOOKUP(EDATE(B342,-12),Database!$F:$AY,MATCH($J$1,Database!$F$1:$AY$1,),)))))/(((VLOOKUP(EDATE(B342,-12),Database!$F:$AY,MATCH($J$1,Database!$F$1:$AY$1,),))))</f>
        <v/>
      </c>
      <c r="K342" s="13">
        <f>((((VLOOKUP(B342,Database!$F:$AY,MATCH($K$1,Database!$F$1:$AY$1,),))))-(((VLOOKUP(EDATE(B342,-12),Database!$F:$AY,MATCH($K$1,Database!$F$1:$AY$1,),)))))/(((VLOOKUP(EDATE(B342,-12),Database!$F:$AY,MATCH($K$1,Database!$F$1:$AY$1,),))))</f>
        <v/>
      </c>
      <c r="L342" s="13">
        <f>((((VLOOKUP(B342,Database!$F:$AY,MATCH($L$1,Database!$F$1:$AY$1,),))))-(((VLOOKUP(EDATE(B342,-12),Database!$F:$AY,MATCH($L$1,Database!$F$1:$AY$1,),)))))/(((VLOOKUP(EDATE(B342,-12),Database!$F:$AY,MATCH($L$1,Database!$F$1:$AY$1,),))))</f>
        <v/>
      </c>
      <c r="M342" s="13">
        <f>((((VLOOKUP(B342,Database!$F:$AY,MATCH($M$1,Database!$F$1:$AY$1,),))))-(((VLOOKUP(EDATE(B342,-12),Database!$F:$AY,MATCH($M$1,Database!$F$1:$AY$1,),)))))/(((VLOOKUP(EDATE(B342,-12),Database!$F:$AY,MATCH($M$1,Database!$F$1:$AY$1,),))))</f>
        <v/>
      </c>
      <c r="N342" s="13">
        <f>((((VLOOKUP(B342,Database!$F:$AY,MATCH($N$1,Database!$F$1:$AY$1,),))))-(((VLOOKUP(EDATE(B342,-12),Database!$F:$AY,MATCH($N$1,Database!$F$1:$AY$1,),)))))/(((VLOOKUP(EDATE(B342,-12),Database!$F:$AY,MATCH($N$1,Database!$F$1:$AY$1,),))))</f>
        <v/>
      </c>
      <c r="O342" s="13">
        <f>((((VLOOKUP(B342,Database!$F:$AY,MATCH($O$1,Database!$F$1:$AY$1,),))))-(((VLOOKUP(EDATE(B342,-12),Database!$F:$AY,MATCH($O$1,Database!$F$1:$AY$1,),)))))/(((VLOOKUP(EDATE(B342,-12),Database!$F:$AY,MATCH($O$1,Database!$F$1:$AY$1,),))))</f>
        <v/>
      </c>
      <c r="P342" s="13">
        <f>((((VLOOKUP(B342,Database!$F:$AY,MATCH($P$1,Database!$F$1:$AY$1,),))))-(((VLOOKUP(EDATE(B342,-12),Database!$F:$AY,MATCH($P$1,Database!$F$1:$AY$1,),)))))/(((VLOOKUP(EDATE(B342,-12),Database!$F:$AY,MATCH($P$1,Database!$F$1:$AY$1,),))))</f>
        <v/>
      </c>
      <c r="Q342" s="13">
        <f>((((VLOOKUP(B342,Database!$F:$AY,MATCH($Q$1,Database!$F$1:$AY$1,),))))-(((VLOOKUP(EDATE(B342,-12),Database!$F:$AY,MATCH($Q$1,Database!$F$1:$AY$1,),)))))/(((VLOOKUP(EDATE(B342,-12),Database!$F:$AY,MATCH($Q$1,Database!$F$1:$AY$1,),))))</f>
        <v/>
      </c>
      <c r="R342" s="13">
        <f>((((VLOOKUP(B342,Database!$F:$AY,MATCH($R$1,Database!$F$1:$AY$1,),))))-(((VLOOKUP(EDATE(B342,-12),Database!$F:$AY,MATCH($R$1,Database!$F$1:$AY$1,),)))))/(((VLOOKUP(EDATE(B342,-12),Database!$F:$AY,MATCH($R$1,Database!$F$1:$AY$1,),))))</f>
        <v/>
      </c>
      <c r="S342" s="13">
        <f>((((VLOOKUP(B342,Database!$F:$AY,MATCH($S$1,Database!$F$1:$AY$1,),))))-(((VLOOKUP(EDATE(B342,-12),Database!$F:$AY,MATCH($S$1,Database!$F$1:$AY$1,),)))))/(((VLOOKUP(EDATE(B342,-12),Database!$F:$AY,MATCH($S$1,Database!$F$1:$AY$1,),))))</f>
        <v/>
      </c>
      <c r="T342" s="13">
        <f>((((VLOOKUP(B342,Database!$F:$AY,MATCH($T$1,Database!$F$1:$AY$1,),))))-(((VLOOKUP(EDATE(B342,-12),Database!$F:$AY,MATCH($T$1,Database!$F$1:$AY$1,),)))))/(((VLOOKUP(EDATE(B342,-12),Database!$F:$AY,MATCH($T$1,Database!$F$1:$AY$1,),))))</f>
        <v/>
      </c>
      <c r="U342" s="13">
        <f>((((VLOOKUP(B342,Database!$F:$AY,MATCH($U$1,Database!$F$1:$AY$1,),))))-(((VLOOKUP(EDATE(B342,-12),Database!$F:$AY,MATCH($U$1,Database!$F$1:$AY$1,),)))))/(((VLOOKUP(EDATE(B342,-12),Database!$F:$AY,MATCH($U$1,Database!$F$1:$AY$1,),))))</f>
        <v/>
      </c>
      <c r="V342" s="13">
        <f>((((VLOOKUP(B342,Database!$F:$AY,MATCH($V$1,Database!$F$1:$AY$1,),))))-(((VLOOKUP(EDATE(B342,-12),Database!$F:$AY,MATCH($V$1,Database!$F$1:$AY$1,),)))))/(((VLOOKUP(EDATE(B342,-12),Database!$F:$AY,MATCH($V$1,Database!$F$1:$AY$1,),))))</f>
        <v/>
      </c>
    </row>
    <row r="343" customFormat="1" s="100">
      <c r="A343" s="45" t="n"/>
      <c r="B343" s="46" t="n">
        <v>42583</v>
      </c>
      <c r="C343" s="13">
        <f>((((VLOOKUP(B343,Database!$F:$AY,MATCH($C$1,Database!$F$1:$AY$1,),))))-(((VLOOKUP(EDATE(B343,-12),Database!$F:$AY,MATCH($C$1,Database!$F$1:$AY$1,),)))))/(((VLOOKUP(EDATE(B343,-12),Database!$F:$AY,MATCH($C$1,Database!$F$1:$AY$1,),))))</f>
        <v/>
      </c>
      <c r="D343" s="13">
        <f>((((VLOOKUP(B343,Database!$F:$AY,MATCH($D$1,Database!$F$1:$AY$1,),))))-(((VLOOKUP(EDATE(B343,-12),Database!$F:$AY,MATCH($D$1,Database!$F$1:$AY$1,),)))))/(((VLOOKUP(EDATE(B343,-12),Database!$F:$AY,MATCH($D$1,Database!$F$1:$AY$1,),))))</f>
        <v/>
      </c>
      <c r="E343" s="13">
        <f>((((VLOOKUP(B343,Database!$F:$AY,MATCH($E$1,Database!$F$1:$AY$1,),))))-(((VLOOKUP(EDATE(B343,-12),Database!$F:$AY,MATCH($E$1,Database!$F$1:$AY$1,),)))))/(((VLOOKUP(EDATE(B343,-12),Database!$F:$AY,MATCH($E$1,Database!$F$1:$AY$1,),))))</f>
        <v/>
      </c>
      <c r="F343" s="13">
        <f>((((VLOOKUP(B343,Database!$F:$AY,MATCH($F$1,Database!$F$1:$AY$1,),))))-(((VLOOKUP(EDATE(B343,-12),Database!$F:$AY,MATCH($F$1,Database!$F$1:$AY$1,),)))))/(((VLOOKUP(EDATE(B343,-12),Database!$F:$AY,MATCH($F$1,Database!$F$1:$AY$1,),))))</f>
        <v/>
      </c>
      <c r="G343" s="13">
        <f>((((VLOOKUP(B343,Database!$F:$AY,MATCH($G$1,Database!$F$1:$AY$1,),))))-(((VLOOKUP(EDATE(B343,-12),Database!$F:$AY,MATCH($G$1,Database!$F$1:$AY$1,),)))))/(((VLOOKUP(EDATE(B343,-12),Database!$F:$AY,MATCH($G$1,Database!$F$1:$AY$1,),))))</f>
        <v/>
      </c>
      <c r="H343" s="13">
        <f>((((VLOOKUP(B343,Database!$F:$AY,MATCH($H$1,Database!$F$1:$AY$1,),))))-(((VLOOKUP(EDATE(B343,-12),Database!$F:$AY,MATCH($H$1,Database!$F$1:$AY$1,),)))))/(((VLOOKUP(EDATE(B343,-12),Database!$F:$AY,MATCH($H$1,Database!$F$1:$AY$1,),))))</f>
        <v/>
      </c>
      <c r="I343" s="13">
        <f>((((VLOOKUP(B343,Database!$F:$AY,MATCH($I$1,Database!$F$1:$AY$1,),))))-(((VLOOKUP(EDATE(B343,-12),Database!$F:$AY,MATCH($I$1,Database!$F$1:$AY$1,),)))))/(((VLOOKUP(EDATE(B343,-12),Database!$F:$AY,MATCH($I$1,Database!$F$1:$AY$1,),))))</f>
        <v/>
      </c>
      <c r="J343" s="13">
        <f>((((VLOOKUP(B343,Database!$F:$AY,MATCH($J$1,Database!$F$1:$AY$1,),))))-(((VLOOKUP(EDATE(B343,-12),Database!$F:$AY,MATCH($J$1,Database!$F$1:$AY$1,),)))))/(((VLOOKUP(EDATE(B343,-12),Database!$F:$AY,MATCH($J$1,Database!$F$1:$AY$1,),))))</f>
        <v/>
      </c>
      <c r="K343" s="13">
        <f>((((VLOOKUP(B343,Database!$F:$AY,MATCH($K$1,Database!$F$1:$AY$1,),))))-(((VLOOKUP(EDATE(B343,-12),Database!$F:$AY,MATCH($K$1,Database!$F$1:$AY$1,),)))))/(((VLOOKUP(EDATE(B343,-12),Database!$F:$AY,MATCH($K$1,Database!$F$1:$AY$1,),))))</f>
        <v/>
      </c>
      <c r="L343" s="13">
        <f>((((VLOOKUP(B343,Database!$F:$AY,MATCH($L$1,Database!$F$1:$AY$1,),))))-(((VLOOKUP(EDATE(B343,-12),Database!$F:$AY,MATCH($L$1,Database!$F$1:$AY$1,),)))))/(((VLOOKUP(EDATE(B343,-12),Database!$F:$AY,MATCH($L$1,Database!$F$1:$AY$1,),))))</f>
        <v/>
      </c>
      <c r="M343" s="13">
        <f>((((VLOOKUP(B343,Database!$F:$AY,MATCH($M$1,Database!$F$1:$AY$1,),))))-(((VLOOKUP(EDATE(B343,-12),Database!$F:$AY,MATCH($M$1,Database!$F$1:$AY$1,),)))))/(((VLOOKUP(EDATE(B343,-12),Database!$F:$AY,MATCH($M$1,Database!$F$1:$AY$1,),))))</f>
        <v/>
      </c>
      <c r="N343" s="13">
        <f>((((VLOOKUP(B343,Database!$F:$AY,MATCH($N$1,Database!$F$1:$AY$1,),))))-(((VLOOKUP(EDATE(B343,-12),Database!$F:$AY,MATCH($N$1,Database!$F$1:$AY$1,),)))))/(((VLOOKUP(EDATE(B343,-12),Database!$F:$AY,MATCH($N$1,Database!$F$1:$AY$1,),))))</f>
        <v/>
      </c>
      <c r="O343" s="13">
        <f>((((VLOOKUP(B343,Database!$F:$AY,MATCH($O$1,Database!$F$1:$AY$1,),))))-(((VLOOKUP(EDATE(B343,-12),Database!$F:$AY,MATCH($O$1,Database!$F$1:$AY$1,),)))))/(((VLOOKUP(EDATE(B343,-12),Database!$F:$AY,MATCH($O$1,Database!$F$1:$AY$1,),))))</f>
        <v/>
      </c>
      <c r="P343" s="13">
        <f>((((VLOOKUP(B343,Database!$F:$AY,MATCH($P$1,Database!$F$1:$AY$1,),))))-(((VLOOKUP(EDATE(B343,-12),Database!$F:$AY,MATCH($P$1,Database!$F$1:$AY$1,),)))))/(((VLOOKUP(EDATE(B343,-12),Database!$F:$AY,MATCH($P$1,Database!$F$1:$AY$1,),))))</f>
        <v/>
      </c>
      <c r="Q343" s="13">
        <f>((((VLOOKUP(B343,Database!$F:$AY,MATCH($Q$1,Database!$F$1:$AY$1,),))))-(((VLOOKUP(EDATE(B343,-12),Database!$F:$AY,MATCH($Q$1,Database!$F$1:$AY$1,),)))))/(((VLOOKUP(EDATE(B343,-12),Database!$F:$AY,MATCH($Q$1,Database!$F$1:$AY$1,),))))</f>
        <v/>
      </c>
      <c r="R343" s="13">
        <f>((((VLOOKUP(B343,Database!$F:$AY,MATCH($R$1,Database!$F$1:$AY$1,),))))-(((VLOOKUP(EDATE(B343,-12),Database!$F:$AY,MATCH($R$1,Database!$F$1:$AY$1,),)))))/(((VLOOKUP(EDATE(B343,-12),Database!$F:$AY,MATCH($R$1,Database!$F$1:$AY$1,),))))</f>
        <v/>
      </c>
      <c r="S343" s="13">
        <f>((((VLOOKUP(B343,Database!$F:$AY,MATCH($S$1,Database!$F$1:$AY$1,),))))-(((VLOOKUP(EDATE(B343,-12),Database!$F:$AY,MATCH($S$1,Database!$F$1:$AY$1,),)))))/(((VLOOKUP(EDATE(B343,-12),Database!$F:$AY,MATCH($S$1,Database!$F$1:$AY$1,),))))</f>
        <v/>
      </c>
      <c r="T343" s="13">
        <f>((((VLOOKUP(B343,Database!$F:$AY,MATCH($T$1,Database!$F$1:$AY$1,),))))-(((VLOOKUP(EDATE(B343,-12),Database!$F:$AY,MATCH($T$1,Database!$F$1:$AY$1,),)))))/(((VLOOKUP(EDATE(B343,-12),Database!$F:$AY,MATCH($T$1,Database!$F$1:$AY$1,),))))</f>
        <v/>
      </c>
      <c r="U343" s="13">
        <f>((((VLOOKUP(B343,Database!$F:$AY,MATCH($U$1,Database!$F$1:$AY$1,),))))-(((VLOOKUP(EDATE(B343,-12),Database!$F:$AY,MATCH($U$1,Database!$F$1:$AY$1,),)))))/(((VLOOKUP(EDATE(B343,-12),Database!$F:$AY,MATCH($U$1,Database!$F$1:$AY$1,),))))</f>
        <v/>
      </c>
      <c r="V343" s="13">
        <f>((((VLOOKUP(B343,Database!$F:$AY,MATCH($V$1,Database!$F$1:$AY$1,),))))-(((VLOOKUP(EDATE(B343,-12),Database!$F:$AY,MATCH($V$1,Database!$F$1:$AY$1,),)))))/(((VLOOKUP(EDATE(B343,-12),Database!$F:$AY,MATCH($V$1,Database!$F$1:$AY$1,),))))</f>
        <v/>
      </c>
    </row>
    <row r="344" customFormat="1" s="100">
      <c r="A344" s="45" t="n"/>
      <c r="B344" s="46" t="n">
        <v>42614</v>
      </c>
      <c r="C344" s="13">
        <f>((((VLOOKUP(B344,Database!$F:$AY,MATCH($C$1,Database!$F$1:$AY$1,),))))-(((VLOOKUP(EDATE(B344,-12),Database!$F:$AY,MATCH($C$1,Database!$F$1:$AY$1,),)))))/(((VLOOKUP(EDATE(B344,-12),Database!$F:$AY,MATCH($C$1,Database!$F$1:$AY$1,),))))</f>
        <v/>
      </c>
      <c r="D344" s="13">
        <f>((((VLOOKUP(B344,Database!$F:$AY,MATCH($D$1,Database!$F$1:$AY$1,),))))-(((VLOOKUP(EDATE(B344,-12),Database!$F:$AY,MATCH($D$1,Database!$F$1:$AY$1,),)))))/(((VLOOKUP(EDATE(B344,-12),Database!$F:$AY,MATCH($D$1,Database!$F$1:$AY$1,),))))</f>
        <v/>
      </c>
      <c r="E344" s="13">
        <f>((((VLOOKUP(B344,Database!$F:$AY,MATCH($E$1,Database!$F$1:$AY$1,),))))-(((VLOOKUP(EDATE(B344,-12),Database!$F:$AY,MATCH($E$1,Database!$F$1:$AY$1,),)))))/(((VLOOKUP(EDATE(B344,-12),Database!$F:$AY,MATCH($E$1,Database!$F$1:$AY$1,),))))</f>
        <v/>
      </c>
      <c r="F344" s="13">
        <f>((((VLOOKUP(B344,Database!$F:$AY,MATCH($F$1,Database!$F$1:$AY$1,),))))-(((VLOOKUP(EDATE(B344,-12),Database!$F:$AY,MATCH($F$1,Database!$F$1:$AY$1,),)))))/(((VLOOKUP(EDATE(B344,-12),Database!$F:$AY,MATCH($F$1,Database!$F$1:$AY$1,),))))</f>
        <v/>
      </c>
      <c r="G344" s="13">
        <f>((((VLOOKUP(B344,Database!$F:$AY,MATCH($G$1,Database!$F$1:$AY$1,),))))-(((VLOOKUP(EDATE(B344,-12),Database!$F:$AY,MATCH($G$1,Database!$F$1:$AY$1,),)))))/(((VLOOKUP(EDATE(B344,-12),Database!$F:$AY,MATCH($G$1,Database!$F$1:$AY$1,),))))</f>
        <v/>
      </c>
      <c r="H344" s="13">
        <f>((((VLOOKUP(B344,Database!$F:$AY,MATCH($H$1,Database!$F$1:$AY$1,),))))-(((VLOOKUP(EDATE(B344,-12),Database!$F:$AY,MATCH($H$1,Database!$F$1:$AY$1,),)))))/(((VLOOKUP(EDATE(B344,-12),Database!$F:$AY,MATCH($H$1,Database!$F$1:$AY$1,),))))</f>
        <v/>
      </c>
      <c r="I344" s="13">
        <f>((((VLOOKUP(B344,Database!$F:$AY,MATCH($I$1,Database!$F$1:$AY$1,),))))-(((VLOOKUP(EDATE(B344,-12),Database!$F:$AY,MATCH($I$1,Database!$F$1:$AY$1,),)))))/(((VLOOKUP(EDATE(B344,-12),Database!$F:$AY,MATCH($I$1,Database!$F$1:$AY$1,),))))</f>
        <v/>
      </c>
      <c r="J344" s="13">
        <f>((((VLOOKUP(B344,Database!$F:$AY,MATCH($J$1,Database!$F$1:$AY$1,),))))-(((VLOOKUP(EDATE(B344,-12),Database!$F:$AY,MATCH($J$1,Database!$F$1:$AY$1,),)))))/(((VLOOKUP(EDATE(B344,-12),Database!$F:$AY,MATCH($J$1,Database!$F$1:$AY$1,),))))</f>
        <v/>
      </c>
      <c r="K344" s="13">
        <f>((((VLOOKUP(B344,Database!$F:$AY,MATCH($K$1,Database!$F$1:$AY$1,),))))-(((VLOOKUP(EDATE(B344,-12),Database!$F:$AY,MATCH($K$1,Database!$F$1:$AY$1,),)))))/(((VLOOKUP(EDATE(B344,-12),Database!$F:$AY,MATCH($K$1,Database!$F$1:$AY$1,),))))</f>
        <v/>
      </c>
      <c r="L344" s="13">
        <f>((((VLOOKUP(B344,Database!$F:$AY,MATCH($L$1,Database!$F$1:$AY$1,),))))-(((VLOOKUP(EDATE(B344,-12),Database!$F:$AY,MATCH($L$1,Database!$F$1:$AY$1,),)))))/(((VLOOKUP(EDATE(B344,-12),Database!$F:$AY,MATCH($L$1,Database!$F$1:$AY$1,),))))</f>
        <v/>
      </c>
      <c r="M344" s="13">
        <f>((((VLOOKUP(B344,Database!$F:$AY,MATCH($M$1,Database!$F$1:$AY$1,),))))-(((VLOOKUP(EDATE(B344,-12),Database!$F:$AY,MATCH($M$1,Database!$F$1:$AY$1,),)))))/(((VLOOKUP(EDATE(B344,-12),Database!$F:$AY,MATCH($M$1,Database!$F$1:$AY$1,),))))</f>
        <v/>
      </c>
      <c r="N344" s="13">
        <f>((((VLOOKUP(B344,Database!$F:$AY,MATCH($N$1,Database!$F$1:$AY$1,),))))-(((VLOOKUP(EDATE(B344,-12),Database!$F:$AY,MATCH($N$1,Database!$F$1:$AY$1,),)))))/(((VLOOKUP(EDATE(B344,-12),Database!$F:$AY,MATCH($N$1,Database!$F$1:$AY$1,),))))</f>
        <v/>
      </c>
      <c r="O344" s="13">
        <f>((((VLOOKUP(B344,Database!$F:$AY,MATCH($O$1,Database!$F$1:$AY$1,),))))-(((VLOOKUP(EDATE(B344,-12),Database!$F:$AY,MATCH($O$1,Database!$F$1:$AY$1,),)))))/(((VLOOKUP(EDATE(B344,-12),Database!$F:$AY,MATCH($O$1,Database!$F$1:$AY$1,),))))</f>
        <v/>
      </c>
      <c r="P344" s="13">
        <f>((((VLOOKUP(B344,Database!$F:$AY,MATCH($P$1,Database!$F$1:$AY$1,),))))-(((VLOOKUP(EDATE(B344,-12),Database!$F:$AY,MATCH($P$1,Database!$F$1:$AY$1,),)))))/(((VLOOKUP(EDATE(B344,-12),Database!$F:$AY,MATCH($P$1,Database!$F$1:$AY$1,),))))</f>
        <v/>
      </c>
      <c r="Q344" s="13">
        <f>((((VLOOKUP(B344,Database!$F:$AY,MATCH($Q$1,Database!$F$1:$AY$1,),))))-(((VLOOKUP(EDATE(B344,-12),Database!$F:$AY,MATCH($Q$1,Database!$F$1:$AY$1,),)))))/(((VLOOKUP(EDATE(B344,-12),Database!$F:$AY,MATCH($Q$1,Database!$F$1:$AY$1,),))))</f>
        <v/>
      </c>
      <c r="R344" s="13">
        <f>((((VLOOKUP(B344,Database!$F:$AY,MATCH($R$1,Database!$F$1:$AY$1,),))))-(((VLOOKUP(EDATE(B344,-12),Database!$F:$AY,MATCH($R$1,Database!$F$1:$AY$1,),)))))/(((VLOOKUP(EDATE(B344,-12),Database!$F:$AY,MATCH($R$1,Database!$F$1:$AY$1,),))))</f>
        <v/>
      </c>
      <c r="S344" s="13">
        <f>((((VLOOKUP(B344,Database!$F:$AY,MATCH($S$1,Database!$F$1:$AY$1,),))))-(((VLOOKUP(EDATE(B344,-12),Database!$F:$AY,MATCH($S$1,Database!$F$1:$AY$1,),)))))/(((VLOOKUP(EDATE(B344,-12),Database!$F:$AY,MATCH($S$1,Database!$F$1:$AY$1,),))))</f>
        <v/>
      </c>
      <c r="T344" s="13">
        <f>((((VLOOKUP(B344,Database!$F:$AY,MATCH($T$1,Database!$F$1:$AY$1,),))))-(((VLOOKUP(EDATE(B344,-12),Database!$F:$AY,MATCH($T$1,Database!$F$1:$AY$1,),)))))/(((VLOOKUP(EDATE(B344,-12),Database!$F:$AY,MATCH($T$1,Database!$F$1:$AY$1,),))))</f>
        <v/>
      </c>
      <c r="U344" s="13">
        <f>((((VLOOKUP(B344,Database!$F:$AY,MATCH($U$1,Database!$F$1:$AY$1,),))))-(((VLOOKUP(EDATE(B344,-12),Database!$F:$AY,MATCH($U$1,Database!$F$1:$AY$1,),)))))/(((VLOOKUP(EDATE(B344,-12),Database!$F:$AY,MATCH($U$1,Database!$F$1:$AY$1,),))))</f>
        <v/>
      </c>
      <c r="V344" s="13">
        <f>((((VLOOKUP(B344,Database!$F:$AY,MATCH($V$1,Database!$F$1:$AY$1,),))))-(((VLOOKUP(EDATE(B344,-12),Database!$F:$AY,MATCH($V$1,Database!$F$1:$AY$1,),)))))/(((VLOOKUP(EDATE(B344,-12),Database!$F:$AY,MATCH($V$1,Database!$F$1:$AY$1,),))))</f>
        <v/>
      </c>
    </row>
    <row r="345" customFormat="1" s="100">
      <c r="A345" s="45" t="n"/>
      <c r="B345" s="46" t="n">
        <v>42644</v>
      </c>
      <c r="C345" s="13">
        <f>((((VLOOKUP(B345,Database!$F:$AY,MATCH($C$1,Database!$F$1:$AY$1,),))))-(((VLOOKUP(EDATE(B345,-12),Database!$F:$AY,MATCH($C$1,Database!$F$1:$AY$1,),)))))/(((VLOOKUP(EDATE(B345,-12),Database!$F:$AY,MATCH($C$1,Database!$F$1:$AY$1,),))))</f>
        <v/>
      </c>
      <c r="D345" s="13">
        <f>((((VLOOKUP(B345,Database!$F:$AY,MATCH($D$1,Database!$F$1:$AY$1,),))))-(((VLOOKUP(EDATE(B345,-12),Database!$F:$AY,MATCH($D$1,Database!$F$1:$AY$1,),)))))/(((VLOOKUP(EDATE(B345,-12),Database!$F:$AY,MATCH($D$1,Database!$F$1:$AY$1,),))))</f>
        <v/>
      </c>
      <c r="E345" s="13">
        <f>((((VLOOKUP(B345,Database!$F:$AY,MATCH($E$1,Database!$F$1:$AY$1,),))))-(((VLOOKUP(EDATE(B345,-12),Database!$F:$AY,MATCH($E$1,Database!$F$1:$AY$1,),)))))/(((VLOOKUP(EDATE(B345,-12),Database!$F:$AY,MATCH($E$1,Database!$F$1:$AY$1,),))))</f>
        <v/>
      </c>
      <c r="F345" s="13">
        <f>((((VLOOKUP(B345,Database!$F:$AY,MATCH($F$1,Database!$F$1:$AY$1,),))))-(((VLOOKUP(EDATE(B345,-12),Database!$F:$AY,MATCH($F$1,Database!$F$1:$AY$1,),)))))/(((VLOOKUP(EDATE(B345,-12),Database!$F:$AY,MATCH($F$1,Database!$F$1:$AY$1,),))))</f>
        <v/>
      </c>
      <c r="G345" s="13">
        <f>((((VLOOKUP(B345,Database!$F:$AY,MATCH($G$1,Database!$F$1:$AY$1,),))))-(((VLOOKUP(EDATE(B345,-12),Database!$F:$AY,MATCH($G$1,Database!$F$1:$AY$1,),)))))/(((VLOOKUP(EDATE(B345,-12),Database!$F:$AY,MATCH($G$1,Database!$F$1:$AY$1,),))))</f>
        <v/>
      </c>
      <c r="H345" s="13">
        <f>((((VLOOKUP(B345,Database!$F:$AY,MATCH($H$1,Database!$F$1:$AY$1,),))))-(((VLOOKUP(EDATE(B345,-12),Database!$F:$AY,MATCH($H$1,Database!$F$1:$AY$1,),)))))/(((VLOOKUP(EDATE(B345,-12),Database!$F:$AY,MATCH($H$1,Database!$F$1:$AY$1,),))))</f>
        <v/>
      </c>
      <c r="I345" s="13">
        <f>((((VLOOKUP(B345,Database!$F:$AY,MATCH($I$1,Database!$F$1:$AY$1,),))))-(((VLOOKUP(EDATE(B345,-12),Database!$F:$AY,MATCH($I$1,Database!$F$1:$AY$1,),)))))/(((VLOOKUP(EDATE(B345,-12),Database!$F:$AY,MATCH($I$1,Database!$F$1:$AY$1,),))))</f>
        <v/>
      </c>
      <c r="J345" s="13">
        <f>((((VLOOKUP(B345,Database!$F:$AY,MATCH($J$1,Database!$F$1:$AY$1,),))))-(((VLOOKUP(EDATE(B345,-12),Database!$F:$AY,MATCH($J$1,Database!$F$1:$AY$1,),)))))/(((VLOOKUP(EDATE(B345,-12),Database!$F:$AY,MATCH($J$1,Database!$F$1:$AY$1,),))))</f>
        <v/>
      </c>
      <c r="K345" s="13">
        <f>((((VLOOKUP(B345,Database!$F:$AY,MATCH($K$1,Database!$F$1:$AY$1,),))))-(((VLOOKUP(EDATE(B345,-12),Database!$F:$AY,MATCH($K$1,Database!$F$1:$AY$1,),)))))/(((VLOOKUP(EDATE(B345,-12),Database!$F:$AY,MATCH($K$1,Database!$F$1:$AY$1,),))))</f>
        <v/>
      </c>
      <c r="L345" s="13">
        <f>((((VLOOKUP(B345,Database!$F:$AY,MATCH($L$1,Database!$F$1:$AY$1,),))))-(((VLOOKUP(EDATE(B345,-12),Database!$F:$AY,MATCH($L$1,Database!$F$1:$AY$1,),)))))/(((VLOOKUP(EDATE(B345,-12),Database!$F:$AY,MATCH($L$1,Database!$F$1:$AY$1,),))))</f>
        <v/>
      </c>
      <c r="M345" s="13">
        <f>((((VLOOKUP(B345,Database!$F:$AY,MATCH($M$1,Database!$F$1:$AY$1,),))))-(((VLOOKUP(EDATE(B345,-12),Database!$F:$AY,MATCH($M$1,Database!$F$1:$AY$1,),)))))/(((VLOOKUP(EDATE(B345,-12),Database!$F:$AY,MATCH($M$1,Database!$F$1:$AY$1,),))))</f>
        <v/>
      </c>
      <c r="N345" s="13">
        <f>((((VLOOKUP(B345,Database!$F:$AY,MATCH($N$1,Database!$F$1:$AY$1,),))))-(((VLOOKUP(EDATE(B345,-12),Database!$F:$AY,MATCH($N$1,Database!$F$1:$AY$1,),)))))/(((VLOOKUP(EDATE(B345,-12),Database!$F:$AY,MATCH($N$1,Database!$F$1:$AY$1,),))))</f>
        <v/>
      </c>
      <c r="O345" s="13">
        <f>((((VLOOKUP(B345,Database!$F:$AY,MATCH($O$1,Database!$F$1:$AY$1,),))))-(((VLOOKUP(EDATE(B345,-12),Database!$F:$AY,MATCH($O$1,Database!$F$1:$AY$1,),)))))/(((VLOOKUP(EDATE(B345,-12),Database!$F:$AY,MATCH($O$1,Database!$F$1:$AY$1,),))))</f>
        <v/>
      </c>
      <c r="P345" s="13">
        <f>((((VLOOKUP(B345,Database!$F:$AY,MATCH($P$1,Database!$F$1:$AY$1,),))))-(((VLOOKUP(EDATE(B345,-12),Database!$F:$AY,MATCH($P$1,Database!$F$1:$AY$1,),)))))/(((VLOOKUP(EDATE(B345,-12),Database!$F:$AY,MATCH($P$1,Database!$F$1:$AY$1,),))))</f>
        <v/>
      </c>
      <c r="Q345" s="13">
        <f>((((VLOOKUP(B345,Database!$F:$AY,MATCH($Q$1,Database!$F$1:$AY$1,),))))-(((VLOOKUP(EDATE(B345,-12),Database!$F:$AY,MATCH($Q$1,Database!$F$1:$AY$1,),)))))/(((VLOOKUP(EDATE(B345,-12),Database!$F:$AY,MATCH($Q$1,Database!$F$1:$AY$1,),))))</f>
        <v/>
      </c>
      <c r="R345" s="13">
        <f>((((VLOOKUP(B345,Database!$F:$AY,MATCH($R$1,Database!$F$1:$AY$1,),))))-(((VLOOKUP(EDATE(B345,-12),Database!$F:$AY,MATCH($R$1,Database!$F$1:$AY$1,),)))))/(((VLOOKUP(EDATE(B345,-12),Database!$F:$AY,MATCH($R$1,Database!$F$1:$AY$1,),))))</f>
        <v/>
      </c>
      <c r="S345" s="13">
        <f>((((VLOOKUP(B345,Database!$F:$AY,MATCH($S$1,Database!$F$1:$AY$1,),))))-(((VLOOKUP(EDATE(B345,-12),Database!$F:$AY,MATCH($S$1,Database!$F$1:$AY$1,),)))))/(((VLOOKUP(EDATE(B345,-12),Database!$F:$AY,MATCH($S$1,Database!$F$1:$AY$1,),))))</f>
        <v/>
      </c>
      <c r="T345" s="13">
        <f>((((VLOOKUP(B345,Database!$F:$AY,MATCH($T$1,Database!$F$1:$AY$1,),))))-(((VLOOKUP(EDATE(B345,-12),Database!$F:$AY,MATCH($T$1,Database!$F$1:$AY$1,),)))))/(((VLOOKUP(EDATE(B345,-12),Database!$F:$AY,MATCH($T$1,Database!$F$1:$AY$1,),))))</f>
        <v/>
      </c>
      <c r="U345" s="13">
        <f>((((VLOOKUP(B345,Database!$F:$AY,MATCH($U$1,Database!$F$1:$AY$1,),))))-(((VLOOKUP(EDATE(B345,-12),Database!$F:$AY,MATCH($U$1,Database!$F$1:$AY$1,),)))))/(((VLOOKUP(EDATE(B345,-12),Database!$F:$AY,MATCH($U$1,Database!$F$1:$AY$1,),))))</f>
        <v/>
      </c>
      <c r="V345" s="13">
        <f>((((VLOOKUP(B345,Database!$F:$AY,MATCH($V$1,Database!$F$1:$AY$1,),))))-(((VLOOKUP(EDATE(B345,-12),Database!$F:$AY,MATCH($V$1,Database!$F$1:$AY$1,),)))))/(((VLOOKUP(EDATE(B345,-12),Database!$F:$AY,MATCH($V$1,Database!$F$1:$AY$1,),))))</f>
        <v/>
      </c>
    </row>
    <row r="346" customFormat="1" s="100">
      <c r="A346" s="45" t="n"/>
      <c r="B346" s="46" t="n">
        <v>42675</v>
      </c>
      <c r="C346" s="13">
        <f>((((VLOOKUP(B346,Database!$F:$AY,MATCH($C$1,Database!$F$1:$AY$1,),))))-(((VLOOKUP(EDATE(B346,-12),Database!$F:$AY,MATCH($C$1,Database!$F$1:$AY$1,),)))))/(((VLOOKUP(EDATE(B346,-12),Database!$F:$AY,MATCH($C$1,Database!$F$1:$AY$1,),))))</f>
        <v/>
      </c>
      <c r="D346" s="13">
        <f>((((VLOOKUP(B346,Database!$F:$AY,MATCH($D$1,Database!$F$1:$AY$1,),))))-(((VLOOKUP(EDATE(B346,-12),Database!$F:$AY,MATCH($D$1,Database!$F$1:$AY$1,),)))))/(((VLOOKUP(EDATE(B346,-12),Database!$F:$AY,MATCH($D$1,Database!$F$1:$AY$1,),))))</f>
        <v/>
      </c>
      <c r="E346" s="13">
        <f>((((VLOOKUP(B346,Database!$F:$AY,MATCH($E$1,Database!$F$1:$AY$1,),))))-(((VLOOKUP(EDATE(B346,-12),Database!$F:$AY,MATCH($E$1,Database!$F$1:$AY$1,),)))))/(((VLOOKUP(EDATE(B346,-12),Database!$F:$AY,MATCH($E$1,Database!$F$1:$AY$1,),))))</f>
        <v/>
      </c>
      <c r="F346" s="13">
        <f>((((VLOOKUP(B346,Database!$F:$AY,MATCH($F$1,Database!$F$1:$AY$1,),))))-(((VLOOKUP(EDATE(B346,-12),Database!$F:$AY,MATCH($F$1,Database!$F$1:$AY$1,),)))))/(((VLOOKUP(EDATE(B346,-12),Database!$F:$AY,MATCH($F$1,Database!$F$1:$AY$1,),))))</f>
        <v/>
      </c>
      <c r="G346" s="13">
        <f>((((VLOOKUP(B346,Database!$F:$AY,MATCH($G$1,Database!$F$1:$AY$1,),))))-(((VLOOKUP(EDATE(B346,-12),Database!$F:$AY,MATCH($G$1,Database!$F$1:$AY$1,),)))))/(((VLOOKUP(EDATE(B346,-12),Database!$F:$AY,MATCH($G$1,Database!$F$1:$AY$1,),))))</f>
        <v/>
      </c>
      <c r="H346" s="13">
        <f>((((VLOOKUP(B346,Database!$F:$AY,MATCH($H$1,Database!$F$1:$AY$1,),))))-(((VLOOKUP(EDATE(B346,-12),Database!$F:$AY,MATCH($H$1,Database!$F$1:$AY$1,),)))))/(((VLOOKUP(EDATE(B346,-12),Database!$F:$AY,MATCH($H$1,Database!$F$1:$AY$1,),))))</f>
        <v/>
      </c>
      <c r="I346" s="13">
        <f>((((VLOOKUP(B346,Database!$F:$AY,MATCH($I$1,Database!$F$1:$AY$1,),))))-(((VLOOKUP(EDATE(B346,-12),Database!$F:$AY,MATCH($I$1,Database!$F$1:$AY$1,),)))))/(((VLOOKUP(EDATE(B346,-12),Database!$F:$AY,MATCH($I$1,Database!$F$1:$AY$1,),))))</f>
        <v/>
      </c>
      <c r="J346" s="13">
        <f>((((VLOOKUP(B346,Database!$F:$AY,MATCH($J$1,Database!$F$1:$AY$1,),))))-(((VLOOKUP(EDATE(B346,-12),Database!$F:$AY,MATCH($J$1,Database!$F$1:$AY$1,),)))))/(((VLOOKUP(EDATE(B346,-12),Database!$F:$AY,MATCH($J$1,Database!$F$1:$AY$1,),))))</f>
        <v/>
      </c>
      <c r="K346" s="13">
        <f>((((VLOOKUP(B346,Database!$F:$AY,MATCH($K$1,Database!$F$1:$AY$1,),))))-(((VLOOKUP(EDATE(B346,-12),Database!$F:$AY,MATCH($K$1,Database!$F$1:$AY$1,),)))))/(((VLOOKUP(EDATE(B346,-12),Database!$F:$AY,MATCH($K$1,Database!$F$1:$AY$1,),))))</f>
        <v/>
      </c>
      <c r="L346" s="13">
        <f>((((VLOOKUP(B346,Database!$F:$AY,MATCH($L$1,Database!$F$1:$AY$1,),))))-(((VLOOKUP(EDATE(B346,-12),Database!$F:$AY,MATCH($L$1,Database!$F$1:$AY$1,),)))))/(((VLOOKUP(EDATE(B346,-12),Database!$F:$AY,MATCH($L$1,Database!$F$1:$AY$1,),))))</f>
        <v/>
      </c>
      <c r="M346" s="13">
        <f>((((VLOOKUP(B346,Database!$F:$AY,MATCH($M$1,Database!$F$1:$AY$1,),))))-(((VLOOKUP(EDATE(B346,-12),Database!$F:$AY,MATCH($M$1,Database!$F$1:$AY$1,),)))))/(((VLOOKUP(EDATE(B346,-12),Database!$F:$AY,MATCH($M$1,Database!$F$1:$AY$1,),))))</f>
        <v/>
      </c>
      <c r="N346" s="13">
        <f>((((VLOOKUP(B346,Database!$F:$AY,MATCH($N$1,Database!$F$1:$AY$1,),))))-(((VLOOKUP(EDATE(B346,-12),Database!$F:$AY,MATCH($N$1,Database!$F$1:$AY$1,),)))))/(((VLOOKUP(EDATE(B346,-12),Database!$F:$AY,MATCH($N$1,Database!$F$1:$AY$1,),))))</f>
        <v/>
      </c>
      <c r="O346" s="13">
        <f>((((VLOOKUP(B346,Database!$F:$AY,MATCH($O$1,Database!$F$1:$AY$1,),))))-(((VLOOKUP(EDATE(B346,-12),Database!$F:$AY,MATCH($O$1,Database!$F$1:$AY$1,),)))))/(((VLOOKUP(EDATE(B346,-12),Database!$F:$AY,MATCH($O$1,Database!$F$1:$AY$1,),))))</f>
        <v/>
      </c>
      <c r="P346" s="13">
        <f>((((VLOOKUP(B346,Database!$F:$AY,MATCH($P$1,Database!$F$1:$AY$1,),))))-(((VLOOKUP(EDATE(B346,-12),Database!$F:$AY,MATCH($P$1,Database!$F$1:$AY$1,),)))))/(((VLOOKUP(EDATE(B346,-12),Database!$F:$AY,MATCH($P$1,Database!$F$1:$AY$1,),))))</f>
        <v/>
      </c>
      <c r="Q346" s="13">
        <f>((((VLOOKUP(B346,Database!$F:$AY,MATCH($Q$1,Database!$F$1:$AY$1,),))))-(((VLOOKUP(EDATE(B346,-12),Database!$F:$AY,MATCH($Q$1,Database!$F$1:$AY$1,),)))))/(((VLOOKUP(EDATE(B346,-12),Database!$F:$AY,MATCH($Q$1,Database!$F$1:$AY$1,),))))</f>
        <v/>
      </c>
      <c r="R346" s="13">
        <f>((((VLOOKUP(B346,Database!$F:$AY,MATCH($R$1,Database!$F$1:$AY$1,),))))-(((VLOOKUP(EDATE(B346,-12),Database!$F:$AY,MATCH($R$1,Database!$F$1:$AY$1,),)))))/(((VLOOKUP(EDATE(B346,-12),Database!$F:$AY,MATCH($R$1,Database!$F$1:$AY$1,),))))</f>
        <v/>
      </c>
      <c r="S346" s="13">
        <f>((((VLOOKUP(B346,Database!$F:$AY,MATCH($S$1,Database!$F$1:$AY$1,),))))-(((VLOOKUP(EDATE(B346,-12),Database!$F:$AY,MATCH($S$1,Database!$F$1:$AY$1,),)))))/(((VLOOKUP(EDATE(B346,-12),Database!$F:$AY,MATCH($S$1,Database!$F$1:$AY$1,),))))</f>
        <v/>
      </c>
      <c r="T346" s="13">
        <f>((((VLOOKUP(B346,Database!$F:$AY,MATCH($T$1,Database!$F$1:$AY$1,),))))-(((VLOOKUP(EDATE(B346,-12),Database!$F:$AY,MATCH($T$1,Database!$F$1:$AY$1,),)))))/(((VLOOKUP(EDATE(B346,-12),Database!$F:$AY,MATCH($T$1,Database!$F$1:$AY$1,),))))</f>
        <v/>
      </c>
      <c r="U346" s="13">
        <f>((((VLOOKUP(B346,Database!$F:$AY,MATCH($U$1,Database!$F$1:$AY$1,),))))-(((VLOOKUP(EDATE(B346,-12),Database!$F:$AY,MATCH($U$1,Database!$F$1:$AY$1,),)))))/(((VLOOKUP(EDATE(B346,-12),Database!$F:$AY,MATCH($U$1,Database!$F$1:$AY$1,),))))</f>
        <v/>
      </c>
      <c r="V346" s="13">
        <f>((((VLOOKUP(B346,Database!$F:$AY,MATCH($V$1,Database!$F$1:$AY$1,),))))-(((VLOOKUP(EDATE(B346,-12),Database!$F:$AY,MATCH($V$1,Database!$F$1:$AY$1,),)))))/(((VLOOKUP(EDATE(B346,-12),Database!$F:$AY,MATCH($V$1,Database!$F$1:$AY$1,),))))</f>
        <v/>
      </c>
    </row>
    <row r="347" customFormat="1" s="100">
      <c r="A347" s="45" t="n"/>
      <c r="B347" s="46" t="n">
        <v>42705</v>
      </c>
      <c r="C347" s="13">
        <f>((((VLOOKUP(B347,Database!$F:$AY,MATCH($C$1,Database!$F$1:$AY$1,),))))-(((VLOOKUP(EDATE(B347,-12),Database!$F:$AY,MATCH($C$1,Database!$F$1:$AY$1,),)))))/(((VLOOKUP(EDATE(B347,-12),Database!$F:$AY,MATCH($C$1,Database!$F$1:$AY$1,),))))</f>
        <v/>
      </c>
      <c r="D347" s="13">
        <f>((((VLOOKUP(B347,Database!$F:$AY,MATCH($D$1,Database!$F$1:$AY$1,),))))-(((VLOOKUP(EDATE(B347,-12),Database!$F:$AY,MATCH($D$1,Database!$F$1:$AY$1,),)))))/(((VLOOKUP(EDATE(B347,-12),Database!$F:$AY,MATCH($D$1,Database!$F$1:$AY$1,),))))</f>
        <v/>
      </c>
      <c r="E347" s="13">
        <f>((((VLOOKUP(B347,Database!$F:$AY,MATCH($E$1,Database!$F$1:$AY$1,),))))-(((VLOOKUP(EDATE(B347,-12),Database!$F:$AY,MATCH($E$1,Database!$F$1:$AY$1,),)))))/(((VLOOKUP(EDATE(B347,-12),Database!$F:$AY,MATCH($E$1,Database!$F$1:$AY$1,),))))</f>
        <v/>
      </c>
      <c r="F347" s="13">
        <f>((((VLOOKUP(B347,Database!$F:$AY,MATCH($F$1,Database!$F$1:$AY$1,),))))-(((VLOOKUP(EDATE(B347,-12),Database!$F:$AY,MATCH($F$1,Database!$F$1:$AY$1,),)))))/(((VLOOKUP(EDATE(B347,-12),Database!$F:$AY,MATCH($F$1,Database!$F$1:$AY$1,),))))</f>
        <v/>
      </c>
      <c r="G347" s="13">
        <f>((((VLOOKUP(B347,Database!$F:$AY,MATCH($G$1,Database!$F$1:$AY$1,),))))-(((VLOOKUP(EDATE(B347,-12),Database!$F:$AY,MATCH($G$1,Database!$F$1:$AY$1,),)))))/(((VLOOKUP(EDATE(B347,-12),Database!$F:$AY,MATCH($G$1,Database!$F$1:$AY$1,),))))</f>
        <v/>
      </c>
      <c r="H347" s="13">
        <f>((((VLOOKUP(B347,Database!$F:$AY,MATCH($H$1,Database!$F$1:$AY$1,),))))-(((VLOOKUP(EDATE(B347,-12),Database!$F:$AY,MATCH($H$1,Database!$F$1:$AY$1,),)))))/(((VLOOKUP(EDATE(B347,-12),Database!$F:$AY,MATCH($H$1,Database!$F$1:$AY$1,),))))</f>
        <v/>
      </c>
      <c r="I347" s="13">
        <f>((((VLOOKUP(B347,Database!$F:$AY,MATCH($I$1,Database!$F$1:$AY$1,),))))-(((VLOOKUP(EDATE(B347,-12),Database!$F:$AY,MATCH($I$1,Database!$F$1:$AY$1,),)))))/(((VLOOKUP(EDATE(B347,-12),Database!$F:$AY,MATCH($I$1,Database!$F$1:$AY$1,),))))</f>
        <v/>
      </c>
      <c r="J347" s="13">
        <f>((((VLOOKUP(B347,Database!$F:$AY,MATCH($J$1,Database!$F$1:$AY$1,),))))-(((VLOOKUP(EDATE(B347,-12),Database!$F:$AY,MATCH($J$1,Database!$F$1:$AY$1,),)))))/(((VLOOKUP(EDATE(B347,-12),Database!$F:$AY,MATCH($J$1,Database!$F$1:$AY$1,),))))</f>
        <v/>
      </c>
      <c r="K347" s="13">
        <f>((((VLOOKUP(B347,Database!$F:$AY,MATCH($K$1,Database!$F$1:$AY$1,),))))-(((VLOOKUP(EDATE(B347,-12),Database!$F:$AY,MATCH($K$1,Database!$F$1:$AY$1,),)))))/(((VLOOKUP(EDATE(B347,-12),Database!$F:$AY,MATCH($K$1,Database!$F$1:$AY$1,),))))</f>
        <v/>
      </c>
      <c r="L347" s="13">
        <f>((((VLOOKUP(B347,Database!$F:$AY,MATCH($L$1,Database!$F$1:$AY$1,),))))-(((VLOOKUP(EDATE(B347,-12),Database!$F:$AY,MATCH($L$1,Database!$F$1:$AY$1,),)))))/(((VLOOKUP(EDATE(B347,-12),Database!$F:$AY,MATCH($L$1,Database!$F$1:$AY$1,),))))</f>
        <v/>
      </c>
      <c r="M347" s="13">
        <f>((((VLOOKUP(B347,Database!$F:$AY,MATCH($M$1,Database!$F$1:$AY$1,),))))-(((VLOOKUP(EDATE(B347,-12),Database!$F:$AY,MATCH($M$1,Database!$F$1:$AY$1,),)))))/(((VLOOKUP(EDATE(B347,-12),Database!$F:$AY,MATCH($M$1,Database!$F$1:$AY$1,),))))</f>
        <v/>
      </c>
      <c r="N347" s="13">
        <f>((((VLOOKUP(B347,Database!$F:$AY,MATCH($N$1,Database!$F$1:$AY$1,),))))-(((VLOOKUP(EDATE(B347,-12),Database!$F:$AY,MATCH($N$1,Database!$F$1:$AY$1,),)))))/(((VLOOKUP(EDATE(B347,-12),Database!$F:$AY,MATCH($N$1,Database!$F$1:$AY$1,),))))</f>
        <v/>
      </c>
      <c r="O347" s="13">
        <f>((((VLOOKUP(B347,Database!$F:$AY,MATCH($O$1,Database!$F$1:$AY$1,),))))-(((VLOOKUP(EDATE(B347,-12),Database!$F:$AY,MATCH($O$1,Database!$F$1:$AY$1,),)))))/(((VLOOKUP(EDATE(B347,-12),Database!$F:$AY,MATCH($O$1,Database!$F$1:$AY$1,),))))</f>
        <v/>
      </c>
      <c r="P347" s="13">
        <f>((((VLOOKUP(B347,Database!$F:$AY,MATCH($P$1,Database!$F$1:$AY$1,),))))-(((VLOOKUP(EDATE(B347,-12),Database!$F:$AY,MATCH($P$1,Database!$F$1:$AY$1,),)))))/(((VLOOKUP(EDATE(B347,-12),Database!$F:$AY,MATCH($P$1,Database!$F$1:$AY$1,),))))</f>
        <v/>
      </c>
      <c r="Q347" s="13">
        <f>((((VLOOKUP(B347,Database!$F:$AY,MATCH($Q$1,Database!$F$1:$AY$1,),))))-(((VLOOKUP(EDATE(B347,-12),Database!$F:$AY,MATCH($Q$1,Database!$F$1:$AY$1,),)))))/(((VLOOKUP(EDATE(B347,-12),Database!$F:$AY,MATCH($Q$1,Database!$F$1:$AY$1,),))))</f>
        <v/>
      </c>
      <c r="R347" s="13">
        <f>((((VLOOKUP(B347,Database!$F:$AY,MATCH($R$1,Database!$F$1:$AY$1,),))))-(((VLOOKUP(EDATE(B347,-12),Database!$F:$AY,MATCH($R$1,Database!$F$1:$AY$1,),)))))/(((VLOOKUP(EDATE(B347,-12),Database!$F:$AY,MATCH($R$1,Database!$F$1:$AY$1,),))))</f>
        <v/>
      </c>
      <c r="S347" s="13">
        <f>((((VLOOKUP(B347,Database!$F:$AY,MATCH($S$1,Database!$F$1:$AY$1,),))))-(((VLOOKUP(EDATE(B347,-12),Database!$F:$AY,MATCH($S$1,Database!$F$1:$AY$1,),)))))/(((VLOOKUP(EDATE(B347,-12),Database!$F:$AY,MATCH($S$1,Database!$F$1:$AY$1,),))))</f>
        <v/>
      </c>
      <c r="T347" s="13">
        <f>((((VLOOKUP(B347,Database!$F:$AY,MATCH($T$1,Database!$F$1:$AY$1,),))))-(((VLOOKUP(EDATE(B347,-12),Database!$F:$AY,MATCH($T$1,Database!$F$1:$AY$1,),)))))/(((VLOOKUP(EDATE(B347,-12),Database!$F:$AY,MATCH($T$1,Database!$F$1:$AY$1,),))))</f>
        <v/>
      </c>
      <c r="U347" s="13">
        <f>((((VLOOKUP(B347,Database!$F:$AY,MATCH($U$1,Database!$F$1:$AY$1,),))))-(((VLOOKUP(EDATE(B347,-12),Database!$F:$AY,MATCH($U$1,Database!$F$1:$AY$1,),)))))/(((VLOOKUP(EDATE(B347,-12),Database!$F:$AY,MATCH($U$1,Database!$F$1:$AY$1,),))))</f>
        <v/>
      </c>
      <c r="V347" s="13">
        <f>((((VLOOKUP(B347,Database!$F:$AY,MATCH($V$1,Database!$F$1:$AY$1,),))))-(((VLOOKUP(EDATE(B347,-12),Database!$F:$AY,MATCH($V$1,Database!$F$1:$AY$1,),)))))/(((VLOOKUP(EDATE(B347,-12),Database!$F:$AY,MATCH($V$1,Database!$F$1:$AY$1,),))))</f>
        <v/>
      </c>
    </row>
    <row r="348" customFormat="1" s="100">
      <c r="A348" s="45" t="n"/>
      <c r="B348" s="46" t="n">
        <v>42736</v>
      </c>
      <c r="C348" s="13">
        <f>((((VLOOKUP(B348,Database!$F:$AY,MATCH($C$1,Database!$F$1:$AY$1,),))))-(((VLOOKUP(EDATE(B348,-12),Database!$F:$AY,MATCH($C$1,Database!$F$1:$AY$1,),)))))/(((VLOOKUP(EDATE(B348,-12),Database!$F:$AY,MATCH($C$1,Database!$F$1:$AY$1,),))))</f>
        <v/>
      </c>
      <c r="D348" s="13">
        <f>((((VLOOKUP(B348,Database!$F:$AY,MATCH($D$1,Database!$F$1:$AY$1,),))))-(((VLOOKUP(EDATE(B348,-12),Database!$F:$AY,MATCH($D$1,Database!$F$1:$AY$1,),)))))/(((VLOOKUP(EDATE(B348,-12),Database!$F:$AY,MATCH($D$1,Database!$F$1:$AY$1,),))))</f>
        <v/>
      </c>
      <c r="E348" s="13">
        <f>((((VLOOKUP(B348,Database!$F:$AY,MATCH($E$1,Database!$F$1:$AY$1,),))))-(((VLOOKUP(EDATE(B348,-12),Database!$F:$AY,MATCH($E$1,Database!$F$1:$AY$1,),)))))/(((VLOOKUP(EDATE(B348,-12),Database!$F:$AY,MATCH($E$1,Database!$F$1:$AY$1,),))))</f>
        <v/>
      </c>
      <c r="F348" s="13">
        <f>((((VLOOKUP(B348,Database!$F:$AY,MATCH($F$1,Database!$F$1:$AY$1,),))))-(((VLOOKUP(EDATE(B348,-12),Database!$F:$AY,MATCH($F$1,Database!$F$1:$AY$1,),)))))/(((VLOOKUP(EDATE(B348,-12),Database!$F:$AY,MATCH($F$1,Database!$F$1:$AY$1,),))))</f>
        <v/>
      </c>
      <c r="G348" s="13">
        <f>((((VLOOKUP(B348,Database!$F:$AY,MATCH($G$1,Database!$F$1:$AY$1,),))))-(((VLOOKUP(EDATE(B348,-12),Database!$F:$AY,MATCH($G$1,Database!$F$1:$AY$1,),)))))/(((VLOOKUP(EDATE(B348,-12),Database!$F:$AY,MATCH($G$1,Database!$F$1:$AY$1,),))))</f>
        <v/>
      </c>
      <c r="H348" s="13">
        <f>((((VLOOKUP(B348,Database!$F:$AY,MATCH($H$1,Database!$F$1:$AY$1,),))))-(((VLOOKUP(EDATE(B348,-12),Database!$F:$AY,MATCH($H$1,Database!$F$1:$AY$1,),)))))/(((VLOOKUP(EDATE(B348,-12),Database!$F:$AY,MATCH($H$1,Database!$F$1:$AY$1,),))))</f>
        <v/>
      </c>
      <c r="I348" s="13">
        <f>((((VLOOKUP(B348,Database!$F:$AY,MATCH($I$1,Database!$F$1:$AY$1,),))))-(((VLOOKUP(EDATE(B348,-12),Database!$F:$AY,MATCH($I$1,Database!$F$1:$AY$1,),)))))/(((VLOOKUP(EDATE(B348,-12),Database!$F:$AY,MATCH($I$1,Database!$F$1:$AY$1,),))))</f>
        <v/>
      </c>
      <c r="J348" s="13">
        <f>((((VLOOKUP(B348,Database!$F:$AY,MATCH($J$1,Database!$F$1:$AY$1,),))))-(((VLOOKUP(EDATE(B348,-12),Database!$F:$AY,MATCH($J$1,Database!$F$1:$AY$1,),)))))/(((VLOOKUP(EDATE(B348,-12),Database!$F:$AY,MATCH($J$1,Database!$F$1:$AY$1,),))))</f>
        <v/>
      </c>
      <c r="K348" s="13">
        <f>((((VLOOKUP(B348,Database!$F:$AY,MATCH($K$1,Database!$F$1:$AY$1,),))))-(((VLOOKUP(EDATE(B348,-12),Database!$F:$AY,MATCH($K$1,Database!$F$1:$AY$1,),)))))/(((VLOOKUP(EDATE(B348,-12),Database!$F:$AY,MATCH($K$1,Database!$F$1:$AY$1,),))))</f>
        <v/>
      </c>
      <c r="L348" s="13">
        <f>((((VLOOKUP(B348,Database!$F:$AY,MATCH($L$1,Database!$F$1:$AY$1,),))))-(((VLOOKUP(EDATE(B348,-12),Database!$F:$AY,MATCH($L$1,Database!$F$1:$AY$1,),)))))/(((VLOOKUP(EDATE(B348,-12),Database!$F:$AY,MATCH($L$1,Database!$F$1:$AY$1,),))))</f>
        <v/>
      </c>
      <c r="M348" s="13">
        <f>((((VLOOKUP(B348,Database!$F:$AY,MATCH($M$1,Database!$F$1:$AY$1,),))))-(((VLOOKUP(EDATE(B348,-12),Database!$F:$AY,MATCH($M$1,Database!$F$1:$AY$1,),)))))/(((VLOOKUP(EDATE(B348,-12),Database!$F:$AY,MATCH($M$1,Database!$F$1:$AY$1,),))))</f>
        <v/>
      </c>
      <c r="N348" s="13">
        <f>((((VLOOKUP(B348,Database!$F:$AY,MATCH($N$1,Database!$F$1:$AY$1,),))))-(((VLOOKUP(EDATE(B348,-12),Database!$F:$AY,MATCH($N$1,Database!$F$1:$AY$1,),)))))/(((VLOOKUP(EDATE(B348,-12),Database!$F:$AY,MATCH($N$1,Database!$F$1:$AY$1,),))))</f>
        <v/>
      </c>
      <c r="O348" s="13">
        <f>((((VLOOKUP(B348,Database!$F:$AY,MATCH($O$1,Database!$F$1:$AY$1,),))))-(((VLOOKUP(EDATE(B348,-12),Database!$F:$AY,MATCH($O$1,Database!$F$1:$AY$1,),)))))/(((VLOOKUP(EDATE(B348,-12),Database!$F:$AY,MATCH($O$1,Database!$F$1:$AY$1,),))))</f>
        <v/>
      </c>
      <c r="P348" s="13">
        <f>((((VLOOKUP(B348,Database!$F:$AY,MATCH($P$1,Database!$F$1:$AY$1,),))))-(((VLOOKUP(EDATE(B348,-12),Database!$F:$AY,MATCH($P$1,Database!$F$1:$AY$1,),)))))/(((VLOOKUP(EDATE(B348,-12),Database!$F:$AY,MATCH($P$1,Database!$F$1:$AY$1,),))))</f>
        <v/>
      </c>
      <c r="Q348" s="13">
        <f>((((VLOOKUP(B348,Database!$F:$AY,MATCH($Q$1,Database!$F$1:$AY$1,),))))-(((VLOOKUP(EDATE(B348,-12),Database!$F:$AY,MATCH($Q$1,Database!$F$1:$AY$1,),)))))/(((VLOOKUP(EDATE(B348,-12),Database!$F:$AY,MATCH($Q$1,Database!$F$1:$AY$1,),))))</f>
        <v/>
      </c>
      <c r="R348" s="13">
        <f>((((VLOOKUP(B348,Database!$F:$AY,MATCH($R$1,Database!$F$1:$AY$1,),))))-(((VLOOKUP(EDATE(B348,-12),Database!$F:$AY,MATCH($R$1,Database!$F$1:$AY$1,),)))))/(((VLOOKUP(EDATE(B348,-12),Database!$F:$AY,MATCH($R$1,Database!$F$1:$AY$1,),))))</f>
        <v/>
      </c>
      <c r="S348" s="13">
        <f>((((VLOOKUP(B348,Database!$F:$AY,MATCH($S$1,Database!$F$1:$AY$1,),))))-(((VLOOKUP(EDATE(B348,-12),Database!$F:$AY,MATCH($S$1,Database!$F$1:$AY$1,),)))))/(((VLOOKUP(EDATE(B348,-12),Database!$F:$AY,MATCH($S$1,Database!$F$1:$AY$1,),))))</f>
        <v/>
      </c>
      <c r="T348" s="13">
        <f>((((VLOOKUP(B348,Database!$F:$AY,MATCH($T$1,Database!$F$1:$AY$1,),))))-(((VLOOKUP(EDATE(B348,-12),Database!$F:$AY,MATCH($T$1,Database!$F$1:$AY$1,),)))))/(((VLOOKUP(EDATE(B348,-12),Database!$F:$AY,MATCH($T$1,Database!$F$1:$AY$1,),))))</f>
        <v/>
      </c>
      <c r="U348" s="13">
        <f>((((VLOOKUP(B348,Database!$F:$AY,MATCH($U$1,Database!$F$1:$AY$1,),))))-(((VLOOKUP(EDATE(B348,-12),Database!$F:$AY,MATCH($U$1,Database!$F$1:$AY$1,),)))))/(((VLOOKUP(EDATE(B348,-12),Database!$F:$AY,MATCH($U$1,Database!$F$1:$AY$1,),))))</f>
        <v/>
      </c>
      <c r="V348" s="13">
        <f>((((VLOOKUP(B348,Database!$F:$AY,MATCH($V$1,Database!$F$1:$AY$1,),))))-(((VLOOKUP(EDATE(B348,-12),Database!$F:$AY,MATCH($V$1,Database!$F$1:$AY$1,),)))))/(((VLOOKUP(EDATE(B348,-12),Database!$F:$AY,MATCH($V$1,Database!$F$1:$AY$1,),))))</f>
        <v/>
      </c>
    </row>
    <row r="349" customFormat="1" s="100">
      <c r="A349" s="45" t="n"/>
      <c r="B349" s="46" t="n">
        <v>42767</v>
      </c>
      <c r="C349" s="13">
        <f>((((VLOOKUP(B349,Database!$F:$AY,MATCH($C$1,Database!$F$1:$AY$1,),))))-(((VLOOKUP(EDATE(B349,-12),Database!$F:$AY,MATCH($C$1,Database!$F$1:$AY$1,),)))))/(((VLOOKUP(EDATE(B349,-12),Database!$F:$AY,MATCH($C$1,Database!$F$1:$AY$1,),))))</f>
        <v/>
      </c>
      <c r="D349" s="13">
        <f>((((VLOOKUP(B349,Database!$F:$AY,MATCH($D$1,Database!$F$1:$AY$1,),))))-(((VLOOKUP(EDATE(B349,-12),Database!$F:$AY,MATCH($D$1,Database!$F$1:$AY$1,),)))))/(((VLOOKUP(EDATE(B349,-12),Database!$F:$AY,MATCH($D$1,Database!$F$1:$AY$1,),))))</f>
        <v/>
      </c>
      <c r="E349" s="13">
        <f>((((VLOOKUP(B349,Database!$F:$AY,MATCH($E$1,Database!$F$1:$AY$1,),))))-(((VLOOKUP(EDATE(B349,-12),Database!$F:$AY,MATCH($E$1,Database!$F$1:$AY$1,),)))))/(((VLOOKUP(EDATE(B349,-12),Database!$F:$AY,MATCH($E$1,Database!$F$1:$AY$1,),))))</f>
        <v/>
      </c>
      <c r="F349" s="13">
        <f>((((VLOOKUP(B349,Database!$F:$AY,MATCH($F$1,Database!$F$1:$AY$1,),))))-(((VLOOKUP(EDATE(B349,-12),Database!$F:$AY,MATCH($F$1,Database!$F$1:$AY$1,),)))))/(((VLOOKUP(EDATE(B349,-12),Database!$F:$AY,MATCH($F$1,Database!$F$1:$AY$1,),))))</f>
        <v/>
      </c>
      <c r="G349" s="13">
        <f>((((VLOOKUP(B349,Database!$F:$AY,MATCH($G$1,Database!$F$1:$AY$1,),))))-(((VLOOKUP(EDATE(B349,-12),Database!$F:$AY,MATCH($G$1,Database!$F$1:$AY$1,),)))))/(((VLOOKUP(EDATE(B349,-12),Database!$F:$AY,MATCH($G$1,Database!$F$1:$AY$1,),))))</f>
        <v/>
      </c>
      <c r="H349" s="13">
        <f>((((VLOOKUP(B349,Database!$F:$AY,MATCH($H$1,Database!$F$1:$AY$1,),))))-(((VLOOKUP(EDATE(B349,-12),Database!$F:$AY,MATCH($H$1,Database!$F$1:$AY$1,),)))))/(((VLOOKUP(EDATE(B349,-12),Database!$F:$AY,MATCH($H$1,Database!$F$1:$AY$1,),))))</f>
        <v/>
      </c>
      <c r="I349" s="13">
        <f>((((VLOOKUP(B349,Database!$F:$AY,MATCH($I$1,Database!$F$1:$AY$1,),))))-(((VLOOKUP(EDATE(B349,-12),Database!$F:$AY,MATCH($I$1,Database!$F$1:$AY$1,),)))))/(((VLOOKUP(EDATE(B349,-12),Database!$F:$AY,MATCH($I$1,Database!$F$1:$AY$1,),))))</f>
        <v/>
      </c>
      <c r="J349" s="13">
        <f>((((VLOOKUP(B349,Database!$F:$AY,MATCH($J$1,Database!$F$1:$AY$1,),))))-(((VLOOKUP(EDATE(B349,-12),Database!$F:$AY,MATCH($J$1,Database!$F$1:$AY$1,),)))))/(((VLOOKUP(EDATE(B349,-12),Database!$F:$AY,MATCH($J$1,Database!$F$1:$AY$1,),))))</f>
        <v/>
      </c>
      <c r="K349" s="13">
        <f>((((VLOOKUP(B349,Database!$F:$AY,MATCH($K$1,Database!$F$1:$AY$1,),))))-(((VLOOKUP(EDATE(B349,-12),Database!$F:$AY,MATCH($K$1,Database!$F$1:$AY$1,),)))))/(((VLOOKUP(EDATE(B349,-12),Database!$F:$AY,MATCH($K$1,Database!$F$1:$AY$1,),))))</f>
        <v/>
      </c>
      <c r="L349" s="13">
        <f>((((VLOOKUP(B349,Database!$F:$AY,MATCH($L$1,Database!$F$1:$AY$1,),))))-(((VLOOKUP(EDATE(B349,-12),Database!$F:$AY,MATCH($L$1,Database!$F$1:$AY$1,),)))))/(((VLOOKUP(EDATE(B349,-12),Database!$F:$AY,MATCH($L$1,Database!$F$1:$AY$1,),))))</f>
        <v/>
      </c>
      <c r="M349" s="13">
        <f>((((VLOOKUP(B349,Database!$F:$AY,MATCH($M$1,Database!$F$1:$AY$1,),))))-(((VLOOKUP(EDATE(B349,-12),Database!$F:$AY,MATCH($M$1,Database!$F$1:$AY$1,),)))))/(((VLOOKUP(EDATE(B349,-12),Database!$F:$AY,MATCH($M$1,Database!$F$1:$AY$1,),))))</f>
        <v/>
      </c>
      <c r="N349" s="13">
        <f>((((VLOOKUP(B349,Database!$F:$AY,MATCH($N$1,Database!$F$1:$AY$1,),))))-(((VLOOKUP(EDATE(B349,-12),Database!$F:$AY,MATCH($N$1,Database!$F$1:$AY$1,),)))))/(((VLOOKUP(EDATE(B349,-12),Database!$F:$AY,MATCH($N$1,Database!$F$1:$AY$1,),))))</f>
        <v/>
      </c>
      <c r="O349" s="13">
        <f>((((VLOOKUP(B349,Database!$F:$AY,MATCH($O$1,Database!$F$1:$AY$1,),))))-(((VLOOKUP(EDATE(B349,-12),Database!$F:$AY,MATCH($O$1,Database!$F$1:$AY$1,),)))))/(((VLOOKUP(EDATE(B349,-12),Database!$F:$AY,MATCH($O$1,Database!$F$1:$AY$1,),))))</f>
        <v/>
      </c>
      <c r="P349" s="13">
        <f>((((VLOOKUP(B349,Database!$F:$AY,MATCH($P$1,Database!$F$1:$AY$1,),))))-(((VLOOKUP(EDATE(B349,-12),Database!$F:$AY,MATCH($P$1,Database!$F$1:$AY$1,),)))))/(((VLOOKUP(EDATE(B349,-12),Database!$F:$AY,MATCH($P$1,Database!$F$1:$AY$1,),))))</f>
        <v/>
      </c>
      <c r="Q349" s="13">
        <f>((((VLOOKUP(B349,Database!$F:$AY,MATCH($Q$1,Database!$F$1:$AY$1,),))))-(((VLOOKUP(EDATE(B349,-12),Database!$F:$AY,MATCH($Q$1,Database!$F$1:$AY$1,),)))))/(((VLOOKUP(EDATE(B349,-12),Database!$F:$AY,MATCH($Q$1,Database!$F$1:$AY$1,),))))</f>
        <v/>
      </c>
      <c r="R349" s="13">
        <f>((((VLOOKUP(B349,Database!$F:$AY,MATCH($R$1,Database!$F$1:$AY$1,),))))-(((VLOOKUP(EDATE(B349,-12),Database!$F:$AY,MATCH($R$1,Database!$F$1:$AY$1,),)))))/(((VLOOKUP(EDATE(B349,-12),Database!$F:$AY,MATCH($R$1,Database!$F$1:$AY$1,),))))</f>
        <v/>
      </c>
      <c r="S349" s="13">
        <f>((((VLOOKUP(B349,Database!$F:$AY,MATCH($S$1,Database!$F$1:$AY$1,),))))-(((VLOOKUP(EDATE(B349,-12),Database!$F:$AY,MATCH($S$1,Database!$F$1:$AY$1,),)))))/(((VLOOKUP(EDATE(B349,-12),Database!$F:$AY,MATCH($S$1,Database!$F$1:$AY$1,),))))</f>
        <v/>
      </c>
      <c r="T349" s="13">
        <f>((((VLOOKUP(B349,Database!$F:$AY,MATCH($T$1,Database!$F$1:$AY$1,),))))-(((VLOOKUP(EDATE(B349,-12),Database!$F:$AY,MATCH($T$1,Database!$F$1:$AY$1,),)))))/(((VLOOKUP(EDATE(B349,-12),Database!$F:$AY,MATCH($T$1,Database!$F$1:$AY$1,),))))</f>
        <v/>
      </c>
      <c r="U349" s="13">
        <f>((((VLOOKUP(B349,Database!$F:$AY,MATCH($U$1,Database!$F$1:$AY$1,),))))-(((VLOOKUP(EDATE(B349,-12),Database!$F:$AY,MATCH($U$1,Database!$F$1:$AY$1,),)))))/(((VLOOKUP(EDATE(B349,-12),Database!$F:$AY,MATCH($U$1,Database!$F$1:$AY$1,),))))</f>
        <v/>
      </c>
      <c r="V349" s="13">
        <f>((((VLOOKUP(B349,Database!$F:$AY,MATCH($V$1,Database!$F$1:$AY$1,),))))-(((VLOOKUP(EDATE(B349,-12),Database!$F:$AY,MATCH($V$1,Database!$F$1:$AY$1,),)))))/(((VLOOKUP(EDATE(B349,-12),Database!$F:$AY,MATCH($V$1,Database!$F$1:$AY$1,),))))</f>
        <v/>
      </c>
    </row>
    <row r="350" customFormat="1" s="100">
      <c r="A350" s="45" t="n"/>
      <c r="B350" s="46" t="n">
        <v>42795</v>
      </c>
      <c r="C350" s="13">
        <f>((((VLOOKUP(B350,Database!$F:$AY,MATCH($C$1,Database!$F$1:$AY$1,),))))-(((VLOOKUP(EDATE(B350,-12),Database!$F:$AY,MATCH($C$1,Database!$F$1:$AY$1,),)))))/(((VLOOKUP(EDATE(B350,-12),Database!$F:$AY,MATCH($C$1,Database!$F$1:$AY$1,),))))</f>
        <v/>
      </c>
      <c r="D350" s="13">
        <f>((((VLOOKUP(B350,Database!$F:$AY,MATCH($D$1,Database!$F$1:$AY$1,),))))-(((VLOOKUP(EDATE(B350,-12),Database!$F:$AY,MATCH($D$1,Database!$F$1:$AY$1,),)))))/(((VLOOKUP(EDATE(B350,-12),Database!$F:$AY,MATCH($D$1,Database!$F$1:$AY$1,),))))</f>
        <v/>
      </c>
      <c r="E350" s="13">
        <f>((((VLOOKUP(B350,Database!$F:$AY,MATCH($E$1,Database!$F$1:$AY$1,),))))-(((VLOOKUP(EDATE(B350,-12),Database!$F:$AY,MATCH($E$1,Database!$F$1:$AY$1,),)))))/(((VLOOKUP(EDATE(B350,-12),Database!$F:$AY,MATCH($E$1,Database!$F$1:$AY$1,),))))</f>
        <v/>
      </c>
      <c r="F350" s="13">
        <f>((((VLOOKUP(B350,Database!$F:$AY,MATCH($F$1,Database!$F$1:$AY$1,),))))-(((VLOOKUP(EDATE(B350,-12),Database!$F:$AY,MATCH($F$1,Database!$F$1:$AY$1,),)))))/(((VLOOKUP(EDATE(B350,-12),Database!$F:$AY,MATCH($F$1,Database!$F$1:$AY$1,),))))</f>
        <v/>
      </c>
      <c r="G350" s="13">
        <f>((((VLOOKUP(B350,Database!$F:$AY,MATCH($G$1,Database!$F$1:$AY$1,),))))-(((VLOOKUP(EDATE(B350,-12),Database!$F:$AY,MATCH($G$1,Database!$F$1:$AY$1,),)))))/(((VLOOKUP(EDATE(B350,-12),Database!$F:$AY,MATCH($G$1,Database!$F$1:$AY$1,),))))</f>
        <v/>
      </c>
      <c r="H350" s="13">
        <f>((((VLOOKUP(B350,Database!$F:$AY,MATCH($H$1,Database!$F$1:$AY$1,),))))-(((VLOOKUP(EDATE(B350,-12),Database!$F:$AY,MATCH($H$1,Database!$F$1:$AY$1,),)))))/(((VLOOKUP(EDATE(B350,-12),Database!$F:$AY,MATCH($H$1,Database!$F$1:$AY$1,),))))</f>
        <v/>
      </c>
      <c r="I350" s="13">
        <f>((((VLOOKUP(B350,Database!$F:$AY,MATCH($I$1,Database!$F$1:$AY$1,),))))-(((VLOOKUP(EDATE(B350,-12),Database!$F:$AY,MATCH($I$1,Database!$F$1:$AY$1,),)))))/(((VLOOKUP(EDATE(B350,-12),Database!$F:$AY,MATCH($I$1,Database!$F$1:$AY$1,),))))</f>
        <v/>
      </c>
      <c r="J350" s="13">
        <f>((((VLOOKUP(B350,Database!$F:$AY,MATCH($J$1,Database!$F$1:$AY$1,),))))-(((VLOOKUP(EDATE(B350,-12),Database!$F:$AY,MATCH($J$1,Database!$F$1:$AY$1,),)))))/(((VLOOKUP(EDATE(B350,-12),Database!$F:$AY,MATCH($J$1,Database!$F$1:$AY$1,),))))</f>
        <v/>
      </c>
      <c r="K350" s="13">
        <f>((((VLOOKUP(B350,Database!$F:$AY,MATCH($K$1,Database!$F$1:$AY$1,),))))-(((VLOOKUP(EDATE(B350,-12),Database!$F:$AY,MATCH($K$1,Database!$F$1:$AY$1,),)))))/(((VLOOKUP(EDATE(B350,-12),Database!$F:$AY,MATCH($K$1,Database!$F$1:$AY$1,),))))</f>
        <v/>
      </c>
      <c r="L350" s="13">
        <f>((((VLOOKUP(B350,Database!$F:$AY,MATCH($L$1,Database!$F$1:$AY$1,),))))-(((VLOOKUP(EDATE(B350,-12),Database!$F:$AY,MATCH($L$1,Database!$F$1:$AY$1,),)))))/(((VLOOKUP(EDATE(B350,-12),Database!$F:$AY,MATCH($L$1,Database!$F$1:$AY$1,),))))</f>
        <v/>
      </c>
      <c r="M350" s="13">
        <f>((((VLOOKUP(B350,Database!$F:$AY,MATCH($M$1,Database!$F$1:$AY$1,),))))-(((VLOOKUP(EDATE(B350,-12),Database!$F:$AY,MATCH($M$1,Database!$F$1:$AY$1,),)))))/(((VLOOKUP(EDATE(B350,-12),Database!$F:$AY,MATCH($M$1,Database!$F$1:$AY$1,),))))</f>
        <v/>
      </c>
      <c r="N350" s="13">
        <f>((((VLOOKUP(B350,Database!$F:$AY,MATCH($N$1,Database!$F$1:$AY$1,),))))-(((VLOOKUP(EDATE(B350,-12),Database!$F:$AY,MATCH($N$1,Database!$F$1:$AY$1,),)))))/(((VLOOKUP(EDATE(B350,-12),Database!$F:$AY,MATCH($N$1,Database!$F$1:$AY$1,),))))</f>
        <v/>
      </c>
      <c r="O350" s="13">
        <f>((((VLOOKUP(B350,Database!$F:$AY,MATCH($O$1,Database!$F$1:$AY$1,),))))-(((VLOOKUP(EDATE(B350,-12),Database!$F:$AY,MATCH($O$1,Database!$F$1:$AY$1,),)))))/(((VLOOKUP(EDATE(B350,-12),Database!$F:$AY,MATCH($O$1,Database!$F$1:$AY$1,),))))</f>
        <v/>
      </c>
      <c r="P350" s="13">
        <f>((((VLOOKUP(B350,Database!$F:$AY,MATCH($P$1,Database!$F$1:$AY$1,),))))-(((VLOOKUP(EDATE(B350,-12),Database!$F:$AY,MATCH($P$1,Database!$F$1:$AY$1,),)))))/(((VLOOKUP(EDATE(B350,-12),Database!$F:$AY,MATCH($P$1,Database!$F$1:$AY$1,),))))</f>
        <v/>
      </c>
      <c r="Q350" s="13">
        <f>((((VLOOKUP(B350,Database!$F:$AY,MATCH($Q$1,Database!$F$1:$AY$1,),))))-(((VLOOKUP(EDATE(B350,-12),Database!$F:$AY,MATCH($Q$1,Database!$F$1:$AY$1,),)))))/(((VLOOKUP(EDATE(B350,-12),Database!$F:$AY,MATCH($Q$1,Database!$F$1:$AY$1,),))))</f>
        <v/>
      </c>
      <c r="R350" s="13">
        <f>((((VLOOKUP(B350,Database!$F:$AY,MATCH($R$1,Database!$F$1:$AY$1,),))))-(((VLOOKUP(EDATE(B350,-12),Database!$F:$AY,MATCH($R$1,Database!$F$1:$AY$1,),)))))/(((VLOOKUP(EDATE(B350,-12),Database!$F:$AY,MATCH($R$1,Database!$F$1:$AY$1,),))))</f>
        <v/>
      </c>
      <c r="S350" s="13">
        <f>((((VLOOKUP(B350,Database!$F:$AY,MATCH($S$1,Database!$F$1:$AY$1,),))))-(((VLOOKUP(EDATE(B350,-12),Database!$F:$AY,MATCH($S$1,Database!$F$1:$AY$1,),)))))/(((VLOOKUP(EDATE(B350,-12),Database!$F:$AY,MATCH($S$1,Database!$F$1:$AY$1,),))))</f>
        <v/>
      </c>
      <c r="T350" s="13">
        <f>((((VLOOKUP(B350,Database!$F:$AY,MATCH($T$1,Database!$F$1:$AY$1,),))))-(((VLOOKUP(EDATE(B350,-12),Database!$F:$AY,MATCH($T$1,Database!$F$1:$AY$1,),)))))/(((VLOOKUP(EDATE(B350,-12),Database!$F:$AY,MATCH($T$1,Database!$F$1:$AY$1,),))))</f>
        <v/>
      </c>
      <c r="U350" s="13">
        <f>((((VLOOKUP(B350,Database!$F:$AY,MATCH($U$1,Database!$F$1:$AY$1,),))))-(((VLOOKUP(EDATE(B350,-12),Database!$F:$AY,MATCH($U$1,Database!$F$1:$AY$1,),)))))/(((VLOOKUP(EDATE(B350,-12),Database!$F:$AY,MATCH($U$1,Database!$F$1:$AY$1,),))))</f>
        <v/>
      </c>
      <c r="V350" s="13">
        <f>((((VLOOKUP(B350,Database!$F:$AY,MATCH($V$1,Database!$F$1:$AY$1,),))))-(((VLOOKUP(EDATE(B350,-12),Database!$F:$AY,MATCH($V$1,Database!$F$1:$AY$1,),)))))/(((VLOOKUP(EDATE(B350,-12),Database!$F:$AY,MATCH($V$1,Database!$F$1:$AY$1,),))))</f>
        <v/>
      </c>
    </row>
    <row r="351" customFormat="1" s="100">
      <c r="A351" s="45" t="n"/>
      <c r="B351" s="46" t="n">
        <v>42826</v>
      </c>
      <c r="C351" s="13">
        <f>((((VLOOKUP(B351,Database!$F:$AY,MATCH($C$1,Database!$F$1:$AY$1,),))))-(((VLOOKUP(EDATE(B351,-12),Database!$F:$AY,MATCH($C$1,Database!$F$1:$AY$1,),)))))/(((VLOOKUP(EDATE(B351,-12),Database!$F:$AY,MATCH($C$1,Database!$F$1:$AY$1,),))))</f>
        <v/>
      </c>
      <c r="D351" s="13">
        <f>((((VLOOKUP(B351,Database!$F:$AY,MATCH($D$1,Database!$F$1:$AY$1,),))))-(((VLOOKUP(EDATE(B351,-12),Database!$F:$AY,MATCH($D$1,Database!$F$1:$AY$1,),)))))/(((VLOOKUP(EDATE(B351,-12),Database!$F:$AY,MATCH($D$1,Database!$F$1:$AY$1,),))))</f>
        <v/>
      </c>
      <c r="E351" s="13">
        <f>((((VLOOKUP(B351,Database!$F:$AY,MATCH($E$1,Database!$F$1:$AY$1,),))))-(((VLOOKUP(EDATE(B351,-12),Database!$F:$AY,MATCH($E$1,Database!$F$1:$AY$1,),)))))/(((VLOOKUP(EDATE(B351,-12),Database!$F:$AY,MATCH($E$1,Database!$F$1:$AY$1,),))))</f>
        <v/>
      </c>
      <c r="F351" s="13">
        <f>((((VLOOKUP(B351,Database!$F:$AY,MATCH($F$1,Database!$F$1:$AY$1,),))))-(((VLOOKUP(EDATE(B351,-12),Database!$F:$AY,MATCH($F$1,Database!$F$1:$AY$1,),)))))/(((VLOOKUP(EDATE(B351,-12),Database!$F:$AY,MATCH($F$1,Database!$F$1:$AY$1,),))))</f>
        <v/>
      </c>
      <c r="G351" s="13">
        <f>((((VLOOKUP(B351,Database!$F:$AY,MATCH($G$1,Database!$F$1:$AY$1,),))))-(((VLOOKUP(EDATE(B351,-12),Database!$F:$AY,MATCH($G$1,Database!$F$1:$AY$1,),)))))/(((VLOOKUP(EDATE(B351,-12),Database!$F:$AY,MATCH($G$1,Database!$F$1:$AY$1,),))))</f>
        <v/>
      </c>
      <c r="H351" s="13">
        <f>((((VLOOKUP(B351,Database!$F:$AY,MATCH($H$1,Database!$F$1:$AY$1,),))))-(((VLOOKUP(EDATE(B351,-12),Database!$F:$AY,MATCH($H$1,Database!$F$1:$AY$1,),)))))/(((VLOOKUP(EDATE(B351,-12),Database!$F:$AY,MATCH($H$1,Database!$F$1:$AY$1,),))))</f>
        <v/>
      </c>
      <c r="I351" s="13">
        <f>((((VLOOKUP(B351,Database!$F:$AY,MATCH($I$1,Database!$F$1:$AY$1,),))))-(((VLOOKUP(EDATE(B351,-12),Database!$F:$AY,MATCH($I$1,Database!$F$1:$AY$1,),)))))/(((VLOOKUP(EDATE(B351,-12),Database!$F:$AY,MATCH($I$1,Database!$F$1:$AY$1,),))))</f>
        <v/>
      </c>
      <c r="J351" s="13">
        <f>((((VLOOKUP(B351,Database!$F:$AY,MATCH($J$1,Database!$F$1:$AY$1,),))))-(((VLOOKUP(EDATE(B351,-12),Database!$F:$AY,MATCH($J$1,Database!$F$1:$AY$1,),)))))/(((VLOOKUP(EDATE(B351,-12),Database!$F:$AY,MATCH($J$1,Database!$F$1:$AY$1,),))))</f>
        <v/>
      </c>
      <c r="K351" s="13">
        <f>((((VLOOKUP(B351,Database!$F:$AY,MATCH($K$1,Database!$F$1:$AY$1,),))))-(((VLOOKUP(EDATE(B351,-12),Database!$F:$AY,MATCH($K$1,Database!$F$1:$AY$1,),)))))/(((VLOOKUP(EDATE(B351,-12),Database!$F:$AY,MATCH($K$1,Database!$F$1:$AY$1,),))))</f>
        <v/>
      </c>
      <c r="L351" s="13">
        <f>((((VLOOKUP(B351,Database!$F:$AY,MATCH($L$1,Database!$F$1:$AY$1,),))))-(((VLOOKUP(EDATE(B351,-12),Database!$F:$AY,MATCH($L$1,Database!$F$1:$AY$1,),)))))/(((VLOOKUP(EDATE(B351,-12),Database!$F:$AY,MATCH($L$1,Database!$F$1:$AY$1,),))))</f>
        <v/>
      </c>
      <c r="M351" s="13">
        <f>((((VLOOKUP(B351,Database!$F:$AY,MATCH($M$1,Database!$F$1:$AY$1,),))))-(((VLOOKUP(EDATE(B351,-12),Database!$F:$AY,MATCH($M$1,Database!$F$1:$AY$1,),)))))/(((VLOOKUP(EDATE(B351,-12),Database!$F:$AY,MATCH($M$1,Database!$F$1:$AY$1,),))))</f>
        <v/>
      </c>
      <c r="N351" s="13">
        <f>((((VLOOKUP(B351,Database!$F:$AY,MATCH($N$1,Database!$F$1:$AY$1,),))))-(((VLOOKUP(EDATE(B351,-12),Database!$F:$AY,MATCH($N$1,Database!$F$1:$AY$1,),)))))/(((VLOOKUP(EDATE(B351,-12),Database!$F:$AY,MATCH($N$1,Database!$F$1:$AY$1,),))))</f>
        <v/>
      </c>
      <c r="O351" s="13">
        <f>((((VLOOKUP(B351,Database!$F:$AY,MATCH($O$1,Database!$F$1:$AY$1,),))))-(((VLOOKUP(EDATE(B351,-12),Database!$F:$AY,MATCH($O$1,Database!$F$1:$AY$1,),)))))/(((VLOOKUP(EDATE(B351,-12),Database!$F:$AY,MATCH($O$1,Database!$F$1:$AY$1,),))))</f>
        <v/>
      </c>
      <c r="P351" s="13">
        <f>((((VLOOKUP(B351,Database!$F:$AY,MATCH($P$1,Database!$F$1:$AY$1,),))))-(((VLOOKUP(EDATE(B351,-12),Database!$F:$AY,MATCH($P$1,Database!$F$1:$AY$1,),)))))/(((VLOOKUP(EDATE(B351,-12),Database!$F:$AY,MATCH($P$1,Database!$F$1:$AY$1,),))))</f>
        <v/>
      </c>
      <c r="Q351" s="13">
        <f>((((VLOOKUP(B351,Database!$F:$AY,MATCH($Q$1,Database!$F$1:$AY$1,),))))-(((VLOOKUP(EDATE(B351,-12),Database!$F:$AY,MATCH($Q$1,Database!$F$1:$AY$1,),)))))/(((VLOOKUP(EDATE(B351,-12),Database!$F:$AY,MATCH($Q$1,Database!$F$1:$AY$1,),))))</f>
        <v/>
      </c>
      <c r="R351" s="13">
        <f>((((VLOOKUP(B351,Database!$F:$AY,MATCH($R$1,Database!$F$1:$AY$1,),))))-(((VLOOKUP(EDATE(B351,-12),Database!$F:$AY,MATCH($R$1,Database!$F$1:$AY$1,),)))))/(((VLOOKUP(EDATE(B351,-12),Database!$F:$AY,MATCH($R$1,Database!$F$1:$AY$1,),))))</f>
        <v/>
      </c>
      <c r="S351" s="13">
        <f>((((VLOOKUP(B351,Database!$F:$AY,MATCH($S$1,Database!$F$1:$AY$1,),))))-(((VLOOKUP(EDATE(B351,-12),Database!$F:$AY,MATCH($S$1,Database!$F$1:$AY$1,),)))))/(((VLOOKUP(EDATE(B351,-12),Database!$F:$AY,MATCH($S$1,Database!$F$1:$AY$1,),))))</f>
        <v/>
      </c>
      <c r="T351" s="13">
        <f>((((VLOOKUP(B351,Database!$F:$AY,MATCH($T$1,Database!$F$1:$AY$1,),))))-(((VLOOKUP(EDATE(B351,-12),Database!$F:$AY,MATCH($T$1,Database!$F$1:$AY$1,),)))))/(((VLOOKUP(EDATE(B351,-12),Database!$F:$AY,MATCH($T$1,Database!$F$1:$AY$1,),))))</f>
        <v/>
      </c>
      <c r="U351" s="13">
        <f>((((VLOOKUP(B351,Database!$F:$AY,MATCH($U$1,Database!$F$1:$AY$1,),))))-(((VLOOKUP(EDATE(B351,-12),Database!$F:$AY,MATCH($U$1,Database!$F$1:$AY$1,),)))))/(((VLOOKUP(EDATE(B351,-12),Database!$F:$AY,MATCH($U$1,Database!$F$1:$AY$1,),))))</f>
        <v/>
      </c>
      <c r="V351" s="13">
        <f>((((VLOOKUP(B351,Database!$F:$AY,MATCH($V$1,Database!$F$1:$AY$1,),))))-(((VLOOKUP(EDATE(B351,-12),Database!$F:$AY,MATCH($V$1,Database!$F$1:$AY$1,),)))))/(((VLOOKUP(EDATE(B351,-12),Database!$F:$AY,MATCH($V$1,Database!$F$1:$AY$1,),))))</f>
        <v/>
      </c>
    </row>
    <row r="352" customFormat="1" s="100">
      <c r="A352" s="45" t="n"/>
      <c r="B352" s="46" t="n">
        <v>42856</v>
      </c>
      <c r="C352" s="13">
        <f>((((VLOOKUP(B352,Database!$F:$AY,MATCH($C$1,Database!$F$1:$AY$1,),))))-(((VLOOKUP(EDATE(B352,-12),Database!$F:$AY,MATCH($C$1,Database!$F$1:$AY$1,),)))))/(((VLOOKUP(EDATE(B352,-12),Database!$F:$AY,MATCH($C$1,Database!$F$1:$AY$1,),))))</f>
        <v/>
      </c>
      <c r="D352" s="13">
        <f>((((VLOOKUP(B352,Database!$F:$AY,MATCH($D$1,Database!$F$1:$AY$1,),))))-(((VLOOKUP(EDATE(B352,-12),Database!$F:$AY,MATCH($D$1,Database!$F$1:$AY$1,),)))))/(((VLOOKUP(EDATE(B352,-12),Database!$F:$AY,MATCH($D$1,Database!$F$1:$AY$1,),))))</f>
        <v/>
      </c>
      <c r="E352" s="13">
        <f>((((VLOOKUP(B352,Database!$F:$AY,MATCH($E$1,Database!$F$1:$AY$1,),))))-(((VLOOKUP(EDATE(B352,-12),Database!$F:$AY,MATCH($E$1,Database!$F$1:$AY$1,),)))))/(((VLOOKUP(EDATE(B352,-12),Database!$F:$AY,MATCH($E$1,Database!$F$1:$AY$1,),))))</f>
        <v/>
      </c>
      <c r="F352" s="13">
        <f>((((VLOOKUP(B352,Database!$F:$AY,MATCH($F$1,Database!$F$1:$AY$1,),))))-(((VLOOKUP(EDATE(B352,-12),Database!$F:$AY,MATCH($F$1,Database!$F$1:$AY$1,),)))))/(((VLOOKUP(EDATE(B352,-12),Database!$F:$AY,MATCH($F$1,Database!$F$1:$AY$1,),))))</f>
        <v/>
      </c>
      <c r="G352" s="13">
        <f>((((VLOOKUP(B352,Database!$F:$AY,MATCH($G$1,Database!$F$1:$AY$1,),))))-(((VLOOKUP(EDATE(B352,-12),Database!$F:$AY,MATCH($G$1,Database!$F$1:$AY$1,),)))))/(((VLOOKUP(EDATE(B352,-12),Database!$F:$AY,MATCH($G$1,Database!$F$1:$AY$1,),))))</f>
        <v/>
      </c>
      <c r="H352" s="13">
        <f>((((VLOOKUP(B352,Database!$F:$AY,MATCH($H$1,Database!$F$1:$AY$1,),))))-(((VLOOKUP(EDATE(B352,-12),Database!$F:$AY,MATCH($H$1,Database!$F$1:$AY$1,),)))))/(((VLOOKUP(EDATE(B352,-12),Database!$F:$AY,MATCH($H$1,Database!$F$1:$AY$1,),))))</f>
        <v/>
      </c>
      <c r="I352" s="13">
        <f>((((VLOOKUP(B352,Database!$F:$AY,MATCH($I$1,Database!$F$1:$AY$1,),))))-(((VLOOKUP(EDATE(B352,-12),Database!$F:$AY,MATCH($I$1,Database!$F$1:$AY$1,),)))))/(((VLOOKUP(EDATE(B352,-12),Database!$F:$AY,MATCH($I$1,Database!$F$1:$AY$1,),))))</f>
        <v/>
      </c>
      <c r="J352" s="13">
        <f>((((VLOOKUP(B352,Database!$F:$AY,MATCH($J$1,Database!$F$1:$AY$1,),))))-(((VLOOKUP(EDATE(B352,-12),Database!$F:$AY,MATCH($J$1,Database!$F$1:$AY$1,),)))))/(((VLOOKUP(EDATE(B352,-12),Database!$F:$AY,MATCH($J$1,Database!$F$1:$AY$1,),))))</f>
        <v/>
      </c>
      <c r="K352" s="13">
        <f>((((VLOOKUP(B352,Database!$F:$AY,MATCH($K$1,Database!$F$1:$AY$1,),))))-(((VLOOKUP(EDATE(B352,-12),Database!$F:$AY,MATCH($K$1,Database!$F$1:$AY$1,),)))))/(((VLOOKUP(EDATE(B352,-12),Database!$F:$AY,MATCH($K$1,Database!$F$1:$AY$1,),))))</f>
        <v/>
      </c>
      <c r="L352" s="13">
        <f>((((VLOOKUP(B352,Database!$F:$AY,MATCH($L$1,Database!$F$1:$AY$1,),))))-(((VLOOKUP(EDATE(B352,-12),Database!$F:$AY,MATCH($L$1,Database!$F$1:$AY$1,),)))))/(((VLOOKUP(EDATE(B352,-12),Database!$F:$AY,MATCH($L$1,Database!$F$1:$AY$1,),))))</f>
        <v/>
      </c>
      <c r="M352" s="13">
        <f>((((VLOOKUP(B352,Database!$F:$AY,MATCH($M$1,Database!$F$1:$AY$1,),))))-(((VLOOKUP(EDATE(B352,-12),Database!$F:$AY,MATCH($M$1,Database!$F$1:$AY$1,),)))))/(((VLOOKUP(EDATE(B352,-12),Database!$F:$AY,MATCH($M$1,Database!$F$1:$AY$1,),))))</f>
        <v/>
      </c>
      <c r="N352" s="13">
        <f>((((VLOOKUP(B352,Database!$F:$AY,MATCH($N$1,Database!$F$1:$AY$1,),))))-(((VLOOKUP(EDATE(B352,-12),Database!$F:$AY,MATCH($N$1,Database!$F$1:$AY$1,),)))))/(((VLOOKUP(EDATE(B352,-12),Database!$F:$AY,MATCH($N$1,Database!$F$1:$AY$1,),))))</f>
        <v/>
      </c>
      <c r="O352" s="13">
        <f>((((VLOOKUP(B352,Database!$F:$AY,MATCH($O$1,Database!$F$1:$AY$1,),))))-(((VLOOKUP(EDATE(B352,-12),Database!$F:$AY,MATCH($O$1,Database!$F$1:$AY$1,),)))))/(((VLOOKUP(EDATE(B352,-12),Database!$F:$AY,MATCH($O$1,Database!$F$1:$AY$1,),))))</f>
        <v/>
      </c>
      <c r="P352" s="13">
        <f>((((VLOOKUP(B352,Database!$F:$AY,MATCH($P$1,Database!$F$1:$AY$1,),))))-(((VLOOKUP(EDATE(B352,-12),Database!$F:$AY,MATCH($P$1,Database!$F$1:$AY$1,),)))))/(((VLOOKUP(EDATE(B352,-12),Database!$F:$AY,MATCH($P$1,Database!$F$1:$AY$1,),))))</f>
        <v/>
      </c>
      <c r="Q352" s="13">
        <f>((((VLOOKUP(B352,Database!$F:$AY,MATCH($Q$1,Database!$F$1:$AY$1,),))))-(((VLOOKUP(EDATE(B352,-12),Database!$F:$AY,MATCH($Q$1,Database!$F$1:$AY$1,),)))))/(((VLOOKUP(EDATE(B352,-12),Database!$F:$AY,MATCH($Q$1,Database!$F$1:$AY$1,),))))</f>
        <v/>
      </c>
      <c r="R352" s="13">
        <f>((((VLOOKUP(B352,Database!$F:$AY,MATCH($R$1,Database!$F$1:$AY$1,),))))-(((VLOOKUP(EDATE(B352,-12),Database!$F:$AY,MATCH($R$1,Database!$F$1:$AY$1,),)))))/(((VLOOKUP(EDATE(B352,-12),Database!$F:$AY,MATCH($R$1,Database!$F$1:$AY$1,),))))</f>
        <v/>
      </c>
      <c r="S352" s="13">
        <f>((((VLOOKUP(B352,Database!$F:$AY,MATCH($S$1,Database!$F$1:$AY$1,),))))-(((VLOOKUP(EDATE(B352,-12),Database!$F:$AY,MATCH($S$1,Database!$F$1:$AY$1,),)))))/(((VLOOKUP(EDATE(B352,-12),Database!$F:$AY,MATCH($S$1,Database!$F$1:$AY$1,),))))</f>
        <v/>
      </c>
      <c r="T352" s="13">
        <f>((((VLOOKUP(B352,Database!$F:$AY,MATCH($T$1,Database!$F$1:$AY$1,),))))-(((VLOOKUP(EDATE(B352,-12),Database!$F:$AY,MATCH($T$1,Database!$F$1:$AY$1,),)))))/(((VLOOKUP(EDATE(B352,-12),Database!$F:$AY,MATCH($T$1,Database!$F$1:$AY$1,),))))</f>
        <v/>
      </c>
      <c r="U352" s="13">
        <f>((((VLOOKUP(B352,Database!$F:$AY,MATCH($U$1,Database!$F$1:$AY$1,),))))-(((VLOOKUP(EDATE(B352,-12),Database!$F:$AY,MATCH($U$1,Database!$F$1:$AY$1,),)))))/(((VLOOKUP(EDATE(B352,-12),Database!$F:$AY,MATCH($U$1,Database!$F$1:$AY$1,),))))</f>
        <v/>
      </c>
      <c r="V352" s="13">
        <f>((((VLOOKUP(B352,Database!$F:$AY,MATCH($V$1,Database!$F$1:$AY$1,),))))-(((VLOOKUP(EDATE(B352,-12),Database!$F:$AY,MATCH($V$1,Database!$F$1:$AY$1,),)))))/(((VLOOKUP(EDATE(B352,-12),Database!$F:$AY,MATCH($V$1,Database!$F$1:$AY$1,),))))</f>
        <v/>
      </c>
    </row>
    <row r="353" customFormat="1" s="100">
      <c r="A353" s="45" t="n"/>
      <c r="B353" s="46" t="n">
        <v>42887</v>
      </c>
      <c r="C353" s="13">
        <f>((((VLOOKUP(B353,Database!$F:$AY,MATCH($C$1,Database!$F$1:$AY$1,),))))-(((VLOOKUP(EDATE(B353,-12),Database!$F:$AY,MATCH($C$1,Database!$F$1:$AY$1,),)))))/(((VLOOKUP(EDATE(B353,-12),Database!$F:$AY,MATCH($C$1,Database!$F$1:$AY$1,),))))</f>
        <v/>
      </c>
      <c r="D353" s="13">
        <f>((((VLOOKUP(B353,Database!$F:$AY,MATCH($D$1,Database!$F$1:$AY$1,),))))-(((VLOOKUP(EDATE(B353,-12),Database!$F:$AY,MATCH($D$1,Database!$F$1:$AY$1,),)))))/(((VLOOKUP(EDATE(B353,-12),Database!$F:$AY,MATCH($D$1,Database!$F$1:$AY$1,),))))</f>
        <v/>
      </c>
      <c r="E353" s="13">
        <f>((((VLOOKUP(B353,Database!$F:$AY,MATCH($E$1,Database!$F$1:$AY$1,),))))-(((VLOOKUP(EDATE(B353,-12),Database!$F:$AY,MATCH($E$1,Database!$F$1:$AY$1,),)))))/(((VLOOKUP(EDATE(B353,-12),Database!$F:$AY,MATCH($E$1,Database!$F$1:$AY$1,),))))</f>
        <v/>
      </c>
      <c r="F353" s="13">
        <f>((((VLOOKUP(B353,Database!$F:$AY,MATCH($F$1,Database!$F$1:$AY$1,),))))-(((VLOOKUP(EDATE(B353,-12),Database!$F:$AY,MATCH($F$1,Database!$F$1:$AY$1,),)))))/(((VLOOKUP(EDATE(B353,-12),Database!$F:$AY,MATCH($F$1,Database!$F$1:$AY$1,),))))</f>
        <v/>
      </c>
      <c r="G353" s="13">
        <f>((((VLOOKUP(B353,Database!$F:$AY,MATCH($G$1,Database!$F$1:$AY$1,),))))-(((VLOOKUP(EDATE(B353,-12),Database!$F:$AY,MATCH($G$1,Database!$F$1:$AY$1,),)))))/(((VLOOKUP(EDATE(B353,-12),Database!$F:$AY,MATCH($G$1,Database!$F$1:$AY$1,),))))</f>
        <v/>
      </c>
      <c r="H353" s="13">
        <f>((((VLOOKUP(B353,Database!$F:$AY,MATCH($H$1,Database!$F$1:$AY$1,),))))-(((VLOOKUP(EDATE(B353,-12),Database!$F:$AY,MATCH($H$1,Database!$F$1:$AY$1,),)))))/(((VLOOKUP(EDATE(B353,-12),Database!$F:$AY,MATCH($H$1,Database!$F$1:$AY$1,),))))</f>
        <v/>
      </c>
      <c r="I353" s="13">
        <f>((((VLOOKUP(B353,Database!$F:$AY,MATCH($I$1,Database!$F$1:$AY$1,),))))-(((VLOOKUP(EDATE(B353,-12),Database!$F:$AY,MATCH($I$1,Database!$F$1:$AY$1,),)))))/(((VLOOKUP(EDATE(B353,-12),Database!$F:$AY,MATCH($I$1,Database!$F$1:$AY$1,),))))</f>
        <v/>
      </c>
      <c r="J353" s="13">
        <f>((((VLOOKUP(B353,Database!$F:$AY,MATCH($J$1,Database!$F$1:$AY$1,),))))-(((VLOOKUP(EDATE(B353,-12),Database!$F:$AY,MATCH($J$1,Database!$F$1:$AY$1,),)))))/(((VLOOKUP(EDATE(B353,-12),Database!$F:$AY,MATCH($J$1,Database!$F$1:$AY$1,),))))</f>
        <v/>
      </c>
      <c r="K353" s="13">
        <f>((((VLOOKUP(B353,Database!$F:$AY,MATCH($K$1,Database!$F$1:$AY$1,),))))-(((VLOOKUP(EDATE(B353,-12),Database!$F:$AY,MATCH($K$1,Database!$F$1:$AY$1,),)))))/(((VLOOKUP(EDATE(B353,-12),Database!$F:$AY,MATCH($K$1,Database!$F$1:$AY$1,),))))</f>
        <v/>
      </c>
      <c r="L353" s="13">
        <f>((((VLOOKUP(B353,Database!$F:$AY,MATCH($L$1,Database!$F$1:$AY$1,),))))-(((VLOOKUP(EDATE(B353,-12),Database!$F:$AY,MATCH($L$1,Database!$F$1:$AY$1,),)))))/(((VLOOKUP(EDATE(B353,-12),Database!$F:$AY,MATCH($L$1,Database!$F$1:$AY$1,),))))</f>
        <v/>
      </c>
      <c r="M353" s="13">
        <f>((((VLOOKUP(B353,Database!$F:$AY,MATCH($M$1,Database!$F$1:$AY$1,),))))-(((VLOOKUP(EDATE(B353,-12),Database!$F:$AY,MATCH($M$1,Database!$F$1:$AY$1,),)))))/(((VLOOKUP(EDATE(B353,-12),Database!$F:$AY,MATCH($M$1,Database!$F$1:$AY$1,),))))</f>
        <v/>
      </c>
      <c r="N353" s="13">
        <f>((((VLOOKUP(B353,Database!$F:$AY,MATCH($N$1,Database!$F$1:$AY$1,),))))-(((VLOOKUP(EDATE(B353,-12),Database!$F:$AY,MATCH($N$1,Database!$F$1:$AY$1,),)))))/(((VLOOKUP(EDATE(B353,-12),Database!$F:$AY,MATCH($N$1,Database!$F$1:$AY$1,),))))</f>
        <v/>
      </c>
      <c r="O353" s="13">
        <f>((((VLOOKUP(B353,Database!$F:$AY,MATCH($O$1,Database!$F$1:$AY$1,),))))-(((VLOOKUP(EDATE(B353,-12),Database!$F:$AY,MATCH($O$1,Database!$F$1:$AY$1,),)))))/(((VLOOKUP(EDATE(B353,-12),Database!$F:$AY,MATCH($O$1,Database!$F$1:$AY$1,),))))</f>
        <v/>
      </c>
      <c r="P353" s="13">
        <f>((((VLOOKUP(B353,Database!$F:$AY,MATCH($P$1,Database!$F$1:$AY$1,),))))-(((VLOOKUP(EDATE(B353,-12),Database!$F:$AY,MATCH($P$1,Database!$F$1:$AY$1,),)))))/(((VLOOKUP(EDATE(B353,-12),Database!$F:$AY,MATCH($P$1,Database!$F$1:$AY$1,),))))</f>
        <v/>
      </c>
      <c r="Q353" s="13">
        <f>((((VLOOKUP(B353,Database!$F:$AY,MATCH($Q$1,Database!$F$1:$AY$1,),))))-(((VLOOKUP(EDATE(B353,-12),Database!$F:$AY,MATCH($Q$1,Database!$F$1:$AY$1,),)))))/(((VLOOKUP(EDATE(B353,-12),Database!$F:$AY,MATCH($Q$1,Database!$F$1:$AY$1,),))))</f>
        <v/>
      </c>
      <c r="R353" s="13">
        <f>((((VLOOKUP(B353,Database!$F:$AY,MATCH($R$1,Database!$F$1:$AY$1,),))))-(((VLOOKUP(EDATE(B353,-12),Database!$F:$AY,MATCH($R$1,Database!$F$1:$AY$1,),)))))/(((VLOOKUP(EDATE(B353,-12),Database!$F:$AY,MATCH($R$1,Database!$F$1:$AY$1,),))))</f>
        <v/>
      </c>
      <c r="S353" s="13">
        <f>((((VLOOKUP(B353,Database!$F:$AY,MATCH($S$1,Database!$F$1:$AY$1,),))))-(((VLOOKUP(EDATE(B353,-12),Database!$F:$AY,MATCH($S$1,Database!$F$1:$AY$1,),)))))/(((VLOOKUP(EDATE(B353,-12),Database!$F:$AY,MATCH($S$1,Database!$F$1:$AY$1,),))))</f>
        <v/>
      </c>
      <c r="T353" s="13">
        <f>((((VLOOKUP(B353,Database!$F:$AY,MATCH($T$1,Database!$F$1:$AY$1,),))))-(((VLOOKUP(EDATE(B353,-12),Database!$F:$AY,MATCH($T$1,Database!$F$1:$AY$1,),)))))/(((VLOOKUP(EDATE(B353,-12),Database!$F:$AY,MATCH($T$1,Database!$F$1:$AY$1,),))))</f>
        <v/>
      </c>
      <c r="U353" s="13">
        <f>((((VLOOKUP(B353,Database!$F:$AY,MATCH($U$1,Database!$F$1:$AY$1,),))))-(((VLOOKUP(EDATE(B353,-12),Database!$F:$AY,MATCH($U$1,Database!$F$1:$AY$1,),)))))/(((VLOOKUP(EDATE(B353,-12),Database!$F:$AY,MATCH($U$1,Database!$F$1:$AY$1,),))))</f>
        <v/>
      </c>
      <c r="V353" s="13">
        <f>((((VLOOKUP(B353,Database!$F:$AY,MATCH($V$1,Database!$F$1:$AY$1,),))))-(((VLOOKUP(EDATE(B353,-12),Database!$F:$AY,MATCH($V$1,Database!$F$1:$AY$1,),)))))/(((VLOOKUP(EDATE(B353,-12),Database!$F:$AY,MATCH($V$1,Database!$F$1:$AY$1,),))))</f>
        <v/>
      </c>
    </row>
    <row r="354" customFormat="1" s="100">
      <c r="A354" s="45" t="n"/>
      <c r="B354" s="46" t="n">
        <v>42917</v>
      </c>
      <c r="C354" s="13">
        <f>((((VLOOKUP(B354,Database!$F:$AY,MATCH($C$1,Database!$F$1:$AY$1,),))))-(((VLOOKUP(EDATE(B354,-12),Database!$F:$AY,MATCH($C$1,Database!$F$1:$AY$1,),)))))/(((VLOOKUP(EDATE(B354,-12),Database!$F:$AY,MATCH($C$1,Database!$F$1:$AY$1,),))))</f>
        <v/>
      </c>
      <c r="D354" s="13">
        <f>((((VLOOKUP(B354,Database!$F:$AY,MATCH($D$1,Database!$F$1:$AY$1,),))))-(((VLOOKUP(EDATE(B354,-12),Database!$F:$AY,MATCH($D$1,Database!$F$1:$AY$1,),)))))/(((VLOOKUP(EDATE(B354,-12),Database!$F:$AY,MATCH($D$1,Database!$F$1:$AY$1,),))))</f>
        <v/>
      </c>
      <c r="E354" s="13">
        <f>((((VLOOKUP(B354,Database!$F:$AY,MATCH($E$1,Database!$F$1:$AY$1,),))))-(((VLOOKUP(EDATE(B354,-12),Database!$F:$AY,MATCH($E$1,Database!$F$1:$AY$1,),)))))/(((VLOOKUP(EDATE(B354,-12),Database!$F:$AY,MATCH($E$1,Database!$F$1:$AY$1,),))))</f>
        <v/>
      </c>
      <c r="F354" s="13">
        <f>((((VLOOKUP(B354,Database!$F:$AY,MATCH($F$1,Database!$F$1:$AY$1,),))))-(((VLOOKUP(EDATE(B354,-12),Database!$F:$AY,MATCH($F$1,Database!$F$1:$AY$1,),)))))/(((VLOOKUP(EDATE(B354,-12),Database!$F:$AY,MATCH($F$1,Database!$F$1:$AY$1,),))))</f>
        <v/>
      </c>
      <c r="G354" s="13">
        <f>((((VLOOKUP(B354,Database!$F:$AY,MATCH($G$1,Database!$F$1:$AY$1,),))))-(((VLOOKUP(EDATE(B354,-12),Database!$F:$AY,MATCH($G$1,Database!$F$1:$AY$1,),)))))/(((VLOOKUP(EDATE(B354,-12),Database!$F:$AY,MATCH($G$1,Database!$F$1:$AY$1,),))))</f>
        <v/>
      </c>
      <c r="H354" s="13">
        <f>((((VLOOKUP(B354,Database!$F:$AY,MATCH($H$1,Database!$F$1:$AY$1,),))))-(((VLOOKUP(EDATE(B354,-12),Database!$F:$AY,MATCH($H$1,Database!$F$1:$AY$1,),)))))/(((VLOOKUP(EDATE(B354,-12),Database!$F:$AY,MATCH($H$1,Database!$F$1:$AY$1,),))))</f>
        <v/>
      </c>
      <c r="I354" s="13">
        <f>((((VLOOKUP(B354,Database!$F:$AY,MATCH($I$1,Database!$F$1:$AY$1,),))))-(((VLOOKUP(EDATE(B354,-12),Database!$F:$AY,MATCH($I$1,Database!$F$1:$AY$1,),)))))/(((VLOOKUP(EDATE(B354,-12),Database!$F:$AY,MATCH($I$1,Database!$F$1:$AY$1,),))))</f>
        <v/>
      </c>
      <c r="J354" s="13">
        <f>((((VLOOKUP(B354,Database!$F:$AY,MATCH($J$1,Database!$F$1:$AY$1,),))))-(((VLOOKUP(EDATE(B354,-12),Database!$F:$AY,MATCH($J$1,Database!$F$1:$AY$1,),)))))/(((VLOOKUP(EDATE(B354,-12),Database!$F:$AY,MATCH($J$1,Database!$F$1:$AY$1,),))))</f>
        <v/>
      </c>
      <c r="K354" s="13">
        <f>((((VLOOKUP(B354,Database!$F:$AY,MATCH($K$1,Database!$F$1:$AY$1,),))))-(((VLOOKUP(EDATE(B354,-12),Database!$F:$AY,MATCH($K$1,Database!$F$1:$AY$1,),)))))/(((VLOOKUP(EDATE(B354,-12),Database!$F:$AY,MATCH($K$1,Database!$F$1:$AY$1,),))))</f>
        <v/>
      </c>
      <c r="L354" s="13">
        <f>((((VLOOKUP(B354,Database!$F:$AY,MATCH($L$1,Database!$F$1:$AY$1,),))))-(((VLOOKUP(EDATE(B354,-12),Database!$F:$AY,MATCH($L$1,Database!$F$1:$AY$1,),)))))/(((VLOOKUP(EDATE(B354,-12),Database!$F:$AY,MATCH($L$1,Database!$F$1:$AY$1,),))))</f>
        <v/>
      </c>
      <c r="M354" s="13">
        <f>((((VLOOKUP(B354,Database!$F:$AY,MATCH($M$1,Database!$F$1:$AY$1,),))))-(((VLOOKUP(EDATE(B354,-12),Database!$F:$AY,MATCH($M$1,Database!$F$1:$AY$1,),)))))/(((VLOOKUP(EDATE(B354,-12),Database!$F:$AY,MATCH($M$1,Database!$F$1:$AY$1,),))))</f>
        <v/>
      </c>
      <c r="N354" s="13">
        <f>((((VLOOKUP(B354,Database!$F:$AY,MATCH($N$1,Database!$F$1:$AY$1,),))))-(((VLOOKUP(EDATE(B354,-12),Database!$F:$AY,MATCH($N$1,Database!$F$1:$AY$1,),)))))/(((VLOOKUP(EDATE(B354,-12),Database!$F:$AY,MATCH($N$1,Database!$F$1:$AY$1,),))))</f>
        <v/>
      </c>
      <c r="O354" s="13">
        <f>((((VLOOKUP(B354,Database!$F:$AY,MATCH($O$1,Database!$F$1:$AY$1,),))))-(((VLOOKUP(EDATE(B354,-12),Database!$F:$AY,MATCH($O$1,Database!$F$1:$AY$1,),)))))/(((VLOOKUP(EDATE(B354,-12),Database!$F:$AY,MATCH($O$1,Database!$F$1:$AY$1,),))))</f>
        <v/>
      </c>
      <c r="P354" s="13">
        <f>((((VLOOKUP(B354,Database!$F:$AY,MATCH($P$1,Database!$F$1:$AY$1,),))))-(((VLOOKUP(EDATE(B354,-12),Database!$F:$AY,MATCH($P$1,Database!$F$1:$AY$1,),)))))/(((VLOOKUP(EDATE(B354,-12),Database!$F:$AY,MATCH($P$1,Database!$F$1:$AY$1,),))))</f>
        <v/>
      </c>
      <c r="Q354" s="13">
        <f>((((VLOOKUP(B354,Database!$F:$AY,MATCH($Q$1,Database!$F$1:$AY$1,),))))-(((VLOOKUP(EDATE(B354,-12),Database!$F:$AY,MATCH($Q$1,Database!$F$1:$AY$1,),)))))/(((VLOOKUP(EDATE(B354,-12),Database!$F:$AY,MATCH($Q$1,Database!$F$1:$AY$1,),))))</f>
        <v/>
      </c>
      <c r="R354" s="13">
        <f>((((VLOOKUP(B354,Database!$F:$AY,MATCH($R$1,Database!$F$1:$AY$1,),))))-(((VLOOKUP(EDATE(B354,-12),Database!$F:$AY,MATCH($R$1,Database!$F$1:$AY$1,),)))))/(((VLOOKUP(EDATE(B354,-12),Database!$F:$AY,MATCH($R$1,Database!$F$1:$AY$1,),))))</f>
        <v/>
      </c>
      <c r="S354" s="13">
        <f>((((VLOOKUP(B354,Database!$F:$AY,MATCH($S$1,Database!$F$1:$AY$1,),))))-(((VLOOKUP(EDATE(B354,-12),Database!$F:$AY,MATCH($S$1,Database!$F$1:$AY$1,),)))))/(((VLOOKUP(EDATE(B354,-12),Database!$F:$AY,MATCH($S$1,Database!$F$1:$AY$1,),))))</f>
        <v/>
      </c>
      <c r="T354" s="13">
        <f>((((VLOOKUP(B354,Database!$F:$AY,MATCH($T$1,Database!$F$1:$AY$1,),))))-(((VLOOKUP(EDATE(B354,-12),Database!$F:$AY,MATCH($T$1,Database!$F$1:$AY$1,),)))))/(((VLOOKUP(EDATE(B354,-12),Database!$F:$AY,MATCH($T$1,Database!$F$1:$AY$1,),))))</f>
        <v/>
      </c>
      <c r="U354" s="13">
        <f>((((VLOOKUP(B354,Database!$F:$AY,MATCH($U$1,Database!$F$1:$AY$1,),))))-(((VLOOKUP(EDATE(B354,-12),Database!$F:$AY,MATCH($U$1,Database!$F$1:$AY$1,),)))))/(((VLOOKUP(EDATE(B354,-12),Database!$F:$AY,MATCH($U$1,Database!$F$1:$AY$1,),))))</f>
        <v/>
      </c>
      <c r="V354" s="13">
        <f>((((VLOOKUP(B354,Database!$F:$AY,MATCH($V$1,Database!$F$1:$AY$1,),))))-(((VLOOKUP(EDATE(B354,-12),Database!$F:$AY,MATCH($V$1,Database!$F$1:$AY$1,),)))))/(((VLOOKUP(EDATE(B354,-12),Database!$F:$AY,MATCH($V$1,Database!$F$1:$AY$1,),))))</f>
        <v/>
      </c>
    </row>
    <row r="355" customFormat="1" s="100">
      <c r="A355" s="45" t="n"/>
      <c r="B355" s="46" t="n">
        <v>42948</v>
      </c>
      <c r="C355" s="13">
        <f>((((VLOOKUP(B355,Database!$F:$AY,MATCH($C$1,Database!$F$1:$AY$1,),))))-(((VLOOKUP(EDATE(B355,-12),Database!$F:$AY,MATCH($C$1,Database!$F$1:$AY$1,),)))))/(((VLOOKUP(EDATE(B355,-12),Database!$F:$AY,MATCH($C$1,Database!$F$1:$AY$1,),))))</f>
        <v/>
      </c>
      <c r="D355" s="13">
        <f>((((VLOOKUP(B355,Database!$F:$AY,MATCH($D$1,Database!$F$1:$AY$1,),))))-(((VLOOKUP(EDATE(B355,-12),Database!$F:$AY,MATCH($D$1,Database!$F$1:$AY$1,),)))))/(((VLOOKUP(EDATE(B355,-12),Database!$F:$AY,MATCH($D$1,Database!$F$1:$AY$1,),))))</f>
        <v/>
      </c>
      <c r="E355" s="13">
        <f>((((VLOOKUP(B355,Database!$F:$AY,MATCH($E$1,Database!$F$1:$AY$1,),))))-(((VLOOKUP(EDATE(B355,-12),Database!$F:$AY,MATCH($E$1,Database!$F$1:$AY$1,),)))))/(((VLOOKUP(EDATE(B355,-12),Database!$F:$AY,MATCH($E$1,Database!$F$1:$AY$1,),))))</f>
        <v/>
      </c>
      <c r="F355" s="13">
        <f>((((VLOOKUP(B355,Database!$F:$AY,MATCH($F$1,Database!$F$1:$AY$1,),))))-(((VLOOKUP(EDATE(B355,-12),Database!$F:$AY,MATCH($F$1,Database!$F$1:$AY$1,),)))))/(((VLOOKUP(EDATE(B355,-12),Database!$F:$AY,MATCH($F$1,Database!$F$1:$AY$1,),))))</f>
        <v/>
      </c>
      <c r="G355" s="13">
        <f>((((VLOOKUP(B355,Database!$F:$AY,MATCH($G$1,Database!$F$1:$AY$1,),))))-(((VLOOKUP(EDATE(B355,-12),Database!$F:$AY,MATCH($G$1,Database!$F$1:$AY$1,),)))))/(((VLOOKUP(EDATE(B355,-12),Database!$F:$AY,MATCH($G$1,Database!$F$1:$AY$1,),))))</f>
        <v/>
      </c>
      <c r="H355" s="13">
        <f>((((VLOOKUP(B355,Database!$F:$AY,MATCH($H$1,Database!$F$1:$AY$1,),))))-(((VLOOKUP(EDATE(B355,-12),Database!$F:$AY,MATCH($H$1,Database!$F$1:$AY$1,),)))))/(((VLOOKUP(EDATE(B355,-12),Database!$F:$AY,MATCH($H$1,Database!$F$1:$AY$1,),))))</f>
        <v/>
      </c>
      <c r="I355" s="13">
        <f>((((VLOOKUP(B355,Database!$F:$AY,MATCH($I$1,Database!$F$1:$AY$1,),))))-(((VLOOKUP(EDATE(B355,-12),Database!$F:$AY,MATCH($I$1,Database!$F$1:$AY$1,),)))))/(((VLOOKUP(EDATE(B355,-12),Database!$F:$AY,MATCH($I$1,Database!$F$1:$AY$1,),))))</f>
        <v/>
      </c>
      <c r="J355" s="13">
        <f>((((VLOOKUP(B355,Database!$F:$AY,MATCH($J$1,Database!$F$1:$AY$1,),))))-(((VLOOKUP(EDATE(B355,-12),Database!$F:$AY,MATCH($J$1,Database!$F$1:$AY$1,),)))))/(((VLOOKUP(EDATE(B355,-12),Database!$F:$AY,MATCH($J$1,Database!$F$1:$AY$1,),))))</f>
        <v/>
      </c>
      <c r="K355" s="13">
        <f>((((VLOOKUP(B355,Database!$F:$AY,MATCH($K$1,Database!$F$1:$AY$1,),))))-(((VLOOKUP(EDATE(B355,-12),Database!$F:$AY,MATCH($K$1,Database!$F$1:$AY$1,),)))))/(((VLOOKUP(EDATE(B355,-12),Database!$F:$AY,MATCH($K$1,Database!$F$1:$AY$1,),))))</f>
        <v/>
      </c>
      <c r="L355" s="13">
        <f>((((VLOOKUP(B355,Database!$F:$AY,MATCH($L$1,Database!$F$1:$AY$1,),))))-(((VLOOKUP(EDATE(B355,-12),Database!$F:$AY,MATCH($L$1,Database!$F$1:$AY$1,),)))))/(((VLOOKUP(EDATE(B355,-12),Database!$F:$AY,MATCH($L$1,Database!$F$1:$AY$1,),))))</f>
        <v/>
      </c>
      <c r="M355" s="13">
        <f>((((VLOOKUP(B355,Database!$F:$AY,MATCH($M$1,Database!$F$1:$AY$1,),))))-(((VLOOKUP(EDATE(B355,-12),Database!$F:$AY,MATCH($M$1,Database!$F$1:$AY$1,),)))))/(((VLOOKUP(EDATE(B355,-12),Database!$F:$AY,MATCH($M$1,Database!$F$1:$AY$1,),))))</f>
        <v/>
      </c>
      <c r="N355" s="13">
        <f>((((VLOOKUP(B355,Database!$F:$AY,MATCH($N$1,Database!$F$1:$AY$1,),))))-(((VLOOKUP(EDATE(B355,-12),Database!$F:$AY,MATCH($N$1,Database!$F$1:$AY$1,),)))))/(((VLOOKUP(EDATE(B355,-12),Database!$F:$AY,MATCH($N$1,Database!$F$1:$AY$1,),))))</f>
        <v/>
      </c>
      <c r="O355" s="13">
        <f>((((VLOOKUP(B355,Database!$F:$AY,MATCH($O$1,Database!$F$1:$AY$1,),))))-(((VLOOKUP(EDATE(B355,-12),Database!$F:$AY,MATCH($O$1,Database!$F$1:$AY$1,),)))))/(((VLOOKUP(EDATE(B355,-12),Database!$F:$AY,MATCH($O$1,Database!$F$1:$AY$1,),))))</f>
        <v/>
      </c>
      <c r="P355" s="13">
        <f>((((VLOOKUP(B355,Database!$F:$AY,MATCH($P$1,Database!$F$1:$AY$1,),))))-(((VLOOKUP(EDATE(B355,-12),Database!$F:$AY,MATCH($P$1,Database!$F$1:$AY$1,),)))))/(((VLOOKUP(EDATE(B355,-12),Database!$F:$AY,MATCH($P$1,Database!$F$1:$AY$1,),))))</f>
        <v/>
      </c>
      <c r="Q355" s="13">
        <f>((((VLOOKUP(B355,Database!$F:$AY,MATCH($Q$1,Database!$F$1:$AY$1,),))))-(((VLOOKUP(EDATE(B355,-12),Database!$F:$AY,MATCH($Q$1,Database!$F$1:$AY$1,),)))))/(((VLOOKUP(EDATE(B355,-12),Database!$F:$AY,MATCH($Q$1,Database!$F$1:$AY$1,),))))</f>
        <v/>
      </c>
      <c r="R355" s="13">
        <f>((((VLOOKUP(B355,Database!$F:$AY,MATCH($R$1,Database!$F$1:$AY$1,),))))-(((VLOOKUP(EDATE(B355,-12),Database!$F:$AY,MATCH($R$1,Database!$F$1:$AY$1,),)))))/(((VLOOKUP(EDATE(B355,-12),Database!$F:$AY,MATCH($R$1,Database!$F$1:$AY$1,),))))</f>
        <v/>
      </c>
      <c r="S355" s="13">
        <f>((((VLOOKUP(B355,Database!$F:$AY,MATCH($S$1,Database!$F$1:$AY$1,),))))-(((VLOOKUP(EDATE(B355,-12),Database!$F:$AY,MATCH($S$1,Database!$F$1:$AY$1,),)))))/(((VLOOKUP(EDATE(B355,-12),Database!$F:$AY,MATCH($S$1,Database!$F$1:$AY$1,),))))</f>
        <v/>
      </c>
      <c r="T355" s="13">
        <f>((((VLOOKUP(B355,Database!$F:$AY,MATCH($T$1,Database!$F$1:$AY$1,),))))-(((VLOOKUP(EDATE(B355,-12),Database!$F:$AY,MATCH($T$1,Database!$F$1:$AY$1,),)))))/(((VLOOKUP(EDATE(B355,-12),Database!$F:$AY,MATCH($T$1,Database!$F$1:$AY$1,),))))</f>
        <v/>
      </c>
      <c r="U355" s="13">
        <f>((((VLOOKUP(B355,Database!$F:$AY,MATCH($U$1,Database!$F$1:$AY$1,),))))-(((VLOOKUP(EDATE(B355,-12),Database!$F:$AY,MATCH($U$1,Database!$F$1:$AY$1,),)))))/(((VLOOKUP(EDATE(B355,-12),Database!$F:$AY,MATCH($U$1,Database!$F$1:$AY$1,),))))</f>
        <v/>
      </c>
      <c r="V355" s="13">
        <f>((((VLOOKUP(B355,Database!$F:$AY,MATCH($V$1,Database!$F$1:$AY$1,),))))-(((VLOOKUP(EDATE(B355,-12),Database!$F:$AY,MATCH($V$1,Database!$F$1:$AY$1,),)))))/(((VLOOKUP(EDATE(B355,-12),Database!$F:$AY,MATCH($V$1,Database!$F$1:$AY$1,),))))</f>
        <v/>
      </c>
    </row>
    <row r="356" customFormat="1" s="100">
      <c r="A356" s="45" t="n"/>
      <c r="B356" s="46" t="n">
        <v>42979</v>
      </c>
      <c r="C356" s="13">
        <f>((((VLOOKUP(B356,Database!$F:$AY,MATCH($C$1,Database!$F$1:$AY$1,),))))-(((VLOOKUP(EDATE(B356,-12),Database!$F:$AY,MATCH($C$1,Database!$F$1:$AY$1,),)))))/(((VLOOKUP(EDATE(B356,-12),Database!$F:$AY,MATCH($C$1,Database!$F$1:$AY$1,),))))</f>
        <v/>
      </c>
      <c r="D356" s="13">
        <f>((((VLOOKUP(B356,Database!$F:$AY,MATCH($D$1,Database!$F$1:$AY$1,),))))-(((VLOOKUP(EDATE(B356,-12),Database!$F:$AY,MATCH($D$1,Database!$F$1:$AY$1,),)))))/(((VLOOKUP(EDATE(B356,-12),Database!$F:$AY,MATCH($D$1,Database!$F$1:$AY$1,),))))</f>
        <v/>
      </c>
      <c r="E356" s="13">
        <f>((((VLOOKUP(B356,Database!$F:$AY,MATCH($E$1,Database!$F$1:$AY$1,),))))-(((VLOOKUP(EDATE(B356,-12),Database!$F:$AY,MATCH($E$1,Database!$F$1:$AY$1,),)))))/(((VLOOKUP(EDATE(B356,-12),Database!$F:$AY,MATCH($E$1,Database!$F$1:$AY$1,),))))</f>
        <v/>
      </c>
      <c r="F356" s="13">
        <f>((((VLOOKUP(B356,Database!$F:$AY,MATCH($F$1,Database!$F$1:$AY$1,),))))-(((VLOOKUP(EDATE(B356,-12),Database!$F:$AY,MATCH($F$1,Database!$F$1:$AY$1,),)))))/(((VLOOKUP(EDATE(B356,-12),Database!$F:$AY,MATCH($F$1,Database!$F$1:$AY$1,),))))</f>
        <v/>
      </c>
      <c r="G356" s="13">
        <f>((((VLOOKUP(B356,Database!$F:$AY,MATCH($G$1,Database!$F$1:$AY$1,),))))-(((VLOOKUP(EDATE(B356,-12),Database!$F:$AY,MATCH($G$1,Database!$F$1:$AY$1,),)))))/(((VLOOKUP(EDATE(B356,-12),Database!$F:$AY,MATCH($G$1,Database!$F$1:$AY$1,),))))</f>
        <v/>
      </c>
      <c r="H356" s="13">
        <f>((((VLOOKUP(B356,Database!$F:$AY,MATCH($H$1,Database!$F$1:$AY$1,),))))-(((VLOOKUP(EDATE(B356,-12),Database!$F:$AY,MATCH($H$1,Database!$F$1:$AY$1,),)))))/(((VLOOKUP(EDATE(B356,-12),Database!$F:$AY,MATCH($H$1,Database!$F$1:$AY$1,),))))</f>
        <v/>
      </c>
      <c r="I356" s="13">
        <f>((((VLOOKUP(B356,Database!$F:$AY,MATCH($I$1,Database!$F$1:$AY$1,),))))-(((VLOOKUP(EDATE(B356,-12),Database!$F:$AY,MATCH($I$1,Database!$F$1:$AY$1,),)))))/(((VLOOKUP(EDATE(B356,-12),Database!$F:$AY,MATCH($I$1,Database!$F$1:$AY$1,),))))</f>
        <v/>
      </c>
      <c r="J356" s="13">
        <f>((((VLOOKUP(B356,Database!$F:$AY,MATCH($J$1,Database!$F$1:$AY$1,),))))-(((VLOOKUP(EDATE(B356,-12),Database!$F:$AY,MATCH($J$1,Database!$F$1:$AY$1,),)))))/(((VLOOKUP(EDATE(B356,-12),Database!$F:$AY,MATCH($J$1,Database!$F$1:$AY$1,),))))</f>
        <v/>
      </c>
      <c r="K356" s="13">
        <f>((((VLOOKUP(B356,Database!$F:$AY,MATCH($K$1,Database!$F$1:$AY$1,),))))-(((VLOOKUP(EDATE(B356,-12),Database!$F:$AY,MATCH($K$1,Database!$F$1:$AY$1,),)))))/(((VLOOKUP(EDATE(B356,-12),Database!$F:$AY,MATCH($K$1,Database!$F$1:$AY$1,),))))</f>
        <v/>
      </c>
      <c r="L356" s="13">
        <f>((((VLOOKUP(B356,Database!$F:$AY,MATCH($L$1,Database!$F$1:$AY$1,),))))-(((VLOOKUP(EDATE(B356,-12),Database!$F:$AY,MATCH($L$1,Database!$F$1:$AY$1,),)))))/(((VLOOKUP(EDATE(B356,-12),Database!$F:$AY,MATCH($L$1,Database!$F$1:$AY$1,),))))</f>
        <v/>
      </c>
      <c r="M356" s="13">
        <f>((((VLOOKUP(B356,Database!$F:$AY,MATCH($M$1,Database!$F$1:$AY$1,),))))-(((VLOOKUP(EDATE(B356,-12),Database!$F:$AY,MATCH($M$1,Database!$F$1:$AY$1,),)))))/(((VLOOKUP(EDATE(B356,-12),Database!$F:$AY,MATCH($M$1,Database!$F$1:$AY$1,),))))</f>
        <v/>
      </c>
      <c r="N356" s="13">
        <f>((((VLOOKUP(B356,Database!$F:$AY,MATCH($N$1,Database!$F$1:$AY$1,),))))-(((VLOOKUP(EDATE(B356,-12),Database!$F:$AY,MATCH($N$1,Database!$F$1:$AY$1,),)))))/(((VLOOKUP(EDATE(B356,-12),Database!$F:$AY,MATCH($N$1,Database!$F$1:$AY$1,),))))</f>
        <v/>
      </c>
      <c r="O356" s="13">
        <f>((((VLOOKUP(B356,Database!$F:$AY,MATCH($O$1,Database!$F$1:$AY$1,),))))-(((VLOOKUP(EDATE(B356,-12),Database!$F:$AY,MATCH($O$1,Database!$F$1:$AY$1,),)))))/(((VLOOKUP(EDATE(B356,-12),Database!$F:$AY,MATCH($O$1,Database!$F$1:$AY$1,),))))</f>
        <v/>
      </c>
      <c r="P356" s="13">
        <f>((((VLOOKUP(B356,Database!$F:$AY,MATCH($P$1,Database!$F$1:$AY$1,),))))-(((VLOOKUP(EDATE(B356,-12),Database!$F:$AY,MATCH($P$1,Database!$F$1:$AY$1,),)))))/(((VLOOKUP(EDATE(B356,-12),Database!$F:$AY,MATCH($P$1,Database!$F$1:$AY$1,),))))</f>
        <v/>
      </c>
      <c r="Q356" s="13">
        <f>((((VLOOKUP(B356,Database!$F:$AY,MATCH($Q$1,Database!$F$1:$AY$1,),))))-(((VLOOKUP(EDATE(B356,-12),Database!$F:$AY,MATCH($Q$1,Database!$F$1:$AY$1,),)))))/(((VLOOKUP(EDATE(B356,-12),Database!$F:$AY,MATCH($Q$1,Database!$F$1:$AY$1,),))))</f>
        <v/>
      </c>
      <c r="R356" s="13">
        <f>((((VLOOKUP(B356,Database!$F:$AY,MATCH($R$1,Database!$F$1:$AY$1,),))))-(((VLOOKUP(EDATE(B356,-12),Database!$F:$AY,MATCH($R$1,Database!$F$1:$AY$1,),)))))/(((VLOOKUP(EDATE(B356,-12),Database!$F:$AY,MATCH($R$1,Database!$F$1:$AY$1,),))))</f>
        <v/>
      </c>
      <c r="S356" s="13">
        <f>((((VLOOKUP(B356,Database!$F:$AY,MATCH($S$1,Database!$F$1:$AY$1,),))))-(((VLOOKUP(EDATE(B356,-12),Database!$F:$AY,MATCH($S$1,Database!$F$1:$AY$1,),)))))/(((VLOOKUP(EDATE(B356,-12),Database!$F:$AY,MATCH($S$1,Database!$F$1:$AY$1,),))))</f>
        <v/>
      </c>
      <c r="T356" s="13">
        <f>((((VLOOKUP(B356,Database!$F:$AY,MATCH($T$1,Database!$F$1:$AY$1,),))))-(((VLOOKUP(EDATE(B356,-12),Database!$F:$AY,MATCH($T$1,Database!$F$1:$AY$1,),)))))/(((VLOOKUP(EDATE(B356,-12),Database!$F:$AY,MATCH($T$1,Database!$F$1:$AY$1,),))))</f>
        <v/>
      </c>
      <c r="U356" s="13">
        <f>((((VLOOKUP(B356,Database!$F:$AY,MATCH($U$1,Database!$F$1:$AY$1,),))))-(((VLOOKUP(EDATE(B356,-12),Database!$F:$AY,MATCH($U$1,Database!$F$1:$AY$1,),)))))/(((VLOOKUP(EDATE(B356,-12),Database!$F:$AY,MATCH($U$1,Database!$F$1:$AY$1,),))))</f>
        <v/>
      </c>
      <c r="V356" s="13">
        <f>((((VLOOKUP(B356,Database!$F:$AY,MATCH($V$1,Database!$F$1:$AY$1,),))))-(((VLOOKUP(EDATE(B356,-12),Database!$F:$AY,MATCH($V$1,Database!$F$1:$AY$1,),)))))/(((VLOOKUP(EDATE(B356,-12),Database!$F:$AY,MATCH($V$1,Database!$F$1:$AY$1,),))))</f>
        <v/>
      </c>
    </row>
    <row r="357" customFormat="1" s="100">
      <c r="A357" s="45" t="n"/>
      <c r="B357" s="46" t="n">
        <v>43009</v>
      </c>
      <c r="C357" s="13">
        <f>((((VLOOKUP(B357,Database!$F:$AY,MATCH($C$1,Database!$F$1:$AY$1,),))))-(((VLOOKUP(EDATE(B357,-12),Database!$F:$AY,MATCH($C$1,Database!$F$1:$AY$1,),)))))/(((VLOOKUP(EDATE(B357,-12),Database!$F:$AY,MATCH($C$1,Database!$F$1:$AY$1,),))))</f>
        <v/>
      </c>
      <c r="D357" s="13">
        <f>((((VLOOKUP(B357,Database!$F:$AY,MATCH($D$1,Database!$F$1:$AY$1,),))))-(((VLOOKUP(EDATE(B357,-12),Database!$F:$AY,MATCH($D$1,Database!$F$1:$AY$1,),)))))/(((VLOOKUP(EDATE(B357,-12),Database!$F:$AY,MATCH($D$1,Database!$F$1:$AY$1,),))))</f>
        <v/>
      </c>
      <c r="E357" s="13">
        <f>((((VLOOKUP(B357,Database!$F:$AY,MATCH($E$1,Database!$F$1:$AY$1,),))))-(((VLOOKUP(EDATE(B357,-12),Database!$F:$AY,MATCH($E$1,Database!$F$1:$AY$1,),)))))/(((VLOOKUP(EDATE(B357,-12),Database!$F:$AY,MATCH($E$1,Database!$F$1:$AY$1,),))))</f>
        <v/>
      </c>
      <c r="F357" s="13">
        <f>((((VLOOKUP(B357,Database!$F:$AY,MATCH($F$1,Database!$F$1:$AY$1,),))))-(((VLOOKUP(EDATE(B357,-12),Database!$F:$AY,MATCH($F$1,Database!$F$1:$AY$1,),)))))/(((VLOOKUP(EDATE(B357,-12),Database!$F:$AY,MATCH($F$1,Database!$F$1:$AY$1,),))))</f>
        <v/>
      </c>
      <c r="G357" s="13">
        <f>((((VLOOKUP(B357,Database!$F:$AY,MATCH($G$1,Database!$F$1:$AY$1,),))))-(((VLOOKUP(EDATE(B357,-12),Database!$F:$AY,MATCH($G$1,Database!$F$1:$AY$1,),)))))/(((VLOOKUP(EDATE(B357,-12),Database!$F:$AY,MATCH($G$1,Database!$F$1:$AY$1,),))))</f>
        <v/>
      </c>
      <c r="H357" s="13">
        <f>((((VLOOKUP(B357,Database!$F:$AY,MATCH($H$1,Database!$F$1:$AY$1,),))))-(((VLOOKUP(EDATE(B357,-12),Database!$F:$AY,MATCH($H$1,Database!$F$1:$AY$1,),)))))/(((VLOOKUP(EDATE(B357,-12),Database!$F:$AY,MATCH($H$1,Database!$F$1:$AY$1,),))))</f>
        <v/>
      </c>
      <c r="I357" s="13">
        <f>((((VLOOKUP(B357,Database!$F:$AY,MATCH($I$1,Database!$F$1:$AY$1,),))))-(((VLOOKUP(EDATE(B357,-12),Database!$F:$AY,MATCH($I$1,Database!$F$1:$AY$1,),)))))/(((VLOOKUP(EDATE(B357,-12),Database!$F:$AY,MATCH($I$1,Database!$F$1:$AY$1,),))))</f>
        <v/>
      </c>
      <c r="J357" s="13">
        <f>((((VLOOKUP(B357,Database!$F:$AY,MATCH($J$1,Database!$F$1:$AY$1,),))))-(((VLOOKUP(EDATE(B357,-12),Database!$F:$AY,MATCH($J$1,Database!$F$1:$AY$1,),)))))/(((VLOOKUP(EDATE(B357,-12),Database!$F:$AY,MATCH($J$1,Database!$F$1:$AY$1,),))))</f>
        <v/>
      </c>
      <c r="K357" s="13">
        <f>((((VLOOKUP(B357,Database!$F:$AY,MATCH($K$1,Database!$F$1:$AY$1,),))))-(((VLOOKUP(EDATE(B357,-12),Database!$F:$AY,MATCH($K$1,Database!$F$1:$AY$1,),)))))/(((VLOOKUP(EDATE(B357,-12),Database!$F:$AY,MATCH($K$1,Database!$F$1:$AY$1,),))))</f>
        <v/>
      </c>
      <c r="L357" s="13">
        <f>((((VLOOKUP(B357,Database!$F:$AY,MATCH($L$1,Database!$F$1:$AY$1,),))))-(((VLOOKUP(EDATE(B357,-12),Database!$F:$AY,MATCH($L$1,Database!$F$1:$AY$1,),)))))/(((VLOOKUP(EDATE(B357,-12),Database!$F:$AY,MATCH($L$1,Database!$F$1:$AY$1,),))))</f>
        <v/>
      </c>
      <c r="M357" s="13">
        <f>((((VLOOKUP(B357,Database!$F:$AY,MATCH($M$1,Database!$F$1:$AY$1,),))))-(((VLOOKUP(EDATE(B357,-12),Database!$F:$AY,MATCH($M$1,Database!$F$1:$AY$1,),)))))/(((VLOOKUP(EDATE(B357,-12),Database!$F:$AY,MATCH($M$1,Database!$F$1:$AY$1,),))))</f>
        <v/>
      </c>
      <c r="N357" s="13">
        <f>((((VLOOKUP(B357,Database!$F:$AY,MATCH($N$1,Database!$F$1:$AY$1,),))))-(((VLOOKUP(EDATE(B357,-12),Database!$F:$AY,MATCH($N$1,Database!$F$1:$AY$1,),)))))/(((VLOOKUP(EDATE(B357,-12),Database!$F:$AY,MATCH($N$1,Database!$F$1:$AY$1,),))))</f>
        <v/>
      </c>
      <c r="O357" s="13">
        <f>((((VLOOKUP(B357,Database!$F:$AY,MATCH($O$1,Database!$F$1:$AY$1,),))))-(((VLOOKUP(EDATE(B357,-12),Database!$F:$AY,MATCH($O$1,Database!$F$1:$AY$1,),)))))/(((VLOOKUP(EDATE(B357,-12),Database!$F:$AY,MATCH($O$1,Database!$F$1:$AY$1,),))))</f>
        <v/>
      </c>
      <c r="P357" s="13">
        <f>((((VLOOKUP(B357,Database!$F:$AY,MATCH($P$1,Database!$F$1:$AY$1,),))))-(((VLOOKUP(EDATE(B357,-12),Database!$F:$AY,MATCH($P$1,Database!$F$1:$AY$1,),)))))/(((VLOOKUP(EDATE(B357,-12),Database!$F:$AY,MATCH($P$1,Database!$F$1:$AY$1,),))))</f>
        <v/>
      </c>
      <c r="Q357" s="13">
        <f>((((VLOOKUP(B357,Database!$F:$AY,MATCH($Q$1,Database!$F$1:$AY$1,),))))-(((VLOOKUP(EDATE(B357,-12),Database!$F:$AY,MATCH($Q$1,Database!$F$1:$AY$1,),)))))/(((VLOOKUP(EDATE(B357,-12),Database!$F:$AY,MATCH($Q$1,Database!$F$1:$AY$1,),))))</f>
        <v/>
      </c>
      <c r="R357" s="13">
        <f>((((VLOOKUP(B357,Database!$F:$AY,MATCH($R$1,Database!$F$1:$AY$1,),))))-(((VLOOKUP(EDATE(B357,-12),Database!$F:$AY,MATCH($R$1,Database!$F$1:$AY$1,),)))))/(((VLOOKUP(EDATE(B357,-12),Database!$F:$AY,MATCH($R$1,Database!$F$1:$AY$1,),))))</f>
        <v/>
      </c>
      <c r="S357" s="13">
        <f>((((VLOOKUP(B357,Database!$F:$AY,MATCH($S$1,Database!$F$1:$AY$1,),))))-(((VLOOKUP(EDATE(B357,-12),Database!$F:$AY,MATCH($S$1,Database!$F$1:$AY$1,),)))))/(((VLOOKUP(EDATE(B357,-12),Database!$F:$AY,MATCH($S$1,Database!$F$1:$AY$1,),))))</f>
        <v/>
      </c>
      <c r="T357" s="13">
        <f>((((VLOOKUP(B357,Database!$F:$AY,MATCH($T$1,Database!$F$1:$AY$1,),))))-(((VLOOKUP(EDATE(B357,-12),Database!$F:$AY,MATCH($T$1,Database!$F$1:$AY$1,),)))))/(((VLOOKUP(EDATE(B357,-12),Database!$F:$AY,MATCH($T$1,Database!$F$1:$AY$1,),))))</f>
        <v/>
      </c>
      <c r="U357" s="13">
        <f>((((VLOOKUP(B357,Database!$F:$AY,MATCH($U$1,Database!$F$1:$AY$1,),))))-(((VLOOKUP(EDATE(B357,-12),Database!$F:$AY,MATCH($U$1,Database!$F$1:$AY$1,),)))))/(((VLOOKUP(EDATE(B357,-12),Database!$F:$AY,MATCH($U$1,Database!$F$1:$AY$1,),))))</f>
        <v/>
      </c>
      <c r="V357" s="13">
        <f>((((VLOOKUP(B357,Database!$F:$AY,MATCH($V$1,Database!$F$1:$AY$1,),))))-(((VLOOKUP(EDATE(B357,-12),Database!$F:$AY,MATCH($V$1,Database!$F$1:$AY$1,),)))))/(((VLOOKUP(EDATE(B357,-12),Database!$F:$AY,MATCH($V$1,Database!$F$1:$AY$1,),))))</f>
        <v/>
      </c>
    </row>
    <row r="358" customFormat="1" s="100">
      <c r="A358" s="45" t="n"/>
      <c r="B358" s="46" t="n">
        <v>43040</v>
      </c>
      <c r="C358" s="13">
        <f>((((VLOOKUP(B358,Database!$F:$AY,MATCH($C$1,Database!$F$1:$AY$1,),))))-(((VLOOKUP(EDATE(B358,-12),Database!$F:$AY,MATCH($C$1,Database!$F$1:$AY$1,),)))))/(((VLOOKUP(EDATE(B358,-12),Database!$F:$AY,MATCH($C$1,Database!$F$1:$AY$1,),))))</f>
        <v/>
      </c>
      <c r="D358" s="13">
        <f>((((VLOOKUP(B358,Database!$F:$AY,MATCH($D$1,Database!$F$1:$AY$1,),))))-(((VLOOKUP(EDATE(B358,-12),Database!$F:$AY,MATCH($D$1,Database!$F$1:$AY$1,),)))))/(((VLOOKUP(EDATE(B358,-12),Database!$F:$AY,MATCH($D$1,Database!$F$1:$AY$1,),))))</f>
        <v/>
      </c>
      <c r="E358" s="13">
        <f>((((VLOOKUP(B358,Database!$F:$AY,MATCH($E$1,Database!$F$1:$AY$1,),))))-(((VLOOKUP(EDATE(B358,-12),Database!$F:$AY,MATCH($E$1,Database!$F$1:$AY$1,),)))))/(((VLOOKUP(EDATE(B358,-12),Database!$F:$AY,MATCH($E$1,Database!$F$1:$AY$1,),))))</f>
        <v/>
      </c>
      <c r="F358" s="13">
        <f>((((VLOOKUP(B358,Database!$F:$AY,MATCH($F$1,Database!$F$1:$AY$1,),))))-(((VLOOKUP(EDATE(B358,-12),Database!$F:$AY,MATCH($F$1,Database!$F$1:$AY$1,),)))))/(((VLOOKUP(EDATE(B358,-12),Database!$F:$AY,MATCH($F$1,Database!$F$1:$AY$1,),))))</f>
        <v/>
      </c>
      <c r="G358" s="13">
        <f>((((VLOOKUP(B358,Database!$F:$AY,MATCH($G$1,Database!$F$1:$AY$1,),))))-(((VLOOKUP(EDATE(B358,-12),Database!$F:$AY,MATCH($G$1,Database!$F$1:$AY$1,),)))))/(((VLOOKUP(EDATE(B358,-12),Database!$F:$AY,MATCH($G$1,Database!$F$1:$AY$1,),))))</f>
        <v/>
      </c>
      <c r="H358" s="13">
        <f>((((VLOOKUP(B358,Database!$F:$AY,MATCH($H$1,Database!$F$1:$AY$1,),))))-(((VLOOKUP(EDATE(B358,-12),Database!$F:$AY,MATCH($H$1,Database!$F$1:$AY$1,),)))))/(((VLOOKUP(EDATE(B358,-12),Database!$F:$AY,MATCH($H$1,Database!$F$1:$AY$1,),))))</f>
        <v/>
      </c>
      <c r="I358" s="13">
        <f>((((VLOOKUP(B358,Database!$F:$AY,MATCH($I$1,Database!$F$1:$AY$1,),))))-(((VLOOKUP(EDATE(B358,-12),Database!$F:$AY,MATCH($I$1,Database!$F$1:$AY$1,),)))))/(((VLOOKUP(EDATE(B358,-12),Database!$F:$AY,MATCH($I$1,Database!$F$1:$AY$1,),))))</f>
        <v/>
      </c>
      <c r="J358" s="13">
        <f>((((VLOOKUP(B358,Database!$F:$AY,MATCH($J$1,Database!$F$1:$AY$1,),))))-(((VLOOKUP(EDATE(B358,-12),Database!$F:$AY,MATCH($J$1,Database!$F$1:$AY$1,),)))))/(((VLOOKUP(EDATE(B358,-12),Database!$F:$AY,MATCH($J$1,Database!$F$1:$AY$1,),))))</f>
        <v/>
      </c>
      <c r="K358" s="13">
        <f>((((VLOOKUP(B358,Database!$F:$AY,MATCH($K$1,Database!$F$1:$AY$1,),))))-(((VLOOKUP(EDATE(B358,-12),Database!$F:$AY,MATCH($K$1,Database!$F$1:$AY$1,),)))))/(((VLOOKUP(EDATE(B358,-12),Database!$F:$AY,MATCH($K$1,Database!$F$1:$AY$1,),))))</f>
        <v/>
      </c>
      <c r="L358" s="13">
        <f>((((VLOOKUP(B358,Database!$F:$AY,MATCH($L$1,Database!$F$1:$AY$1,),))))-(((VLOOKUP(EDATE(B358,-12),Database!$F:$AY,MATCH($L$1,Database!$F$1:$AY$1,),)))))/(((VLOOKUP(EDATE(B358,-12),Database!$F:$AY,MATCH($L$1,Database!$F$1:$AY$1,),))))</f>
        <v/>
      </c>
      <c r="M358" s="13">
        <f>((((VLOOKUP(B358,Database!$F:$AY,MATCH($M$1,Database!$F$1:$AY$1,),))))-(((VLOOKUP(EDATE(B358,-12),Database!$F:$AY,MATCH($M$1,Database!$F$1:$AY$1,),)))))/(((VLOOKUP(EDATE(B358,-12),Database!$F:$AY,MATCH($M$1,Database!$F$1:$AY$1,),))))</f>
        <v/>
      </c>
      <c r="N358" s="13">
        <f>((((VLOOKUP(B358,Database!$F:$AY,MATCH($N$1,Database!$F$1:$AY$1,),))))-(((VLOOKUP(EDATE(B358,-12),Database!$F:$AY,MATCH($N$1,Database!$F$1:$AY$1,),)))))/(((VLOOKUP(EDATE(B358,-12),Database!$F:$AY,MATCH($N$1,Database!$F$1:$AY$1,),))))</f>
        <v/>
      </c>
      <c r="O358" s="13">
        <f>((((VLOOKUP(B358,Database!$F:$AY,MATCH($O$1,Database!$F$1:$AY$1,),))))-(((VLOOKUP(EDATE(B358,-12),Database!$F:$AY,MATCH($O$1,Database!$F$1:$AY$1,),)))))/(((VLOOKUP(EDATE(B358,-12),Database!$F:$AY,MATCH($O$1,Database!$F$1:$AY$1,),))))</f>
        <v/>
      </c>
      <c r="P358" s="13">
        <f>((((VLOOKUP(B358,Database!$F:$AY,MATCH($P$1,Database!$F$1:$AY$1,),))))-(((VLOOKUP(EDATE(B358,-12),Database!$F:$AY,MATCH($P$1,Database!$F$1:$AY$1,),)))))/(((VLOOKUP(EDATE(B358,-12),Database!$F:$AY,MATCH($P$1,Database!$F$1:$AY$1,),))))</f>
        <v/>
      </c>
      <c r="Q358" s="13">
        <f>((((VLOOKUP(B358,Database!$F:$AY,MATCH($Q$1,Database!$F$1:$AY$1,),))))-(((VLOOKUP(EDATE(B358,-12),Database!$F:$AY,MATCH($Q$1,Database!$F$1:$AY$1,),)))))/(((VLOOKUP(EDATE(B358,-12),Database!$F:$AY,MATCH($Q$1,Database!$F$1:$AY$1,),))))</f>
        <v/>
      </c>
      <c r="R358" s="13">
        <f>((((VLOOKUP(B358,Database!$F:$AY,MATCH($R$1,Database!$F$1:$AY$1,),))))-(((VLOOKUP(EDATE(B358,-12),Database!$F:$AY,MATCH($R$1,Database!$F$1:$AY$1,),)))))/(((VLOOKUP(EDATE(B358,-12),Database!$F:$AY,MATCH($R$1,Database!$F$1:$AY$1,),))))</f>
        <v/>
      </c>
      <c r="S358" s="13">
        <f>((((VLOOKUP(B358,Database!$F:$AY,MATCH($S$1,Database!$F$1:$AY$1,),))))-(((VLOOKUP(EDATE(B358,-12),Database!$F:$AY,MATCH($S$1,Database!$F$1:$AY$1,),)))))/(((VLOOKUP(EDATE(B358,-12),Database!$F:$AY,MATCH($S$1,Database!$F$1:$AY$1,),))))</f>
        <v/>
      </c>
      <c r="T358" s="13">
        <f>((((VLOOKUP(B358,Database!$F:$AY,MATCH($T$1,Database!$F$1:$AY$1,),))))-(((VLOOKUP(EDATE(B358,-12),Database!$F:$AY,MATCH($T$1,Database!$F$1:$AY$1,),)))))/(((VLOOKUP(EDATE(B358,-12),Database!$F:$AY,MATCH($T$1,Database!$F$1:$AY$1,),))))</f>
        <v/>
      </c>
      <c r="U358" s="13">
        <f>((((VLOOKUP(B358,Database!$F:$AY,MATCH($U$1,Database!$F$1:$AY$1,),))))-(((VLOOKUP(EDATE(B358,-12),Database!$F:$AY,MATCH($U$1,Database!$F$1:$AY$1,),)))))/(((VLOOKUP(EDATE(B358,-12),Database!$F:$AY,MATCH($U$1,Database!$F$1:$AY$1,),))))</f>
        <v/>
      </c>
      <c r="V358" s="13">
        <f>((((VLOOKUP(B358,Database!$F:$AY,MATCH($V$1,Database!$F$1:$AY$1,),))))-(((VLOOKUP(EDATE(B358,-12),Database!$F:$AY,MATCH($V$1,Database!$F$1:$AY$1,),)))))/(((VLOOKUP(EDATE(B358,-12),Database!$F:$AY,MATCH($V$1,Database!$F$1:$AY$1,),))))</f>
        <v/>
      </c>
    </row>
    <row r="359" customFormat="1" s="100">
      <c r="A359" s="45" t="n"/>
      <c r="B359" s="46" t="n">
        <v>43070</v>
      </c>
      <c r="C359" s="13">
        <f>((((VLOOKUP(B359,Database!$F:$AY,MATCH($C$1,Database!$F$1:$AY$1,),))))-(((VLOOKUP(EDATE(B359,-12),Database!$F:$AY,MATCH($C$1,Database!$F$1:$AY$1,),)))))/(((VLOOKUP(EDATE(B359,-12),Database!$F:$AY,MATCH($C$1,Database!$F$1:$AY$1,),))))</f>
        <v/>
      </c>
      <c r="D359" s="13">
        <f>((((VLOOKUP(B359,Database!$F:$AY,MATCH($D$1,Database!$F$1:$AY$1,),))))-(((VLOOKUP(EDATE(B359,-12),Database!$F:$AY,MATCH($D$1,Database!$F$1:$AY$1,),)))))/(((VLOOKUP(EDATE(B359,-12),Database!$F:$AY,MATCH($D$1,Database!$F$1:$AY$1,),))))</f>
        <v/>
      </c>
      <c r="E359" s="13">
        <f>((((VLOOKUP(B359,Database!$F:$AY,MATCH($E$1,Database!$F$1:$AY$1,),))))-(((VLOOKUP(EDATE(B359,-12),Database!$F:$AY,MATCH($E$1,Database!$F$1:$AY$1,),)))))/(((VLOOKUP(EDATE(B359,-12),Database!$F:$AY,MATCH($E$1,Database!$F$1:$AY$1,),))))</f>
        <v/>
      </c>
      <c r="F359" s="13">
        <f>((((VLOOKUP(B359,Database!$F:$AY,MATCH($F$1,Database!$F$1:$AY$1,),))))-(((VLOOKUP(EDATE(B359,-12),Database!$F:$AY,MATCH($F$1,Database!$F$1:$AY$1,),)))))/(((VLOOKUP(EDATE(B359,-12),Database!$F:$AY,MATCH($F$1,Database!$F$1:$AY$1,),))))</f>
        <v/>
      </c>
      <c r="G359" s="13">
        <f>((((VLOOKUP(B359,Database!$F:$AY,MATCH($G$1,Database!$F$1:$AY$1,),))))-(((VLOOKUP(EDATE(B359,-12),Database!$F:$AY,MATCH($G$1,Database!$F$1:$AY$1,),)))))/(((VLOOKUP(EDATE(B359,-12),Database!$F:$AY,MATCH($G$1,Database!$F$1:$AY$1,),))))</f>
        <v/>
      </c>
      <c r="H359" s="13">
        <f>((((VLOOKUP(B359,Database!$F:$AY,MATCH($H$1,Database!$F$1:$AY$1,),))))-(((VLOOKUP(EDATE(B359,-12),Database!$F:$AY,MATCH($H$1,Database!$F$1:$AY$1,),)))))/(((VLOOKUP(EDATE(B359,-12),Database!$F:$AY,MATCH($H$1,Database!$F$1:$AY$1,),))))</f>
        <v/>
      </c>
      <c r="I359" s="13">
        <f>((((VLOOKUP(B359,Database!$F:$AY,MATCH($I$1,Database!$F$1:$AY$1,),))))-(((VLOOKUP(EDATE(B359,-12),Database!$F:$AY,MATCH($I$1,Database!$F$1:$AY$1,),)))))/(((VLOOKUP(EDATE(B359,-12),Database!$F:$AY,MATCH($I$1,Database!$F$1:$AY$1,),))))</f>
        <v/>
      </c>
      <c r="J359" s="13">
        <f>((((VLOOKUP(B359,Database!$F:$AY,MATCH($J$1,Database!$F$1:$AY$1,),))))-(((VLOOKUP(EDATE(B359,-12),Database!$F:$AY,MATCH($J$1,Database!$F$1:$AY$1,),)))))/(((VLOOKUP(EDATE(B359,-12),Database!$F:$AY,MATCH($J$1,Database!$F$1:$AY$1,),))))</f>
        <v/>
      </c>
      <c r="K359" s="13">
        <f>((((VLOOKUP(B359,Database!$F:$AY,MATCH($K$1,Database!$F$1:$AY$1,),))))-(((VLOOKUP(EDATE(B359,-12),Database!$F:$AY,MATCH($K$1,Database!$F$1:$AY$1,),)))))/(((VLOOKUP(EDATE(B359,-12),Database!$F:$AY,MATCH($K$1,Database!$F$1:$AY$1,),))))</f>
        <v/>
      </c>
      <c r="L359" s="13">
        <f>((((VLOOKUP(B359,Database!$F:$AY,MATCH($L$1,Database!$F$1:$AY$1,),))))-(((VLOOKUP(EDATE(B359,-12),Database!$F:$AY,MATCH($L$1,Database!$F$1:$AY$1,),)))))/(((VLOOKUP(EDATE(B359,-12),Database!$F:$AY,MATCH($L$1,Database!$F$1:$AY$1,),))))</f>
        <v/>
      </c>
      <c r="M359" s="13">
        <f>((((VLOOKUP(B359,Database!$F:$AY,MATCH($M$1,Database!$F$1:$AY$1,),))))-(((VLOOKUP(EDATE(B359,-12),Database!$F:$AY,MATCH($M$1,Database!$F$1:$AY$1,),)))))/(((VLOOKUP(EDATE(B359,-12),Database!$F:$AY,MATCH($M$1,Database!$F$1:$AY$1,),))))</f>
        <v/>
      </c>
      <c r="N359" s="13">
        <f>((((VLOOKUP(B359,Database!$F:$AY,MATCH($N$1,Database!$F$1:$AY$1,),))))-(((VLOOKUP(EDATE(B359,-12),Database!$F:$AY,MATCH($N$1,Database!$F$1:$AY$1,),)))))/(((VLOOKUP(EDATE(B359,-12),Database!$F:$AY,MATCH($N$1,Database!$F$1:$AY$1,),))))</f>
        <v/>
      </c>
      <c r="O359" s="13">
        <f>((((VLOOKUP(B359,Database!$F:$AY,MATCH($O$1,Database!$F$1:$AY$1,),))))-(((VLOOKUP(EDATE(B359,-12),Database!$F:$AY,MATCH($O$1,Database!$F$1:$AY$1,),)))))/(((VLOOKUP(EDATE(B359,-12),Database!$F:$AY,MATCH($O$1,Database!$F$1:$AY$1,),))))</f>
        <v/>
      </c>
      <c r="P359" s="13">
        <f>((((VLOOKUP(B359,Database!$F:$AY,MATCH($P$1,Database!$F$1:$AY$1,),))))-(((VLOOKUP(EDATE(B359,-12),Database!$F:$AY,MATCH($P$1,Database!$F$1:$AY$1,),)))))/(((VLOOKUP(EDATE(B359,-12),Database!$F:$AY,MATCH($P$1,Database!$F$1:$AY$1,),))))</f>
        <v/>
      </c>
      <c r="Q359" s="13">
        <f>((((VLOOKUP(B359,Database!$F:$AY,MATCH($Q$1,Database!$F$1:$AY$1,),))))-(((VLOOKUP(EDATE(B359,-12),Database!$F:$AY,MATCH($Q$1,Database!$F$1:$AY$1,),)))))/(((VLOOKUP(EDATE(B359,-12),Database!$F:$AY,MATCH($Q$1,Database!$F$1:$AY$1,),))))</f>
        <v/>
      </c>
      <c r="R359" s="13">
        <f>((((VLOOKUP(B359,Database!$F:$AY,MATCH($R$1,Database!$F$1:$AY$1,),))))-(((VLOOKUP(EDATE(B359,-12),Database!$F:$AY,MATCH($R$1,Database!$F$1:$AY$1,),)))))/(((VLOOKUP(EDATE(B359,-12),Database!$F:$AY,MATCH($R$1,Database!$F$1:$AY$1,),))))</f>
        <v/>
      </c>
      <c r="S359" s="13">
        <f>((((VLOOKUP(B359,Database!$F:$AY,MATCH($S$1,Database!$F$1:$AY$1,),))))-(((VLOOKUP(EDATE(B359,-12),Database!$F:$AY,MATCH($S$1,Database!$F$1:$AY$1,),)))))/(((VLOOKUP(EDATE(B359,-12),Database!$F:$AY,MATCH($S$1,Database!$F$1:$AY$1,),))))</f>
        <v/>
      </c>
      <c r="T359" s="13">
        <f>((((VLOOKUP(B359,Database!$F:$AY,MATCH($T$1,Database!$F$1:$AY$1,),))))-(((VLOOKUP(EDATE(B359,-12),Database!$F:$AY,MATCH($T$1,Database!$F$1:$AY$1,),)))))/(((VLOOKUP(EDATE(B359,-12),Database!$F:$AY,MATCH($T$1,Database!$F$1:$AY$1,),))))</f>
        <v/>
      </c>
      <c r="U359" s="13">
        <f>((((VLOOKUP(B359,Database!$F:$AY,MATCH($U$1,Database!$F$1:$AY$1,),))))-(((VLOOKUP(EDATE(B359,-12),Database!$F:$AY,MATCH($U$1,Database!$F$1:$AY$1,),)))))/(((VLOOKUP(EDATE(B359,-12),Database!$F:$AY,MATCH($U$1,Database!$F$1:$AY$1,),))))</f>
        <v/>
      </c>
      <c r="V359" s="13">
        <f>((((VLOOKUP(B359,Database!$F:$AY,MATCH($V$1,Database!$F$1:$AY$1,),))))-(((VLOOKUP(EDATE(B359,-12),Database!$F:$AY,MATCH($V$1,Database!$F$1:$AY$1,),)))))/(((VLOOKUP(EDATE(B359,-12),Database!$F:$AY,MATCH($V$1,Database!$F$1:$AY$1,),))))</f>
        <v/>
      </c>
    </row>
    <row r="360" customFormat="1" s="100">
      <c r="A360" s="45" t="n"/>
      <c r="B360" s="46" t="n">
        <v>43101</v>
      </c>
      <c r="C360" s="13">
        <f>((((VLOOKUP(B360,Database!$F:$AY,MATCH($C$1,Database!$F$1:$AY$1,),))))-(((VLOOKUP(EDATE(B360,-12),Database!$F:$AY,MATCH($C$1,Database!$F$1:$AY$1,),)))))/(((VLOOKUP(EDATE(B360,-12),Database!$F:$AY,MATCH($C$1,Database!$F$1:$AY$1,),))))</f>
        <v/>
      </c>
      <c r="D360" s="13">
        <f>((((VLOOKUP(B360,Database!$F:$AY,MATCH($D$1,Database!$F$1:$AY$1,),))))-(((VLOOKUP(EDATE(B360,-12),Database!$F:$AY,MATCH($D$1,Database!$F$1:$AY$1,),)))))/(((VLOOKUP(EDATE(B360,-12),Database!$F:$AY,MATCH($D$1,Database!$F$1:$AY$1,),))))</f>
        <v/>
      </c>
      <c r="E360" s="13">
        <f>((((VLOOKUP(B360,Database!$F:$AY,MATCH($E$1,Database!$F$1:$AY$1,),))))-(((VLOOKUP(EDATE(B360,-12),Database!$F:$AY,MATCH($E$1,Database!$F$1:$AY$1,),)))))/(((VLOOKUP(EDATE(B360,-12),Database!$F:$AY,MATCH($E$1,Database!$F$1:$AY$1,),))))</f>
        <v/>
      </c>
      <c r="F360" s="13">
        <f>((((VLOOKUP(B360,Database!$F:$AY,MATCH($F$1,Database!$F$1:$AY$1,),))))-(((VLOOKUP(EDATE(B360,-12),Database!$F:$AY,MATCH($F$1,Database!$F$1:$AY$1,),)))))/(((VLOOKUP(EDATE(B360,-12),Database!$F:$AY,MATCH($F$1,Database!$F$1:$AY$1,),))))</f>
        <v/>
      </c>
      <c r="G360" s="13">
        <f>((((VLOOKUP(B360,Database!$F:$AY,MATCH($G$1,Database!$F$1:$AY$1,),))))-(((VLOOKUP(EDATE(B360,-12),Database!$F:$AY,MATCH($G$1,Database!$F$1:$AY$1,),)))))/(((VLOOKUP(EDATE(B360,-12),Database!$F:$AY,MATCH($G$1,Database!$F$1:$AY$1,),))))</f>
        <v/>
      </c>
      <c r="H360" s="13">
        <f>((((VLOOKUP(B360,Database!$F:$AY,MATCH($H$1,Database!$F$1:$AY$1,),))))-(((VLOOKUP(EDATE(B360,-12),Database!$F:$AY,MATCH($H$1,Database!$F$1:$AY$1,),)))))/(((VLOOKUP(EDATE(B360,-12),Database!$F:$AY,MATCH($H$1,Database!$F$1:$AY$1,),))))</f>
        <v/>
      </c>
      <c r="I360" s="13">
        <f>((((VLOOKUP(B360,Database!$F:$AY,MATCH($I$1,Database!$F$1:$AY$1,),))))-(((VLOOKUP(EDATE(B360,-12),Database!$F:$AY,MATCH($I$1,Database!$F$1:$AY$1,),)))))/(((VLOOKUP(EDATE(B360,-12),Database!$F:$AY,MATCH($I$1,Database!$F$1:$AY$1,),))))</f>
        <v/>
      </c>
      <c r="J360" s="13">
        <f>((((VLOOKUP(B360,Database!$F:$AY,MATCH($J$1,Database!$F$1:$AY$1,),))))-(((VLOOKUP(EDATE(B360,-12),Database!$F:$AY,MATCH($J$1,Database!$F$1:$AY$1,),)))))/(((VLOOKUP(EDATE(B360,-12),Database!$F:$AY,MATCH($J$1,Database!$F$1:$AY$1,),))))</f>
        <v/>
      </c>
      <c r="K360" s="13">
        <f>((((VLOOKUP(B360,Database!$F:$AY,MATCH($K$1,Database!$F$1:$AY$1,),))))-(((VLOOKUP(EDATE(B360,-12),Database!$F:$AY,MATCH($K$1,Database!$F$1:$AY$1,),)))))/(((VLOOKUP(EDATE(B360,-12),Database!$F:$AY,MATCH($K$1,Database!$F$1:$AY$1,),))))</f>
        <v/>
      </c>
      <c r="L360" s="13">
        <f>((((VLOOKUP(B360,Database!$F:$AY,MATCH($L$1,Database!$F$1:$AY$1,),))))-(((VLOOKUP(EDATE(B360,-12),Database!$F:$AY,MATCH($L$1,Database!$F$1:$AY$1,),)))))/(((VLOOKUP(EDATE(B360,-12),Database!$F:$AY,MATCH($L$1,Database!$F$1:$AY$1,),))))</f>
        <v/>
      </c>
      <c r="M360" s="13">
        <f>((((VLOOKUP(B360,Database!$F:$AY,MATCH($M$1,Database!$F$1:$AY$1,),))))-(((VLOOKUP(EDATE(B360,-12),Database!$F:$AY,MATCH($M$1,Database!$F$1:$AY$1,),)))))/(((VLOOKUP(EDATE(B360,-12),Database!$F:$AY,MATCH($M$1,Database!$F$1:$AY$1,),))))</f>
        <v/>
      </c>
      <c r="N360" s="13">
        <f>((((VLOOKUP(B360,Database!$F:$AY,MATCH($N$1,Database!$F$1:$AY$1,),))))-(((VLOOKUP(EDATE(B360,-12),Database!$F:$AY,MATCH($N$1,Database!$F$1:$AY$1,),)))))/(((VLOOKUP(EDATE(B360,-12),Database!$F:$AY,MATCH($N$1,Database!$F$1:$AY$1,),))))</f>
        <v/>
      </c>
      <c r="O360" s="13">
        <f>((((VLOOKUP(B360,Database!$F:$AY,MATCH($O$1,Database!$F$1:$AY$1,),))))-(((VLOOKUP(EDATE(B360,-12),Database!$F:$AY,MATCH($O$1,Database!$F$1:$AY$1,),)))))/(((VLOOKUP(EDATE(B360,-12),Database!$F:$AY,MATCH($O$1,Database!$F$1:$AY$1,),))))</f>
        <v/>
      </c>
      <c r="P360" s="13">
        <f>((((VLOOKUP(B360,Database!$F:$AY,MATCH($P$1,Database!$F$1:$AY$1,),))))-(((VLOOKUP(EDATE(B360,-12),Database!$F:$AY,MATCH($P$1,Database!$F$1:$AY$1,),)))))/(((VLOOKUP(EDATE(B360,-12),Database!$F:$AY,MATCH($P$1,Database!$F$1:$AY$1,),))))</f>
        <v/>
      </c>
      <c r="Q360" s="13">
        <f>((((VLOOKUP(B360,Database!$F:$AY,MATCH($Q$1,Database!$F$1:$AY$1,),))))-(((VLOOKUP(EDATE(B360,-12),Database!$F:$AY,MATCH($Q$1,Database!$F$1:$AY$1,),)))))/(((VLOOKUP(EDATE(B360,-12),Database!$F:$AY,MATCH($Q$1,Database!$F$1:$AY$1,),))))</f>
        <v/>
      </c>
      <c r="R360" s="13">
        <f>((((VLOOKUP(B360,Database!$F:$AY,MATCH($R$1,Database!$F$1:$AY$1,),))))-(((VLOOKUP(EDATE(B360,-12),Database!$F:$AY,MATCH($R$1,Database!$F$1:$AY$1,),)))))/(((VLOOKUP(EDATE(B360,-12),Database!$F:$AY,MATCH($R$1,Database!$F$1:$AY$1,),))))</f>
        <v/>
      </c>
      <c r="S360" s="13">
        <f>((((VLOOKUP(B360,Database!$F:$AY,MATCH($S$1,Database!$F$1:$AY$1,),))))-(((VLOOKUP(EDATE(B360,-12),Database!$F:$AY,MATCH($S$1,Database!$F$1:$AY$1,),)))))/(((VLOOKUP(EDATE(B360,-12),Database!$F:$AY,MATCH($S$1,Database!$F$1:$AY$1,),))))</f>
        <v/>
      </c>
      <c r="T360" s="13">
        <f>((((VLOOKUP(B360,Database!$F:$AY,MATCH($T$1,Database!$F$1:$AY$1,),))))-(((VLOOKUP(EDATE(B360,-12),Database!$F:$AY,MATCH($T$1,Database!$F$1:$AY$1,),)))))/(((VLOOKUP(EDATE(B360,-12),Database!$F:$AY,MATCH($T$1,Database!$F$1:$AY$1,),))))</f>
        <v/>
      </c>
      <c r="U360" s="13">
        <f>((((VLOOKUP(B360,Database!$F:$AY,MATCH($U$1,Database!$F$1:$AY$1,),))))-(((VLOOKUP(EDATE(B360,-12),Database!$F:$AY,MATCH($U$1,Database!$F$1:$AY$1,),)))))/(((VLOOKUP(EDATE(B360,-12),Database!$F:$AY,MATCH($U$1,Database!$F$1:$AY$1,),))))</f>
        <v/>
      </c>
      <c r="V360" s="13">
        <f>((((VLOOKUP(B360,Database!$F:$AY,MATCH($V$1,Database!$F$1:$AY$1,),))))-(((VLOOKUP(EDATE(B360,-12),Database!$F:$AY,MATCH($V$1,Database!$F$1:$AY$1,),)))))/(((VLOOKUP(EDATE(B360,-12),Database!$F:$AY,MATCH($V$1,Database!$F$1:$AY$1,),))))</f>
        <v/>
      </c>
    </row>
    <row r="361" customFormat="1" s="100">
      <c r="A361" s="45" t="n"/>
      <c r="B361" s="46" t="n">
        <v>43132</v>
      </c>
      <c r="C361" s="13">
        <f>((((VLOOKUP(B361,Database!$F:$AY,MATCH($C$1,Database!$F$1:$AY$1,),))))-(((VLOOKUP(EDATE(B361,-12),Database!$F:$AY,MATCH($C$1,Database!$F$1:$AY$1,),)))))/(((VLOOKUP(EDATE(B361,-12),Database!$F:$AY,MATCH($C$1,Database!$F$1:$AY$1,),))))</f>
        <v/>
      </c>
      <c r="D361" s="13">
        <f>((((VLOOKUP(B361,Database!$F:$AY,MATCH($D$1,Database!$F$1:$AY$1,),))))-(((VLOOKUP(EDATE(B361,-12),Database!$F:$AY,MATCH($D$1,Database!$F$1:$AY$1,),)))))/(((VLOOKUP(EDATE(B361,-12),Database!$F:$AY,MATCH($D$1,Database!$F$1:$AY$1,),))))</f>
        <v/>
      </c>
      <c r="E361" s="13">
        <f>((((VLOOKUP(B361,Database!$F:$AY,MATCH($E$1,Database!$F$1:$AY$1,),))))-(((VLOOKUP(EDATE(B361,-12),Database!$F:$AY,MATCH($E$1,Database!$F$1:$AY$1,),)))))/(((VLOOKUP(EDATE(B361,-12),Database!$F:$AY,MATCH($E$1,Database!$F$1:$AY$1,),))))</f>
        <v/>
      </c>
      <c r="F361" s="13">
        <f>((((VLOOKUP(B361,Database!$F:$AY,MATCH($F$1,Database!$F$1:$AY$1,),))))-(((VLOOKUP(EDATE(B361,-12),Database!$F:$AY,MATCH($F$1,Database!$F$1:$AY$1,),)))))/(((VLOOKUP(EDATE(B361,-12),Database!$F:$AY,MATCH($F$1,Database!$F$1:$AY$1,),))))</f>
        <v/>
      </c>
      <c r="G361" s="13">
        <f>((((VLOOKUP(B361,Database!$F:$AY,MATCH($G$1,Database!$F$1:$AY$1,),))))-(((VLOOKUP(EDATE(B361,-12),Database!$F:$AY,MATCH($G$1,Database!$F$1:$AY$1,),)))))/(((VLOOKUP(EDATE(B361,-12),Database!$F:$AY,MATCH($G$1,Database!$F$1:$AY$1,),))))</f>
        <v/>
      </c>
      <c r="H361" s="13">
        <f>((((VLOOKUP(B361,Database!$F:$AY,MATCH($H$1,Database!$F$1:$AY$1,),))))-(((VLOOKUP(EDATE(B361,-12),Database!$F:$AY,MATCH($H$1,Database!$F$1:$AY$1,),)))))/(((VLOOKUP(EDATE(B361,-12),Database!$F:$AY,MATCH($H$1,Database!$F$1:$AY$1,),))))</f>
        <v/>
      </c>
      <c r="I361" s="13">
        <f>((((VLOOKUP(B361,Database!$F:$AY,MATCH($I$1,Database!$F$1:$AY$1,),))))-(((VLOOKUP(EDATE(B361,-12),Database!$F:$AY,MATCH($I$1,Database!$F$1:$AY$1,),)))))/(((VLOOKUP(EDATE(B361,-12),Database!$F:$AY,MATCH($I$1,Database!$F$1:$AY$1,),))))</f>
        <v/>
      </c>
      <c r="J361" s="13">
        <f>((((VLOOKUP(B361,Database!$F:$AY,MATCH($J$1,Database!$F$1:$AY$1,),))))-(((VLOOKUP(EDATE(B361,-12),Database!$F:$AY,MATCH($J$1,Database!$F$1:$AY$1,),)))))/(((VLOOKUP(EDATE(B361,-12),Database!$F:$AY,MATCH($J$1,Database!$F$1:$AY$1,),))))</f>
        <v/>
      </c>
      <c r="K361" s="13">
        <f>((((VLOOKUP(B361,Database!$F:$AY,MATCH($K$1,Database!$F$1:$AY$1,),))))-(((VLOOKUP(EDATE(B361,-12),Database!$F:$AY,MATCH($K$1,Database!$F$1:$AY$1,),)))))/(((VLOOKUP(EDATE(B361,-12),Database!$F:$AY,MATCH($K$1,Database!$F$1:$AY$1,),))))</f>
        <v/>
      </c>
      <c r="L361" s="13">
        <f>((((VLOOKUP(B361,Database!$F:$AY,MATCH($L$1,Database!$F$1:$AY$1,),))))-(((VLOOKUP(EDATE(B361,-12),Database!$F:$AY,MATCH($L$1,Database!$F$1:$AY$1,),)))))/(((VLOOKUP(EDATE(B361,-12),Database!$F:$AY,MATCH($L$1,Database!$F$1:$AY$1,),))))</f>
        <v/>
      </c>
      <c r="M361" s="13">
        <f>((((VLOOKUP(B361,Database!$F:$AY,MATCH($M$1,Database!$F$1:$AY$1,),))))-(((VLOOKUP(EDATE(B361,-12),Database!$F:$AY,MATCH($M$1,Database!$F$1:$AY$1,),)))))/(((VLOOKUP(EDATE(B361,-12),Database!$F:$AY,MATCH($M$1,Database!$F$1:$AY$1,),))))</f>
        <v/>
      </c>
      <c r="N361" s="13">
        <f>((((VLOOKUP(B361,Database!$F:$AY,MATCH($N$1,Database!$F$1:$AY$1,),))))-(((VLOOKUP(EDATE(B361,-12),Database!$F:$AY,MATCH($N$1,Database!$F$1:$AY$1,),)))))/(((VLOOKUP(EDATE(B361,-12),Database!$F:$AY,MATCH($N$1,Database!$F$1:$AY$1,),))))</f>
        <v/>
      </c>
      <c r="O361" s="13">
        <f>((((VLOOKUP(B361,Database!$F:$AY,MATCH($O$1,Database!$F$1:$AY$1,),))))-(((VLOOKUP(EDATE(B361,-12),Database!$F:$AY,MATCH($O$1,Database!$F$1:$AY$1,),)))))/(((VLOOKUP(EDATE(B361,-12),Database!$F:$AY,MATCH($O$1,Database!$F$1:$AY$1,),))))</f>
        <v/>
      </c>
      <c r="P361" s="13">
        <f>((((VLOOKUP(B361,Database!$F:$AY,MATCH($P$1,Database!$F$1:$AY$1,),))))-(((VLOOKUP(EDATE(B361,-12),Database!$F:$AY,MATCH($P$1,Database!$F$1:$AY$1,),)))))/(((VLOOKUP(EDATE(B361,-12),Database!$F:$AY,MATCH($P$1,Database!$F$1:$AY$1,),))))</f>
        <v/>
      </c>
      <c r="Q361" s="13">
        <f>((((VLOOKUP(B361,Database!$F:$AY,MATCH($Q$1,Database!$F$1:$AY$1,),))))-(((VLOOKUP(EDATE(B361,-12),Database!$F:$AY,MATCH($Q$1,Database!$F$1:$AY$1,),)))))/(((VLOOKUP(EDATE(B361,-12),Database!$F:$AY,MATCH($Q$1,Database!$F$1:$AY$1,),))))</f>
        <v/>
      </c>
      <c r="R361" s="13">
        <f>((((VLOOKUP(B361,Database!$F:$AY,MATCH($R$1,Database!$F$1:$AY$1,),))))-(((VLOOKUP(EDATE(B361,-12),Database!$F:$AY,MATCH($R$1,Database!$F$1:$AY$1,),)))))/(((VLOOKUP(EDATE(B361,-12),Database!$F:$AY,MATCH($R$1,Database!$F$1:$AY$1,),))))</f>
        <v/>
      </c>
      <c r="S361" s="13">
        <f>((((VLOOKUP(B361,Database!$F:$AY,MATCH($S$1,Database!$F$1:$AY$1,),))))-(((VLOOKUP(EDATE(B361,-12),Database!$F:$AY,MATCH($S$1,Database!$F$1:$AY$1,),)))))/(((VLOOKUP(EDATE(B361,-12),Database!$F:$AY,MATCH($S$1,Database!$F$1:$AY$1,),))))</f>
        <v/>
      </c>
      <c r="T361" s="13">
        <f>((((VLOOKUP(B361,Database!$F:$AY,MATCH($T$1,Database!$F$1:$AY$1,),))))-(((VLOOKUP(EDATE(B361,-12),Database!$F:$AY,MATCH($T$1,Database!$F$1:$AY$1,),)))))/(((VLOOKUP(EDATE(B361,-12),Database!$F:$AY,MATCH($T$1,Database!$F$1:$AY$1,),))))</f>
        <v/>
      </c>
      <c r="U361" s="13">
        <f>((((VLOOKUP(B361,Database!$F:$AY,MATCH($U$1,Database!$F$1:$AY$1,),))))-(((VLOOKUP(EDATE(B361,-12),Database!$F:$AY,MATCH($U$1,Database!$F$1:$AY$1,),)))))/(((VLOOKUP(EDATE(B361,-12),Database!$F:$AY,MATCH($U$1,Database!$F$1:$AY$1,),))))</f>
        <v/>
      </c>
      <c r="V361" s="13">
        <f>((((VLOOKUP(B361,Database!$F:$AY,MATCH($V$1,Database!$F$1:$AY$1,),))))-(((VLOOKUP(EDATE(B361,-12),Database!$F:$AY,MATCH($V$1,Database!$F$1:$AY$1,),)))))/(((VLOOKUP(EDATE(B361,-12),Database!$F:$AY,MATCH($V$1,Database!$F$1:$AY$1,),))))</f>
        <v/>
      </c>
    </row>
    <row r="362" customFormat="1" s="100">
      <c r="A362" s="45" t="n"/>
      <c r="B362" s="46" t="n">
        <v>43160</v>
      </c>
      <c r="C362" s="13">
        <f>((((VLOOKUP(B362,Database!$F:$AY,MATCH($C$1,Database!$F$1:$AY$1,),))))-(((VLOOKUP(EDATE(B362,-12),Database!$F:$AY,MATCH($C$1,Database!$F$1:$AY$1,),)))))/(((VLOOKUP(EDATE(B362,-12),Database!$F:$AY,MATCH($C$1,Database!$F$1:$AY$1,),))))</f>
        <v/>
      </c>
      <c r="D362" s="13">
        <f>((((VLOOKUP(B362,Database!$F:$AY,MATCH($D$1,Database!$F$1:$AY$1,),))))-(((VLOOKUP(EDATE(B362,-12),Database!$F:$AY,MATCH($D$1,Database!$F$1:$AY$1,),)))))/(((VLOOKUP(EDATE(B362,-12),Database!$F:$AY,MATCH($D$1,Database!$F$1:$AY$1,),))))</f>
        <v/>
      </c>
      <c r="E362" s="13">
        <f>((((VLOOKUP(B362,Database!$F:$AY,MATCH($E$1,Database!$F$1:$AY$1,),))))-(((VLOOKUP(EDATE(B362,-12),Database!$F:$AY,MATCH($E$1,Database!$F$1:$AY$1,),)))))/(((VLOOKUP(EDATE(B362,-12),Database!$F:$AY,MATCH($E$1,Database!$F$1:$AY$1,),))))</f>
        <v/>
      </c>
      <c r="F362" s="13">
        <f>((((VLOOKUP(B362,Database!$F:$AY,MATCH($F$1,Database!$F$1:$AY$1,),))))-(((VLOOKUP(EDATE(B362,-12),Database!$F:$AY,MATCH($F$1,Database!$F$1:$AY$1,),)))))/(((VLOOKUP(EDATE(B362,-12),Database!$F:$AY,MATCH($F$1,Database!$F$1:$AY$1,),))))</f>
        <v/>
      </c>
      <c r="G362" s="13">
        <f>((((VLOOKUP(B362,Database!$F:$AY,MATCH($G$1,Database!$F$1:$AY$1,),))))-(((VLOOKUP(EDATE(B362,-12),Database!$F:$AY,MATCH($G$1,Database!$F$1:$AY$1,),)))))/(((VLOOKUP(EDATE(B362,-12),Database!$F:$AY,MATCH($G$1,Database!$F$1:$AY$1,),))))</f>
        <v/>
      </c>
      <c r="H362" s="13">
        <f>((((VLOOKUP(B362,Database!$F:$AY,MATCH($H$1,Database!$F$1:$AY$1,),))))-(((VLOOKUP(EDATE(B362,-12),Database!$F:$AY,MATCH($H$1,Database!$F$1:$AY$1,),)))))/(((VLOOKUP(EDATE(B362,-12),Database!$F:$AY,MATCH($H$1,Database!$F$1:$AY$1,),))))</f>
        <v/>
      </c>
      <c r="I362" s="13">
        <f>((((VLOOKUP(B362,Database!$F:$AY,MATCH($I$1,Database!$F$1:$AY$1,),))))-(((VLOOKUP(EDATE(B362,-12),Database!$F:$AY,MATCH($I$1,Database!$F$1:$AY$1,),)))))/(((VLOOKUP(EDATE(B362,-12),Database!$F:$AY,MATCH($I$1,Database!$F$1:$AY$1,),))))</f>
        <v/>
      </c>
      <c r="J362" s="13">
        <f>((((VLOOKUP(B362,Database!$F:$AY,MATCH($J$1,Database!$F$1:$AY$1,),))))-(((VLOOKUP(EDATE(B362,-12),Database!$F:$AY,MATCH($J$1,Database!$F$1:$AY$1,),)))))/(((VLOOKUP(EDATE(B362,-12),Database!$F:$AY,MATCH($J$1,Database!$F$1:$AY$1,),))))</f>
        <v/>
      </c>
      <c r="K362" s="13">
        <f>((((VLOOKUP(B362,Database!$F:$AY,MATCH($K$1,Database!$F$1:$AY$1,),))))-(((VLOOKUP(EDATE(B362,-12),Database!$F:$AY,MATCH($K$1,Database!$F$1:$AY$1,),)))))/(((VLOOKUP(EDATE(B362,-12),Database!$F:$AY,MATCH($K$1,Database!$F$1:$AY$1,),))))</f>
        <v/>
      </c>
      <c r="L362" s="13">
        <f>((((VLOOKUP(B362,Database!$F:$AY,MATCH($L$1,Database!$F$1:$AY$1,),))))-(((VLOOKUP(EDATE(B362,-12),Database!$F:$AY,MATCH($L$1,Database!$F$1:$AY$1,),)))))/(((VLOOKUP(EDATE(B362,-12),Database!$F:$AY,MATCH($L$1,Database!$F$1:$AY$1,),))))</f>
        <v/>
      </c>
      <c r="M362" s="13">
        <f>((((VLOOKUP(B362,Database!$F:$AY,MATCH($M$1,Database!$F$1:$AY$1,),))))-(((VLOOKUP(EDATE(B362,-12),Database!$F:$AY,MATCH($M$1,Database!$F$1:$AY$1,),)))))/(((VLOOKUP(EDATE(B362,-12),Database!$F:$AY,MATCH($M$1,Database!$F$1:$AY$1,),))))</f>
        <v/>
      </c>
      <c r="N362" s="13">
        <f>((((VLOOKUP(B362,Database!$F:$AY,MATCH($N$1,Database!$F$1:$AY$1,),))))-(((VLOOKUP(EDATE(B362,-12),Database!$F:$AY,MATCH($N$1,Database!$F$1:$AY$1,),)))))/(((VLOOKUP(EDATE(B362,-12),Database!$F:$AY,MATCH($N$1,Database!$F$1:$AY$1,),))))</f>
        <v/>
      </c>
      <c r="O362" s="13">
        <f>((((VLOOKUP(B362,Database!$F:$AY,MATCH($O$1,Database!$F$1:$AY$1,),))))-(((VLOOKUP(EDATE(B362,-12),Database!$F:$AY,MATCH($O$1,Database!$F$1:$AY$1,),)))))/(((VLOOKUP(EDATE(B362,-12),Database!$F:$AY,MATCH($O$1,Database!$F$1:$AY$1,),))))</f>
        <v/>
      </c>
      <c r="P362" s="13">
        <f>((((VLOOKUP(B362,Database!$F:$AY,MATCH($P$1,Database!$F$1:$AY$1,),))))-(((VLOOKUP(EDATE(B362,-12),Database!$F:$AY,MATCH($P$1,Database!$F$1:$AY$1,),)))))/(((VLOOKUP(EDATE(B362,-12),Database!$F:$AY,MATCH($P$1,Database!$F$1:$AY$1,),))))</f>
        <v/>
      </c>
      <c r="Q362" s="13">
        <f>((((VLOOKUP(B362,Database!$F:$AY,MATCH($Q$1,Database!$F$1:$AY$1,),))))-(((VLOOKUP(EDATE(B362,-12),Database!$F:$AY,MATCH($Q$1,Database!$F$1:$AY$1,),)))))/(((VLOOKUP(EDATE(B362,-12),Database!$F:$AY,MATCH($Q$1,Database!$F$1:$AY$1,),))))</f>
        <v/>
      </c>
      <c r="R362" s="13">
        <f>((((VLOOKUP(B362,Database!$F:$AY,MATCH($R$1,Database!$F$1:$AY$1,),))))-(((VLOOKUP(EDATE(B362,-12),Database!$F:$AY,MATCH($R$1,Database!$F$1:$AY$1,),)))))/(((VLOOKUP(EDATE(B362,-12),Database!$F:$AY,MATCH($R$1,Database!$F$1:$AY$1,),))))</f>
        <v/>
      </c>
      <c r="S362" s="13">
        <f>((((VLOOKUP(B362,Database!$F:$AY,MATCH($S$1,Database!$F$1:$AY$1,),))))-(((VLOOKUP(EDATE(B362,-12),Database!$F:$AY,MATCH($S$1,Database!$F$1:$AY$1,),)))))/(((VLOOKUP(EDATE(B362,-12),Database!$F:$AY,MATCH($S$1,Database!$F$1:$AY$1,),))))</f>
        <v/>
      </c>
      <c r="T362" s="13">
        <f>((((VLOOKUP(B362,Database!$F:$AY,MATCH($T$1,Database!$F$1:$AY$1,),))))-(((VLOOKUP(EDATE(B362,-12),Database!$F:$AY,MATCH($T$1,Database!$F$1:$AY$1,),)))))/(((VLOOKUP(EDATE(B362,-12),Database!$F:$AY,MATCH($T$1,Database!$F$1:$AY$1,),))))</f>
        <v/>
      </c>
      <c r="U362" s="13">
        <f>((((VLOOKUP(B362,Database!$F:$AY,MATCH($U$1,Database!$F$1:$AY$1,),))))-(((VLOOKUP(EDATE(B362,-12),Database!$F:$AY,MATCH($U$1,Database!$F$1:$AY$1,),)))))/(((VLOOKUP(EDATE(B362,-12),Database!$F:$AY,MATCH($U$1,Database!$F$1:$AY$1,),))))</f>
        <v/>
      </c>
      <c r="V362" s="13">
        <f>((((VLOOKUP(B362,Database!$F:$AY,MATCH($V$1,Database!$F$1:$AY$1,),))))-(((VLOOKUP(EDATE(B362,-12),Database!$F:$AY,MATCH($V$1,Database!$F$1:$AY$1,),)))))/(((VLOOKUP(EDATE(B362,-12),Database!$F:$AY,MATCH($V$1,Database!$F$1:$AY$1,),))))</f>
        <v/>
      </c>
    </row>
    <row r="363" customFormat="1" s="100">
      <c r="A363" s="45" t="n"/>
      <c r="B363" s="46" t="n">
        <v>43191</v>
      </c>
      <c r="C363" s="13">
        <f>((((VLOOKUP(B363,Database!$F:$AY,MATCH($C$1,Database!$F$1:$AY$1,),))))-(((VLOOKUP(EDATE(B363,-12),Database!$F:$AY,MATCH($C$1,Database!$F$1:$AY$1,),)))))/(((VLOOKUP(EDATE(B363,-12),Database!$F:$AY,MATCH($C$1,Database!$F$1:$AY$1,),))))</f>
        <v/>
      </c>
      <c r="D363" s="13">
        <f>((((VLOOKUP(B363,Database!$F:$AY,MATCH($D$1,Database!$F$1:$AY$1,),))))-(((VLOOKUP(EDATE(B363,-12),Database!$F:$AY,MATCH($D$1,Database!$F$1:$AY$1,),)))))/(((VLOOKUP(EDATE(B363,-12),Database!$F:$AY,MATCH($D$1,Database!$F$1:$AY$1,),))))</f>
        <v/>
      </c>
      <c r="E363" s="13">
        <f>((((VLOOKUP(B363,Database!$F:$AY,MATCH($E$1,Database!$F$1:$AY$1,),))))-(((VLOOKUP(EDATE(B363,-12),Database!$F:$AY,MATCH($E$1,Database!$F$1:$AY$1,),)))))/(((VLOOKUP(EDATE(B363,-12),Database!$F:$AY,MATCH($E$1,Database!$F$1:$AY$1,),))))</f>
        <v/>
      </c>
      <c r="F363" s="13">
        <f>((((VLOOKUP(B363,Database!$F:$AY,MATCH($F$1,Database!$F$1:$AY$1,),))))-(((VLOOKUP(EDATE(B363,-12),Database!$F:$AY,MATCH($F$1,Database!$F$1:$AY$1,),)))))/(((VLOOKUP(EDATE(B363,-12),Database!$F:$AY,MATCH($F$1,Database!$F$1:$AY$1,),))))</f>
        <v/>
      </c>
      <c r="G363" s="13">
        <f>((((VLOOKUP(B363,Database!$F:$AY,MATCH($G$1,Database!$F$1:$AY$1,),))))-(((VLOOKUP(EDATE(B363,-12),Database!$F:$AY,MATCH($G$1,Database!$F$1:$AY$1,),)))))/(((VLOOKUP(EDATE(B363,-12),Database!$F:$AY,MATCH($G$1,Database!$F$1:$AY$1,),))))</f>
        <v/>
      </c>
      <c r="H363" s="13">
        <f>((((VLOOKUP(B363,Database!$F:$AY,MATCH($H$1,Database!$F$1:$AY$1,),))))-(((VLOOKUP(EDATE(B363,-12),Database!$F:$AY,MATCH($H$1,Database!$F$1:$AY$1,),)))))/(((VLOOKUP(EDATE(B363,-12),Database!$F:$AY,MATCH($H$1,Database!$F$1:$AY$1,),))))</f>
        <v/>
      </c>
      <c r="I363" s="13">
        <f>((((VLOOKUP(B363,Database!$F:$AY,MATCH($I$1,Database!$F$1:$AY$1,),))))-(((VLOOKUP(EDATE(B363,-12),Database!$F:$AY,MATCH($I$1,Database!$F$1:$AY$1,),)))))/(((VLOOKUP(EDATE(B363,-12),Database!$F:$AY,MATCH($I$1,Database!$F$1:$AY$1,),))))</f>
        <v/>
      </c>
      <c r="J363" s="13">
        <f>((((VLOOKUP(B363,Database!$F:$AY,MATCH($J$1,Database!$F$1:$AY$1,),))))-(((VLOOKUP(EDATE(B363,-12),Database!$F:$AY,MATCH($J$1,Database!$F$1:$AY$1,),)))))/(((VLOOKUP(EDATE(B363,-12),Database!$F:$AY,MATCH($J$1,Database!$F$1:$AY$1,),))))</f>
        <v/>
      </c>
      <c r="K363" s="13">
        <f>((((VLOOKUP(B363,Database!$F:$AY,MATCH($K$1,Database!$F$1:$AY$1,),))))-(((VLOOKUP(EDATE(B363,-12),Database!$F:$AY,MATCH($K$1,Database!$F$1:$AY$1,),)))))/(((VLOOKUP(EDATE(B363,-12),Database!$F:$AY,MATCH($K$1,Database!$F$1:$AY$1,),))))</f>
        <v/>
      </c>
      <c r="L363" s="13">
        <f>((((VLOOKUP(B363,Database!$F:$AY,MATCH($L$1,Database!$F$1:$AY$1,),))))-(((VLOOKUP(EDATE(B363,-12),Database!$F:$AY,MATCH($L$1,Database!$F$1:$AY$1,),)))))/(((VLOOKUP(EDATE(B363,-12),Database!$F:$AY,MATCH($L$1,Database!$F$1:$AY$1,),))))</f>
        <v/>
      </c>
      <c r="M363" s="13">
        <f>((((VLOOKUP(B363,Database!$F:$AY,MATCH($M$1,Database!$F$1:$AY$1,),))))-(((VLOOKUP(EDATE(B363,-12),Database!$F:$AY,MATCH($M$1,Database!$F$1:$AY$1,),)))))/(((VLOOKUP(EDATE(B363,-12),Database!$F:$AY,MATCH($M$1,Database!$F$1:$AY$1,),))))</f>
        <v/>
      </c>
      <c r="N363" s="13">
        <f>((((VLOOKUP(B363,Database!$F:$AY,MATCH($N$1,Database!$F$1:$AY$1,),))))-(((VLOOKUP(EDATE(B363,-12),Database!$F:$AY,MATCH($N$1,Database!$F$1:$AY$1,),)))))/(((VLOOKUP(EDATE(B363,-12),Database!$F:$AY,MATCH($N$1,Database!$F$1:$AY$1,),))))</f>
        <v/>
      </c>
      <c r="O363" s="13">
        <f>((((VLOOKUP(B363,Database!$F:$AY,MATCH($O$1,Database!$F$1:$AY$1,),))))-(((VLOOKUP(EDATE(B363,-12),Database!$F:$AY,MATCH($O$1,Database!$F$1:$AY$1,),)))))/(((VLOOKUP(EDATE(B363,-12),Database!$F:$AY,MATCH($O$1,Database!$F$1:$AY$1,),))))</f>
        <v/>
      </c>
      <c r="P363" s="13">
        <f>((((VLOOKUP(B363,Database!$F:$AY,MATCH($P$1,Database!$F$1:$AY$1,),))))-(((VLOOKUP(EDATE(B363,-12),Database!$F:$AY,MATCH($P$1,Database!$F$1:$AY$1,),)))))/(((VLOOKUP(EDATE(B363,-12),Database!$F:$AY,MATCH($P$1,Database!$F$1:$AY$1,),))))</f>
        <v/>
      </c>
      <c r="Q363" s="13">
        <f>((((VLOOKUP(B363,Database!$F:$AY,MATCH($Q$1,Database!$F$1:$AY$1,),))))-(((VLOOKUP(EDATE(B363,-12),Database!$F:$AY,MATCH($Q$1,Database!$F$1:$AY$1,),)))))/(((VLOOKUP(EDATE(B363,-12),Database!$F:$AY,MATCH($Q$1,Database!$F$1:$AY$1,),))))</f>
        <v/>
      </c>
      <c r="R363" s="13">
        <f>((((VLOOKUP(B363,Database!$F:$AY,MATCH($R$1,Database!$F$1:$AY$1,),))))-(((VLOOKUP(EDATE(B363,-12),Database!$F:$AY,MATCH($R$1,Database!$F$1:$AY$1,),)))))/(((VLOOKUP(EDATE(B363,-12),Database!$F:$AY,MATCH($R$1,Database!$F$1:$AY$1,),))))</f>
        <v/>
      </c>
      <c r="S363" s="13">
        <f>((((VLOOKUP(B363,Database!$F:$AY,MATCH($S$1,Database!$F$1:$AY$1,),))))-(((VLOOKUP(EDATE(B363,-12),Database!$F:$AY,MATCH($S$1,Database!$F$1:$AY$1,),)))))/(((VLOOKUP(EDATE(B363,-12),Database!$F:$AY,MATCH($S$1,Database!$F$1:$AY$1,),))))</f>
        <v/>
      </c>
      <c r="T363" s="13">
        <f>((((VLOOKUP(B363,Database!$F:$AY,MATCH($T$1,Database!$F$1:$AY$1,),))))-(((VLOOKUP(EDATE(B363,-12),Database!$F:$AY,MATCH($T$1,Database!$F$1:$AY$1,),)))))/(((VLOOKUP(EDATE(B363,-12),Database!$F:$AY,MATCH($T$1,Database!$F$1:$AY$1,),))))</f>
        <v/>
      </c>
      <c r="U363" s="13">
        <f>((((VLOOKUP(B363,Database!$F:$AY,MATCH($U$1,Database!$F$1:$AY$1,),))))-(((VLOOKUP(EDATE(B363,-12),Database!$F:$AY,MATCH($U$1,Database!$F$1:$AY$1,),)))))/(((VLOOKUP(EDATE(B363,-12),Database!$F:$AY,MATCH($U$1,Database!$F$1:$AY$1,),))))</f>
        <v/>
      </c>
      <c r="V363" s="13">
        <f>((((VLOOKUP(B363,Database!$F:$AY,MATCH($V$1,Database!$F$1:$AY$1,),))))-(((VLOOKUP(EDATE(B363,-12),Database!$F:$AY,MATCH($V$1,Database!$F$1:$AY$1,),)))))/(((VLOOKUP(EDATE(B363,-12),Database!$F:$AY,MATCH($V$1,Database!$F$1:$AY$1,),))))</f>
        <v/>
      </c>
    </row>
    <row r="364" customFormat="1" s="100">
      <c r="A364" s="45" t="n"/>
      <c r="B364" s="46" t="n">
        <v>43221</v>
      </c>
      <c r="C364" s="13">
        <f>((((VLOOKUP(B364,Database!$F:$AY,MATCH($C$1,Database!$F$1:$AY$1,),))))-(((VLOOKUP(EDATE(B364,-12),Database!$F:$AY,MATCH($C$1,Database!$F$1:$AY$1,),)))))/(((VLOOKUP(EDATE(B364,-12),Database!$F:$AY,MATCH($C$1,Database!$F$1:$AY$1,),))))</f>
        <v/>
      </c>
      <c r="D364" s="13">
        <f>((((VLOOKUP(B364,Database!$F:$AY,MATCH($D$1,Database!$F$1:$AY$1,),))))-(((VLOOKUP(EDATE(B364,-12),Database!$F:$AY,MATCH($D$1,Database!$F$1:$AY$1,),)))))/(((VLOOKUP(EDATE(B364,-12),Database!$F:$AY,MATCH($D$1,Database!$F$1:$AY$1,),))))</f>
        <v/>
      </c>
      <c r="E364" s="13">
        <f>((((VLOOKUP(B364,Database!$F:$AY,MATCH($E$1,Database!$F$1:$AY$1,),))))-(((VLOOKUP(EDATE(B364,-12),Database!$F:$AY,MATCH($E$1,Database!$F$1:$AY$1,),)))))/(((VLOOKUP(EDATE(B364,-12),Database!$F:$AY,MATCH($E$1,Database!$F$1:$AY$1,),))))</f>
        <v/>
      </c>
      <c r="F364" s="13">
        <f>((((VLOOKUP(B364,Database!$F:$AY,MATCH($F$1,Database!$F$1:$AY$1,),))))-(((VLOOKUP(EDATE(B364,-12),Database!$F:$AY,MATCH($F$1,Database!$F$1:$AY$1,),)))))/(((VLOOKUP(EDATE(B364,-12),Database!$F:$AY,MATCH($F$1,Database!$F$1:$AY$1,),))))</f>
        <v/>
      </c>
      <c r="G364" s="13">
        <f>((((VLOOKUP(B364,Database!$F:$AY,MATCH($G$1,Database!$F$1:$AY$1,),))))-(((VLOOKUP(EDATE(B364,-12),Database!$F:$AY,MATCH($G$1,Database!$F$1:$AY$1,),)))))/(((VLOOKUP(EDATE(B364,-12),Database!$F:$AY,MATCH($G$1,Database!$F$1:$AY$1,),))))</f>
        <v/>
      </c>
      <c r="H364" s="13">
        <f>((((VLOOKUP(B364,Database!$F:$AY,MATCH($H$1,Database!$F$1:$AY$1,),))))-(((VLOOKUP(EDATE(B364,-12),Database!$F:$AY,MATCH($H$1,Database!$F$1:$AY$1,),)))))/(((VLOOKUP(EDATE(B364,-12),Database!$F:$AY,MATCH($H$1,Database!$F$1:$AY$1,),))))</f>
        <v/>
      </c>
      <c r="I364" s="13">
        <f>((((VLOOKUP(B364,Database!$F:$AY,MATCH($I$1,Database!$F$1:$AY$1,),))))-(((VLOOKUP(EDATE(B364,-12),Database!$F:$AY,MATCH($I$1,Database!$F$1:$AY$1,),)))))/(((VLOOKUP(EDATE(B364,-12),Database!$F:$AY,MATCH($I$1,Database!$F$1:$AY$1,),))))</f>
        <v/>
      </c>
      <c r="J364" s="13">
        <f>((((VLOOKUP(B364,Database!$F:$AY,MATCH($J$1,Database!$F$1:$AY$1,),))))-(((VLOOKUP(EDATE(B364,-12),Database!$F:$AY,MATCH($J$1,Database!$F$1:$AY$1,),)))))/(((VLOOKUP(EDATE(B364,-12),Database!$F:$AY,MATCH($J$1,Database!$F$1:$AY$1,),))))</f>
        <v/>
      </c>
      <c r="K364" s="13">
        <f>((((VLOOKUP(B364,Database!$F:$AY,MATCH($K$1,Database!$F$1:$AY$1,),))))-(((VLOOKUP(EDATE(B364,-12),Database!$F:$AY,MATCH($K$1,Database!$F$1:$AY$1,),)))))/(((VLOOKUP(EDATE(B364,-12),Database!$F:$AY,MATCH($K$1,Database!$F$1:$AY$1,),))))</f>
        <v/>
      </c>
      <c r="L364" s="13">
        <f>((((VLOOKUP(B364,Database!$F:$AY,MATCH($L$1,Database!$F$1:$AY$1,),))))-(((VLOOKUP(EDATE(B364,-12),Database!$F:$AY,MATCH($L$1,Database!$F$1:$AY$1,),)))))/(((VLOOKUP(EDATE(B364,-12),Database!$F:$AY,MATCH($L$1,Database!$F$1:$AY$1,),))))</f>
        <v/>
      </c>
      <c r="M364" s="13">
        <f>((((VLOOKUP(B364,Database!$F:$AY,MATCH($M$1,Database!$F$1:$AY$1,),))))-(((VLOOKUP(EDATE(B364,-12),Database!$F:$AY,MATCH($M$1,Database!$F$1:$AY$1,),)))))/(((VLOOKUP(EDATE(B364,-12),Database!$F:$AY,MATCH($M$1,Database!$F$1:$AY$1,),))))</f>
        <v/>
      </c>
      <c r="N364" s="13">
        <f>((((VLOOKUP(B364,Database!$F:$AY,MATCH($N$1,Database!$F$1:$AY$1,),))))-(((VLOOKUP(EDATE(B364,-12),Database!$F:$AY,MATCH($N$1,Database!$F$1:$AY$1,),)))))/(((VLOOKUP(EDATE(B364,-12),Database!$F:$AY,MATCH($N$1,Database!$F$1:$AY$1,),))))</f>
        <v/>
      </c>
      <c r="O364" s="13">
        <f>((((VLOOKUP(B364,Database!$F:$AY,MATCH($O$1,Database!$F$1:$AY$1,),))))-(((VLOOKUP(EDATE(B364,-12),Database!$F:$AY,MATCH($O$1,Database!$F$1:$AY$1,),)))))/(((VLOOKUP(EDATE(B364,-12),Database!$F:$AY,MATCH($O$1,Database!$F$1:$AY$1,),))))</f>
        <v/>
      </c>
      <c r="P364" s="13">
        <f>((((VLOOKUP(B364,Database!$F:$AY,MATCH($P$1,Database!$F$1:$AY$1,),))))-(((VLOOKUP(EDATE(B364,-12),Database!$F:$AY,MATCH($P$1,Database!$F$1:$AY$1,),)))))/(((VLOOKUP(EDATE(B364,-12),Database!$F:$AY,MATCH($P$1,Database!$F$1:$AY$1,),))))</f>
        <v/>
      </c>
      <c r="Q364" s="13">
        <f>((((VLOOKUP(B364,Database!$F:$AY,MATCH($Q$1,Database!$F$1:$AY$1,),))))-(((VLOOKUP(EDATE(B364,-12),Database!$F:$AY,MATCH($Q$1,Database!$F$1:$AY$1,),)))))/(((VLOOKUP(EDATE(B364,-12),Database!$F:$AY,MATCH($Q$1,Database!$F$1:$AY$1,),))))</f>
        <v/>
      </c>
      <c r="R364" s="13">
        <f>((((VLOOKUP(B364,Database!$F:$AY,MATCH($R$1,Database!$F$1:$AY$1,),))))-(((VLOOKUP(EDATE(B364,-12),Database!$F:$AY,MATCH($R$1,Database!$F$1:$AY$1,),)))))/(((VLOOKUP(EDATE(B364,-12),Database!$F:$AY,MATCH($R$1,Database!$F$1:$AY$1,),))))</f>
        <v/>
      </c>
      <c r="S364" s="13">
        <f>((((VLOOKUP(B364,Database!$F:$AY,MATCH($S$1,Database!$F$1:$AY$1,),))))-(((VLOOKUP(EDATE(B364,-12),Database!$F:$AY,MATCH($S$1,Database!$F$1:$AY$1,),)))))/(((VLOOKUP(EDATE(B364,-12),Database!$F:$AY,MATCH($S$1,Database!$F$1:$AY$1,),))))</f>
        <v/>
      </c>
      <c r="T364" s="13">
        <f>((((VLOOKUP(B364,Database!$F:$AY,MATCH($T$1,Database!$F$1:$AY$1,),))))-(((VLOOKUP(EDATE(B364,-12),Database!$F:$AY,MATCH($T$1,Database!$F$1:$AY$1,),)))))/(((VLOOKUP(EDATE(B364,-12),Database!$F:$AY,MATCH($T$1,Database!$F$1:$AY$1,),))))</f>
        <v/>
      </c>
      <c r="U364" s="13">
        <f>((((VLOOKUP(B364,Database!$F:$AY,MATCH($U$1,Database!$F$1:$AY$1,),))))-(((VLOOKUP(EDATE(B364,-12),Database!$F:$AY,MATCH($U$1,Database!$F$1:$AY$1,),)))))/(((VLOOKUP(EDATE(B364,-12),Database!$F:$AY,MATCH($U$1,Database!$F$1:$AY$1,),))))</f>
        <v/>
      </c>
      <c r="V364" s="13">
        <f>((((VLOOKUP(B364,Database!$F:$AY,MATCH($V$1,Database!$F$1:$AY$1,),))))-(((VLOOKUP(EDATE(B364,-12),Database!$F:$AY,MATCH($V$1,Database!$F$1:$AY$1,),)))))/(((VLOOKUP(EDATE(B364,-12),Database!$F:$AY,MATCH($V$1,Database!$F$1:$AY$1,),))))</f>
        <v/>
      </c>
    </row>
    <row r="365" customFormat="1" s="100">
      <c r="A365" s="45" t="n"/>
      <c r="B365" s="46" t="n">
        <v>43252</v>
      </c>
      <c r="C365" s="13">
        <f>((((VLOOKUP(B365,Database!$F:$AY,MATCH($C$1,Database!$F$1:$AY$1,),))))-(((VLOOKUP(EDATE(B365,-12),Database!$F:$AY,MATCH($C$1,Database!$F$1:$AY$1,),)))))/(((VLOOKUP(EDATE(B365,-12),Database!$F:$AY,MATCH($C$1,Database!$F$1:$AY$1,),))))</f>
        <v/>
      </c>
      <c r="D365" s="13">
        <f>((((VLOOKUP(B365,Database!$F:$AY,MATCH($D$1,Database!$F$1:$AY$1,),))))-(((VLOOKUP(EDATE(B365,-12),Database!$F:$AY,MATCH($D$1,Database!$F$1:$AY$1,),)))))/(((VLOOKUP(EDATE(B365,-12),Database!$F:$AY,MATCH($D$1,Database!$F$1:$AY$1,),))))</f>
        <v/>
      </c>
      <c r="E365" s="13">
        <f>((((VLOOKUP(B365,Database!$F:$AY,MATCH($E$1,Database!$F$1:$AY$1,),))))-(((VLOOKUP(EDATE(B365,-12),Database!$F:$AY,MATCH($E$1,Database!$F$1:$AY$1,),)))))/(((VLOOKUP(EDATE(B365,-12),Database!$F:$AY,MATCH($E$1,Database!$F$1:$AY$1,),))))</f>
        <v/>
      </c>
      <c r="F365" s="13">
        <f>((((VLOOKUP(B365,Database!$F:$AY,MATCH($F$1,Database!$F$1:$AY$1,),))))-(((VLOOKUP(EDATE(B365,-12),Database!$F:$AY,MATCH($F$1,Database!$F$1:$AY$1,),)))))/(((VLOOKUP(EDATE(B365,-12),Database!$F:$AY,MATCH($F$1,Database!$F$1:$AY$1,),))))</f>
        <v/>
      </c>
      <c r="G365" s="13">
        <f>((((VLOOKUP(B365,Database!$F:$AY,MATCH($G$1,Database!$F$1:$AY$1,),))))-(((VLOOKUP(EDATE(B365,-12),Database!$F:$AY,MATCH($G$1,Database!$F$1:$AY$1,),)))))/(((VLOOKUP(EDATE(B365,-12),Database!$F:$AY,MATCH($G$1,Database!$F$1:$AY$1,),))))</f>
        <v/>
      </c>
      <c r="H365" s="13">
        <f>((((VLOOKUP(B365,Database!$F:$AY,MATCH($H$1,Database!$F$1:$AY$1,),))))-(((VLOOKUP(EDATE(B365,-12),Database!$F:$AY,MATCH($H$1,Database!$F$1:$AY$1,),)))))/(((VLOOKUP(EDATE(B365,-12),Database!$F:$AY,MATCH($H$1,Database!$F$1:$AY$1,),))))</f>
        <v/>
      </c>
      <c r="I365" s="13">
        <f>((((VLOOKUP(B365,Database!$F:$AY,MATCH($I$1,Database!$F$1:$AY$1,),))))-(((VLOOKUP(EDATE(B365,-12),Database!$F:$AY,MATCH($I$1,Database!$F$1:$AY$1,),)))))/(((VLOOKUP(EDATE(B365,-12),Database!$F:$AY,MATCH($I$1,Database!$F$1:$AY$1,),))))</f>
        <v/>
      </c>
      <c r="J365" s="13">
        <f>((((VLOOKUP(B365,Database!$F:$AY,MATCH($J$1,Database!$F$1:$AY$1,),))))-(((VLOOKUP(EDATE(B365,-12),Database!$F:$AY,MATCH($J$1,Database!$F$1:$AY$1,),)))))/(((VLOOKUP(EDATE(B365,-12),Database!$F:$AY,MATCH($J$1,Database!$F$1:$AY$1,),))))</f>
        <v/>
      </c>
      <c r="K365" s="13">
        <f>((((VLOOKUP(B365,Database!$F:$AY,MATCH($K$1,Database!$F$1:$AY$1,),))))-(((VLOOKUP(EDATE(B365,-12),Database!$F:$AY,MATCH($K$1,Database!$F$1:$AY$1,),)))))/(((VLOOKUP(EDATE(B365,-12),Database!$F:$AY,MATCH($K$1,Database!$F$1:$AY$1,),))))</f>
        <v/>
      </c>
      <c r="L365" s="13">
        <f>((((VLOOKUP(B365,Database!$F:$AY,MATCH($L$1,Database!$F$1:$AY$1,),))))-(((VLOOKUP(EDATE(B365,-12),Database!$F:$AY,MATCH($L$1,Database!$F$1:$AY$1,),)))))/(((VLOOKUP(EDATE(B365,-12),Database!$F:$AY,MATCH($L$1,Database!$F$1:$AY$1,),))))</f>
        <v/>
      </c>
      <c r="M365" s="13">
        <f>((((VLOOKUP(B365,Database!$F:$AY,MATCH($M$1,Database!$F$1:$AY$1,),))))-(((VLOOKUP(EDATE(B365,-12),Database!$F:$AY,MATCH($M$1,Database!$F$1:$AY$1,),)))))/(((VLOOKUP(EDATE(B365,-12),Database!$F:$AY,MATCH($M$1,Database!$F$1:$AY$1,),))))</f>
        <v/>
      </c>
      <c r="N365" s="13">
        <f>((((VLOOKUP(B365,Database!$F:$AY,MATCH($N$1,Database!$F$1:$AY$1,),))))-(((VLOOKUP(EDATE(B365,-12),Database!$F:$AY,MATCH($N$1,Database!$F$1:$AY$1,),)))))/(((VLOOKUP(EDATE(B365,-12),Database!$F:$AY,MATCH($N$1,Database!$F$1:$AY$1,),))))</f>
        <v/>
      </c>
      <c r="O365" s="13">
        <f>((((VLOOKUP(B365,Database!$F:$AY,MATCH($O$1,Database!$F$1:$AY$1,),))))-(((VLOOKUP(EDATE(B365,-12),Database!$F:$AY,MATCH($O$1,Database!$F$1:$AY$1,),)))))/(((VLOOKUP(EDATE(B365,-12),Database!$F:$AY,MATCH($O$1,Database!$F$1:$AY$1,),))))</f>
        <v/>
      </c>
      <c r="P365" s="13">
        <f>((((VLOOKUP(B365,Database!$F:$AY,MATCH($P$1,Database!$F$1:$AY$1,),))))-(((VLOOKUP(EDATE(B365,-12),Database!$F:$AY,MATCH($P$1,Database!$F$1:$AY$1,),)))))/(((VLOOKUP(EDATE(B365,-12),Database!$F:$AY,MATCH($P$1,Database!$F$1:$AY$1,),))))</f>
        <v/>
      </c>
      <c r="Q365" s="13">
        <f>((((VLOOKUP(B365,Database!$F:$AY,MATCH($Q$1,Database!$F$1:$AY$1,),))))-(((VLOOKUP(EDATE(B365,-12),Database!$F:$AY,MATCH($Q$1,Database!$F$1:$AY$1,),)))))/(((VLOOKUP(EDATE(B365,-12),Database!$F:$AY,MATCH($Q$1,Database!$F$1:$AY$1,),))))</f>
        <v/>
      </c>
      <c r="R365" s="13">
        <f>((((VLOOKUP(B365,Database!$F:$AY,MATCH($R$1,Database!$F$1:$AY$1,),))))-(((VLOOKUP(EDATE(B365,-12),Database!$F:$AY,MATCH($R$1,Database!$F$1:$AY$1,),)))))/(((VLOOKUP(EDATE(B365,-12),Database!$F:$AY,MATCH($R$1,Database!$F$1:$AY$1,),))))</f>
        <v/>
      </c>
      <c r="S365" s="13">
        <f>((((VLOOKUP(B365,Database!$F:$AY,MATCH($S$1,Database!$F$1:$AY$1,),))))-(((VLOOKUP(EDATE(B365,-12),Database!$F:$AY,MATCH($S$1,Database!$F$1:$AY$1,),)))))/(((VLOOKUP(EDATE(B365,-12),Database!$F:$AY,MATCH($S$1,Database!$F$1:$AY$1,),))))</f>
        <v/>
      </c>
      <c r="T365" s="13">
        <f>((((VLOOKUP(B365,Database!$F:$AY,MATCH($T$1,Database!$F$1:$AY$1,),))))-(((VLOOKUP(EDATE(B365,-12),Database!$F:$AY,MATCH($T$1,Database!$F$1:$AY$1,),)))))/(((VLOOKUP(EDATE(B365,-12),Database!$F:$AY,MATCH($T$1,Database!$F$1:$AY$1,),))))</f>
        <v/>
      </c>
      <c r="U365" s="13">
        <f>((((VLOOKUP(B365,Database!$F:$AY,MATCH($U$1,Database!$F$1:$AY$1,),))))-(((VLOOKUP(EDATE(B365,-12),Database!$F:$AY,MATCH($U$1,Database!$F$1:$AY$1,),)))))/(((VLOOKUP(EDATE(B365,-12),Database!$F:$AY,MATCH($U$1,Database!$F$1:$AY$1,),))))</f>
        <v/>
      </c>
      <c r="V365" s="13">
        <f>((((VLOOKUP(B365,Database!$F:$AY,MATCH($V$1,Database!$F$1:$AY$1,),))))-(((VLOOKUP(EDATE(B365,-12),Database!$F:$AY,MATCH($V$1,Database!$F$1:$AY$1,),)))))/(((VLOOKUP(EDATE(B365,-12),Database!$F:$AY,MATCH($V$1,Database!$F$1:$AY$1,),))))</f>
        <v/>
      </c>
    </row>
    <row r="366" customFormat="1" s="100">
      <c r="A366" s="45" t="n"/>
      <c r="B366" s="46" t="n">
        <v>43282</v>
      </c>
      <c r="C366" s="13">
        <f>((((VLOOKUP(B366,Database!$F:$AY,MATCH($C$1,Database!$F$1:$AY$1,),))))-(((VLOOKUP(EDATE(B366,-12),Database!$F:$AY,MATCH($C$1,Database!$F$1:$AY$1,),)))))/(((VLOOKUP(EDATE(B366,-12),Database!$F:$AY,MATCH($C$1,Database!$F$1:$AY$1,),))))</f>
        <v/>
      </c>
      <c r="D366" s="13">
        <f>((((VLOOKUP(B366,Database!$F:$AY,MATCH($D$1,Database!$F$1:$AY$1,),))))-(((VLOOKUP(EDATE(B366,-12),Database!$F:$AY,MATCH($D$1,Database!$F$1:$AY$1,),)))))/(((VLOOKUP(EDATE(B366,-12),Database!$F:$AY,MATCH($D$1,Database!$F$1:$AY$1,),))))</f>
        <v/>
      </c>
      <c r="E366" s="13">
        <f>((((VLOOKUP(B366,Database!$F:$AY,MATCH($E$1,Database!$F$1:$AY$1,),))))-(((VLOOKUP(EDATE(B366,-12),Database!$F:$AY,MATCH($E$1,Database!$F$1:$AY$1,),)))))/(((VLOOKUP(EDATE(B366,-12),Database!$F:$AY,MATCH($E$1,Database!$F$1:$AY$1,),))))</f>
        <v/>
      </c>
      <c r="F366" s="13">
        <f>((((VLOOKUP(B366,Database!$F:$AY,MATCH($F$1,Database!$F$1:$AY$1,),))))-(((VLOOKUP(EDATE(B366,-12),Database!$F:$AY,MATCH($F$1,Database!$F$1:$AY$1,),)))))/(((VLOOKUP(EDATE(B366,-12),Database!$F:$AY,MATCH($F$1,Database!$F$1:$AY$1,),))))</f>
        <v/>
      </c>
      <c r="G366" s="13">
        <f>((((VLOOKUP(B366,Database!$F:$AY,MATCH($G$1,Database!$F$1:$AY$1,),))))-(((VLOOKUP(EDATE(B366,-12),Database!$F:$AY,MATCH($G$1,Database!$F$1:$AY$1,),)))))/(((VLOOKUP(EDATE(B366,-12),Database!$F:$AY,MATCH($G$1,Database!$F$1:$AY$1,),))))</f>
        <v/>
      </c>
      <c r="H366" s="13">
        <f>((((VLOOKUP(B366,Database!$F:$AY,MATCH($H$1,Database!$F$1:$AY$1,),))))-(((VLOOKUP(EDATE(B366,-12),Database!$F:$AY,MATCH($H$1,Database!$F$1:$AY$1,),)))))/(((VLOOKUP(EDATE(B366,-12),Database!$F:$AY,MATCH($H$1,Database!$F$1:$AY$1,),))))</f>
        <v/>
      </c>
      <c r="I366" s="13">
        <f>((((VLOOKUP(B366,Database!$F:$AY,MATCH($I$1,Database!$F$1:$AY$1,),))))-(((VLOOKUP(EDATE(B366,-12),Database!$F:$AY,MATCH($I$1,Database!$F$1:$AY$1,),)))))/(((VLOOKUP(EDATE(B366,-12),Database!$F:$AY,MATCH($I$1,Database!$F$1:$AY$1,),))))</f>
        <v/>
      </c>
      <c r="J366" s="13">
        <f>((((VLOOKUP(B366,Database!$F:$AY,MATCH($J$1,Database!$F$1:$AY$1,),))))-(((VLOOKUP(EDATE(B366,-12),Database!$F:$AY,MATCH($J$1,Database!$F$1:$AY$1,),)))))/(((VLOOKUP(EDATE(B366,-12),Database!$F:$AY,MATCH($J$1,Database!$F$1:$AY$1,),))))</f>
        <v/>
      </c>
      <c r="K366" s="13">
        <f>((((VLOOKUP(B366,Database!$F:$AY,MATCH($K$1,Database!$F$1:$AY$1,),))))-(((VLOOKUP(EDATE(B366,-12),Database!$F:$AY,MATCH($K$1,Database!$F$1:$AY$1,),)))))/(((VLOOKUP(EDATE(B366,-12),Database!$F:$AY,MATCH($K$1,Database!$F$1:$AY$1,),))))</f>
        <v/>
      </c>
      <c r="L366" s="13">
        <f>((((VLOOKUP(B366,Database!$F:$AY,MATCH($L$1,Database!$F$1:$AY$1,),))))-(((VLOOKUP(EDATE(B366,-12),Database!$F:$AY,MATCH($L$1,Database!$F$1:$AY$1,),)))))/(((VLOOKUP(EDATE(B366,-12),Database!$F:$AY,MATCH($L$1,Database!$F$1:$AY$1,),))))</f>
        <v/>
      </c>
      <c r="M366" s="13">
        <f>((((VLOOKUP(B366,Database!$F:$AY,MATCH($M$1,Database!$F$1:$AY$1,),))))-(((VLOOKUP(EDATE(B366,-12),Database!$F:$AY,MATCH($M$1,Database!$F$1:$AY$1,),)))))/(((VLOOKUP(EDATE(B366,-12),Database!$F:$AY,MATCH($M$1,Database!$F$1:$AY$1,),))))</f>
        <v/>
      </c>
      <c r="N366" s="13">
        <f>((((VLOOKUP(B366,Database!$F:$AY,MATCH($N$1,Database!$F$1:$AY$1,),))))-(((VLOOKUP(EDATE(B366,-12),Database!$F:$AY,MATCH($N$1,Database!$F$1:$AY$1,),)))))/(((VLOOKUP(EDATE(B366,-12),Database!$F:$AY,MATCH($N$1,Database!$F$1:$AY$1,),))))</f>
        <v/>
      </c>
      <c r="O366" s="13">
        <f>((((VLOOKUP(B366,Database!$F:$AY,MATCH($O$1,Database!$F$1:$AY$1,),))))-(((VLOOKUP(EDATE(B366,-12),Database!$F:$AY,MATCH($O$1,Database!$F$1:$AY$1,),)))))/(((VLOOKUP(EDATE(B366,-12),Database!$F:$AY,MATCH($O$1,Database!$F$1:$AY$1,),))))</f>
        <v/>
      </c>
      <c r="P366" s="13">
        <f>((((VLOOKUP(B366,Database!$F:$AY,MATCH($P$1,Database!$F$1:$AY$1,),))))-(((VLOOKUP(EDATE(B366,-12),Database!$F:$AY,MATCH($P$1,Database!$F$1:$AY$1,),)))))/(((VLOOKUP(EDATE(B366,-12),Database!$F:$AY,MATCH($P$1,Database!$F$1:$AY$1,),))))</f>
        <v/>
      </c>
      <c r="Q366" s="13">
        <f>((((VLOOKUP(B366,Database!$F:$AY,MATCH($Q$1,Database!$F$1:$AY$1,),))))-(((VLOOKUP(EDATE(B366,-12),Database!$F:$AY,MATCH($Q$1,Database!$F$1:$AY$1,),)))))/(((VLOOKUP(EDATE(B366,-12),Database!$F:$AY,MATCH($Q$1,Database!$F$1:$AY$1,),))))</f>
        <v/>
      </c>
      <c r="R366" s="13">
        <f>((((VLOOKUP(B366,Database!$F:$AY,MATCH($R$1,Database!$F$1:$AY$1,),))))-(((VLOOKUP(EDATE(B366,-12),Database!$F:$AY,MATCH($R$1,Database!$F$1:$AY$1,),)))))/(((VLOOKUP(EDATE(B366,-12),Database!$F:$AY,MATCH($R$1,Database!$F$1:$AY$1,),))))</f>
        <v/>
      </c>
      <c r="S366" s="13">
        <f>((((VLOOKUP(B366,Database!$F:$AY,MATCH($S$1,Database!$F$1:$AY$1,),))))-(((VLOOKUP(EDATE(B366,-12),Database!$F:$AY,MATCH($S$1,Database!$F$1:$AY$1,),)))))/(((VLOOKUP(EDATE(B366,-12),Database!$F:$AY,MATCH($S$1,Database!$F$1:$AY$1,),))))</f>
        <v/>
      </c>
      <c r="T366" s="13">
        <f>((((VLOOKUP(B366,Database!$F:$AY,MATCH($T$1,Database!$F$1:$AY$1,),))))-(((VLOOKUP(EDATE(B366,-12),Database!$F:$AY,MATCH($T$1,Database!$F$1:$AY$1,),)))))/(((VLOOKUP(EDATE(B366,-12),Database!$F:$AY,MATCH($T$1,Database!$F$1:$AY$1,),))))</f>
        <v/>
      </c>
      <c r="U366" s="13">
        <f>((((VLOOKUP(B366,Database!$F:$AY,MATCH($U$1,Database!$F$1:$AY$1,),))))-(((VLOOKUP(EDATE(B366,-12),Database!$F:$AY,MATCH($U$1,Database!$F$1:$AY$1,),)))))/(((VLOOKUP(EDATE(B366,-12),Database!$F:$AY,MATCH($U$1,Database!$F$1:$AY$1,),))))</f>
        <v/>
      </c>
      <c r="V366" s="13">
        <f>((((VLOOKUP(B366,Database!$F:$AY,MATCH($V$1,Database!$F$1:$AY$1,),))))-(((VLOOKUP(EDATE(B366,-12),Database!$F:$AY,MATCH($V$1,Database!$F$1:$AY$1,),)))))/(((VLOOKUP(EDATE(B366,-12),Database!$F:$AY,MATCH($V$1,Database!$F$1:$AY$1,),))))</f>
        <v/>
      </c>
    </row>
    <row r="367" customFormat="1" s="100">
      <c r="A367" s="45" t="n"/>
      <c r="B367" s="46" t="n">
        <v>43313</v>
      </c>
      <c r="C367" s="13">
        <f>((((VLOOKUP(B367,Database!$F:$AY,MATCH($C$1,Database!$F$1:$AY$1,),))))-(((VLOOKUP(EDATE(B367,-12),Database!$F:$AY,MATCH($C$1,Database!$F$1:$AY$1,),)))))/(((VLOOKUP(EDATE(B367,-12),Database!$F:$AY,MATCH($C$1,Database!$F$1:$AY$1,),))))</f>
        <v/>
      </c>
      <c r="D367" s="13">
        <f>((((VLOOKUP(B367,Database!$F:$AY,MATCH($D$1,Database!$F$1:$AY$1,),))))-(((VLOOKUP(EDATE(B367,-12),Database!$F:$AY,MATCH($D$1,Database!$F$1:$AY$1,),)))))/(((VLOOKUP(EDATE(B367,-12),Database!$F:$AY,MATCH($D$1,Database!$F$1:$AY$1,),))))</f>
        <v/>
      </c>
      <c r="E367" s="13">
        <f>((((VLOOKUP(B367,Database!$F:$AY,MATCH($E$1,Database!$F$1:$AY$1,),))))-(((VLOOKUP(EDATE(B367,-12),Database!$F:$AY,MATCH($E$1,Database!$F$1:$AY$1,),)))))/(((VLOOKUP(EDATE(B367,-12),Database!$F:$AY,MATCH($E$1,Database!$F$1:$AY$1,),))))</f>
        <v/>
      </c>
      <c r="F367" s="13">
        <f>((((VLOOKUP(B367,Database!$F:$AY,MATCH($F$1,Database!$F$1:$AY$1,),))))-(((VLOOKUP(EDATE(B367,-12),Database!$F:$AY,MATCH($F$1,Database!$F$1:$AY$1,),)))))/(((VLOOKUP(EDATE(B367,-12),Database!$F:$AY,MATCH($F$1,Database!$F$1:$AY$1,),))))</f>
        <v/>
      </c>
      <c r="G367" s="13">
        <f>((((VLOOKUP(B367,Database!$F:$AY,MATCH($G$1,Database!$F$1:$AY$1,),))))-(((VLOOKUP(EDATE(B367,-12),Database!$F:$AY,MATCH($G$1,Database!$F$1:$AY$1,),)))))/(((VLOOKUP(EDATE(B367,-12),Database!$F:$AY,MATCH($G$1,Database!$F$1:$AY$1,),))))</f>
        <v/>
      </c>
      <c r="H367" s="13">
        <f>((((VLOOKUP(B367,Database!$F:$AY,MATCH($H$1,Database!$F$1:$AY$1,),))))-(((VLOOKUP(EDATE(B367,-12),Database!$F:$AY,MATCH($H$1,Database!$F$1:$AY$1,),)))))/(((VLOOKUP(EDATE(B367,-12),Database!$F:$AY,MATCH($H$1,Database!$F$1:$AY$1,),))))</f>
        <v/>
      </c>
      <c r="I367" s="13">
        <f>((((VLOOKUP(B367,Database!$F:$AY,MATCH($I$1,Database!$F$1:$AY$1,),))))-(((VLOOKUP(EDATE(B367,-12),Database!$F:$AY,MATCH($I$1,Database!$F$1:$AY$1,),)))))/(((VLOOKUP(EDATE(B367,-12),Database!$F:$AY,MATCH($I$1,Database!$F$1:$AY$1,),))))</f>
        <v/>
      </c>
      <c r="J367" s="13">
        <f>((((VLOOKUP(B367,Database!$F:$AY,MATCH($J$1,Database!$F$1:$AY$1,),))))-(((VLOOKUP(EDATE(B367,-12),Database!$F:$AY,MATCH($J$1,Database!$F$1:$AY$1,),)))))/(((VLOOKUP(EDATE(B367,-12),Database!$F:$AY,MATCH($J$1,Database!$F$1:$AY$1,),))))</f>
        <v/>
      </c>
      <c r="K367" s="13">
        <f>((((VLOOKUP(B367,Database!$F:$AY,MATCH($K$1,Database!$F$1:$AY$1,),))))-(((VLOOKUP(EDATE(B367,-12),Database!$F:$AY,MATCH($K$1,Database!$F$1:$AY$1,),)))))/(((VLOOKUP(EDATE(B367,-12),Database!$F:$AY,MATCH($K$1,Database!$F$1:$AY$1,),))))</f>
        <v/>
      </c>
      <c r="L367" s="13">
        <f>((((VLOOKUP(B367,Database!$F:$AY,MATCH($L$1,Database!$F$1:$AY$1,),))))-(((VLOOKUP(EDATE(B367,-12),Database!$F:$AY,MATCH($L$1,Database!$F$1:$AY$1,),)))))/(((VLOOKUP(EDATE(B367,-12),Database!$F:$AY,MATCH($L$1,Database!$F$1:$AY$1,),))))</f>
        <v/>
      </c>
      <c r="M367" s="13">
        <f>((((VLOOKUP(B367,Database!$F:$AY,MATCH($M$1,Database!$F$1:$AY$1,),))))-(((VLOOKUP(EDATE(B367,-12),Database!$F:$AY,MATCH($M$1,Database!$F$1:$AY$1,),)))))/(((VLOOKUP(EDATE(B367,-12),Database!$F:$AY,MATCH($M$1,Database!$F$1:$AY$1,),))))</f>
        <v/>
      </c>
      <c r="N367" s="13">
        <f>((((VLOOKUP(B367,Database!$F:$AY,MATCH($N$1,Database!$F$1:$AY$1,),))))-(((VLOOKUP(EDATE(B367,-12),Database!$F:$AY,MATCH($N$1,Database!$F$1:$AY$1,),)))))/(((VLOOKUP(EDATE(B367,-12),Database!$F:$AY,MATCH($N$1,Database!$F$1:$AY$1,),))))</f>
        <v/>
      </c>
      <c r="O367" s="13">
        <f>((((VLOOKUP(B367,Database!$F:$AY,MATCH($O$1,Database!$F$1:$AY$1,),))))-(((VLOOKUP(EDATE(B367,-12),Database!$F:$AY,MATCH($O$1,Database!$F$1:$AY$1,),)))))/(((VLOOKUP(EDATE(B367,-12),Database!$F:$AY,MATCH($O$1,Database!$F$1:$AY$1,),))))</f>
        <v/>
      </c>
      <c r="P367" s="13">
        <f>((((VLOOKUP(B367,Database!$F:$AY,MATCH($P$1,Database!$F$1:$AY$1,),))))-(((VLOOKUP(EDATE(B367,-12),Database!$F:$AY,MATCH($P$1,Database!$F$1:$AY$1,),)))))/(((VLOOKUP(EDATE(B367,-12),Database!$F:$AY,MATCH($P$1,Database!$F$1:$AY$1,),))))</f>
        <v/>
      </c>
      <c r="Q367" s="13">
        <f>((((VLOOKUP(B367,Database!$F:$AY,MATCH($Q$1,Database!$F$1:$AY$1,),))))-(((VLOOKUP(EDATE(B367,-12),Database!$F:$AY,MATCH($Q$1,Database!$F$1:$AY$1,),)))))/(((VLOOKUP(EDATE(B367,-12),Database!$F:$AY,MATCH($Q$1,Database!$F$1:$AY$1,),))))</f>
        <v/>
      </c>
      <c r="R367" s="13">
        <f>((((VLOOKUP(B367,Database!$F:$AY,MATCH($R$1,Database!$F$1:$AY$1,),))))-(((VLOOKUP(EDATE(B367,-12),Database!$F:$AY,MATCH($R$1,Database!$F$1:$AY$1,),)))))/(((VLOOKUP(EDATE(B367,-12),Database!$F:$AY,MATCH($R$1,Database!$F$1:$AY$1,),))))</f>
        <v/>
      </c>
      <c r="S367" s="13">
        <f>((((VLOOKUP(B367,Database!$F:$AY,MATCH($S$1,Database!$F$1:$AY$1,),))))-(((VLOOKUP(EDATE(B367,-12),Database!$F:$AY,MATCH($S$1,Database!$F$1:$AY$1,),)))))/(((VLOOKUP(EDATE(B367,-12),Database!$F:$AY,MATCH($S$1,Database!$F$1:$AY$1,),))))</f>
        <v/>
      </c>
      <c r="T367" s="13">
        <f>((((VLOOKUP(B367,Database!$F:$AY,MATCH($T$1,Database!$F$1:$AY$1,),))))-(((VLOOKUP(EDATE(B367,-12),Database!$F:$AY,MATCH($T$1,Database!$F$1:$AY$1,),)))))/(((VLOOKUP(EDATE(B367,-12),Database!$F:$AY,MATCH($T$1,Database!$F$1:$AY$1,),))))</f>
        <v/>
      </c>
      <c r="U367" s="13">
        <f>((((VLOOKUP(B367,Database!$F:$AY,MATCH($U$1,Database!$F$1:$AY$1,),))))-(((VLOOKUP(EDATE(B367,-12),Database!$F:$AY,MATCH($U$1,Database!$F$1:$AY$1,),)))))/(((VLOOKUP(EDATE(B367,-12),Database!$F:$AY,MATCH($U$1,Database!$F$1:$AY$1,),))))</f>
        <v/>
      </c>
      <c r="V367" s="13">
        <f>((((VLOOKUP(B367,Database!$F:$AY,MATCH($V$1,Database!$F$1:$AY$1,),))))-(((VLOOKUP(EDATE(B367,-12),Database!$F:$AY,MATCH($V$1,Database!$F$1:$AY$1,),)))))/(((VLOOKUP(EDATE(B367,-12),Database!$F:$AY,MATCH($V$1,Database!$F$1:$AY$1,),))))</f>
        <v/>
      </c>
    </row>
    <row r="368" customFormat="1" s="100">
      <c r="A368" s="45" t="n"/>
      <c r="B368" s="46" t="n">
        <v>43344</v>
      </c>
      <c r="C368" s="13">
        <f>((((VLOOKUP(B368,Database!$F:$AY,MATCH($C$1,Database!$F$1:$AY$1,),))))-(((VLOOKUP(EDATE(B368,-12),Database!$F:$AY,MATCH($C$1,Database!$F$1:$AY$1,),)))))/(((VLOOKUP(EDATE(B368,-12),Database!$F:$AY,MATCH($C$1,Database!$F$1:$AY$1,),))))</f>
        <v/>
      </c>
      <c r="D368" s="13">
        <f>((((VLOOKUP(B368,Database!$F:$AY,MATCH($D$1,Database!$F$1:$AY$1,),))))-(((VLOOKUP(EDATE(B368,-12),Database!$F:$AY,MATCH($D$1,Database!$F$1:$AY$1,),)))))/(((VLOOKUP(EDATE(B368,-12),Database!$F:$AY,MATCH($D$1,Database!$F$1:$AY$1,),))))</f>
        <v/>
      </c>
      <c r="E368" s="13">
        <f>((((VLOOKUP(B368,Database!$F:$AY,MATCH($E$1,Database!$F$1:$AY$1,),))))-(((VLOOKUP(EDATE(B368,-12),Database!$F:$AY,MATCH($E$1,Database!$F$1:$AY$1,),)))))/(((VLOOKUP(EDATE(B368,-12),Database!$F:$AY,MATCH($E$1,Database!$F$1:$AY$1,),))))</f>
        <v/>
      </c>
      <c r="F368" s="13">
        <f>((((VLOOKUP(B368,Database!$F:$AY,MATCH($F$1,Database!$F$1:$AY$1,),))))-(((VLOOKUP(EDATE(B368,-12),Database!$F:$AY,MATCH($F$1,Database!$F$1:$AY$1,),)))))/(((VLOOKUP(EDATE(B368,-12),Database!$F:$AY,MATCH($F$1,Database!$F$1:$AY$1,),))))</f>
        <v/>
      </c>
      <c r="G368" s="13">
        <f>((((VLOOKUP(B368,Database!$F:$AY,MATCH($G$1,Database!$F$1:$AY$1,),))))-(((VLOOKUP(EDATE(B368,-12),Database!$F:$AY,MATCH($G$1,Database!$F$1:$AY$1,),)))))/(((VLOOKUP(EDATE(B368,-12),Database!$F:$AY,MATCH($G$1,Database!$F$1:$AY$1,),))))</f>
        <v/>
      </c>
      <c r="H368" s="13">
        <f>((((VLOOKUP(B368,Database!$F:$AY,MATCH($H$1,Database!$F$1:$AY$1,),))))-(((VLOOKUP(EDATE(B368,-12),Database!$F:$AY,MATCH($H$1,Database!$F$1:$AY$1,),)))))/(((VLOOKUP(EDATE(B368,-12),Database!$F:$AY,MATCH($H$1,Database!$F$1:$AY$1,),))))</f>
        <v/>
      </c>
      <c r="I368" s="13">
        <f>((((VLOOKUP(B368,Database!$F:$AY,MATCH($I$1,Database!$F$1:$AY$1,),))))-(((VLOOKUP(EDATE(B368,-12),Database!$F:$AY,MATCH($I$1,Database!$F$1:$AY$1,),)))))/(((VLOOKUP(EDATE(B368,-12),Database!$F:$AY,MATCH($I$1,Database!$F$1:$AY$1,),))))</f>
        <v/>
      </c>
      <c r="J368" s="13">
        <f>((((VLOOKUP(B368,Database!$F:$AY,MATCH($J$1,Database!$F$1:$AY$1,),))))-(((VLOOKUP(EDATE(B368,-12),Database!$F:$AY,MATCH($J$1,Database!$F$1:$AY$1,),)))))/(((VLOOKUP(EDATE(B368,-12),Database!$F:$AY,MATCH($J$1,Database!$F$1:$AY$1,),))))</f>
        <v/>
      </c>
      <c r="K368" s="13">
        <f>((((VLOOKUP(B368,Database!$F:$AY,MATCH($K$1,Database!$F$1:$AY$1,),))))-(((VLOOKUP(EDATE(B368,-12),Database!$F:$AY,MATCH($K$1,Database!$F$1:$AY$1,),)))))/(((VLOOKUP(EDATE(B368,-12),Database!$F:$AY,MATCH($K$1,Database!$F$1:$AY$1,),))))</f>
        <v/>
      </c>
      <c r="L368" s="13">
        <f>((((VLOOKUP(B368,Database!$F:$AY,MATCH($L$1,Database!$F$1:$AY$1,),))))-(((VLOOKUP(EDATE(B368,-12),Database!$F:$AY,MATCH($L$1,Database!$F$1:$AY$1,),)))))/(((VLOOKUP(EDATE(B368,-12),Database!$F:$AY,MATCH($L$1,Database!$F$1:$AY$1,),))))</f>
        <v/>
      </c>
      <c r="M368" s="13">
        <f>((((VLOOKUP(B368,Database!$F:$AY,MATCH($M$1,Database!$F$1:$AY$1,),))))-(((VLOOKUP(EDATE(B368,-12),Database!$F:$AY,MATCH($M$1,Database!$F$1:$AY$1,),)))))/(((VLOOKUP(EDATE(B368,-12),Database!$F:$AY,MATCH($M$1,Database!$F$1:$AY$1,),))))</f>
        <v/>
      </c>
      <c r="N368" s="13">
        <f>((((VLOOKUP(B368,Database!$F:$AY,MATCH($N$1,Database!$F$1:$AY$1,),))))-(((VLOOKUP(EDATE(B368,-12),Database!$F:$AY,MATCH($N$1,Database!$F$1:$AY$1,),)))))/(((VLOOKUP(EDATE(B368,-12),Database!$F:$AY,MATCH($N$1,Database!$F$1:$AY$1,),))))</f>
        <v/>
      </c>
      <c r="O368" s="13">
        <f>((((VLOOKUP(B368,Database!$F:$AY,MATCH($O$1,Database!$F$1:$AY$1,),))))-(((VLOOKUP(EDATE(B368,-12),Database!$F:$AY,MATCH($O$1,Database!$F$1:$AY$1,),)))))/(((VLOOKUP(EDATE(B368,-12),Database!$F:$AY,MATCH($O$1,Database!$F$1:$AY$1,),))))</f>
        <v/>
      </c>
      <c r="P368" s="13">
        <f>((((VLOOKUP(B368,Database!$F:$AY,MATCH($P$1,Database!$F$1:$AY$1,),))))-(((VLOOKUP(EDATE(B368,-12),Database!$F:$AY,MATCH($P$1,Database!$F$1:$AY$1,),)))))/(((VLOOKUP(EDATE(B368,-12),Database!$F:$AY,MATCH($P$1,Database!$F$1:$AY$1,),))))</f>
        <v/>
      </c>
      <c r="Q368" s="13">
        <f>((((VLOOKUP(B368,Database!$F:$AY,MATCH($Q$1,Database!$F$1:$AY$1,),))))-(((VLOOKUP(EDATE(B368,-12),Database!$F:$AY,MATCH($Q$1,Database!$F$1:$AY$1,),)))))/(((VLOOKUP(EDATE(B368,-12),Database!$F:$AY,MATCH($Q$1,Database!$F$1:$AY$1,),))))</f>
        <v/>
      </c>
      <c r="R368" s="13">
        <f>((((VLOOKUP(B368,Database!$F:$AY,MATCH($R$1,Database!$F$1:$AY$1,),))))-(((VLOOKUP(EDATE(B368,-12),Database!$F:$AY,MATCH($R$1,Database!$F$1:$AY$1,),)))))/(((VLOOKUP(EDATE(B368,-12),Database!$F:$AY,MATCH($R$1,Database!$F$1:$AY$1,),))))</f>
        <v/>
      </c>
      <c r="S368" s="13">
        <f>((((VLOOKUP(B368,Database!$F:$AY,MATCH($S$1,Database!$F$1:$AY$1,),))))-(((VLOOKUP(EDATE(B368,-12),Database!$F:$AY,MATCH($S$1,Database!$F$1:$AY$1,),)))))/(((VLOOKUP(EDATE(B368,-12),Database!$F:$AY,MATCH($S$1,Database!$F$1:$AY$1,),))))</f>
        <v/>
      </c>
      <c r="T368" s="13">
        <f>((((VLOOKUP(B368,Database!$F:$AY,MATCH($T$1,Database!$F$1:$AY$1,),))))-(((VLOOKUP(EDATE(B368,-12),Database!$F:$AY,MATCH($T$1,Database!$F$1:$AY$1,),)))))/(((VLOOKUP(EDATE(B368,-12),Database!$F:$AY,MATCH($T$1,Database!$F$1:$AY$1,),))))</f>
        <v/>
      </c>
      <c r="U368" s="13">
        <f>((((VLOOKUP(B368,Database!$F:$AY,MATCH($U$1,Database!$F$1:$AY$1,),))))-(((VLOOKUP(EDATE(B368,-12),Database!$F:$AY,MATCH($U$1,Database!$F$1:$AY$1,),)))))/(((VLOOKUP(EDATE(B368,-12),Database!$F:$AY,MATCH($U$1,Database!$F$1:$AY$1,),))))</f>
        <v/>
      </c>
      <c r="V368" s="13">
        <f>((((VLOOKUP(B368,Database!$F:$AY,MATCH($V$1,Database!$F$1:$AY$1,),))))-(((VLOOKUP(EDATE(B368,-12),Database!$F:$AY,MATCH($V$1,Database!$F$1:$AY$1,),)))))/(((VLOOKUP(EDATE(B368,-12),Database!$F:$AY,MATCH($V$1,Database!$F$1:$AY$1,),))))</f>
        <v/>
      </c>
    </row>
    <row r="369" customFormat="1" s="100">
      <c r="B369" s="46" t="n">
        <v>43374</v>
      </c>
      <c r="C369" s="13">
        <f>((((VLOOKUP(B369,Database!$F:$AY,MATCH($C$1,Database!$F$1:$AY$1,),))))-(((VLOOKUP(EDATE(B369,-12),Database!$F:$AY,MATCH($C$1,Database!$F$1:$AY$1,),)))))/(((VLOOKUP(EDATE(B369,-12),Database!$F:$AY,MATCH($C$1,Database!$F$1:$AY$1,),))))</f>
        <v/>
      </c>
      <c r="D369" s="13">
        <f>((((VLOOKUP(B369,Database!$F:$AY,MATCH($D$1,Database!$F$1:$AY$1,),))))-(((VLOOKUP(EDATE(B369,-12),Database!$F:$AY,MATCH($D$1,Database!$F$1:$AY$1,),)))))/(((VLOOKUP(EDATE(B369,-12),Database!$F:$AY,MATCH($D$1,Database!$F$1:$AY$1,),))))</f>
        <v/>
      </c>
      <c r="E369" s="13">
        <f>((((VLOOKUP(B369,Database!$F:$AY,MATCH($E$1,Database!$F$1:$AY$1,),))))-(((VLOOKUP(EDATE(B369,-12),Database!$F:$AY,MATCH($E$1,Database!$F$1:$AY$1,),)))))/(((VLOOKUP(EDATE(B369,-12),Database!$F:$AY,MATCH($E$1,Database!$F$1:$AY$1,),))))</f>
        <v/>
      </c>
      <c r="F369" s="13">
        <f>((((VLOOKUP(B369,Database!$F:$AY,MATCH($F$1,Database!$F$1:$AY$1,),))))-(((VLOOKUP(EDATE(B369,-12),Database!$F:$AY,MATCH($F$1,Database!$F$1:$AY$1,),)))))/(((VLOOKUP(EDATE(B369,-12),Database!$F:$AY,MATCH($F$1,Database!$F$1:$AY$1,),))))</f>
        <v/>
      </c>
      <c r="G369" s="13">
        <f>((((VLOOKUP(B369,Database!$F:$AY,MATCH($G$1,Database!$F$1:$AY$1,),))))-(((VLOOKUP(EDATE(B369,-12),Database!$F:$AY,MATCH($G$1,Database!$F$1:$AY$1,),)))))/(((VLOOKUP(EDATE(B369,-12),Database!$F:$AY,MATCH($G$1,Database!$F$1:$AY$1,),))))</f>
        <v/>
      </c>
      <c r="H369" s="13">
        <f>((((VLOOKUP(B369,Database!$F:$AY,MATCH($H$1,Database!$F$1:$AY$1,),))))-(((VLOOKUP(EDATE(B369,-12),Database!$F:$AY,MATCH($H$1,Database!$F$1:$AY$1,),)))))/(((VLOOKUP(EDATE(B369,-12),Database!$F:$AY,MATCH($H$1,Database!$F$1:$AY$1,),))))</f>
        <v/>
      </c>
      <c r="I369" s="13">
        <f>((((VLOOKUP(B369,Database!$F:$AY,MATCH($I$1,Database!$F$1:$AY$1,),))))-(((VLOOKUP(EDATE(B369,-12),Database!$F:$AY,MATCH($I$1,Database!$F$1:$AY$1,),)))))/(((VLOOKUP(EDATE(B369,-12),Database!$F:$AY,MATCH($I$1,Database!$F$1:$AY$1,),))))</f>
        <v/>
      </c>
      <c r="J369" s="13">
        <f>((((VLOOKUP(B369,Database!$F:$AY,MATCH($J$1,Database!$F$1:$AY$1,),))))-(((VLOOKUP(EDATE(B369,-12),Database!$F:$AY,MATCH($J$1,Database!$F$1:$AY$1,),)))))/(((VLOOKUP(EDATE(B369,-12),Database!$F:$AY,MATCH($J$1,Database!$F$1:$AY$1,),))))</f>
        <v/>
      </c>
      <c r="K369" s="13">
        <f>((((VLOOKUP(B369,Database!$F:$AY,MATCH($K$1,Database!$F$1:$AY$1,),))))-(((VLOOKUP(EDATE(B369,-12),Database!$F:$AY,MATCH($K$1,Database!$F$1:$AY$1,),)))))/(((VLOOKUP(EDATE(B369,-12),Database!$F:$AY,MATCH($K$1,Database!$F$1:$AY$1,),))))</f>
        <v/>
      </c>
      <c r="L369" s="13" t="n"/>
      <c r="M369" s="13">
        <f>((((VLOOKUP(B369,Database!$F:$AY,MATCH($M$1,Database!$F$1:$AY$1,),))))-(((VLOOKUP(EDATE(B369,-12),Database!$F:$AY,MATCH($M$1,Database!$F$1:$AY$1,),)))))/(((VLOOKUP(EDATE(B369,-12),Database!$F:$AY,MATCH($M$1,Database!$F$1:$AY$1,),))))</f>
        <v/>
      </c>
      <c r="N369" s="13">
        <f>((((VLOOKUP(B369,Database!$F:$AY,MATCH($N$1,Database!$F$1:$AY$1,),))))-(((VLOOKUP(EDATE(B369,-12),Database!$F:$AY,MATCH($N$1,Database!$F$1:$AY$1,),)))))/(((VLOOKUP(EDATE(B369,-12),Database!$F:$AY,MATCH($N$1,Database!$F$1:$AY$1,),))))</f>
        <v/>
      </c>
      <c r="O369" s="13">
        <f>((((VLOOKUP(B369,Database!$F:$AY,MATCH($O$1,Database!$F$1:$AY$1,),))))-(((VLOOKUP(EDATE(B369,-12),Database!$F:$AY,MATCH($O$1,Database!$F$1:$AY$1,),)))))/(((VLOOKUP(EDATE(B369,-12),Database!$F:$AY,MATCH($O$1,Database!$F$1:$AY$1,),))))</f>
        <v/>
      </c>
      <c r="P369" s="13">
        <f>((((VLOOKUP(B369,Database!$F:$AY,MATCH($P$1,Database!$F$1:$AY$1,),))))-(((VLOOKUP(EDATE(B369,-12),Database!$F:$AY,MATCH($P$1,Database!$F$1:$AY$1,),)))))/(((VLOOKUP(EDATE(B369,-12),Database!$F:$AY,MATCH($P$1,Database!$F$1:$AY$1,),))))</f>
        <v/>
      </c>
      <c r="Q369" s="13">
        <f>((((VLOOKUP(B369,Database!$F:$AY,MATCH($Q$1,Database!$F$1:$AY$1,),))))-(((VLOOKUP(EDATE(B369,-12),Database!$F:$AY,MATCH($Q$1,Database!$F$1:$AY$1,),)))))/(((VLOOKUP(EDATE(B369,-12),Database!$F:$AY,MATCH($Q$1,Database!$F$1:$AY$1,),))))</f>
        <v/>
      </c>
      <c r="R369" s="13">
        <f>((((VLOOKUP(B369,Database!$F:$AY,MATCH($R$1,Database!$F$1:$AY$1,),))))-(((VLOOKUP(EDATE(B369,-12),Database!$F:$AY,MATCH($R$1,Database!$F$1:$AY$1,),)))))/(((VLOOKUP(EDATE(B369,-12),Database!$F:$AY,MATCH($R$1,Database!$F$1:$AY$1,),))))</f>
        <v/>
      </c>
      <c r="S369" s="13">
        <f>((((VLOOKUP(B369,Database!$F:$AY,MATCH($S$1,Database!$F$1:$AY$1,),))))-(((VLOOKUP(EDATE(B369,-12),Database!$F:$AY,MATCH($S$1,Database!$F$1:$AY$1,),)))))/(((VLOOKUP(EDATE(B369,-12),Database!$F:$AY,MATCH($S$1,Database!$F$1:$AY$1,),))))</f>
        <v/>
      </c>
      <c r="T369" s="13">
        <f>((((VLOOKUP(B369,Database!$F:$AY,MATCH($T$1,Database!$F$1:$AY$1,),))))-(((VLOOKUP(EDATE(B369,-12),Database!$F:$AY,MATCH($T$1,Database!$F$1:$AY$1,),)))))/(((VLOOKUP(EDATE(B369,-12),Database!$F:$AY,MATCH($T$1,Database!$F$1:$AY$1,),))))</f>
        <v/>
      </c>
      <c r="U369" s="13">
        <f>((((VLOOKUP(B369,Database!$F:$AY,MATCH($U$1,Database!$F$1:$AY$1,),))))-(((VLOOKUP(EDATE(B369,-12),Database!$F:$AY,MATCH($U$1,Database!$F$1:$AY$1,),)))))/(((VLOOKUP(EDATE(B369,-12),Database!$F:$AY,MATCH($U$1,Database!$F$1:$AY$1,),))))</f>
        <v/>
      </c>
      <c r="V369" s="13">
        <f>((((VLOOKUP(B369,Database!$F:$AY,MATCH($V$1,Database!$F$1:$AY$1,),))))-(((VLOOKUP(EDATE(B369,-12),Database!$F:$AY,MATCH($V$1,Database!$F$1:$AY$1,),)))))/(((VLOOKUP(EDATE(B369,-12),Database!$F:$AY,MATCH($V$1,Database!$F$1:$AY$1,),))))</f>
        <v/>
      </c>
    </row>
    <row r="370" customFormat="1" s="100">
      <c r="B370" s="46" t="n">
        <v>43405</v>
      </c>
      <c r="C370" s="13">
        <f>((((VLOOKUP(B370,Database!$F:$AY,MATCH($C$1,Database!$F$1:$AY$1,),))))-(((VLOOKUP(EDATE(B370,-12),Database!$F:$AY,MATCH($C$1,Database!$F$1:$AY$1,),)))))/(((VLOOKUP(EDATE(B370,-12),Database!$F:$AY,MATCH($C$1,Database!$F$1:$AY$1,),))))</f>
        <v/>
      </c>
      <c r="D370" s="13">
        <f>((((VLOOKUP(B370,Database!$F:$AY,MATCH($D$1,Database!$F$1:$AY$1,),))))-(((VLOOKUP(EDATE(B370,-12),Database!$F:$AY,MATCH($D$1,Database!$F$1:$AY$1,),)))))/(((VLOOKUP(EDATE(B370,-12),Database!$F:$AY,MATCH($D$1,Database!$F$1:$AY$1,),))))</f>
        <v/>
      </c>
      <c r="E370" s="13">
        <f>((((VLOOKUP(B370,Database!$F:$AY,MATCH($E$1,Database!$F$1:$AY$1,),))))-(((VLOOKUP(EDATE(B370,-12),Database!$F:$AY,MATCH($E$1,Database!$F$1:$AY$1,),)))))/(((VLOOKUP(EDATE(B370,-12),Database!$F:$AY,MATCH($E$1,Database!$F$1:$AY$1,),))))</f>
        <v/>
      </c>
      <c r="F370" s="13">
        <f>((((VLOOKUP(B370,Database!$F:$AY,MATCH($F$1,Database!$F$1:$AY$1,),))))-(((VLOOKUP(EDATE(B370,-12),Database!$F:$AY,MATCH($F$1,Database!$F$1:$AY$1,),)))))/(((VLOOKUP(EDATE(B370,-12),Database!$F:$AY,MATCH($F$1,Database!$F$1:$AY$1,),))))</f>
        <v/>
      </c>
      <c r="G370" s="13">
        <f>((((VLOOKUP(B370,Database!$F:$AY,MATCH($G$1,Database!$F$1:$AY$1,),))))-(((VLOOKUP(EDATE(B370,-12),Database!$F:$AY,MATCH($G$1,Database!$F$1:$AY$1,),)))))/(((VLOOKUP(EDATE(B370,-12),Database!$F:$AY,MATCH($G$1,Database!$F$1:$AY$1,),))))</f>
        <v/>
      </c>
      <c r="H370" s="13">
        <f>((((VLOOKUP(B370,Database!$F:$AY,MATCH($H$1,Database!$F$1:$AY$1,),))))-(((VLOOKUP(EDATE(B370,-12),Database!$F:$AY,MATCH($H$1,Database!$F$1:$AY$1,),)))))/(((VLOOKUP(EDATE(B370,-12),Database!$F:$AY,MATCH($H$1,Database!$F$1:$AY$1,),))))</f>
        <v/>
      </c>
      <c r="I370" s="13">
        <f>((((VLOOKUP(B370,Database!$F:$AY,MATCH($I$1,Database!$F$1:$AY$1,),))))-(((VLOOKUP(EDATE(B370,-12),Database!$F:$AY,MATCH($I$1,Database!$F$1:$AY$1,),)))))/(((VLOOKUP(EDATE(B370,-12),Database!$F:$AY,MATCH($I$1,Database!$F$1:$AY$1,),))))</f>
        <v/>
      </c>
      <c r="J370" s="13">
        <f>((((VLOOKUP(B370,Database!$F:$AY,MATCH($J$1,Database!$F$1:$AY$1,),))))-(((VLOOKUP(EDATE(B370,-12),Database!$F:$AY,MATCH($J$1,Database!$F$1:$AY$1,),)))))/(((VLOOKUP(EDATE(B370,-12),Database!$F:$AY,MATCH($J$1,Database!$F$1:$AY$1,),))))</f>
        <v/>
      </c>
      <c r="K370" s="13">
        <f>((((VLOOKUP(B370,Database!$F:$AY,MATCH($K$1,Database!$F$1:$AY$1,),))))-(((VLOOKUP(EDATE(B370,-12),Database!$F:$AY,MATCH($K$1,Database!$F$1:$AY$1,),)))))/(((VLOOKUP(EDATE(B370,-12),Database!$F:$AY,MATCH($K$1,Database!$F$1:$AY$1,),))))</f>
        <v/>
      </c>
      <c r="L370" s="13" t="n"/>
      <c r="M370" s="13">
        <f>((((VLOOKUP(B370,Database!$F:$AY,MATCH($M$1,Database!$F$1:$AY$1,),))))-(((VLOOKUP(EDATE(B370,-12),Database!$F:$AY,MATCH($M$1,Database!$F$1:$AY$1,),)))))/(((VLOOKUP(EDATE(B370,-12),Database!$F:$AY,MATCH($M$1,Database!$F$1:$AY$1,),))))</f>
        <v/>
      </c>
      <c r="N370" s="13">
        <f>((((VLOOKUP(B370,Database!$F:$AY,MATCH($N$1,Database!$F$1:$AY$1,),))))-(((VLOOKUP(EDATE(B370,-12),Database!$F:$AY,MATCH($N$1,Database!$F$1:$AY$1,),)))))/(((VLOOKUP(EDATE(B370,-12),Database!$F:$AY,MATCH($N$1,Database!$F$1:$AY$1,),))))</f>
        <v/>
      </c>
      <c r="O370" s="13">
        <f>((((VLOOKUP(B370,Database!$F:$AY,MATCH($O$1,Database!$F$1:$AY$1,),))))-(((VLOOKUP(EDATE(B370,-12),Database!$F:$AY,MATCH($O$1,Database!$F$1:$AY$1,),)))))/(((VLOOKUP(EDATE(B370,-12),Database!$F:$AY,MATCH($O$1,Database!$F$1:$AY$1,),))))</f>
        <v/>
      </c>
      <c r="P370" s="13">
        <f>((((VLOOKUP(B370,Database!$F:$AY,MATCH($P$1,Database!$F$1:$AY$1,),))))-(((VLOOKUP(EDATE(B370,-12),Database!$F:$AY,MATCH($P$1,Database!$F$1:$AY$1,),)))))/(((VLOOKUP(EDATE(B370,-12),Database!$F:$AY,MATCH($P$1,Database!$F$1:$AY$1,),))))</f>
        <v/>
      </c>
      <c r="Q370" s="13">
        <f>((((VLOOKUP(B370,Database!$F:$AY,MATCH($Q$1,Database!$F$1:$AY$1,),))))-(((VLOOKUP(EDATE(B370,-12),Database!$F:$AY,MATCH($Q$1,Database!$F$1:$AY$1,),)))))/(((VLOOKUP(EDATE(B370,-12),Database!$F:$AY,MATCH($Q$1,Database!$F$1:$AY$1,),))))</f>
        <v/>
      </c>
      <c r="R370" s="13">
        <f>((((VLOOKUP(B370,Database!$F:$AY,MATCH($R$1,Database!$F$1:$AY$1,),))))-(((VLOOKUP(EDATE(B370,-12),Database!$F:$AY,MATCH($R$1,Database!$F$1:$AY$1,),)))))/(((VLOOKUP(EDATE(B370,-12),Database!$F:$AY,MATCH($R$1,Database!$F$1:$AY$1,),))))</f>
        <v/>
      </c>
      <c r="S370" s="13">
        <f>((((VLOOKUP(B370,Database!$F:$AY,MATCH($S$1,Database!$F$1:$AY$1,),))))-(((VLOOKUP(EDATE(B370,-12),Database!$F:$AY,MATCH($S$1,Database!$F$1:$AY$1,),)))))/(((VLOOKUP(EDATE(B370,-12),Database!$F:$AY,MATCH($S$1,Database!$F$1:$AY$1,),))))</f>
        <v/>
      </c>
      <c r="T370" s="13">
        <f>((((VLOOKUP(B370,Database!$F:$AY,MATCH($T$1,Database!$F$1:$AY$1,),))))-(((VLOOKUP(EDATE(B370,-12),Database!$F:$AY,MATCH($T$1,Database!$F$1:$AY$1,),)))))/(((VLOOKUP(EDATE(B370,-12),Database!$F:$AY,MATCH($T$1,Database!$F$1:$AY$1,),))))</f>
        <v/>
      </c>
      <c r="U370" s="13">
        <f>((((VLOOKUP(B370,Database!$F:$AY,MATCH($U$1,Database!$F$1:$AY$1,),))))-(((VLOOKUP(EDATE(B370,-12),Database!$F:$AY,MATCH($U$1,Database!$F$1:$AY$1,),)))))/(((VLOOKUP(EDATE(B370,-12),Database!$F:$AY,MATCH($U$1,Database!$F$1:$AY$1,),))))</f>
        <v/>
      </c>
      <c r="V370" s="13">
        <f>((((VLOOKUP(B370,Database!$F:$AY,MATCH($V$1,Database!$F$1:$AY$1,),))))-(((VLOOKUP(EDATE(B370,-12),Database!$F:$AY,MATCH($V$1,Database!$F$1:$AY$1,),)))))/(((VLOOKUP(EDATE(B370,-12),Database!$F:$AY,MATCH($V$1,Database!$F$1:$AY$1,),))))</f>
        <v/>
      </c>
    </row>
    <row r="371" customFormat="1" s="100">
      <c r="B371" s="46" t="n">
        <v>43435</v>
      </c>
      <c r="C371" s="13">
        <f>((((VLOOKUP(B371,Database!$F:$AY,MATCH($C$1,Database!$F$1:$AY$1,),))))-(((VLOOKUP(EDATE(B371,-12),Database!$F:$AY,MATCH($C$1,Database!$F$1:$AY$1,),)))))/(((VLOOKUP(EDATE(B371,-12),Database!$F:$AY,MATCH($C$1,Database!$F$1:$AY$1,),))))</f>
        <v/>
      </c>
      <c r="D371" s="13">
        <f>((((VLOOKUP(B371,Database!$F:$AY,MATCH($D$1,Database!$F$1:$AY$1,),))))-(((VLOOKUP(EDATE(B371,-12),Database!$F:$AY,MATCH($D$1,Database!$F$1:$AY$1,),)))))/(((VLOOKUP(EDATE(B371,-12),Database!$F:$AY,MATCH($D$1,Database!$F$1:$AY$1,),))))</f>
        <v/>
      </c>
      <c r="E371" s="13">
        <f>((((VLOOKUP(B371,Database!$F:$AY,MATCH($E$1,Database!$F$1:$AY$1,),))))-(((VLOOKUP(EDATE(B371,-12),Database!$F:$AY,MATCH($E$1,Database!$F$1:$AY$1,),)))))/(((VLOOKUP(EDATE(B371,-12),Database!$F:$AY,MATCH($E$1,Database!$F$1:$AY$1,),))))</f>
        <v/>
      </c>
      <c r="F371" s="13">
        <f>((((VLOOKUP(B371,Database!$F:$AY,MATCH($F$1,Database!$F$1:$AY$1,),))))-(((VLOOKUP(EDATE(B371,-12),Database!$F:$AY,MATCH($F$1,Database!$F$1:$AY$1,),)))))/(((VLOOKUP(EDATE(B371,-12),Database!$F:$AY,MATCH($F$1,Database!$F$1:$AY$1,),))))</f>
        <v/>
      </c>
      <c r="G371" s="13">
        <f>((((VLOOKUP(B371,Database!$F:$AY,MATCH($G$1,Database!$F$1:$AY$1,),))))-(((VLOOKUP(EDATE(B371,-12),Database!$F:$AY,MATCH($G$1,Database!$F$1:$AY$1,),)))))/(((VLOOKUP(EDATE(B371,-12),Database!$F:$AY,MATCH($G$1,Database!$F$1:$AY$1,),))))</f>
        <v/>
      </c>
      <c r="H371" s="13">
        <f>((((VLOOKUP(B371,Database!$F:$AY,MATCH($H$1,Database!$F$1:$AY$1,),))))-(((VLOOKUP(EDATE(B371,-12),Database!$F:$AY,MATCH($H$1,Database!$F$1:$AY$1,),)))))/(((VLOOKUP(EDATE(B371,-12),Database!$F:$AY,MATCH($H$1,Database!$F$1:$AY$1,),))))</f>
        <v/>
      </c>
      <c r="I371" s="13">
        <f>((((VLOOKUP(B371,Database!$F:$AY,MATCH($I$1,Database!$F$1:$AY$1,),))))-(((VLOOKUP(EDATE(B371,-12),Database!$F:$AY,MATCH($I$1,Database!$F$1:$AY$1,),)))))/(((VLOOKUP(EDATE(B371,-12),Database!$F:$AY,MATCH($I$1,Database!$F$1:$AY$1,),))))</f>
        <v/>
      </c>
      <c r="J371" s="13">
        <f>((((VLOOKUP(B371,Database!$F:$AY,MATCH($J$1,Database!$F$1:$AY$1,),))))-(((VLOOKUP(EDATE(B371,-12),Database!$F:$AY,MATCH($J$1,Database!$F$1:$AY$1,),)))))/(((VLOOKUP(EDATE(B371,-12),Database!$F:$AY,MATCH($J$1,Database!$F$1:$AY$1,),))))</f>
        <v/>
      </c>
      <c r="K371" s="13">
        <f>((((VLOOKUP(B371,Database!$F:$AY,MATCH($K$1,Database!$F$1:$AY$1,),))))-(((VLOOKUP(EDATE(B371,-12),Database!$F:$AY,MATCH($K$1,Database!$F$1:$AY$1,),)))))/(((VLOOKUP(EDATE(B371,-12),Database!$F:$AY,MATCH($K$1,Database!$F$1:$AY$1,),))))</f>
        <v/>
      </c>
      <c r="L371" s="13" t="n"/>
      <c r="M371" s="13">
        <f>((((VLOOKUP(B371,Database!$F:$AY,MATCH($M$1,Database!$F$1:$AY$1,),))))-(((VLOOKUP(EDATE(B371,-12),Database!$F:$AY,MATCH($M$1,Database!$F$1:$AY$1,),)))))/(((VLOOKUP(EDATE(B371,-12),Database!$F:$AY,MATCH($M$1,Database!$F$1:$AY$1,),))))</f>
        <v/>
      </c>
      <c r="N371" s="13">
        <f>((((VLOOKUP(B371,Database!$F:$AY,MATCH($N$1,Database!$F$1:$AY$1,),))))-(((VLOOKUP(EDATE(B371,-12),Database!$F:$AY,MATCH($N$1,Database!$F$1:$AY$1,),)))))/(((VLOOKUP(EDATE(B371,-12),Database!$F:$AY,MATCH($N$1,Database!$F$1:$AY$1,),))))</f>
        <v/>
      </c>
      <c r="O371" s="13">
        <f>((((VLOOKUP(B371,Database!$F:$AY,MATCH($O$1,Database!$F$1:$AY$1,),))))-(((VLOOKUP(EDATE(B371,-12),Database!$F:$AY,MATCH($O$1,Database!$F$1:$AY$1,),)))))/(((VLOOKUP(EDATE(B371,-12),Database!$F:$AY,MATCH($O$1,Database!$F$1:$AY$1,),))))</f>
        <v/>
      </c>
      <c r="P371" s="13">
        <f>((((VLOOKUP(B371,Database!$F:$AY,MATCH($P$1,Database!$F$1:$AY$1,),))))-(((VLOOKUP(EDATE(B371,-12),Database!$F:$AY,MATCH($P$1,Database!$F$1:$AY$1,),)))))/(((VLOOKUP(EDATE(B371,-12),Database!$F:$AY,MATCH($P$1,Database!$F$1:$AY$1,),))))</f>
        <v/>
      </c>
      <c r="Q371" s="13">
        <f>((((VLOOKUP(B371,Database!$F:$AY,MATCH($Q$1,Database!$F$1:$AY$1,),))))-(((VLOOKUP(EDATE(B371,-12),Database!$F:$AY,MATCH($Q$1,Database!$F$1:$AY$1,),)))))/(((VLOOKUP(EDATE(B371,-12),Database!$F:$AY,MATCH($Q$1,Database!$F$1:$AY$1,),))))</f>
        <v/>
      </c>
      <c r="R371" s="13">
        <f>((((VLOOKUP(B371,Database!$F:$AY,MATCH($R$1,Database!$F$1:$AY$1,),))))-(((VLOOKUP(EDATE(B371,-12),Database!$F:$AY,MATCH($R$1,Database!$F$1:$AY$1,),)))))/(((VLOOKUP(EDATE(B371,-12),Database!$F:$AY,MATCH($R$1,Database!$F$1:$AY$1,),))))</f>
        <v/>
      </c>
      <c r="S371" s="13">
        <f>((((VLOOKUP(B371,Database!$F:$AY,MATCH($S$1,Database!$F$1:$AY$1,),))))-(((VLOOKUP(EDATE(B371,-12),Database!$F:$AY,MATCH($S$1,Database!$F$1:$AY$1,),)))))/(((VLOOKUP(EDATE(B371,-12),Database!$F:$AY,MATCH($S$1,Database!$F$1:$AY$1,),))))</f>
        <v/>
      </c>
      <c r="T371" s="13">
        <f>((((VLOOKUP(B371,Database!$F:$AY,MATCH($T$1,Database!$F$1:$AY$1,),))))-(((VLOOKUP(EDATE(B371,-12),Database!$F:$AY,MATCH($T$1,Database!$F$1:$AY$1,),)))))/(((VLOOKUP(EDATE(B371,-12),Database!$F:$AY,MATCH($T$1,Database!$F$1:$AY$1,),))))</f>
        <v/>
      </c>
      <c r="U371" s="13">
        <f>((((VLOOKUP(B371,Database!$F:$AY,MATCH($U$1,Database!$F$1:$AY$1,),))))-(((VLOOKUP(EDATE(B371,-12),Database!$F:$AY,MATCH($U$1,Database!$F$1:$AY$1,),)))))/(((VLOOKUP(EDATE(B371,-12),Database!$F:$AY,MATCH($U$1,Database!$F$1:$AY$1,),))))</f>
        <v/>
      </c>
      <c r="V371" s="13">
        <f>((((VLOOKUP(B371,Database!$F:$AY,MATCH($V$1,Database!$F$1:$AY$1,),))))-(((VLOOKUP(EDATE(B371,-12),Database!$F:$AY,MATCH($V$1,Database!$F$1:$AY$1,),)))))/(((VLOOKUP(EDATE(B371,-12),Database!$F:$AY,MATCH($V$1,Database!$F$1:$AY$1,),))))</f>
        <v/>
      </c>
    </row>
    <row r="372" customFormat="1" s="100">
      <c r="B372" s="46" t="n">
        <v>43466</v>
      </c>
      <c r="C372" s="13">
        <f>((((VLOOKUP(B372,Database!$F:$AY,MATCH($C$1,Database!$F$1:$AY$1,),))))-(((VLOOKUP(EDATE(B372,-12),Database!$F:$AY,MATCH($C$1,Database!$F$1:$AY$1,),)))))/(((VLOOKUP(EDATE(B372,-12),Database!$F:$AY,MATCH($C$1,Database!$F$1:$AY$1,),))))</f>
        <v/>
      </c>
      <c r="D372" s="13">
        <f>((((VLOOKUP(B372,Database!$F:$AY,MATCH($D$1,Database!$F$1:$AY$1,),))))-(((VLOOKUP(EDATE(B372,-12),Database!$F:$AY,MATCH($D$1,Database!$F$1:$AY$1,),)))))/(((VLOOKUP(EDATE(B372,-12),Database!$F:$AY,MATCH($D$1,Database!$F$1:$AY$1,),))))</f>
        <v/>
      </c>
      <c r="E372" s="13">
        <f>((((VLOOKUP(B372,Database!$F:$AY,MATCH($E$1,Database!$F$1:$AY$1,),))))-(((VLOOKUP(EDATE(B372,-12),Database!$F:$AY,MATCH($E$1,Database!$F$1:$AY$1,),)))))/(((VLOOKUP(EDATE(B372,-12),Database!$F:$AY,MATCH($E$1,Database!$F$1:$AY$1,),))))</f>
        <v/>
      </c>
      <c r="F372" s="13">
        <f>((((VLOOKUP(B372,Database!$F:$AY,MATCH($F$1,Database!$F$1:$AY$1,),))))-(((VLOOKUP(EDATE(B372,-12),Database!$F:$AY,MATCH($F$1,Database!$F$1:$AY$1,),)))))/(((VLOOKUP(EDATE(B372,-12),Database!$F:$AY,MATCH($F$1,Database!$F$1:$AY$1,),))))</f>
        <v/>
      </c>
      <c r="G372" s="13">
        <f>((((VLOOKUP(B372,Database!$F:$AY,MATCH($G$1,Database!$F$1:$AY$1,),))))-(((VLOOKUP(EDATE(B372,-12),Database!$F:$AY,MATCH($G$1,Database!$F$1:$AY$1,),)))))/(((VLOOKUP(EDATE(B372,-12),Database!$F:$AY,MATCH($G$1,Database!$F$1:$AY$1,),))))</f>
        <v/>
      </c>
      <c r="H372" s="13">
        <f>((((VLOOKUP(B372,Database!$F:$AY,MATCH($H$1,Database!$F$1:$AY$1,),))))-(((VLOOKUP(EDATE(B372,-12),Database!$F:$AY,MATCH($H$1,Database!$F$1:$AY$1,),)))))/(((VLOOKUP(EDATE(B372,-12),Database!$F:$AY,MATCH($H$1,Database!$F$1:$AY$1,),))))</f>
        <v/>
      </c>
      <c r="I372" s="13">
        <f>((((VLOOKUP(B372,Database!$F:$AY,MATCH($I$1,Database!$F$1:$AY$1,),))))-(((VLOOKUP(EDATE(B372,-12),Database!$F:$AY,MATCH($I$1,Database!$F$1:$AY$1,),)))))/(((VLOOKUP(EDATE(B372,-12),Database!$F:$AY,MATCH($I$1,Database!$F$1:$AY$1,),))))</f>
        <v/>
      </c>
      <c r="J372" s="13">
        <f>((((VLOOKUP(B372,Database!$F:$AY,MATCH($J$1,Database!$F$1:$AY$1,),))))-(((VLOOKUP(EDATE(B372,-12),Database!$F:$AY,MATCH($J$1,Database!$F$1:$AY$1,),)))))/(((VLOOKUP(EDATE(B372,-12),Database!$F:$AY,MATCH($J$1,Database!$F$1:$AY$1,),))))</f>
        <v/>
      </c>
      <c r="K372" s="13">
        <f>((((VLOOKUP(B372,Database!$F:$AY,MATCH($K$1,Database!$F$1:$AY$1,),))))-(((VLOOKUP(EDATE(B372,-12),Database!$F:$AY,MATCH($K$1,Database!$F$1:$AY$1,),)))))/(((VLOOKUP(EDATE(B372,-12),Database!$F:$AY,MATCH($K$1,Database!$F$1:$AY$1,),))))</f>
        <v/>
      </c>
      <c r="L372" s="13" t="n"/>
      <c r="M372" s="13">
        <f>((((VLOOKUP(B372,Database!$F:$AY,MATCH($M$1,Database!$F$1:$AY$1,),))))-(((VLOOKUP(EDATE(B372,-12),Database!$F:$AY,MATCH($M$1,Database!$F$1:$AY$1,),)))))/(((VLOOKUP(EDATE(B372,-12),Database!$F:$AY,MATCH($M$1,Database!$F$1:$AY$1,),))))</f>
        <v/>
      </c>
      <c r="N372" s="13">
        <f>((((VLOOKUP(B372,Database!$F:$AY,MATCH($N$1,Database!$F$1:$AY$1,),))))-(((VLOOKUP(EDATE(B372,-12),Database!$F:$AY,MATCH($N$1,Database!$F$1:$AY$1,),)))))/(((VLOOKUP(EDATE(B372,-12),Database!$F:$AY,MATCH($N$1,Database!$F$1:$AY$1,),))))</f>
        <v/>
      </c>
      <c r="O372" s="13">
        <f>((((VLOOKUP(B372,Database!$F:$AY,MATCH($O$1,Database!$F$1:$AY$1,),))))-(((VLOOKUP(EDATE(B372,-12),Database!$F:$AY,MATCH($O$1,Database!$F$1:$AY$1,),)))))/(((VLOOKUP(EDATE(B372,-12),Database!$F:$AY,MATCH($O$1,Database!$F$1:$AY$1,),))))</f>
        <v/>
      </c>
      <c r="P372" s="13">
        <f>((((VLOOKUP(B372,Database!$F:$AY,MATCH($P$1,Database!$F$1:$AY$1,),))))-(((VLOOKUP(EDATE(B372,-12),Database!$F:$AY,MATCH($P$1,Database!$F$1:$AY$1,),)))))/(((VLOOKUP(EDATE(B372,-12),Database!$F:$AY,MATCH($P$1,Database!$F$1:$AY$1,),))))</f>
        <v/>
      </c>
      <c r="Q372" s="13">
        <f>((((VLOOKUP(B372,Database!$F:$AY,MATCH($Q$1,Database!$F$1:$AY$1,),))))-(((VLOOKUP(EDATE(B372,-12),Database!$F:$AY,MATCH($Q$1,Database!$F$1:$AY$1,),)))))/(((VLOOKUP(EDATE(B372,-12),Database!$F:$AY,MATCH($Q$1,Database!$F$1:$AY$1,),))))</f>
        <v/>
      </c>
      <c r="R372" s="13">
        <f>((((VLOOKUP(B372,Database!$F:$AY,MATCH($R$1,Database!$F$1:$AY$1,),))))-(((VLOOKUP(EDATE(B372,-12),Database!$F:$AY,MATCH($R$1,Database!$F$1:$AY$1,),)))))/(((VLOOKUP(EDATE(B372,-12),Database!$F:$AY,MATCH($R$1,Database!$F$1:$AY$1,),))))</f>
        <v/>
      </c>
      <c r="S372" s="13">
        <f>((((VLOOKUP(B372,Database!$F:$AY,MATCH($S$1,Database!$F$1:$AY$1,),))))-(((VLOOKUP(EDATE(B372,-12),Database!$F:$AY,MATCH($S$1,Database!$F$1:$AY$1,),)))))/(((VLOOKUP(EDATE(B372,-12),Database!$F:$AY,MATCH($S$1,Database!$F$1:$AY$1,),))))</f>
        <v/>
      </c>
      <c r="T372" s="13">
        <f>((((VLOOKUP(B372,Database!$F:$AY,MATCH($T$1,Database!$F$1:$AY$1,),))))-(((VLOOKUP(EDATE(B372,-12),Database!$F:$AY,MATCH($T$1,Database!$F$1:$AY$1,),)))))/(((VLOOKUP(EDATE(B372,-12),Database!$F:$AY,MATCH($T$1,Database!$F$1:$AY$1,),))))</f>
        <v/>
      </c>
      <c r="U372" s="13">
        <f>((((VLOOKUP(B372,Database!$F:$AY,MATCH($U$1,Database!$F$1:$AY$1,),))))-(((VLOOKUP(EDATE(B372,-12),Database!$F:$AY,MATCH($U$1,Database!$F$1:$AY$1,),)))))/(((VLOOKUP(EDATE(B372,-12),Database!$F:$AY,MATCH($U$1,Database!$F$1:$AY$1,),))))</f>
        <v/>
      </c>
      <c r="V372" s="13">
        <f>((((VLOOKUP(B372,Database!$F:$AY,MATCH($V$1,Database!$F$1:$AY$1,),))))-(((VLOOKUP(EDATE(B372,-12),Database!$F:$AY,MATCH($V$1,Database!$F$1:$AY$1,),)))))/(((VLOOKUP(EDATE(B372,-12),Database!$F:$AY,MATCH($V$1,Database!$F$1:$AY$1,),))))</f>
        <v/>
      </c>
    </row>
    <row r="373" customFormat="1" s="100">
      <c r="B373" s="46" t="n">
        <v>43497</v>
      </c>
      <c r="C373" s="13">
        <f>((((VLOOKUP(B373,Database!$F:$AY,MATCH($C$1,Database!$F$1:$AY$1,),))))-(((VLOOKUP(EDATE(B373,-12),Database!$F:$AY,MATCH($C$1,Database!$F$1:$AY$1,),)))))/(((VLOOKUP(EDATE(B373,-12),Database!$F:$AY,MATCH($C$1,Database!$F$1:$AY$1,),))))</f>
        <v/>
      </c>
      <c r="D373" s="13">
        <f>((((VLOOKUP(B373,Database!$F:$AY,MATCH($D$1,Database!$F$1:$AY$1,),))))-(((VLOOKUP(EDATE(B373,-12),Database!$F:$AY,MATCH($D$1,Database!$F$1:$AY$1,),)))))/(((VLOOKUP(EDATE(B373,-12),Database!$F:$AY,MATCH($D$1,Database!$F$1:$AY$1,),))))</f>
        <v/>
      </c>
      <c r="E373" s="13">
        <f>((((VLOOKUP(B373,Database!$F:$AY,MATCH($E$1,Database!$F$1:$AY$1,),))))-(((VLOOKUP(EDATE(B373,-12),Database!$F:$AY,MATCH($E$1,Database!$F$1:$AY$1,),)))))/(((VLOOKUP(EDATE(B373,-12),Database!$F:$AY,MATCH($E$1,Database!$F$1:$AY$1,),))))</f>
        <v/>
      </c>
      <c r="F373" s="13">
        <f>((((VLOOKUP(B373,Database!$F:$AY,MATCH($F$1,Database!$F$1:$AY$1,),))))-(((VLOOKUP(EDATE(B373,-12),Database!$F:$AY,MATCH($F$1,Database!$F$1:$AY$1,),)))))/(((VLOOKUP(EDATE(B373,-12),Database!$F:$AY,MATCH($F$1,Database!$F$1:$AY$1,),))))</f>
        <v/>
      </c>
      <c r="G373" s="13">
        <f>((((VLOOKUP(B373,Database!$F:$AY,MATCH($G$1,Database!$F$1:$AY$1,),))))-(((VLOOKUP(EDATE(B373,-12),Database!$F:$AY,MATCH($G$1,Database!$F$1:$AY$1,),)))))/(((VLOOKUP(EDATE(B373,-12),Database!$F:$AY,MATCH($G$1,Database!$F$1:$AY$1,),))))</f>
        <v/>
      </c>
      <c r="H373" s="13">
        <f>((((VLOOKUP(B373,Database!$F:$AY,MATCH($H$1,Database!$F$1:$AY$1,),))))-(((VLOOKUP(EDATE(B373,-12),Database!$F:$AY,MATCH($H$1,Database!$F$1:$AY$1,),)))))/(((VLOOKUP(EDATE(B373,-12),Database!$F:$AY,MATCH($H$1,Database!$F$1:$AY$1,),))))</f>
        <v/>
      </c>
      <c r="I373" s="13">
        <f>((((VLOOKUP(B373,Database!$F:$AY,MATCH($I$1,Database!$F$1:$AY$1,),))))-(((VLOOKUP(EDATE(B373,-12),Database!$F:$AY,MATCH($I$1,Database!$F$1:$AY$1,),)))))/(((VLOOKUP(EDATE(B373,-12),Database!$F:$AY,MATCH($I$1,Database!$F$1:$AY$1,),))))</f>
        <v/>
      </c>
      <c r="J373" s="13">
        <f>((((VLOOKUP(B373,Database!$F:$AY,MATCH($J$1,Database!$F$1:$AY$1,),))))-(((VLOOKUP(EDATE(B373,-12),Database!$F:$AY,MATCH($J$1,Database!$F$1:$AY$1,),)))))/(((VLOOKUP(EDATE(B373,-12),Database!$F:$AY,MATCH($J$1,Database!$F$1:$AY$1,),))))</f>
        <v/>
      </c>
      <c r="K373" s="13">
        <f>((((VLOOKUP(B373,Database!$F:$AY,MATCH($K$1,Database!$F$1:$AY$1,),))))-(((VLOOKUP(EDATE(B373,-12),Database!$F:$AY,MATCH($K$1,Database!$F$1:$AY$1,),)))))/(((VLOOKUP(EDATE(B373,-12),Database!$F:$AY,MATCH($K$1,Database!$F$1:$AY$1,),))))</f>
        <v/>
      </c>
      <c r="L373" s="13" t="n"/>
      <c r="M373" s="13">
        <f>((((VLOOKUP(B373,Database!$F:$AY,MATCH($M$1,Database!$F$1:$AY$1,),))))-(((VLOOKUP(EDATE(B373,-12),Database!$F:$AY,MATCH($M$1,Database!$F$1:$AY$1,),)))))/(((VLOOKUP(EDATE(B373,-12),Database!$F:$AY,MATCH($M$1,Database!$F$1:$AY$1,),))))</f>
        <v/>
      </c>
      <c r="N373" s="13">
        <f>((((VLOOKUP(B373,Database!$F:$AY,MATCH($N$1,Database!$F$1:$AY$1,),))))-(((VLOOKUP(EDATE(B373,-12),Database!$F:$AY,MATCH($N$1,Database!$F$1:$AY$1,),)))))/(((VLOOKUP(EDATE(B373,-12),Database!$F:$AY,MATCH($N$1,Database!$F$1:$AY$1,),))))</f>
        <v/>
      </c>
      <c r="O373" s="13">
        <f>((((VLOOKUP(B373,Database!$F:$AY,MATCH($O$1,Database!$F$1:$AY$1,),))))-(((VLOOKUP(EDATE(B373,-12),Database!$F:$AY,MATCH($O$1,Database!$F$1:$AY$1,),)))))/(((VLOOKUP(EDATE(B373,-12),Database!$F:$AY,MATCH($O$1,Database!$F$1:$AY$1,),))))</f>
        <v/>
      </c>
      <c r="P373" s="13">
        <f>((((VLOOKUP(B373,Database!$F:$AY,MATCH($P$1,Database!$F$1:$AY$1,),))))-(((VLOOKUP(EDATE(B373,-12),Database!$F:$AY,MATCH($P$1,Database!$F$1:$AY$1,),)))))/(((VLOOKUP(EDATE(B373,-12),Database!$F:$AY,MATCH($P$1,Database!$F$1:$AY$1,),))))</f>
        <v/>
      </c>
      <c r="Q373" s="13">
        <f>((((VLOOKUP(B373,Database!$F:$AY,MATCH($Q$1,Database!$F$1:$AY$1,),))))-(((VLOOKUP(EDATE(B373,-12),Database!$F:$AY,MATCH($Q$1,Database!$F$1:$AY$1,),)))))/(((VLOOKUP(EDATE(B373,-12),Database!$F:$AY,MATCH($Q$1,Database!$F$1:$AY$1,),))))</f>
        <v/>
      </c>
      <c r="R373" s="13">
        <f>((((VLOOKUP(B373,Database!$F:$AY,MATCH($R$1,Database!$F$1:$AY$1,),))))-(((VLOOKUP(EDATE(B373,-12),Database!$F:$AY,MATCH($R$1,Database!$F$1:$AY$1,),)))))/(((VLOOKUP(EDATE(B373,-12),Database!$F:$AY,MATCH($R$1,Database!$F$1:$AY$1,),))))</f>
        <v/>
      </c>
      <c r="S373" s="13">
        <f>((((VLOOKUP(B373,Database!$F:$AY,MATCH($S$1,Database!$F$1:$AY$1,),))))-(((VLOOKUP(EDATE(B373,-12),Database!$F:$AY,MATCH($S$1,Database!$F$1:$AY$1,),)))))/(((VLOOKUP(EDATE(B373,-12),Database!$F:$AY,MATCH($S$1,Database!$F$1:$AY$1,),))))</f>
        <v/>
      </c>
      <c r="T373" s="13">
        <f>((((VLOOKUP(B373,Database!$F:$AY,MATCH($T$1,Database!$F$1:$AY$1,),))))-(((VLOOKUP(EDATE(B373,-12),Database!$F:$AY,MATCH($T$1,Database!$F$1:$AY$1,),)))))/(((VLOOKUP(EDATE(B373,-12),Database!$F:$AY,MATCH($T$1,Database!$F$1:$AY$1,),))))</f>
        <v/>
      </c>
      <c r="U373" s="13">
        <f>((((VLOOKUP(B373,Database!$F:$AY,MATCH($U$1,Database!$F$1:$AY$1,),))))-(((VLOOKUP(EDATE(B373,-12),Database!$F:$AY,MATCH($U$1,Database!$F$1:$AY$1,),)))))/(((VLOOKUP(EDATE(B373,-12),Database!$F:$AY,MATCH($U$1,Database!$F$1:$AY$1,),))))</f>
        <v/>
      </c>
      <c r="V373" s="13">
        <f>((((VLOOKUP(B373,Database!$F:$AY,MATCH($V$1,Database!$F$1:$AY$1,),))))-(((VLOOKUP(EDATE(B373,-12),Database!$F:$AY,MATCH($V$1,Database!$F$1:$AY$1,),)))))/(((VLOOKUP(EDATE(B373,-12),Database!$F:$AY,MATCH($V$1,Database!$F$1:$AY$1,),))))</f>
        <v/>
      </c>
    </row>
    <row r="374" customFormat="1" s="100">
      <c r="B374" s="46" t="n">
        <v>43525</v>
      </c>
      <c r="C374" s="13">
        <f>((((VLOOKUP(B374,Database!$F:$AY,MATCH($C$1,Database!$F$1:$AY$1,),))))-(((VLOOKUP(EDATE(B374,-12),Database!$F:$AY,MATCH($C$1,Database!$F$1:$AY$1,),)))))/(((VLOOKUP(EDATE(B374,-12),Database!$F:$AY,MATCH($C$1,Database!$F$1:$AY$1,),))))</f>
        <v/>
      </c>
      <c r="D374" s="13">
        <f>((((VLOOKUP(B374,Database!$F:$AY,MATCH($D$1,Database!$F$1:$AY$1,),))))-(((VLOOKUP(EDATE(B374,-12),Database!$F:$AY,MATCH($D$1,Database!$F$1:$AY$1,),)))))/(((VLOOKUP(EDATE(B374,-12),Database!$F:$AY,MATCH($D$1,Database!$F$1:$AY$1,),))))</f>
        <v/>
      </c>
      <c r="E374" s="13">
        <f>((((VLOOKUP(B374,Database!$F:$AY,MATCH($E$1,Database!$F$1:$AY$1,),))))-(((VLOOKUP(EDATE(B374,-12),Database!$F:$AY,MATCH($E$1,Database!$F$1:$AY$1,),)))))/(((VLOOKUP(EDATE(B374,-12),Database!$F:$AY,MATCH($E$1,Database!$F$1:$AY$1,),))))</f>
        <v/>
      </c>
      <c r="F374" s="13">
        <f>((((VLOOKUP(B374,Database!$F:$AY,MATCH($F$1,Database!$F$1:$AY$1,),))))-(((VLOOKUP(EDATE(B374,-12),Database!$F:$AY,MATCH($F$1,Database!$F$1:$AY$1,),)))))/(((VLOOKUP(EDATE(B374,-12),Database!$F:$AY,MATCH($F$1,Database!$F$1:$AY$1,),))))</f>
        <v/>
      </c>
      <c r="G374" s="13">
        <f>((((VLOOKUP(B374,Database!$F:$AY,MATCH($G$1,Database!$F$1:$AY$1,),))))-(((VLOOKUP(EDATE(B374,-12),Database!$F:$AY,MATCH($G$1,Database!$F$1:$AY$1,),)))))/(((VLOOKUP(EDATE(B374,-12),Database!$F:$AY,MATCH($G$1,Database!$F$1:$AY$1,),))))</f>
        <v/>
      </c>
      <c r="H374" s="13">
        <f>((((VLOOKUP(B374,Database!$F:$AY,MATCH($H$1,Database!$F$1:$AY$1,),))))-(((VLOOKUP(EDATE(B374,-12),Database!$F:$AY,MATCH($H$1,Database!$F$1:$AY$1,),)))))/(((VLOOKUP(EDATE(B374,-12),Database!$F:$AY,MATCH($H$1,Database!$F$1:$AY$1,),))))</f>
        <v/>
      </c>
      <c r="I374" s="13">
        <f>((((VLOOKUP(B374,Database!$F:$AY,MATCH($I$1,Database!$F$1:$AY$1,),))))-(((VLOOKUP(EDATE(B374,-12),Database!$F:$AY,MATCH($I$1,Database!$F$1:$AY$1,),)))))/(((VLOOKUP(EDATE(B374,-12),Database!$F:$AY,MATCH($I$1,Database!$F$1:$AY$1,),))))</f>
        <v/>
      </c>
      <c r="J374" s="13">
        <f>((((VLOOKUP(B374,Database!$F:$AY,MATCH($J$1,Database!$F$1:$AY$1,),))))-(((VLOOKUP(EDATE(B374,-12),Database!$F:$AY,MATCH($J$1,Database!$F$1:$AY$1,),)))))/(((VLOOKUP(EDATE(B374,-12),Database!$F:$AY,MATCH($J$1,Database!$F$1:$AY$1,),))))</f>
        <v/>
      </c>
      <c r="K374" s="13">
        <f>((((VLOOKUP(B374,Database!$F:$AY,MATCH($K$1,Database!$F$1:$AY$1,),))))-(((VLOOKUP(EDATE(B374,-12),Database!$F:$AY,MATCH($K$1,Database!$F$1:$AY$1,),)))))/(((VLOOKUP(EDATE(B374,-12),Database!$F:$AY,MATCH($K$1,Database!$F$1:$AY$1,),))))</f>
        <v/>
      </c>
      <c r="L374" s="13" t="n"/>
      <c r="M374" s="13">
        <f>((((VLOOKUP(B374,Database!$F:$AY,MATCH($M$1,Database!$F$1:$AY$1,),))))-(((VLOOKUP(EDATE(B374,-12),Database!$F:$AY,MATCH($M$1,Database!$F$1:$AY$1,),)))))/(((VLOOKUP(EDATE(B374,-12),Database!$F:$AY,MATCH($M$1,Database!$F$1:$AY$1,),))))</f>
        <v/>
      </c>
      <c r="N374" s="13" t="n"/>
      <c r="O374" s="13">
        <f>((((VLOOKUP(B374,Database!$F:$AY,MATCH($O$1,Database!$F$1:$AY$1,),))))-(((VLOOKUP(EDATE(B374,-12),Database!$F:$AY,MATCH($O$1,Database!$F$1:$AY$1,),)))))/(((VLOOKUP(EDATE(B374,-12),Database!$F:$AY,MATCH($O$1,Database!$F$1:$AY$1,),))))</f>
        <v/>
      </c>
      <c r="P374" s="13">
        <f>((((VLOOKUP(B374,Database!$F:$AY,MATCH($P$1,Database!$F$1:$AY$1,),))))-(((VLOOKUP(EDATE(B374,-12),Database!$F:$AY,MATCH($P$1,Database!$F$1:$AY$1,),)))))/(((VLOOKUP(EDATE(B374,-12),Database!$F:$AY,MATCH($P$1,Database!$F$1:$AY$1,),))))</f>
        <v/>
      </c>
      <c r="Q374" s="13">
        <f>((((VLOOKUP(B374,Database!$F:$AY,MATCH($Q$1,Database!$F$1:$AY$1,),))))-(((VLOOKUP(EDATE(B374,-12),Database!$F:$AY,MATCH($Q$1,Database!$F$1:$AY$1,),)))))/(((VLOOKUP(EDATE(B374,-12),Database!$F:$AY,MATCH($Q$1,Database!$F$1:$AY$1,),))))</f>
        <v/>
      </c>
      <c r="R374" s="13">
        <f>((((VLOOKUP(B374,Database!$F:$AY,MATCH($R$1,Database!$F$1:$AY$1,),))))-(((VLOOKUP(EDATE(B374,-12),Database!$F:$AY,MATCH($R$1,Database!$F$1:$AY$1,),)))))/(((VLOOKUP(EDATE(B374,-12),Database!$F:$AY,MATCH($R$1,Database!$F$1:$AY$1,),))))</f>
        <v/>
      </c>
      <c r="S374" s="13">
        <f>((((VLOOKUP(B374,Database!$F:$AY,MATCH($S$1,Database!$F$1:$AY$1,),))))-(((VLOOKUP(EDATE(B374,-12),Database!$F:$AY,MATCH($S$1,Database!$F$1:$AY$1,),)))))/(((VLOOKUP(EDATE(B374,-12),Database!$F:$AY,MATCH($S$1,Database!$F$1:$AY$1,),))))</f>
        <v/>
      </c>
      <c r="T374" s="13">
        <f>((((VLOOKUP(B374,Database!$F:$AY,MATCH($T$1,Database!$F$1:$AY$1,),))))-(((VLOOKUP(EDATE(B374,-12),Database!$F:$AY,MATCH($T$1,Database!$F$1:$AY$1,),)))))/(((VLOOKUP(EDATE(B374,-12),Database!$F:$AY,MATCH($T$1,Database!$F$1:$AY$1,),))))</f>
        <v/>
      </c>
      <c r="U374" s="13">
        <f>((((VLOOKUP(B374,Database!$F:$AY,MATCH($U$1,Database!$F$1:$AY$1,),))))-(((VLOOKUP(EDATE(B374,-12),Database!$F:$AY,MATCH($U$1,Database!$F$1:$AY$1,),)))))/(((VLOOKUP(EDATE(B374,-12),Database!$F:$AY,MATCH($U$1,Database!$F$1:$AY$1,),))))</f>
        <v/>
      </c>
      <c r="V374" s="13">
        <f>((((VLOOKUP(B374,Database!$F:$AY,MATCH($V$1,Database!$F$1:$AY$1,),))))-(((VLOOKUP(EDATE(B374,-12),Database!$F:$AY,MATCH($V$1,Database!$F$1:$AY$1,),)))))/(((VLOOKUP(EDATE(B374,-12),Database!$F:$AY,MATCH($V$1,Database!$F$1:$AY$1,),))))</f>
        <v/>
      </c>
    </row>
    <row r="375" customFormat="1" s="100">
      <c r="B375" s="46" t="n">
        <v>43556</v>
      </c>
      <c r="C375" s="13">
        <f>((((VLOOKUP(B375,Database!$F:$AY,MATCH($C$1,Database!$F$1:$AY$1,),))))-(((VLOOKUP(EDATE(B375,-12),Database!$F:$AY,MATCH($C$1,Database!$F$1:$AY$1,),)))))/(((VLOOKUP(EDATE(B375,-12),Database!$F:$AY,MATCH($C$1,Database!$F$1:$AY$1,),))))</f>
        <v/>
      </c>
      <c r="D375" s="13">
        <f>((((VLOOKUP(B375,Database!$F:$AY,MATCH($D$1,Database!$F$1:$AY$1,),))))-(((VLOOKUP(EDATE(B375,-12),Database!$F:$AY,MATCH($D$1,Database!$F$1:$AY$1,),)))))/(((VLOOKUP(EDATE(B375,-12),Database!$F:$AY,MATCH($D$1,Database!$F$1:$AY$1,),))))</f>
        <v/>
      </c>
      <c r="E375" s="13">
        <f>((((VLOOKUP(B375,Database!$F:$AY,MATCH($E$1,Database!$F$1:$AY$1,),))))-(((VLOOKUP(EDATE(B375,-12),Database!$F:$AY,MATCH($E$1,Database!$F$1:$AY$1,),)))))/(((VLOOKUP(EDATE(B375,-12),Database!$F:$AY,MATCH($E$1,Database!$F$1:$AY$1,),))))</f>
        <v/>
      </c>
      <c r="F375" s="13">
        <f>((((VLOOKUP(B375,Database!$F:$AY,MATCH($F$1,Database!$F$1:$AY$1,),))))-(((VLOOKUP(EDATE(B375,-12),Database!$F:$AY,MATCH($F$1,Database!$F$1:$AY$1,),)))))/(((VLOOKUP(EDATE(B375,-12),Database!$F:$AY,MATCH($F$1,Database!$F$1:$AY$1,),))))</f>
        <v/>
      </c>
      <c r="G375" s="13">
        <f>((((VLOOKUP(B375,Database!$F:$AY,MATCH($G$1,Database!$F$1:$AY$1,),))))-(((VLOOKUP(EDATE(B375,-12),Database!$F:$AY,MATCH($G$1,Database!$F$1:$AY$1,),)))))/(((VLOOKUP(EDATE(B375,-12),Database!$F:$AY,MATCH($G$1,Database!$F$1:$AY$1,),))))</f>
        <v/>
      </c>
      <c r="H375" s="13">
        <f>((((VLOOKUP(B375,Database!$F:$AY,MATCH($H$1,Database!$F$1:$AY$1,),))))-(((VLOOKUP(EDATE(B375,-12),Database!$F:$AY,MATCH($H$1,Database!$F$1:$AY$1,),)))))/(((VLOOKUP(EDATE(B375,-12),Database!$F:$AY,MATCH($H$1,Database!$F$1:$AY$1,),))))</f>
        <v/>
      </c>
      <c r="I375" s="13">
        <f>((((VLOOKUP(B375,Database!$F:$AY,MATCH($I$1,Database!$F$1:$AY$1,),))))-(((VLOOKUP(EDATE(B375,-12),Database!$F:$AY,MATCH($I$1,Database!$F$1:$AY$1,),)))))/(((VLOOKUP(EDATE(B375,-12),Database!$F:$AY,MATCH($I$1,Database!$F$1:$AY$1,),))))</f>
        <v/>
      </c>
      <c r="J375" s="13">
        <f>((((VLOOKUP(B375,Database!$F:$AY,MATCH($J$1,Database!$F$1:$AY$1,),))))-(((VLOOKUP(EDATE(B375,-12),Database!$F:$AY,MATCH($J$1,Database!$F$1:$AY$1,),)))))/(((VLOOKUP(EDATE(B375,-12),Database!$F:$AY,MATCH($J$1,Database!$F$1:$AY$1,),))))</f>
        <v/>
      </c>
      <c r="K375" s="13">
        <f>((((VLOOKUP(B375,Database!$F:$AY,MATCH($K$1,Database!$F$1:$AY$1,),))))-(((VLOOKUP(EDATE(B375,-12),Database!$F:$AY,MATCH($K$1,Database!$F$1:$AY$1,),)))))/(((VLOOKUP(EDATE(B375,-12),Database!$F:$AY,MATCH($K$1,Database!$F$1:$AY$1,),))))</f>
        <v/>
      </c>
      <c r="L375" s="13" t="n"/>
      <c r="M375" s="13" t="n"/>
      <c r="N375" s="13" t="n"/>
      <c r="O375" s="13">
        <f>((((VLOOKUP(B375,Database!$F:$AY,MATCH($O$1,Database!$F$1:$AY$1,),))))-(((VLOOKUP(EDATE(B375,-12),Database!$F:$AY,MATCH($O$1,Database!$F$1:$AY$1,),)))))/(((VLOOKUP(EDATE(B375,-12),Database!$F:$AY,MATCH($O$1,Database!$F$1:$AY$1,),))))</f>
        <v/>
      </c>
      <c r="P375" s="13">
        <f>((((VLOOKUP(B375,Database!$F:$AY,MATCH($P$1,Database!$F$1:$AY$1,),))))-(((VLOOKUP(EDATE(B375,-12),Database!$F:$AY,MATCH($P$1,Database!$F$1:$AY$1,),)))))/(((VLOOKUP(EDATE(B375,-12),Database!$F:$AY,MATCH($P$1,Database!$F$1:$AY$1,),))))</f>
        <v/>
      </c>
      <c r="Q375" s="13">
        <f>((((VLOOKUP(B375,Database!$F:$AY,MATCH($Q$1,Database!$F$1:$AY$1,),))))-(((VLOOKUP(EDATE(B375,-12),Database!$F:$AY,MATCH($Q$1,Database!$F$1:$AY$1,),)))))/(((VLOOKUP(EDATE(B375,-12),Database!$F:$AY,MATCH($Q$1,Database!$F$1:$AY$1,),))))</f>
        <v/>
      </c>
      <c r="R375" s="13">
        <f>((((VLOOKUP(B375,Database!$F:$AY,MATCH($R$1,Database!$F$1:$AY$1,),))))-(((VLOOKUP(EDATE(B375,-12),Database!$F:$AY,MATCH($R$1,Database!$F$1:$AY$1,),)))))/(((VLOOKUP(EDATE(B375,-12),Database!$F:$AY,MATCH($R$1,Database!$F$1:$AY$1,),))))</f>
        <v/>
      </c>
      <c r="S375" s="13">
        <f>((((VLOOKUP(B375,Database!$F:$AY,MATCH($S$1,Database!$F$1:$AY$1,),))))-(((VLOOKUP(EDATE(B375,-12),Database!$F:$AY,MATCH($S$1,Database!$F$1:$AY$1,),)))))/(((VLOOKUP(EDATE(B375,-12),Database!$F:$AY,MATCH($S$1,Database!$F$1:$AY$1,),))))</f>
        <v/>
      </c>
      <c r="T375" s="13">
        <f>((((VLOOKUP(B375,Database!$F:$AY,MATCH($T$1,Database!$F$1:$AY$1,),))))-(((VLOOKUP(EDATE(B375,-12),Database!$F:$AY,MATCH($T$1,Database!$F$1:$AY$1,),)))))/(((VLOOKUP(EDATE(B375,-12),Database!$F:$AY,MATCH($T$1,Database!$F$1:$AY$1,),))))</f>
        <v/>
      </c>
      <c r="U375" s="13">
        <f>((((VLOOKUP(B375,Database!$F:$AY,MATCH($U$1,Database!$F$1:$AY$1,),))))-(((VLOOKUP(EDATE(B375,-12),Database!$F:$AY,MATCH($U$1,Database!$F$1:$AY$1,),)))))/(((VLOOKUP(EDATE(B375,-12),Database!$F:$AY,MATCH($U$1,Database!$F$1:$AY$1,),))))</f>
        <v/>
      </c>
      <c r="V375" s="13">
        <f>((((VLOOKUP(B375,Database!$F:$AY,MATCH($V$1,Database!$F$1:$AY$1,),))))-(((VLOOKUP(EDATE(B375,-12),Database!$F:$AY,MATCH($V$1,Database!$F$1:$AY$1,),)))))/(((VLOOKUP(EDATE(B375,-12),Database!$F:$AY,MATCH($V$1,Database!$F$1:$AY$1,),))))</f>
        <v/>
      </c>
    </row>
    <row r="376" customFormat="1" s="100">
      <c r="B376" s="46" t="n">
        <v>43586</v>
      </c>
      <c r="C376" s="13">
        <f>((((VLOOKUP(B376,Database!$F:$AY,MATCH($C$1,Database!$F$1:$AY$1,),))))-(((VLOOKUP(EDATE(B376,-12),Database!$F:$AY,MATCH($C$1,Database!$F$1:$AY$1,),)))))/(((VLOOKUP(EDATE(B376,-12),Database!$F:$AY,MATCH($C$1,Database!$F$1:$AY$1,),))))</f>
        <v/>
      </c>
      <c r="D376" s="13">
        <f>((((VLOOKUP(B376,Database!$F:$AY,MATCH($D$1,Database!$F$1:$AY$1,),))))-(((VLOOKUP(EDATE(B376,-12),Database!$F:$AY,MATCH($D$1,Database!$F$1:$AY$1,),)))))/(((VLOOKUP(EDATE(B376,-12),Database!$F:$AY,MATCH($D$1,Database!$F$1:$AY$1,),))))</f>
        <v/>
      </c>
      <c r="E376" s="13">
        <f>((((VLOOKUP(B376,Database!$F:$AY,MATCH($E$1,Database!$F$1:$AY$1,),))))-(((VLOOKUP(EDATE(B376,-12),Database!$F:$AY,MATCH($E$1,Database!$F$1:$AY$1,),)))))/(((VLOOKUP(EDATE(B376,-12),Database!$F:$AY,MATCH($E$1,Database!$F$1:$AY$1,),))))</f>
        <v/>
      </c>
      <c r="F376" s="13">
        <f>((((VLOOKUP(B376,Database!$F:$AY,MATCH($F$1,Database!$F$1:$AY$1,),))))-(((VLOOKUP(EDATE(B376,-12),Database!$F:$AY,MATCH($F$1,Database!$F$1:$AY$1,),)))))/(((VLOOKUP(EDATE(B376,-12),Database!$F:$AY,MATCH($F$1,Database!$F$1:$AY$1,),))))</f>
        <v/>
      </c>
      <c r="G376" s="13">
        <f>((((VLOOKUP(B376,Database!$F:$AY,MATCH($G$1,Database!$F$1:$AY$1,),))))-(((VLOOKUP(EDATE(B376,-12),Database!$F:$AY,MATCH($G$1,Database!$F$1:$AY$1,),)))))/(((VLOOKUP(EDATE(B376,-12),Database!$F:$AY,MATCH($G$1,Database!$F$1:$AY$1,),))))</f>
        <v/>
      </c>
      <c r="H376" s="13">
        <f>((((VLOOKUP(B376,Database!$F:$AY,MATCH($H$1,Database!$F$1:$AY$1,),))))-(((VLOOKUP(EDATE(B376,-12),Database!$F:$AY,MATCH($H$1,Database!$F$1:$AY$1,),)))))/(((VLOOKUP(EDATE(B376,-12),Database!$F:$AY,MATCH($H$1,Database!$F$1:$AY$1,),))))</f>
        <v/>
      </c>
      <c r="I376" s="13">
        <f>((((VLOOKUP(B376,Database!$F:$AY,MATCH($I$1,Database!$F$1:$AY$1,),))))-(((VLOOKUP(EDATE(B376,-12),Database!$F:$AY,MATCH($I$1,Database!$F$1:$AY$1,),)))))/(((VLOOKUP(EDATE(B376,-12),Database!$F:$AY,MATCH($I$1,Database!$F$1:$AY$1,),))))</f>
        <v/>
      </c>
      <c r="J376" s="13">
        <f>((((VLOOKUP(B376,Database!$F:$AY,MATCH($J$1,Database!$F$1:$AY$1,),))))-(((VLOOKUP(EDATE(B376,-12),Database!$F:$AY,MATCH($J$1,Database!$F$1:$AY$1,),)))))/(((VLOOKUP(EDATE(B376,-12),Database!$F:$AY,MATCH($J$1,Database!$F$1:$AY$1,),))))</f>
        <v/>
      </c>
      <c r="K376" s="13">
        <f>((((VLOOKUP(B376,Database!$F:$AY,MATCH($K$1,Database!$F$1:$AY$1,),))))-(((VLOOKUP(EDATE(B376,-12),Database!$F:$AY,MATCH($K$1,Database!$F$1:$AY$1,),)))))/(((VLOOKUP(EDATE(B376,-12),Database!$F:$AY,MATCH($K$1,Database!$F$1:$AY$1,),))))</f>
        <v/>
      </c>
      <c r="L376" s="13" t="n"/>
      <c r="M376" s="13" t="n"/>
      <c r="N376" s="13" t="n"/>
      <c r="O376" s="13">
        <f>((((VLOOKUP(B376,Database!$F:$AY,MATCH($O$1,Database!$F$1:$AY$1,),))))-(((VLOOKUP(EDATE(B376,-12),Database!$F:$AY,MATCH($O$1,Database!$F$1:$AY$1,),)))))/(((VLOOKUP(EDATE(B376,-12),Database!$F:$AY,MATCH($O$1,Database!$F$1:$AY$1,),))))</f>
        <v/>
      </c>
      <c r="P376" s="13">
        <f>((((VLOOKUP(B376,Database!$F:$AY,MATCH($P$1,Database!$F$1:$AY$1,),))))-(((VLOOKUP(EDATE(B376,-12),Database!$F:$AY,MATCH($P$1,Database!$F$1:$AY$1,),)))))/(((VLOOKUP(EDATE(B376,-12),Database!$F:$AY,MATCH($P$1,Database!$F$1:$AY$1,),))))</f>
        <v/>
      </c>
      <c r="Q376" s="13">
        <f>((((VLOOKUP(B376,Database!$F:$AY,MATCH($Q$1,Database!$F$1:$AY$1,),))))-(((VLOOKUP(EDATE(B376,-12),Database!$F:$AY,MATCH($Q$1,Database!$F$1:$AY$1,),)))))/(((VLOOKUP(EDATE(B376,-12),Database!$F:$AY,MATCH($Q$1,Database!$F$1:$AY$1,),))))</f>
        <v/>
      </c>
      <c r="R376" s="13">
        <f>((((VLOOKUP(B376,Database!$F:$AY,MATCH($R$1,Database!$F$1:$AY$1,),))))-(((VLOOKUP(EDATE(B376,-12),Database!$F:$AY,MATCH($R$1,Database!$F$1:$AY$1,),)))))/(((VLOOKUP(EDATE(B376,-12),Database!$F:$AY,MATCH($R$1,Database!$F$1:$AY$1,),))))</f>
        <v/>
      </c>
      <c r="S376" s="13">
        <f>((((VLOOKUP(B376,Database!$F:$AY,MATCH($S$1,Database!$F$1:$AY$1,),))))-(((VLOOKUP(EDATE(B376,-12),Database!$F:$AY,MATCH($S$1,Database!$F$1:$AY$1,),)))))/(((VLOOKUP(EDATE(B376,-12),Database!$F:$AY,MATCH($S$1,Database!$F$1:$AY$1,),))))</f>
        <v/>
      </c>
      <c r="T376" s="13">
        <f>((((VLOOKUP(B376,Database!$F:$AY,MATCH($T$1,Database!$F$1:$AY$1,),))))-(((VLOOKUP(EDATE(B376,-12),Database!$F:$AY,MATCH($T$1,Database!$F$1:$AY$1,),)))))/(((VLOOKUP(EDATE(B376,-12),Database!$F:$AY,MATCH($T$1,Database!$F$1:$AY$1,),))))</f>
        <v/>
      </c>
      <c r="U376" s="13">
        <f>((((VLOOKUP(B376,Database!$F:$AY,MATCH($U$1,Database!$F$1:$AY$1,),))))-(((VLOOKUP(EDATE(B376,-12),Database!$F:$AY,MATCH($U$1,Database!$F$1:$AY$1,),)))))/(((VLOOKUP(EDATE(B376,-12),Database!$F:$AY,MATCH($U$1,Database!$F$1:$AY$1,),))))</f>
        <v/>
      </c>
      <c r="V376" s="13">
        <f>((((VLOOKUP(B376,Database!$F:$AY,MATCH($V$1,Database!$F$1:$AY$1,),))))-(((VLOOKUP(EDATE(B376,-12),Database!$F:$AY,MATCH($V$1,Database!$F$1:$AY$1,),)))))/(((VLOOKUP(EDATE(B376,-12),Database!$F:$AY,MATCH($V$1,Database!$F$1:$AY$1,),))))</f>
        <v/>
      </c>
    </row>
    <row r="377" customFormat="1" s="100">
      <c r="B377" s="46" t="n">
        <v>43617</v>
      </c>
      <c r="C377" s="13">
        <f>((((VLOOKUP(B377,Database!$F:$AY,MATCH($C$1,Database!$F$1:$AY$1,),))))-(((VLOOKUP(EDATE(B377,-12),Database!$F:$AY,MATCH($C$1,Database!$F$1:$AY$1,),)))))/(((VLOOKUP(EDATE(B377,-12),Database!$F:$AY,MATCH($C$1,Database!$F$1:$AY$1,),))))</f>
        <v/>
      </c>
      <c r="D377" s="13">
        <f>((((VLOOKUP(B377,Database!$F:$AY,MATCH($D$1,Database!$F$1:$AY$1,),))))-(((VLOOKUP(EDATE(B377,-12),Database!$F:$AY,MATCH($D$1,Database!$F$1:$AY$1,),)))))/(((VLOOKUP(EDATE(B377,-12),Database!$F:$AY,MATCH($D$1,Database!$F$1:$AY$1,),))))</f>
        <v/>
      </c>
      <c r="E377" s="13">
        <f>((((VLOOKUP(B377,Database!$F:$AY,MATCH($E$1,Database!$F$1:$AY$1,),))))-(((VLOOKUP(EDATE(B377,-12),Database!$F:$AY,MATCH($E$1,Database!$F$1:$AY$1,),)))))/(((VLOOKUP(EDATE(B377,-12),Database!$F:$AY,MATCH($E$1,Database!$F$1:$AY$1,),))))</f>
        <v/>
      </c>
      <c r="F377" s="13">
        <f>((((VLOOKUP(B377,Database!$F:$AY,MATCH($F$1,Database!$F$1:$AY$1,),))))-(((VLOOKUP(EDATE(B377,-12),Database!$F:$AY,MATCH($F$1,Database!$F$1:$AY$1,),)))))/(((VLOOKUP(EDATE(B377,-12),Database!$F:$AY,MATCH($F$1,Database!$F$1:$AY$1,),))))</f>
        <v/>
      </c>
      <c r="G377" s="13">
        <f>((((VLOOKUP(B377,Database!$F:$AY,MATCH($G$1,Database!$F$1:$AY$1,),))))-(((VLOOKUP(EDATE(B377,-12),Database!$F:$AY,MATCH($G$1,Database!$F$1:$AY$1,),)))))/(((VLOOKUP(EDATE(B377,-12),Database!$F:$AY,MATCH($G$1,Database!$F$1:$AY$1,),))))</f>
        <v/>
      </c>
      <c r="H377" s="13">
        <f>((((VLOOKUP(B377,Database!$F:$AY,MATCH($H$1,Database!$F$1:$AY$1,),))))-(((VLOOKUP(EDATE(B377,-12),Database!$F:$AY,MATCH($H$1,Database!$F$1:$AY$1,),)))))/(((VLOOKUP(EDATE(B377,-12),Database!$F:$AY,MATCH($H$1,Database!$F$1:$AY$1,),))))</f>
        <v/>
      </c>
      <c r="I377" s="13">
        <f>((((VLOOKUP(B377,Database!$F:$AY,MATCH($I$1,Database!$F$1:$AY$1,),))))-(((VLOOKUP(EDATE(B377,-12),Database!$F:$AY,MATCH($I$1,Database!$F$1:$AY$1,),)))))/(((VLOOKUP(EDATE(B377,-12),Database!$F:$AY,MATCH($I$1,Database!$F$1:$AY$1,),))))</f>
        <v/>
      </c>
      <c r="J377" s="13">
        <f>((((VLOOKUP(B377,Database!$F:$AY,MATCH($J$1,Database!$F$1:$AY$1,),))))-(((VLOOKUP(EDATE(B377,-12),Database!$F:$AY,MATCH($J$1,Database!$F$1:$AY$1,),)))))/(((VLOOKUP(EDATE(B377,-12),Database!$F:$AY,MATCH($J$1,Database!$F$1:$AY$1,),))))</f>
        <v/>
      </c>
      <c r="K377" s="13">
        <f>((((VLOOKUP(B377,Database!$F:$AY,MATCH($K$1,Database!$F$1:$AY$1,),))))-(((VLOOKUP(EDATE(B377,-12),Database!$F:$AY,MATCH($K$1,Database!$F$1:$AY$1,),)))))/(((VLOOKUP(EDATE(B377,-12),Database!$F:$AY,MATCH($K$1,Database!$F$1:$AY$1,),))))</f>
        <v/>
      </c>
      <c r="L377" s="13" t="n"/>
      <c r="M377" s="13" t="n"/>
      <c r="N377" s="13" t="n"/>
      <c r="O377" s="13">
        <f>((((VLOOKUP(B377,Database!$F:$AY,MATCH($O$1,Database!$F$1:$AY$1,),))))-(((VLOOKUP(EDATE(B377,-12),Database!$F:$AY,MATCH($O$1,Database!$F$1:$AY$1,),)))))/(((VLOOKUP(EDATE(B377,-12),Database!$F:$AY,MATCH($O$1,Database!$F$1:$AY$1,),))))</f>
        <v/>
      </c>
      <c r="P377" s="13">
        <f>((((VLOOKUP(B377,Database!$F:$AY,MATCH($P$1,Database!$F$1:$AY$1,),))))-(((VLOOKUP(EDATE(B377,-12),Database!$F:$AY,MATCH($P$1,Database!$F$1:$AY$1,),)))))/(((VLOOKUP(EDATE(B377,-12),Database!$F:$AY,MATCH($P$1,Database!$F$1:$AY$1,),))))</f>
        <v/>
      </c>
      <c r="Q377" s="13">
        <f>((((VLOOKUP(B377,Database!$F:$AY,MATCH($Q$1,Database!$F$1:$AY$1,),))))-(((VLOOKUP(EDATE(B377,-12),Database!$F:$AY,MATCH($Q$1,Database!$F$1:$AY$1,),)))))/(((VLOOKUP(EDATE(B377,-12),Database!$F:$AY,MATCH($Q$1,Database!$F$1:$AY$1,),))))</f>
        <v/>
      </c>
      <c r="R377" s="13">
        <f>((((VLOOKUP(B377,Database!$F:$AY,MATCH($R$1,Database!$F$1:$AY$1,),))))-(((VLOOKUP(EDATE(B377,-12),Database!$F:$AY,MATCH($R$1,Database!$F$1:$AY$1,),)))))/(((VLOOKUP(EDATE(B377,-12),Database!$F:$AY,MATCH($R$1,Database!$F$1:$AY$1,),))))</f>
        <v/>
      </c>
      <c r="S377" s="13">
        <f>((((VLOOKUP(B377,Database!$F:$AY,MATCH($S$1,Database!$F$1:$AY$1,),))))-(((VLOOKUP(EDATE(B377,-12),Database!$F:$AY,MATCH($S$1,Database!$F$1:$AY$1,),)))))/(((VLOOKUP(EDATE(B377,-12),Database!$F:$AY,MATCH($S$1,Database!$F$1:$AY$1,),))))</f>
        <v/>
      </c>
      <c r="T377" s="13">
        <f>((((VLOOKUP(B377,Database!$F:$AY,MATCH($T$1,Database!$F$1:$AY$1,),))))-(((VLOOKUP(EDATE(B377,-12),Database!$F:$AY,MATCH($T$1,Database!$F$1:$AY$1,),)))))/(((VLOOKUP(EDATE(B377,-12),Database!$F:$AY,MATCH($T$1,Database!$F$1:$AY$1,),))))</f>
        <v/>
      </c>
      <c r="U377" s="13">
        <f>((((VLOOKUP(B377,Database!$F:$AY,MATCH($U$1,Database!$F$1:$AY$1,),))))-(((VLOOKUP(EDATE(B377,-12),Database!$F:$AY,MATCH($U$1,Database!$F$1:$AY$1,),)))))/(((VLOOKUP(EDATE(B377,-12),Database!$F:$AY,MATCH($U$1,Database!$F$1:$AY$1,),))))</f>
        <v/>
      </c>
      <c r="V377" s="13">
        <f>((((VLOOKUP(B377,Database!$F:$AY,MATCH($V$1,Database!$F$1:$AY$1,),))))-(((VLOOKUP(EDATE(B377,-12),Database!$F:$AY,MATCH($V$1,Database!$F$1:$AY$1,),)))))/(((VLOOKUP(EDATE(B377,-12),Database!$F:$AY,MATCH($V$1,Database!$F$1:$AY$1,),))))</f>
        <v/>
      </c>
    </row>
    <row r="378" customFormat="1" s="100">
      <c r="B378" s="46" t="n">
        <v>43647</v>
      </c>
      <c r="C378" s="13">
        <f>((((VLOOKUP(B378,Database!$F:$AY,MATCH($C$1,Database!$F$1:$AY$1,),))))-(((VLOOKUP(EDATE(B378,-12),Database!$F:$AY,MATCH($C$1,Database!$F$1:$AY$1,),)))))/(((VLOOKUP(EDATE(B378,-12),Database!$F:$AY,MATCH($C$1,Database!$F$1:$AY$1,),))))</f>
        <v/>
      </c>
      <c r="D378" s="13">
        <f>((((VLOOKUP(B378,Database!$F:$AY,MATCH($D$1,Database!$F$1:$AY$1,),))))-(((VLOOKUP(EDATE(B378,-12),Database!$F:$AY,MATCH($D$1,Database!$F$1:$AY$1,),)))))/(((VLOOKUP(EDATE(B378,-12),Database!$F:$AY,MATCH($D$1,Database!$F$1:$AY$1,),))))</f>
        <v/>
      </c>
      <c r="E378" s="13">
        <f>((((VLOOKUP(B378,Database!$F:$AY,MATCH($E$1,Database!$F$1:$AY$1,),))))-(((VLOOKUP(EDATE(B378,-12),Database!$F:$AY,MATCH($E$1,Database!$F$1:$AY$1,),)))))/(((VLOOKUP(EDATE(B378,-12),Database!$F:$AY,MATCH($E$1,Database!$F$1:$AY$1,),))))</f>
        <v/>
      </c>
      <c r="F378" s="13">
        <f>((((VLOOKUP(B378,Database!$F:$AY,MATCH($F$1,Database!$F$1:$AY$1,),))))-(((VLOOKUP(EDATE(B378,-12),Database!$F:$AY,MATCH($F$1,Database!$F$1:$AY$1,),)))))/(((VLOOKUP(EDATE(B378,-12),Database!$F:$AY,MATCH($F$1,Database!$F$1:$AY$1,),))))</f>
        <v/>
      </c>
      <c r="G378" s="13">
        <f>((((VLOOKUP(B378,Database!$F:$AY,MATCH($G$1,Database!$F$1:$AY$1,),))))-(((VLOOKUP(EDATE(B378,-12),Database!$F:$AY,MATCH($G$1,Database!$F$1:$AY$1,),)))))/(((VLOOKUP(EDATE(B378,-12),Database!$F:$AY,MATCH($G$1,Database!$F$1:$AY$1,),))))</f>
        <v/>
      </c>
      <c r="H378" s="13">
        <f>((((VLOOKUP(B378,Database!$F:$AY,MATCH($H$1,Database!$F$1:$AY$1,),))))-(((VLOOKUP(EDATE(B378,-12),Database!$F:$AY,MATCH($H$1,Database!$F$1:$AY$1,),)))))/(((VLOOKUP(EDATE(B378,-12),Database!$F:$AY,MATCH($H$1,Database!$F$1:$AY$1,),))))</f>
        <v/>
      </c>
      <c r="I378" s="13">
        <f>((((VLOOKUP(B378,Database!$F:$AY,MATCH($I$1,Database!$F$1:$AY$1,),))))-(((VLOOKUP(EDATE(B378,-12),Database!$F:$AY,MATCH($I$1,Database!$F$1:$AY$1,),)))))/(((VLOOKUP(EDATE(B378,-12),Database!$F:$AY,MATCH($I$1,Database!$F$1:$AY$1,),))))</f>
        <v/>
      </c>
      <c r="J378" s="13">
        <f>((((VLOOKUP(B378,Database!$F:$AY,MATCH($J$1,Database!$F$1:$AY$1,),))))-(((VLOOKUP(EDATE(B378,-12),Database!$F:$AY,MATCH($J$1,Database!$F$1:$AY$1,),)))))/(((VLOOKUP(EDATE(B378,-12),Database!$F:$AY,MATCH($J$1,Database!$F$1:$AY$1,),))))</f>
        <v/>
      </c>
      <c r="K378" s="13">
        <f>((((VLOOKUP(B378,Database!$F:$AY,MATCH($K$1,Database!$F$1:$AY$1,),))))-(((VLOOKUP(EDATE(B378,-12),Database!$F:$AY,MATCH($K$1,Database!$F$1:$AY$1,),)))))/(((VLOOKUP(EDATE(B378,-12),Database!$F:$AY,MATCH($K$1,Database!$F$1:$AY$1,),))))</f>
        <v/>
      </c>
      <c r="L378" s="13" t="n"/>
      <c r="M378" s="13" t="n"/>
      <c r="N378" s="13" t="n"/>
      <c r="O378" s="13">
        <f>((((VLOOKUP(B378,Database!$F:$AY,MATCH($O$1,Database!$F$1:$AY$1,),))))-(((VLOOKUP(EDATE(B378,-12),Database!$F:$AY,MATCH($O$1,Database!$F$1:$AY$1,),)))))/(((VLOOKUP(EDATE(B378,-12),Database!$F:$AY,MATCH($O$1,Database!$F$1:$AY$1,),))))</f>
        <v/>
      </c>
      <c r="P378" s="13">
        <f>((((VLOOKUP(B378,Database!$F:$AY,MATCH($P$1,Database!$F$1:$AY$1,),))))-(((VLOOKUP(EDATE(B378,-12),Database!$F:$AY,MATCH($P$1,Database!$F$1:$AY$1,),)))))/(((VLOOKUP(EDATE(B378,-12),Database!$F:$AY,MATCH($P$1,Database!$F$1:$AY$1,),))))</f>
        <v/>
      </c>
      <c r="Q378" s="13">
        <f>((((VLOOKUP(B378,Database!$F:$AY,MATCH($Q$1,Database!$F$1:$AY$1,),))))-(((VLOOKUP(EDATE(B378,-12),Database!$F:$AY,MATCH($Q$1,Database!$F$1:$AY$1,),)))))/(((VLOOKUP(EDATE(B378,-12),Database!$F:$AY,MATCH($Q$1,Database!$F$1:$AY$1,),))))</f>
        <v/>
      </c>
      <c r="R378" s="13">
        <f>((((VLOOKUP(B378,Database!$F:$AY,MATCH($R$1,Database!$F$1:$AY$1,),))))-(((VLOOKUP(EDATE(B378,-12),Database!$F:$AY,MATCH($R$1,Database!$F$1:$AY$1,),)))))/(((VLOOKUP(EDATE(B378,-12),Database!$F:$AY,MATCH($R$1,Database!$F$1:$AY$1,),))))</f>
        <v/>
      </c>
      <c r="S378" s="13">
        <f>((((VLOOKUP(B378,Database!$F:$AY,MATCH($S$1,Database!$F$1:$AY$1,),))))-(((VLOOKUP(EDATE(B378,-12),Database!$F:$AY,MATCH($S$1,Database!$F$1:$AY$1,),)))))/(((VLOOKUP(EDATE(B378,-12),Database!$F:$AY,MATCH($S$1,Database!$F$1:$AY$1,),))))</f>
        <v/>
      </c>
      <c r="T378" s="13">
        <f>((((VLOOKUP(B378,Database!$F:$AY,MATCH($T$1,Database!$F$1:$AY$1,),))))-(((VLOOKUP(EDATE(B378,-12),Database!$F:$AY,MATCH($T$1,Database!$F$1:$AY$1,),)))))/(((VLOOKUP(EDATE(B378,-12),Database!$F:$AY,MATCH($T$1,Database!$F$1:$AY$1,),))))</f>
        <v/>
      </c>
      <c r="U378" s="13">
        <f>((((VLOOKUP(B378,Database!$F:$AY,MATCH($U$1,Database!$F$1:$AY$1,),))))-(((VLOOKUP(EDATE(B378,-12),Database!$F:$AY,MATCH($U$1,Database!$F$1:$AY$1,),)))))/(((VLOOKUP(EDATE(B378,-12),Database!$F:$AY,MATCH($U$1,Database!$F$1:$AY$1,),))))</f>
        <v/>
      </c>
      <c r="V378" s="13">
        <f>((((VLOOKUP(B378,Database!$F:$AY,MATCH($V$1,Database!$F$1:$AY$1,),))))-(((VLOOKUP(EDATE(B378,-12),Database!$F:$AY,MATCH($V$1,Database!$F$1:$AY$1,),)))))/(((VLOOKUP(EDATE(B378,-12),Database!$F:$AY,MATCH($V$1,Database!$F$1:$AY$1,),))))</f>
        <v/>
      </c>
    </row>
    <row r="379" customFormat="1" s="100">
      <c r="B379" s="46" t="n">
        <v>43678</v>
      </c>
      <c r="C379" s="13">
        <f>((((VLOOKUP(B379,Database!$F:$AY,MATCH($C$1,Database!$F$1:$AY$1,),))))-(((VLOOKUP(EDATE(B379,-12),Database!$F:$AY,MATCH($C$1,Database!$F$1:$AY$1,),)))))/(((VLOOKUP(EDATE(B379,-12),Database!$F:$AY,MATCH($C$1,Database!$F$1:$AY$1,),))))</f>
        <v/>
      </c>
      <c r="D379" s="13">
        <f>((((VLOOKUP(B379,Database!$F:$AY,MATCH($D$1,Database!$F$1:$AY$1,),))))-(((VLOOKUP(EDATE(B379,-12),Database!$F:$AY,MATCH($D$1,Database!$F$1:$AY$1,),)))))/(((VLOOKUP(EDATE(B379,-12),Database!$F:$AY,MATCH($D$1,Database!$F$1:$AY$1,),))))</f>
        <v/>
      </c>
      <c r="E379" s="13">
        <f>((((VLOOKUP(B379,Database!$F:$AY,MATCH($E$1,Database!$F$1:$AY$1,),))))-(((VLOOKUP(EDATE(B379,-12),Database!$F:$AY,MATCH($E$1,Database!$F$1:$AY$1,),)))))/(((VLOOKUP(EDATE(B379,-12),Database!$F:$AY,MATCH($E$1,Database!$F$1:$AY$1,),))))</f>
        <v/>
      </c>
      <c r="F379" s="13">
        <f>((((VLOOKUP(B379,Database!$F:$AY,MATCH($F$1,Database!$F$1:$AY$1,),))))-(((VLOOKUP(EDATE(B379,-12),Database!$F:$AY,MATCH($F$1,Database!$F$1:$AY$1,),)))))/(((VLOOKUP(EDATE(B379,-12),Database!$F:$AY,MATCH($F$1,Database!$F$1:$AY$1,),))))</f>
        <v/>
      </c>
      <c r="G379" s="13">
        <f>((((VLOOKUP(B379,Database!$F:$AY,MATCH($G$1,Database!$F$1:$AY$1,),))))-(((VLOOKUP(EDATE(B379,-12),Database!$F:$AY,MATCH($G$1,Database!$F$1:$AY$1,),)))))/(((VLOOKUP(EDATE(B379,-12),Database!$F:$AY,MATCH($G$1,Database!$F$1:$AY$1,),))))</f>
        <v/>
      </c>
      <c r="H379" s="13">
        <f>((((VLOOKUP(B379,Database!$F:$AY,MATCH($H$1,Database!$F$1:$AY$1,),))))-(((VLOOKUP(EDATE(B379,-12),Database!$F:$AY,MATCH($H$1,Database!$F$1:$AY$1,),)))))/(((VLOOKUP(EDATE(B379,-12),Database!$F:$AY,MATCH($H$1,Database!$F$1:$AY$1,),))))</f>
        <v/>
      </c>
      <c r="I379" s="13">
        <f>((((VLOOKUP(B379,Database!$F:$AY,MATCH($I$1,Database!$F$1:$AY$1,),))))-(((VLOOKUP(EDATE(B379,-12),Database!$F:$AY,MATCH($I$1,Database!$F$1:$AY$1,),)))))/(((VLOOKUP(EDATE(B379,-12),Database!$F:$AY,MATCH($I$1,Database!$F$1:$AY$1,),))))</f>
        <v/>
      </c>
      <c r="J379" s="13">
        <f>((((VLOOKUP(B379,Database!$F:$AY,MATCH($J$1,Database!$F$1:$AY$1,),))))-(((VLOOKUP(EDATE(B379,-12),Database!$F:$AY,MATCH($J$1,Database!$F$1:$AY$1,),)))))/(((VLOOKUP(EDATE(B379,-12),Database!$F:$AY,MATCH($J$1,Database!$F$1:$AY$1,),))))</f>
        <v/>
      </c>
      <c r="K379" s="13">
        <f>((((VLOOKUP(B379,Database!$F:$AY,MATCH($K$1,Database!$F$1:$AY$1,),))))-(((VLOOKUP(EDATE(B379,-12),Database!$F:$AY,MATCH($K$1,Database!$F$1:$AY$1,),)))))/(((VLOOKUP(EDATE(B379,-12),Database!$F:$AY,MATCH($K$1,Database!$F$1:$AY$1,),))))</f>
        <v/>
      </c>
      <c r="L379" s="13" t="n"/>
      <c r="M379" s="13" t="n"/>
      <c r="N379" s="13" t="n"/>
      <c r="O379" s="13">
        <f>((((VLOOKUP(B379,Database!$F:$AY,MATCH($O$1,Database!$F$1:$AY$1,),))))-(((VLOOKUP(EDATE(B379,-12),Database!$F:$AY,MATCH($O$1,Database!$F$1:$AY$1,),)))))/(((VLOOKUP(EDATE(B379,-12),Database!$F:$AY,MATCH($O$1,Database!$F$1:$AY$1,),))))</f>
        <v/>
      </c>
      <c r="P379" s="13">
        <f>((((VLOOKUP(B379,Database!$F:$AY,MATCH($P$1,Database!$F$1:$AY$1,),))))-(((VLOOKUP(EDATE(B379,-12),Database!$F:$AY,MATCH($P$1,Database!$F$1:$AY$1,),)))))/(((VLOOKUP(EDATE(B379,-12),Database!$F:$AY,MATCH($P$1,Database!$F$1:$AY$1,),))))</f>
        <v/>
      </c>
      <c r="Q379" s="13">
        <f>((((VLOOKUP(B379,Database!$F:$AY,MATCH($Q$1,Database!$F$1:$AY$1,),))))-(((VLOOKUP(EDATE(B379,-12),Database!$F:$AY,MATCH($Q$1,Database!$F$1:$AY$1,),)))))/(((VLOOKUP(EDATE(B379,-12),Database!$F:$AY,MATCH($Q$1,Database!$F$1:$AY$1,),))))</f>
        <v/>
      </c>
      <c r="R379" s="13">
        <f>((((VLOOKUP(B379,Database!$F:$AY,MATCH($R$1,Database!$F$1:$AY$1,),))))-(((VLOOKUP(EDATE(B379,-12),Database!$F:$AY,MATCH($R$1,Database!$F$1:$AY$1,),)))))/(((VLOOKUP(EDATE(B379,-12),Database!$F:$AY,MATCH($R$1,Database!$F$1:$AY$1,),))))</f>
        <v/>
      </c>
      <c r="S379" s="13">
        <f>((((VLOOKUP(B379,Database!$F:$AY,MATCH($S$1,Database!$F$1:$AY$1,),))))-(((VLOOKUP(EDATE(B379,-12),Database!$F:$AY,MATCH($S$1,Database!$F$1:$AY$1,),)))))/(((VLOOKUP(EDATE(B379,-12),Database!$F:$AY,MATCH($S$1,Database!$F$1:$AY$1,),))))</f>
        <v/>
      </c>
      <c r="T379" s="13">
        <f>((((VLOOKUP(B379,Database!$F:$AY,MATCH($T$1,Database!$F$1:$AY$1,),))))-(((VLOOKUP(EDATE(B379,-12),Database!$F:$AY,MATCH($T$1,Database!$F$1:$AY$1,),)))))/(((VLOOKUP(EDATE(B379,-12),Database!$F:$AY,MATCH($T$1,Database!$F$1:$AY$1,),))))</f>
        <v/>
      </c>
      <c r="U379" s="13">
        <f>((((VLOOKUP(B379,Database!$F:$AY,MATCH($U$1,Database!$F$1:$AY$1,),))))-(((VLOOKUP(EDATE(B379,-12),Database!$F:$AY,MATCH($U$1,Database!$F$1:$AY$1,),)))))/(((VLOOKUP(EDATE(B379,-12),Database!$F:$AY,MATCH($U$1,Database!$F$1:$AY$1,),))))</f>
        <v/>
      </c>
      <c r="V379" s="13">
        <f>((((VLOOKUP(B379,Database!$F:$AY,MATCH($V$1,Database!$F$1:$AY$1,),))))-(((VLOOKUP(EDATE(B379,-12),Database!$F:$AY,MATCH($V$1,Database!$F$1:$AY$1,),)))))/(((VLOOKUP(EDATE(B379,-12),Database!$F:$AY,MATCH($V$1,Database!$F$1:$AY$1,),))))</f>
        <v/>
      </c>
    </row>
    <row r="380" customFormat="1" s="100">
      <c r="B380" s="46" t="n">
        <v>43709</v>
      </c>
      <c r="C380" s="13">
        <f>((((VLOOKUP(B380,Database!$F:$AY,MATCH($C$1,Database!$F$1:$AY$1,),))))-(((VLOOKUP(EDATE(B380,-12),Database!$F:$AY,MATCH($C$1,Database!$F$1:$AY$1,),)))))/(((VLOOKUP(EDATE(B380,-12),Database!$F:$AY,MATCH($C$1,Database!$F$1:$AY$1,),))))</f>
        <v/>
      </c>
      <c r="D380" s="13">
        <f>((((VLOOKUP(B380,Database!$F:$AY,MATCH($D$1,Database!$F$1:$AY$1,),))))-(((VLOOKUP(EDATE(B380,-12),Database!$F:$AY,MATCH($D$1,Database!$F$1:$AY$1,),)))))/(((VLOOKUP(EDATE(B380,-12),Database!$F:$AY,MATCH($D$1,Database!$F$1:$AY$1,),))))</f>
        <v/>
      </c>
      <c r="E380" s="13">
        <f>((((VLOOKUP(B380,Database!$F:$AY,MATCH($E$1,Database!$F$1:$AY$1,),))))-(((VLOOKUP(EDATE(B380,-12),Database!$F:$AY,MATCH($E$1,Database!$F$1:$AY$1,),)))))/(((VLOOKUP(EDATE(B380,-12),Database!$F:$AY,MATCH($E$1,Database!$F$1:$AY$1,),))))</f>
        <v/>
      </c>
      <c r="F380" s="13">
        <f>((((VLOOKUP(B380,Database!$F:$AY,MATCH($F$1,Database!$F$1:$AY$1,),))))-(((VLOOKUP(EDATE(B380,-12),Database!$F:$AY,MATCH($F$1,Database!$F$1:$AY$1,),)))))/(((VLOOKUP(EDATE(B380,-12),Database!$F:$AY,MATCH($F$1,Database!$F$1:$AY$1,),))))</f>
        <v/>
      </c>
      <c r="G380" s="13">
        <f>((((VLOOKUP(B380,Database!$F:$AY,MATCH($G$1,Database!$F$1:$AY$1,),))))-(((VLOOKUP(EDATE(B380,-12),Database!$F:$AY,MATCH($G$1,Database!$F$1:$AY$1,),)))))/(((VLOOKUP(EDATE(B380,-12),Database!$F:$AY,MATCH($G$1,Database!$F$1:$AY$1,),))))</f>
        <v/>
      </c>
      <c r="H380" s="13">
        <f>((((VLOOKUP(B380,Database!$F:$AY,MATCH($H$1,Database!$F$1:$AY$1,),))))-(((VLOOKUP(EDATE(B380,-12),Database!$F:$AY,MATCH($H$1,Database!$F$1:$AY$1,),)))))/(((VLOOKUP(EDATE(B380,-12),Database!$F:$AY,MATCH($H$1,Database!$F$1:$AY$1,),))))</f>
        <v/>
      </c>
      <c r="I380" s="13">
        <f>((((VLOOKUP(B380,Database!$F:$AY,MATCH($I$1,Database!$F$1:$AY$1,),))))-(((VLOOKUP(EDATE(B380,-12),Database!$F:$AY,MATCH($I$1,Database!$F$1:$AY$1,),)))))/(((VLOOKUP(EDATE(B380,-12),Database!$F:$AY,MATCH($I$1,Database!$F$1:$AY$1,),))))</f>
        <v/>
      </c>
      <c r="J380" s="13">
        <f>((((VLOOKUP(B380,Database!$F:$AY,MATCH($J$1,Database!$F$1:$AY$1,),))))-(((VLOOKUP(EDATE(B380,-12),Database!$F:$AY,MATCH($J$1,Database!$F$1:$AY$1,),)))))/(((VLOOKUP(EDATE(B380,-12),Database!$F:$AY,MATCH($J$1,Database!$F$1:$AY$1,),))))</f>
        <v/>
      </c>
      <c r="K380" s="13">
        <f>((((VLOOKUP(B380,Database!$F:$AY,MATCH($K$1,Database!$F$1:$AY$1,),))))-(((VLOOKUP(EDATE(B380,-12),Database!$F:$AY,MATCH($K$1,Database!$F$1:$AY$1,),)))))/(((VLOOKUP(EDATE(B380,-12),Database!$F:$AY,MATCH($K$1,Database!$F$1:$AY$1,),))))</f>
        <v/>
      </c>
      <c r="L380" s="13" t="n"/>
      <c r="M380" s="13" t="n"/>
      <c r="N380" s="13" t="n"/>
      <c r="O380" s="13">
        <f>((((VLOOKUP(B380,Database!$F:$AY,MATCH($O$1,Database!$F$1:$AY$1,),))))-(((VLOOKUP(EDATE(B380,-12),Database!$F:$AY,MATCH($O$1,Database!$F$1:$AY$1,),)))))/(((VLOOKUP(EDATE(B380,-12),Database!$F:$AY,MATCH($O$1,Database!$F$1:$AY$1,),))))</f>
        <v/>
      </c>
      <c r="P380" s="13">
        <f>((((VLOOKUP(B380,Database!$F:$AY,MATCH($P$1,Database!$F$1:$AY$1,),))))-(((VLOOKUP(EDATE(B380,-12),Database!$F:$AY,MATCH($P$1,Database!$F$1:$AY$1,),)))))/(((VLOOKUP(EDATE(B380,-12),Database!$F:$AY,MATCH($P$1,Database!$F$1:$AY$1,),))))</f>
        <v/>
      </c>
      <c r="Q380" s="13">
        <f>((((VLOOKUP(B380,Database!$F:$AY,MATCH($Q$1,Database!$F$1:$AY$1,),))))-(((VLOOKUP(EDATE(B380,-12),Database!$F:$AY,MATCH($Q$1,Database!$F$1:$AY$1,),)))))/(((VLOOKUP(EDATE(B380,-12),Database!$F:$AY,MATCH($Q$1,Database!$F$1:$AY$1,),))))</f>
        <v/>
      </c>
      <c r="R380" s="13">
        <f>((((VLOOKUP(B380,Database!$F:$AY,MATCH($R$1,Database!$F$1:$AY$1,),))))-(((VLOOKUP(EDATE(B380,-12),Database!$F:$AY,MATCH($R$1,Database!$F$1:$AY$1,),)))))/(((VLOOKUP(EDATE(B380,-12),Database!$F:$AY,MATCH($R$1,Database!$F$1:$AY$1,),))))</f>
        <v/>
      </c>
      <c r="S380" s="13">
        <f>((((VLOOKUP(B380,Database!$F:$AY,MATCH($S$1,Database!$F$1:$AY$1,),))))-(((VLOOKUP(EDATE(B380,-12),Database!$F:$AY,MATCH($S$1,Database!$F$1:$AY$1,),)))))/(((VLOOKUP(EDATE(B380,-12),Database!$F:$AY,MATCH($S$1,Database!$F$1:$AY$1,),))))</f>
        <v/>
      </c>
      <c r="T380" s="13">
        <f>((((VLOOKUP(B380,Database!$F:$AY,MATCH($T$1,Database!$F$1:$AY$1,),))))-(((VLOOKUP(EDATE(B380,-12),Database!$F:$AY,MATCH($T$1,Database!$F$1:$AY$1,),)))))/(((VLOOKUP(EDATE(B380,-12),Database!$F:$AY,MATCH($T$1,Database!$F$1:$AY$1,),))))</f>
        <v/>
      </c>
      <c r="U380" s="13">
        <f>((((VLOOKUP(B380,Database!$F:$AY,MATCH($U$1,Database!$F$1:$AY$1,),))))-(((VLOOKUP(EDATE(B380,-12),Database!$F:$AY,MATCH($U$1,Database!$F$1:$AY$1,),)))))/(((VLOOKUP(EDATE(B380,-12),Database!$F:$AY,MATCH($U$1,Database!$F$1:$AY$1,),))))</f>
        <v/>
      </c>
      <c r="V380" s="13">
        <f>((((VLOOKUP(B380,Database!$F:$AY,MATCH($V$1,Database!$F$1:$AY$1,),))))-(((VLOOKUP(EDATE(B380,-12),Database!$F:$AY,MATCH($V$1,Database!$F$1:$AY$1,),)))))/(((VLOOKUP(EDATE(B380,-12),Database!$F:$AY,MATCH($V$1,Database!$F$1:$AY$1,),))))</f>
        <v/>
      </c>
    </row>
    <row r="381" customFormat="1" s="100">
      <c r="B381" s="46" t="n">
        <v>43739</v>
      </c>
      <c r="C381" s="13">
        <f>((((VLOOKUP(B381,Database!$F:$AY,MATCH($C$1,Database!$F$1:$AY$1,),))))-(((VLOOKUP(EDATE(B381,-12),Database!$F:$AY,MATCH($C$1,Database!$F$1:$AY$1,),)))))/(((VLOOKUP(EDATE(B381,-12),Database!$F:$AY,MATCH($C$1,Database!$F$1:$AY$1,),))))</f>
        <v/>
      </c>
      <c r="D381" s="13">
        <f>((((VLOOKUP(B381,Database!$F:$AY,MATCH($D$1,Database!$F$1:$AY$1,),))))-(((VLOOKUP(EDATE(B381,-12),Database!$F:$AY,MATCH($D$1,Database!$F$1:$AY$1,),)))))/(((VLOOKUP(EDATE(B381,-12),Database!$F:$AY,MATCH($D$1,Database!$F$1:$AY$1,),))))</f>
        <v/>
      </c>
      <c r="E381" s="13">
        <f>((((VLOOKUP(B381,Database!$F:$AY,MATCH($E$1,Database!$F$1:$AY$1,),))))-(((VLOOKUP(EDATE(B381,-12),Database!$F:$AY,MATCH($E$1,Database!$F$1:$AY$1,),)))))/(((VLOOKUP(EDATE(B381,-12),Database!$F:$AY,MATCH($E$1,Database!$F$1:$AY$1,),))))</f>
        <v/>
      </c>
      <c r="F381" s="13">
        <f>((((VLOOKUP(B381,Database!$F:$AY,MATCH($F$1,Database!$F$1:$AY$1,),))))-(((VLOOKUP(EDATE(B381,-12),Database!$F:$AY,MATCH($F$1,Database!$F$1:$AY$1,),)))))/(((VLOOKUP(EDATE(B381,-12),Database!$F:$AY,MATCH($F$1,Database!$F$1:$AY$1,),))))</f>
        <v/>
      </c>
      <c r="G381" s="13">
        <f>((((VLOOKUP(B381,Database!$F:$AY,MATCH($G$1,Database!$F$1:$AY$1,),))))-(((VLOOKUP(EDATE(B381,-12),Database!$F:$AY,MATCH($G$1,Database!$F$1:$AY$1,),)))))/(((VLOOKUP(EDATE(B381,-12),Database!$F:$AY,MATCH($G$1,Database!$F$1:$AY$1,),))))</f>
        <v/>
      </c>
      <c r="H381" s="13">
        <f>((((VLOOKUP(B381,Database!$F:$AY,MATCH($H$1,Database!$F$1:$AY$1,),))))-(((VLOOKUP(EDATE(B381,-12),Database!$F:$AY,MATCH($H$1,Database!$F$1:$AY$1,),)))))/(((VLOOKUP(EDATE(B381,-12),Database!$F:$AY,MATCH($H$1,Database!$F$1:$AY$1,),))))</f>
        <v/>
      </c>
      <c r="I381" s="13">
        <f>((((VLOOKUP(B381,Database!$F:$AY,MATCH($I$1,Database!$F$1:$AY$1,),))))-(((VLOOKUP(EDATE(B381,-12),Database!$F:$AY,MATCH($I$1,Database!$F$1:$AY$1,),)))))/(((VLOOKUP(EDATE(B381,-12),Database!$F:$AY,MATCH($I$1,Database!$F$1:$AY$1,),))))</f>
        <v/>
      </c>
      <c r="J381" s="13">
        <f>((((VLOOKUP(B381,Database!$F:$AY,MATCH($J$1,Database!$F$1:$AY$1,),))))-(((VLOOKUP(EDATE(B381,-12),Database!$F:$AY,MATCH($J$1,Database!$F$1:$AY$1,),)))))/(((VLOOKUP(EDATE(B381,-12),Database!$F:$AY,MATCH($J$1,Database!$F$1:$AY$1,),))))</f>
        <v/>
      </c>
      <c r="K381" s="13">
        <f>((((VLOOKUP(B381,Database!$F:$AY,MATCH($K$1,Database!$F$1:$AY$1,),))))-(((VLOOKUP(EDATE(B381,-12),Database!$F:$AY,MATCH($K$1,Database!$F$1:$AY$1,),)))))/(((VLOOKUP(EDATE(B381,-12),Database!$F:$AY,MATCH($K$1,Database!$F$1:$AY$1,),))))</f>
        <v/>
      </c>
      <c r="L381" s="13" t="n"/>
      <c r="M381" s="13" t="n"/>
      <c r="N381" s="13" t="n"/>
      <c r="O381" s="13">
        <f>((((VLOOKUP(B381,Database!$F:$AY,MATCH($O$1,Database!$F$1:$AY$1,),))))-(((VLOOKUP(EDATE(B381,-12),Database!$F:$AY,MATCH($O$1,Database!$F$1:$AY$1,),)))))/(((VLOOKUP(EDATE(B381,-12),Database!$F:$AY,MATCH($O$1,Database!$F$1:$AY$1,),))))</f>
        <v/>
      </c>
      <c r="P381" s="13">
        <f>((((VLOOKUP(B381,Database!$F:$AY,MATCH($P$1,Database!$F$1:$AY$1,),))))-(((VLOOKUP(EDATE(B381,-12),Database!$F:$AY,MATCH($P$1,Database!$F$1:$AY$1,),)))))/(((VLOOKUP(EDATE(B381,-12),Database!$F:$AY,MATCH($P$1,Database!$F$1:$AY$1,),))))</f>
        <v/>
      </c>
      <c r="Q381" s="13">
        <f>((((VLOOKUP(B381,Database!$F:$AY,MATCH($Q$1,Database!$F$1:$AY$1,),))))-(((VLOOKUP(EDATE(B381,-12),Database!$F:$AY,MATCH($Q$1,Database!$F$1:$AY$1,),)))))/(((VLOOKUP(EDATE(B381,-12),Database!$F:$AY,MATCH($Q$1,Database!$F$1:$AY$1,),))))</f>
        <v/>
      </c>
      <c r="R381" s="13">
        <f>((((VLOOKUP(B381,Database!$F:$AY,MATCH($R$1,Database!$F$1:$AY$1,),))))-(((VLOOKUP(EDATE(B381,-12),Database!$F:$AY,MATCH($R$1,Database!$F$1:$AY$1,),)))))/(((VLOOKUP(EDATE(B381,-12),Database!$F:$AY,MATCH($R$1,Database!$F$1:$AY$1,),))))</f>
        <v/>
      </c>
      <c r="S381" s="13">
        <f>((((VLOOKUP(B381,Database!$F:$AY,MATCH($S$1,Database!$F$1:$AY$1,),))))-(((VLOOKUP(EDATE(B381,-12),Database!$F:$AY,MATCH($S$1,Database!$F$1:$AY$1,),)))))/(((VLOOKUP(EDATE(B381,-12),Database!$F:$AY,MATCH($S$1,Database!$F$1:$AY$1,),))))</f>
        <v/>
      </c>
      <c r="T381" s="13">
        <f>((((VLOOKUP(B381,Database!$F:$AY,MATCH($T$1,Database!$F$1:$AY$1,),))))-(((VLOOKUP(EDATE(B381,-12),Database!$F:$AY,MATCH($T$1,Database!$F$1:$AY$1,),)))))/(((VLOOKUP(EDATE(B381,-12),Database!$F:$AY,MATCH($T$1,Database!$F$1:$AY$1,),))))</f>
        <v/>
      </c>
      <c r="U381" s="13">
        <f>((((VLOOKUP(B381,Database!$F:$AY,MATCH($U$1,Database!$F$1:$AY$1,),))))-(((VLOOKUP(EDATE(B381,-12),Database!$F:$AY,MATCH($U$1,Database!$F$1:$AY$1,),)))))/(((VLOOKUP(EDATE(B381,-12),Database!$F:$AY,MATCH($U$1,Database!$F$1:$AY$1,),))))</f>
        <v/>
      </c>
      <c r="V381" s="13">
        <f>((((VLOOKUP(B381,Database!$F:$AY,MATCH($V$1,Database!$F$1:$AY$1,),))))-(((VLOOKUP(EDATE(B381,-12),Database!$F:$AY,MATCH($V$1,Database!$F$1:$AY$1,),)))))/(((VLOOKUP(EDATE(B381,-12),Database!$F:$AY,MATCH($V$1,Database!$F$1:$AY$1,),))))</f>
        <v/>
      </c>
    </row>
    <row r="382" customFormat="1" s="100">
      <c r="B382" s="46" t="n">
        <v>43770</v>
      </c>
      <c r="C382" s="13">
        <f>((((VLOOKUP(B382,Database!$F:$AY,MATCH($C$1,Database!$F$1:$AY$1,),))))-(((VLOOKUP(EDATE(B382,-12),Database!$F:$AY,MATCH($C$1,Database!$F$1:$AY$1,),)))))/(((VLOOKUP(EDATE(B382,-12),Database!$F:$AY,MATCH($C$1,Database!$F$1:$AY$1,),))))</f>
        <v/>
      </c>
      <c r="D382" s="13">
        <f>((((VLOOKUP(B382,Database!$F:$AY,MATCH($D$1,Database!$F$1:$AY$1,),))))-(((VLOOKUP(EDATE(B382,-12),Database!$F:$AY,MATCH($D$1,Database!$F$1:$AY$1,),)))))/(((VLOOKUP(EDATE(B382,-12),Database!$F:$AY,MATCH($D$1,Database!$F$1:$AY$1,),))))</f>
        <v/>
      </c>
      <c r="E382" s="13">
        <f>((((VLOOKUP(B382,Database!$F:$AY,MATCH($E$1,Database!$F$1:$AY$1,),))))-(((VLOOKUP(EDATE(B382,-12),Database!$F:$AY,MATCH($E$1,Database!$F$1:$AY$1,),)))))/(((VLOOKUP(EDATE(B382,-12),Database!$F:$AY,MATCH($E$1,Database!$F$1:$AY$1,),))))</f>
        <v/>
      </c>
      <c r="F382" s="13">
        <f>((((VLOOKUP(B382,Database!$F:$AY,MATCH($F$1,Database!$F$1:$AY$1,),))))-(((VLOOKUP(EDATE(B382,-12),Database!$F:$AY,MATCH($F$1,Database!$F$1:$AY$1,),)))))/(((VLOOKUP(EDATE(B382,-12),Database!$F:$AY,MATCH($F$1,Database!$F$1:$AY$1,),))))</f>
        <v/>
      </c>
      <c r="G382" s="13">
        <f>((((VLOOKUP(B382,Database!$F:$AY,MATCH($G$1,Database!$F$1:$AY$1,),))))-(((VLOOKUP(EDATE(B382,-12),Database!$F:$AY,MATCH($G$1,Database!$F$1:$AY$1,),)))))/(((VLOOKUP(EDATE(B382,-12),Database!$F:$AY,MATCH($G$1,Database!$F$1:$AY$1,),))))</f>
        <v/>
      </c>
      <c r="H382" s="13">
        <f>((((VLOOKUP(B382,Database!$F:$AY,MATCH($H$1,Database!$F$1:$AY$1,),))))-(((VLOOKUP(EDATE(B382,-12),Database!$F:$AY,MATCH($H$1,Database!$F$1:$AY$1,),)))))/(((VLOOKUP(EDATE(B382,-12),Database!$F:$AY,MATCH($H$1,Database!$F$1:$AY$1,),))))</f>
        <v/>
      </c>
      <c r="I382" s="13">
        <f>((((VLOOKUP(B382,Database!$F:$AY,MATCH($I$1,Database!$F$1:$AY$1,),))))-(((VLOOKUP(EDATE(B382,-12),Database!$F:$AY,MATCH($I$1,Database!$F$1:$AY$1,),)))))/(((VLOOKUP(EDATE(B382,-12),Database!$F:$AY,MATCH($I$1,Database!$F$1:$AY$1,),))))</f>
        <v/>
      </c>
      <c r="J382" s="13">
        <f>((((VLOOKUP(B382,Database!$F:$AY,MATCH($J$1,Database!$F$1:$AY$1,),))))-(((VLOOKUP(EDATE(B382,-12),Database!$F:$AY,MATCH($J$1,Database!$F$1:$AY$1,),)))))/(((VLOOKUP(EDATE(B382,-12),Database!$F:$AY,MATCH($J$1,Database!$F$1:$AY$1,),))))</f>
        <v/>
      </c>
      <c r="K382" s="13">
        <f>((((VLOOKUP(B382,Database!$F:$AY,MATCH($K$1,Database!$F$1:$AY$1,),))))-(((VLOOKUP(EDATE(B382,-12),Database!$F:$AY,MATCH($K$1,Database!$F$1:$AY$1,),)))))/(((VLOOKUP(EDATE(B382,-12),Database!$F:$AY,MATCH($K$1,Database!$F$1:$AY$1,),))))</f>
        <v/>
      </c>
      <c r="L382" s="13" t="n"/>
      <c r="M382" s="13" t="n"/>
      <c r="N382" s="13" t="n"/>
      <c r="O382" s="13">
        <f>((((VLOOKUP(B382,Database!$F:$AY,MATCH($O$1,Database!$F$1:$AY$1,),))))-(((VLOOKUP(EDATE(B382,-12),Database!$F:$AY,MATCH($O$1,Database!$F$1:$AY$1,),)))))/(((VLOOKUP(EDATE(B382,-12),Database!$F:$AY,MATCH($O$1,Database!$F$1:$AY$1,),))))</f>
        <v/>
      </c>
      <c r="P382" s="13">
        <f>((((VLOOKUP(B382,Database!$F:$AY,MATCH($P$1,Database!$F$1:$AY$1,),))))-(((VLOOKUP(EDATE(B382,-12),Database!$F:$AY,MATCH($P$1,Database!$F$1:$AY$1,),)))))/(((VLOOKUP(EDATE(B382,-12),Database!$F:$AY,MATCH($P$1,Database!$F$1:$AY$1,),))))</f>
        <v/>
      </c>
      <c r="Q382" s="13">
        <f>((((VLOOKUP(B382,Database!$F:$AY,MATCH($Q$1,Database!$F$1:$AY$1,),))))-(((VLOOKUP(EDATE(B382,-12),Database!$F:$AY,MATCH($Q$1,Database!$F$1:$AY$1,),)))))/(((VLOOKUP(EDATE(B382,-12),Database!$F:$AY,MATCH($Q$1,Database!$F$1:$AY$1,),))))</f>
        <v/>
      </c>
      <c r="R382" s="13">
        <f>((((VLOOKUP(B382,Database!$F:$AY,MATCH($R$1,Database!$F$1:$AY$1,),))))-(((VLOOKUP(EDATE(B382,-12),Database!$F:$AY,MATCH($R$1,Database!$F$1:$AY$1,),)))))/(((VLOOKUP(EDATE(B382,-12),Database!$F:$AY,MATCH($R$1,Database!$F$1:$AY$1,),))))</f>
        <v/>
      </c>
      <c r="S382" s="13">
        <f>((((VLOOKUP(B382,Database!$F:$AY,MATCH($S$1,Database!$F$1:$AY$1,),))))-(((VLOOKUP(EDATE(B382,-12),Database!$F:$AY,MATCH($S$1,Database!$F$1:$AY$1,),)))))/(((VLOOKUP(EDATE(B382,-12),Database!$F:$AY,MATCH($S$1,Database!$F$1:$AY$1,),))))</f>
        <v/>
      </c>
      <c r="T382" s="13">
        <f>((((VLOOKUP(B382,Database!$F:$AY,MATCH($T$1,Database!$F$1:$AY$1,),))))-(((VLOOKUP(EDATE(B382,-12),Database!$F:$AY,MATCH($T$1,Database!$F$1:$AY$1,),)))))/(((VLOOKUP(EDATE(B382,-12),Database!$F:$AY,MATCH($T$1,Database!$F$1:$AY$1,),))))</f>
        <v/>
      </c>
      <c r="U382" s="13">
        <f>((((VLOOKUP(B382,Database!$F:$AY,MATCH($U$1,Database!$F$1:$AY$1,),))))-(((VLOOKUP(EDATE(B382,-12),Database!$F:$AY,MATCH($U$1,Database!$F$1:$AY$1,),)))))/(((VLOOKUP(EDATE(B382,-12),Database!$F:$AY,MATCH($U$1,Database!$F$1:$AY$1,),))))</f>
        <v/>
      </c>
      <c r="V382" s="13">
        <f>((((VLOOKUP(B382,Database!$F:$AY,MATCH($V$1,Database!$F$1:$AY$1,),))))-(((VLOOKUP(EDATE(B382,-12),Database!$F:$AY,MATCH($V$1,Database!$F$1:$AY$1,),)))))/(((VLOOKUP(EDATE(B382,-12),Database!$F:$AY,MATCH($V$1,Database!$F$1:$AY$1,),))))</f>
        <v/>
      </c>
    </row>
    <row r="383" customFormat="1" s="100">
      <c r="B383" s="46" t="n">
        <v>43800</v>
      </c>
      <c r="C383" s="13">
        <f>((((VLOOKUP(B383,Database!$F:$AY,MATCH($C$1,Database!$F$1:$AY$1,),))))-(((VLOOKUP(EDATE(B383,-12),Database!$F:$AY,MATCH($C$1,Database!$F$1:$AY$1,),)))))/(((VLOOKUP(EDATE(B383,-12),Database!$F:$AY,MATCH($C$1,Database!$F$1:$AY$1,),))))</f>
        <v/>
      </c>
      <c r="D383" s="13">
        <f>((((VLOOKUP(B383,Database!$F:$AY,MATCH($D$1,Database!$F$1:$AY$1,),))))-(((VLOOKUP(EDATE(B383,-12),Database!$F:$AY,MATCH($D$1,Database!$F$1:$AY$1,),)))))/(((VLOOKUP(EDATE(B383,-12),Database!$F:$AY,MATCH($D$1,Database!$F$1:$AY$1,),))))</f>
        <v/>
      </c>
      <c r="E383" s="13">
        <f>((((VLOOKUP(B383,Database!$F:$AY,MATCH($E$1,Database!$F$1:$AY$1,),))))-(((VLOOKUP(EDATE(B383,-12),Database!$F:$AY,MATCH($E$1,Database!$F$1:$AY$1,),)))))/(((VLOOKUP(EDATE(B383,-12),Database!$F:$AY,MATCH($E$1,Database!$F$1:$AY$1,),))))</f>
        <v/>
      </c>
      <c r="F383" s="13">
        <f>((((VLOOKUP(B383,Database!$F:$AY,MATCH($F$1,Database!$F$1:$AY$1,),))))-(((VLOOKUP(EDATE(B383,-12),Database!$F:$AY,MATCH($F$1,Database!$F$1:$AY$1,),)))))/(((VLOOKUP(EDATE(B383,-12),Database!$F:$AY,MATCH($F$1,Database!$F$1:$AY$1,),))))</f>
        <v/>
      </c>
      <c r="G383" s="13">
        <f>((((VLOOKUP(B383,Database!$F:$AY,MATCH($G$1,Database!$F$1:$AY$1,),))))-(((VLOOKUP(EDATE(B383,-12),Database!$F:$AY,MATCH($G$1,Database!$F$1:$AY$1,),)))))/(((VLOOKUP(EDATE(B383,-12),Database!$F:$AY,MATCH($G$1,Database!$F$1:$AY$1,),))))</f>
        <v/>
      </c>
      <c r="H383" s="13">
        <f>((((VLOOKUP(B383,Database!$F:$AY,MATCH($H$1,Database!$F$1:$AY$1,),))))-(((VLOOKUP(EDATE(B383,-12),Database!$F:$AY,MATCH($H$1,Database!$F$1:$AY$1,),)))))/(((VLOOKUP(EDATE(B383,-12),Database!$F:$AY,MATCH($H$1,Database!$F$1:$AY$1,),))))</f>
        <v/>
      </c>
      <c r="I383" s="13">
        <f>((((VLOOKUP(B383,Database!$F:$AY,MATCH($I$1,Database!$F$1:$AY$1,),))))-(((VLOOKUP(EDATE(B383,-12),Database!$F:$AY,MATCH($I$1,Database!$F$1:$AY$1,),)))))/(((VLOOKUP(EDATE(B383,-12),Database!$F:$AY,MATCH($I$1,Database!$F$1:$AY$1,),))))</f>
        <v/>
      </c>
      <c r="J383" s="13">
        <f>((((VLOOKUP(B383,Database!$F:$AY,MATCH($J$1,Database!$F$1:$AY$1,),))))-(((VLOOKUP(EDATE(B383,-12),Database!$F:$AY,MATCH($J$1,Database!$F$1:$AY$1,),)))))/(((VLOOKUP(EDATE(B383,-12),Database!$F:$AY,MATCH($J$1,Database!$F$1:$AY$1,),))))</f>
        <v/>
      </c>
      <c r="K383" s="13">
        <f>((((VLOOKUP(B383,Database!$F:$AY,MATCH($K$1,Database!$F$1:$AY$1,),))))-(((VLOOKUP(EDATE(B383,-12),Database!$F:$AY,MATCH($K$1,Database!$F$1:$AY$1,),)))))/(((VLOOKUP(EDATE(B383,-12),Database!$F:$AY,MATCH($K$1,Database!$F$1:$AY$1,),))))</f>
        <v/>
      </c>
      <c r="L383" s="13" t="n"/>
      <c r="M383" s="13" t="n"/>
      <c r="N383" s="13" t="n"/>
      <c r="O383" s="13">
        <f>((((VLOOKUP(B383,Database!$F:$AY,MATCH($O$1,Database!$F$1:$AY$1,),))))-(((VLOOKUP(EDATE(B383,-12),Database!$F:$AY,MATCH($O$1,Database!$F$1:$AY$1,),)))))/(((VLOOKUP(EDATE(B383,-12),Database!$F:$AY,MATCH($O$1,Database!$F$1:$AY$1,),))))</f>
        <v/>
      </c>
      <c r="P383" s="13">
        <f>((((VLOOKUP(B383,Database!$F:$AY,MATCH($P$1,Database!$F$1:$AY$1,),))))-(((VLOOKUP(EDATE(B383,-12),Database!$F:$AY,MATCH($P$1,Database!$F$1:$AY$1,),)))))/(((VLOOKUP(EDATE(B383,-12),Database!$F:$AY,MATCH($P$1,Database!$F$1:$AY$1,),))))</f>
        <v/>
      </c>
      <c r="Q383" s="13">
        <f>((((VLOOKUP(B383,Database!$F:$AY,MATCH($Q$1,Database!$F$1:$AY$1,),))))-(((VLOOKUP(EDATE(B383,-12),Database!$F:$AY,MATCH($Q$1,Database!$F$1:$AY$1,),)))))/(((VLOOKUP(EDATE(B383,-12),Database!$F:$AY,MATCH($Q$1,Database!$F$1:$AY$1,),))))</f>
        <v/>
      </c>
      <c r="R383" s="13">
        <f>((((VLOOKUP(B383,Database!$F:$AY,MATCH($R$1,Database!$F$1:$AY$1,),))))-(((VLOOKUP(EDATE(B383,-12),Database!$F:$AY,MATCH($R$1,Database!$F$1:$AY$1,),)))))/(((VLOOKUP(EDATE(B383,-12),Database!$F:$AY,MATCH($R$1,Database!$F$1:$AY$1,),))))</f>
        <v/>
      </c>
      <c r="S383" s="13">
        <f>((((VLOOKUP(B383,Database!$F:$AY,MATCH($S$1,Database!$F$1:$AY$1,),))))-(((VLOOKUP(EDATE(B383,-12),Database!$F:$AY,MATCH($S$1,Database!$F$1:$AY$1,),)))))/(((VLOOKUP(EDATE(B383,-12),Database!$F:$AY,MATCH($S$1,Database!$F$1:$AY$1,),))))</f>
        <v/>
      </c>
      <c r="T383" s="13">
        <f>((((VLOOKUP(B383,Database!$F:$AY,MATCH($T$1,Database!$F$1:$AY$1,),))))-(((VLOOKUP(EDATE(B383,-12),Database!$F:$AY,MATCH($T$1,Database!$F$1:$AY$1,),)))))/(((VLOOKUP(EDATE(B383,-12),Database!$F:$AY,MATCH($T$1,Database!$F$1:$AY$1,),))))</f>
        <v/>
      </c>
      <c r="U383" s="13">
        <f>((((VLOOKUP(B383,Database!$F:$AY,MATCH($U$1,Database!$F$1:$AY$1,),))))-(((VLOOKUP(EDATE(B383,-12),Database!$F:$AY,MATCH($U$1,Database!$F$1:$AY$1,),)))))/(((VLOOKUP(EDATE(B383,-12),Database!$F:$AY,MATCH($U$1,Database!$F$1:$AY$1,),))))</f>
        <v/>
      </c>
      <c r="V383" s="13">
        <f>((((VLOOKUP(B383,Database!$F:$AY,MATCH($V$1,Database!$F$1:$AY$1,),))))-(((VLOOKUP(EDATE(B383,-12),Database!$F:$AY,MATCH($V$1,Database!$F$1:$AY$1,),)))))/(((VLOOKUP(EDATE(B383,-12),Database!$F:$AY,MATCH($V$1,Database!$F$1:$AY$1,),))))</f>
        <v/>
      </c>
    </row>
    <row r="384" customFormat="1" s="100">
      <c r="B384" s="46" t="n">
        <v>43831</v>
      </c>
      <c r="C384" s="13">
        <f>((((VLOOKUP(B384,Database!$F:$AY,MATCH($C$1,Database!$F$1:$AY$1,),))))-(((VLOOKUP(EDATE(B384,-12),Database!$F:$AY,MATCH($C$1,Database!$F$1:$AY$1,),)))))/(((VLOOKUP(EDATE(B384,-12),Database!$F:$AY,MATCH($C$1,Database!$F$1:$AY$1,),))))</f>
        <v/>
      </c>
      <c r="D384" s="13">
        <f>((((VLOOKUP(B384,Database!$F:$AY,MATCH($D$1,Database!$F$1:$AY$1,),))))-(((VLOOKUP(EDATE(B384,-12),Database!$F:$AY,MATCH($D$1,Database!$F$1:$AY$1,),)))))/(((VLOOKUP(EDATE(B384,-12),Database!$F:$AY,MATCH($D$1,Database!$F$1:$AY$1,),))))</f>
        <v/>
      </c>
      <c r="E384" s="13">
        <f>((((VLOOKUP(B384,Database!$F:$AY,MATCH($E$1,Database!$F$1:$AY$1,),))))-(((VLOOKUP(EDATE(B384,-12),Database!$F:$AY,MATCH($E$1,Database!$F$1:$AY$1,),)))))/(((VLOOKUP(EDATE(B384,-12),Database!$F:$AY,MATCH($E$1,Database!$F$1:$AY$1,),))))</f>
        <v/>
      </c>
      <c r="F384" s="13">
        <f>((((VLOOKUP(B384,Database!$F:$AY,MATCH($F$1,Database!$F$1:$AY$1,),))))-(((VLOOKUP(EDATE(B384,-12),Database!$F:$AY,MATCH($F$1,Database!$F$1:$AY$1,),)))))/(((VLOOKUP(EDATE(B384,-12),Database!$F:$AY,MATCH($F$1,Database!$F$1:$AY$1,),))))</f>
        <v/>
      </c>
      <c r="G384" s="13">
        <f>((((VLOOKUP(B384,Database!$F:$AY,MATCH($G$1,Database!$F$1:$AY$1,),))))-(((VLOOKUP(EDATE(B384,-12),Database!$F:$AY,MATCH($G$1,Database!$F$1:$AY$1,),)))))/(((VLOOKUP(EDATE(B384,-12),Database!$F:$AY,MATCH($G$1,Database!$F$1:$AY$1,),))))</f>
        <v/>
      </c>
      <c r="H384" s="13">
        <f>((((VLOOKUP(B384,Database!$F:$AY,MATCH($H$1,Database!$F$1:$AY$1,),))))-(((VLOOKUP(EDATE(B384,-12),Database!$F:$AY,MATCH($H$1,Database!$F$1:$AY$1,),)))))/(((VLOOKUP(EDATE(B384,-12),Database!$F:$AY,MATCH($H$1,Database!$F$1:$AY$1,),))))</f>
        <v/>
      </c>
      <c r="I384" s="13">
        <f>((((VLOOKUP(B384,Database!$F:$AY,MATCH($I$1,Database!$F$1:$AY$1,),))))-(((VLOOKUP(EDATE(B384,-12),Database!$F:$AY,MATCH($I$1,Database!$F$1:$AY$1,),)))))/(((VLOOKUP(EDATE(B384,-12),Database!$F:$AY,MATCH($I$1,Database!$F$1:$AY$1,),))))</f>
        <v/>
      </c>
      <c r="J384" s="13">
        <f>((((VLOOKUP(B384,Database!$F:$AY,MATCH($J$1,Database!$F$1:$AY$1,),))))-(((VLOOKUP(EDATE(B384,-12),Database!$F:$AY,MATCH($J$1,Database!$F$1:$AY$1,),)))))/(((VLOOKUP(EDATE(B384,-12),Database!$F:$AY,MATCH($J$1,Database!$F$1:$AY$1,),))))</f>
        <v/>
      </c>
      <c r="K384" s="13">
        <f>((((VLOOKUP(B384,Database!$F:$AY,MATCH($K$1,Database!$F$1:$AY$1,),))))-(((VLOOKUP(EDATE(B384,-12),Database!$F:$AY,MATCH($K$1,Database!$F$1:$AY$1,),)))))/(((VLOOKUP(EDATE(B384,-12),Database!$F:$AY,MATCH($K$1,Database!$F$1:$AY$1,),))))</f>
        <v/>
      </c>
      <c r="L384" s="13" t="n"/>
      <c r="M384" s="13" t="n"/>
      <c r="N384" s="13" t="n"/>
      <c r="O384" s="13">
        <f>((((VLOOKUP(B384,Database!$F:$AY,MATCH($O$1,Database!$F$1:$AY$1,),))))-(((VLOOKUP(EDATE(B384,-12),Database!$F:$AY,MATCH($O$1,Database!$F$1:$AY$1,),)))))/(((VLOOKUP(EDATE(B384,-12),Database!$F:$AY,MATCH($O$1,Database!$F$1:$AY$1,),))))</f>
        <v/>
      </c>
      <c r="P384" s="13">
        <f>((((VLOOKUP(B384,Database!$F:$AY,MATCH($P$1,Database!$F$1:$AY$1,),))))-(((VLOOKUP(EDATE(B384,-12),Database!$F:$AY,MATCH($P$1,Database!$F$1:$AY$1,),)))))/(((VLOOKUP(EDATE(B384,-12),Database!$F:$AY,MATCH($P$1,Database!$F$1:$AY$1,),))))</f>
        <v/>
      </c>
      <c r="Q384" s="13">
        <f>((((VLOOKUP(B384,Database!$F:$AY,MATCH($Q$1,Database!$F$1:$AY$1,),))))-(((VLOOKUP(EDATE(B384,-12),Database!$F:$AY,MATCH($Q$1,Database!$F$1:$AY$1,),)))))/(((VLOOKUP(EDATE(B384,-12),Database!$F:$AY,MATCH($Q$1,Database!$F$1:$AY$1,),))))</f>
        <v/>
      </c>
      <c r="R384" s="13">
        <f>((((VLOOKUP(B384,Database!$F:$AY,MATCH($R$1,Database!$F$1:$AY$1,),))))-(((VLOOKUP(EDATE(B384,-12),Database!$F:$AY,MATCH($R$1,Database!$F$1:$AY$1,),)))))/(((VLOOKUP(EDATE(B384,-12),Database!$F:$AY,MATCH($R$1,Database!$F$1:$AY$1,),))))</f>
        <v/>
      </c>
      <c r="S384" s="13">
        <f>((((VLOOKUP(B384,Database!$F:$AY,MATCH($S$1,Database!$F$1:$AY$1,),))))-(((VLOOKUP(EDATE(B384,-12),Database!$F:$AY,MATCH($S$1,Database!$F$1:$AY$1,),)))))/(((VLOOKUP(EDATE(B384,-12),Database!$F:$AY,MATCH($S$1,Database!$F$1:$AY$1,),))))</f>
        <v/>
      </c>
      <c r="T384" s="13">
        <f>((((VLOOKUP(B384,Database!$F:$AY,MATCH($T$1,Database!$F$1:$AY$1,),))))-(((VLOOKUP(EDATE(B384,-12),Database!$F:$AY,MATCH($T$1,Database!$F$1:$AY$1,),)))))/(((VLOOKUP(EDATE(B384,-12),Database!$F:$AY,MATCH($T$1,Database!$F$1:$AY$1,),))))</f>
        <v/>
      </c>
      <c r="U384" s="13">
        <f>((((VLOOKUP(B384,Database!$F:$AY,MATCH($U$1,Database!$F$1:$AY$1,),))))-(((VLOOKUP(EDATE(B384,-12),Database!$F:$AY,MATCH($U$1,Database!$F$1:$AY$1,),)))))/(((VLOOKUP(EDATE(B384,-12),Database!$F:$AY,MATCH($U$1,Database!$F$1:$AY$1,),))))</f>
        <v/>
      </c>
      <c r="V384" s="13">
        <f>((((VLOOKUP(B384,Database!$F:$AY,MATCH($V$1,Database!$F$1:$AY$1,),))))-(((VLOOKUP(EDATE(B384,-12),Database!$F:$AY,MATCH($V$1,Database!$F$1:$AY$1,),)))))/(((VLOOKUP(EDATE(B384,-12),Database!$F:$AY,MATCH($V$1,Database!$F$1:$AY$1,),))))</f>
        <v/>
      </c>
    </row>
    <row r="385" customFormat="1" s="100">
      <c r="B385" s="46" t="n">
        <v>43862</v>
      </c>
      <c r="C385" s="13">
        <f>((((VLOOKUP(B385,Database!$F:$AY,MATCH($C$1,Database!$F$1:$AY$1,),))))-(((VLOOKUP(EDATE(B385,-12),Database!$F:$AY,MATCH($C$1,Database!$F$1:$AY$1,),)))))/(((VLOOKUP(EDATE(B385,-12),Database!$F:$AY,MATCH($C$1,Database!$F$1:$AY$1,),))))</f>
        <v/>
      </c>
      <c r="D385" s="13">
        <f>((((VLOOKUP(B385,Database!$F:$AY,MATCH($D$1,Database!$F$1:$AY$1,),))))-(((VLOOKUP(EDATE(B385,-12),Database!$F:$AY,MATCH($D$1,Database!$F$1:$AY$1,),)))))/(((VLOOKUP(EDATE(B385,-12),Database!$F:$AY,MATCH($D$1,Database!$F$1:$AY$1,),))))</f>
        <v/>
      </c>
      <c r="E385" s="13">
        <f>((((VLOOKUP(B385,Database!$F:$AY,MATCH($E$1,Database!$F$1:$AY$1,),))))-(((VLOOKUP(EDATE(B385,-12),Database!$F:$AY,MATCH($E$1,Database!$F$1:$AY$1,),)))))/(((VLOOKUP(EDATE(B385,-12),Database!$F:$AY,MATCH($E$1,Database!$F$1:$AY$1,),))))</f>
        <v/>
      </c>
      <c r="F385" s="13">
        <f>((((VLOOKUP(B385,Database!$F:$AY,MATCH($F$1,Database!$F$1:$AY$1,),))))-(((VLOOKUP(EDATE(B385,-12),Database!$F:$AY,MATCH($F$1,Database!$F$1:$AY$1,),)))))/(((VLOOKUP(EDATE(B385,-12),Database!$F:$AY,MATCH($F$1,Database!$F$1:$AY$1,),))))</f>
        <v/>
      </c>
      <c r="G385" s="13">
        <f>((((VLOOKUP(B385,Database!$F:$AY,MATCH($G$1,Database!$F$1:$AY$1,),))))-(((VLOOKUP(EDATE(B385,-12),Database!$F:$AY,MATCH($G$1,Database!$F$1:$AY$1,),)))))/(((VLOOKUP(EDATE(B385,-12),Database!$F:$AY,MATCH($G$1,Database!$F$1:$AY$1,),))))</f>
        <v/>
      </c>
      <c r="H385" s="13">
        <f>((((VLOOKUP(B385,Database!$F:$AY,MATCH($H$1,Database!$F$1:$AY$1,),))))-(((VLOOKUP(EDATE(B385,-12),Database!$F:$AY,MATCH($H$1,Database!$F$1:$AY$1,),)))))/(((VLOOKUP(EDATE(B385,-12),Database!$F:$AY,MATCH($H$1,Database!$F$1:$AY$1,),))))</f>
        <v/>
      </c>
      <c r="I385" s="13">
        <f>((((VLOOKUP(B385,Database!$F:$AY,MATCH($I$1,Database!$F$1:$AY$1,),))))-(((VLOOKUP(EDATE(B385,-12),Database!$F:$AY,MATCH($I$1,Database!$F$1:$AY$1,),)))))/(((VLOOKUP(EDATE(B385,-12),Database!$F:$AY,MATCH($I$1,Database!$F$1:$AY$1,),))))</f>
        <v/>
      </c>
      <c r="J385" s="13">
        <f>((((VLOOKUP(B385,Database!$F:$AY,MATCH($J$1,Database!$F$1:$AY$1,),))))-(((VLOOKUP(EDATE(B385,-12),Database!$F:$AY,MATCH($J$1,Database!$F$1:$AY$1,),)))))/(((VLOOKUP(EDATE(B385,-12),Database!$F:$AY,MATCH($J$1,Database!$F$1:$AY$1,),))))</f>
        <v/>
      </c>
      <c r="K385" s="13">
        <f>((((VLOOKUP(B385,Database!$F:$AY,MATCH($K$1,Database!$F$1:$AY$1,),))))-(((VLOOKUP(EDATE(B385,-12),Database!$F:$AY,MATCH($K$1,Database!$F$1:$AY$1,),)))))/(((VLOOKUP(EDATE(B385,-12),Database!$F:$AY,MATCH($K$1,Database!$F$1:$AY$1,),))))</f>
        <v/>
      </c>
      <c r="L385" s="13" t="n"/>
      <c r="M385" s="13" t="n"/>
      <c r="N385" s="13" t="n"/>
      <c r="O385" s="13">
        <f>((((VLOOKUP(B385,Database!$F:$AY,MATCH($O$1,Database!$F$1:$AY$1,),))))-(((VLOOKUP(EDATE(B385,-12),Database!$F:$AY,MATCH($O$1,Database!$F$1:$AY$1,),)))))/(((VLOOKUP(EDATE(B385,-12),Database!$F:$AY,MATCH($O$1,Database!$F$1:$AY$1,),))))</f>
        <v/>
      </c>
      <c r="P385" s="13">
        <f>((((VLOOKUP(B385,Database!$F:$AY,MATCH($P$1,Database!$F$1:$AY$1,),))))-(((VLOOKUP(EDATE(B385,-12),Database!$F:$AY,MATCH($P$1,Database!$F$1:$AY$1,),)))))/(((VLOOKUP(EDATE(B385,-12),Database!$F:$AY,MATCH($P$1,Database!$F$1:$AY$1,),))))</f>
        <v/>
      </c>
      <c r="Q385" s="13">
        <f>((((VLOOKUP(B385,Database!$F:$AY,MATCH($Q$1,Database!$F$1:$AY$1,),))))-(((VLOOKUP(EDATE(B385,-12),Database!$F:$AY,MATCH($Q$1,Database!$F$1:$AY$1,),)))))/(((VLOOKUP(EDATE(B385,-12),Database!$F:$AY,MATCH($Q$1,Database!$F$1:$AY$1,),))))</f>
        <v/>
      </c>
      <c r="R385" s="13">
        <f>((((VLOOKUP(B385,Database!$F:$AY,MATCH($R$1,Database!$F$1:$AY$1,),))))-(((VLOOKUP(EDATE(B385,-12),Database!$F:$AY,MATCH($R$1,Database!$F$1:$AY$1,),)))))/(((VLOOKUP(EDATE(B385,-12),Database!$F:$AY,MATCH($R$1,Database!$F$1:$AY$1,),))))</f>
        <v/>
      </c>
      <c r="S385" s="13">
        <f>((((VLOOKUP(B385,Database!$F:$AY,MATCH($S$1,Database!$F$1:$AY$1,),))))-(((VLOOKUP(EDATE(B385,-12),Database!$F:$AY,MATCH($S$1,Database!$F$1:$AY$1,),)))))/(((VLOOKUP(EDATE(B385,-12),Database!$F:$AY,MATCH($S$1,Database!$F$1:$AY$1,),))))</f>
        <v/>
      </c>
      <c r="T385" s="13">
        <f>((((VLOOKUP(B385,Database!$F:$AY,MATCH($T$1,Database!$F$1:$AY$1,),))))-(((VLOOKUP(EDATE(B385,-12),Database!$F:$AY,MATCH($T$1,Database!$F$1:$AY$1,),)))))/(((VLOOKUP(EDATE(B385,-12),Database!$F:$AY,MATCH($T$1,Database!$F$1:$AY$1,),))))</f>
        <v/>
      </c>
      <c r="U385" s="13">
        <f>((((VLOOKUP(B385,Database!$F:$AY,MATCH($U$1,Database!$F$1:$AY$1,),))))-(((VLOOKUP(EDATE(B385,-12),Database!$F:$AY,MATCH($U$1,Database!$F$1:$AY$1,),)))))/(((VLOOKUP(EDATE(B385,-12),Database!$F:$AY,MATCH($U$1,Database!$F$1:$AY$1,),))))</f>
        <v/>
      </c>
      <c r="V385" s="13">
        <f>((((VLOOKUP(B385,Database!$F:$AY,MATCH($V$1,Database!$F$1:$AY$1,),))))-(((VLOOKUP(EDATE(B385,-12),Database!$F:$AY,MATCH($V$1,Database!$F$1:$AY$1,),)))))/(((VLOOKUP(EDATE(B385,-12),Database!$F:$AY,MATCH($V$1,Database!$F$1:$AY$1,),))))</f>
        <v/>
      </c>
    </row>
    <row r="386" customFormat="1" s="100">
      <c r="B386" s="46" t="n">
        <v>43891</v>
      </c>
      <c r="C386" s="13">
        <f>((((VLOOKUP(B386,Database!$F:$AY,MATCH($C$1,Database!$F$1:$AY$1,),))))-(((VLOOKUP(EDATE(B386,-12),Database!$F:$AY,MATCH($C$1,Database!$F$1:$AY$1,),)))))/(((VLOOKUP(EDATE(B386,-12),Database!$F:$AY,MATCH($C$1,Database!$F$1:$AY$1,),))))</f>
        <v/>
      </c>
      <c r="D386" s="13">
        <f>((((VLOOKUP(B386,Database!$F:$AY,MATCH($D$1,Database!$F$1:$AY$1,),))))-(((VLOOKUP(EDATE(B386,-12),Database!$F:$AY,MATCH($D$1,Database!$F$1:$AY$1,),)))))/(((VLOOKUP(EDATE(B386,-12),Database!$F:$AY,MATCH($D$1,Database!$F$1:$AY$1,),))))</f>
        <v/>
      </c>
      <c r="E386" s="13">
        <f>((((VLOOKUP(B386,Database!$F:$AY,MATCH($E$1,Database!$F$1:$AY$1,),))))-(((VLOOKUP(EDATE(B386,-12),Database!$F:$AY,MATCH($E$1,Database!$F$1:$AY$1,),)))))/(((VLOOKUP(EDATE(B386,-12),Database!$F:$AY,MATCH($E$1,Database!$F$1:$AY$1,),))))</f>
        <v/>
      </c>
      <c r="F386" s="13">
        <f>((((VLOOKUP(B386,Database!$F:$AY,MATCH($F$1,Database!$F$1:$AY$1,),))))-(((VLOOKUP(EDATE(B386,-12),Database!$F:$AY,MATCH($F$1,Database!$F$1:$AY$1,),)))))/(((VLOOKUP(EDATE(B386,-12),Database!$F:$AY,MATCH($F$1,Database!$F$1:$AY$1,),))))</f>
        <v/>
      </c>
      <c r="G386" s="13">
        <f>((((VLOOKUP(B386,Database!$F:$AY,MATCH($G$1,Database!$F$1:$AY$1,),))))-(((VLOOKUP(EDATE(B386,-12),Database!$F:$AY,MATCH($G$1,Database!$F$1:$AY$1,),)))))/(((VLOOKUP(EDATE(B386,-12),Database!$F:$AY,MATCH($G$1,Database!$F$1:$AY$1,),))))</f>
        <v/>
      </c>
      <c r="H386" s="13">
        <f>((((VLOOKUP(B386,Database!$F:$AY,MATCH($H$1,Database!$F$1:$AY$1,),))))-(((VLOOKUP(EDATE(B386,-12),Database!$F:$AY,MATCH($H$1,Database!$F$1:$AY$1,),)))))/(((VLOOKUP(EDATE(B386,-12),Database!$F:$AY,MATCH($H$1,Database!$F$1:$AY$1,),))))</f>
        <v/>
      </c>
      <c r="I386" s="13">
        <f>((((VLOOKUP(B386,Database!$F:$AY,MATCH($I$1,Database!$F$1:$AY$1,),))))-(((VLOOKUP(EDATE(B386,-12),Database!$F:$AY,MATCH($I$1,Database!$F$1:$AY$1,),)))))/(((VLOOKUP(EDATE(B386,-12),Database!$F:$AY,MATCH($I$1,Database!$F$1:$AY$1,),))))</f>
        <v/>
      </c>
      <c r="J386" s="13">
        <f>((((VLOOKUP(B386,Database!$F:$AY,MATCH($J$1,Database!$F$1:$AY$1,),))))-(((VLOOKUP(EDATE(B386,-12),Database!$F:$AY,MATCH($J$1,Database!$F$1:$AY$1,),)))))/(((VLOOKUP(EDATE(B386,-12),Database!$F:$AY,MATCH($J$1,Database!$F$1:$AY$1,),))))</f>
        <v/>
      </c>
      <c r="K386" s="13">
        <f>((((VLOOKUP(B386,Database!$F:$AY,MATCH($K$1,Database!$F$1:$AY$1,),))))-(((VLOOKUP(EDATE(B386,-12),Database!$F:$AY,MATCH($K$1,Database!$F$1:$AY$1,),)))))/(((VLOOKUP(EDATE(B386,-12),Database!$F:$AY,MATCH($K$1,Database!$F$1:$AY$1,),))))</f>
        <v/>
      </c>
      <c r="L386" s="13" t="n"/>
      <c r="M386" s="13" t="n"/>
      <c r="N386" s="13" t="n"/>
      <c r="O386" s="13">
        <f>((((VLOOKUP(B386,Database!$F:$AY,MATCH($O$1,Database!$F$1:$AY$1,),))))-(((VLOOKUP(EDATE(B386,-12),Database!$F:$AY,MATCH($O$1,Database!$F$1:$AY$1,),)))))/(((VLOOKUP(EDATE(B386,-12),Database!$F:$AY,MATCH($O$1,Database!$F$1:$AY$1,),))))</f>
        <v/>
      </c>
      <c r="P386" s="13">
        <f>((((VLOOKUP(B386,Database!$F:$AY,MATCH($P$1,Database!$F$1:$AY$1,),))))-(((VLOOKUP(EDATE(B386,-12),Database!$F:$AY,MATCH($P$1,Database!$F$1:$AY$1,),)))))/(((VLOOKUP(EDATE(B386,-12),Database!$F:$AY,MATCH($P$1,Database!$F$1:$AY$1,),))))</f>
        <v/>
      </c>
      <c r="Q386" s="13">
        <f>((((VLOOKUP(B386,Database!$F:$AY,MATCH($Q$1,Database!$F$1:$AY$1,),))))-(((VLOOKUP(EDATE(B386,-12),Database!$F:$AY,MATCH($Q$1,Database!$F$1:$AY$1,),)))))/(((VLOOKUP(EDATE(B386,-12),Database!$F:$AY,MATCH($Q$1,Database!$F$1:$AY$1,),))))</f>
        <v/>
      </c>
      <c r="R386" s="13">
        <f>((((VLOOKUP(B386,Database!$F:$AY,MATCH($R$1,Database!$F$1:$AY$1,),))))-(((VLOOKUP(EDATE(B386,-12),Database!$F:$AY,MATCH($R$1,Database!$F$1:$AY$1,),)))))/(((VLOOKUP(EDATE(B386,-12),Database!$F:$AY,MATCH($R$1,Database!$F$1:$AY$1,),))))</f>
        <v/>
      </c>
      <c r="S386" s="13">
        <f>((((VLOOKUP(B386,Database!$F:$AY,MATCH($S$1,Database!$F$1:$AY$1,),))))-(((VLOOKUP(EDATE(B386,-12),Database!$F:$AY,MATCH($S$1,Database!$F$1:$AY$1,),)))))/(((VLOOKUP(EDATE(B386,-12),Database!$F:$AY,MATCH($S$1,Database!$F$1:$AY$1,),))))</f>
        <v/>
      </c>
      <c r="T386" s="13">
        <f>((((VLOOKUP(B386,Database!$F:$AY,MATCH($T$1,Database!$F$1:$AY$1,),))))-(((VLOOKUP(EDATE(B386,-12),Database!$F:$AY,MATCH($T$1,Database!$F$1:$AY$1,),)))))/(((VLOOKUP(EDATE(B386,-12),Database!$F:$AY,MATCH($T$1,Database!$F$1:$AY$1,),))))</f>
        <v/>
      </c>
      <c r="U386" s="13">
        <f>((((VLOOKUP(B386,Database!$F:$AY,MATCH($U$1,Database!$F$1:$AY$1,),))))-(((VLOOKUP(EDATE(B386,-12),Database!$F:$AY,MATCH($U$1,Database!$F$1:$AY$1,),)))))/(((VLOOKUP(EDATE(B386,-12),Database!$F:$AY,MATCH($U$1,Database!$F$1:$AY$1,),))))</f>
        <v/>
      </c>
      <c r="V386" s="13">
        <f>((((VLOOKUP(B386,Database!$F:$AY,MATCH($V$1,Database!$F$1:$AY$1,),))))-(((VLOOKUP(EDATE(B386,-12),Database!$F:$AY,MATCH($V$1,Database!$F$1:$AY$1,),)))))/(((VLOOKUP(EDATE(B386,-12),Database!$F:$AY,MATCH($V$1,Database!$F$1:$AY$1,),))))</f>
        <v/>
      </c>
    </row>
    <row r="387" customFormat="1" s="100">
      <c r="B387" s="46" t="n">
        <v>43922</v>
      </c>
      <c r="C387" s="13">
        <f>((((VLOOKUP(B387,Database!$F:$AY,MATCH($C$1,Database!$F$1:$AY$1,),))))-(((VLOOKUP(EDATE(B387,-12),Database!$F:$AY,MATCH($C$1,Database!$F$1:$AY$1,),)))))/(((VLOOKUP(EDATE(B387,-12),Database!$F:$AY,MATCH($C$1,Database!$F$1:$AY$1,),))))</f>
        <v/>
      </c>
      <c r="D387" s="13">
        <f>((((VLOOKUP(B387,Database!$F:$AY,MATCH($D$1,Database!$F$1:$AY$1,),))))-(((VLOOKUP(EDATE(B387,-12),Database!$F:$AY,MATCH($D$1,Database!$F$1:$AY$1,),)))))/(((VLOOKUP(EDATE(B387,-12),Database!$F:$AY,MATCH($D$1,Database!$F$1:$AY$1,),))))</f>
        <v/>
      </c>
      <c r="E387" s="13">
        <f>((((VLOOKUP(B387,Database!$F:$AY,MATCH($E$1,Database!$F$1:$AY$1,),))))-(((VLOOKUP(EDATE(B387,-12),Database!$F:$AY,MATCH($E$1,Database!$F$1:$AY$1,),)))))/(((VLOOKUP(EDATE(B387,-12),Database!$F:$AY,MATCH($E$1,Database!$F$1:$AY$1,),))))</f>
        <v/>
      </c>
      <c r="F387" s="13">
        <f>((((VLOOKUP(B387,Database!$F:$AY,MATCH($F$1,Database!$F$1:$AY$1,),))))-(((VLOOKUP(EDATE(B387,-12),Database!$F:$AY,MATCH($F$1,Database!$F$1:$AY$1,),)))))/(((VLOOKUP(EDATE(B387,-12),Database!$F:$AY,MATCH($F$1,Database!$F$1:$AY$1,),))))</f>
        <v/>
      </c>
      <c r="G387" s="13">
        <f>((((VLOOKUP(B387,Database!$F:$AY,MATCH($G$1,Database!$F$1:$AY$1,),))))-(((VLOOKUP(EDATE(B387,-12),Database!$F:$AY,MATCH($G$1,Database!$F$1:$AY$1,),)))))/(((VLOOKUP(EDATE(B387,-12),Database!$F:$AY,MATCH($G$1,Database!$F$1:$AY$1,),))))</f>
        <v/>
      </c>
      <c r="H387" s="13">
        <f>((((VLOOKUP(B387,Database!$F:$AY,MATCH($H$1,Database!$F$1:$AY$1,),))))-(((VLOOKUP(EDATE(B387,-12),Database!$F:$AY,MATCH($H$1,Database!$F$1:$AY$1,),)))))/(((VLOOKUP(EDATE(B387,-12),Database!$F:$AY,MATCH($H$1,Database!$F$1:$AY$1,),))))</f>
        <v/>
      </c>
      <c r="I387" s="13">
        <f>((((VLOOKUP(B387,Database!$F:$AY,MATCH($I$1,Database!$F$1:$AY$1,),))))-(((VLOOKUP(EDATE(B387,-12),Database!$F:$AY,MATCH($I$1,Database!$F$1:$AY$1,),)))))/(((VLOOKUP(EDATE(B387,-12),Database!$F:$AY,MATCH($I$1,Database!$F$1:$AY$1,),))))</f>
        <v/>
      </c>
      <c r="J387" s="13">
        <f>((((VLOOKUP(B387,Database!$F:$AY,MATCH($J$1,Database!$F$1:$AY$1,),))))-(((VLOOKUP(EDATE(B387,-12),Database!$F:$AY,MATCH($J$1,Database!$F$1:$AY$1,),)))))/(((VLOOKUP(EDATE(B387,-12),Database!$F:$AY,MATCH($J$1,Database!$F$1:$AY$1,),))))</f>
        <v/>
      </c>
      <c r="K387" s="13">
        <f>((((VLOOKUP(B387,Database!$F:$AY,MATCH($K$1,Database!$F$1:$AY$1,),))))-(((VLOOKUP(EDATE(B387,-12),Database!$F:$AY,MATCH($K$1,Database!$F$1:$AY$1,),)))))/(((VLOOKUP(EDATE(B387,-12),Database!$F:$AY,MATCH($K$1,Database!$F$1:$AY$1,),))))</f>
        <v/>
      </c>
      <c r="L387" s="13" t="n"/>
      <c r="M387" s="13" t="n"/>
      <c r="N387" s="13" t="n"/>
      <c r="O387" s="13">
        <f>((((VLOOKUP(B387,Database!$F:$AY,MATCH($O$1,Database!$F$1:$AY$1,),))))-(((VLOOKUP(EDATE(B387,-12),Database!$F:$AY,MATCH($O$1,Database!$F$1:$AY$1,),)))))/(((VLOOKUP(EDATE(B387,-12),Database!$F:$AY,MATCH($O$1,Database!$F$1:$AY$1,),))))</f>
        <v/>
      </c>
      <c r="P387" s="13">
        <f>((((VLOOKUP(B387,Database!$F:$AY,MATCH($P$1,Database!$F$1:$AY$1,),))))-(((VLOOKUP(EDATE(B387,-12),Database!$F:$AY,MATCH($P$1,Database!$F$1:$AY$1,),)))))/(((VLOOKUP(EDATE(B387,-12),Database!$F:$AY,MATCH($P$1,Database!$F$1:$AY$1,),))))</f>
        <v/>
      </c>
      <c r="Q387" s="13">
        <f>((((VLOOKUP(B387,Database!$F:$AY,MATCH($Q$1,Database!$F$1:$AY$1,),))))-(((VLOOKUP(EDATE(B387,-12),Database!$F:$AY,MATCH($Q$1,Database!$F$1:$AY$1,),)))))/(((VLOOKUP(EDATE(B387,-12),Database!$F:$AY,MATCH($Q$1,Database!$F$1:$AY$1,),))))</f>
        <v/>
      </c>
      <c r="R387" s="13">
        <f>((((VLOOKUP(B387,Database!$F:$AY,MATCH($R$1,Database!$F$1:$AY$1,),))))-(((VLOOKUP(EDATE(B387,-12),Database!$F:$AY,MATCH($R$1,Database!$F$1:$AY$1,),)))))/(((VLOOKUP(EDATE(B387,-12),Database!$F:$AY,MATCH($R$1,Database!$F$1:$AY$1,),))))</f>
        <v/>
      </c>
      <c r="S387" s="13">
        <f>((((VLOOKUP(B387,Database!$F:$AY,MATCH($S$1,Database!$F$1:$AY$1,),))))-(((VLOOKUP(EDATE(B387,-12),Database!$F:$AY,MATCH($S$1,Database!$F$1:$AY$1,),)))))/(((VLOOKUP(EDATE(B387,-12),Database!$F:$AY,MATCH($S$1,Database!$F$1:$AY$1,),))))</f>
        <v/>
      </c>
      <c r="T387" s="13">
        <f>((((VLOOKUP(B387,Database!$F:$AY,MATCH($T$1,Database!$F$1:$AY$1,),))))-(((VLOOKUP(EDATE(B387,-12),Database!$F:$AY,MATCH($T$1,Database!$F$1:$AY$1,),)))))/(((VLOOKUP(EDATE(B387,-12),Database!$F:$AY,MATCH($T$1,Database!$F$1:$AY$1,),))))</f>
        <v/>
      </c>
      <c r="U387" s="13">
        <f>((((VLOOKUP(B387,Database!$F:$AY,MATCH($U$1,Database!$F$1:$AY$1,),))))-(((VLOOKUP(EDATE(B387,-12),Database!$F:$AY,MATCH($U$1,Database!$F$1:$AY$1,),)))))/(((VLOOKUP(EDATE(B387,-12),Database!$F:$AY,MATCH($U$1,Database!$F$1:$AY$1,),))))</f>
        <v/>
      </c>
      <c r="V387" s="13">
        <f>((((VLOOKUP(B387,Database!$F:$AY,MATCH($V$1,Database!$F$1:$AY$1,),))))-(((VLOOKUP(EDATE(B387,-12),Database!$F:$AY,MATCH($V$1,Database!$F$1:$AY$1,),)))))/(((VLOOKUP(EDATE(B387,-12),Database!$F:$AY,MATCH($V$1,Database!$F$1:$AY$1,),))))</f>
        <v/>
      </c>
    </row>
    <row r="388" customFormat="1" s="100">
      <c r="B388" s="46" t="n">
        <v>43952</v>
      </c>
      <c r="C388" s="13">
        <f>((((VLOOKUP(B388,Database!$F:$AY,MATCH($C$1,Database!$F$1:$AY$1,),))))-(((VLOOKUP(EDATE(B388,-12),Database!$F:$AY,MATCH($C$1,Database!$F$1:$AY$1,),)))))/(((VLOOKUP(EDATE(B388,-12),Database!$F:$AY,MATCH($C$1,Database!$F$1:$AY$1,),))))</f>
        <v/>
      </c>
      <c r="D388" s="13">
        <f>((((VLOOKUP(B388,Database!$F:$AY,MATCH($D$1,Database!$F$1:$AY$1,),))))-(((VLOOKUP(EDATE(B388,-12),Database!$F:$AY,MATCH($D$1,Database!$F$1:$AY$1,),)))))/(((VLOOKUP(EDATE(B388,-12),Database!$F:$AY,MATCH($D$1,Database!$F$1:$AY$1,),))))</f>
        <v/>
      </c>
      <c r="E388" s="13">
        <f>((((VLOOKUP(B388,Database!$F:$AY,MATCH($E$1,Database!$F$1:$AY$1,),))))-(((VLOOKUP(EDATE(B388,-12),Database!$F:$AY,MATCH($E$1,Database!$F$1:$AY$1,),)))))/(((VLOOKUP(EDATE(B388,-12),Database!$F:$AY,MATCH($E$1,Database!$F$1:$AY$1,),))))</f>
        <v/>
      </c>
      <c r="F388" s="13">
        <f>((((VLOOKUP(B388,Database!$F:$AY,MATCH($F$1,Database!$F$1:$AY$1,),))))-(((VLOOKUP(EDATE(B388,-12),Database!$F:$AY,MATCH($F$1,Database!$F$1:$AY$1,),)))))/(((VLOOKUP(EDATE(B388,-12),Database!$F:$AY,MATCH($F$1,Database!$F$1:$AY$1,),))))</f>
        <v/>
      </c>
      <c r="G388" s="13">
        <f>((((VLOOKUP(B388,Database!$F:$AY,MATCH($G$1,Database!$F$1:$AY$1,),))))-(((VLOOKUP(EDATE(B388,-12),Database!$F:$AY,MATCH($G$1,Database!$F$1:$AY$1,),)))))/(((VLOOKUP(EDATE(B388,-12),Database!$F:$AY,MATCH($G$1,Database!$F$1:$AY$1,),))))</f>
        <v/>
      </c>
      <c r="H388" s="13">
        <f>((((VLOOKUP(B388,Database!$F:$AY,MATCH($H$1,Database!$F$1:$AY$1,),))))-(((VLOOKUP(EDATE(B388,-12),Database!$F:$AY,MATCH($H$1,Database!$F$1:$AY$1,),)))))/(((VLOOKUP(EDATE(B388,-12),Database!$F:$AY,MATCH($H$1,Database!$F$1:$AY$1,),))))</f>
        <v/>
      </c>
      <c r="I388" s="13">
        <f>((((VLOOKUP(B388,Database!$F:$AY,MATCH($I$1,Database!$F$1:$AY$1,),))))-(((VLOOKUP(EDATE(B388,-12),Database!$F:$AY,MATCH($I$1,Database!$F$1:$AY$1,),)))))/(((VLOOKUP(EDATE(B388,-12),Database!$F:$AY,MATCH($I$1,Database!$F$1:$AY$1,),))))</f>
        <v/>
      </c>
      <c r="J388" s="13">
        <f>((((VLOOKUP(B388,Database!$F:$AY,MATCH($J$1,Database!$F$1:$AY$1,),))))-(((VLOOKUP(EDATE(B388,-12),Database!$F:$AY,MATCH($J$1,Database!$F$1:$AY$1,),)))))/(((VLOOKUP(EDATE(B388,-12),Database!$F:$AY,MATCH($J$1,Database!$F$1:$AY$1,),))))</f>
        <v/>
      </c>
      <c r="K388" s="13">
        <f>((((VLOOKUP(B388,Database!$F:$AY,MATCH($K$1,Database!$F$1:$AY$1,),))))-(((VLOOKUP(EDATE(B388,-12),Database!$F:$AY,MATCH($K$1,Database!$F$1:$AY$1,),)))))/(((VLOOKUP(EDATE(B388,-12),Database!$F:$AY,MATCH($K$1,Database!$F$1:$AY$1,),))))</f>
        <v/>
      </c>
      <c r="L388" s="13" t="n"/>
      <c r="M388" s="13" t="n"/>
      <c r="N388" s="13" t="n"/>
      <c r="O388" s="13">
        <f>((((VLOOKUP(B388,Database!$F:$AY,MATCH($O$1,Database!$F$1:$AY$1,),))))-(((VLOOKUP(EDATE(B388,-12),Database!$F:$AY,MATCH($O$1,Database!$F$1:$AY$1,),)))))/(((VLOOKUP(EDATE(B388,-12),Database!$F:$AY,MATCH($O$1,Database!$F$1:$AY$1,),))))</f>
        <v/>
      </c>
      <c r="P388" s="13">
        <f>((((VLOOKUP(B388,Database!$F:$AY,MATCH($P$1,Database!$F$1:$AY$1,),))))-(((VLOOKUP(EDATE(B388,-12),Database!$F:$AY,MATCH($P$1,Database!$F$1:$AY$1,),)))))/(((VLOOKUP(EDATE(B388,-12),Database!$F:$AY,MATCH($P$1,Database!$F$1:$AY$1,),))))</f>
        <v/>
      </c>
      <c r="Q388" s="13">
        <f>((((VLOOKUP(B388,Database!$F:$AY,MATCH($Q$1,Database!$F$1:$AY$1,),))))-(((VLOOKUP(EDATE(B388,-12),Database!$F:$AY,MATCH($Q$1,Database!$F$1:$AY$1,),)))))/(((VLOOKUP(EDATE(B388,-12),Database!$F:$AY,MATCH($Q$1,Database!$F$1:$AY$1,),))))</f>
        <v/>
      </c>
      <c r="R388" s="13">
        <f>((((VLOOKUP(B388,Database!$F:$AY,MATCH($R$1,Database!$F$1:$AY$1,),))))-(((VLOOKUP(EDATE(B388,-12),Database!$F:$AY,MATCH($R$1,Database!$F$1:$AY$1,),)))))/(((VLOOKUP(EDATE(B388,-12),Database!$F:$AY,MATCH($R$1,Database!$F$1:$AY$1,),))))</f>
        <v/>
      </c>
      <c r="S388" s="13">
        <f>((((VLOOKUP(B388,Database!$F:$AY,MATCH($S$1,Database!$F$1:$AY$1,),))))-(((VLOOKUP(EDATE(B388,-12),Database!$F:$AY,MATCH($S$1,Database!$F$1:$AY$1,),)))))/(((VLOOKUP(EDATE(B388,-12),Database!$F:$AY,MATCH($S$1,Database!$F$1:$AY$1,),))))</f>
        <v/>
      </c>
      <c r="T388" s="13">
        <f>((((VLOOKUP(B388,Database!$F:$AY,MATCH($T$1,Database!$F$1:$AY$1,),))))-(((VLOOKUP(EDATE(B388,-12),Database!$F:$AY,MATCH($T$1,Database!$F$1:$AY$1,),)))))/(((VLOOKUP(EDATE(B388,-12),Database!$F:$AY,MATCH($T$1,Database!$F$1:$AY$1,),))))</f>
        <v/>
      </c>
      <c r="U388" s="13">
        <f>((((VLOOKUP(B388,Database!$F:$AY,MATCH($U$1,Database!$F$1:$AY$1,),))))-(((VLOOKUP(EDATE(B388,-12),Database!$F:$AY,MATCH($U$1,Database!$F$1:$AY$1,),)))))/(((VLOOKUP(EDATE(B388,-12),Database!$F:$AY,MATCH($U$1,Database!$F$1:$AY$1,),))))</f>
        <v/>
      </c>
      <c r="V388" s="13">
        <f>((((VLOOKUP(B388,Database!$F:$AY,MATCH($V$1,Database!$F$1:$AY$1,),))))-(((VLOOKUP(EDATE(B388,-12),Database!$F:$AY,MATCH($V$1,Database!$F$1:$AY$1,),)))))/(((VLOOKUP(EDATE(B388,-12),Database!$F:$AY,MATCH($V$1,Database!$F$1:$AY$1,),))))</f>
        <v/>
      </c>
    </row>
    <row r="389" customFormat="1" s="100">
      <c r="B389" s="46" t="n">
        <v>43983</v>
      </c>
      <c r="C389" s="13">
        <f>((((VLOOKUP(B389,Database!$F:$AY,MATCH($C$1,Database!$F$1:$AY$1,),))))-(((VLOOKUP(EDATE(B389,-12),Database!$F:$AY,MATCH($C$1,Database!$F$1:$AY$1,),)))))/(((VLOOKUP(EDATE(B389,-12),Database!$F:$AY,MATCH($C$1,Database!$F$1:$AY$1,),))))</f>
        <v/>
      </c>
      <c r="D389" s="13">
        <f>((((VLOOKUP(B389,Database!$F:$AY,MATCH($D$1,Database!$F$1:$AY$1,),))))-(((VLOOKUP(EDATE(B389,-12),Database!$F:$AY,MATCH($D$1,Database!$F$1:$AY$1,),)))))/(((VLOOKUP(EDATE(B389,-12),Database!$F:$AY,MATCH($D$1,Database!$F$1:$AY$1,),))))</f>
        <v/>
      </c>
      <c r="E389" s="13">
        <f>((((VLOOKUP(B389,Database!$F:$AY,MATCH($E$1,Database!$F$1:$AY$1,),))))-(((VLOOKUP(EDATE(B389,-12),Database!$F:$AY,MATCH($E$1,Database!$F$1:$AY$1,),)))))/(((VLOOKUP(EDATE(B389,-12),Database!$F:$AY,MATCH($E$1,Database!$F$1:$AY$1,),))))</f>
        <v/>
      </c>
      <c r="F389" s="13">
        <f>((((VLOOKUP(B389,Database!$F:$AY,MATCH($F$1,Database!$F$1:$AY$1,),))))-(((VLOOKUP(EDATE(B389,-12),Database!$F:$AY,MATCH($F$1,Database!$F$1:$AY$1,),)))))/(((VLOOKUP(EDATE(B389,-12),Database!$F:$AY,MATCH($F$1,Database!$F$1:$AY$1,),))))</f>
        <v/>
      </c>
      <c r="G389" s="13">
        <f>((((VLOOKUP(B389,Database!$F:$AY,MATCH($G$1,Database!$F$1:$AY$1,),))))-(((VLOOKUP(EDATE(B389,-12),Database!$F:$AY,MATCH($G$1,Database!$F$1:$AY$1,),)))))/(((VLOOKUP(EDATE(B389,-12),Database!$F:$AY,MATCH($G$1,Database!$F$1:$AY$1,),))))</f>
        <v/>
      </c>
      <c r="H389" s="13">
        <f>((((VLOOKUP(B389,Database!$F:$AY,MATCH($H$1,Database!$F$1:$AY$1,),))))-(((VLOOKUP(EDATE(B389,-12),Database!$F:$AY,MATCH($H$1,Database!$F$1:$AY$1,),)))))/(((VLOOKUP(EDATE(B389,-12),Database!$F:$AY,MATCH($H$1,Database!$F$1:$AY$1,),))))</f>
        <v/>
      </c>
      <c r="I389" s="13">
        <f>((((VLOOKUP(B389,Database!$F:$AY,MATCH($I$1,Database!$F$1:$AY$1,),))))-(((VLOOKUP(EDATE(B389,-12),Database!$F:$AY,MATCH($I$1,Database!$F$1:$AY$1,),)))))/(((VLOOKUP(EDATE(B389,-12),Database!$F:$AY,MATCH($I$1,Database!$F$1:$AY$1,),))))</f>
        <v/>
      </c>
      <c r="J389" s="13">
        <f>((((VLOOKUP(B389,Database!$F:$AY,MATCH($J$1,Database!$F$1:$AY$1,),))))-(((VLOOKUP(EDATE(B389,-12),Database!$F:$AY,MATCH($J$1,Database!$F$1:$AY$1,),)))))/(((VLOOKUP(EDATE(B389,-12),Database!$F:$AY,MATCH($J$1,Database!$F$1:$AY$1,),))))</f>
        <v/>
      </c>
      <c r="K389" s="13">
        <f>((((VLOOKUP(B389,Database!$F:$AY,MATCH($K$1,Database!$F$1:$AY$1,),))))-(((VLOOKUP(EDATE(B389,-12),Database!$F:$AY,MATCH($K$1,Database!$F$1:$AY$1,),)))))/(((VLOOKUP(EDATE(B389,-12),Database!$F:$AY,MATCH($K$1,Database!$F$1:$AY$1,),))))</f>
        <v/>
      </c>
      <c r="L389" s="13" t="n"/>
      <c r="M389" s="13" t="n"/>
      <c r="N389" s="13" t="n"/>
      <c r="O389" s="13">
        <f>((((VLOOKUP(B389,Database!$F:$AY,MATCH($O$1,Database!$F$1:$AY$1,),))))-(((VLOOKUP(EDATE(B389,-12),Database!$F:$AY,MATCH($O$1,Database!$F$1:$AY$1,),)))))/(((VLOOKUP(EDATE(B389,-12),Database!$F:$AY,MATCH($O$1,Database!$F$1:$AY$1,),))))</f>
        <v/>
      </c>
      <c r="P389" s="13">
        <f>((((VLOOKUP(B389,Database!$F:$AY,MATCH($P$1,Database!$F$1:$AY$1,),))))-(((VLOOKUP(EDATE(B389,-12),Database!$F:$AY,MATCH($P$1,Database!$F$1:$AY$1,),)))))/(((VLOOKUP(EDATE(B389,-12),Database!$F:$AY,MATCH($P$1,Database!$F$1:$AY$1,),))))</f>
        <v/>
      </c>
      <c r="Q389" s="13">
        <f>((((VLOOKUP(B389,Database!$F:$AY,MATCH($Q$1,Database!$F$1:$AY$1,),))))-(((VLOOKUP(EDATE(B389,-12),Database!$F:$AY,MATCH($Q$1,Database!$F$1:$AY$1,),)))))/(((VLOOKUP(EDATE(B389,-12),Database!$F:$AY,MATCH($Q$1,Database!$F$1:$AY$1,),))))</f>
        <v/>
      </c>
      <c r="R389" s="13">
        <f>((((VLOOKUP(B389,Database!$F:$AY,MATCH($R$1,Database!$F$1:$AY$1,),))))-(((VLOOKUP(EDATE(B389,-12),Database!$F:$AY,MATCH($R$1,Database!$F$1:$AY$1,),)))))/(((VLOOKUP(EDATE(B389,-12),Database!$F:$AY,MATCH($R$1,Database!$F$1:$AY$1,),))))</f>
        <v/>
      </c>
      <c r="S389" s="13">
        <f>((((VLOOKUP(B389,Database!$F:$AY,MATCH($S$1,Database!$F$1:$AY$1,),))))-(((VLOOKUP(EDATE(B389,-12),Database!$F:$AY,MATCH($S$1,Database!$F$1:$AY$1,),)))))/(((VLOOKUP(EDATE(B389,-12),Database!$F:$AY,MATCH($S$1,Database!$F$1:$AY$1,),))))</f>
        <v/>
      </c>
      <c r="T389" s="13">
        <f>((((VLOOKUP(B389,Database!$F:$AY,MATCH($T$1,Database!$F$1:$AY$1,),))))-(((VLOOKUP(EDATE(B389,-12),Database!$F:$AY,MATCH($T$1,Database!$F$1:$AY$1,),)))))/(((VLOOKUP(EDATE(B389,-12),Database!$F:$AY,MATCH($T$1,Database!$F$1:$AY$1,),))))</f>
        <v/>
      </c>
      <c r="U389" s="13">
        <f>((((VLOOKUP(B389,Database!$F:$AY,MATCH($U$1,Database!$F$1:$AY$1,),))))-(((VLOOKUP(EDATE(B389,-12),Database!$F:$AY,MATCH($U$1,Database!$F$1:$AY$1,),)))))/(((VLOOKUP(EDATE(B389,-12),Database!$F:$AY,MATCH($U$1,Database!$F$1:$AY$1,),))))</f>
        <v/>
      </c>
      <c r="V389" s="13">
        <f>((((VLOOKUP(B389,Database!$F:$AY,MATCH($V$1,Database!$F$1:$AY$1,),))))-(((VLOOKUP(EDATE(B389,-12),Database!$F:$AY,MATCH($V$1,Database!$F$1:$AY$1,),)))))/(((VLOOKUP(EDATE(B389,-12),Database!$F:$AY,MATCH($V$1,Database!$F$1:$AY$1,),))))</f>
        <v/>
      </c>
    </row>
    <row r="390" customFormat="1" s="100">
      <c r="B390" s="46" t="n">
        <v>44013</v>
      </c>
      <c r="C390" s="13">
        <f>((((VLOOKUP(B390,Database!$F:$AY,MATCH($C$1,Database!$F$1:$AY$1,),))))-(((VLOOKUP(EDATE(B390,-12),Database!$F:$AY,MATCH($C$1,Database!$F$1:$AY$1,),)))))/(((VLOOKUP(EDATE(B390,-12),Database!$F:$AY,MATCH($C$1,Database!$F$1:$AY$1,),))))</f>
        <v/>
      </c>
      <c r="D390" s="13">
        <f>((((VLOOKUP(B390,Database!$F:$AY,MATCH($D$1,Database!$F$1:$AY$1,),))))-(((VLOOKUP(EDATE(B390,-12),Database!$F:$AY,MATCH($D$1,Database!$F$1:$AY$1,),)))))/(((VLOOKUP(EDATE(B390,-12),Database!$F:$AY,MATCH($D$1,Database!$F$1:$AY$1,),))))</f>
        <v/>
      </c>
      <c r="E390" s="13">
        <f>((((VLOOKUP(B390,Database!$F:$AY,MATCH($E$1,Database!$F$1:$AY$1,),))))-(((VLOOKUP(EDATE(B390,-12),Database!$F:$AY,MATCH($E$1,Database!$F$1:$AY$1,),)))))/(((VLOOKUP(EDATE(B390,-12),Database!$F:$AY,MATCH($E$1,Database!$F$1:$AY$1,),))))</f>
        <v/>
      </c>
      <c r="F390" s="13">
        <f>((((VLOOKUP(B390,Database!$F:$AY,MATCH($F$1,Database!$F$1:$AY$1,),))))-(((VLOOKUP(EDATE(B390,-12),Database!$F:$AY,MATCH($F$1,Database!$F$1:$AY$1,),)))))/(((VLOOKUP(EDATE(B390,-12),Database!$F:$AY,MATCH($F$1,Database!$F$1:$AY$1,),))))</f>
        <v/>
      </c>
      <c r="G390" s="13">
        <f>((((VLOOKUP(B390,Database!$F:$AY,MATCH($G$1,Database!$F$1:$AY$1,),))))-(((VLOOKUP(EDATE(B390,-12),Database!$F:$AY,MATCH($G$1,Database!$F$1:$AY$1,),)))))/(((VLOOKUP(EDATE(B390,-12),Database!$F:$AY,MATCH($G$1,Database!$F$1:$AY$1,),))))</f>
        <v/>
      </c>
      <c r="H390" s="13">
        <f>((((VLOOKUP(B390,Database!$F:$AY,MATCH($H$1,Database!$F$1:$AY$1,),))))-(((VLOOKUP(EDATE(B390,-12),Database!$F:$AY,MATCH($H$1,Database!$F$1:$AY$1,),)))))/(((VLOOKUP(EDATE(B390,-12),Database!$F:$AY,MATCH($H$1,Database!$F$1:$AY$1,),))))</f>
        <v/>
      </c>
      <c r="I390" s="13">
        <f>((((VLOOKUP(B390,Database!$F:$AY,MATCH($I$1,Database!$F$1:$AY$1,),))))-(((VLOOKUP(EDATE(B390,-12),Database!$F:$AY,MATCH($I$1,Database!$F$1:$AY$1,),)))))/(((VLOOKUP(EDATE(B390,-12),Database!$F:$AY,MATCH($I$1,Database!$F$1:$AY$1,),))))</f>
        <v/>
      </c>
      <c r="J390" s="13">
        <f>((((VLOOKUP(B390,Database!$F:$AY,MATCH($J$1,Database!$F$1:$AY$1,),))))-(((VLOOKUP(EDATE(B390,-12),Database!$F:$AY,MATCH($J$1,Database!$F$1:$AY$1,),)))))/(((VLOOKUP(EDATE(B390,-12),Database!$F:$AY,MATCH($J$1,Database!$F$1:$AY$1,),))))</f>
        <v/>
      </c>
      <c r="K390" s="13">
        <f>((((VLOOKUP(B390,Database!$F:$AY,MATCH($K$1,Database!$F$1:$AY$1,),))))-(((VLOOKUP(EDATE(B390,-12),Database!$F:$AY,MATCH($K$1,Database!$F$1:$AY$1,),)))))/(((VLOOKUP(EDATE(B390,-12),Database!$F:$AY,MATCH($K$1,Database!$F$1:$AY$1,),))))</f>
        <v/>
      </c>
      <c r="L390" s="13" t="n"/>
      <c r="M390" s="13" t="n"/>
      <c r="N390" s="13" t="n"/>
      <c r="O390" s="13">
        <f>((((VLOOKUP(B390,Database!$F:$AY,MATCH($O$1,Database!$F$1:$AY$1,),))))-(((VLOOKUP(EDATE(B390,-12),Database!$F:$AY,MATCH($O$1,Database!$F$1:$AY$1,),)))))/(((VLOOKUP(EDATE(B390,-12),Database!$F:$AY,MATCH($O$1,Database!$F$1:$AY$1,),))))</f>
        <v/>
      </c>
      <c r="P390" s="13">
        <f>((((VLOOKUP(B390,Database!$F:$AY,MATCH($P$1,Database!$F$1:$AY$1,),))))-(((VLOOKUP(EDATE(B390,-12),Database!$F:$AY,MATCH($P$1,Database!$F$1:$AY$1,),)))))/(((VLOOKUP(EDATE(B390,-12),Database!$F:$AY,MATCH($P$1,Database!$F$1:$AY$1,),))))</f>
        <v/>
      </c>
      <c r="Q390" s="13">
        <f>((((VLOOKUP(B390,Database!$F:$AY,MATCH($Q$1,Database!$F$1:$AY$1,),))))-(((VLOOKUP(EDATE(B390,-12),Database!$F:$AY,MATCH($Q$1,Database!$F$1:$AY$1,),)))))/(((VLOOKUP(EDATE(B390,-12),Database!$F:$AY,MATCH($Q$1,Database!$F$1:$AY$1,),))))</f>
        <v/>
      </c>
      <c r="R390" s="13">
        <f>((((VLOOKUP(B390,Database!$F:$AY,MATCH($R$1,Database!$F$1:$AY$1,),))))-(((VLOOKUP(EDATE(B390,-12),Database!$F:$AY,MATCH($R$1,Database!$F$1:$AY$1,),)))))/(((VLOOKUP(EDATE(B390,-12),Database!$F:$AY,MATCH($R$1,Database!$F$1:$AY$1,),))))</f>
        <v/>
      </c>
      <c r="S390" s="13">
        <f>((((VLOOKUP(B390,Database!$F:$AY,MATCH($S$1,Database!$F$1:$AY$1,),))))-(((VLOOKUP(EDATE(B390,-12),Database!$F:$AY,MATCH($S$1,Database!$F$1:$AY$1,),)))))/(((VLOOKUP(EDATE(B390,-12),Database!$F:$AY,MATCH($S$1,Database!$F$1:$AY$1,),))))</f>
        <v/>
      </c>
      <c r="T390" s="13">
        <f>((((VLOOKUP(B390,Database!$F:$AY,MATCH($T$1,Database!$F$1:$AY$1,),))))-(((VLOOKUP(EDATE(B390,-12),Database!$F:$AY,MATCH($T$1,Database!$F$1:$AY$1,),)))))/(((VLOOKUP(EDATE(B390,-12),Database!$F:$AY,MATCH($T$1,Database!$F$1:$AY$1,),))))</f>
        <v/>
      </c>
      <c r="U390" s="13">
        <f>((((VLOOKUP(B390,Database!$F:$AY,MATCH($U$1,Database!$F$1:$AY$1,),))))-(((VLOOKUP(EDATE(B390,-12),Database!$F:$AY,MATCH($U$1,Database!$F$1:$AY$1,),)))))/(((VLOOKUP(EDATE(B390,-12),Database!$F:$AY,MATCH($U$1,Database!$F$1:$AY$1,),))))</f>
        <v/>
      </c>
      <c r="V390" s="13">
        <f>((((VLOOKUP(B390,Database!$F:$AY,MATCH($V$1,Database!$F$1:$AY$1,),))))-(((VLOOKUP(EDATE(B390,-12),Database!$F:$AY,MATCH($V$1,Database!$F$1:$AY$1,),)))))/(((VLOOKUP(EDATE(B390,-12),Database!$F:$AY,MATCH($V$1,Database!$F$1:$AY$1,),))))</f>
        <v/>
      </c>
    </row>
    <row r="391" customFormat="1" s="100">
      <c r="B391" s="46" t="n">
        <v>44044</v>
      </c>
      <c r="C391" s="13">
        <f>((((VLOOKUP(B391,Database!$F:$AY,MATCH($C$1,Database!$F$1:$AY$1,),))))-(((VLOOKUP(EDATE(B391,-12),Database!$F:$AY,MATCH($C$1,Database!$F$1:$AY$1,),)))))/(((VLOOKUP(EDATE(B391,-12),Database!$F:$AY,MATCH($C$1,Database!$F$1:$AY$1,),))))</f>
        <v/>
      </c>
      <c r="D391" s="13">
        <f>((((VLOOKUP(B391,Database!$F:$AY,MATCH($D$1,Database!$F$1:$AY$1,),))))-(((VLOOKUP(EDATE(B391,-12),Database!$F:$AY,MATCH($D$1,Database!$F$1:$AY$1,),)))))/(((VLOOKUP(EDATE(B391,-12),Database!$F:$AY,MATCH($D$1,Database!$F$1:$AY$1,),))))</f>
        <v/>
      </c>
      <c r="E391" s="13">
        <f>((((VLOOKUP(B391,Database!$F:$AY,MATCH($E$1,Database!$F$1:$AY$1,),))))-(((VLOOKUP(EDATE(B391,-12),Database!$F:$AY,MATCH($E$1,Database!$F$1:$AY$1,),)))))/(((VLOOKUP(EDATE(B391,-12),Database!$F:$AY,MATCH($E$1,Database!$F$1:$AY$1,),))))</f>
        <v/>
      </c>
      <c r="F391" s="13">
        <f>((((VLOOKUP(B391,Database!$F:$AY,MATCH($F$1,Database!$F$1:$AY$1,),))))-(((VLOOKUP(EDATE(B391,-12),Database!$F:$AY,MATCH($F$1,Database!$F$1:$AY$1,),)))))/(((VLOOKUP(EDATE(B391,-12),Database!$F:$AY,MATCH($F$1,Database!$F$1:$AY$1,),))))</f>
        <v/>
      </c>
      <c r="G391" s="13">
        <f>((((VLOOKUP(B391,Database!$F:$AY,MATCH($G$1,Database!$F$1:$AY$1,),))))-(((VLOOKUP(EDATE(B391,-12),Database!$F:$AY,MATCH($G$1,Database!$F$1:$AY$1,),)))))/(((VLOOKUP(EDATE(B391,-12),Database!$F:$AY,MATCH($G$1,Database!$F$1:$AY$1,),))))</f>
        <v/>
      </c>
      <c r="H391" s="13">
        <f>((((VLOOKUP(B391,Database!$F:$AY,MATCH($H$1,Database!$F$1:$AY$1,),))))-(((VLOOKUP(EDATE(B391,-12),Database!$F:$AY,MATCH($H$1,Database!$F$1:$AY$1,),)))))/(((VLOOKUP(EDATE(B391,-12),Database!$F:$AY,MATCH($H$1,Database!$F$1:$AY$1,),))))</f>
        <v/>
      </c>
      <c r="I391" s="13">
        <f>((((VLOOKUP(B391,Database!$F:$AY,MATCH($I$1,Database!$F$1:$AY$1,),))))-(((VLOOKUP(EDATE(B391,-12),Database!$F:$AY,MATCH($I$1,Database!$F$1:$AY$1,),)))))/(((VLOOKUP(EDATE(B391,-12),Database!$F:$AY,MATCH($I$1,Database!$F$1:$AY$1,),))))</f>
        <v/>
      </c>
      <c r="J391" s="13">
        <f>((((VLOOKUP(B391,Database!$F:$AY,MATCH($J$1,Database!$F$1:$AY$1,),))))-(((VLOOKUP(EDATE(B391,-12),Database!$F:$AY,MATCH($J$1,Database!$F$1:$AY$1,),)))))/(((VLOOKUP(EDATE(B391,-12),Database!$F:$AY,MATCH($J$1,Database!$F$1:$AY$1,),))))</f>
        <v/>
      </c>
      <c r="K391" s="13">
        <f>((((VLOOKUP(B391,Database!$F:$AY,MATCH($K$1,Database!$F$1:$AY$1,),))))-(((VLOOKUP(EDATE(B391,-12),Database!$F:$AY,MATCH($K$1,Database!$F$1:$AY$1,),)))))/(((VLOOKUP(EDATE(B391,-12),Database!$F:$AY,MATCH($K$1,Database!$F$1:$AY$1,),))))</f>
        <v/>
      </c>
      <c r="L391" s="13" t="n"/>
      <c r="M391" s="13" t="n"/>
      <c r="N391" s="13" t="n"/>
      <c r="O391" s="13">
        <f>((((VLOOKUP(B391,Database!$F:$AY,MATCH($O$1,Database!$F$1:$AY$1,),))))-(((VLOOKUP(EDATE(B391,-12),Database!$F:$AY,MATCH($O$1,Database!$F$1:$AY$1,),)))))/(((VLOOKUP(EDATE(B391,-12),Database!$F:$AY,MATCH($O$1,Database!$F$1:$AY$1,),))))</f>
        <v/>
      </c>
      <c r="P391" s="13">
        <f>((((VLOOKUP(B391,Database!$F:$AY,MATCH($P$1,Database!$F$1:$AY$1,),))))-(((VLOOKUP(EDATE(B391,-12),Database!$F:$AY,MATCH($P$1,Database!$F$1:$AY$1,),)))))/(((VLOOKUP(EDATE(B391,-12),Database!$F:$AY,MATCH($P$1,Database!$F$1:$AY$1,),))))</f>
        <v/>
      </c>
      <c r="Q391" s="13">
        <f>((((VLOOKUP(B391,Database!$F:$AY,MATCH($Q$1,Database!$F$1:$AY$1,),))))-(((VLOOKUP(EDATE(B391,-12),Database!$F:$AY,MATCH($Q$1,Database!$F$1:$AY$1,),)))))/(((VLOOKUP(EDATE(B391,-12),Database!$F:$AY,MATCH($Q$1,Database!$F$1:$AY$1,),))))</f>
        <v/>
      </c>
      <c r="R391" s="13">
        <f>((((VLOOKUP(B391,Database!$F:$AY,MATCH($R$1,Database!$F$1:$AY$1,),))))-(((VLOOKUP(EDATE(B391,-12),Database!$F:$AY,MATCH($R$1,Database!$F$1:$AY$1,),)))))/(((VLOOKUP(EDATE(B391,-12),Database!$F:$AY,MATCH($R$1,Database!$F$1:$AY$1,),))))</f>
        <v/>
      </c>
      <c r="S391" s="13">
        <f>((((VLOOKUP(B391,Database!$F:$AY,MATCH($S$1,Database!$F$1:$AY$1,),))))-(((VLOOKUP(EDATE(B391,-12),Database!$F:$AY,MATCH($S$1,Database!$F$1:$AY$1,),)))))/(((VLOOKUP(EDATE(B391,-12),Database!$F:$AY,MATCH($S$1,Database!$F$1:$AY$1,),))))</f>
        <v/>
      </c>
      <c r="T391" s="13">
        <f>((((VLOOKUP(B391,Database!$F:$AY,MATCH($T$1,Database!$F$1:$AY$1,),))))-(((VLOOKUP(EDATE(B391,-12),Database!$F:$AY,MATCH($T$1,Database!$F$1:$AY$1,),)))))/(((VLOOKUP(EDATE(B391,-12),Database!$F:$AY,MATCH($T$1,Database!$F$1:$AY$1,),))))</f>
        <v/>
      </c>
      <c r="U391" s="13">
        <f>((((VLOOKUP(B391,Database!$F:$AY,MATCH($U$1,Database!$F$1:$AY$1,),))))-(((VLOOKUP(EDATE(B391,-12),Database!$F:$AY,MATCH($U$1,Database!$F$1:$AY$1,),)))))/(((VLOOKUP(EDATE(B391,-12),Database!$F:$AY,MATCH($U$1,Database!$F$1:$AY$1,),))))</f>
        <v/>
      </c>
      <c r="V391" s="13">
        <f>((((VLOOKUP(B391,Database!$F:$AY,MATCH($V$1,Database!$F$1:$AY$1,),))))-(((VLOOKUP(EDATE(B391,-12),Database!$F:$AY,MATCH($V$1,Database!$F$1:$AY$1,),)))))/(((VLOOKUP(EDATE(B391,-12),Database!$F:$AY,MATCH($V$1,Database!$F$1:$AY$1,),))))</f>
        <v/>
      </c>
    </row>
    <row r="392" customFormat="1" s="100">
      <c r="B392" s="46" t="n">
        <v>44075</v>
      </c>
      <c r="C392" s="13">
        <f>((((VLOOKUP(B392,Database!$F:$AY,MATCH($C$1,Database!$F$1:$AY$1,),))))-(((VLOOKUP(EDATE(B392,-12),Database!$F:$AY,MATCH($C$1,Database!$F$1:$AY$1,),)))))/(((VLOOKUP(EDATE(B392,-12),Database!$F:$AY,MATCH($C$1,Database!$F$1:$AY$1,),))))</f>
        <v/>
      </c>
      <c r="D392" s="13">
        <f>((((VLOOKUP(B392,Database!$F:$AY,MATCH($D$1,Database!$F$1:$AY$1,),))))-(((VLOOKUP(EDATE(B392,-12),Database!$F:$AY,MATCH($D$1,Database!$F$1:$AY$1,),)))))/(((VLOOKUP(EDATE(B392,-12),Database!$F:$AY,MATCH($D$1,Database!$F$1:$AY$1,),))))</f>
        <v/>
      </c>
      <c r="E392" s="13">
        <f>((((VLOOKUP(B392,Database!$F:$AY,MATCH($E$1,Database!$F$1:$AY$1,),))))-(((VLOOKUP(EDATE(B392,-12),Database!$F:$AY,MATCH($E$1,Database!$F$1:$AY$1,),)))))/(((VLOOKUP(EDATE(B392,-12),Database!$F:$AY,MATCH($E$1,Database!$F$1:$AY$1,),))))</f>
        <v/>
      </c>
      <c r="F392" s="13">
        <f>((((VLOOKUP(B392,Database!$F:$AY,MATCH($F$1,Database!$F$1:$AY$1,),))))-(((VLOOKUP(EDATE(B392,-12),Database!$F:$AY,MATCH($F$1,Database!$F$1:$AY$1,),)))))/(((VLOOKUP(EDATE(B392,-12),Database!$F:$AY,MATCH($F$1,Database!$F$1:$AY$1,),))))</f>
        <v/>
      </c>
      <c r="G392" s="13">
        <f>((((VLOOKUP(B392,Database!$F:$AY,MATCH($G$1,Database!$F$1:$AY$1,),))))-(((VLOOKUP(EDATE(B392,-12),Database!$F:$AY,MATCH($G$1,Database!$F$1:$AY$1,),)))))/(((VLOOKUP(EDATE(B392,-12),Database!$F:$AY,MATCH($G$1,Database!$F$1:$AY$1,),))))</f>
        <v/>
      </c>
      <c r="H392" s="13">
        <f>((((VLOOKUP(B392,Database!$F:$AY,MATCH($H$1,Database!$F$1:$AY$1,),))))-(((VLOOKUP(EDATE(B392,-12),Database!$F:$AY,MATCH($H$1,Database!$F$1:$AY$1,),)))))/(((VLOOKUP(EDATE(B392,-12),Database!$F:$AY,MATCH($H$1,Database!$F$1:$AY$1,),))))</f>
        <v/>
      </c>
      <c r="I392" s="13">
        <f>((((VLOOKUP(B392,Database!$F:$AY,MATCH($I$1,Database!$F$1:$AY$1,),))))-(((VLOOKUP(EDATE(B392,-12),Database!$F:$AY,MATCH($I$1,Database!$F$1:$AY$1,),)))))/(((VLOOKUP(EDATE(B392,-12),Database!$F:$AY,MATCH($I$1,Database!$F$1:$AY$1,),))))</f>
        <v/>
      </c>
      <c r="J392" s="13">
        <f>((((VLOOKUP(B392,Database!$F:$AY,MATCH($J$1,Database!$F$1:$AY$1,),))))-(((VLOOKUP(EDATE(B392,-12),Database!$F:$AY,MATCH($J$1,Database!$F$1:$AY$1,),)))))/(((VLOOKUP(EDATE(B392,-12),Database!$F:$AY,MATCH($J$1,Database!$F$1:$AY$1,),))))</f>
        <v/>
      </c>
      <c r="K392" s="13">
        <f>((((VLOOKUP(B392,Database!$F:$AY,MATCH($K$1,Database!$F$1:$AY$1,),))))-(((VLOOKUP(EDATE(B392,-12),Database!$F:$AY,MATCH($K$1,Database!$F$1:$AY$1,),)))))/(((VLOOKUP(EDATE(B392,-12),Database!$F:$AY,MATCH($K$1,Database!$F$1:$AY$1,),))))</f>
        <v/>
      </c>
      <c r="L392" s="13" t="n"/>
      <c r="M392" s="13" t="n"/>
      <c r="N392" s="13" t="n"/>
      <c r="O392" s="13">
        <f>((((VLOOKUP(B392,Database!$F:$AY,MATCH($O$1,Database!$F$1:$AY$1,),))))-(((VLOOKUP(EDATE(B392,-12),Database!$F:$AY,MATCH($O$1,Database!$F$1:$AY$1,),)))))/(((VLOOKUP(EDATE(B392,-12),Database!$F:$AY,MATCH($O$1,Database!$F$1:$AY$1,),))))</f>
        <v/>
      </c>
      <c r="P392" s="13">
        <f>((((VLOOKUP(B392,Database!$F:$AY,MATCH($P$1,Database!$F$1:$AY$1,),))))-(((VLOOKUP(EDATE(B392,-12),Database!$F:$AY,MATCH($P$1,Database!$F$1:$AY$1,),)))))/(((VLOOKUP(EDATE(B392,-12),Database!$F:$AY,MATCH($P$1,Database!$F$1:$AY$1,),))))</f>
        <v/>
      </c>
      <c r="Q392" s="13">
        <f>((((VLOOKUP(B392,Database!$F:$AY,MATCH($Q$1,Database!$F$1:$AY$1,),))))-(((VLOOKUP(EDATE(B392,-12),Database!$F:$AY,MATCH($Q$1,Database!$F$1:$AY$1,),)))))/(((VLOOKUP(EDATE(B392,-12),Database!$F:$AY,MATCH($Q$1,Database!$F$1:$AY$1,),))))</f>
        <v/>
      </c>
      <c r="R392" s="13">
        <f>((((VLOOKUP(B392,Database!$F:$AY,MATCH($R$1,Database!$F$1:$AY$1,),))))-(((VLOOKUP(EDATE(B392,-12),Database!$F:$AY,MATCH($R$1,Database!$F$1:$AY$1,),)))))/(((VLOOKUP(EDATE(B392,-12),Database!$F:$AY,MATCH($R$1,Database!$F$1:$AY$1,),))))</f>
        <v/>
      </c>
      <c r="S392" s="13">
        <f>((((VLOOKUP(B392,Database!$F:$AY,MATCH($S$1,Database!$F$1:$AY$1,),))))-(((VLOOKUP(EDATE(B392,-12),Database!$F:$AY,MATCH($S$1,Database!$F$1:$AY$1,),)))))/(((VLOOKUP(EDATE(B392,-12),Database!$F:$AY,MATCH($S$1,Database!$F$1:$AY$1,),))))</f>
        <v/>
      </c>
      <c r="T392" s="13">
        <f>((((VLOOKUP(B392,Database!$F:$AY,MATCH($T$1,Database!$F$1:$AY$1,),))))-(((VLOOKUP(EDATE(B392,-12),Database!$F:$AY,MATCH($T$1,Database!$F$1:$AY$1,),)))))/(((VLOOKUP(EDATE(B392,-12),Database!$F:$AY,MATCH($T$1,Database!$F$1:$AY$1,),))))</f>
        <v/>
      </c>
      <c r="U392" s="13">
        <f>((((VLOOKUP(B392,Database!$F:$AY,MATCH($U$1,Database!$F$1:$AY$1,),))))-(((VLOOKUP(EDATE(B392,-12),Database!$F:$AY,MATCH($U$1,Database!$F$1:$AY$1,),)))))/(((VLOOKUP(EDATE(B392,-12),Database!$F:$AY,MATCH($U$1,Database!$F$1:$AY$1,),))))</f>
        <v/>
      </c>
      <c r="V392" s="13">
        <f>((((VLOOKUP(B392,Database!$F:$AY,MATCH($V$1,Database!$F$1:$AY$1,),))))-(((VLOOKUP(EDATE(B392,-12),Database!$F:$AY,MATCH($V$1,Database!$F$1:$AY$1,),)))))/(((VLOOKUP(EDATE(B392,-12),Database!$F:$AY,MATCH($V$1,Database!$F$1:$AY$1,),))))</f>
        <v/>
      </c>
    </row>
    <row r="393" customFormat="1" s="100">
      <c r="B393" s="46" t="n">
        <v>44105</v>
      </c>
      <c r="C393" s="13">
        <f>((((VLOOKUP(B393,Database!$F:$AY,MATCH($C$1,Database!$F$1:$AY$1,),))))-(((VLOOKUP(EDATE(B393,-12),Database!$F:$AY,MATCH($C$1,Database!$F$1:$AY$1,),)))))/(((VLOOKUP(EDATE(B393,-12),Database!$F:$AY,MATCH($C$1,Database!$F$1:$AY$1,),))))</f>
        <v/>
      </c>
      <c r="D393" s="13">
        <f>((((VLOOKUP(B393,Database!$F:$AY,MATCH($D$1,Database!$F$1:$AY$1,),))))-(((VLOOKUP(EDATE(B393,-12),Database!$F:$AY,MATCH($D$1,Database!$F$1:$AY$1,),)))))/(((VLOOKUP(EDATE(B393,-12),Database!$F:$AY,MATCH($D$1,Database!$F$1:$AY$1,),))))</f>
        <v/>
      </c>
      <c r="E393" s="13">
        <f>((((VLOOKUP(B393,Database!$F:$AY,MATCH($E$1,Database!$F$1:$AY$1,),))))-(((VLOOKUP(EDATE(B393,-12),Database!$F:$AY,MATCH($E$1,Database!$F$1:$AY$1,),)))))/(((VLOOKUP(EDATE(B393,-12),Database!$F:$AY,MATCH($E$1,Database!$F$1:$AY$1,),))))</f>
        <v/>
      </c>
      <c r="F393" s="13">
        <f>((((VLOOKUP(B393,Database!$F:$AY,MATCH($F$1,Database!$F$1:$AY$1,),))))-(((VLOOKUP(EDATE(B393,-12),Database!$F:$AY,MATCH($F$1,Database!$F$1:$AY$1,),)))))/(((VLOOKUP(EDATE(B393,-12),Database!$F:$AY,MATCH($F$1,Database!$F$1:$AY$1,),))))</f>
        <v/>
      </c>
      <c r="G393" s="13">
        <f>((((VLOOKUP(B393,Database!$F:$AY,MATCH($G$1,Database!$F$1:$AY$1,),))))-(((VLOOKUP(EDATE(B393,-12),Database!$F:$AY,MATCH($G$1,Database!$F$1:$AY$1,),)))))/(((VLOOKUP(EDATE(B393,-12),Database!$F:$AY,MATCH($G$1,Database!$F$1:$AY$1,),))))</f>
        <v/>
      </c>
      <c r="H393" s="13">
        <f>((((VLOOKUP(B393,Database!$F:$AY,MATCH($H$1,Database!$F$1:$AY$1,),))))-(((VLOOKUP(EDATE(B393,-12),Database!$F:$AY,MATCH($H$1,Database!$F$1:$AY$1,),)))))/(((VLOOKUP(EDATE(B393,-12),Database!$F:$AY,MATCH($H$1,Database!$F$1:$AY$1,),))))</f>
        <v/>
      </c>
      <c r="I393" s="13">
        <f>((((VLOOKUP(B393,Database!$F:$AY,MATCH($I$1,Database!$F$1:$AY$1,),))))-(((VLOOKUP(EDATE(B393,-12),Database!$F:$AY,MATCH($I$1,Database!$F$1:$AY$1,),)))))/(((VLOOKUP(EDATE(B393,-12),Database!$F:$AY,MATCH($I$1,Database!$F$1:$AY$1,),))))</f>
        <v/>
      </c>
      <c r="J393" s="13">
        <f>((((VLOOKUP(B393,Database!$F:$AY,MATCH($J$1,Database!$F$1:$AY$1,),))))-(((VLOOKUP(EDATE(B393,-12),Database!$F:$AY,MATCH($J$1,Database!$F$1:$AY$1,),)))))/(((VLOOKUP(EDATE(B393,-12),Database!$F:$AY,MATCH($J$1,Database!$F$1:$AY$1,),))))</f>
        <v/>
      </c>
      <c r="K393" s="13">
        <f>((((VLOOKUP(B393,Database!$F:$AY,MATCH($K$1,Database!$F$1:$AY$1,),))))-(((VLOOKUP(EDATE(B393,-12),Database!$F:$AY,MATCH($K$1,Database!$F$1:$AY$1,),)))))/(((VLOOKUP(EDATE(B393,-12),Database!$F:$AY,MATCH($K$1,Database!$F$1:$AY$1,),))))</f>
        <v/>
      </c>
      <c r="L393" s="13" t="n"/>
      <c r="M393" s="13" t="n"/>
      <c r="N393" s="13" t="n"/>
      <c r="O393" s="13">
        <f>((((VLOOKUP(B393,Database!$F:$AY,MATCH($O$1,Database!$F$1:$AY$1,),))))-(((VLOOKUP(EDATE(B393,-12),Database!$F:$AY,MATCH($O$1,Database!$F$1:$AY$1,),)))))/(((VLOOKUP(EDATE(B393,-12),Database!$F:$AY,MATCH($O$1,Database!$F$1:$AY$1,),))))</f>
        <v/>
      </c>
      <c r="P393" s="13">
        <f>((((VLOOKUP(B393,Database!$F:$AY,MATCH($P$1,Database!$F$1:$AY$1,),))))-(((VLOOKUP(EDATE(B393,-12),Database!$F:$AY,MATCH($P$1,Database!$F$1:$AY$1,),)))))/(((VLOOKUP(EDATE(B393,-12),Database!$F:$AY,MATCH($P$1,Database!$F$1:$AY$1,),))))</f>
        <v/>
      </c>
      <c r="Q393" s="13">
        <f>((((VLOOKUP(B393,Database!$F:$AY,MATCH($Q$1,Database!$F$1:$AY$1,),))))-(((VLOOKUP(EDATE(B393,-12),Database!$F:$AY,MATCH($Q$1,Database!$F$1:$AY$1,),)))))/(((VLOOKUP(EDATE(B393,-12),Database!$F:$AY,MATCH($Q$1,Database!$F$1:$AY$1,),))))</f>
        <v/>
      </c>
      <c r="R393" s="13">
        <f>((((VLOOKUP(B393,Database!$F:$AY,MATCH($R$1,Database!$F$1:$AY$1,),))))-(((VLOOKUP(EDATE(B393,-12),Database!$F:$AY,MATCH($R$1,Database!$F$1:$AY$1,),)))))/(((VLOOKUP(EDATE(B393,-12),Database!$F:$AY,MATCH($R$1,Database!$F$1:$AY$1,),))))</f>
        <v/>
      </c>
      <c r="S393" s="13">
        <f>((((VLOOKUP(B393,Database!$F:$AY,MATCH($S$1,Database!$F$1:$AY$1,),))))-(((VLOOKUP(EDATE(B393,-12),Database!$F:$AY,MATCH($S$1,Database!$F$1:$AY$1,),)))))/(((VLOOKUP(EDATE(B393,-12),Database!$F:$AY,MATCH($S$1,Database!$F$1:$AY$1,),))))</f>
        <v/>
      </c>
      <c r="T393" s="13">
        <f>((((VLOOKUP(B393,Database!$F:$AY,MATCH($T$1,Database!$F$1:$AY$1,),))))-(((VLOOKUP(EDATE(B393,-12),Database!$F:$AY,MATCH($T$1,Database!$F$1:$AY$1,),)))))/(((VLOOKUP(EDATE(B393,-12),Database!$F:$AY,MATCH($T$1,Database!$F$1:$AY$1,),))))</f>
        <v/>
      </c>
      <c r="U393" s="13">
        <f>((((VLOOKUP(B393,Database!$F:$AY,MATCH($U$1,Database!$F$1:$AY$1,),))))-(((VLOOKUP(EDATE(B393,-12),Database!$F:$AY,MATCH($U$1,Database!$F$1:$AY$1,),)))))/(((VLOOKUP(EDATE(B393,-12),Database!$F:$AY,MATCH($U$1,Database!$F$1:$AY$1,),))))</f>
        <v/>
      </c>
      <c r="V393" s="13">
        <f>((((VLOOKUP(B393,Database!$F:$AY,MATCH($V$1,Database!$F$1:$AY$1,),))))-(((VLOOKUP(EDATE(B393,-12),Database!$F:$AY,MATCH($V$1,Database!$F$1:$AY$1,),)))))/(((VLOOKUP(EDATE(B393,-12),Database!$F:$AY,MATCH($V$1,Database!$F$1:$AY$1,),))))</f>
        <v/>
      </c>
    </row>
    <row r="394" customFormat="1" s="100"/>
    <row r="395" customFormat="1" s="100"/>
    <row r="396" customFormat="1" s="100"/>
    <row r="397" customFormat="1" s="100"/>
    <row r="398" customFormat="1" s="100"/>
    <row r="399" customFormat="1" s="100"/>
    <row r="400" customFormat="1" s="100"/>
    <row r="401" customFormat="1" s="100"/>
    <row r="402" customFormat="1" s="100"/>
    <row r="403" customFormat="1" s="100"/>
    <row r="404" customFormat="1" s="100"/>
    <row r="405" customFormat="1" s="100"/>
    <row r="406" customFormat="1" s="100"/>
    <row r="407" customFormat="1" s="100"/>
    <row r="408" customFormat="1" s="100"/>
    <row r="409" customFormat="1" s="100"/>
    <row r="410" customFormat="1" s="100"/>
    <row r="411" customFormat="1" s="100"/>
    <row r="412" customFormat="1" s="100"/>
    <row r="413" customFormat="1" s="100"/>
    <row r="414" customFormat="1" s="100"/>
    <row r="415" customFormat="1" s="100"/>
    <row r="416" customFormat="1" s="100"/>
    <row r="417" customFormat="1" s="100"/>
    <row r="418" customFormat="1" s="100"/>
    <row r="419" customFormat="1" s="100"/>
    <row r="420" customFormat="1" s="100"/>
    <row r="421" customFormat="1" s="100"/>
    <row r="422" customFormat="1" s="100"/>
    <row r="423" customFormat="1" s="100"/>
    <row r="424" customFormat="1" s="100"/>
    <row r="425" customFormat="1" s="100"/>
    <row r="426" customFormat="1" s="100"/>
    <row r="427" customFormat="1" s="100"/>
    <row r="428" customFormat="1" s="100"/>
    <row r="429" customFormat="1" s="100"/>
    <row r="430" customFormat="1" s="100"/>
    <row r="431" customFormat="1" s="100"/>
    <row r="432" customFormat="1" s="100"/>
    <row r="433" customFormat="1" s="100"/>
    <row r="434" customFormat="1" s="100"/>
    <row r="435" customFormat="1" s="100"/>
    <row r="436" customFormat="1" s="100"/>
    <row r="437" customFormat="1" s="100"/>
    <row r="438" customFormat="1" s="100"/>
    <row r="439" customFormat="1" s="100"/>
    <row r="440" customFormat="1" s="100"/>
    <row r="441" customFormat="1" s="100"/>
    <row r="442" customFormat="1" s="100"/>
    <row r="443" customFormat="1" s="100"/>
    <row r="444" customFormat="1" s="100"/>
    <row r="445" customFormat="1" s="100"/>
    <row r="446" customFormat="1" s="100"/>
    <row r="447" customFormat="1" s="100"/>
    <row r="448" customFormat="1" s="100"/>
    <row r="449" customFormat="1" s="100"/>
    <row r="450" customFormat="1" s="100"/>
    <row r="451" customFormat="1" s="100"/>
    <row r="452" customFormat="1" s="100"/>
    <row r="453" customFormat="1" s="100"/>
    <row r="454" customFormat="1" s="100"/>
    <row r="455" customFormat="1" s="100"/>
    <row r="456" customFormat="1" s="100"/>
    <row r="457" customFormat="1" s="100"/>
    <row r="458" customFormat="1" s="100"/>
    <row r="459" customFormat="1" s="100"/>
    <row r="460" customFormat="1" s="100"/>
    <row r="461" customFormat="1" s="100"/>
    <row r="462" customFormat="1" s="100"/>
    <row r="463" customFormat="1" s="100"/>
    <row r="464" customFormat="1" s="100"/>
    <row r="465" customFormat="1" s="100"/>
    <row r="466" customFormat="1" s="100"/>
    <row r="467" customFormat="1" s="100"/>
    <row r="468" customFormat="1" s="100"/>
    <row r="469" customFormat="1" s="100"/>
    <row r="470" customFormat="1" s="100"/>
    <row r="471" customFormat="1" s="100"/>
    <row r="472" customFormat="1" s="100"/>
    <row r="473" customFormat="1" s="100"/>
    <row r="474" customFormat="1" s="100"/>
    <row r="475" customFormat="1" s="100"/>
    <row r="476" customFormat="1" s="100"/>
    <row r="477" customFormat="1" s="100"/>
    <row r="478" customFormat="1" s="100"/>
    <row r="479" customFormat="1" s="100"/>
    <row r="480" customFormat="1" s="100"/>
    <row r="481" customFormat="1" s="100"/>
    <row r="482" customFormat="1" s="100"/>
    <row r="483" customFormat="1" s="100"/>
    <row r="484" customFormat="1" s="100"/>
    <row r="485" customFormat="1" s="100"/>
    <row r="486" customFormat="1" s="100"/>
    <row r="487" customFormat="1" s="100"/>
    <row r="488" customFormat="1" s="100"/>
    <row r="489" customFormat="1" s="100"/>
    <row r="490" customFormat="1" s="100"/>
    <row r="491" customFormat="1" s="100"/>
    <row r="492" customFormat="1" s="100"/>
    <row r="493" customFormat="1" s="100"/>
    <row r="494" customFormat="1" s="100"/>
    <row r="495" customFormat="1" s="100"/>
    <row r="496" customFormat="1" s="100"/>
    <row r="497" customFormat="1" s="100"/>
    <row r="498" customFormat="1" s="100"/>
    <row r="499" customFormat="1" s="100"/>
    <row r="500" customFormat="1" s="100"/>
    <row r="501" customFormat="1" s="100"/>
    <row r="502" customFormat="1" s="100"/>
    <row r="503" customFormat="1" s="100"/>
    <row r="504" customFormat="1" s="100"/>
    <row r="505" customFormat="1" s="100"/>
    <row r="506" customFormat="1" s="100"/>
    <row r="507" customFormat="1" s="100"/>
    <row r="508" customFormat="1" s="100"/>
    <row r="509" customFormat="1" s="100"/>
    <row r="510" customFormat="1" s="100"/>
    <row r="511" customFormat="1" s="100"/>
    <row r="512" customFormat="1" s="100"/>
    <row r="513" customFormat="1" s="100"/>
    <row r="514" customFormat="1" s="100"/>
    <row r="515" customFormat="1" s="100"/>
    <row r="516" customFormat="1" s="100"/>
    <row r="517" customFormat="1" s="100"/>
    <row r="518" customFormat="1" s="100"/>
    <row r="519" customFormat="1" s="100"/>
    <row r="520" customFormat="1" s="100"/>
    <row r="521" customFormat="1" s="100"/>
    <row r="522" customFormat="1" s="100"/>
    <row r="523" customFormat="1" s="100"/>
    <row r="524" customFormat="1" s="100"/>
    <row r="525" customFormat="1" s="100"/>
    <row r="526" customFormat="1" s="100"/>
    <row r="527" customFormat="1" s="100"/>
    <row r="528" customFormat="1" s="100"/>
    <row r="529" customFormat="1" s="100"/>
    <row r="530" customFormat="1" s="100"/>
    <row r="531" customFormat="1" s="100"/>
    <row r="532" customFormat="1" s="100"/>
    <row r="533" customFormat="1" s="100"/>
    <row r="534" customFormat="1" s="100"/>
    <row r="535" customFormat="1" s="100"/>
    <row r="536" customFormat="1" s="100"/>
    <row r="537" customFormat="1" s="100"/>
    <row r="538" customFormat="1" s="100"/>
    <row r="539" customFormat="1" s="100"/>
    <row r="540" customFormat="1" s="100"/>
    <row r="541" customFormat="1" s="100"/>
    <row r="542" customFormat="1" s="100"/>
    <row r="543" customFormat="1" s="100"/>
    <row r="544" customFormat="1" s="100"/>
    <row r="545" customFormat="1" s="100"/>
    <row r="546" customFormat="1" s="100"/>
    <row r="547" customFormat="1" s="100"/>
    <row r="548" customFormat="1" s="100"/>
    <row r="549" customFormat="1" s="100"/>
    <row r="550" customFormat="1" s="100"/>
    <row r="551" customFormat="1" s="100"/>
    <row r="552" customFormat="1" s="100"/>
    <row r="553" customFormat="1" s="100"/>
    <row r="554" customFormat="1" s="100"/>
    <row r="555" customFormat="1" s="100"/>
    <row r="556" customFormat="1" s="100"/>
    <row r="557" customFormat="1" s="100"/>
    <row r="558" customFormat="1" s="100"/>
    <row r="559" customFormat="1" s="100"/>
    <row r="560" customFormat="1" s="100"/>
    <row r="561" customFormat="1" s="100"/>
    <row r="562" customFormat="1" s="100"/>
    <row r="563" customFormat="1" s="100"/>
    <row r="564" customFormat="1" s="100"/>
    <row r="565" customFormat="1" s="100"/>
    <row r="566" customFormat="1" s="100"/>
    <row r="567" customFormat="1" s="100"/>
    <row r="568" customFormat="1" s="100"/>
    <row r="569" customFormat="1" s="100"/>
    <row r="570" customFormat="1" s="100"/>
    <row r="571" customFormat="1" s="100"/>
    <row r="572" customFormat="1" s="100"/>
    <row r="573" customFormat="1" s="100"/>
    <row r="574" customFormat="1" s="100"/>
    <row r="575" customFormat="1" s="100"/>
    <row r="576" customFormat="1" s="100"/>
    <row r="577" customFormat="1" s="100"/>
    <row r="578" customFormat="1" s="100"/>
    <row r="579" customFormat="1" s="100"/>
    <row r="580" customFormat="1" s="100"/>
    <row r="581" customFormat="1" s="100"/>
    <row r="582" customFormat="1" s="100"/>
    <row r="583" customFormat="1" s="100"/>
    <row r="584" customFormat="1" s="100"/>
    <row r="585" customFormat="1" s="100"/>
    <row r="586" customFormat="1" s="100"/>
    <row r="587" customFormat="1" s="100"/>
    <row r="588" customFormat="1" s="100"/>
    <row r="589" customFormat="1" s="100"/>
    <row r="590" customFormat="1" s="100"/>
    <row r="591" customFormat="1" s="100"/>
    <row r="592" customFormat="1" s="100"/>
    <row r="593" customFormat="1" s="100"/>
    <row r="594" customFormat="1" s="100"/>
    <row r="595" customFormat="1" s="100"/>
    <row r="596" customFormat="1" s="100"/>
    <row r="597" customFormat="1" s="100"/>
    <row r="598" customFormat="1" s="100"/>
    <row r="599" customFormat="1" s="100"/>
    <row r="600" customFormat="1" s="100"/>
    <row r="601" customFormat="1" s="100"/>
    <row r="602" customFormat="1" s="100"/>
    <row r="603" customFormat="1" s="100"/>
    <row r="604" customFormat="1" s="100"/>
    <row r="605" customFormat="1" s="100"/>
    <row r="606" customFormat="1" s="100"/>
    <row r="607" customFormat="1" s="100"/>
    <row r="608" customFormat="1" s="100"/>
    <row r="609" customFormat="1" s="100"/>
    <row r="610" customFormat="1" s="100"/>
    <row r="611" customFormat="1" s="100"/>
    <row r="612" customFormat="1" s="100"/>
    <row r="613" customFormat="1" s="100"/>
    <row r="614" customFormat="1" s="100"/>
    <row r="615" customFormat="1" s="100"/>
    <row r="616" customFormat="1" s="100"/>
    <row r="617" customFormat="1" s="100"/>
    <row r="618" customFormat="1" s="100"/>
    <row r="619" customFormat="1" s="100"/>
    <row r="620" customFormat="1" s="100"/>
    <row r="621" customFormat="1" s="100"/>
    <row r="622" customFormat="1" s="100"/>
    <row r="623" customFormat="1" s="100"/>
    <row r="624" customFormat="1" s="100"/>
    <row r="625" customFormat="1" s="100"/>
    <row r="626" customFormat="1" s="100"/>
    <row r="627" customFormat="1" s="100"/>
    <row r="628" customFormat="1" s="100"/>
    <row r="629" customFormat="1" s="100"/>
    <row r="630" customFormat="1" s="100"/>
    <row r="631" customFormat="1" s="100"/>
    <row r="632" customFormat="1" s="100"/>
    <row r="633" customFormat="1" s="100"/>
    <row r="634" customFormat="1" s="100"/>
    <row r="635" customFormat="1" s="100"/>
    <row r="636" customFormat="1" s="100"/>
    <row r="637" customFormat="1" s="100"/>
    <row r="638" customFormat="1" s="100"/>
    <row r="639" customFormat="1" s="100"/>
    <row r="640" customFormat="1" s="100"/>
    <row r="641" customFormat="1" s="100"/>
    <row r="642" customFormat="1" s="100"/>
    <row r="643" customFormat="1" s="100"/>
    <row r="644" customFormat="1" s="100"/>
    <row r="645" customFormat="1" s="100"/>
    <row r="646" customFormat="1" s="100"/>
    <row r="647" customFormat="1" s="100"/>
    <row r="648" customFormat="1" s="100"/>
    <row r="649" customFormat="1" s="100"/>
    <row r="650" customFormat="1" s="100"/>
    <row r="651" customFormat="1" s="100"/>
    <row r="652" customFormat="1" s="100"/>
    <row r="653" customFormat="1" s="100"/>
    <row r="654" customFormat="1" s="100"/>
    <row r="655" customFormat="1" s="100"/>
    <row r="656" customFormat="1" s="100"/>
    <row r="657" customFormat="1" s="100"/>
    <row r="658" customFormat="1" s="100"/>
    <row r="659" customFormat="1" s="100"/>
    <row r="660" customFormat="1" s="100"/>
    <row r="661" customFormat="1" s="100"/>
    <row r="662" customFormat="1" s="100"/>
    <row r="663" customFormat="1" s="100"/>
    <row r="664" customFormat="1" s="100"/>
    <row r="665" customFormat="1" s="100"/>
    <row r="666" customFormat="1" s="100"/>
    <row r="667" customFormat="1" s="100"/>
    <row r="668" customFormat="1" s="100"/>
    <row r="669" customFormat="1" s="100"/>
    <row r="670" customFormat="1" s="100"/>
    <row r="671" customFormat="1" s="100"/>
    <row r="672" customFormat="1" s="100"/>
    <row r="673" customFormat="1" s="100"/>
    <row r="674" customFormat="1" s="100"/>
    <row r="675" customFormat="1" s="100"/>
    <row r="676" customFormat="1" s="100"/>
    <row r="677" customFormat="1" s="100"/>
    <row r="678" customFormat="1" s="100"/>
    <row r="679" customFormat="1" s="100"/>
    <row r="680" customFormat="1" s="100"/>
    <row r="681" customFormat="1" s="100"/>
    <row r="682" customFormat="1" s="100"/>
    <row r="683" customFormat="1" s="100"/>
    <row r="684" customFormat="1" s="100"/>
    <row r="685" customFormat="1" s="100"/>
    <row r="686" customFormat="1" s="100"/>
    <row r="687" customFormat="1" s="100"/>
    <row r="688" customFormat="1" s="100"/>
    <row r="689" customFormat="1" s="100"/>
    <row r="690" customFormat="1" s="100"/>
    <row r="691" customFormat="1" s="100"/>
    <row r="692" customFormat="1" s="100"/>
    <row r="693" customFormat="1" s="100"/>
    <row r="694" customFormat="1" s="100"/>
    <row r="695" customFormat="1" s="100"/>
    <row r="696" customFormat="1" s="100"/>
    <row r="697" customFormat="1" s="100"/>
    <row r="698" customFormat="1" s="100"/>
    <row r="699" customFormat="1" s="100"/>
    <row r="700" customFormat="1" s="100"/>
    <row r="701" customFormat="1" s="100"/>
    <row r="702" customFormat="1" s="100"/>
    <row r="703" customFormat="1" s="100"/>
    <row r="704" customFormat="1" s="100"/>
    <row r="705" customFormat="1" s="100"/>
    <row r="706" customFormat="1" s="100"/>
    <row r="707" customFormat="1" s="100"/>
    <row r="708" customFormat="1" s="100"/>
    <row r="709" customFormat="1" s="100"/>
    <row r="710" customFormat="1" s="100"/>
    <row r="711" customFormat="1" s="100"/>
    <row r="712" customFormat="1" s="100"/>
    <row r="713" customFormat="1" s="100"/>
    <row r="714" customFormat="1" s="100"/>
    <row r="715" customFormat="1" s="100"/>
    <row r="716" customFormat="1" s="100"/>
    <row r="717" customFormat="1" s="100"/>
    <row r="718" customFormat="1" s="100"/>
    <row r="719" customFormat="1" s="100"/>
    <row r="720" customFormat="1" s="100"/>
    <row r="721" customFormat="1" s="100"/>
    <row r="722" customFormat="1" s="100"/>
    <row r="723" customFormat="1" s="100"/>
    <row r="724" customFormat="1" s="100"/>
    <row r="725" customFormat="1" s="100"/>
    <row r="726" customFormat="1" s="100"/>
    <row r="727" customFormat="1" s="100"/>
    <row r="728" customFormat="1" s="100"/>
    <row r="729" customFormat="1" s="100"/>
    <row r="730" customFormat="1" s="100"/>
    <row r="731" customFormat="1" s="100"/>
    <row r="732" customFormat="1" s="100"/>
    <row r="733" customFormat="1" s="100"/>
    <row r="734" customFormat="1" s="100"/>
    <row r="735" customFormat="1" s="100"/>
    <row r="736" customFormat="1" s="100"/>
    <row r="737" customFormat="1" s="100"/>
    <row r="738" customFormat="1" s="100"/>
    <row r="739" customFormat="1" s="100"/>
    <row r="740" customFormat="1" s="100"/>
    <row r="741" customFormat="1" s="100"/>
    <row r="742" customFormat="1" s="100"/>
    <row r="743" customFormat="1" s="100"/>
    <row r="744" customFormat="1" s="100"/>
    <row r="745" customFormat="1" s="100"/>
    <row r="746" customFormat="1" s="100"/>
    <row r="747" customFormat="1" s="100"/>
    <row r="748" customFormat="1" s="100"/>
    <row r="749" customFormat="1" s="100"/>
    <row r="750" customFormat="1" s="100"/>
    <row r="751" customFormat="1" s="100"/>
    <row r="752" customFormat="1" s="100"/>
    <row r="753" customFormat="1" s="100"/>
    <row r="754" customFormat="1" s="100"/>
    <row r="755" customFormat="1" s="100"/>
    <row r="756" customFormat="1" s="100"/>
    <row r="757" customFormat="1" s="100"/>
    <row r="758" customFormat="1" s="100"/>
    <row r="759" customFormat="1" s="100"/>
    <row r="760" customFormat="1" s="100"/>
    <row r="761" customFormat="1" s="100"/>
    <row r="762" customFormat="1" s="100"/>
    <row r="763" customFormat="1" s="100"/>
    <row r="764" customFormat="1" s="100"/>
    <row r="765" customFormat="1" s="100"/>
    <row r="766" customFormat="1" s="100"/>
    <row r="767" customFormat="1" s="100"/>
    <row r="768" customFormat="1" s="100"/>
    <row r="769" customFormat="1" s="100"/>
    <row r="770" customFormat="1" s="100"/>
    <row r="771" customFormat="1" s="100"/>
    <row r="772" customFormat="1" s="100"/>
    <row r="773" customFormat="1" s="100"/>
    <row r="774" customFormat="1" s="100"/>
    <row r="775" customFormat="1" s="100"/>
    <row r="776" customFormat="1" s="100"/>
    <row r="777" customFormat="1" s="100"/>
    <row r="778" customFormat="1" s="100"/>
    <row r="779" customFormat="1" s="100"/>
    <row r="780" customFormat="1" s="100"/>
    <row r="781" customFormat="1" s="100"/>
    <row r="782" customFormat="1" s="100"/>
    <row r="783" customFormat="1" s="100"/>
    <row r="784" customFormat="1" s="100"/>
    <row r="785" customFormat="1" s="100"/>
    <row r="786" customFormat="1" s="100"/>
    <row r="787" customFormat="1" s="100"/>
    <row r="788" customFormat="1" s="100"/>
    <row r="789" customFormat="1" s="100"/>
    <row r="790" customFormat="1" s="100"/>
    <row r="791" customFormat="1" s="100"/>
    <row r="792" customFormat="1" s="100"/>
    <row r="793" customFormat="1" s="100"/>
    <row r="794" customFormat="1" s="100"/>
    <row r="795" customFormat="1" s="100"/>
    <row r="796" customFormat="1" s="100"/>
    <row r="797" customFormat="1" s="100"/>
    <row r="798" customFormat="1" s="100"/>
    <row r="799" customFormat="1" s="100"/>
    <row r="800" customFormat="1" s="100"/>
    <row r="801" customFormat="1" s="100"/>
    <row r="802" customFormat="1" s="100"/>
    <row r="803" customFormat="1" s="100"/>
    <row r="804" customFormat="1" s="100"/>
    <row r="805" customFormat="1" s="100"/>
    <row r="806" customFormat="1" s="100"/>
    <row r="807" customFormat="1" s="100"/>
    <row r="808" customFormat="1" s="100"/>
    <row r="809" customFormat="1" s="100"/>
    <row r="810" customFormat="1" s="100"/>
    <row r="811" customFormat="1" s="100"/>
    <row r="812" customFormat="1" s="100"/>
    <row r="813" customFormat="1" s="100"/>
    <row r="814" customFormat="1" s="100"/>
    <row r="815" customFormat="1" s="100"/>
    <row r="816" customFormat="1" s="100"/>
    <row r="817" customFormat="1" s="100"/>
    <row r="818" customFormat="1" s="100"/>
    <row r="819" customFormat="1" s="100"/>
    <row r="820" customFormat="1" s="100"/>
    <row r="821" customFormat="1" s="100"/>
    <row r="822" customFormat="1" s="100"/>
    <row r="823" customFormat="1" s="100"/>
    <row r="824" customFormat="1" s="100"/>
    <row r="825" customFormat="1" s="100"/>
  </sheetData>
  <conditionalFormatting sqref="C264:C39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64:D39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4:E39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4:F39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64:G393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4:H393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4:I393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4:J393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4:K393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64:O393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4:P393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64:Q393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4:R393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4:S393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64:T393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64:U393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64:V393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7">
    <outlinePr summaryBelow="1" summaryRight="1"/>
    <pageSetUpPr/>
  </sheetPr>
  <dimension ref="A1:W834"/>
  <sheetViews>
    <sheetView zoomScale="120" zoomScaleNormal="120" workbookViewId="0">
      <pane ySplit="1" topLeftCell="A292" activePane="bottomLeft" state="frozen"/>
      <selection pane="bottomLeft" activeCell="C357" sqref="C357"/>
    </sheetView>
  </sheetViews>
  <sheetFormatPr baseColWidth="10" defaultColWidth="8.83203125" defaultRowHeight="15"/>
  <cols>
    <col width="9.1640625" customWidth="1" style="1" min="1" max="1"/>
    <col width="12.6640625" bestFit="1" customWidth="1" style="95" min="2" max="2"/>
    <col width="11.6640625" customWidth="1" style="7" min="3" max="3"/>
    <col width="11.6640625" customWidth="1" style="6" min="4" max="4"/>
    <col width="12.83203125" customWidth="1" style="95" min="18" max="18"/>
    <col width="10.6640625" bestFit="1" customWidth="1" style="95" min="19" max="19"/>
    <col width="14.6640625" customWidth="1" style="95" min="20" max="20"/>
    <col width="31.33203125" customWidth="1" style="95" min="21" max="21"/>
  </cols>
  <sheetData>
    <row r="1">
      <c r="A1" s="39" t="inlineStr">
        <is>
          <t>Data</t>
        </is>
      </c>
      <c r="B1" s="40" t="inlineStr">
        <is>
          <t>ITA</t>
        </is>
      </c>
      <c r="C1" s="41" t="inlineStr">
        <is>
          <t>FRA</t>
        </is>
      </c>
      <c r="D1" s="42" t="inlineStr">
        <is>
          <t>DEU</t>
        </is>
      </c>
      <c r="E1" s="40" t="inlineStr">
        <is>
          <t>ESP</t>
        </is>
      </c>
      <c r="F1" s="40" t="inlineStr">
        <is>
          <t>EA19</t>
        </is>
      </c>
      <c r="G1" s="40" t="inlineStr">
        <is>
          <t>GBR</t>
        </is>
      </c>
      <c r="H1" s="40" t="inlineStr">
        <is>
          <t>Italy</t>
        </is>
      </c>
      <c r="I1" s="40" t="inlineStr">
        <is>
          <t>France</t>
        </is>
      </c>
      <c r="J1" s="40" t="inlineStr">
        <is>
          <t>Germany</t>
        </is>
      </c>
      <c r="K1" s="40" t="inlineStr">
        <is>
          <t>Spain</t>
        </is>
      </c>
      <c r="L1" s="40" t="inlineStr">
        <is>
          <t>Eurozone</t>
        </is>
      </c>
      <c r="M1" s="40" t="inlineStr">
        <is>
          <t>United Kingdom</t>
        </is>
      </c>
      <c r="N1" s="40" t="inlineStr">
        <is>
          <t>USA</t>
        </is>
      </c>
      <c r="O1" s="40" t="inlineStr">
        <is>
          <t xml:space="preserve">USA </t>
        </is>
      </c>
      <c r="P1" s="40" t="inlineStr">
        <is>
          <t>JPN</t>
        </is>
      </c>
      <c r="Q1" s="43" t="inlineStr">
        <is>
          <t xml:space="preserve">JPN </t>
        </is>
      </c>
      <c r="T1" s="8" t="inlineStr">
        <is>
          <t>Base Month</t>
        </is>
      </c>
      <c r="U1" s="2" t="n">
        <v>36161</v>
      </c>
      <c r="W1" t="inlineStr">
        <is>
          <t>AUS</t>
        </is>
      </c>
    </row>
    <row r="2" customFormat="1" s="100">
      <c r="A2" s="22" t="n">
        <v>32874</v>
      </c>
      <c r="B2" s="23">
        <f>VLOOKUP(A2,Database!$E:$AY,MATCH($B$1,Database!$E$1:$AY$1,0),FALSE)</f>
        <v/>
      </c>
      <c r="C2" s="23">
        <f>VLOOKUP(A2,Database!$E:$AY,MATCH($C$1,Database!$E$1:$AY$1,0),FALSE)</f>
        <v/>
      </c>
      <c r="D2" s="23">
        <f>VLOOKUP(A2,Database!$E:$AY,MATCH($D$1,Database!$E$1:$AY$1,0),FALSE)</f>
        <v/>
      </c>
      <c r="E2" s="23">
        <f>VLOOKUP(A2,Database!$E:$AY,MATCH($E$1,Database!$E$1:$AY$1,0),FALSE)</f>
        <v/>
      </c>
      <c r="F2" s="23">
        <f>VLOOKUP(A2,Database!$E:$AY,MATCH($F$1,Database!$E$1:$AY$1,0),FALSE)</f>
        <v/>
      </c>
      <c r="G2" s="23">
        <f>VLOOKUP(A2,Database!$E:$AY,MATCH($G$1,Database!$E$1:$AY$1,0),FALSE)</f>
        <v/>
      </c>
      <c r="H2" s="23">
        <f>(((Table134567891011121314151617343[[#This Row],[ITA]]-VLOOKUP($U$1,A:B,2,))/VLOOKUP($U$1,A:B,2,))*100)+100</f>
        <v/>
      </c>
      <c r="I2" s="23">
        <f>(((Table134567891011121314151617343[[#This Row],[FRA]]-VLOOKUP($U$1,A:C,3,))/VLOOKUP($U$1,A:C,3,))*100)+100</f>
        <v/>
      </c>
      <c r="J2" s="23">
        <f>(((Table134567891011121314151617343[[#This Row],[DEU]]-VLOOKUP($U$1,A:D,4,))/VLOOKUP($U$1,A:D,4,))*100)+100</f>
        <v/>
      </c>
      <c r="K2" s="23">
        <f>(((Table134567891011121314151617343[[#This Row],[ESP]]-VLOOKUP($U$1,A:E,5,))/VLOOKUP($U$1,A:E,5,))*100)+100</f>
        <v/>
      </c>
      <c r="L2" s="23">
        <f>(((Table134567891011121314151617343[[#This Row],[EA19]]-VLOOKUP($U$1,A:F,6,))/VLOOKUP($U$1,A:F,6,))*100)+100</f>
        <v/>
      </c>
      <c r="M2" s="23">
        <f>(((Table134567891011121314151617343[[#This Row],[GBR]]-VLOOKUP($U$1,A:G,7,))/VLOOKUP($U$1,A:G,7,))*100)+100</f>
        <v/>
      </c>
      <c r="N2" s="23">
        <f>VLOOKUP(A2,Database!$E:$AY,MATCH($N$1,Database!$E$1:$AY$1,0),FALSE)</f>
        <v/>
      </c>
      <c r="O2" s="23">
        <f>(((Table134567891011121314151617343[[#This Row],[USA]]-VLOOKUP($U$1,A:N,14,))/VLOOKUP($U$1,A:N,14,))*100)+100</f>
        <v/>
      </c>
      <c r="P2" s="23">
        <f>VLOOKUP(A2,Database!$E:$AY,MATCH($P$1,Database!$E$1:$AY$1,0),FALSE)</f>
        <v/>
      </c>
      <c r="Q2" s="23">
        <f>(((Table134567891011121314151617343[[#This Row],[JPN]]-VLOOKUP($U$1,A:Q,16,))/VLOOKUP($U$1,A:Q,16,))*100)+100</f>
        <v/>
      </c>
      <c r="W2" s="100" t="inlineStr">
        <is>
          <t>AUT</t>
        </is>
      </c>
    </row>
    <row r="3" customFormat="1" s="100">
      <c r="A3" s="22" t="n">
        <v>32905</v>
      </c>
      <c r="B3" s="23">
        <f>VLOOKUP(A3,Database!$E:$AY,MATCH($B$1,Database!$E$1:$AY$1,0),FALSE)</f>
        <v/>
      </c>
      <c r="C3" s="23">
        <f>VLOOKUP(A3,Database!$E:$AY,MATCH($C$1,Database!$E$1:$AY$1,0),FALSE)</f>
        <v/>
      </c>
      <c r="D3" s="23">
        <f>VLOOKUP(A3,Database!$E:$AY,MATCH($D$1,Database!$E$1:$AY$1,0),FALSE)</f>
        <v/>
      </c>
      <c r="E3" s="23">
        <f>VLOOKUP(A3,Database!$E:$AY,MATCH($E$1,Database!$E$1:$AY$1,0),FALSE)</f>
        <v/>
      </c>
      <c r="F3" s="23">
        <f>VLOOKUP(A3,Database!$E:$AY,MATCH($F$1,Database!$E$1:$AY$1,0),FALSE)</f>
        <v/>
      </c>
      <c r="G3" s="23">
        <f>VLOOKUP(A3,Database!$E:$AY,MATCH($G$1,Database!$E$1:$AY$1,0),FALSE)</f>
        <v/>
      </c>
      <c r="H3" s="23">
        <f>(((Table134567891011121314151617343[[#This Row],[ITA]]-VLOOKUP($U$1,A:B,2,))/VLOOKUP($U$1,A:B,2,))*100)+100</f>
        <v/>
      </c>
      <c r="I3" s="23">
        <f>(((Table134567891011121314151617343[[#This Row],[FRA]]-VLOOKUP($U$1,A:C,3,))/VLOOKUP($U$1,A:C,3,))*100)+100</f>
        <v/>
      </c>
      <c r="J3" s="23">
        <f>(((Table134567891011121314151617343[[#This Row],[DEU]]-VLOOKUP($U$1,A:D,4,))/VLOOKUP($U$1,A:D,4,))*100)+100</f>
        <v/>
      </c>
      <c r="K3" s="23">
        <f>(((Table134567891011121314151617343[[#This Row],[ESP]]-VLOOKUP($U$1,A:E,5,))/VLOOKUP($U$1,A:E,5,))*100)+100</f>
        <v/>
      </c>
      <c r="L3" s="23">
        <f>(((Table134567891011121314151617343[[#This Row],[EA19]]-VLOOKUP($U$1,A:F,6,))/VLOOKUP($U$1,A:F,6,))*100)+100</f>
        <v/>
      </c>
      <c r="M3" s="23">
        <f>(((Table134567891011121314151617343[[#This Row],[GBR]]-VLOOKUP($U$1,A:G,7,))/VLOOKUP($U$1,A:G,7,))*100)+100</f>
        <v/>
      </c>
      <c r="N3" s="23">
        <f>VLOOKUP(A3,Database!$E:$AY,MATCH($N$1,Database!$E$1:$AY$1,0),FALSE)</f>
        <v/>
      </c>
      <c r="O3" s="23">
        <f>(((Table134567891011121314151617343[[#This Row],[USA]]-VLOOKUP($U$1,A:N,14,))/VLOOKUP($U$1,A:N,14,))*100)+100</f>
        <v/>
      </c>
      <c r="P3" s="23">
        <f>VLOOKUP(A3,Database!$E:$AY,MATCH($P$1,Database!$E$1:$AY$1,0),FALSE)</f>
        <v/>
      </c>
      <c r="Q3" s="23">
        <f>(((Table134567891011121314151617343[[#This Row],[JPN]]-VLOOKUP($U$1,A:Q,16,))/VLOOKUP($U$1,A:Q,16,))*100)+100</f>
        <v/>
      </c>
      <c r="W3" s="100" t="inlineStr">
        <is>
          <t>BEL</t>
        </is>
      </c>
    </row>
    <row r="4" customFormat="1" s="100">
      <c r="A4" s="22" t="n">
        <v>32933</v>
      </c>
      <c r="B4" s="23">
        <f>VLOOKUP(A4,Database!$E:$AY,MATCH($B$1,Database!$E$1:$AY$1,0),FALSE)</f>
        <v/>
      </c>
      <c r="C4" s="23">
        <f>VLOOKUP(A4,Database!$E:$AY,MATCH($C$1,Database!$E$1:$AY$1,0),FALSE)</f>
        <v/>
      </c>
      <c r="D4" s="23">
        <f>VLOOKUP(A4,Database!$E:$AY,MATCH($D$1,Database!$E$1:$AY$1,0),FALSE)</f>
        <v/>
      </c>
      <c r="E4" s="23">
        <f>VLOOKUP(A4,Database!$E:$AY,MATCH($E$1,Database!$E$1:$AY$1,0),FALSE)</f>
        <v/>
      </c>
      <c r="F4" s="23">
        <f>VLOOKUP(A4,Database!$E:$AY,MATCH($F$1,Database!$E$1:$AY$1,0),FALSE)</f>
        <v/>
      </c>
      <c r="G4" s="23">
        <f>VLOOKUP(A4,Database!$E:$AY,MATCH($G$1,Database!$E$1:$AY$1,0),FALSE)</f>
        <v/>
      </c>
      <c r="H4" s="23">
        <f>(((Table134567891011121314151617343[[#This Row],[ITA]]-VLOOKUP($U$1,A:B,2,))/VLOOKUP($U$1,A:B,2,))*100)+100</f>
        <v/>
      </c>
      <c r="I4" s="23">
        <f>(((Table134567891011121314151617343[[#This Row],[FRA]]-VLOOKUP($U$1,A:C,3,))/VLOOKUP($U$1,A:C,3,))*100)+100</f>
        <v/>
      </c>
      <c r="J4" s="23">
        <f>(((Table134567891011121314151617343[[#This Row],[DEU]]-VLOOKUP($U$1,A:D,4,))/VLOOKUP($U$1,A:D,4,))*100)+100</f>
        <v/>
      </c>
      <c r="K4" s="23">
        <f>(((Table134567891011121314151617343[[#This Row],[ESP]]-VLOOKUP($U$1,A:E,5,))/VLOOKUP($U$1,A:E,5,))*100)+100</f>
        <v/>
      </c>
      <c r="L4" s="23">
        <f>(((Table134567891011121314151617343[[#This Row],[EA19]]-VLOOKUP($U$1,A:F,6,))/VLOOKUP($U$1,A:F,6,))*100)+100</f>
        <v/>
      </c>
      <c r="M4" s="23">
        <f>(((Table134567891011121314151617343[[#This Row],[GBR]]-VLOOKUP($U$1,A:G,7,))/VLOOKUP($U$1,A:G,7,))*100)+100</f>
        <v/>
      </c>
      <c r="N4" s="23">
        <f>VLOOKUP(A4,Database!$E:$AY,MATCH($N$1,Database!$E$1:$AY$1,0),FALSE)</f>
        <v/>
      </c>
      <c r="O4" s="23">
        <f>(((Table134567891011121314151617343[[#This Row],[USA]]-VLOOKUP($U$1,A:N,14,))/VLOOKUP($U$1,A:N,14,))*100)+100</f>
        <v/>
      </c>
      <c r="P4" s="23">
        <f>VLOOKUP(A4,Database!$E:$AY,MATCH($P$1,Database!$E$1:$AY$1,0),FALSE)</f>
        <v/>
      </c>
      <c r="Q4" s="23">
        <f>(((Table134567891011121314151617343[[#This Row],[JPN]]-VLOOKUP($U$1,A:Q,16,))/VLOOKUP($U$1,A:Q,16,))*100)+100</f>
        <v/>
      </c>
      <c r="W4" s="100" t="inlineStr">
        <is>
          <t>CAN</t>
        </is>
      </c>
    </row>
    <row r="5" customFormat="1" s="100">
      <c r="A5" s="22" t="n">
        <v>32964</v>
      </c>
      <c r="B5" s="23">
        <f>VLOOKUP(A5,Database!$E:$AY,MATCH($B$1,Database!$E$1:$AY$1,0),FALSE)</f>
        <v/>
      </c>
      <c r="C5" s="23">
        <f>VLOOKUP(A5,Database!$E:$AY,MATCH($C$1,Database!$E$1:$AY$1,0),FALSE)</f>
        <v/>
      </c>
      <c r="D5" s="23">
        <f>VLOOKUP(A5,Database!$E:$AY,MATCH($D$1,Database!$E$1:$AY$1,0),FALSE)</f>
        <v/>
      </c>
      <c r="E5" s="23">
        <f>VLOOKUP(A5,Database!$E:$AY,MATCH($E$1,Database!$E$1:$AY$1,0),FALSE)</f>
        <v/>
      </c>
      <c r="F5" s="23">
        <f>VLOOKUP(A5,Database!$E:$AY,MATCH($F$1,Database!$E$1:$AY$1,0),FALSE)</f>
        <v/>
      </c>
      <c r="G5" s="23">
        <f>VLOOKUP(A5,Database!$E:$AY,MATCH($G$1,Database!$E$1:$AY$1,0),FALSE)</f>
        <v/>
      </c>
      <c r="H5" s="23">
        <f>(((Table134567891011121314151617343[[#This Row],[ITA]]-VLOOKUP($U$1,A:B,2,))/VLOOKUP($U$1,A:B,2,))*100)+100</f>
        <v/>
      </c>
      <c r="I5" s="23">
        <f>(((Table134567891011121314151617343[[#This Row],[FRA]]-VLOOKUP($U$1,A:C,3,))/VLOOKUP($U$1,A:C,3,))*100)+100</f>
        <v/>
      </c>
      <c r="J5" s="23">
        <f>(((Table134567891011121314151617343[[#This Row],[DEU]]-VLOOKUP($U$1,A:D,4,))/VLOOKUP($U$1,A:D,4,))*100)+100</f>
        <v/>
      </c>
      <c r="K5" s="23">
        <f>(((Table134567891011121314151617343[[#This Row],[ESP]]-VLOOKUP($U$1,A:E,5,))/VLOOKUP($U$1,A:E,5,))*100)+100</f>
        <v/>
      </c>
      <c r="L5" s="23">
        <f>(((Table134567891011121314151617343[[#This Row],[EA19]]-VLOOKUP($U$1,A:F,6,))/VLOOKUP($U$1,A:F,6,))*100)+100</f>
        <v/>
      </c>
      <c r="M5" s="23">
        <f>(((Table134567891011121314151617343[[#This Row],[GBR]]-VLOOKUP($U$1,A:G,7,))/VLOOKUP($U$1,A:G,7,))*100)+100</f>
        <v/>
      </c>
      <c r="N5" s="23">
        <f>VLOOKUP(A5,Database!$E:$AY,MATCH($N$1,Database!$E$1:$AY$1,0),FALSE)</f>
        <v/>
      </c>
      <c r="O5" s="23">
        <f>(((Table134567891011121314151617343[[#This Row],[USA]]-VLOOKUP($U$1,A:N,14,))/VLOOKUP($U$1,A:N,14,))*100)+100</f>
        <v/>
      </c>
      <c r="P5" s="23">
        <f>VLOOKUP(A5,Database!$E:$AY,MATCH($P$1,Database!$E$1:$AY$1,0),FALSE)</f>
        <v/>
      </c>
      <c r="Q5" s="23">
        <f>(((Table134567891011121314151617343[[#This Row],[JPN]]-VLOOKUP($U$1,A:Q,16,))/VLOOKUP($U$1,A:Q,16,))*100)+100</f>
        <v/>
      </c>
      <c r="W5" s="100" t="inlineStr">
        <is>
          <t>CHL</t>
        </is>
      </c>
    </row>
    <row r="6" customFormat="1" s="100">
      <c r="A6" s="22" t="n">
        <v>32994</v>
      </c>
      <c r="B6" s="23">
        <f>VLOOKUP(A6,Database!$E:$AY,MATCH($B$1,Database!$E$1:$AY$1,0),FALSE)</f>
        <v/>
      </c>
      <c r="C6" s="23">
        <f>VLOOKUP(A6,Database!$E:$AY,MATCH($C$1,Database!$E$1:$AY$1,0),FALSE)</f>
        <v/>
      </c>
      <c r="D6" s="23">
        <f>VLOOKUP(A6,Database!$E:$AY,MATCH($D$1,Database!$E$1:$AY$1,0),FALSE)</f>
        <v/>
      </c>
      <c r="E6" s="23">
        <f>VLOOKUP(A6,Database!$E:$AY,MATCH($E$1,Database!$E$1:$AY$1,0),FALSE)</f>
        <v/>
      </c>
      <c r="F6" s="23">
        <f>VLOOKUP(A6,Database!$E:$AY,MATCH($F$1,Database!$E$1:$AY$1,0),FALSE)</f>
        <v/>
      </c>
      <c r="G6" s="23">
        <f>VLOOKUP(A6,Database!$E:$AY,MATCH($G$1,Database!$E$1:$AY$1,0),FALSE)</f>
        <v/>
      </c>
      <c r="H6" s="23">
        <f>(((Table134567891011121314151617343[[#This Row],[ITA]]-VLOOKUP($U$1,A:B,2,))/VLOOKUP($U$1,A:B,2,))*100)+100</f>
        <v/>
      </c>
      <c r="I6" s="23">
        <f>(((Table134567891011121314151617343[[#This Row],[FRA]]-VLOOKUP($U$1,A:C,3,))/VLOOKUP($U$1,A:C,3,))*100)+100</f>
        <v/>
      </c>
      <c r="J6" s="23">
        <f>(((Table134567891011121314151617343[[#This Row],[DEU]]-VLOOKUP($U$1,A:D,4,))/VLOOKUP($U$1,A:D,4,))*100)+100</f>
        <v/>
      </c>
      <c r="K6" s="23">
        <f>(((Table134567891011121314151617343[[#This Row],[ESP]]-VLOOKUP($U$1,A:E,5,))/VLOOKUP($U$1,A:E,5,))*100)+100</f>
        <v/>
      </c>
      <c r="L6" s="23">
        <f>(((Table134567891011121314151617343[[#This Row],[EA19]]-VLOOKUP($U$1,A:F,6,))/VLOOKUP($U$1,A:F,6,))*100)+100</f>
        <v/>
      </c>
      <c r="M6" s="23">
        <f>(((Table134567891011121314151617343[[#This Row],[GBR]]-VLOOKUP($U$1,A:G,7,))/VLOOKUP($U$1,A:G,7,))*100)+100</f>
        <v/>
      </c>
      <c r="N6" s="23">
        <f>VLOOKUP(A6,Database!$E:$AY,MATCH($N$1,Database!$E$1:$AY$1,0),FALSE)</f>
        <v/>
      </c>
      <c r="O6" s="23">
        <f>(((Table134567891011121314151617343[[#This Row],[USA]]-VLOOKUP($U$1,A:N,14,))/VLOOKUP($U$1,A:N,14,))*100)+100</f>
        <v/>
      </c>
      <c r="P6" s="23">
        <f>VLOOKUP(A6,Database!$E:$AY,MATCH($P$1,Database!$E$1:$AY$1,0),FALSE)</f>
        <v/>
      </c>
      <c r="Q6" s="23">
        <f>(((Table134567891011121314151617343[[#This Row],[JPN]]-VLOOKUP($U$1,A:Q,16,))/VLOOKUP($U$1,A:Q,16,))*100)+100</f>
        <v/>
      </c>
      <c r="W6" s="100" t="inlineStr">
        <is>
          <t>CZE</t>
        </is>
      </c>
    </row>
    <row r="7" customFormat="1" s="100">
      <c r="A7" s="22" t="n">
        <v>33025</v>
      </c>
      <c r="B7" s="23">
        <f>VLOOKUP(A7,Database!$E:$AY,MATCH($B$1,Database!$E$1:$AY$1,0),FALSE)</f>
        <v/>
      </c>
      <c r="C7" s="23">
        <f>VLOOKUP(A7,Database!$E:$AY,MATCH($C$1,Database!$E$1:$AY$1,0),FALSE)</f>
        <v/>
      </c>
      <c r="D7" s="23">
        <f>VLOOKUP(A7,Database!$E:$AY,MATCH($D$1,Database!$E$1:$AY$1,0),FALSE)</f>
        <v/>
      </c>
      <c r="E7" s="23">
        <f>VLOOKUP(A7,Database!$E:$AY,MATCH($E$1,Database!$E$1:$AY$1,0),FALSE)</f>
        <v/>
      </c>
      <c r="F7" s="23">
        <f>VLOOKUP(A7,Database!$E:$AY,MATCH($F$1,Database!$E$1:$AY$1,0),FALSE)</f>
        <v/>
      </c>
      <c r="G7" s="23">
        <f>VLOOKUP(A7,Database!$E:$AY,MATCH($G$1,Database!$E$1:$AY$1,0),FALSE)</f>
        <v/>
      </c>
      <c r="H7" s="23">
        <f>(((Table134567891011121314151617343[[#This Row],[ITA]]-VLOOKUP($U$1,A:B,2,))/VLOOKUP($U$1,A:B,2,))*100)+100</f>
        <v/>
      </c>
      <c r="I7" s="23">
        <f>(((Table134567891011121314151617343[[#This Row],[FRA]]-VLOOKUP($U$1,A:C,3,))/VLOOKUP($U$1,A:C,3,))*100)+100</f>
        <v/>
      </c>
      <c r="J7" s="23">
        <f>(((Table134567891011121314151617343[[#This Row],[DEU]]-VLOOKUP($U$1,A:D,4,))/VLOOKUP($U$1,A:D,4,))*100)+100</f>
        <v/>
      </c>
      <c r="K7" s="23">
        <f>(((Table134567891011121314151617343[[#This Row],[ESP]]-VLOOKUP($U$1,A:E,5,))/VLOOKUP($U$1,A:E,5,))*100)+100</f>
        <v/>
      </c>
      <c r="L7" s="23">
        <f>(((Table134567891011121314151617343[[#This Row],[EA19]]-VLOOKUP($U$1,A:F,6,))/VLOOKUP($U$1,A:F,6,))*100)+100</f>
        <v/>
      </c>
      <c r="M7" s="23">
        <f>(((Table134567891011121314151617343[[#This Row],[GBR]]-VLOOKUP($U$1,A:G,7,))/VLOOKUP($U$1,A:G,7,))*100)+100</f>
        <v/>
      </c>
      <c r="N7" s="23">
        <f>VLOOKUP(A7,Database!$E:$AY,MATCH($N$1,Database!$E$1:$AY$1,0),FALSE)</f>
        <v/>
      </c>
      <c r="O7" s="23">
        <f>(((Table134567891011121314151617343[[#This Row],[USA]]-VLOOKUP($U$1,A:N,14,))/VLOOKUP($U$1,A:N,14,))*100)+100</f>
        <v/>
      </c>
      <c r="P7" s="23">
        <f>VLOOKUP(A7,Database!$E:$AY,MATCH($P$1,Database!$E$1:$AY$1,0),FALSE)</f>
        <v/>
      </c>
      <c r="Q7" s="23">
        <f>(((Table134567891011121314151617343[[#This Row],[JPN]]-VLOOKUP($U$1,A:Q,16,))/VLOOKUP($U$1,A:Q,16,))*100)+100</f>
        <v/>
      </c>
      <c r="W7" s="100" t="inlineStr">
        <is>
          <t>DEU</t>
        </is>
      </c>
    </row>
    <row r="8" customFormat="1" s="100">
      <c r="A8" s="22" t="n">
        <v>33055</v>
      </c>
      <c r="B8" s="23">
        <f>VLOOKUP(A8,Database!$E:$AY,MATCH($B$1,Database!$E$1:$AY$1,0),FALSE)</f>
        <v/>
      </c>
      <c r="C8" s="23">
        <f>VLOOKUP(A8,Database!$E:$AY,MATCH($C$1,Database!$E$1:$AY$1,0),FALSE)</f>
        <v/>
      </c>
      <c r="D8" s="23">
        <f>VLOOKUP(A8,Database!$E:$AY,MATCH($D$1,Database!$E$1:$AY$1,0),FALSE)</f>
        <v/>
      </c>
      <c r="E8" s="23">
        <f>VLOOKUP(A8,Database!$E:$AY,MATCH($E$1,Database!$E$1:$AY$1,0),FALSE)</f>
        <v/>
      </c>
      <c r="F8" s="23">
        <f>VLOOKUP(A8,Database!$E:$AY,MATCH($F$1,Database!$E$1:$AY$1,0),FALSE)</f>
        <v/>
      </c>
      <c r="G8" s="23">
        <f>VLOOKUP(A8,Database!$E:$AY,MATCH($G$1,Database!$E$1:$AY$1,0),FALSE)</f>
        <v/>
      </c>
      <c r="H8" s="23">
        <f>(((Table134567891011121314151617343[[#This Row],[ITA]]-VLOOKUP($U$1,A:B,2,))/VLOOKUP($U$1,A:B,2,))*100)+100</f>
        <v/>
      </c>
      <c r="I8" s="23">
        <f>(((Table134567891011121314151617343[[#This Row],[FRA]]-VLOOKUP($U$1,A:C,3,))/VLOOKUP($U$1,A:C,3,))*100)+100</f>
        <v/>
      </c>
      <c r="J8" s="23">
        <f>(((Table134567891011121314151617343[[#This Row],[DEU]]-VLOOKUP($U$1,A:D,4,))/VLOOKUP($U$1,A:D,4,))*100)+100</f>
        <v/>
      </c>
      <c r="K8" s="23">
        <f>(((Table134567891011121314151617343[[#This Row],[ESP]]-VLOOKUP($U$1,A:E,5,))/VLOOKUP($U$1,A:E,5,))*100)+100</f>
        <v/>
      </c>
      <c r="L8" s="23">
        <f>(((Table134567891011121314151617343[[#This Row],[EA19]]-VLOOKUP($U$1,A:F,6,))/VLOOKUP($U$1,A:F,6,))*100)+100</f>
        <v/>
      </c>
      <c r="M8" s="23">
        <f>(((Table134567891011121314151617343[[#This Row],[GBR]]-VLOOKUP($U$1,A:G,7,))/VLOOKUP($U$1,A:G,7,))*100)+100</f>
        <v/>
      </c>
      <c r="N8" s="23">
        <f>VLOOKUP(A8,Database!$E:$AY,MATCH($N$1,Database!$E$1:$AY$1,0),FALSE)</f>
        <v/>
      </c>
      <c r="O8" s="23">
        <f>(((Table134567891011121314151617343[[#This Row],[USA]]-VLOOKUP($U$1,A:N,14,))/VLOOKUP($U$1,A:N,14,))*100)+100</f>
        <v/>
      </c>
      <c r="P8" s="23">
        <f>VLOOKUP(A8,Database!$E:$AY,MATCH($P$1,Database!$E$1:$AY$1,0),FALSE)</f>
        <v/>
      </c>
      <c r="Q8" s="23">
        <f>(((Table134567891011121314151617343[[#This Row],[JPN]]-VLOOKUP($U$1,A:Q,16,))/VLOOKUP($U$1,A:Q,16,))*100)+100</f>
        <v/>
      </c>
      <c r="W8" s="100" t="inlineStr">
        <is>
          <t>DNK</t>
        </is>
      </c>
    </row>
    <row r="9" customFormat="1" s="100">
      <c r="A9" s="22" t="n">
        <v>33086</v>
      </c>
      <c r="B9" s="23">
        <f>VLOOKUP(A9,Database!$E:$AY,MATCH($B$1,Database!$E$1:$AY$1,0),FALSE)</f>
        <v/>
      </c>
      <c r="C9" s="23">
        <f>VLOOKUP(A9,Database!$E:$AY,MATCH($C$1,Database!$E$1:$AY$1,0),FALSE)</f>
        <v/>
      </c>
      <c r="D9" s="23">
        <f>VLOOKUP(A9,Database!$E:$AY,MATCH($D$1,Database!$E$1:$AY$1,0),FALSE)</f>
        <v/>
      </c>
      <c r="E9" s="23">
        <f>VLOOKUP(A9,Database!$E:$AY,MATCH($E$1,Database!$E$1:$AY$1,0),FALSE)</f>
        <v/>
      </c>
      <c r="F9" s="23">
        <f>VLOOKUP(A9,Database!$E:$AY,MATCH($F$1,Database!$E$1:$AY$1,0),FALSE)</f>
        <v/>
      </c>
      <c r="G9" s="23">
        <f>VLOOKUP(A9,Database!$E:$AY,MATCH($G$1,Database!$E$1:$AY$1,0),FALSE)</f>
        <v/>
      </c>
      <c r="H9" s="23">
        <f>(((Table134567891011121314151617343[[#This Row],[ITA]]-VLOOKUP($U$1,A:B,2,))/VLOOKUP($U$1,A:B,2,))*100)+100</f>
        <v/>
      </c>
      <c r="I9" s="23">
        <f>(((Table134567891011121314151617343[[#This Row],[FRA]]-VLOOKUP($U$1,A:C,3,))/VLOOKUP($U$1,A:C,3,))*100)+100</f>
        <v/>
      </c>
      <c r="J9" s="23">
        <f>(((Table134567891011121314151617343[[#This Row],[DEU]]-VLOOKUP($U$1,A:D,4,))/VLOOKUP($U$1,A:D,4,))*100)+100</f>
        <v/>
      </c>
      <c r="K9" s="23">
        <f>(((Table134567891011121314151617343[[#This Row],[ESP]]-VLOOKUP($U$1,A:E,5,))/VLOOKUP($U$1,A:E,5,))*100)+100</f>
        <v/>
      </c>
      <c r="L9" s="23">
        <f>(((Table134567891011121314151617343[[#This Row],[EA19]]-VLOOKUP($U$1,A:F,6,))/VLOOKUP($U$1,A:F,6,))*100)+100</f>
        <v/>
      </c>
      <c r="M9" s="23">
        <f>(((Table134567891011121314151617343[[#This Row],[GBR]]-VLOOKUP($U$1,A:G,7,))/VLOOKUP($U$1,A:G,7,))*100)+100</f>
        <v/>
      </c>
      <c r="N9" s="23">
        <f>VLOOKUP(A9,Database!$E:$AY,MATCH($N$1,Database!$E$1:$AY$1,0),FALSE)</f>
        <v/>
      </c>
      <c r="O9" s="23">
        <f>(((Table134567891011121314151617343[[#This Row],[USA]]-VLOOKUP($U$1,A:N,14,))/VLOOKUP($U$1,A:N,14,))*100)+100</f>
        <v/>
      </c>
      <c r="P9" s="23">
        <f>VLOOKUP(A9,Database!$E:$AY,MATCH($P$1,Database!$E$1:$AY$1,0),FALSE)</f>
        <v/>
      </c>
      <c r="Q9" s="23">
        <f>(((Table134567891011121314151617343[[#This Row],[JPN]]-VLOOKUP($U$1,A:Q,16,))/VLOOKUP($U$1,A:Q,16,))*100)+100</f>
        <v/>
      </c>
      <c r="W9" s="100" t="inlineStr">
        <is>
          <t>ESP</t>
        </is>
      </c>
    </row>
    <row r="10" customFormat="1" s="100">
      <c r="A10" s="22" t="n">
        <v>33117</v>
      </c>
      <c r="B10" s="23">
        <f>VLOOKUP(A10,Database!$E:$AY,MATCH($B$1,Database!$E$1:$AY$1,0),FALSE)</f>
        <v/>
      </c>
      <c r="C10" s="23">
        <f>VLOOKUP(A10,Database!$E:$AY,MATCH($C$1,Database!$E$1:$AY$1,0),FALSE)</f>
        <v/>
      </c>
      <c r="D10" s="23">
        <f>VLOOKUP(A10,Database!$E:$AY,MATCH($D$1,Database!$E$1:$AY$1,0),FALSE)</f>
        <v/>
      </c>
      <c r="E10" s="23">
        <f>VLOOKUP(A10,Database!$E:$AY,MATCH($E$1,Database!$E$1:$AY$1,0),FALSE)</f>
        <v/>
      </c>
      <c r="F10" s="23">
        <f>VLOOKUP(A10,Database!$E:$AY,MATCH($F$1,Database!$E$1:$AY$1,0),FALSE)</f>
        <v/>
      </c>
      <c r="G10" s="23">
        <f>VLOOKUP(A10,Database!$E:$AY,MATCH($G$1,Database!$E$1:$AY$1,0),FALSE)</f>
        <v/>
      </c>
      <c r="H10" s="23">
        <f>(((Table134567891011121314151617343[[#This Row],[ITA]]-VLOOKUP($U$1,A:B,2,))/VLOOKUP($U$1,A:B,2,))*100)+100</f>
        <v/>
      </c>
      <c r="I10" s="23">
        <f>(((Table134567891011121314151617343[[#This Row],[FRA]]-VLOOKUP($U$1,A:C,3,))/VLOOKUP($U$1,A:C,3,))*100)+100</f>
        <v/>
      </c>
      <c r="J10" s="23">
        <f>(((Table134567891011121314151617343[[#This Row],[DEU]]-VLOOKUP($U$1,A:D,4,))/VLOOKUP($U$1,A:D,4,))*100)+100</f>
        <v/>
      </c>
      <c r="K10" s="23">
        <f>(((Table134567891011121314151617343[[#This Row],[ESP]]-VLOOKUP($U$1,A:E,5,))/VLOOKUP($U$1,A:E,5,))*100)+100</f>
        <v/>
      </c>
      <c r="L10" s="23">
        <f>(((Table134567891011121314151617343[[#This Row],[EA19]]-VLOOKUP($U$1,A:F,6,))/VLOOKUP($U$1,A:F,6,))*100)+100</f>
        <v/>
      </c>
      <c r="M10" s="23">
        <f>(((Table134567891011121314151617343[[#This Row],[GBR]]-VLOOKUP($U$1,A:G,7,))/VLOOKUP($U$1,A:G,7,))*100)+100</f>
        <v/>
      </c>
      <c r="N10" s="23">
        <f>VLOOKUP(A10,Database!$E:$AY,MATCH($N$1,Database!$E$1:$AY$1,0),FALSE)</f>
        <v/>
      </c>
      <c r="O10" s="23">
        <f>(((Table134567891011121314151617343[[#This Row],[USA]]-VLOOKUP($U$1,A:N,14,))/VLOOKUP($U$1,A:N,14,))*100)+100</f>
        <v/>
      </c>
      <c r="P10" s="23">
        <f>VLOOKUP(A10,Database!$E:$AY,MATCH($P$1,Database!$E$1:$AY$1,0),FALSE)</f>
        <v/>
      </c>
      <c r="Q10" s="23">
        <f>(((Table134567891011121314151617343[[#This Row],[JPN]]-VLOOKUP($U$1,A:Q,16,))/VLOOKUP($U$1,A:Q,16,))*100)+100</f>
        <v/>
      </c>
      <c r="W10" s="100" t="inlineStr">
        <is>
          <t>EST</t>
        </is>
      </c>
    </row>
    <row r="11" customFormat="1" s="100">
      <c r="A11" s="22" t="n">
        <v>33147</v>
      </c>
      <c r="B11" s="23">
        <f>VLOOKUP(A11,Database!$E:$AY,MATCH($B$1,Database!$E$1:$AY$1,0),FALSE)</f>
        <v/>
      </c>
      <c r="C11" s="23">
        <f>VLOOKUP(A11,Database!$E:$AY,MATCH($C$1,Database!$E$1:$AY$1,0),FALSE)</f>
        <v/>
      </c>
      <c r="D11" s="23">
        <f>VLOOKUP(A11,Database!$E:$AY,MATCH($D$1,Database!$E$1:$AY$1,0),FALSE)</f>
        <v/>
      </c>
      <c r="E11" s="23">
        <f>VLOOKUP(A11,Database!$E:$AY,MATCH($E$1,Database!$E$1:$AY$1,0),FALSE)</f>
        <v/>
      </c>
      <c r="F11" s="23">
        <f>VLOOKUP(A11,Database!$E:$AY,MATCH($F$1,Database!$E$1:$AY$1,0),FALSE)</f>
        <v/>
      </c>
      <c r="G11" s="23">
        <f>VLOOKUP(A11,Database!$E:$AY,MATCH($G$1,Database!$E$1:$AY$1,0),FALSE)</f>
        <v/>
      </c>
      <c r="H11" s="23">
        <f>(((Table134567891011121314151617343[[#This Row],[ITA]]-VLOOKUP($U$1,A:B,2,))/VLOOKUP($U$1,A:B,2,))*100)+100</f>
        <v/>
      </c>
      <c r="I11" s="23">
        <f>(((Table134567891011121314151617343[[#This Row],[FRA]]-VLOOKUP($U$1,A:C,3,))/VLOOKUP($U$1,A:C,3,))*100)+100</f>
        <v/>
      </c>
      <c r="J11" s="23">
        <f>(((Table134567891011121314151617343[[#This Row],[DEU]]-VLOOKUP($U$1,A:D,4,))/VLOOKUP($U$1,A:D,4,))*100)+100</f>
        <v/>
      </c>
      <c r="K11" s="23">
        <f>(((Table134567891011121314151617343[[#This Row],[ESP]]-VLOOKUP($U$1,A:E,5,))/VLOOKUP($U$1,A:E,5,))*100)+100</f>
        <v/>
      </c>
      <c r="L11" s="23">
        <f>(((Table134567891011121314151617343[[#This Row],[EA19]]-VLOOKUP($U$1,A:F,6,))/VLOOKUP($U$1,A:F,6,))*100)+100</f>
        <v/>
      </c>
      <c r="M11" s="23">
        <f>(((Table134567891011121314151617343[[#This Row],[GBR]]-VLOOKUP($U$1,A:G,7,))/VLOOKUP($U$1,A:G,7,))*100)+100</f>
        <v/>
      </c>
      <c r="N11" s="23">
        <f>VLOOKUP(A11,Database!$E:$AY,MATCH($N$1,Database!$E$1:$AY$1,0),FALSE)</f>
        <v/>
      </c>
      <c r="O11" s="23">
        <f>(((Table134567891011121314151617343[[#This Row],[USA]]-VLOOKUP($U$1,A:N,14,))/VLOOKUP($U$1,A:N,14,))*100)+100</f>
        <v/>
      </c>
      <c r="P11" s="23">
        <f>VLOOKUP(A11,Database!$E:$AY,MATCH($P$1,Database!$E$1:$AY$1,0),FALSE)</f>
        <v/>
      </c>
      <c r="Q11" s="23">
        <f>(((Table134567891011121314151617343[[#This Row],[JPN]]-VLOOKUP($U$1,A:Q,16,))/VLOOKUP($U$1,A:Q,16,))*100)+100</f>
        <v/>
      </c>
      <c r="W11" s="100" t="inlineStr">
        <is>
          <t>FIN</t>
        </is>
      </c>
    </row>
    <row r="12" customFormat="1" s="100">
      <c r="A12" s="22" t="n">
        <v>33178</v>
      </c>
      <c r="B12" s="23">
        <f>VLOOKUP(A12,Database!$E:$AY,MATCH($B$1,Database!$E$1:$AY$1,0),FALSE)</f>
        <v/>
      </c>
      <c r="C12" s="23">
        <f>VLOOKUP(A12,Database!$E:$AY,MATCH($C$1,Database!$E$1:$AY$1,0),FALSE)</f>
        <v/>
      </c>
      <c r="D12" s="23">
        <f>VLOOKUP(A12,Database!$E:$AY,MATCH($D$1,Database!$E$1:$AY$1,0),FALSE)</f>
        <v/>
      </c>
      <c r="E12" s="23">
        <f>VLOOKUP(A12,Database!$E:$AY,MATCH($E$1,Database!$E$1:$AY$1,0),FALSE)</f>
        <v/>
      </c>
      <c r="F12" s="23">
        <f>VLOOKUP(A12,Database!$E:$AY,MATCH($F$1,Database!$E$1:$AY$1,0),FALSE)</f>
        <v/>
      </c>
      <c r="G12" s="23">
        <f>VLOOKUP(A12,Database!$E:$AY,MATCH($G$1,Database!$E$1:$AY$1,0),FALSE)</f>
        <v/>
      </c>
      <c r="H12" s="23">
        <f>(((Table134567891011121314151617343[[#This Row],[ITA]]-VLOOKUP($U$1,A:B,2,))/VLOOKUP($U$1,A:B,2,))*100)+100</f>
        <v/>
      </c>
      <c r="I12" s="23">
        <f>(((Table134567891011121314151617343[[#This Row],[FRA]]-VLOOKUP($U$1,A:C,3,))/VLOOKUP($U$1,A:C,3,))*100)+100</f>
        <v/>
      </c>
      <c r="J12" s="23">
        <f>(((Table134567891011121314151617343[[#This Row],[DEU]]-VLOOKUP($U$1,A:D,4,))/VLOOKUP($U$1,A:D,4,))*100)+100</f>
        <v/>
      </c>
      <c r="K12" s="23">
        <f>(((Table134567891011121314151617343[[#This Row],[ESP]]-VLOOKUP($U$1,A:E,5,))/VLOOKUP($U$1,A:E,5,))*100)+100</f>
        <v/>
      </c>
      <c r="L12" s="23">
        <f>(((Table134567891011121314151617343[[#This Row],[EA19]]-VLOOKUP($U$1,A:F,6,))/VLOOKUP($U$1,A:F,6,))*100)+100</f>
        <v/>
      </c>
      <c r="M12" s="23">
        <f>(((Table134567891011121314151617343[[#This Row],[GBR]]-VLOOKUP($U$1,A:G,7,))/VLOOKUP($U$1,A:G,7,))*100)+100</f>
        <v/>
      </c>
      <c r="N12" s="23">
        <f>VLOOKUP(A12,Database!$E:$AY,MATCH($N$1,Database!$E$1:$AY$1,0),FALSE)</f>
        <v/>
      </c>
      <c r="O12" s="23">
        <f>(((Table134567891011121314151617343[[#This Row],[USA]]-VLOOKUP($U$1,A:N,14,))/VLOOKUP($U$1,A:N,14,))*100)+100</f>
        <v/>
      </c>
      <c r="P12" s="23">
        <f>VLOOKUP(A12,Database!$E:$AY,MATCH($P$1,Database!$E$1:$AY$1,0),FALSE)</f>
        <v/>
      </c>
      <c r="Q12" s="23">
        <f>(((Table134567891011121314151617343[[#This Row],[JPN]]-VLOOKUP($U$1,A:Q,16,))/VLOOKUP($U$1,A:Q,16,))*100)+100</f>
        <v/>
      </c>
      <c r="W12" s="100" t="inlineStr">
        <is>
          <t>FRA</t>
        </is>
      </c>
    </row>
    <row r="13" customFormat="1" s="100">
      <c r="A13" s="22" t="n">
        <v>33208</v>
      </c>
      <c r="B13" s="23">
        <f>VLOOKUP(A13,Database!$E:$AY,MATCH($B$1,Database!$E$1:$AY$1,0),FALSE)</f>
        <v/>
      </c>
      <c r="C13" s="23">
        <f>VLOOKUP(A13,Database!$E:$AY,MATCH($C$1,Database!$E$1:$AY$1,0),FALSE)</f>
        <v/>
      </c>
      <c r="D13" s="23">
        <f>VLOOKUP(A13,Database!$E:$AY,MATCH($D$1,Database!$E$1:$AY$1,0),FALSE)</f>
        <v/>
      </c>
      <c r="E13" s="23">
        <f>VLOOKUP(A13,Database!$E:$AY,MATCH($E$1,Database!$E$1:$AY$1,0),FALSE)</f>
        <v/>
      </c>
      <c r="F13" s="23">
        <f>VLOOKUP(A13,Database!$E:$AY,MATCH($F$1,Database!$E$1:$AY$1,0),FALSE)</f>
        <v/>
      </c>
      <c r="G13" s="23">
        <f>VLOOKUP(A13,Database!$E:$AY,MATCH($G$1,Database!$E$1:$AY$1,0),FALSE)</f>
        <v/>
      </c>
      <c r="H13" s="23">
        <f>(((Table134567891011121314151617343[[#This Row],[ITA]]-VLOOKUP($U$1,A:B,2,))/VLOOKUP($U$1,A:B,2,))*100)+100</f>
        <v/>
      </c>
      <c r="I13" s="23">
        <f>(((Table134567891011121314151617343[[#This Row],[FRA]]-VLOOKUP($U$1,A:C,3,))/VLOOKUP($U$1,A:C,3,))*100)+100</f>
        <v/>
      </c>
      <c r="J13" s="23">
        <f>(((Table134567891011121314151617343[[#This Row],[DEU]]-VLOOKUP($U$1,A:D,4,))/VLOOKUP($U$1,A:D,4,))*100)+100</f>
        <v/>
      </c>
      <c r="K13" s="23">
        <f>(((Table134567891011121314151617343[[#This Row],[ESP]]-VLOOKUP($U$1,A:E,5,))/VLOOKUP($U$1,A:E,5,))*100)+100</f>
        <v/>
      </c>
      <c r="L13" s="23">
        <f>(((Table134567891011121314151617343[[#This Row],[EA19]]-VLOOKUP($U$1,A:F,6,))/VLOOKUP($U$1,A:F,6,))*100)+100</f>
        <v/>
      </c>
      <c r="M13" s="23">
        <f>(((Table134567891011121314151617343[[#This Row],[GBR]]-VLOOKUP($U$1,A:G,7,))/VLOOKUP($U$1,A:G,7,))*100)+100</f>
        <v/>
      </c>
      <c r="N13" s="23">
        <f>VLOOKUP(A13,Database!$E:$AY,MATCH($N$1,Database!$E$1:$AY$1,0),FALSE)</f>
        <v/>
      </c>
      <c r="O13" s="23">
        <f>(((Table134567891011121314151617343[[#This Row],[USA]]-VLOOKUP($U$1,A:N,14,))/VLOOKUP($U$1,A:N,14,))*100)+100</f>
        <v/>
      </c>
      <c r="P13" s="23">
        <f>VLOOKUP(A13,Database!$E:$AY,MATCH($P$1,Database!$E$1:$AY$1,0),FALSE)</f>
        <v/>
      </c>
      <c r="Q13" s="23">
        <f>(((Table134567891011121314151617343[[#This Row],[JPN]]-VLOOKUP($U$1,A:Q,16,))/VLOOKUP($U$1,A:Q,16,))*100)+100</f>
        <v/>
      </c>
      <c r="W13" s="100" t="inlineStr">
        <is>
          <t>GBR</t>
        </is>
      </c>
    </row>
    <row r="14" customFormat="1" s="100">
      <c r="A14" s="22" t="n">
        <v>33239</v>
      </c>
      <c r="B14" s="23">
        <f>VLOOKUP(A14,Database!$E:$AY,MATCH($B$1,Database!$E$1:$AY$1,0),FALSE)</f>
        <v/>
      </c>
      <c r="C14" s="23">
        <f>VLOOKUP(A14,Database!$E:$AY,MATCH($C$1,Database!$E$1:$AY$1,0),FALSE)</f>
        <v/>
      </c>
      <c r="D14" s="23">
        <f>VLOOKUP(A14,Database!$E:$AY,MATCH($D$1,Database!$E$1:$AY$1,0),FALSE)</f>
        <v/>
      </c>
      <c r="E14" s="23">
        <f>VLOOKUP(A14,Database!$E:$AY,MATCH($E$1,Database!$E$1:$AY$1,0),FALSE)</f>
        <v/>
      </c>
      <c r="F14" s="23">
        <f>VLOOKUP(A14,Database!$E:$AY,MATCH($F$1,Database!$E$1:$AY$1,0),FALSE)</f>
        <v/>
      </c>
      <c r="G14" s="23">
        <f>VLOOKUP(A14,Database!$E:$AY,MATCH($G$1,Database!$E$1:$AY$1,0),FALSE)</f>
        <v/>
      </c>
      <c r="H14" s="23">
        <f>(((Table134567891011121314151617343[[#This Row],[ITA]]-VLOOKUP($U$1,A:B,2,))/VLOOKUP($U$1,A:B,2,))*100)+100</f>
        <v/>
      </c>
      <c r="I14" s="23">
        <f>(((Table134567891011121314151617343[[#This Row],[FRA]]-VLOOKUP($U$1,A:C,3,))/VLOOKUP($U$1,A:C,3,))*100)+100</f>
        <v/>
      </c>
      <c r="J14" s="23">
        <f>(((Table134567891011121314151617343[[#This Row],[DEU]]-VLOOKUP($U$1,A:D,4,))/VLOOKUP($U$1,A:D,4,))*100)+100</f>
        <v/>
      </c>
      <c r="K14" s="23">
        <f>(((Table134567891011121314151617343[[#This Row],[ESP]]-VLOOKUP($U$1,A:E,5,))/VLOOKUP($U$1,A:E,5,))*100)+100</f>
        <v/>
      </c>
      <c r="L14" s="23">
        <f>(((Table134567891011121314151617343[[#This Row],[EA19]]-VLOOKUP($U$1,A:F,6,))/VLOOKUP($U$1,A:F,6,))*100)+100</f>
        <v/>
      </c>
      <c r="M14" s="23">
        <f>(((Table134567891011121314151617343[[#This Row],[GBR]]-VLOOKUP($U$1,A:G,7,))/VLOOKUP($U$1,A:G,7,))*100)+100</f>
        <v/>
      </c>
      <c r="N14" s="23">
        <f>VLOOKUP(A14,Database!$E:$AY,MATCH($N$1,Database!$E$1:$AY$1,0),FALSE)</f>
        <v/>
      </c>
      <c r="O14" s="23">
        <f>(((Table134567891011121314151617343[[#This Row],[USA]]-VLOOKUP($U$1,A:N,14,))/VLOOKUP($U$1,A:N,14,))*100)+100</f>
        <v/>
      </c>
      <c r="P14" s="23">
        <f>VLOOKUP(A14,Database!$E:$AY,MATCH($P$1,Database!$E$1:$AY$1,0),FALSE)</f>
        <v/>
      </c>
      <c r="Q14" s="23">
        <f>(((Table134567891011121314151617343[[#This Row],[JPN]]-VLOOKUP($U$1,A:Q,16,))/VLOOKUP($U$1,A:Q,16,))*100)+100</f>
        <v/>
      </c>
      <c r="W14" s="100" t="inlineStr">
        <is>
          <t>GRC</t>
        </is>
      </c>
    </row>
    <row r="15" customFormat="1" s="100">
      <c r="A15" s="22" t="n">
        <v>33270</v>
      </c>
      <c r="B15" s="23">
        <f>VLOOKUP(A15,Database!$E:$AY,MATCH($B$1,Database!$E$1:$AY$1,0),FALSE)</f>
        <v/>
      </c>
      <c r="C15" s="23">
        <f>VLOOKUP(A15,Database!$E:$AY,MATCH($C$1,Database!$E$1:$AY$1,0),FALSE)</f>
        <v/>
      </c>
      <c r="D15" s="23">
        <f>VLOOKUP(A15,Database!$E:$AY,MATCH($D$1,Database!$E$1:$AY$1,0),FALSE)</f>
        <v/>
      </c>
      <c r="E15" s="23">
        <f>VLOOKUP(A15,Database!$E:$AY,MATCH($E$1,Database!$E$1:$AY$1,0),FALSE)</f>
        <v/>
      </c>
      <c r="F15" s="23">
        <f>VLOOKUP(A15,Database!$E:$AY,MATCH($F$1,Database!$E$1:$AY$1,0),FALSE)</f>
        <v/>
      </c>
      <c r="G15" s="23">
        <f>VLOOKUP(A15,Database!$E:$AY,MATCH($G$1,Database!$E$1:$AY$1,0),FALSE)</f>
        <v/>
      </c>
      <c r="H15" s="23">
        <f>(((Table134567891011121314151617343[[#This Row],[ITA]]-VLOOKUP($U$1,A:B,2,))/VLOOKUP($U$1,A:B,2,))*100)+100</f>
        <v/>
      </c>
      <c r="I15" s="23">
        <f>(((Table134567891011121314151617343[[#This Row],[FRA]]-VLOOKUP($U$1,A:C,3,))/VLOOKUP($U$1,A:C,3,))*100)+100</f>
        <v/>
      </c>
      <c r="J15" s="23">
        <f>(((Table134567891011121314151617343[[#This Row],[DEU]]-VLOOKUP($U$1,A:D,4,))/VLOOKUP($U$1,A:D,4,))*100)+100</f>
        <v/>
      </c>
      <c r="K15" s="23">
        <f>(((Table134567891011121314151617343[[#This Row],[ESP]]-VLOOKUP($U$1,A:E,5,))/VLOOKUP($U$1,A:E,5,))*100)+100</f>
        <v/>
      </c>
      <c r="L15" s="23">
        <f>(((Table134567891011121314151617343[[#This Row],[EA19]]-VLOOKUP($U$1,A:F,6,))/VLOOKUP($U$1,A:F,6,))*100)+100</f>
        <v/>
      </c>
      <c r="M15" s="23">
        <f>(((Table134567891011121314151617343[[#This Row],[GBR]]-VLOOKUP($U$1,A:G,7,))/VLOOKUP($U$1,A:G,7,))*100)+100</f>
        <v/>
      </c>
      <c r="N15" s="23">
        <f>VLOOKUP(A15,Database!$E:$AY,MATCH($N$1,Database!$E$1:$AY$1,0),FALSE)</f>
        <v/>
      </c>
      <c r="O15" s="23">
        <f>(((Table134567891011121314151617343[[#This Row],[USA]]-VLOOKUP($U$1,A:N,14,))/VLOOKUP($U$1,A:N,14,))*100)+100</f>
        <v/>
      </c>
      <c r="P15" s="23">
        <f>VLOOKUP(A15,Database!$E:$AY,MATCH($P$1,Database!$E$1:$AY$1,0),FALSE)</f>
        <v/>
      </c>
      <c r="Q15" s="23">
        <f>(((Table134567891011121314151617343[[#This Row],[JPN]]-VLOOKUP($U$1,A:Q,16,))/VLOOKUP($U$1,A:Q,16,))*100)+100</f>
        <v/>
      </c>
      <c r="W15" s="100" t="inlineStr">
        <is>
          <t>HUN</t>
        </is>
      </c>
    </row>
    <row r="16" customFormat="1" s="100">
      <c r="A16" s="22" t="n">
        <v>33298</v>
      </c>
      <c r="B16" s="23">
        <f>VLOOKUP(A16,Database!$E:$AY,MATCH($B$1,Database!$E$1:$AY$1,0),FALSE)</f>
        <v/>
      </c>
      <c r="C16" s="23">
        <f>VLOOKUP(A16,Database!$E:$AY,MATCH($C$1,Database!$E$1:$AY$1,0),FALSE)</f>
        <v/>
      </c>
      <c r="D16" s="23">
        <f>VLOOKUP(A16,Database!$E:$AY,MATCH($D$1,Database!$E$1:$AY$1,0),FALSE)</f>
        <v/>
      </c>
      <c r="E16" s="23">
        <f>VLOOKUP(A16,Database!$E:$AY,MATCH($E$1,Database!$E$1:$AY$1,0),FALSE)</f>
        <v/>
      </c>
      <c r="F16" s="23">
        <f>VLOOKUP(A16,Database!$E:$AY,MATCH($F$1,Database!$E$1:$AY$1,0),FALSE)</f>
        <v/>
      </c>
      <c r="G16" s="23">
        <f>VLOOKUP(A16,Database!$E:$AY,MATCH($G$1,Database!$E$1:$AY$1,0),FALSE)</f>
        <v/>
      </c>
      <c r="H16" s="23">
        <f>(((Table134567891011121314151617343[[#This Row],[ITA]]-VLOOKUP($U$1,A:B,2,))/VLOOKUP($U$1,A:B,2,))*100)+100</f>
        <v/>
      </c>
      <c r="I16" s="23">
        <f>(((Table134567891011121314151617343[[#This Row],[FRA]]-VLOOKUP($U$1,A:C,3,))/VLOOKUP($U$1,A:C,3,))*100)+100</f>
        <v/>
      </c>
      <c r="J16" s="23">
        <f>(((Table134567891011121314151617343[[#This Row],[DEU]]-VLOOKUP($U$1,A:D,4,))/VLOOKUP($U$1,A:D,4,))*100)+100</f>
        <v/>
      </c>
      <c r="K16" s="23">
        <f>(((Table134567891011121314151617343[[#This Row],[ESP]]-VLOOKUP($U$1,A:E,5,))/VLOOKUP($U$1,A:E,5,))*100)+100</f>
        <v/>
      </c>
      <c r="L16" s="23">
        <f>(((Table134567891011121314151617343[[#This Row],[EA19]]-VLOOKUP($U$1,A:F,6,))/VLOOKUP($U$1,A:F,6,))*100)+100</f>
        <v/>
      </c>
      <c r="M16" s="23">
        <f>(((Table134567891011121314151617343[[#This Row],[GBR]]-VLOOKUP($U$1,A:G,7,))/VLOOKUP($U$1,A:G,7,))*100)+100</f>
        <v/>
      </c>
      <c r="N16" s="23">
        <f>VLOOKUP(A16,Database!$E:$AY,MATCH($N$1,Database!$E$1:$AY$1,0),FALSE)</f>
        <v/>
      </c>
      <c r="O16" s="23">
        <f>(((Table134567891011121314151617343[[#This Row],[USA]]-VLOOKUP($U$1,A:N,14,))/VLOOKUP($U$1,A:N,14,))*100)+100</f>
        <v/>
      </c>
      <c r="P16" s="23">
        <f>VLOOKUP(A16,Database!$E:$AY,MATCH($P$1,Database!$E$1:$AY$1,0),FALSE)</f>
        <v/>
      </c>
      <c r="Q16" s="23">
        <f>(((Table134567891011121314151617343[[#This Row],[JPN]]-VLOOKUP($U$1,A:Q,16,))/VLOOKUP($U$1,A:Q,16,))*100)+100</f>
        <v/>
      </c>
      <c r="W16" s="100" t="inlineStr">
        <is>
          <t>IRL</t>
        </is>
      </c>
    </row>
    <row r="17" customFormat="1" s="100">
      <c r="A17" s="22" t="n">
        <v>33329</v>
      </c>
      <c r="B17" s="23">
        <f>VLOOKUP(A17,Database!$E:$AY,MATCH($B$1,Database!$E$1:$AY$1,0),FALSE)</f>
        <v/>
      </c>
      <c r="C17" s="23">
        <f>VLOOKUP(A17,Database!$E:$AY,MATCH($C$1,Database!$E$1:$AY$1,0),FALSE)</f>
        <v/>
      </c>
      <c r="D17" s="23">
        <f>VLOOKUP(A17,Database!$E:$AY,MATCH($D$1,Database!$E$1:$AY$1,0),FALSE)</f>
        <v/>
      </c>
      <c r="E17" s="23">
        <f>VLOOKUP(A17,Database!$E:$AY,MATCH($E$1,Database!$E$1:$AY$1,0),FALSE)</f>
        <v/>
      </c>
      <c r="F17" s="23">
        <f>VLOOKUP(A17,Database!$E:$AY,MATCH($F$1,Database!$E$1:$AY$1,0),FALSE)</f>
        <v/>
      </c>
      <c r="G17" s="23">
        <f>VLOOKUP(A17,Database!$E:$AY,MATCH($G$1,Database!$E$1:$AY$1,0),FALSE)</f>
        <v/>
      </c>
      <c r="H17" s="23">
        <f>(((Table134567891011121314151617343[[#This Row],[ITA]]-VLOOKUP($U$1,A:B,2,))/VLOOKUP($U$1,A:B,2,))*100)+100</f>
        <v/>
      </c>
      <c r="I17" s="23">
        <f>(((Table134567891011121314151617343[[#This Row],[FRA]]-VLOOKUP($U$1,A:C,3,))/VLOOKUP($U$1,A:C,3,))*100)+100</f>
        <v/>
      </c>
      <c r="J17" s="23">
        <f>(((Table134567891011121314151617343[[#This Row],[DEU]]-VLOOKUP($U$1,A:D,4,))/VLOOKUP($U$1,A:D,4,))*100)+100</f>
        <v/>
      </c>
      <c r="K17" s="23">
        <f>(((Table134567891011121314151617343[[#This Row],[ESP]]-VLOOKUP($U$1,A:E,5,))/VLOOKUP($U$1,A:E,5,))*100)+100</f>
        <v/>
      </c>
      <c r="L17" s="23">
        <f>(((Table134567891011121314151617343[[#This Row],[EA19]]-VLOOKUP($U$1,A:F,6,))/VLOOKUP($U$1,A:F,6,))*100)+100</f>
        <v/>
      </c>
      <c r="M17" s="23">
        <f>(((Table134567891011121314151617343[[#This Row],[GBR]]-VLOOKUP($U$1,A:G,7,))/VLOOKUP($U$1,A:G,7,))*100)+100</f>
        <v/>
      </c>
      <c r="N17" s="23">
        <f>VLOOKUP(A17,Database!$E:$AY,MATCH($N$1,Database!$E$1:$AY$1,0),FALSE)</f>
        <v/>
      </c>
      <c r="O17" s="23">
        <f>(((Table134567891011121314151617343[[#This Row],[USA]]-VLOOKUP($U$1,A:N,14,))/VLOOKUP($U$1,A:N,14,))*100)+100</f>
        <v/>
      </c>
      <c r="P17" s="23">
        <f>VLOOKUP(A17,Database!$E:$AY,MATCH($P$1,Database!$E$1:$AY$1,0),FALSE)</f>
        <v/>
      </c>
      <c r="Q17" s="23">
        <f>(((Table134567891011121314151617343[[#This Row],[JPN]]-VLOOKUP($U$1,A:Q,16,))/VLOOKUP($U$1,A:Q,16,))*100)+100</f>
        <v/>
      </c>
      <c r="W17" s="100" t="inlineStr">
        <is>
          <t>ISL</t>
        </is>
      </c>
    </row>
    <row r="18" customFormat="1" s="100">
      <c r="A18" s="22" t="n">
        <v>33359</v>
      </c>
      <c r="B18" s="23">
        <f>VLOOKUP(A18,Database!$E:$AY,MATCH($B$1,Database!$E$1:$AY$1,0),FALSE)</f>
        <v/>
      </c>
      <c r="C18" s="23">
        <f>VLOOKUP(A18,Database!$E:$AY,MATCH($C$1,Database!$E$1:$AY$1,0),FALSE)</f>
        <v/>
      </c>
      <c r="D18" s="23">
        <f>VLOOKUP(A18,Database!$E:$AY,MATCH($D$1,Database!$E$1:$AY$1,0),FALSE)</f>
        <v/>
      </c>
      <c r="E18" s="23">
        <f>VLOOKUP(A18,Database!$E:$AY,MATCH($E$1,Database!$E$1:$AY$1,0),FALSE)</f>
        <v/>
      </c>
      <c r="F18" s="23">
        <f>VLOOKUP(A18,Database!$E:$AY,MATCH($F$1,Database!$E$1:$AY$1,0),FALSE)</f>
        <v/>
      </c>
      <c r="G18" s="23">
        <f>VLOOKUP(A18,Database!$E:$AY,MATCH($G$1,Database!$E$1:$AY$1,0),FALSE)</f>
        <v/>
      </c>
      <c r="H18" s="23">
        <f>(((Table134567891011121314151617343[[#This Row],[ITA]]-VLOOKUP($U$1,A:B,2,))/VLOOKUP($U$1,A:B,2,))*100)+100</f>
        <v/>
      </c>
      <c r="I18" s="23">
        <f>(((Table134567891011121314151617343[[#This Row],[FRA]]-VLOOKUP($U$1,A:C,3,))/VLOOKUP($U$1,A:C,3,))*100)+100</f>
        <v/>
      </c>
      <c r="J18" s="23">
        <f>(((Table134567891011121314151617343[[#This Row],[DEU]]-VLOOKUP($U$1,A:D,4,))/VLOOKUP($U$1,A:D,4,))*100)+100</f>
        <v/>
      </c>
      <c r="K18" s="23">
        <f>(((Table134567891011121314151617343[[#This Row],[ESP]]-VLOOKUP($U$1,A:E,5,))/VLOOKUP($U$1,A:E,5,))*100)+100</f>
        <v/>
      </c>
      <c r="L18" s="23">
        <f>(((Table134567891011121314151617343[[#This Row],[EA19]]-VLOOKUP($U$1,A:F,6,))/VLOOKUP($U$1,A:F,6,))*100)+100</f>
        <v/>
      </c>
      <c r="M18" s="23">
        <f>(((Table134567891011121314151617343[[#This Row],[GBR]]-VLOOKUP($U$1,A:G,7,))/VLOOKUP($U$1,A:G,7,))*100)+100</f>
        <v/>
      </c>
      <c r="N18" s="23">
        <f>VLOOKUP(A18,Database!$E:$AY,MATCH($N$1,Database!$E$1:$AY$1,0),FALSE)</f>
        <v/>
      </c>
      <c r="O18" s="23">
        <f>(((Table134567891011121314151617343[[#This Row],[USA]]-VLOOKUP($U$1,A:N,14,))/VLOOKUP($U$1,A:N,14,))*100)+100</f>
        <v/>
      </c>
      <c r="P18" s="23">
        <f>VLOOKUP(A18,Database!$E:$AY,MATCH($P$1,Database!$E$1:$AY$1,0),FALSE)</f>
        <v/>
      </c>
      <c r="Q18" s="23">
        <f>(((Table134567891011121314151617343[[#This Row],[JPN]]-VLOOKUP($U$1,A:Q,16,))/VLOOKUP($U$1,A:Q,16,))*100)+100</f>
        <v/>
      </c>
      <c r="W18" s="100" t="inlineStr">
        <is>
          <t>ISR</t>
        </is>
      </c>
    </row>
    <row r="19" customFormat="1" s="100">
      <c r="A19" s="22" t="n">
        <v>33390</v>
      </c>
      <c r="B19" s="23">
        <f>VLOOKUP(A19,Database!$E:$AY,MATCH($B$1,Database!$E$1:$AY$1,0),FALSE)</f>
        <v/>
      </c>
      <c r="C19" s="23">
        <f>VLOOKUP(A19,Database!$E:$AY,MATCH($C$1,Database!$E$1:$AY$1,0),FALSE)</f>
        <v/>
      </c>
      <c r="D19" s="23">
        <f>VLOOKUP(A19,Database!$E:$AY,MATCH($D$1,Database!$E$1:$AY$1,0),FALSE)</f>
        <v/>
      </c>
      <c r="E19" s="23">
        <f>VLOOKUP(A19,Database!$E:$AY,MATCH($E$1,Database!$E$1:$AY$1,0),FALSE)</f>
        <v/>
      </c>
      <c r="F19" s="23">
        <f>VLOOKUP(A19,Database!$E:$AY,MATCH($F$1,Database!$E$1:$AY$1,0),FALSE)</f>
        <v/>
      </c>
      <c r="G19" s="23">
        <f>VLOOKUP(A19,Database!$E:$AY,MATCH($G$1,Database!$E$1:$AY$1,0),FALSE)</f>
        <v/>
      </c>
      <c r="H19" s="23">
        <f>(((Table134567891011121314151617343[[#This Row],[ITA]]-VLOOKUP($U$1,A:B,2,))/VLOOKUP($U$1,A:B,2,))*100)+100</f>
        <v/>
      </c>
      <c r="I19" s="23">
        <f>(((Table134567891011121314151617343[[#This Row],[FRA]]-VLOOKUP($U$1,A:C,3,))/VLOOKUP($U$1,A:C,3,))*100)+100</f>
        <v/>
      </c>
      <c r="J19" s="23">
        <f>(((Table134567891011121314151617343[[#This Row],[DEU]]-VLOOKUP($U$1,A:D,4,))/VLOOKUP($U$1,A:D,4,))*100)+100</f>
        <v/>
      </c>
      <c r="K19" s="23">
        <f>(((Table134567891011121314151617343[[#This Row],[ESP]]-VLOOKUP($U$1,A:E,5,))/VLOOKUP($U$1,A:E,5,))*100)+100</f>
        <v/>
      </c>
      <c r="L19" s="23">
        <f>(((Table134567891011121314151617343[[#This Row],[EA19]]-VLOOKUP($U$1,A:F,6,))/VLOOKUP($U$1,A:F,6,))*100)+100</f>
        <v/>
      </c>
      <c r="M19" s="23">
        <f>(((Table134567891011121314151617343[[#This Row],[GBR]]-VLOOKUP($U$1,A:G,7,))/VLOOKUP($U$1,A:G,7,))*100)+100</f>
        <v/>
      </c>
      <c r="N19" s="23">
        <f>VLOOKUP(A19,Database!$E:$AY,MATCH($N$1,Database!$E$1:$AY$1,0),FALSE)</f>
        <v/>
      </c>
      <c r="O19" s="23">
        <f>(((Table134567891011121314151617343[[#This Row],[USA]]-VLOOKUP($U$1,A:N,14,))/VLOOKUP($U$1,A:N,14,))*100)+100</f>
        <v/>
      </c>
      <c r="P19" s="23">
        <f>VLOOKUP(A19,Database!$E:$AY,MATCH($P$1,Database!$E$1:$AY$1,0),FALSE)</f>
        <v/>
      </c>
      <c r="Q19" s="23">
        <f>(((Table134567891011121314151617343[[#This Row],[JPN]]-VLOOKUP($U$1,A:Q,16,))/VLOOKUP($U$1,A:Q,16,))*100)+100</f>
        <v/>
      </c>
      <c r="W19" s="100" t="inlineStr">
        <is>
          <t>ITA</t>
        </is>
      </c>
    </row>
    <row r="20" customFormat="1" s="100">
      <c r="A20" s="22" t="n">
        <v>33420</v>
      </c>
      <c r="B20" s="23">
        <f>VLOOKUP(A20,Database!$E:$AY,MATCH($B$1,Database!$E$1:$AY$1,0),FALSE)</f>
        <v/>
      </c>
      <c r="C20" s="23">
        <f>VLOOKUP(A20,Database!$E:$AY,MATCH($C$1,Database!$E$1:$AY$1,0),FALSE)</f>
        <v/>
      </c>
      <c r="D20" s="23">
        <f>VLOOKUP(A20,Database!$E:$AY,MATCH($D$1,Database!$E$1:$AY$1,0),FALSE)</f>
        <v/>
      </c>
      <c r="E20" s="23">
        <f>VLOOKUP(A20,Database!$E:$AY,MATCH($E$1,Database!$E$1:$AY$1,0),FALSE)</f>
        <v/>
      </c>
      <c r="F20" s="23">
        <f>VLOOKUP(A20,Database!$E:$AY,MATCH($F$1,Database!$E$1:$AY$1,0),FALSE)</f>
        <v/>
      </c>
      <c r="G20" s="23">
        <f>VLOOKUP(A20,Database!$E:$AY,MATCH($G$1,Database!$E$1:$AY$1,0),FALSE)</f>
        <v/>
      </c>
      <c r="H20" s="23">
        <f>(((Table134567891011121314151617343[[#This Row],[ITA]]-VLOOKUP($U$1,A:B,2,))/VLOOKUP($U$1,A:B,2,))*100)+100</f>
        <v/>
      </c>
      <c r="I20" s="23">
        <f>(((Table134567891011121314151617343[[#This Row],[FRA]]-VLOOKUP($U$1,A:C,3,))/VLOOKUP($U$1,A:C,3,))*100)+100</f>
        <v/>
      </c>
      <c r="J20" s="23">
        <f>(((Table134567891011121314151617343[[#This Row],[DEU]]-VLOOKUP($U$1,A:D,4,))/VLOOKUP($U$1,A:D,4,))*100)+100</f>
        <v/>
      </c>
      <c r="K20" s="23">
        <f>(((Table134567891011121314151617343[[#This Row],[ESP]]-VLOOKUP($U$1,A:E,5,))/VLOOKUP($U$1,A:E,5,))*100)+100</f>
        <v/>
      </c>
      <c r="L20" s="23">
        <f>(((Table134567891011121314151617343[[#This Row],[EA19]]-VLOOKUP($U$1,A:F,6,))/VLOOKUP($U$1,A:F,6,))*100)+100</f>
        <v/>
      </c>
      <c r="M20" s="23">
        <f>(((Table134567891011121314151617343[[#This Row],[GBR]]-VLOOKUP($U$1,A:G,7,))/VLOOKUP($U$1,A:G,7,))*100)+100</f>
        <v/>
      </c>
      <c r="N20" s="23">
        <f>VLOOKUP(A20,Database!$E:$AY,MATCH($N$1,Database!$E$1:$AY$1,0),FALSE)</f>
        <v/>
      </c>
      <c r="O20" s="23">
        <f>(((Table134567891011121314151617343[[#This Row],[USA]]-VLOOKUP($U$1,A:N,14,))/VLOOKUP($U$1,A:N,14,))*100)+100</f>
        <v/>
      </c>
      <c r="P20" s="23">
        <f>VLOOKUP(A20,Database!$E:$AY,MATCH($P$1,Database!$E$1:$AY$1,0),FALSE)</f>
        <v/>
      </c>
      <c r="Q20" s="23">
        <f>(((Table134567891011121314151617343[[#This Row],[JPN]]-VLOOKUP($U$1,A:Q,16,))/VLOOKUP($U$1,A:Q,16,))*100)+100</f>
        <v/>
      </c>
      <c r="W20" s="100" t="inlineStr">
        <is>
          <t>JPN</t>
        </is>
      </c>
    </row>
    <row r="21" customFormat="1" s="100">
      <c r="A21" s="22" t="n">
        <v>33451</v>
      </c>
      <c r="B21" s="23">
        <f>VLOOKUP(A21,Database!$E:$AY,MATCH($B$1,Database!$E$1:$AY$1,0),FALSE)</f>
        <v/>
      </c>
      <c r="C21" s="23">
        <f>VLOOKUP(A21,Database!$E:$AY,MATCH($C$1,Database!$E$1:$AY$1,0),FALSE)</f>
        <v/>
      </c>
      <c r="D21" s="23">
        <f>VLOOKUP(A21,Database!$E:$AY,MATCH($D$1,Database!$E$1:$AY$1,0),FALSE)</f>
        <v/>
      </c>
      <c r="E21" s="23">
        <f>VLOOKUP(A21,Database!$E:$AY,MATCH($E$1,Database!$E$1:$AY$1,0),FALSE)</f>
        <v/>
      </c>
      <c r="F21" s="23">
        <f>VLOOKUP(A21,Database!$E:$AY,MATCH($F$1,Database!$E$1:$AY$1,0),FALSE)</f>
        <v/>
      </c>
      <c r="G21" s="23">
        <f>VLOOKUP(A21,Database!$E:$AY,MATCH($G$1,Database!$E$1:$AY$1,0),FALSE)</f>
        <v/>
      </c>
      <c r="H21" s="23">
        <f>(((Table134567891011121314151617343[[#This Row],[ITA]]-VLOOKUP($U$1,A:B,2,))/VLOOKUP($U$1,A:B,2,))*100)+100</f>
        <v/>
      </c>
      <c r="I21" s="23">
        <f>(((Table134567891011121314151617343[[#This Row],[FRA]]-VLOOKUP($U$1,A:C,3,))/VLOOKUP($U$1,A:C,3,))*100)+100</f>
        <v/>
      </c>
      <c r="J21" s="23">
        <f>(((Table134567891011121314151617343[[#This Row],[DEU]]-VLOOKUP($U$1,A:D,4,))/VLOOKUP($U$1,A:D,4,))*100)+100</f>
        <v/>
      </c>
      <c r="K21" s="23">
        <f>(((Table134567891011121314151617343[[#This Row],[ESP]]-VLOOKUP($U$1,A:E,5,))/VLOOKUP($U$1,A:E,5,))*100)+100</f>
        <v/>
      </c>
      <c r="L21" s="23">
        <f>(((Table134567891011121314151617343[[#This Row],[EA19]]-VLOOKUP($U$1,A:F,6,))/VLOOKUP($U$1,A:F,6,))*100)+100</f>
        <v/>
      </c>
      <c r="M21" s="23">
        <f>(((Table134567891011121314151617343[[#This Row],[GBR]]-VLOOKUP($U$1,A:G,7,))/VLOOKUP($U$1,A:G,7,))*100)+100</f>
        <v/>
      </c>
      <c r="N21" s="23">
        <f>VLOOKUP(A21,Database!$E:$AY,MATCH($N$1,Database!$E$1:$AY$1,0),FALSE)</f>
        <v/>
      </c>
      <c r="O21" s="23">
        <f>(((Table134567891011121314151617343[[#This Row],[USA]]-VLOOKUP($U$1,A:N,14,))/VLOOKUP($U$1,A:N,14,))*100)+100</f>
        <v/>
      </c>
      <c r="P21" s="23">
        <f>VLOOKUP(A21,Database!$E:$AY,MATCH($P$1,Database!$E$1:$AY$1,0),FALSE)</f>
        <v/>
      </c>
      <c r="Q21" s="23">
        <f>(((Table134567891011121314151617343[[#This Row],[JPN]]-VLOOKUP($U$1,A:Q,16,))/VLOOKUP($U$1,A:Q,16,))*100)+100</f>
        <v/>
      </c>
      <c r="W21" s="100" t="inlineStr">
        <is>
          <t>KOR</t>
        </is>
      </c>
    </row>
    <row r="22" customFormat="1" s="100">
      <c r="A22" s="22" t="n">
        <v>33482</v>
      </c>
      <c r="B22" s="23">
        <f>VLOOKUP(A22,Database!$E:$AY,MATCH($B$1,Database!$E$1:$AY$1,0),FALSE)</f>
        <v/>
      </c>
      <c r="C22" s="23">
        <f>VLOOKUP(A22,Database!$E:$AY,MATCH($C$1,Database!$E$1:$AY$1,0),FALSE)</f>
        <v/>
      </c>
      <c r="D22" s="23">
        <f>VLOOKUP(A22,Database!$E:$AY,MATCH($D$1,Database!$E$1:$AY$1,0),FALSE)</f>
        <v/>
      </c>
      <c r="E22" s="23">
        <f>VLOOKUP(A22,Database!$E:$AY,MATCH($E$1,Database!$E$1:$AY$1,0),FALSE)</f>
        <v/>
      </c>
      <c r="F22" s="23">
        <f>VLOOKUP(A22,Database!$E:$AY,MATCH($F$1,Database!$E$1:$AY$1,0),FALSE)</f>
        <v/>
      </c>
      <c r="G22" s="23">
        <f>VLOOKUP(A22,Database!$E:$AY,MATCH($G$1,Database!$E$1:$AY$1,0),FALSE)</f>
        <v/>
      </c>
      <c r="H22" s="23">
        <f>(((Table134567891011121314151617343[[#This Row],[ITA]]-VLOOKUP($U$1,A:B,2,))/VLOOKUP($U$1,A:B,2,))*100)+100</f>
        <v/>
      </c>
      <c r="I22" s="23">
        <f>(((Table134567891011121314151617343[[#This Row],[FRA]]-VLOOKUP($U$1,A:C,3,))/VLOOKUP($U$1,A:C,3,))*100)+100</f>
        <v/>
      </c>
      <c r="J22" s="23">
        <f>(((Table134567891011121314151617343[[#This Row],[DEU]]-VLOOKUP($U$1,A:D,4,))/VLOOKUP($U$1,A:D,4,))*100)+100</f>
        <v/>
      </c>
      <c r="K22" s="23">
        <f>(((Table134567891011121314151617343[[#This Row],[ESP]]-VLOOKUP($U$1,A:E,5,))/VLOOKUP($U$1,A:E,5,))*100)+100</f>
        <v/>
      </c>
      <c r="L22" s="23">
        <f>(((Table134567891011121314151617343[[#This Row],[EA19]]-VLOOKUP($U$1,A:F,6,))/VLOOKUP($U$1,A:F,6,))*100)+100</f>
        <v/>
      </c>
      <c r="M22" s="23">
        <f>(((Table134567891011121314151617343[[#This Row],[GBR]]-VLOOKUP($U$1,A:G,7,))/VLOOKUP($U$1,A:G,7,))*100)+100</f>
        <v/>
      </c>
      <c r="N22" s="23">
        <f>VLOOKUP(A22,Database!$E:$AY,MATCH($N$1,Database!$E$1:$AY$1,0),FALSE)</f>
        <v/>
      </c>
      <c r="O22" s="23">
        <f>(((Table134567891011121314151617343[[#This Row],[USA]]-VLOOKUP($U$1,A:N,14,))/VLOOKUP($U$1,A:N,14,))*100)+100</f>
        <v/>
      </c>
      <c r="P22" s="23">
        <f>VLOOKUP(A22,Database!$E:$AY,MATCH($P$1,Database!$E$1:$AY$1,0),FALSE)</f>
        <v/>
      </c>
      <c r="Q22" s="23">
        <f>(((Table134567891011121314151617343[[#This Row],[JPN]]-VLOOKUP($U$1,A:Q,16,))/VLOOKUP($U$1,A:Q,16,))*100)+100</f>
        <v/>
      </c>
      <c r="W22" s="100" t="inlineStr">
        <is>
          <t>LUX</t>
        </is>
      </c>
    </row>
    <row r="23" customFormat="1" s="100">
      <c r="A23" s="22" t="n">
        <v>33512</v>
      </c>
      <c r="B23" s="23">
        <f>VLOOKUP(A23,Database!$E:$AY,MATCH($B$1,Database!$E$1:$AY$1,0),FALSE)</f>
        <v/>
      </c>
      <c r="C23" s="23">
        <f>VLOOKUP(A23,Database!$E:$AY,MATCH($C$1,Database!$E$1:$AY$1,0),FALSE)</f>
        <v/>
      </c>
      <c r="D23" s="23">
        <f>VLOOKUP(A23,Database!$E:$AY,MATCH($D$1,Database!$E$1:$AY$1,0),FALSE)</f>
        <v/>
      </c>
      <c r="E23" s="23">
        <f>VLOOKUP(A23,Database!$E:$AY,MATCH($E$1,Database!$E$1:$AY$1,0),FALSE)</f>
        <v/>
      </c>
      <c r="F23" s="23">
        <f>VLOOKUP(A23,Database!$E:$AY,MATCH($F$1,Database!$E$1:$AY$1,0),FALSE)</f>
        <v/>
      </c>
      <c r="G23" s="23">
        <f>VLOOKUP(A23,Database!$E:$AY,MATCH($G$1,Database!$E$1:$AY$1,0),FALSE)</f>
        <v/>
      </c>
      <c r="H23" s="23">
        <f>(((Table134567891011121314151617343[[#This Row],[ITA]]-VLOOKUP($U$1,A:B,2,))/VLOOKUP($U$1,A:B,2,))*100)+100</f>
        <v/>
      </c>
      <c r="I23" s="23">
        <f>(((Table134567891011121314151617343[[#This Row],[FRA]]-VLOOKUP($U$1,A:C,3,))/VLOOKUP($U$1,A:C,3,))*100)+100</f>
        <v/>
      </c>
      <c r="J23" s="23">
        <f>(((Table134567891011121314151617343[[#This Row],[DEU]]-VLOOKUP($U$1,A:D,4,))/VLOOKUP($U$1,A:D,4,))*100)+100</f>
        <v/>
      </c>
      <c r="K23" s="23">
        <f>(((Table134567891011121314151617343[[#This Row],[ESP]]-VLOOKUP($U$1,A:E,5,))/VLOOKUP($U$1,A:E,5,))*100)+100</f>
        <v/>
      </c>
      <c r="L23" s="23">
        <f>(((Table134567891011121314151617343[[#This Row],[EA19]]-VLOOKUP($U$1,A:F,6,))/VLOOKUP($U$1,A:F,6,))*100)+100</f>
        <v/>
      </c>
      <c r="M23" s="23">
        <f>(((Table134567891011121314151617343[[#This Row],[GBR]]-VLOOKUP($U$1,A:G,7,))/VLOOKUP($U$1,A:G,7,))*100)+100</f>
        <v/>
      </c>
      <c r="N23" s="23">
        <f>VLOOKUP(A23,Database!$E:$AY,MATCH($N$1,Database!$E$1:$AY$1,0),FALSE)</f>
        <v/>
      </c>
      <c r="O23" s="23">
        <f>(((Table134567891011121314151617343[[#This Row],[USA]]-VLOOKUP($U$1,A:N,14,))/VLOOKUP($U$1,A:N,14,))*100)+100</f>
        <v/>
      </c>
      <c r="P23" s="23">
        <f>VLOOKUP(A23,Database!$E:$AY,MATCH($P$1,Database!$E$1:$AY$1,0),FALSE)</f>
        <v/>
      </c>
      <c r="Q23" s="23">
        <f>(((Table134567891011121314151617343[[#This Row],[JPN]]-VLOOKUP($U$1,A:Q,16,))/VLOOKUP($U$1,A:Q,16,))*100)+100</f>
        <v/>
      </c>
      <c r="W23" s="100" t="inlineStr">
        <is>
          <t>LVA</t>
        </is>
      </c>
    </row>
    <row r="24" customFormat="1" s="100">
      <c r="A24" s="22" t="n">
        <v>33543</v>
      </c>
      <c r="B24" s="23">
        <f>VLOOKUP(A24,Database!$E:$AY,MATCH($B$1,Database!$E$1:$AY$1,0),FALSE)</f>
        <v/>
      </c>
      <c r="C24" s="23">
        <f>VLOOKUP(A24,Database!$E:$AY,MATCH($C$1,Database!$E$1:$AY$1,0),FALSE)</f>
        <v/>
      </c>
      <c r="D24" s="23">
        <f>VLOOKUP(A24,Database!$E:$AY,MATCH($D$1,Database!$E$1:$AY$1,0),FALSE)</f>
        <v/>
      </c>
      <c r="E24" s="23">
        <f>VLOOKUP(A24,Database!$E:$AY,MATCH($E$1,Database!$E$1:$AY$1,0),FALSE)</f>
        <v/>
      </c>
      <c r="F24" s="23">
        <f>VLOOKUP(A24,Database!$E:$AY,MATCH($F$1,Database!$E$1:$AY$1,0),FALSE)</f>
        <v/>
      </c>
      <c r="G24" s="23">
        <f>VLOOKUP(A24,Database!$E:$AY,MATCH($G$1,Database!$E$1:$AY$1,0),FALSE)</f>
        <v/>
      </c>
      <c r="H24" s="23">
        <f>(((Table134567891011121314151617343[[#This Row],[ITA]]-VLOOKUP($U$1,A:B,2,))/VLOOKUP($U$1,A:B,2,))*100)+100</f>
        <v/>
      </c>
      <c r="I24" s="23">
        <f>(((Table134567891011121314151617343[[#This Row],[FRA]]-VLOOKUP($U$1,A:C,3,))/VLOOKUP($U$1,A:C,3,))*100)+100</f>
        <v/>
      </c>
      <c r="J24" s="23">
        <f>(((Table134567891011121314151617343[[#This Row],[DEU]]-VLOOKUP($U$1,A:D,4,))/VLOOKUP($U$1,A:D,4,))*100)+100</f>
        <v/>
      </c>
      <c r="K24" s="23">
        <f>(((Table134567891011121314151617343[[#This Row],[ESP]]-VLOOKUP($U$1,A:E,5,))/VLOOKUP($U$1,A:E,5,))*100)+100</f>
        <v/>
      </c>
      <c r="L24" s="23">
        <f>(((Table134567891011121314151617343[[#This Row],[EA19]]-VLOOKUP($U$1,A:F,6,))/VLOOKUP($U$1,A:F,6,))*100)+100</f>
        <v/>
      </c>
      <c r="M24" s="23">
        <f>(((Table134567891011121314151617343[[#This Row],[GBR]]-VLOOKUP($U$1,A:G,7,))/VLOOKUP($U$1,A:G,7,))*100)+100</f>
        <v/>
      </c>
      <c r="N24" s="23">
        <f>VLOOKUP(A24,Database!$E:$AY,MATCH($N$1,Database!$E$1:$AY$1,0),FALSE)</f>
        <v/>
      </c>
      <c r="O24" s="23">
        <f>(((Table134567891011121314151617343[[#This Row],[USA]]-VLOOKUP($U$1,A:N,14,))/VLOOKUP($U$1,A:N,14,))*100)+100</f>
        <v/>
      </c>
      <c r="P24" s="23">
        <f>VLOOKUP(A24,Database!$E:$AY,MATCH($P$1,Database!$E$1:$AY$1,0),FALSE)</f>
        <v/>
      </c>
      <c r="Q24" s="23">
        <f>(((Table134567891011121314151617343[[#This Row],[JPN]]-VLOOKUP($U$1,A:Q,16,))/VLOOKUP($U$1,A:Q,16,))*100)+100</f>
        <v/>
      </c>
      <c r="W24" s="100" t="inlineStr">
        <is>
          <t>MEX</t>
        </is>
      </c>
    </row>
    <row r="25" customFormat="1" s="100">
      <c r="A25" s="22" t="n">
        <v>33573</v>
      </c>
      <c r="B25" s="23">
        <f>VLOOKUP(A25,Database!$E:$AY,MATCH($B$1,Database!$E$1:$AY$1,0),FALSE)</f>
        <v/>
      </c>
      <c r="C25" s="23">
        <f>VLOOKUP(A25,Database!$E:$AY,MATCH($C$1,Database!$E$1:$AY$1,0),FALSE)</f>
        <v/>
      </c>
      <c r="D25" s="23">
        <f>VLOOKUP(A25,Database!$E:$AY,MATCH($D$1,Database!$E$1:$AY$1,0),FALSE)</f>
        <v/>
      </c>
      <c r="E25" s="23">
        <f>VLOOKUP(A25,Database!$E:$AY,MATCH($E$1,Database!$E$1:$AY$1,0),FALSE)</f>
        <v/>
      </c>
      <c r="F25" s="23">
        <f>VLOOKUP(A25,Database!$E:$AY,MATCH($F$1,Database!$E$1:$AY$1,0),FALSE)</f>
        <v/>
      </c>
      <c r="G25" s="23">
        <f>VLOOKUP(A25,Database!$E:$AY,MATCH($G$1,Database!$E$1:$AY$1,0),FALSE)</f>
        <v/>
      </c>
      <c r="H25" s="23">
        <f>(((Table134567891011121314151617343[[#This Row],[ITA]]-VLOOKUP($U$1,A:B,2,))/VLOOKUP($U$1,A:B,2,))*100)+100</f>
        <v/>
      </c>
      <c r="I25" s="23">
        <f>(((Table134567891011121314151617343[[#This Row],[FRA]]-VLOOKUP($U$1,A:C,3,))/VLOOKUP($U$1,A:C,3,))*100)+100</f>
        <v/>
      </c>
      <c r="J25" s="23">
        <f>(((Table134567891011121314151617343[[#This Row],[DEU]]-VLOOKUP($U$1,A:D,4,))/VLOOKUP($U$1,A:D,4,))*100)+100</f>
        <v/>
      </c>
      <c r="K25" s="23">
        <f>(((Table134567891011121314151617343[[#This Row],[ESP]]-VLOOKUP($U$1,A:E,5,))/VLOOKUP($U$1,A:E,5,))*100)+100</f>
        <v/>
      </c>
      <c r="L25" s="23">
        <f>(((Table134567891011121314151617343[[#This Row],[EA19]]-VLOOKUP($U$1,A:F,6,))/VLOOKUP($U$1,A:F,6,))*100)+100</f>
        <v/>
      </c>
      <c r="M25" s="23">
        <f>(((Table134567891011121314151617343[[#This Row],[GBR]]-VLOOKUP($U$1,A:G,7,))/VLOOKUP($U$1,A:G,7,))*100)+100</f>
        <v/>
      </c>
      <c r="N25" s="23">
        <f>VLOOKUP(A25,Database!$E:$AY,MATCH($N$1,Database!$E$1:$AY$1,0),FALSE)</f>
        <v/>
      </c>
      <c r="O25" s="23">
        <f>(((Table134567891011121314151617343[[#This Row],[USA]]-VLOOKUP($U$1,A:N,14,))/VLOOKUP($U$1,A:N,14,))*100)+100</f>
        <v/>
      </c>
      <c r="P25" s="23">
        <f>VLOOKUP(A25,Database!$E:$AY,MATCH($P$1,Database!$E$1:$AY$1,0),FALSE)</f>
        <v/>
      </c>
      <c r="Q25" s="23">
        <f>(((Table134567891011121314151617343[[#This Row],[JPN]]-VLOOKUP($U$1,A:Q,16,))/VLOOKUP($U$1,A:Q,16,))*100)+100</f>
        <v/>
      </c>
      <c r="W25" s="100" t="inlineStr">
        <is>
          <t>NLD</t>
        </is>
      </c>
    </row>
    <row r="26" customFormat="1" s="100">
      <c r="A26" s="22" t="n">
        <v>33604</v>
      </c>
      <c r="B26" s="23">
        <f>VLOOKUP(A26,Database!$E:$AY,MATCH($B$1,Database!$E$1:$AY$1,0),FALSE)</f>
        <v/>
      </c>
      <c r="C26" s="23">
        <f>VLOOKUP(A26,Database!$E:$AY,MATCH($C$1,Database!$E$1:$AY$1,0),FALSE)</f>
        <v/>
      </c>
      <c r="D26" s="23">
        <f>VLOOKUP(A26,Database!$E:$AY,MATCH($D$1,Database!$E$1:$AY$1,0),FALSE)</f>
        <v/>
      </c>
      <c r="E26" s="23">
        <f>VLOOKUP(A26,Database!$E:$AY,MATCH($E$1,Database!$E$1:$AY$1,0),FALSE)</f>
        <v/>
      </c>
      <c r="F26" s="23">
        <f>VLOOKUP(A26,Database!$E:$AY,MATCH($F$1,Database!$E$1:$AY$1,0),FALSE)</f>
        <v/>
      </c>
      <c r="G26" s="23">
        <f>VLOOKUP(A26,Database!$E:$AY,MATCH($G$1,Database!$E$1:$AY$1,0),FALSE)</f>
        <v/>
      </c>
      <c r="H26" s="23">
        <f>(((Table134567891011121314151617343[[#This Row],[ITA]]-VLOOKUP($U$1,A:B,2,))/VLOOKUP($U$1,A:B,2,))*100)+100</f>
        <v/>
      </c>
      <c r="I26" s="23">
        <f>(((Table134567891011121314151617343[[#This Row],[FRA]]-VLOOKUP($U$1,A:C,3,))/VLOOKUP($U$1,A:C,3,))*100)+100</f>
        <v/>
      </c>
      <c r="J26" s="23">
        <f>(((Table134567891011121314151617343[[#This Row],[DEU]]-VLOOKUP($U$1,A:D,4,))/VLOOKUP($U$1,A:D,4,))*100)+100</f>
        <v/>
      </c>
      <c r="K26" s="23">
        <f>(((Table134567891011121314151617343[[#This Row],[ESP]]-VLOOKUP($U$1,A:E,5,))/VLOOKUP($U$1,A:E,5,))*100)+100</f>
        <v/>
      </c>
      <c r="L26" s="23">
        <f>(((Table134567891011121314151617343[[#This Row],[EA19]]-VLOOKUP($U$1,A:F,6,))/VLOOKUP($U$1,A:F,6,))*100)+100</f>
        <v/>
      </c>
      <c r="M26" s="23">
        <f>(((Table134567891011121314151617343[[#This Row],[GBR]]-VLOOKUP($U$1,A:G,7,))/VLOOKUP($U$1,A:G,7,))*100)+100</f>
        <v/>
      </c>
      <c r="N26" s="23">
        <f>VLOOKUP(A26,Database!$E:$AY,MATCH($N$1,Database!$E$1:$AY$1,0),FALSE)</f>
        <v/>
      </c>
      <c r="O26" s="23">
        <f>(((Table134567891011121314151617343[[#This Row],[USA]]-VLOOKUP($U$1,A:N,14,))/VLOOKUP($U$1,A:N,14,))*100)+100</f>
        <v/>
      </c>
      <c r="P26" s="23">
        <f>VLOOKUP(A26,Database!$E:$AY,MATCH($P$1,Database!$E$1:$AY$1,0),FALSE)</f>
        <v/>
      </c>
      <c r="Q26" s="23">
        <f>(((Table134567891011121314151617343[[#This Row],[JPN]]-VLOOKUP($U$1,A:Q,16,))/VLOOKUP($U$1,A:Q,16,))*100)+100</f>
        <v/>
      </c>
      <c r="W26" s="100" t="inlineStr">
        <is>
          <t>NOR</t>
        </is>
      </c>
    </row>
    <row r="27" customFormat="1" s="100">
      <c r="A27" s="22" t="n">
        <v>33635</v>
      </c>
      <c r="B27" s="23">
        <f>VLOOKUP(A27,Database!$E:$AY,MATCH($B$1,Database!$E$1:$AY$1,0),FALSE)</f>
        <v/>
      </c>
      <c r="C27" s="23">
        <f>VLOOKUP(A27,Database!$E:$AY,MATCH($C$1,Database!$E$1:$AY$1,0),FALSE)</f>
        <v/>
      </c>
      <c r="D27" s="23">
        <f>VLOOKUP(A27,Database!$E:$AY,MATCH($D$1,Database!$E$1:$AY$1,0),FALSE)</f>
        <v/>
      </c>
      <c r="E27" s="23">
        <f>VLOOKUP(A27,Database!$E:$AY,MATCH($E$1,Database!$E$1:$AY$1,0),FALSE)</f>
        <v/>
      </c>
      <c r="F27" s="23">
        <f>VLOOKUP(A27,Database!$E:$AY,MATCH($F$1,Database!$E$1:$AY$1,0),FALSE)</f>
        <v/>
      </c>
      <c r="G27" s="23">
        <f>VLOOKUP(A27,Database!$E:$AY,MATCH($G$1,Database!$E$1:$AY$1,0),FALSE)</f>
        <v/>
      </c>
      <c r="H27" s="23">
        <f>(((Table134567891011121314151617343[[#This Row],[ITA]]-VLOOKUP($U$1,A:B,2,))/VLOOKUP($U$1,A:B,2,))*100)+100</f>
        <v/>
      </c>
      <c r="I27" s="23">
        <f>(((Table134567891011121314151617343[[#This Row],[FRA]]-VLOOKUP($U$1,A:C,3,))/VLOOKUP($U$1,A:C,3,))*100)+100</f>
        <v/>
      </c>
      <c r="J27" s="23">
        <f>(((Table134567891011121314151617343[[#This Row],[DEU]]-VLOOKUP($U$1,A:D,4,))/VLOOKUP($U$1,A:D,4,))*100)+100</f>
        <v/>
      </c>
      <c r="K27" s="23">
        <f>(((Table134567891011121314151617343[[#This Row],[ESP]]-VLOOKUP($U$1,A:E,5,))/VLOOKUP($U$1,A:E,5,))*100)+100</f>
        <v/>
      </c>
      <c r="L27" s="23">
        <f>(((Table134567891011121314151617343[[#This Row],[EA19]]-VLOOKUP($U$1,A:F,6,))/VLOOKUP($U$1,A:F,6,))*100)+100</f>
        <v/>
      </c>
      <c r="M27" s="23">
        <f>(((Table134567891011121314151617343[[#This Row],[GBR]]-VLOOKUP($U$1,A:G,7,))/VLOOKUP($U$1,A:G,7,))*100)+100</f>
        <v/>
      </c>
      <c r="N27" s="23">
        <f>VLOOKUP(A27,Database!$E:$AY,MATCH($N$1,Database!$E$1:$AY$1,0),FALSE)</f>
        <v/>
      </c>
      <c r="O27" s="23">
        <f>(((Table134567891011121314151617343[[#This Row],[USA]]-VLOOKUP($U$1,A:N,14,))/VLOOKUP($U$1,A:N,14,))*100)+100</f>
        <v/>
      </c>
      <c r="P27" s="23">
        <f>VLOOKUP(A27,Database!$E:$AY,MATCH($P$1,Database!$E$1:$AY$1,0),FALSE)</f>
        <v/>
      </c>
      <c r="Q27" s="23">
        <f>(((Table134567891011121314151617343[[#This Row],[JPN]]-VLOOKUP($U$1,A:Q,16,))/VLOOKUP($U$1,A:Q,16,))*100)+100</f>
        <v/>
      </c>
      <c r="W27" s="100" t="inlineStr">
        <is>
          <t>OECD</t>
        </is>
      </c>
    </row>
    <row r="28" customFormat="1" s="100">
      <c r="A28" s="22" t="n">
        <v>33664</v>
      </c>
      <c r="B28" s="23">
        <f>VLOOKUP(A28,Database!$E:$AY,MATCH($B$1,Database!$E$1:$AY$1,0),FALSE)</f>
        <v/>
      </c>
      <c r="C28" s="23">
        <f>VLOOKUP(A28,Database!$E:$AY,MATCH($C$1,Database!$E$1:$AY$1,0),FALSE)</f>
        <v/>
      </c>
      <c r="D28" s="23">
        <f>VLOOKUP(A28,Database!$E:$AY,MATCH($D$1,Database!$E$1:$AY$1,0),FALSE)</f>
        <v/>
      </c>
      <c r="E28" s="23">
        <f>VLOOKUP(A28,Database!$E:$AY,MATCH($E$1,Database!$E$1:$AY$1,0),FALSE)</f>
        <v/>
      </c>
      <c r="F28" s="23">
        <f>VLOOKUP(A28,Database!$E:$AY,MATCH($F$1,Database!$E$1:$AY$1,0),FALSE)</f>
        <v/>
      </c>
      <c r="G28" s="23">
        <f>VLOOKUP(A28,Database!$E:$AY,MATCH($G$1,Database!$E$1:$AY$1,0),FALSE)</f>
        <v/>
      </c>
      <c r="H28" s="23">
        <f>(((Table134567891011121314151617343[[#This Row],[ITA]]-VLOOKUP($U$1,A:B,2,))/VLOOKUP($U$1,A:B,2,))*100)+100</f>
        <v/>
      </c>
      <c r="I28" s="23">
        <f>(((Table134567891011121314151617343[[#This Row],[FRA]]-VLOOKUP($U$1,A:C,3,))/VLOOKUP($U$1,A:C,3,))*100)+100</f>
        <v/>
      </c>
      <c r="J28" s="23">
        <f>(((Table134567891011121314151617343[[#This Row],[DEU]]-VLOOKUP($U$1,A:D,4,))/VLOOKUP($U$1,A:D,4,))*100)+100</f>
        <v/>
      </c>
      <c r="K28" s="23">
        <f>(((Table134567891011121314151617343[[#This Row],[ESP]]-VLOOKUP($U$1,A:E,5,))/VLOOKUP($U$1,A:E,5,))*100)+100</f>
        <v/>
      </c>
      <c r="L28" s="23">
        <f>(((Table134567891011121314151617343[[#This Row],[EA19]]-VLOOKUP($U$1,A:F,6,))/VLOOKUP($U$1,A:F,6,))*100)+100</f>
        <v/>
      </c>
      <c r="M28" s="23">
        <f>(((Table134567891011121314151617343[[#This Row],[GBR]]-VLOOKUP($U$1,A:G,7,))/VLOOKUP($U$1,A:G,7,))*100)+100</f>
        <v/>
      </c>
      <c r="N28" s="23">
        <f>VLOOKUP(A28,Database!$E:$AY,MATCH($N$1,Database!$E$1:$AY$1,0),FALSE)</f>
        <v/>
      </c>
      <c r="O28" s="23">
        <f>(((Table134567891011121314151617343[[#This Row],[USA]]-VLOOKUP($U$1,A:N,14,))/VLOOKUP($U$1,A:N,14,))*100)+100</f>
        <v/>
      </c>
      <c r="P28" s="23">
        <f>VLOOKUP(A28,Database!$E:$AY,MATCH($P$1,Database!$E$1:$AY$1,0),FALSE)</f>
        <v/>
      </c>
      <c r="Q28" s="23">
        <f>(((Table134567891011121314151617343[[#This Row],[JPN]]-VLOOKUP($U$1,A:Q,16,))/VLOOKUP($U$1,A:Q,16,))*100)+100</f>
        <v/>
      </c>
      <c r="W28" s="100" t="inlineStr">
        <is>
          <t>POL</t>
        </is>
      </c>
    </row>
    <row r="29" customFormat="1" s="100">
      <c r="A29" s="22" t="n">
        <v>33695</v>
      </c>
      <c r="B29" s="23">
        <f>VLOOKUP(A29,Database!$E:$AY,MATCH($B$1,Database!$E$1:$AY$1,0),FALSE)</f>
        <v/>
      </c>
      <c r="C29" s="23">
        <f>VLOOKUP(A29,Database!$E:$AY,MATCH($C$1,Database!$E$1:$AY$1,0),FALSE)</f>
        <v/>
      </c>
      <c r="D29" s="23">
        <f>VLOOKUP(A29,Database!$E:$AY,MATCH($D$1,Database!$E$1:$AY$1,0),FALSE)</f>
        <v/>
      </c>
      <c r="E29" s="23">
        <f>VLOOKUP(A29,Database!$E:$AY,MATCH($E$1,Database!$E$1:$AY$1,0),FALSE)</f>
        <v/>
      </c>
      <c r="F29" s="23">
        <f>VLOOKUP(A29,Database!$E:$AY,MATCH($F$1,Database!$E$1:$AY$1,0),FALSE)</f>
        <v/>
      </c>
      <c r="G29" s="23">
        <f>VLOOKUP(A29,Database!$E:$AY,MATCH($G$1,Database!$E$1:$AY$1,0),FALSE)</f>
        <v/>
      </c>
      <c r="H29" s="23">
        <f>(((Table134567891011121314151617343[[#This Row],[ITA]]-VLOOKUP($U$1,A:B,2,))/VLOOKUP($U$1,A:B,2,))*100)+100</f>
        <v/>
      </c>
      <c r="I29" s="23">
        <f>(((Table134567891011121314151617343[[#This Row],[FRA]]-VLOOKUP($U$1,A:C,3,))/VLOOKUP($U$1,A:C,3,))*100)+100</f>
        <v/>
      </c>
      <c r="J29" s="23">
        <f>(((Table134567891011121314151617343[[#This Row],[DEU]]-VLOOKUP($U$1,A:D,4,))/VLOOKUP($U$1,A:D,4,))*100)+100</f>
        <v/>
      </c>
      <c r="K29" s="23">
        <f>(((Table134567891011121314151617343[[#This Row],[ESP]]-VLOOKUP($U$1,A:E,5,))/VLOOKUP($U$1,A:E,5,))*100)+100</f>
        <v/>
      </c>
      <c r="L29" s="23">
        <f>(((Table134567891011121314151617343[[#This Row],[EA19]]-VLOOKUP($U$1,A:F,6,))/VLOOKUP($U$1,A:F,6,))*100)+100</f>
        <v/>
      </c>
      <c r="M29" s="23">
        <f>(((Table134567891011121314151617343[[#This Row],[GBR]]-VLOOKUP($U$1,A:G,7,))/VLOOKUP($U$1,A:G,7,))*100)+100</f>
        <v/>
      </c>
      <c r="N29" s="23">
        <f>VLOOKUP(A29,Database!$E:$AY,MATCH($N$1,Database!$E$1:$AY$1,0),FALSE)</f>
        <v/>
      </c>
      <c r="O29" s="23">
        <f>(((Table134567891011121314151617343[[#This Row],[USA]]-VLOOKUP($U$1,A:N,14,))/VLOOKUP($U$1,A:N,14,))*100)+100</f>
        <v/>
      </c>
      <c r="P29" s="23">
        <f>VLOOKUP(A29,Database!$E:$AY,MATCH($P$1,Database!$E$1:$AY$1,0),FALSE)</f>
        <v/>
      </c>
      <c r="Q29" s="23">
        <f>(((Table134567891011121314151617343[[#This Row],[JPN]]-VLOOKUP($U$1,A:Q,16,))/VLOOKUP($U$1,A:Q,16,))*100)+100</f>
        <v/>
      </c>
      <c r="W29" s="100" t="inlineStr">
        <is>
          <t>PRT</t>
        </is>
      </c>
    </row>
    <row r="30" customFormat="1" s="100">
      <c r="A30" s="22" t="n">
        <v>33725</v>
      </c>
      <c r="B30" s="23">
        <f>VLOOKUP(A30,Database!$E:$AY,MATCH($B$1,Database!$E$1:$AY$1,0),FALSE)</f>
        <v/>
      </c>
      <c r="C30" s="23">
        <f>VLOOKUP(A30,Database!$E:$AY,MATCH($C$1,Database!$E$1:$AY$1,0),FALSE)</f>
        <v/>
      </c>
      <c r="D30" s="23">
        <f>VLOOKUP(A30,Database!$E:$AY,MATCH($D$1,Database!$E$1:$AY$1,0),FALSE)</f>
        <v/>
      </c>
      <c r="E30" s="23">
        <f>VLOOKUP(A30,Database!$E:$AY,MATCH($E$1,Database!$E$1:$AY$1,0),FALSE)</f>
        <v/>
      </c>
      <c r="F30" s="23">
        <f>VLOOKUP(A30,Database!$E:$AY,MATCH($F$1,Database!$E$1:$AY$1,0),FALSE)</f>
        <v/>
      </c>
      <c r="G30" s="23">
        <f>VLOOKUP(A30,Database!$E:$AY,MATCH($G$1,Database!$E$1:$AY$1,0),FALSE)</f>
        <v/>
      </c>
      <c r="H30" s="23">
        <f>(((Table134567891011121314151617343[[#This Row],[ITA]]-VLOOKUP($U$1,A:B,2,))/VLOOKUP($U$1,A:B,2,))*100)+100</f>
        <v/>
      </c>
      <c r="I30" s="23">
        <f>(((Table134567891011121314151617343[[#This Row],[FRA]]-VLOOKUP($U$1,A:C,3,))/VLOOKUP($U$1,A:C,3,))*100)+100</f>
        <v/>
      </c>
      <c r="J30" s="23">
        <f>(((Table134567891011121314151617343[[#This Row],[DEU]]-VLOOKUP($U$1,A:D,4,))/VLOOKUP($U$1,A:D,4,))*100)+100</f>
        <v/>
      </c>
      <c r="K30" s="23">
        <f>(((Table134567891011121314151617343[[#This Row],[ESP]]-VLOOKUP($U$1,A:E,5,))/VLOOKUP($U$1,A:E,5,))*100)+100</f>
        <v/>
      </c>
      <c r="L30" s="23">
        <f>(((Table134567891011121314151617343[[#This Row],[EA19]]-VLOOKUP($U$1,A:F,6,))/VLOOKUP($U$1,A:F,6,))*100)+100</f>
        <v/>
      </c>
      <c r="M30" s="23">
        <f>(((Table134567891011121314151617343[[#This Row],[GBR]]-VLOOKUP($U$1,A:G,7,))/VLOOKUP($U$1,A:G,7,))*100)+100</f>
        <v/>
      </c>
      <c r="N30" s="23">
        <f>VLOOKUP(A30,Database!$E:$AY,MATCH($N$1,Database!$E$1:$AY$1,0),FALSE)</f>
        <v/>
      </c>
      <c r="O30" s="23">
        <f>(((Table134567891011121314151617343[[#This Row],[USA]]-VLOOKUP($U$1,A:N,14,))/VLOOKUP($U$1,A:N,14,))*100)+100</f>
        <v/>
      </c>
      <c r="P30" s="23">
        <f>VLOOKUP(A30,Database!$E:$AY,MATCH($P$1,Database!$E$1:$AY$1,0),FALSE)</f>
        <v/>
      </c>
      <c r="Q30" s="23">
        <f>(((Table134567891011121314151617343[[#This Row],[JPN]]-VLOOKUP($U$1,A:Q,16,))/VLOOKUP($U$1,A:Q,16,))*100)+100</f>
        <v/>
      </c>
      <c r="W30" s="100" t="inlineStr">
        <is>
          <t>SVK</t>
        </is>
      </c>
    </row>
    <row r="31" customFormat="1" s="100">
      <c r="A31" s="22" t="n">
        <v>33756</v>
      </c>
      <c r="B31" s="23">
        <f>VLOOKUP(A31,Database!$E:$AY,MATCH($B$1,Database!$E$1:$AY$1,0),FALSE)</f>
        <v/>
      </c>
      <c r="C31" s="23">
        <f>VLOOKUP(A31,Database!$E:$AY,MATCH($C$1,Database!$E$1:$AY$1,0),FALSE)</f>
        <v/>
      </c>
      <c r="D31" s="23">
        <f>VLOOKUP(A31,Database!$E:$AY,MATCH($D$1,Database!$E$1:$AY$1,0),FALSE)</f>
        <v/>
      </c>
      <c r="E31" s="23">
        <f>VLOOKUP(A31,Database!$E:$AY,MATCH($E$1,Database!$E$1:$AY$1,0),FALSE)</f>
        <v/>
      </c>
      <c r="F31" s="23">
        <f>VLOOKUP(A31,Database!$E:$AY,MATCH($F$1,Database!$E$1:$AY$1,0),FALSE)</f>
        <v/>
      </c>
      <c r="G31" s="23">
        <f>VLOOKUP(A31,Database!$E:$AY,MATCH($G$1,Database!$E$1:$AY$1,0),FALSE)</f>
        <v/>
      </c>
      <c r="H31" s="23">
        <f>(((Table134567891011121314151617343[[#This Row],[ITA]]-VLOOKUP($U$1,A:B,2,))/VLOOKUP($U$1,A:B,2,))*100)+100</f>
        <v/>
      </c>
      <c r="I31" s="23">
        <f>(((Table134567891011121314151617343[[#This Row],[FRA]]-VLOOKUP($U$1,A:C,3,))/VLOOKUP($U$1,A:C,3,))*100)+100</f>
        <v/>
      </c>
      <c r="J31" s="23">
        <f>(((Table134567891011121314151617343[[#This Row],[DEU]]-VLOOKUP($U$1,A:D,4,))/VLOOKUP($U$1,A:D,4,))*100)+100</f>
        <v/>
      </c>
      <c r="K31" s="23">
        <f>(((Table134567891011121314151617343[[#This Row],[ESP]]-VLOOKUP($U$1,A:E,5,))/VLOOKUP($U$1,A:E,5,))*100)+100</f>
        <v/>
      </c>
      <c r="L31" s="23">
        <f>(((Table134567891011121314151617343[[#This Row],[EA19]]-VLOOKUP($U$1,A:F,6,))/VLOOKUP($U$1,A:F,6,))*100)+100</f>
        <v/>
      </c>
      <c r="M31" s="23">
        <f>(((Table134567891011121314151617343[[#This Row],[GBR]]-VLOOKUP($U$1,A:G,7,))/VLOOKUP($U$1,A:G,7,))*100)+100</f>
        <v/>
      </c>
      <c r="N31" s="23">
        <f>VLOOKUP(A31,Database!$E:$AY,MATCH($N$1,Database!$E$1:$AY$1,0),FALSE)</f>
        <v/>
      </c>
      <c r="O31" s="23">
        <f>(((Table134567891011121314151617343[[#This Row],[USA]]-VLOOKUP($U$1,A:N,14,))/VLOOKUP($U$1,A:N,14,))*100)+100</f>
        <v/>
      </c>
      <c r="P31" s="23">
        <f>VLOOKUP(A31,Database!$E:$AY,MATCH($P$1,Database!$E$1:$AY$1,0),FALSE)</f>
        <v/>
      </c>
      <c r="Q31" s="23">
        <f>(((Table134567891011121314151617343[[#This Row],[JPN]]-VLOOKUP($U$1,A:Q,16,))/VLOOKUP($U$1,A:Q,16,))*100)+100</f>
        <v/>
      </c>
      <c r="W31" s="100" t="inlineStr">
        <is>
          <t>SVN</t>
        </is>
      </c>
    </row>
    <row r="32" customFormat="1" s="100">
      <c r="A32" s="22" t="n">
        <v>33786</v>
      </c>
      <c r="B32" s="23">
        <f>VLOOKUP(A32,Database!$E:$AY,MATCH($B$1,Database!$E$1:$AY$1,0),FALSE)</f>
        <v/>
      </c>
      <c r="C32" s="23">
        <f>VLOOKUP(A32,Database!$E:$AY,MATCH($C$1,Database!$E$1:$AY$1,0),FALSE)</f>
        <v/>
      </c>
      <c r="D32" s="23">
        <f>VLOOKUP(A32,Database!$E:$AY,MATCH($D$1,Database!$E$1:$AY$1,0),FALSE)</f>
        <v/>
      </c>
      <c r="E32" s="23">
        <f>VLOOKUP(A32,Database!$E:$AY,MATCH($E$1,Database!$E$1:$AY$1,0),FALSE)</f>
        <v/>
      </c>
      <c r="F32" s="23">
        <f>VLOOKUP(A32,Database!$E:$AY,MATCH($F$1,Database!$E$1:$AY$1,0),FALSE)</f>
        <v/>
      </c>
      <c r="G32" s="23">
        <f>VLOOKUP(A32,Database!$E:$AY,MATCH($G$1,Database!$E$1:$AY$1,0),FALSE)</f>
        <v/>
      </c>
      <c r="H32" s="23">
        <f>(((Table134567891011121314151617343[[#This Row],[ITA]]-VLOOKUP($U$1,A:B,2,))/VLOOKUP($U$1,A:B,2,))*100)+100</f>
        <v/>
      </c>
      <c r="I32" s="23">
        <f>(((Table134567891011121314151617343[[#This Row],[FRA]]-VLOOKUP($U$1,A:C,3,))/VLOOKUP($U$1,A:C,3,))*100)+100</f>
        <v/>
      </c>
      <c r="J32" s="23">
        <f>(((Table134567891011121314151617343[[#This Row],[DEU]]-VLOOKUP($U$1,A:D,4,))/VLOOKUP($U$1,A:D,4,))*100)+100</f>
        <v/>
      </c>
      <c r="K32" s="23">
        <f>(((Table134567891011121314151617343[[#This Row],[ESP]]-VLOOKUP($U$1,A:E,5,))/VLOOKUP($U$1,A:E,5,))*100)+100</f>
        <v/>
      </c>
      <c r="L32" s="23">
        <f>(((Table134567891011121314151617343[[#This Row],[EA19]]-VLOOKUP($U$1,A:F,6,))/VLOOKUP($U$1,A:F,6,))*100)+100</f>
        <v/>
      </c>
      <c r="M32" s="23">
        <f>(((Table134567891011121314151617343[[#This Row],[GBR]]-VLOOKUP($U$1,A:G,7,))/VLOOKUP($U$1,A:G,7,))*100)+100</f>
        <v/>
      </c>
      <c r="N32" s="23">
        <f>VLOOKUP(A32,Database!$E:$AY,MATCH($N$1,Database!$E$1:$AY$1,0),FALSE)</f>
        <v/>
      </c>
      <c r="O32" s="23">
        <f>(((Table134567891011121314151617343[[#This Row],[USA]]-VLOOKUP($U$1,A:N,14,))/VLOOKUP($U$1,A:N,14,))*100)+100</f>
        <v/>
      </c>
      <c r="P32" s="23">
        <f>VLOOKUP(A32,Database!$E:$AY,MATCH($P$1,Database!$E$1:$AY$1,0),FALSE)</f>
        <v/>
      </c>
      <c r="Q32" s="23">
        <f>(((Table134567891011121314151617343[[#This Row],[JPN]]-VLOOKUP($U$1,A:Q,16,))/VLOOKUP($U$1,A:Q,16,))*100)+100</f>
        <v/>
      </c>
      <c r="W32" s="100" t="inlineStr">
        <is>
          <t>SWE</t>
        </is>
      </c>
    </row>
    <row r="33" customFormat="1" s="100">
      <c r="A33" s="22" t="n">
        <v>33817</v>
      </c>
      <c r="B33" s="23">
        <f>VLOOKUP(A33,Database!$E:$AY,MATCH($B$1,Database!$E$1:$AY$1,0),FALSE)</f>
        <v/>
      </c>
      <c r="C33" s="23">
        <f>VLOOKUP(A33,Database!$E:$AY,MATCH($C$1,Database!$E$1:$AY$1,0),FALSE)</f>
        <v/>
      </c>
      <c r="D33" s="23">
        <f>VLOOKUP(A33,Database!$E:$AY,MATCH($D$1,Database!$E$1:$AY$1,0),FALSE)</f>
        <v/>
      </c>
      <c r="E33" s="23">
        <f>VLOOKUP(A33,Database!$E:$AY,MATCH($E$1,Database!$E$1:$AY$1,0),FALSE)</f>
        <v/>
      </c>
      <c r="F33" s="23">
        <f>VLOOKUP(A33,Database!$E:$AY,MATCH($F$1,Database!$E$1:$AY$1,0),FALSE)</f>
        <v/>
      </c>
      <c r="G33" s="23">
        <f>VLOOKUP(A33,Database!$E:$AY,MATCH($G$1,Database!$E$1:$AY$1,0),FALSE)</f>
        <v/>
      </c>
      <c r="H33" s="23">
        <f>(((Table134567891011121314151617343[[#This Row],[ITA]]-VLOOKUP($U$1,A:B,2,))/VLOOKUP($U$1,A:B,2,))*100)+100</f>
        <v/>
      </c>
      <c r="I33" s="23">
        <f>(((Table134567891011121314151617343[[#This Row],[FRA]]-VLOOKUP($U$1,A:C,3,))/VLOOKUP($U$1,A:C,3,))*100)+100</f>
        <v/>
      </c>
      <c r="J33" s="23">
        <f>(((Table134567891011121314151617343[[#This Row],[DEU]]-VLOOKUP($U$1,A:D,4,))/VLOOKUP($U$1,A:D,4,))*100)+100</f>
        <v/>
      </c>
      <c r="K33" s="23">
        <f>(((Table134567891011121314151617343[[#This Row],[ESP]]-VLOOKUP($U$1,A:E,5,))/VLOOKUP($U$1,A:E,5,))*100)+100</f>
        <v/>
      </c>
      <c r="L33" s="23">
        <f>(((Table134567891011121314151617343[[#This Row],[EA19]]-VLOOKUP($U$1,A:F,6,))/VLOOKUP($U$1,A:F,6,))*100)+100</f>
        <v/>
      </c>
      <c r="M33" s="23">
        <f>(((Table134567891011121314151617343[[#This Row],[GBR]]-VLOOKUP($U$1,A:G,7,))/VLOOKUP($U$1,A:G,7,))*100)+100</f>
        <v/>
      </c>
      <c r="N33" s="23">
        <f>VLOOKUP(A33,Database!$E:$AY,MATCH($N$1,Database!$E$1:$AY$1,0),FALSE)</f>
        <v/>
      </c>
      <c r="O33" s="23">
        <f>(((Table134567891011121314151617343[[#This Row],[USA]]-VLOOKUP($U$1,A:N,14,))/VLOOKUP($U$1,A:N,14,))*100)+100</f>
        <v/>
      </c>
      <c r="P33" s="23">
        <f>VLOOKUP(A33,Database!$E:$AY,MATCH($P$1,Database!$E$1:$AY$1,0),FALSE)</f>
        <v/>
      </c>
      <c r="Q33" s="23">
        <f>(((Table134567891011121314151617343[[#This Row],[JPN]]-VLOOKUP($U$1,A:Q,16,))/VLOOKUP($U$1,A:Q,16,))*100)+100</f>
        <v/>
      </c>
      <c r="W33" s="100" t="inlineStr">
        <is>
          <t>TUR</t>
        </is>
      </c>
    </row>
    <row r="34" customFormat="1" s="100">
      <c r="A34" s="22" t="n">
        <v>33848</v>
      </c>
      <c r="B34" s="23">
        <f>VLOOKUP(A34,Database!$E:$AY,MATCH($B$1,Database!$E$1:$AY$1,0),FALSE)</f>
        <v/>
      </c>
      <c r="C34" s="23">
        <f>VLOOKUP(A34,Database!$E:$AY,MATCH($C$1,Database!$E$1:$AY$1,0),FALSE)</f>
        <v/>
      </c>
      <c r="D34" s="23">
        <f>VLOOKUP(A34,Database!$E:$AY,MATCH($D$1,Database!$E$1:$AY$1,0),FALSE)</f>
        <v/>
      </c>
      <c r="E34" s="23">
        <f>VLOOKUP(A34,Database!$E:$AY,MATCH($E$1,Database!$E$1:$AY$1,0),FALSE)</f>
        <v/>
      </c>
      <c r="F34" s="23">
        <f>VLOOKUP(A34,Database!$E:$AY,MATCH($F$1,Database!$E$1:$AY$1,0),FALSE)</f>
        <v/>
      </c>
      <c r="G34" s="23">
        <f>VLOOKUP(A34,Database!$E:$AY,MATCH($G$1,Database!$E$1:$AY$1,0),FALSE)</f>
        <v/>
      </c>
      <c r="H34" s="23">
        <f>(((Table134567891011121314151617343[[#This Row],[ITA]]-VLOOKUP($U$1,A:B,2,))/VLOOKUP($U$1,A:B,2,))*100)+100</f>
        <v/>
      </c>
      <c r="I34" s="23">
        <f>(((Table134567891011121314151617343[[#This Row],[FRA]]-VLOOKUP($U$1,A:C,3,))/VLOOKUP($U$1,A:C,3,))*100)+100</f>
        <v/>
      </c>
      <c r="J34" s="23">
        <f>(((Table134567891011121314151617343[[#This Row],[DEU]]-VLOOKUP($U$1,A:D,4,))/VLOOKUP($U$1,A:D,4,))*100)+100</f>
        <v/>
      </c>
      <c r="K34" s="23">
        <f>(((Table134567891011121314151617343[[#This Row],[ESP]]-VLOOKUP($U$1,A:E,5,))/VLOOKUP($U$1,A:E,5,))*100)+100</f>
        <v/>
      </c>
      <c r="L34" s="23">
        <f>(((Table134567891011121314151617343[[#This Row],[EA19]]-VLOOKUP($U$1,A:F,6,))/VLOOKUP($U$1,A:F,6,))*100)+100</f>
        <v/>
      </c>
      <c r="M34" s="23">
        <f>(((Table134567891011121314151617343[[#This Row],[GBR]]-VLOOKUP($U$1,A:G,7,))/VLOOKUP($U$1,A:G,7,))*100)+100</f>
        <v/>
      </c>
      <c r="N34" s="23">
        <f>VLOOKUP(A34,Database!$E:$AY,MATCH($N$1,Database!$E$1:$AY$1,0),FALSE)</f>
        <v/>
      </c>
      <c r="O34" s="23">
        <f>(((Table134567891011121314151617343[[#This Row],[USA]]-VLOOKUP($U$1,A:N,14,))/VLOOKUP($U$1,A:N,14,))*100)+100</f>
        <v/>
      </c>
      <c r="P34" s="23">
        <f>VLOOKUP(A34,Database!$E:$AY,MATCH($P$1,Database!$E$1:$AY$1,0),FALSE)</f>
        <v/>
      </c>
      <c r="Q34" s="23">
        <f>(((Table134567891011121314151617343[[#This Row],[JPN]]-VLOOKUP($U$1,A:Q,16,))/VLOOKUP($U$1,A:Q,16,))*100)+100</f>
        <v/>
      </c>
      <c r="W34" s="100" t="inlineStr">
        <is>
          <t>USA</t>
        </is>
      </c>
    </row>
    <row r="35" customFormat="1" s="100">
      <c r="A35" s="22" t="n">
        <v>33878</v>
      </c>
      <c r="B35" s="23">
        <f>VLOOKUP(A35,Database!$E:$AY,MATCH($B$1,Database!$E$1:$AY$1,0),FALSE)</f>
        <v/>
      </c>
      <c r="C35" s="23">
        <f>VLOOKUP(A35,Database!$E:$AY,MATCH($C$1,Database!$E$1:$AY$1,0),FALSE)</f>
        <v/>
      </c>
      <c r="D35" s="23">
        <f>VLOOKUP(A35,Database!$E:$AY,MATCH($D$1,Database!$E$1:$AY$1,0),FALSE)</f>
        <v/>
      </c>
      <c r="E35" s="23">
        <f>VLOOKUP(A35,Database!$E:$AY,MATCH($E$1,Database!$E$1:$AY$1,0),FALSE)</f>
        <v/>
      </c>
      <c r="F35" s="23">
        <f>VLOOKUP(A35,Database!$E:$AY,MATCH($F$1,Database!$E$1:$AY$1,0),FALSE)</f>
        <v/>
      </c>
      <c r="G35" s="23">
        <f>VLOOKUP(A35,Database!$E:$AY,MATCH($G$1,Database!$E$1:$AY$1,0),FALSE)</f>
        <v/>
      </c>
      <c r="H35" s="23">
        <f>(((Table134567891011121314151617343[[#This Row],[ITA]]-VLOOKUP($U$1,A:B,2,))/VLOOKUP($U$1,A:B,2,))*100)+100</f>
        <v/>
      </c>
      <c r="I35" s="23">
        <f>(((Table134567891011121314151617343[[#This Row],[FRA]]-VLOOKUP($U$1,A:C,3,))/VLOOKUP($U$1,A:C,3,))*100)+100</f>
        <v/>
      </c>
      <c r="J35" s="23">
        <f>(((Table134567891011121314151617343[[#This Row],[DEU]]-VLOOKUP($U$1,A:D,4,))/VLOOKUP($U$1,A:D,4,))*100)+100</f>
        <v/>
      </c>
      <c r="K35" s="23">
        <f>(((Table134567891011121314151617343[[#This Row],[ESP]]-VLOOKUP($U$1,A:E,5,))/VLOOKUP($U$1,A:E,5,))*100)+100</f>
        <v/>
      </c>
      <c r="L35" s="23">
        <f>(((Table134567891011121314151617343[[#This Row],[EA19]]-VLOOKUP($U$1,A:F,6,))/VLOOKUP($U$1,A:F,6,))*100)+100</f>
        <v/>
      </c>
      <c r="M35" s="23">
        <f>(((Table134567891011121314151617343[[#This Row],[GBR]]-VLOOKUP($U$1,A:G,7,))/VLOOKUP($U$1,A:G,7,))*100)+100</f>
        <v/>
      </c>
      <c r="N35" s="23">
        <f>VLOOKUP(A35,Database!$E:$AY,MATCH($N$1,Database!$E$1:$AY$1,0),FALSE)</f>
        <v/>
      </c>
      <c r="O35" s="23">
        <f>(((Table134567891011121314151617343[[#This Row],[USA]]-VLOOKUP($U$1,A:N,14,))/VLOOKUP($U$1,A:N,14,))*100)+100</f>
        <v/>
      </c>
      <c r="P35" s="23">
        <f>VLOOKUP(A35,Database!$E:$AY,MATCH($P$1,Database!$E$1:$AY$1,0),FALSE)</f>
        <v/>
      </c>
      <c r="Q35" s="23">
        <f>(((Table134567891011121314151617343[[#This Row],[JPN]]-VLOOKUP($U$1,A:Q,16,))/VLOOKUP($U$1,A:Q,16,))*100)+100</f>
        <v/>
      </c>
      <c r="W35" s="100" t="inlineStr">
        <is>
          <t>EA19</t>
        </is>
      </c>
    </row>
    <row r="36" customFormat="1" s="100">
      <c r="A36" s="22" t="n">
        <v>33909</v>
      </c>
      <c r="B36" s="23">
        <f>VLOOKUP(A36,Database!$E:$AY,MATCH($B$1,Database!$E$1:$AY$1,0),FALSE)</f>
        <v/>
      </c>
      <c r="C36" s="23">
        <f>VLOOKUP(A36,Database!$E:$AY,MATCH($C$1,Database!$E$1:$AY$1,0),FALSE)</f>
        <v/>
      </c>
      <c r="D36" s="23">
        <f>VLOOKUP(A36,Database!$E:$AY,MATCH($D$1,Database!$E$1:$AY$1,0),FALSE)</f>
        <v/>
      </c>
      <c r="E36" s="23">
        <f>VLOOKUP(A36,Database!$E:$AY,MATCH($E$1,Database!$E$1:$AY$1,0),FALSE)</f>
        <v/>
      </c>
      <c r="F36" s="23">
        <f>VLOOKUP(A36,Database!$E:$AY,MATCH($F$1,Database!$E$1:$AY$1,0),FALSE)</f>
        <v/>
      </c>
      <c r="G36" s="23">
        <f>VLOOKUP(A36,Database!$E:$AY,MATCH($G$1,Database!$E$1:$AY$1,0),FALSE)</f>
        <v/>
      </c>
      <c r="H36" s="23">
        <f>(((Table134567891011121314151617343[[#This Row],[ITA]]-VLOOKUP($U$1,A:B,2,))/VLOOKUP($U$1,A:B,2,))*100)+100</f>
        <v/>
      </c>
      <c r="I36" s="23">
        <f>(((Table134567891011121314151617343[[#This Row],[FRA]]-VLOOKUP($U$1,A:C,3,))/VLOOKUP($U$1,A:C,3,))*100)+100</f>
        <v/>
      </c>
      <c r="J36" s="23">
        <f>(((Table134567891011121314151617343[[#This Row],[DEU]]-VLOOKUP($U$1,A:D,4,))/VLOOKUP($U$1,A:D,4,))*100)+100</f>
        <v/>
      </c>
      <c r="K36" s="23">
        <f>(((Table134567891011121314151617343[[#This Row],[ESP]]-VLOOKUP($U$1,A:E,5,))/VLOOKUP($U$1,A:E,5,))*100)+100</f>
        <v/>
      </c>
      <c r="L36" s="23">
        <f>(((Table134567891011121314151617343[[#This Row],[EA19]]-VLOOKUP($U$1,A:F,6,))/VLOOKUP($U$1,A:F,6,))*100)+100</f>
        <v/>
      </c>
      <c r="M36" s="23">
        <f>(((Table134567891011121314151617343[[#This Row],[GBR]]-VLOOKUP($U$1,A:G,7,))/VLOOKUP($U$1,A:G,7,))*100)+100</f>
        <v/>
      </c>
      <c r="N36" s="23">
        <f>VLOOKUP(A36,Database!$E:$AY,MATCH($N$1,Database!$E$1:$AY$1,0),FALSE)</f>
        <v/>
      </c>
      <c r="O36" s="23">
        <f>(((Table134567891011121314151617343[[#This Row],[USA]]-VLOOKUP($U$1,A:N,14,))/VLOOKUP($U$1,A:N,14,))*100)+100</f>
        <v/>
      </c>
      <c r="P36" s="23">
        <f>VLOOKUP(A36,Database!$E:$AY,MATCH($P$1,Database!$E$1:$AY$1,0),FALSE)</f>
        <v/>
      </c>
      <c r="Q36" s="23">
        <f>(((Table134567891011121314151617343[[#This Row],[JPN]]-VLOOKUP($U$1,A:Q,16,))/VLOOKUP($U$1,A:Q,16,))*100)+100</f>
        <v/>
      </c>
      <c r="W36" s="100" t="inlineStr">
        <is>
          <t>EU28</t>
        </is>
      </c>
    </row>
    <row r="37" customFormat="1" s="100">
      <c r="A37" s="22" t="n">
        <v>33939</v>
      </c>
      <c r="B37" s="23">
        <f>VLOOKUP(A37,Database!$E:$AY,MATCH($B$1,Database!$E$1:$AY$1,0),FALSE)</f>
        <v/>
      </c>
      <c r="C37" s="23">
        <f>VLOOKUP(A37,Database!$E:$AY,MATCH($C$1,Database!$E$1:$AY$1,0),FALSE)</f>
        <v/>
      </c>
      <c r="D37" s="23">
        <f>VLOOKUP(A37,Database!$E:$AY,MATCH($D$1,Database!$E$1:$AY$1,0),FALSE)</f>
        <v/>
      </c>
      <c r="E37" s="23">
        <f>VLOOKUP(A37,Database!$E:$AY,MATCH($E$1,Database!$E$1:$AY$1,0),FALSE)</f>
        <v/>
      </c>
      <c r="F37" s="23">
        <f>VLOOKUP(A37,Database!$E:$AY,MATCH($F$1,Database!$E$1:$AY$1,0),FALSE)</f>
        <v/>
      </c>
      <c r="G37" s="23">
        <f>VLOOKUP(A37,Database!$E:$AY,MATCH($G$1,Database!$E$1:$AY$1,0),FALSE)</f>
        <v/>
      </c>
      <c r="H37" s="23">
        <f>(((Table134567891011121314151617343[[#This Row],[ITA]]-VLOOKUP($U$1,A:B,2,))/VLOOKUP($U$1,A:B,2,))*100)+100</f>
        <v/>
      </c>
      <c r="I37" s="23">
        <f>(((Table134567891011121314151617343[[#This Row],[FRA]]-VLOOKUP($U$1,A:C,3,))/VLOOKUP($U$1,A:C,3,))*100)+100</f>
        <v/>
      </c>
      <c r="J37" s="23">
        <f>(((Table134567891011121314151617343[[#This Row],[DEU]]-VLOOKUP($U$1,A:D,4,))/VLOOKUP($U$1,A:D,4,))*100)+100</f>
        <v/>
      </c>
      <c r="K37" s="23">
        <f>(((Table134567891011121314151617343[[#This Row],[ESP]]-VLOOKUP($U$1,A:E,5,))/VLOOKUP($U$1,A:E,5,))*100)+100</f>
        <v/>
      </c>
      <c r="L37" s="23">
        <f>(((Table134567891011121314151617343[[#This Row],[EA19]]-VLOOKUP($U$1,A:F,6,))/VLOOKUP($U$1,A:F,6,))*100)+100</f>
        <v/>
      </c>
      <c r="M37" s="23">
        <f>(((Table134567891011121314151617343[[#This Row],[GBR]]-VLOOKUP($U$1,A:G,7,))/VLOOKUP($U$1,A:G,7,))*100)+100</f>
        <v/>
      </c>
      <c r="N37" s="23">
        <f>VLOOKUP(A37,Database!$E:$AY,MATCH($N$1,Database!$E$1:$AY$1,0),FALSE)</f>
        <v/>
      </c>
      <c r="O37" s="23">
        <f>(((Table134567891011121314151617343[[#This Row],[USA]]-VLOOKUP($U$1,A:N,14,))/VLOOKUP($U$1,A:N,14,))*100)+100</f>
        <v/>
      </c>
      <c r="P37" s="23">
        <f>VLOOKUP(A37,Database!$E:$AY,MATCH($P$1,Database!$E$1:$AY$1,0),FALSE)</f>
        <v/>
      </c>
      <c r="Q37" s="23">
        <f>(((Table134567891011121314151617343[[#This Row],[JPN]]-VLOOKUP($U$1,A:Q,16,))/VLOOKUP($U$1,A:Q,16,))*100)+100</f>
        <v/>
      </c>
      <c r="W37" s="100" t="inlineStr">
        <is>
          <t>G7</t>
        </is>
      </c>
    </row>
    <row r="38" customFormat="1" s="100">
      <c r="A38" s="22" t="n">
        <v>33970</v>
      </c>
      <c r="B38" s="23">
        <f>VLOOKUP(A38,Database!$E:$AY,MATCH($B$1,Database!$E$1:$AY$1,0),FALSE)</f>
        <v/>
      </c>
      <c r="C38" s="23">
        <f>VLOOKUP(A38,Database!$E:$AY,MATCH($C$1,Database!$E$1:$AY$1,0),FALSE)</f>
        <v/>
      </c>
      <c r="D38" s="23">
        <f>VLOOKUP(A38,Database!$E:$AY,MATCH($D$1,Database!$E$1:$AY$1,0),FALSE)</f>
        <v/>
      </c>
      <c r="E38" s="23">
        <f>VLOOKUP(A38,Database!$E:$AY,MATCH($E$1,Database!$E$1:$AY$1,0),FALSE)</f>
        <v/>
      </c>
      <c r="F38" s="23">
        <f>VLOOKUP(A38,Database!$E:$AY,MATCH($F$1,Database!$E$1:$AY$1,0),FALSE)</f>
        <v/>
      </c>
      <c r="G38" s="23">
        <f>VLOOKUP(A38,Database!$E:$AY,MATCH($G$1,Database!$E$1:$AY$1,0),FALSE)</f>
        <v/>
      </c>
      <c r="H38" s="23">
        <f>(((Table134567891011121314151617343[[#This Row],[ITA]]-VLOOKUP($U$1,A:B,2,))/VLOOKUP($U$1,A:B,2,))*100)+100</f>
        <v/>
      </c>
      <c r="I38" s="23">
        <f>(((Table134567891011121314151617343[[#This Row],[FRA]]-VLOOKUP($U$1,A:C,3,))/VLOOKUP($U$1,A:C,3,))*100)+100</f>
        <v/>
      </c>
      <c r="J38" s="23">
        <f>(((Table134567891011121314151617343[[#This Row],[DEU]]-VLOOKUP($U$1,A:D,4,))/VLOOKUP($U$1,A:D,4,))*100)+100</f>
        <v/>
      </c>
      <c r="K38" s="23">
        <f>(((Table134567891011121314151617343[[#This Row],[ESP]]-VLOOKUP($U$1,A:E,5,))/VLOOKUP($U$1,A:E,5,))*100)+100</f>
        <v/>
      </c>
      <c r="L38" s="23">
        <f>(((Table134567891011121314151617343[[#This Row],[EA19]]-VLOOKUP($U$1,A:F,6,))/VLOOKUP($U$1,A:F,6,))*100)+100</f>
        <v/>
      </c>
      <c r="M38" s="23">
        <f>(((Table134567891011121314151617343[[#This Row],[GBR]]-VLOOKUP($U$1,A:G,7,))/VLOOKUP($U$1,A:G,7,))*100)+100</f>
        <v/>
      </c>
      <c r="N38" s="23">
        <f>VLOOKUP(A38,Database!$E:$AY,MATCH($N$1,Database!$E$1:$AY$1,0),FALSE)</f>
        <v/>
      </c>
      <c r="O38" s="23">
        <f>(((Table134567891011121314151617343[[#This Row],[USA]]-VLOOKUP($U$1,A:N,14,))/VLOOKUP($U$1,A:N,14,))*100)+100</f>
        <v/>
      </c>
      <c r="P38" s="23">
        <f>VLOOKUP(A38,Database!$E:$AY,MATCH($P$1,Database!$E$1:$AY$1,0),FALSE)</f>
        <v/>
      </c>
      <c r="Q38" s="23">
        <f>(((Table134567891011121314151617343[[#This Row],[JPN]]-VLOOKUP($U$1,A:Q,16,))/VLOOKUP($U$1,A:Q,16,))*100)+100</f>
        <v/>
      </c>
      <c r="W38" s="100" t="inlineStr">
        <is>
          <t>CHE</t>
        </is>
      </c>
    </row>
    <row r="39" customFormat="1" s="100">
      <c r="A39" s="22" t="n">
        <v>34001</v>
      </c>
      <c r="B39" s="23">
        <f>VLOOKUP(A39,Database!$E:$AY,MATCH($B$1,Database!$E$1:$AY$1,0),FALSE)</f>
        <v/>
      </c>
      <c r="C39" s="23">
        <f>VLOOKUP(A39,Database!$E:$AY,MATCH($C$1,Database!$E$1:$AY$1,0),FALSE)</f>
        <v/>
      </c>
      <c r="D39" s="23">
        <f>VLOOKUP(A39,Database!$E:$AY,MATCH($D$1,Database!$E$1:$AY$1,0),FALSE)</f>
        <v/>
      </c>
      <c r="E39" s="23">
        <f>VLOOKUP(A39,Database!$E:$AY,MATCH($E$1,Database!$E$1:$AY$1,0),FALSE)</f>
        <v/>
      </c>
      <c r="F39" s="23">
        <f>VLOOKUP(A39,Database!$E:$AY,MATCH($F$1,Database!$E$1:$AY$1,0),FALSE)</f>
        <v/>
      </c>
      <c r="G39" s="23">
        <f>VLOOKUP(A39,Database!$E:$AY,MATCH($G$1,Database!$E$1:$AY$1,0),FALSE)</f>
        <v/>
      </c>
      <c r="H39" s="23">
        <f>(((Table134567891011121314151617343[[#This Row],[ITA]]-VLOOKUP($U$1,A:B,2,))/VLOOKUP($U$1,A:B,2,))*100)+100</f>
        <v/>
      </c>
      <c r="I39" s="23">
        <f>(((Table134567891011121314151617343[[#This Row],[FRA]]-VLOOKUP($U$1,A:C,3,))/VLOOKUP($U$1,A:C,3,))*100)+100</f>
        <v/>
      </c>
      <c r="J39" s="23">
        <f>(((Table134567891011121314151617343[[#This Row],[DEU]]-VLOOKUP($U$1,A:D,4,))/VLOOKUP($U$1,A:D,4,))*100)+100</f>
        <v/>
      </c>
      <c r="K39" s="23">
        <f>(((Table134567891011121314151617343[[#This Row],[ESP]]-VLOOKUP($U$1,A:E,5,))/VLOOKUP($U$1,A:E,5,))*100)+100</f>
        <v/>
      </c>
      <c r="L39" s="23">
        <f>(((Table134567891011121314151617343[[#This Row],[EA19]]-VLOOKUP($U$1,A:F,6,))/VLOOKUP($U$1,A:F,6,))*100)+100</f>
        <v/>
      </c>
      <c r="M39" s="23">
        <f>(((Table134567891011121314151617343[[#This Row],[GBR]]-VLOOKUP($U$1,A:G,7,))/VLOOKUP($U$1,A:G,7,))*100)+100</f>
        <v/>
      </c>
      <c r="N39" s="23">
        <f>VLOOKUP(A39,Database!$E:$AY,MATCH($N$1,Database!$E$1:$AY$1,0),FALSE)</f>
        <v/>
      </c>
      <c r="O39" s="23">
        <f>(((Table134567891011121314151617343[[#This Row],[USA]]-VLOOKUP($U$1,A:N,14,))/VLOOKUP($U$1,A:N,14,))*100)+100</f>
        <v/>
      </c>
      <c r="P39" s="23">
        <f>VLOOKUP(A39,Database!$E:$AY,MATCH($P$1,Database!$E$1:$AY$1,0),FALSE)</f>
        <v/>
      </c>
      <c r="Q39" s="23">
        <f>(((Table134567891011121314151617343[[#This Row],[JPN]]-VLOOKUP($U$1,A:Q,16,))/VLOOKUP($U$1,A:Q,16,))*100)+100</f>
        <v/>
      </c>
      <c r="W39" s="100" t="inlineStr">
        <is>
          <t>IND</t>
        </is>
      </c>
    </row>
    <row r="40" customFormat="1" s="100">
      <c r="A40" s="22" t="n">
        <v>34029</v>
      </c>
      <c r="B40" s="23">
        <f>VLOOKUP(A40,Database!$E:$AY,MATCH($B$1,Database!$E$1:$AY$1,0),FALSE)</f>
        <v/>
      </c>
      <c r="C40" s="23">
        <f>VLOOKUP(A40,Database!$E:$AY,MATCH($C$1,Database!$E$1:$AY$1,0),FALSE)</f>
        <v/>
      </c>
      <c r="D40" s="23">
        <f>VLOOKUP(A40,Database!$E:$AY,MATCH($D$1,Database!$E$1:$AY$1,0),FALSE)</f>
        <v/>
      </c>
      <c r="E40" s="23">
        <f>VLOOKUP(A40,Database!$E:$AY,MATCH($E$1,Database!$E$1:$AY$1,0),FALSE)</f>
        <v/>
      </c>
      <c r="F40" s="23">
        <f>VLOOKUP(A40,Database!$E:$AY,MATCH($F$1,Database!$E$1:$AY$1,0),FALSE)</f>
        <v/>
      </c>
      <c r="G40" s="23">
        <f>VLOOKUP(A40,Database!$E:$AY,MATCH($G$1,Database!$E$1:$AY$1,0),FALSE)</f>
        <v/>
      </c>
      <c r="H40" s="23">
        <f>(((Table134567891011121314151617343[[#This Row],[ITA]]-VLOOKUP($U$1,A:B,2,))/VLOOKUP($U$1,A:B,2,))*100)+100</f>
        <v/>
      </c>
      <c r="I40" s="23">
        <f>(((Table134567891011121314151617343[[#This Row],[FRA]]-VLOOKUP($U$1,A:C,3,))/VLOOKUP($U$1,A:C,3,))*100)+100</f>
        <v/>
      </c>
      <c r="J40" s="23">
        <f>(((Table134567891011121314151617343[[#This Row],[DEU]]-VLOOKUP($U$1,A:D,4,))/VLOOKUP($U$1,A:D,4,))*100)+100</f>
        <v/>
      </c>
      <c r="K40" s="23">
        <f>(((Table134567891011121314151617343[[#This Row],[ESP]]-VLOOKUP($U$1,A:E,5,))/VLOOKUP($U$1,A:E,5,))*100)+100</f>
        <v/>
      </c>
      <c r="L40" s="23">
        <f>(((Table134567891011121314151617343[[#This Row],[EA19]]-VLOOKUP($U$1,A:F,6,))/VLOOKUP($U$1,A:F,6,))*100)+100</f>
        <v/>
      </c>
      <c r="M40" s="23">
        <f>(((Table134567891011121314151617343[[#This Row],[GBR]]-VLOOKUP($U$1,A:G,7,))/VLOOKUP($U$1,A:G,7,))*100)+100</f>
        <v/>
      </c>
      <c r="N40" s="23">
        <f>VLOOKUP(A40,Database!$E:$AY,MATCH($N$1,Database!$E$1:$AY$1,0),FALSE)</f>
        <v/>
      </c>
      <c r="O40" s="23">
        <f>(((Table134567891011121314151617343[[#This Row],[USA]]-VLOOKUP($U$1,A:N,14,))/VLOOKUP($U$1,A:N,14,))*100)+100</f>
        <v/>
      </c>
      <c r="P40" s="23">
        <f>VLOOKUP(A40,Database!$E:$AY,MATCH($P$1,Database!$E$1:$AY$1,0),FALSE)</f>
        <v/>
      </c>
      <c r="Q40" s="23">
        <f>(((Table134567891011121314151617343[[#This Row],[JPN]]-VLOOKUP($U$1,A:Q,16,))/VLOOKUP($U$1,A:Q,16,))*100)+100</f>
        <v/>
      </c>
      <c r="W40" s="100" t="inlineStr">
        <is>
          <t>ZAF</t>
        </is>
      </c>
    </row>
    <row r="41" customFormat="1" s="100">
      <c r="A41" s="22" t="n">
        <v>34060</v>
      </c>
      <c r="B41" s="23">
        <f>VLOOKUP(A41,Database!$E:$AY,MATCH($B$1,Database!$E$1:$AY$1,0),FALSE)</f>
        <v/>
      </c>
      <c r="C41" s="23">
        <f>VLOOKUP(A41,Database!$E:$AY,MATCH($C$1,Database!$E$1:$AY$1,0),FALSE)</f>
        <v/>
      </c>
      <c r="D41" s="23">
        <f>VLOOKUP(A41,Database!$E:$AY,MATCH($D$1,Database!$E$1:$AY$1,0),FALSE)</f>
        <v/>
      </c>
      <c r="E41" s="23">
        <f>VLOOKUP(A41,Database!$E:$AY,MATCH($E$1,Database!$E$1:$AY$1,0),FALSE)</f>
        <v/>
      </c>
      <c r="F41" s="23">
        <f>VLOOKUP(A41,Database!$E:$AY,MATCH($F$1,Database!$E$1:$AY$1,0),FALSE)</f>
        <v/>
      </c>
      <c r="G41" s="23">
        <f>VLOOKUP(A41,Database!$E:$AY,MATCH($G$1,Database!$E$1:$AY$1,0),FALSE)</f>
        <v/>
      </c>
      <c r="H41" s="23">
        <f>(((Table134567891011121314151617343[[#This Row],[ITA]]-VLOOKUP($U$1,A:B,2,))/VLOOKUP($U$1,A:B,2,))*100)+100</f>
        <v/>
      </c>
      <c r="I41" s="23">
        <f>(((Table134567891011121314151617343[[#This Row],[FRA]]-VLOOKUP($U$1,A:C,3,))/VLOOKUP($U$1,A:C,3,))*100)+100</f>
        <v/>
      </c>
      <c r="J41" s="23">
        <f>(((Table134567891011121314151617343[[#This Row],[DEU]]-VLOOKUP($U$1,A:D,4,))/VLOOKUP($U$1,A:D,4,))*100)+100</f>
        <v/>
      </c>
      <c r="K41" s="23">
        <f>(((Table134567891011121314151617343[[#This Row],[ESP]]-VLOOKUP($U$1,A:E,5,))/VLOOKUP($U$1,A:E,5,))*100)+100</f>
        <v/>
      </c>
      <c r="L41" s="23">
        <f>(((Table134567891011121314151617343[[#This Row],[EA19]]-VLOOKUP($U$1,A:F,6,))/VLOOKUP($U$1,A:F,6,))*100)+100</f>
        <v/>
      </c>
      <c r="M41" s="23">
        <f>(((Table134567891011121314151617343[[#This Row],[GBR]]-VLOOKUP($U$1,A:G,7,))/VLOOKUP($U$1,A:G,7,))*100)+100</f>
        <v/>
      </c>
      <c r="N41" s="23">
        <f>VLOOKUP(A41,Database!$E:$AY,MATCH($N$1,Database!$E$1:$AY$1,0),FALSE)</f>
        <v/>
      </c>
      <c r="O41" s="23">
        <f>(((Table134567891011121314151617343[[#This Row],[USA]]-VLOOKUP($U$1,A:N,14,))/VLOOKUP($U$1,A:N,14,))*100)+100</f>
        <v/>
      </c>
      <c r="P41" s="23">
        <f>VLOOKUP(A41,Database!$E:$AY,MATCH($P$1,Database!$E$1:$AY$1,0),FALSE)</f>
        <v/>
      </c>
      <c r="Q41" s="23">
        <f>(((Table134567891011121314151617343[[#This Row],[JPN]]-VLOOKUP($U$1,A:Q,16,))/VLOOKUP($U$1,A:Q,16,))*100)+100</f>
        <v/>
      </c>
      <c r="W41" s="100" t="inlineStr">
        <is>
          <t>RUS</t>
        </is>
      </c>
    </row>
    <row r="42" customFormat="1" s="100">
      <c r="A42" s="22" t="n">
        <v>34090</v>
      </c>
      <c r="B42" s="23">
        <f>VLOOKUP(A42,Database!$E:$AY,MATCH($B$1,Database!$E$1:$AY$1,0),FALSE)</f>
        <v/>
      </c>
      <c r="C42" s="23">
        <f>VLOOKUP(A42,Database!$E:$AY,MATCH($C$1,Database!$E$1:$AY$1,0),FALSE)</f>
        <v/>
      </c>
      <c r="D42" s="23">
        <f>VLOOKUP(A42,Database!$E:$AY,MATCH($D$1,Database!$E$1:$AY$1,0),FALSE)</f>
        <v/>
      </c>
      <c r="E42" s="23">
        <f>VLOOKUP(A42,Database!$E:$AY,MATCH($E$1,Database!$E$1:$AY$1,0),FALSE)</f>
        <v/>
      </c>
      <c r="F42" s="23">
        <f>VLOOKUP(A42,Database!$E:$AY,MATCH($F$1,Database!$E$1:$AY$1,0),FALSE)</f>
        <v/>
      </c>
      <c r="G42" s="23">
        <f>VLOOKUP(A42,Database!$E:$AY,MATCH($G$1,Database!$E$1:$AY$1,0),FALSE)</f>
        <v/>
      </c>
      <c r="H42" s="23">
        <f>(((Table134567891011121314151617343[[#This Row],[ITA]]-VLOOKUP($U$1,A:B,2,))/VLOOKUP($U$1,A:B,2,))*100)+100</f>
        <v/>
      </c>
      <c r="I42" s="23">
        <f>(((Table134567891011121314151617343[[#This Row],[FRA]]-VLOOKUP($U$1,A:C,3,))/VLOOKUP($U$1,A:C,3,))*100)+100</f>
        <v/>
      </c>
      <c r="J42" s="23">
        <f>(((Table134567891011121314151617343[[#This Row],[DEU]]-VLOOKUP($U$1,A:D,4,))/VLOOKUP($U$1,A:D,4,))*100)+100</f>
        <v/>
      </c>
      <c r="K42" s="23">
        <f>(((Table134567891011121314151617343[[#This Row],[ESP]]-VLOOKUP($U$1,A:E,5,))/VLOOKUP($U$1,A:E,5,))*100)+100</f>
        <v/>
      </c>
      <c r="L42" s="23">
        <f>(((Table134567891011121314151617343[[#This Row],[EA19]]-VLOOKUP($U$1,A:F,6,))/VLOOKUP($U$1,A:F,6,))*100)+100</f>
        <v/>
      </c>
      <c r="M42" s="23">
        <f>(((Table134567891011121314151617343[[#This Row],[GBR]]-VLOOKUP($U$1,A:G,7,))/VLOOKUP($U$1,A:G,7,))*100)+100</f>
        <v/>
      </c>
      <c r="N42" s="23">
        <f>VLOOKUP(A42,Database!$E:$AY,MATCH($N$1,Database!$E$1:$AY$1,0),FALSE)</f>
        <v/>
      </c>
      <c r="O42" s="23">
        <f>(((Table134567891011121314151617343[[#This Row],[USA]]-VLOOKUP($U$1,A:N,14,))/VLOOKUP($U$1,A:N,14,))*100)+100</f>
        <v/>
      </c>
      <c r="P42" s="23">
        <f>VLOOKUP(A42,Database!$E:$AY,MATCH($P$1,Database!$E$1:$AY$1,0),FALSE)</f>
        <v/>
      </c>
      <c r="Q42" s="23">
        <f>(((Table134567891011121314151617343[[#This Row],[JPN]]-VLOOKUP($U$1,A:Q,16,))/VLOOKUP($U$1,A:Q,16,))*100)+100</f>
        <v/>
      </c>
    </row>
    <row r="43" customFormat="1" s="100">
      <c r="A43" s="22" t="n">
        <v>34121</v>
      </c>
      <c r="B43" s="23">
        <f>VLOOKUP(A43,Database!$E:$AY,MATCH($B$1,Database!$E$1:$AY$1,0),FALSE)</f>
        <v/>
      </c>
      <c r="C43" s="23">
        <f>VLOOKUP(A43,Database!$E:$AY,MATCH($C$1,Database!$E$1:$AY$1,0),FALSE)</f>
        <v/>
      </c>
      <c r="D43" s="23">
        <f>VLOOKUP(A43,Database!$E:$AY,MATCH($D$1,Database!$E$1:$AY$1,0),FALSE)</f>
        <v/>
      </c>
      <c r="E43" s="23">
        <f>VLOOKUP(A43,Database!$E:$AY,MATCH($E$1,Database!$E$1:$AY$1,0),FALSE)</f>
        <v/>
      </c>
      <c r="F43" s="23">
        <f>VLOOKUP(A43,Database!$E:$AY,MATCH($F$1,Database!$E$1:$AY$1,0),FALSE)</f>
        <v/>
      </c>
      <c r="G43" s="23">
        <f>VLOOKUP(A43,Database!$E:$AY,MATCH($G$1,Database!$E$1:$AY$1,0),FALSE)</f>
        <v/>
      </c>
      <c r="H43" s="23">
        <f>(((Table134567891011121314151617343[[#This Row],[ITA]]-VLOOKUP($U$1,A:B,2,))/VLOOKUP($U$1,A:B,2,))*100)+100</f>
        <v/>
      </c>
      <c r="I43" s="23">
        <f>(((Table134567891011121314151617343[[#This Row],[FRA]]-VLOOKUP($U$1,A:C,3,))/VLOOKUP($U$1,A:C,3,))*100)+100</f>
        <v/>
      </c>
      <c r="J43" s="23">
        <f>(((Table134567891011121314151617343[[#This Row],[DEU]]-VLOOKUP($U$1,A:D,4,))/VLOOKUP($U$1,A:D,4,))*100)+100</f>
        <v/>
      </c>
      <c r="K43" s="23">
        <f>(((Table134567891011121314151617343[[#This Row],[ESP]]-VLOOKUP($U$1,A:E,5,))/VLOOKUP($U$1,A:E,5,))*100)+100</f>
        <v/>
      </c>
      <c r="L43" s="23">
        <f>(((Table134567891011121314151617343[[#This Row],[EA19]]-VLOOKUP($U$1,A:F,6,))/VLOOKUP($U$1,A:F,6,))*100)+100</f>
        <v/>
      </c>
      <c r="M43" s="23">
        <f>(((Table134567891011121314151617343[[#This Row],[GBR]]-VLOOKUP($U$1,A:G,7,))/VLOOKUP($U$1,A:G,7,))*100)+100</f>
        <v/>
      </c>
      <c r="N43" s="23">
        <f>VLOOKUP(A43,Database!$E:$AY,MATCH($N$1,Database!$E$1:$AY$1,0),FALSE)</f>
        <v/>
      </c>
      <c r="O43" s="23">
        <f>(((Table134567891011121314151617343[[#This Row],[USA]]-VLOOKUP($U$1,A:N,14,))/VLOOKUP($U$1,A:N,14,))*100)+100</f>
        <v/>
      </c>
      <c r="P43" s="23">
        <f>VLOOKUP(A43,Database!$E:$AY,MATCH($P$1,Database!$E$1:$AY$1,0),FALSE)</f>
        <v/>
      </c>
      <c r="Q43" s="23">
        <f>(((Table134567891011121314151617343[[#This Row],[JPN]]-VLOOKUP($U$1,A:Q,16,))/VLOOKUP($U$1,A:Q,16,))*100)+100</f>
        <v/>
      </c>
    </row>
    <row r="44" customFormat="1" s="100">
      <c r="A44" s="22" t="n">
        <v>34151</v>
      </c>
      <c r="B44" s="23">
        <f>VLOOKUP(A44,Database!$E:$AY,MATCH($B$1,Database!$E$1:$AY$1,0),FALSE)</f>
        <v/>
      </c>
      <c r="C44" s="23">
        <f>VLOOKUP(A44,Database!$E:$AY,MATCH($C$1,Database!$E$1:$AY$1,0),FALSE)</f>
        <v/>
      </c>
      <c r="D44" s="23">
        <f>VLOOKUP(A44,Database!$E:$AY,MATCH($D$1,Database!$E$1:$AY$1,0),FALSE)</f>
        <v/>
      </c>
      <c r="E44" s="23">
        <f>VLOOKUP(A44,Database!$E:$AY,MATCH($E$1,Database!$E$1:$AY$1,0),FALSE)</f>
        <v/>
      </c>
      <c r="F44" s="23">
        <f>VLOOKUP(A44,Database!$E:$AY,MATCH($F$1,Database!$E$1:$AY$1,0),FALSE)</f>
        <v/>
      </c>
      <c r="G44" s="23">
        <f>VLOOKUP(A44,Database!$E:$AY,MATCH($G$1,Database!$E$1:$AY$1,0),FALSE)</f>
        <v/>
      </c>
      <c r="H44" s="23">
        <f>(((Table134567891011121314151617343[[#This Row],[ITA]]-VLOOKUP($U$1,A:B,2,))/VLOOKUP($U$1,A:B,2,))*100)+100</f>
        <v/>
      </c>
      <c r="I44" s="23">
        <f>(((Table134567891011121314151617343[[#This Row],[FRA]]-VLOOKUP($U$1,A:C,3,))/VLOOKUP($U$1,A:C,3,))*100)+100</f>
        <v/>
      </c>
      <c r="J44" s="23">
        <f>(((Table134567891011121314151617343[[#This Row],[DEU]]-VLOOKUP($U$1,A:D,4,))/VLOOKUP($U$1,A:D,4,))*100)+100</f>
        <v/>
      </c>
      <c r="K44" s="23">
        <f>(((Table134567891011121314151617343[[#This Row],[ESP]]-VLOOKUP($U$1,A:E,5,))/VLOOKUP($U$1,A:E,5,))*100)+100</f>
        <v/>
      </c>
      <c r="L44" s="23">
        <f>(((Table134567891011121314151617343[[#This Row],[EA19]]-VLOOKUP($U$1,A:F,6,))/VLOOKUP($U$1,A:F,6,))*100)+100</f>
        <v/>
      </c>
      <c r="M44" s="23">
        <f>(((Table134567891011121314151617343[[#This Row],[GBR]]-VLOOKUP($U$1,A:G,7,))/VLOOKUP($U$1,A:G,7,))*100)+100</f>
        <v/>
      </c>
      <c r="N44" s="23">
        <f>VLOOKUP(A44,Database!$E:$AY,MATCH($N$1,Database!$E$1:$AY$1,0),FALSE)</f>
        <v/>
      </c>
      <c r="O44" s="23">
        <f>(((Table134567891011121314151617343[[#This Row],[USA]]-VLOOKUP($U$1,A:N,14,))/VLOOKUP($U$1,A:N,14,))*100)+100</f>
        <v/>
      </c>
      <c r="P44" s="23">
        <f>VLOOKUP(A44,Database!$E:$AY,MATCH($P$1,Database!$E$1:$AY$1,0),FALSE)</f>
        <v/>
      </c>
      <c r="Q44" s="23">
        <f>(((Table134567891011121314151617343[[#This Row],[JPN]]-VLOOKUP($U$1,A:Q,16,))/VLOOKUP($U$1,A:Q,16,))*100)+100</f>
        <v/>
      </c>
    </row>
    <row r="45" customFormat="1" s="100">
      <c r="A45" s="22" t="n">
        <v>34182</v>
      </c>
      <c r="B45" s="23">
        <f>VLOOKUP(A45,Database!$E:$AY,MATCH($B$1,Database!$E$1:$AY$1,0),FALSE)</f>
        <v/>
      </c>
      <c r="C45" s="23">
        <f>VLOOKUP(A45,Database!$E:$AY,MATCH($C$1,Database!$E$1:$AY$1,0),FALSE)</f>
        <v/>
      </c>
      <c r="D45" s="23">
        <f>VLOOKUP(A45,Database!$E:$AY,MATCH($D$1,Database!$E$1:$AY$1,0),FALSE)</f>
        <v/>
      </c>
      <c r="E45" s="23">
        <f>VLOOKUP(A45,Database!$E:$AY,MATCH($E$1,Database!$E$1:$AY$1,0),FALSE)</f>
        <v/>
      </c>
      <c r="F45" s="23">
        <f>VLOOKUP(A45,Database!$E:$AY,MATCH($F$1,Database!$E$1:$AY$1,0),FALSE)</f>
        <v/>
      </c>
      <c r="G45" s="23">
        <f>VLOOKUP(A45,Database!$E:$AY,MATCH($G$1,Database!$E$1:$AY$1,0),FALSE)</f>
        <v/>
      </c>
      <c r="H45" s="23">
        <f>(((Table134567891011121314151617343[[#This Row],[ITA]]-VLOOKUP($U$1,A:B,2,))/VLOOKUP($U$1,A:B,2,))*100)+100</f>
        <v/>
      </c>
      <c r="I45" s="23">
        <f>(((Table134567891011121314151617343[[#This Row],[FRA]]-VLOOKUP($U$1,A:C,3,))/VLOOKUP($U$1,A:C,3,))*100)+100</f>
        <v/>
      </c>
      <c r="J45" s="23">
        <f>(((Table134567891011121314151617343[[#This Row],[DEU]]-VLOOKUP($U$1,A:D,4,))/VLOOKUP($U$1,A:D,4,))*100)+100</f>
        <v/>
      </c>
      <c r="K45" s="23">
        <f>(((Table134567891011121314151617343[[#This Row],[ESP]]-VLOOKUP($U$1,A:E,5,))/VLOOKUP($U$1,A:E,5,))*100)+100</f>
        <v/>
      </c>
      <c r="L45" s="23">
        <f>(((Table134567891011121314151617343[[#This Row],[EA19]]-VLOOKUP($U$1,A:F,6,))/VLOOKUP($U$1,A:F,6,))*100)+100</f>
        <v/>
      </c>
      <c r="M45" s="23">
        <f>(((Table134567891011121314151617343[[#This Row],[GBR]]-VLOOKUP($U$1,A:G,7,))/VLOOKUP($U$1,A:G,7,))*100)+100</f>
        <v/>
      </c>
      <c r="N45" s="23">
        <f>VLOOKUP(A45,Database!$E:$AY,MATCH($N$1,Database!$E$1:$AY$1,0),FALSE)</f>
        <v/>
      </c>
      <c r="O45" s="23">
        <f>(((Table134567891011121314151617343[[#This Row],[USA]]-VLOOKUP($U$1,A:N,14,))/VLOOKUP($U$1,A:N,14,))*100)+100</f>
        <v/>
      </c>
      <c r="P45" s="23">
        <f>VLOOKUP(A45,Database!$E:$AY,MATCH($P$1,Database!$E$1:$AY$1,0),FALSE)</f>
        <v/>
      </c>
      <c r="Q45" s="23">
        <f>(((Table134567891011121314151617343[[#This Row],[JPN]]-VLOOKUP($U$1,A:Q,16,))/VLOOKUP($U$1,A:Q,16,))*100)+100</f>
        <v/>
      </c>
    </row>
    <row r="46" customFormat="1" s="100">
      <c r="A46" s="22" t="n">
        <v>34213</v>
      </c>
      <c r="B46" s="23">
        <f>VLOOKUP(A46,Database!$E:$AY,MATCH($B$1,Database!$E$1:$AY$1,0),FALSE)</f>
        <v/>
      </c>
      <c r="C46" s="23">
        <f>VLOOKUP(A46,Database!$E:$AY,MATCH($C$1,Database!$E$1:$AY$1,0),FALSE)</f>
        <v/>
      </c>
      <c r="D46" s="23">
        <f>VLOOKUP(A46,Database!$E:$AY,MATCH($D$1,Database!$E$1:$AY$1,0),FALSE)</f>
        <v/>
      </c>
      <c r="E46" s="23">
        <f>VLOOKUP(A46,Database!$E:$AY,MATCH($E$1,Database!$E$1:$AY$1,0),FALSE)</f>
        <v/>
      </c>
      <c r="F46" s="23">
        <f>VLOOKUP(A46,Database!$E:$AY,MATCH($F$1,Database!$E$1:$AY$1,0),FALSE)</f>
        <v/>
      </c>
      <c r="G46" s="23">
        <f>VLOOKUP(A46,Database!$E:$AY,MATCH($G$1,Database!$E$1:$AY$1,0),FALSE)</f>
        <v/>
      </c>
      <c r="H46" s="23">
        <f>(((Table134567891011121314151617343[[#This Row],[ITA]]-VLOOKUP($U$1,A:B,2,))/VLOOKUP($U$1,A:B,2,))*100)+100</f>
        <v/>
      </c>
      <c r="I46" s="23">
        <f>(((Table134567891011121314151617343[[#This Row],[FRA]]-VLOOKUP($U$1,A:C,3,))/VLOOKUP($U$1,A:C,3,))*100)+100</f>
        <v/>
      </c>
      <c r="J46" s="23">
        <f>(((Table134567891011121314151617343[[#This Row],[DEU]]-VLOOKUP($U$1,A:D,4,))/VLOOKUP($U$1,A:D,4,))*100)+100</f>
        <v/>
      </c>
      <c r="K46" s="23">
        <f>(((Table134567891011121314151617343[[#This Row],[ESP]]-VLOOKUP($U$1,A:E,5,))/VLOOKUP($U$1,A:E,5,))*100)+100</f>
        <v/>
      </c>
      <c r="L46" s="23">
        <f>(((Table134567891011121314151617343[[#This Row],[EA19]]-VLOOKUP($U$1,A:F,6,))/VLOOKUP($U$1,A:F,6,))*100)+100</f>
        <v/>
      </c>
      <c r="M46" s="23">
        <f>(((Table134567891011121314151617343[[#This Row],[GBR]]-VLOOKUP($U$1,A:G,7,))/VLOOKUP($U$1,A:G,7,))*100)+100</f>
        <v/>
      </c>
      <c r="N46" s="23">
        <f>VLOOKUP(A46,Database!$E:$AY,MATCH($N$1,Database!$E$1:$AY$1,0),FALSE)</f>
        <v/>
      </c>
      <c r="O46" s="23">
        <f>(((Table134567891011121314151617343[[#This Row],[USA]]-VLOOKUP($U$1,A:N,14,))/VLOOKUP($U$1,A:N,14,))*100)+100</f>
        <v/>
      </c>
      <c r="P46" s="23">
        <f>VLOOKUP(A46,Database!$E:$AY,MATCH($P$1,Database!$E$1:$AY$1,0),FALSE)</f>
        <v/>
      </c>
      <c r="Q46" s="23">
        <f>(((Table134567891011121314151617343[[#This Row],[JPN]]-VLOOKUP($U$1,A:Q,16,))/VLOOKUP($U$1,A:Q,16,))*100)+100</f>
        <v/>
      </c>
    </row>
    <row r="47" customFormat="1" s="100">
      <c r="A47" s="22" t="n">
        <v>34243</v>
      </c>
      <c r="B47" s="23">
        <f>VLOOKUP(A47,Database!$E:$AY,MATCH($B$1,Database!$E$1:$AY$1,0),FALSE)</f>
        <v/>
      </c>
      <c r="C47" s="23">
        <f>VLOOKUP(A47,Database!$E:$AY,MATCH($C$1,Database!$E$1:$AY$1,0),FALSE)</f>
        <v/>
      </c>
      <c r="D47" s="23">
        <f>VLOOKUP(A47,Database!$E:$AY,MATCH($D$1,Database!$E$1:$AY$1,0),FALSE)</f>
        <v/>
      </c>
      <c r="E47" s="23">
        <f>VLOOKUP(A47,Database!$E:$AY,MATCH($E$1,Database!$E$1:$AY$1,0),FALSE)</f>
        <v/>
      </c>
      <c r="F47" s="23">
        <f>VLOOKUP(A47,Database!$E:$AY,MATCH($F$1,Database!$E$1:$AY$1,0),FALSE)</f>
        <v/>
      </c>
      <c r="G47" s="23">
        <f>VLOOKUP(A47,Database!$E:$AY,MATCH($G$1,Database!$E$1:$AY$1,0),FALSE)</f>
        <v/>
      </c>
      <c r="H47" s="23">
        <f>(((Table134567891011121314151617343[[#This Row],[ITA]]-VLOOKUP($U$1,A:B,2,))/VLOOKUP($U$1,A:B,2,))*100)+100</f>
        <v/>
      </c>
      <c r="I47" s="23">
        <f>(((Table134567891011121314151617343[[#This Row],[FRA]]-VLOOKUP($U$1,A:C,3,))/VLOOKUP($U$1,A:C,3,))*100)+100</f>
        <v/>
      </c>
      <c r="J47" s="23">
        <f>(((Table134567891011121314151617343[[#This Row],[DEU]]-VLOOKUP($U$1,A:D,4,))/VLOOKUP($U$1,A:D,4,))*100)+100</f>
        <v/>
      </c>
      <c r="K47" s="23">
        <f>(((Table134567891011121314151617343[[#This Row],[ESP]]-VLOOKUP($U$1,A:E,5,))/VLOOKUP($U$1,A:E,5,))*100)+100</f>
        <v/>
      </c>
      <c r="L47" s="23">
        <f>(((Table134567891011121314151617343[[#This Row],[EA19]]-VLOOKUP($U$1,A:F,6,))/VLOOKUP($U$1,A:F,6,))*100)+100</f>
        <v/>
      </c>
      <c r="M47" s="23">
        <f>(((Table134567891011121314151617343[[#This Row],[GBR]]-VLOOKUP($U$1,A:G,7,))/VLOOKUP($U$1,A:G,7,))*100)+100</f>
        <v/>
      </c>
      <c r="N47" s="23">
        <f>VLOOKUP(A47,Database!$E:$AY,MATCH($N$1,Database!$E$1:$AY$1,0),FALSE)</f>
        <v/>
      </c>
      <c r="O47" s="23">
        <f>(((Table134567891011121314151617343[[#This Row],[USA]]-VLOOKUP($U$1,A:N,14,))/VLOOKUP($U$1,A:N,14,))*100)+100</f>
        <v/>
      </c>
      <c r="P47" s="23">
        <f>VLOOKUP(A47,Database!$E:$AY,MATCH($P$1,Database!$E$1:$AY$1,0),FALSE)</f>
        <v/>
      </c>
      <c r="Q47" s="23">
        <f>(((Table134567891011121314151617343[[#This Row],[JPN]]-VLOOKUP($U$1,A:Q,16,))/VLOOKUP($U$1,A:Q,16,))*100)+100</f>
        <v/>
      </c>
    </row>
    <row r="48" customFormat="1" s="100">
      <c r="A48" s="22" t="n">
        <v>34274</v>
      </c>
      <c r="B48" s="23">
        <f>VLOOKUP(A48,Database!$E:$AY,MATCH($B$1,Database!$E$1:$AY$1,0),FALSE)</f>
        <v/>
      </c>
      <c r="C48" s="23">
        <f>VLOOKUP(A48,Database!$E:$AY,MATCH($C$1,Database!$E$1:$AY$1,0),FALSE)</f>
        <v/>
      </c>
      <c r="D48" s="23">
        <f>VLOOKUP(A48,Database!$E:$AY,MATCH($D$1,Database!$E$1:$AY$1,0),FALSE)</f>
        <v/>
      </c>
      <c r="E48" s="23">
        <f>VLOOKUP(A48,Database!$E:$AY,MATCH($E$1,Database!$E$1:$AY$1,0),FALSE)</f>
        <v/>
      </c>
      <c r="F48" s="23">
        <f>VLOOKUP(A48,Database!$E:$AY,MATCH($F$1,Database!$E$1:$AY$1,0),FALSE)</f>
        <v/>
      </c>
      <c r="G48" s="23">
        <f>VLOOKUP(A48,Database!$E:$AY,MATCH($G$1,Database!$E$1:$AY$1,0),FALSE)</f>
        <v/>
      </c>
      <c r="H48" s="23">
        <f>(((Table134567891011121314151617343[[#This Row],[ITA]]-VLOOKUP($U$1,A:B,2,))/VLOOKUP($U$1,A:B,2,))*100)+100</f>
        <v/>
      </c>
      <c r="I48" s="23">
        <f>(((Table134567891011121314151617343[[#This Row],[FRA]]-VLOOKUP($U$1,A:C,3,))/VLOOKUP($U$1,A:C,3,))*100)+100</f>
        <v/>
      </c>
      <c r="J48" s="23">
        <f>(((Table134567891011121314151617343[[#This Row],[DEU]]-VLOOKUP($U$1,A:D,4,))/VLOOKUP($U$1,A:D,4,))*100)+100</f>
        <v/>
      </c>
      <c r="K48" s="23">
        <f>(((Table134567891011121314151617343[[#This Row],[ESP]]-VLOOKUP($U$1,A:E,5,))/VLOOKUP($U$1,A:E,5,))*100)+100</f>
        <v/>
      </c>
      <c r="L48" s="23">
        <f>(((Table134567891011121314151617343[[#This Row],[EA19]]-VLOOKUP($U$1,A:F,6,))/VLOOKUP($U$1,A:F,6,))*100)+100</f>
        <v/>
      </c>
      <c r="M48" s="23">
        <f>(((Table134567891011121314151617343[[#This Row],[GBR]]-VLOOKUP($U$1,A:G,7,))/VLOOKUP($U$1,A:G,7,))*100)+100</f>
        <v/>
      </c>
      <c r="N48" s="23">
        <f>VLOOKUP(A48,Database!$E:$AY,MATCH($N$1,Database!$E$1:$AY$1,0),FALSE)</f>
        <v/>
      </c>
      <c r="O48" s="23">
        <f>(((Table134567891011121314151617343[[#This Row],[USA]]-VLOOKUP($U$1,A:N,14,))/VLOOKUP($U$1,A:N,14,))*100)+100</f>
        <v/>
      </c>
      <c r="P48" s="23">
        <f>VLOOKUP(A48,Database!$E:$AY,MATCH($P$1,Database!$E$1:$AY$1,0),FALSE)</f>
        <v/>
      </c>
      <c r="Q48" s="23">
        <f>(((Table134567891011121314151617343[[#This Row],[JPN]]-VLOOKUP($U$1,A:Q,16,))/VLOOKUP($U$1,A:Q,16,))*100)+100</f>
        <v/>
      </c>
    </row>
    <row r="49" customFormat="1" s="100">
      <c r="A49" s="22" t="n">
        <v>34304</v>
      </c>
      <c r="B49" s="23">
        <f>VLOOKUP(A49,Database!$E:$AY,MATCH($B$1,Database!$E$1:$AY$1,0),FALSE)</f>
        <v/>
      </c>
      <c r="C49" s="23">
        <f>VLOOKUP(A49,Database!$E:$AY,MATCH($C$1,Database!$E$1:$AY$1,0),FALSE)</f>
        <v/>
      </c>
      <c r="D49" s="23">
        <f>VLOOKUP(A49,Database!$E:$AY,MATCH($D$1,Database!$E$1:$AY$1,0),FALSE)</f>
        <v/>
      </c>
      <c r="E49" s="23">
        <f>VLOOKUP(A49,Database!$E:$AY,MATCH($E$1,Database!$E$1:$AY$1,0),FALSE)</f>
        <v/>
      </c>
      <c r="F49" s="23">
        <f>VLOOKUP(A49,Database!$E:$AY,MATCH($F$1,Database!$E$1:$AY$1,0),FALSE)</f>
        <v/>
      </c>
      <c r="G49" s="23">
        <f>VLOOKUP(A49,Database!$E:$AY,MATCH($G$1,Database!$E$1:$AY$1,0),FALSE)</f>
        <v/>
      </c>
      <c r="H49" s="23">
        <f>(((Table134567891011121314151617343[[#This Row],[ITA]]-VLOOKUP($U$1,A:B,2,))/VLOOKUP($U$1,A:B,2,))*100)+100</f>
        <v/>
      </c>
      <c r="I49" s="23">
        <f>(((Table134567891011121314151617343[[#This Row],[FRA]]-VLOOKUP($U$1,A:C,3,))/VLOOKUP($U$1,A:C,3,))*100)+100</f>
        <v/>
      </c>
      <c r="J49" s="23">
        <f>(((Table134567891011121314151617343[[#This Row],[DEU]]-VLOOKUP($U$1,A:D,4,))/VLOOKUP($U$1,A:D,4,))*100)+100</f>
        <v/>
      </c>
      <c r="K49" s="23">
        <f>(((Table134567891011121314151617343[[#This Row],[ESP]]-VLOOKUP($U$1,A:E,5,))/VLOOKUP($U$1,A:E,5,))*100)+100</f>
        <v/>
      </c>
      <c r="L49" s="23">
        <f>(((Table134567891011121314151617343[[#This Row],[EA19]]-VLOOKUP($U$1,A:F,6,))/VLOOKUP($U$1,A:F,6,))*100)+100</f>
        <v/>
      </c>
      <c r="M49" s="23">
        <f>(((Table134567891011121314151617343[[#This Row],[GBR]]-VLOOKUP($U$1,A:G,7,))/VLOOKUP($U$1,A:G,7,))*100)+100</f>
        <v/>
      </c>
      <c r="N49" s="23">
        <f>VLOOKUP(A49,Database!$E:$AY,MATCH($N$1,Database!$E$1:$AY$1,0),FALSE)</f>
        <v/>
      </c>
      <c r="O49" s="23">
        <f>(((Table134567891011121314151617343[[#This Row],[USA]]-VLOOKUP($U$1,A:N,14,))/VLOOKUP($U$1,A:N,14,))*100)+100</f>
        <v/>
      </c>
      <c r="P49" s="23">
        <f>VLOOKUP(A49,Database!$E:$AY,MATCH($P$1,Database!$E$1:$AY$1,0),FALSE)</f>
        <v/>
      </c>
      <c r="Q49" s="23">
        <f>(((Table134567891011121314151617343[[#This Row],[JPN]]-VLOOKUP($U$1,A:Q,16,))/VLOOKUP($U$1,A:Q,16,))*100)+100</f>
        <v/>
      </c>
    </row>
    <row r="50" customFormat="1" s="100">
      <c r="A50" s="22" t="n">
        <v>34335</v>
      </c>
      <c r="B50" s="23">
        <f>VLOOKUP(A50,Database!$E:$AY,MATCH($B$1,Database!$E$1:$AY$1,0),FALSE)</f>
        <v/>
      </c>
      <c r="C50" s="23">
        <f>VLOOKUP(A50,Database!$E:$AY,MATCH($C$1,Database!$E$1:$AY$1,0),FALSE)</f>
        <v/>
      </c>
      <c r="D50" s="23">
        <f>VLOOKUP(A50,Database!$E:$AY,MATCH($D$1,Database!$E$1:$AY$1,0),FALSE)</f>
        <v/>
      </c>
      <c r="E50" s="23">
        <f>VLOOKUP(A50,Database!$E:$AY,MATCH($E$1,Database!$E$1:$AY$1,0),FALSE)</f>
        <v/>
      </c>
      <c r="F50" s="23">
        <f>VLOOKUP(A50,Database!$E:$AY,MATCH($F$1,Database!$E$1:$AY$1,0),FALSE)</f>
        <v/>
      </c>
      <c r="G50" s="23">
        <f>VLOOKUP(A50,Database!$E:$AY,MATCH($G$1,Database!$E$1:$AY$1,0),FALSE)</f>
        <v/>
      </c>
      <c r="H50" s="23">
        <f>(((Table134567891011121314151617343[[#This Row],[ITA]]-VLOOKUP($U$1,A:B,2,))/VLOOKUP($U$1,A:B,2,))*100)+100</f>
        <v/>
      </c>
      <c r="I50" s="23">
        <f>(((Table134567891011121314151617343[[#This Row],[FRA]]-VLOOKUP($U$1,A:C,3,))/VLOOKUP($U$1,A:C,3,))*100)+100</f>
        <v/>
      </c>
      <c r="J50" s="23">
        <f>(((Table134567891011121314151617343[[#This Row],[DEU]]-VLOOKUP($U$1,A:D,4,))/VLOOKUP($U$1,A:D,4,))*100)+100</f>
        <v/>
      </c>
      <c r="K50" s="23">
        <f>(((Table134567891011121314151617343[[#This Row],[ESP]]-VLOOKUP($U$1,A:E,5,))/VLOOKUP($U$1,A:E,5,))*100)+100</f>
        <v/>
      </c>
      <c r="L50" s="23">
        <f>(((Table134567891011121314151617343[[#This Row],[EA19]]-VLOOKUP($U$1,A:F,6,))/VLOOKUP($U$1,A:F,6,))*100)+100</f>
        <v/>
      </c>
      <c r="M50" s="23">
        <f>(((Table134567891011121314151617343[[#This Row],[GBR]]-VLOOKUP($U$1,A:G,7,))/VLOOKUP($U$1,A:G,7,))*100)+100</f>
        <v/>
      </c>
      <c r="N50" s="23">
        <f>VLOOKUP(A50,Database!$E:$AY,MATCH($N$1,Database!$E$1:$AY$1,0),FALSE)</f>
        <v/>
      </c>
      <c r="O50" s="23">
        <f>(((Table134567891011121314151617343[[#This Row],[USA]]-VLOOKUP($U$1,A:N,14,))/VLOOKUP($U$1,A:N,14,))*100)+100</f>
        <v/>
      </c>
      <c r="P50" s="23">
        <f>VLOOKUP(A50,Database!$E:$AY,MATCH($P$1,Database!$E$1:$AY$1,0),FALSE)</f>
        <v/>
      </c>
      <c r="Q50" s="23">
        <f>(((Table134567891011121314151617343[[#This Row],[JPN]]-VLOOKUP($U$1,A:Q,16,))/VLOOKUP($U$1,A:Q,16,))*100)+100</f>
        <v/>
      </c>
    </row>
    <row r="51" customFormat="1" s="100">
      <c r="A51" s="22" t="n">
        <v>34366</v>
      </c>
      <c r="B51" s="23">
        <f>VLOOKUP(A51,Database!$E:$AY,MATCH($B$1,Database!$E$1:$AY$1,0),FALSE)</f>
        <v/>
      </c>
      <c r="C51" s="23">
        <f>VLOOKUP(A51,Database!$E:$AY,MATCH($C$1,Database!$E$1:$AY$1,0),FALSE)</f>
        <v/>
      </c>
      <c r="D51" s="23">
        <f>VLOOKUP(A51,Database!$E:$AY,MATCH($D$1,Database!$E$1:$AY$1,0),FALSE)</f>
        <v/>
      </c>
      <c r="E51" s="23">
        <f>VLOOKUP(A51,Database!$E:$AY,MATCH($E$1,Database!$E$1:$AY$1,0),FALSE)</f>
        <v/>
      </c>
      <c r="F51" s="23">
        <f>VLOOKUP(A51,Database!$E:$AY,MATCH($F$1,Database!$E$1:$AY$1,0),FALSE)</f>
        <v/>
      </c>
      <c r="G51" s="23">
        <f>VLOOKUP(A51,Database!$E:$AY,MATCH($G$1,Database!$E$1:$AY$1,0),FALSE)</f>
        <v/>
      </c>
      <c r="H51" s="23">
        <f>(((Table134567891011121314151617343[[#This Row],[ITA]]-VLOOKUP($U$1,A:B,2,))/VLOOKUP($U$1,A:B,2,))*100)+100</f>
        <v/>
      </c>
      <c r="I51" s="23">
        <f>(((Table134567891011121314151617343[[#This Row],[FRA]]-VLOOKUP($U$1,A:C,3,))/VLOOKUP($U$1,A:C,3,))*100)+100</f>
        <v/>
      </c>
      <c r="J51" s="23">
        <f>(((Table134567891011121314151617343[[#This Row],[DEU]]-VLOOKUP($U$1,A:D,4,))/VLOOKUP($U$1,A:D,4,))*100)+100</f>
        <v/>
      </c>
      <c r="K51" s="23">
        <f>(((Table134567891011121314151617343[[#This Row],[ESP]]-VLOOKUP($U$1,A:E,5,))/VLOOKUP($U$1,A:E,5,))*100)+100</f>
        <v/>
      </c>
      <c r="L51" s="23">
        <f>(((Table134567891011121314151617343[[#This Row],[EA19]]-VLOOKUP($U$1,A:F,6,))/VLOOKUP($U$1,A:F,6,))*100)+100</f>
        <v/>
      </c>
      <c r="M51" s="23">
        <f>(((Table134567891011121314151617343[[#This Row],[GBR]]-VLOOKUP($U$1,A:G,7,))/VLOOKUP($U$1,A:G,7,))*100)+100</f>
        <v/>
      </c>
      <c r="N51" s="23">
        <f>VLOOKUP(A51,Database!$E:$AY,MATCH($N$1,Database!$E$1:$AY$1,0),FALSE)</f>
        <v/>
      </c>
      <c r="O51" s="23">
        <f>(((Table134567891011121314151617343[[#This Row],[USA]]-VLOOKUP($U$1,A:N,14,))/VLOOKUP($U$1,A:N,14,))*100)+100</f>
        <v/>
      </c>
      <c r="P51" s="23">
        <f>VLOOKUP(A51,Database!$E:$AY,MATCH($P$1,Database!$E$1:$AY$1,0),FALSE)</f>
        <v/>
      </c>
      <c r="Q51" s="23">
        <f>(((Table134567891011121314151617343[[#This Row],[JPN]]-VLOOKUP($U$1,A:Q,16,))/VLOOKUP($U$1,A:Q,16,))*100)+100</f>
        <v/>
      </c>
    </row>
    <row r="52" customFormat="1" s="100">
      <c r="A52" s="22" t="n">
        <v>34394</v>
      </c>
      <c r="B52" s="23">
        <f>VLOOKUP(A52,Database!$E:$AY,MATCH($B$1,Database!$E$1:$AY$1,0),FALSE)</f>
        <v/>
      </c>
      <c r="C52" s="23">
        <f>VLOOKUP(A52,Database!$E:$AY,MATCH($C$1,Database!$E$1:$AY$1,0),FALSE)</f>
        <v/>
      </c>
      <c r="D52" s="23">
        <f>VLOOKUP(A52,Database!$E:$AY,MATCH($D$1,Database!$E$1:$AY$1,0),FALSE)</f>
        <v/>
      </c>
      <c r="E52" s="23">
        <f>VLOOKUP(A52,Database!$E:$AY,MATCH($E$1,Database!$E$1:$AY$1,0),FALSE)</f>
        <v/>
      </c>
      <c r="F52" s="23">
        <f>VLOOKUP(A52,Database!$E:$AY,MATCH($F$1,Database!$E$1:$AY$1,0),FALSE)</f>
        <v/>
      </c>
      <c r="G52" s="23">
        <f>VLOOKUP(A52,Database!$E:$AY,MATCH($G$1,Database!$E$1:$AY$1,0),FALSE)</f>
        <v/>
      </c>
      <c r="H52" s="23">
        <f>(((Table134567891011121314151617343[[#This Row],[ITA]]-VLOOKUP($U$1,A:B,2,))/VLOOKUP($U$1,A:B,2,))*100)+100</f>
        <v/>
      </c>
      <c r="I52" s="23">
        <f>(((Table134567891011121314151617343[[#This Row],[FRA]]-VLOOKUP($U$1,A:C,3,))/VLOOKUP($U$1,A:C,3,))*100)+100</f>
        <v/>
      </c>
      <c r="J52" s="23">
        <f>(((Table134567891011121314151617343[[#This Row],[DEU]]-VLOOKUP($U$1,A:D,4,))/VLOOKUP($U$1,A:D,4,))*100)+100</f>
        <v/>
      </c>
      <c r="K52" s="23">
        <f>(((Table134567891011121314151617343[[#This Row],[ESP]]-VLOOKUP($U$1,A:E,5,))/VLOOKUP($U$1,A:E,5,))*100)+100</f>
        <v/>
      </c>
      <c r="L52" s="23">
        <f>(((Table134567891011121314151617343[[#This Row],[EA19]]-VLOOKUP($U$1,A:F,6,))/VLOOKUP($U$1,A:F,6,))*100)+100</f>
        <v/>
      </c>
      <c r="M52" s="23">
        <f>(((Table134567891011121314151617343[[#This Row],[GBR]]-VLOOKUP($U$1,A:G,7,))/VLOOKUP($U$1,A:G,7,))*100)+100</f>
        <v/>
      </c>
      <c r="N52" s="23">
        <f>VLOOKUP(A52,Database!$E:$AY,MATCH($N$1,Database!$E$1:$AY$1,0),FALSE)</f>
        <v/>
      </c>
      <c r="O52" s="23">
        <f>(((Table134567891011121314151617343[[#This Row],[USA]]-VLOOKUP($U$1,A:N,14,))/VLOOKUP($U$1,A:N,14,))*100)+100</f>
        <v/>
      </c>
      <c r="P52" s="23">
        <f>VLOOKUP(A52,Database!$E:$AY,MATCH($P$1,Database!$E$1:$AY$1,0),FALSE)</f>
        <v/>
      </c>
      <c r="Q52" s="23">
        <f>(((Table134567891011121314151617343[[#This Row],[JPN]]-VLOOKUP($U$1,A:Q,16,))/VLOOKUP($U$1,A:Q,16,))*100)+100</f>
        <v/>
      </c>
    </row>
    <row r="53" customFormat="1" s="100">
      <c r="A53" s="22" t="n">
        <v>34425</v>
      </c>
      <c r="B53" s="23">
        <f>VLOOKUP(A53,Database!$E:$AY,MATCH($B$1,Database!$E$1:$AY$1,0),FALSE)</f>
        <v/>
      </c>
      <c r="C53" s="23">
        <f>VLOOKUP(A53,Database!$E:$AY,MATCH($C$1,Database!$E$1:$AY$1,0),FALSE)</f>
        <v/>
      </c>
      <c r="D53" s="23">
        <f>VLOOKUP(A53,Database!$E:$AY,MATCH($D$1,Database!$E$1:$AY$1,0),FALSE)</f>
        <v/>
      </c>
      <c r="E53" s="23">
        <f>VLOOKUP(A53,Database!$E:$AY,MATCH($E$1,Database!$E$1:$AY$1,0),FALSE)</f>
        <v/>
      </c>
      <c r="F53" s="23">
        <f>VLOOKUP(A53,Database!$E:$AY,MATCH($F$1,Database!$E$1:$AY$1,0),FALSE)</f>
        <v/>
      </c>
      <c r="G53" s="23">
        <f>VLOOKUP(A53,Database!$E:$AY,MATCH($G$1,Database!$E$1:$AY$1,0),FALSE)</f>
        <v/>
      </c>
      <c r="H53" s="23">
        <f>(((Table134567891011121314151617343[[#This Row],[ITA]]-VLOOKUP($U$1,A:B,2,))/VLOOKUP($U$1,A:B,2,))*100)+100</f>
        <v/>
      </c>
      <c r="I53" s="23">
        <f>(((Table134567891011121314151617343[[#This Row],[FRA]]-VLOOKUP($U$1,A:C,3,))/VLOOKUP($U$1,A:C,3,))*100)+100</f>
        <v/>
      </c>
      <c r="J53" s="23">
        <f>(((Table134567891011121314151617343[[#This Row],[DEU]]-VLOOKUP($U$1,A:D,4,))/VLOOKUP($U$1,A:D,4,))*100)+100</f>
        <v/>
      </c>
      <c r="K53" s="23">
        <f>(((Table134567891011121314151617343[[#This Row],[ESP]]-VLOOKUP($U$1,A:E,5,))/VLOOKUP($U$1,A:E,5,))*100)+100</f>
        <v/>
      </c>
      <c r="L53" s="23">
        <f>(((Table134567891011121314151617343[[#This Row],[EA19]]-VLOOKUP($U$1,A:F,6,))/VLOOKUP($U$1,A:F,6,))*100)+100</f>
        <v/>
      </c>
      <c r="M53" s="23">
        <f>(((Table134567891011121314151617343[[#This Row],[GBR]]-VLOOKUP($U$1,A:G,7,))/VLOOKUP($U$1,A:G,7,))*100)+100</f>
        <v/>
      </c>
      <c r="N53" s="23">
        <f>VLOOKUP(A53,Database!$E:$AY,MATCH($N$1,Database!$E$1:$AY$1,0),FALSE)</f>
        <v/>
      </c>
      <c r="O53" s="23">
        <f>(((Table134567891011121314151617343[[#This Row],[USA]]-VLOOKUP($U$1,A:N,14,))/VLOOKUP($U$1,A:N,14,))*100)+100</f>
        <v/>
      </c>
      <c r="P53" s="23">
        <f>VLOOKUP(A53,Database!$E:$AY,MATCH($P$1,Database!$E$1:$AY$1,0),FALSE)</f>
        <v/>
      </c>
      <c r="Q53" s="23">
        <f>(((Table134567891011121314151617343[[#This Row],[JPN]]-VLOOKUP($U$1,A:Q,16,))/VLOOKUP($U$1,A:Q,16,))*100)+100</f>
        <v/>
      </c>
    </row>
    <row r="54" customFormat="1" s="100">
      <c r="A54" s="22" t="n">
        <v>34455</v>
      </c>
      <c r="B54" s="23">
        <f>VLOOKUP(A54,Database!$E:$AY,MATCH($B$1,Database!$E$1:$AY$1,0),FALSE)</f>
        <v/>
      </c>
      <c r="C54" s="23">
        <f>VLOOKUP(A54,Database!$E:$AY,MATCH($C$1,Database!$E$1:$AY$1,0),FALSE)</f>
        <v/>
      </c>
      <c r="D54" s="23">
        <f>VLOOKUP(A54,Database!$E:$AY,MATCH($D$1,Database!$E$1:$AY$1,0),FALSE)</f>
        <v/>
      </c>
      <c r="E54" s="23">
        <f>VLOOKUP(A54,Database!$E:$AY,MATCH($E$1,Database!$E$1:$AY$1,0),FALSE)</f>
        <v/>
      </c>
      <c r="F54" s="23">
        <f>VLOOKUP(A54,Database!$E:$AY,MATCH($F$1,Database!$E$1:$AY$1,0),FALSE)</f>
        <v/>
      </c>
      <c r="G54" s="23">
        <f>VLOOKUP(A54,Database!$E:$AY,MATCH($G$1,Database!$E$1:$AY$1,0),FALSE)</f>
        <v/>
      </c>
      <c r="H54" s="23">
        <f>(((Table134567891011121314151617343[[#This Row],[ITA]]-VLOOKUP($U$1,A:B,2,))/VLOOKUP($U$1,A:B,2,))*100)+100</f>
        <v/>
      </c>
      <c r="I54" s="23">
        <f>(((Table134567891011121314151617343[[#This Row],[FRA]]-VLOOKUP($U$1,A:C,3,))/VLOOKUP($U$1,A:C,3,))*100)+100</f>
        <v/>
      </c>
      <c r="J54" s="23">
        <f>(((Table134567891011121314151617343[[#This Row],[DEU]]-VLOOKUP($U$1,A:D,4,))/VLOOKUP($U$1,A:D,4,))*100)+100</f>
        <v/>
      </c>
      <c r="K54" s="23">
        <f>(((Table134567891011121314151617343[[#This Row],[ESP]]-VLOOKUP($U$1,A:E,5,))/VLOOKUP($U$1,A:E,5,))*100)+100</f>
        <v/>
      </c>
      <c r="L54" s="23">
        <f>(((Table134567891011121314151617343[[#This Row],[EA19]]-VLOOKUP($U$1,A:F,6,))/VLOOKUP($U$1,A:F,6,))*100)+100</f>
        <v/>
      </c>
      <c r="M54" s="23">
        <f>(((Table134567891011121314151617343[[#This Row],[GBR]]-VLOOKUP($U$1,A:G,7,))/VLOOKUP($U$1,A:G,7,))*100)+100</f>
        <v/>
      </c>
      <c r="N54" s="23">
        <f>VLOOKUP(A54,Database!$E:$AY,MATCH($N$1,Database!$E$1:$AY$1,0),FALSE)</f>
        <v/>
      </c>
      <c r="O54" s="23">
        <f>(((Table134567891011121314151617343[[#This Row],[USA]]-VLOOKUP($U$1,A:N,14,))/VLOOKUP($U$1,A:N,14,))*100)+100</f>
        <v/>
      </c>
      <c r="P54" s="23">
        <f>VLOOKUP(A54,Database!$E:$AY,MATCH($P$1,Database!$E$1:$AY$1,0),FALSE)</f>
        <v/>
      </c>
      <c r="Q54" s="23">
        <f>(((Table134567891011121314151617343[[#This Row],[JPN]]-VLOOKUP($U$1,A:Q,16,))/VLOOKUP($U$1,A:Q,16,))*100)+100</f>
        <v/>
      </c>
    </row>
    <row r="55" customFormat="1" s="100">
      <c r="A55" s="22" t="n">
        <v>34486</v>
      </c>
      <c r="B55" s="23">
        <f>VLOOKUP(A55,Database!$E:$AY,MATCH($B$1,Database!$E$1:$AY$1,0),FALSE)</f>
        <v/>
      </c>
      <c r="C55" s="23">
        <f>VLOOKUP(A55,Database!$E:$AY,MATCH($C$1,Database!$E$1:$AY$1,0),FALSE)</f>
        <v/>
      </c>
      <c r="D55" s="23">
        <f>VLOOKUP(A55,Database!$E:$AY,MATCH($D$1,Database!$E$1:$AY$1,0),FALSE)</f>
        <v/>
      </c>
      <c r="E55" s="23">
        <f>VLOOKUP(A55,Database!$E:$AY,MATCH($E$1,Database!$E$1:$AY$1,0),FALSE)</f>
        <v/>
      </c>
      <c r="F55" s="23">
        <f>VLOOKUP(A55,Database!$E:$AY,MATCH($F$1,Database!$E$1:$AY$1,0),FALSE)</f>
        <v/>
      </c>
      <c r="G55" s="23">
        <f>VLOOKUP(A55,Database!$E:$AY,MATCH($G$1,Database!$E$1:$AY$1,0),FALSE)</f>
        <v/>
      </c>
      <c r="H55" s="23">
        <f>(((Table134567891011121314151617343[[#This Row],[ITA]]-VLOOKUP($U$1,A:B,2,))/VLOOKUP($U$1,A:B,2,))*100)+100</f>
        <v/>
      </c>
      <c r="I55" s="23">
        <f>(((Table134567891011121314151617343[[#This Row],[FRA]]-VLOOKUP($U$1,A:C,3,))/VLOOKUP($U$1,A:C,3,))*100)+100</f>
        <v/>
      </c>
      <c r="J55" s="23">
        <f>(((Table134567891011121314151617343[[#This Row],[DEU]]-VLOOKUP($U$1,A:D,4,))/VLOOKUP($U$1,A:D,4,))*100)+100</f>
        <v/>
      </c>
      <c r="K55" s="23">
        <f>(((Table134567891011121314151617343[[#This Row],[ESP]]-VLOOKUP($U$1,A:E,5,))/VLOOKUP($U$1,A:E,5,))*100)+100</f>
        <v/>
      </c>
      <c r="L55" s="23">
        <f>(((Table134567891011121314151617343[[#This Row],[EA19]]-VLOOKUP($U$1,A:F,6,))/VLOOKUP($U$1,A:F,6,))*100)+100</f>
        <v/>
      </c>
      <c r="M55" s="23">
        <f>(((Table134567891011121314151617343[[#This Row],[GBR]]-VLOOKUP($U$1,A:G,7,))/VLOOKUP($U$1,A:G,7,))*100)+100</f>
        <v/>
      </c>
      <c r="N55" s="23">
        <f>VLOOKUP(A55,Database!$E:$AY,MATCH($N$1,Database!$E$1:$AY$1,0),FALSE)</f>
        <v/>
      </c>
      <c r="O55" s="23">
        <f>(((Table134567891011121314151617343[[#This Row],[USA]]-VLOOKUP($U$1,A:N,14,))/VLOOKUP($U$1,A:N,14,))*100)+100</f>
        <v/>
      </c>
      <c r="P55" s="23">
        <f>VLOOKUP(A55,Database!$E:$AY,MATCH($P$1,Database!$E$1:$AY$1,0),FALSE)</f>
        <v/>
      </c>
      <c r="Q55" s="23">
        <f>(((Table134567891011121314151617343[[#This Row],[JPN]]-VLOOKUP($U$1,A:Q,16,))/VLOOKUP($U$1,A:Q,16,))*100)+100</f>
        <v/>
      </c>
    </row>
    <row r="56" customFormat="1" s="100">
      <c r="A56" s="22" t="n">
        <v>34516</v>
      </c>
      <c r="B56" s="23">
        <f>VLOOKUP(A56,Database!$E:$AY,MATCH($B$1,Database!$E$1:$AY$1,0),FALSE)</f>
        <v/>
      </c>
      <c r="C56" s="23">
        <f>VLOOKUP(A56,Database!$E:$AY,MATCH($C$1,Database!$E$1:$AY$1,0),FALSE)</f>
        <v/>
      </c>
      <c r="D56" s="23">
        <f>VLOOKUP(A56,Database!$E:$AY,MATCH($D$1,Database!$E$1:$AY$1,0),FALSE)</f>
        <v/>
      </c>
      <c r="E56" s="23">
        <f>VLOOKUP(A56,Database!$E:$AY,MATCH($E$1,Database!$E$1:$AY$1,0),FALSE)</f>
        <v/>
      </c>
      <c r="F56" s="23">
        <f>VLOOKUP(A56,Database!$E:$AY,MATCH($F$1,Database!$E$1:$AY$1,0),FALSE)</f>
        <v/>
      </c>
      <c r="G56" s="23">
        <f>VLOOKUP(A56,Database!$E:$AY,MATCH($G$1,Database!$E$1:$AY$1,0),FALSE)</f>
        <v/>
      </c>
      <c r="H56" s="23">
        <f>(((Table134567891011121314151617343[[#This Row],[ITA]]-VLOOKUP($U$1,A:B,2,))/VLOOKUP($U$1,A:B,2,))*100)+100</f>
        <v/>
      </c>
      <c r="I56" s="23">
        <f>(((Table134567891011121314151617343[[#This Row],[FRA]]-VLOOKUP($U$1,A:C,3,))/VLOOKUP($U$1,A:C,3,))*100)+100</f>
        <v/>
      </c>
      <c r="J56" s="23">
        <f>(((Table134567891011121314151617343[[#This Row],[DEU]]-VLOOKUP($U$1,A:D,4,))/VLOOKUP($U$1,A:D,4,))*100)+100</f>
        <v/>
      </c>
      <c r="K56" s="23">
        <f>(((Table134567891011121314151617343[[#This Row],[ESP]]-VLOOKUP($U$1,A:E,5,))/VLOOKUP($U$1,A:E,5,))*100)+100</f>
        <v/>
      </c>
      <c r="L56" s="23">
        <f>(((Table134567891011121314151617343[[#This Row],[EA19]]-VLOOKUP($U$1,A:F,6,))/VLOOKUP($U$1,A:F,6,))*100)+100</f>
        <v/>
      </c>
      <c r="M56" s="23">
        <f>(((Table134567891011121314151617343[[#This Row],[GBR]]-VLOOKUP($U$1,A:G,7,))/VLOOKUP($U$1,A:G,7,))*100)+100</f>
        <v/>
      </c>
      <c r="N56" s="23">
        <f>VLOOKUP(A56,Database!$E:$AY,MATCH($N$1,Database!$E$1:$AY$1,0),FALSE)</f>
        <v/>
      </c>
      <c r="O56" s="23">
        <f>(((Table134567891011121314151617343[[#This Row],[USA]]-VLOOKUP($U$1,A:N,14,))/VLOOKUP($U$1,A:N,14,))*100)+100</f>
        <v/>
      </c>
      <c r="P56" s="23">
        <f>VLOOKUP(A56,Database!$E:$AY,MATCH($P$1,Database!$E$1:$AY$1,0),FALSE)</f>
        <v/>
      </c>
      <c r="Q56" s="23">
        <f>(((Table134567891011121314151617343[[#This Row],[JPN]]-VLOOKUP($U$1,A:Q,16,))/VLOOKUP($U$1,A:Q,16,))*100)+100</f>
        <v/>
      </c>
    </row>
    <row r="57" customFormat="1" s="100">
      <c r="A57" s="22" t="n">
        <v>34547</v>
      </c>
      <c r="B57" s="23">
        <f>VLOOKUP(A57,Database!$E:$AY,MATCH($B$1,Database!$E$1:$AY$1,0),FALSE)</f>
        <v/>
      </c>
      <c r="C57" s="23">
        <f>VLOOKUP(A57,Database!$E:$AY,MATCH($C$1,Database!$E$1:$AY$1,0),FALSE)</f>
        <v/>
      </c>
      <c r="D57" s="23">
        <f>VLOOKUP(A57,Database!$E:$AY,MATCH($D$1,Database!$E$1:$AY$1,0),FALSE)</f>
        <v/>
      </c>
      <c r="E57" s="23">
        <f>VLOOKUP(A57,Database!$E:$AY,MATCH($E$1,Database!$E$1:$AY$1,0),FALSE)</f>
        <v/>
      </c>
      <c r="F57" s="23">
        <f>VLOOKUP(A57,Database!$E:$AY,MATCH($F$1,Database!$E$1:$AY$1,0),FALSE)</f>
        <v/>
      </c>
      <c r="G57" s="23">
        <f>VLOOKUP(A57,Database!$E:$AY,MATCH($G$1,Database!$E$1:$AY$1,0),FALSE)</f>
        <v/>
      </c>
      <c r="H57" s="23">
        <f>(((Table134567891011121314151617343[[#This Row],[ITA]]-VLOOKUP($U$1,A:B,2,))/VLOOKUP($U$1,A:B,2,))*100)+100</f>
        <v/>
      </c>
      <c r="I57" s="23">
        <f>(((Table134567891011121314151617343[[#This Row],[FRA]]-VLOOKUP($U$1,A:C,3,))/VLOOKUP($U$1,A:C,3,))*100)+100</f>
        <v/>
      </c>
      <c r="J57" s="23">
        <f>(((Table134567891011121314151617343[[#This Row],[DEU]]-VLOOKUP($U$1,A:D,4,))/VLOOKUP($U$1,A:D,4,))*100)+100</f>
        <v/>
      </c>
      <c r="K57" s="23">
        <f>(((Table134567891011121314151617343[[#This Row],[ESP]]-VLOOKUP($U$1,A:E,5,))/VLOOKUP($U$1,A:E,5,))*100)+100</f>
        <v/>
      </c>
      <c r="L57" s="23">
        <f>(((Table134567891011121314151617343[[#This Row],[EA19]]-VLOOKUP($U$1,A:F,6,))/VLOOKUP($U$1,A:F,6,))*100)+100</f>
        <v/>
      </c>
      <c r="M57" s="23">
        <f>(((Table134567891011121314151617343[[#This Row],[GBR]]-VLOOKUP($U$1,A:G,7,))/VLOOKUP($U$1,A:G,7,))*100)+100</f>
        <v/>
      </c>
      <c r="N57" s="23">
        <f>VLOOKUP(A57,Database!$E:$AY,MATCH($N$1,Database!$E$1:$AY$1,0),FALSE)</f>
        <v/>
      </c>
      <c r="O57" s="23">
        <f>(((Table134567891011121314151617343[[#This Row],[USA]]-VLOOKUP($U$1,A:N,14,))/VLOOKUP($U$1,A:N,14,))*100)+100</f>
        <v/>
      </c>
      <c r="P57" s="23">
        <f>VLOOKUP(A57,Database!$E:$AY,MATCH($P$1,Database!$E$1:$AY$1,0),FALSE)</f>
        <v/>
      </c>
      <c r="Q57" s="23">
        <f>(((Table134567891011121314151617343[[#This Row],[JPN]]-VLOOKUP($U$1,A:Q,16,))/VLOOKUP($U$1,A:Q,16,))*100)+100</f>
        <v/>
      </c>
    </row>
    <row r="58" customFormat="1" s="100">
      <c r="A58" s="22" t="n">
        <v>34578</v>
      </c>
      <c r="B58" s="23">
        <f>VLOOKUP(A58,Database!$E:$AY,MATCH($B$1,Database!$E$1:$AY$1,0),FALSE)</f>
        <v/>
      </c>
      <c r="C58" s="23">
        <f>VLOOKUP(A58,Database!$E:$AY,MATCH($C$1,Database!$E$1:$AY$1,0),FALSE)</f>
        <v/>
      </c>
      <c r="D58" s="23">
        <f>VLOOKUP(A58,Database!$E:$AY,MATCH($D$1,Database!$E$1:$AY$1,0),FALSE)</f>
        <v/>
      </c>
      <c r="E58" s="23">
        <f>VLOOKUP(A58,Database!$E:$AY,MATCH($E$1,Database!$E$1:$AY$1,0),FALSE)</f>
        <v/>
      </c>
      <c r="F58" s="23">
        <f>VLOOKUP(A58,Database!$E:$AY,MATCH($F$1,Database!$E$1:$AY$1,0),FALSE)</f>
        <v/>
      </c>
      <c r="G58" s="23">
        <f>VLOOKUP(A58,Database!$E:$AY,MATCH($G$1,Database!$E$1:$AY$1,0),FALSE)</f>
        <v/>
      </c>
      <c r="H58" s="23">
        <f>(((Table134567891011121314151617343[[#This Row],[ITA]]-VLOOKUP($U$1,A:B,2,))/VLOOKUP($U$1,A:B,2,))*100)+100</f>
        <v/>
      </c>
      <c r="I58" s="23">
        <f>(((Table134567891011121314151617343[[#This Row],[FRA]]-VLOOKUP($U$1,A:C,3,))/VLOOKUP($U$1,A:C,3,))*100)+100</f>
        <v/>
      </c>
      <c r="J58" s="23">
        <f>(((Table134567891011121314151617343[[#This Row],[DEU]]-VLOOKUP($U$1,A:D,4,))/VLOOKUP($U$1,A:D,4,))*100)+100</f>
        <v/>
      </c>
      <c r="K58" s="23">
        <f>(((Table134567891011121314151617343[[#This Row],[ESP]]-VLOOKUP($U$1,A:E,5,))/VLOOKUP($U$1,A:E,5,))*100)+100</f>
        <v/>
      </c>
      <c r="L58" s="23">
        <f>(((Table134567891011121314151617343[[#This Row],[EA19]]-VLOOKUP($U$1,A:F,6,))/VLOOKUP($U$1,A:F,6,))*100)+100</f>
        <v/>
      </c>
      <c r="M58" s="23">
        <f>(((Table134567891011121314151617343[[#This Row],[GBR]]-VLOOKUP($U$1,A:G,7,))/VLOOKUP($U$1,A:G,7,))*100)+100</f>
        <v/>
      </c>
      <c r="N58" s="23">
        <f>VLOOKUP(A58,Database!$E:$AY,MATCH($N$1,Database!$E$1:$AY$1,0),FALSE)</f>
        <v/>
      </c>
      <c r="O58" s="23">
        <f>(((Table134567891011121314151617343[[#This Row],[USA]]-VLOOKUP($U$1,A:N,14,))/VLOOKUP($U$1,A:N,14,))*100)+100</f>
        <v/>
      </c>
      <c r="P58" s="23">
        <f>VLOOKUP(A58,Database!$E:$AY,MATCH($P$1,Database!$E$1:$AY$1,0),FALSE)</f>
        <v/>
      </c>
      <c r="Q58" s="23">
        <f>(((Table134567891011121314151617343[[#This Row],[JPN]]-VLOOKUP($U$1,A:Q,16,))/VLOOKUP($U$1,A:Q,16,))*100)+100</f>
        <v/>
      </c>
    </row>
    <row r="59" customFormat="1" s="100">
      <c r="A59" s="22" t="n">
        <v>34608</v>
      </c>
      <c r="B59" s="23">
        <f>VLOOKUP(A59,Database!$E:$AY,MATCH($B$1,Database!$E$1:$AY$1,0),FALSE)</f>
        <v/>
      </c>
      <c r="C59" s="23">
        <f>VLOOKUP(A59,Database!$E:$AY,MATCH($C$1,Database!$E$1:$AY$1,0),FALSE)</f>
        <v/>
      </c>
      <c r="D59" s="23">
        <f>VLOOKUP(A59,Database!$E:$AY,MATCH($D$1,Database!$E$1:$AY$1,0),FALSE)</f>
        <v/>
      </c>
      <c r="E59" s="23">
        <f>VLOOKUP(A59,Database!$E:$AY,MATCH($E$1,Database!$E$1:$AY$1,0),FALSE)</f>
        <v/>
      </c>
      <c r="F59" s="23">
        <f>VLOOKUP(A59,Database!$E:$AY,MATCH($F$1,Database!$E$1:$AY$1,0),FALSE)</f>
        <v/>
      </c>
      <c r="G59" s="23">
        <f>VLOOKUP(A59,Database!$E:$AY,MATCH($G$1,Database!$E$1:$AY$1,0),FALSE)</f>
        <v/>
      </c>
      <c r="H59" s="23">
        <f>(((Table134567891011121314151617343[[#This Row],[ITA]]-VLOOKUP($U$1,A:B,2,))/VLOOKUP($U$1,A:B,2,))*100)+100</f>
        <v/>
      </c>
      <c r="I59" s="23">
        <f>(((Table134567891011121314151617343[[#This Row],[FRA]]-VLOOKUP($U$1,A:C,3,))/VLOOKUP($U$1,A:C,3,))*100)+100</f>
        <v/>
      </c>
      <c r="J59" s="23">
        <f>(((Table134567891011121314151617343[[#This Row],[DEU]]-VLOOKUP($U$1,A:D,4,))/VLOOKUP($U$1,A:D,4,))*100)+100</f>
        <v/>
      </c>
      <c r="K59" s="23">
        <f>(((Table134567891011121314151617343[[#This Row],[ESP]]-VLOOKUP($U$1,A:E,5,))/VLOOKUP($U$1,A:E,5,))*100)+100</f>
        <v/>
      </c>
      <c r="L59" s="23">
        <f>(((Table134567891011121314151617343[[#This Row],[EA19]]-VLOOKUP($U$1,A:F,6,))/VLOOKUP($U$1,A:F,6,))*100)+100</f>
        <v/>
      </c>
      <c r="M59" s="23">
        <f>(((Table134567891011121314151617343[[#This Row],[GBR]]-VLOOKUP($U$1,A:G,7,))/VLOOKUP($U$1,A:G,7,))*100)+100</f>
        <v/>
      </c>
      <c r="N59" s="23">
        <f>VLOOKUP(A59,Database!$E:$AY,MATCH($N$1,Database!$E$1:$AY$1,0),FALSE)</f>
        <v/>
      </c>
      <c r="O59" s="23">
        <f>(((Table134567891011121314151617343[[#This Row],[USA]]-VLOOKUP($U$1,A:N,14,))/VLOOKUP($U$1,A:N,14,))*100)+100</f>
        <v/>
      </c>
      <c r="P59" s="23">
        <f>VLOOKUP(A59,Database!$E:$AY,MATCH($P$1,Database!$E$1:$AY$1,0),FALSE)</f>
        <v/>
      </c>
      <c r="Q59" s="23">
        <f>(((Table134567891011121314151617343[[#This Row],[JPN]]-VLOOKUP($U$1,A:Q,16,))/VLOOKUP($U$1,A:Q,16,))*100)+100</f>
        <v/>
      </c>
    </row>
    <row r="60" customFormat="1" s="100">
      <c r="A60" s="22" t="n">
        <v>34639</v>
      </c>
      <c r="B60" s="23">
        <f>VLOOKUP(A60,Database!$E:$AY,MATCH($B$1,Database!$E$1:$AY$1,0),FALSE)</f>
        <v/>
      </c>
      <c r="C60" s="23">
        <f>VLOOKUP(A60,Database!$E:$AY,MATCH($C$1,Database!$E$1:$AY$1,0),FALSE)</f>
        <v/>
      </c>
      <c r="D60" s="23">
        <f>VLOOKUP(A60,Database!$E:$AY,MATCH($D$1,Database!$E$1:$AY$1,0),FALSE)</f>
        <v/>
      </c>
      <c r="E60" s="23">
        <f>VLOOKUP(A60,Database!$E:$AY,MATCH($E$1,Database!$E$1:$AY$1,0),FALSE)</f>
        <v/>
      </c>
      <c r="F60" s="23">
        <f>VLOOKUP(A60,Database!$E:$AY,MATCH($F$1,Database!$E$1:$AY$1,0),FALSE)</f>
        <v/>
      </c>
      <c r="G60" s="23">
        <f>VLOOKUP(A60,Database!$E:$AY,MATCH($G$1,Database!$E$1:$AY$1,0),FALSE)</f>
        <v/>
      </c>
      <c r="H60" s="23">
        <f>(((Table134567891011121314151617343[[#This Row],[ITA]]-VLOOKUP($U$1,A:B,2,))/VLOOKUP($U$1,A:B,2,))*100)+100</f>
        <v/>
      </c>
      <c r="I60" s="23">
        <f>(((Table134567891011121314151617343[[#This Row],[FRA]]-VLOOKUP($U$1,A:C,3,))/VLOOKUP($U$1,A:C,3,))*100)+100</f>
        <v/>
      </c>
      <c r="J60" s="23">
        <f>(((Table134567891011121314151617343[[#This Row],[DEU]]-VLOOKUP($U$1,A:D,4,))/VLOOKUP($U$1,A:D,4,))*100)+100</f>
        <v/>
      </c>
      <c r="K60" s="23">
        <f>(((Table134567891011121314151617343[[#This Row],[ESP]]-VLOOKUP($U$1,A:E,5,))/VLOOKUP($U$1,A:E,5,))*100)+100</f>
        <v/>
      </c>
      <c r="L60" s="23">
        <f>(((Table134567891011121314151617343[[#This Row],[EA19]]-VLOOKUP($U$1,A:F,6,))/VLOOKUP($U$1,A:F,6,))*100)+100</f>
        <v/>
      </c>
      <c r="M60" s="23">
        <f>(((Table134567891011121314151617343[[#This Row],[GBR]]-VLOOKUP($U$1,A:G,7,))/VLOOKUP($U$1,A:G,7,))*100)+100</f>
        <v/>
      </c>
      <c r="N60" s="23">
        <f>VLOOKUP(A60,Database!$E:$AY,MATCH($N$1,Database!$E$1:$AY$1,0),FALSE)</f>
        <v/>
      </c>
      <c r="O60" s="23">
        <f>(((Table134567891011121314151617343[[#This Row],[USA]]-VLOOKUP($U$1,A:N,14,))/VLOOKUP($U$1,A:N,14,))*100)+100</f>
        <v/>
      </c>
      <c r="P60" s="23">
        <f>VLOOKUP(A60,Database!$E:$AY,MATCH($P$1,Database!$E$1:$AY$1,0),FALSE)</f>
        <v/>
      </c>
      <c r="Q60" s="23">
        <f>(((Table134567891011121314151617343[[#This Row],[JPN]]-VLOOKUP($U$1,A:Q,16,))/VLOOKUP($U$1,A:Q,16,))*100)+100</f>
        <v/>
      </c>
    </row>
    <row r="61" customFormat="1" s="100">
      <c r="A61" s="22" t="n">
        <v>34669</v>
      </c>
      <c r="B61" s="23">
        <f>VLOOKUP(A61,Database!$E:$AY,MATCH($B$1,Database!$E$1:$AY$1,0),FALSE)</f>
        <v/>
      </c>
      <c r="C61" s="23">
        <f>VLOOKUP(A61,Database!$E:$AY,MATCH($C$1,Database!$E$1:$AY$1,0),FALSE)</f>
        <v/>
      </c>
      <c r="D61" s="23">
        <f>VLOOKUP(A61,Database!$E:$AY,MATCH($D$1,Database!$E$1:$AY$1,0),FALSE)</f>
        <v/>
      </c>
      <c r="E61" s="23">
        <f>VLOOKUP(A61,Database!$E:$AY,MATCH($E$1,Database!$E$1:$AY$1,0),FALSE)</f>
        <v/>
      </c>
      <c r="F61" s="23">
        <f>VLOOKUP(A61,Database!$E:$AY,MATCH($F$1,Database!$E$1:$AY$1,0),FALSE)</f>
        <v/>
      </c>
      <c r="G61" s="23">
        <f>VLOOKUP(A61,Database!$E:$AY,MATCH($G$1,Database!$E$1:$AY$1,0),FALSE)</f>
        <v/>
      </c>
      <c r="H61" s="23">
        <f>(((Table134567891011121314151617343[[#This Row],[ITA]]-VLOOKUP($U$1,A:B,2,))/VLOOKUP($U$1,A:B,2,))*100)+100</f>
        <v/>
      </c>
      <c r="I61" s="23">
        <f>(((Table134567891011121314151617343[[#This Row],[FRA]]-VLOOKUP($U$1,A:C,3,))/VLOOKUP($U$1,A:C,3,))*100)+100</f>
        <v/>
      </c>
      <c r="J61" s="23">
        <f>(((Table134567891011121314151617343[[#This Row],[DEU]]-VLOOKUP($U$1,A:D,4,))/VLOOKUP($U$1,A:D,4,))*100)+100</f>
        <v/>
      </c>
      <c r="K61" s="23">
        <f>(((Table134567891011121314151617343[[#This Row],[ESP]]-VLOOKUP($U$1,A:E,5,))/VLOOKUP($U$1,A:E,5,))*100)+100</f>
        <v/>
      </c>
      <c r="L61" s="23">
        <f>(((Table134567891011121314151617343[[#This Row],[EA19]]-VLOOKUP($U$1,A:F,6,))/VLOOKUP($U$1,A:F,6,))*100)+100</f>
        <v/>
      </c>
      <c r="M61" s="23">
        <f>(((Table134567891011121314151617343[[#This Row],[GBR]]-VLOOKUP($U$1,A:G,7,))/VLOOKUP($U$1,A:G,7,))*100)+100</f>
        <v/>
      </c>
      <c r="N61" s="23">
        <f>VLOOKUP(A61,Database!$E:$AY,MATCH($N$1,Database!$E$1:$AY$1,0),FALSE)</f>
        <v/>
      </c>
      <c r="O61" s="23">
        <f>(((Table134567891011121314151617343[[#This Row],[USA]]-VLOOKUP($U$1,A:N,14,))/VLOOKUP($U$1,A:N,14,))*100)+100</f>
        <v/>
      </c>
      <c r="P61" s="23">
        <f>VLOOKUP(A61,Database!$E:$AY,MATCH($P$1,Database!$E$1:$AY$1,0),FALSE)</f>
        <v/>
      </c>
      <c r="Q61" s="23">
        <f>(((Table134567891011121314151617343[[#This Row],[JPN]]-VLOOKUP($U$1,A:Q,16,))/VLOOKUP($U$1,A:Q,16,))*100)+100</f>
        <v/>
      </c>
    </row>
    <row r="62" customFormat="1" s="100">
      <c r="A62" s="22" t="n">
        <v>34700</v>
      </c>
      <c r="B62" s="23">
        <f>VLOOKUP(A62,Database!$E:$AY,MATCH($B$1,Database!$E$1:$AY$1,0),FALSE)</f>
        <v/>
      </c>
      <c r="C62" s="23">
        <f>VLOOKUP(A62,Database!$E:$AY,MATCH($C$1,Database!$E$1:$AY$1,0),FALSE)</f>
        <v/>
      </c>
      <c r="D62" s="23">
        <f>VLOOKUP(A62,Database!$E:$AY,MATCH($D$1,Database!$E$1:$AY$1,0),FALSE)</f>
        <v/>
      </c>
      <c r="E62" s="23">
        <f>VLOOKUP(A62,Database!$E:$AY,MATCH($E$1,Database!$E$1:$AY$1,0),FALSE)</f>
        <v/>
      </c>
      <c r="F62" s="23">
        <f>VLOOKUP(A62,Database!$E:$AY,MATCH($F$1,Database!$E$1:$AY$1,0),FALSE)</f>
        <v/>
      </c>
      <c r="G62" s="23">
        <f>VLOOKUP(A62,Database!$E:$AY,MATCH($G$1,Database!$E$1:$AY$1,0),FALSE)</f>
        <v/>
      </c>
      <c r="H62" s="23">
        <f>(((Table134567891011121314151617343[[#This Row],[ITA]]-VLOOKUP($U$1,A:B,2,))/VLOOKUP($U$1,A:B,2,))*100)+100</f>
        <v/>
      </c>
      <c r="I62" s="23">
        <f>(((Table134567891011121314151617343[[#This Row],[FRA]]-VLOOKUP($U$1,A:C,3,))/VLOOKUP($U$1,A:C,3,))*100)+100</f>
        <v/>
      </c>
      <c r="J62" s="23">
        <f>(((Table134567891011121314151617343[[#This Row],[DEU]]-VLOOKUP($U$1,A:D,4,))/VLOOKUP($U$1,A:D,4,))*100)+100</f>
        <v/>
      </c>
      <c r="K62" s="23">
        <f>(((Table134567891011121314151617343[[#This Row],[ESP]]-VLOOKUP($U$1,A:E,5,))/VLOOKUP($U$1,A:E,5,))*100)+100</f>
        <v/>
      </c>
      <c r="L62" s="23">
        <f>(((Table134567891011121314151617343[[#This Row],[EA19]]-VLOOKUP($U$1,A:F,6,))/VLOOKUP($U$1,A:F,6,))*100)+100</f>
        <v/>
      </c>
      <c r="M62" s="23">
        <f>(((Table134567891011121314151617343[[#This Row],[GBR]]-VLOOKUP($U$1,A:G,7,))/VLOOKUP($U$1,A:G,7,))*100)+100</f>
        <v/>
      </c>
      <c r="N62" s="23">
        <f>VLOOKUP(A62,Database!$E:$AY,MATCH($N$1,Database!$E$1:$AY$1,0),FALSE)</f>
        <v/>
      </c>
      <c r="O62" s="23">
        <f>(((Table134567891011121314151617343[[#This Row],[USA]]-VLOOKUP($U$1,A:N,14,))/VLOOKUP($U$1,A:N,14,))*100)+100</f>
        <v/>
      </c>
      <c r="P62" s="23">
        <f>VLOOKUP(A62,Database!$E:$AY,MATCH($P$1,Database!$E$1:$AY$1,0),FALSE)</f>
        <v/>
      </c>
      <c r="Q62" s="23">
        <f>(((Table134567891011121314151617343[[#This Row],[JPN]]-VLOOKUP($U$1,A:Q,16,))/VLOOKUP($U$1,A:Q,16,))*100)+100</f>
        <v/>
      </c>
    </row>
    <row r="63" customFormat="1" s="100">
      <c r="A63" s="22" t="n">
        <v>34731</v>
      </c>
      <c r="B63" s="23">
        <f>VLOOKUP(A63,Database!$E:$AY,MATCH($B$1,Database!$E$1:$AY$1,0),FALSE)</f>
        <v/>
      </c>
      <c r="C63" s="23">
        <f>VLOOKUP(A63,Database!$E:$AY,MATCH($C$1,Database!$E$1:$AY$1,0),FALSE)</f>
        <v/>
      </c>
      <c r="D63" s="23">
        <f>VLOOKUP(A63,Database!$E:$AY,MATCH($D$1,Database!$E$1:$AY$1,0),FALSE)</f>
        <v/>
      </c>
      <c r="E63" s="23">
        <f>VLOOKUP(A63,Database!$E:$AY,MATCH($E$1,Database!$E$1:$AY$1,0),FALSE)</f>
        <v/>
      </c>
      <c r="F63" s="23">
        <f>VLOOKUP(A63,Database!$E:$AY,MATCH($F$1,Database!$E$1:$AY$1,0),FALSE)</f>
        <v/>
      </c>
      <c r="G63" s="23">
        <f>VLOOKUP(A63,Database!$E:$AY,MATCH($G$1,Database!$E$1:$AY$1,0),FALSE)</f>
        <v/>
      </c>
      <c r="H63" s="23">
        <f>(((Table134567891011121314151617343[[#This Row],[ITA]]-VLOOKUP($U$1,A:B,2,))/VLOOKUP($U$1,A:B,2,))*100)+100</f>
        <v/>
      </c>
      <c r="I63" s="23">
        <f>(((Table134567891011121314151617343[[#This Row],[FRA]]-VLOOKUP($U$1,A:C,3,))/VLOOKUP($U$1,A:C,3,))*100)+100</f>
        <v/>
      </c>
      <c r="J63" s="23">
        <f>(((Table134567891011121314151617343[[#This Row],[DEU]]-VLOOKUP($U$1,A:D,4,))/VLOOKUP($U$1,A:D,4,))*100)+100</f>
        <v/>
      </c>
      <c r="K63" s="23">
        <f>(((Table134567891011121314151617343[[#This Row],[ESP]]-VLOOKUP($U$1,A:E,5,))/VLOOKUP($U$1,A:E,5,))*100)+100</f>
        <v/>
      </c>
      <c r="L63" s="23">
        <f>(((Table134567891011121314151617343[[#This Row],[EA19]]-VLOOKUP($U$1,A:F,6,))/VLOOKUP($U$1,A:F,6,))*100)+100</f>
        <v/>
      </c>
      <c r="M63" s="23">
        <f>(((Table134567891011121314151617343[[#This Row],[GBR]]-VLOOKUP($U$1,A:G,7,))/VLOOKUP($U$1,A:G,7,))*100)+100</f>
        <v/>
      </c>
      <c r="N63" s="23">
        <f>VLOOKUP(A63,Database!$E:$AY,MATCH($N$1,Database!$E$1:$AY$1,0),FALSE)</f>
        <v/>
      </c>
      <c r="O63" s="23">
        <f>(((Table134567891011121314151617343[[#This Row],[USA]]-VLOOKUP($U$1,A:N,14,))/VLOOKUP($U$1,A:N,14,))*100)+100</f>
        <v/>
      </c>
      <c r="P63" s="23">
        <f>VLOOKUP(A63,Database!$E:$AY,MATCH($P$1,Database!$E$1:$AY$1,0),FALSE)</f>
        <v/>
      </c>
      <c r="Q63" s="23">
        <f>(((Table134567891011121314151617343[[#This Row],[JPN]]-VLOOKUP($U$1,A:Q,16,))/VLOOKUP($U$1,A:Q,16,))*100)+100</f>
        <v/>
      </c>
    </row>
    <row r="64" customFormat="1" s="100">
      <c r="A64" s="22" t="n">
        <v>34759</v>
      </c>
      <c r="B64" s="23">
        <f>VLOOKUP(A64,Database!$E:$AY,MATCH($B$1,Database!$E$1:$AY$1,0),FALSE)</f>
        <v/>
      </c>
      <c r="C64" s="23">
        <f>VLOOKUP(A64,Database!$E:$AY,MATCH($C$1,Database!$E$1:$AY$1,0),FALSE)</f>
        <v/>
      </c>
      <c r="D64" s="23">
        <f>VLOOKUP(A64,Database!$E:$AY,MATCH($D$1,Database!$E$1:$AY$1,0),FALSE)</f>
        <v/>
      </c>
      <c r="E64" s="23">
        <f>VLOOKUP(A64,Database!$E:$AY,MATCH($E$1,Database!$E$1:$AY$1,0),FALSE)</f>
        <v/>
      </c>
      <c r="F64" s="23">
        <f>VLOOKUP(A64,Database!$E:$AY,MATCH($F$1,Database!$E$1:$AY$1,0),FALSE)</f>
        <v/>
      </c>
      <c r="G64" s="23">
        <f>VLOOKUP(A64,Database!$E:$AY,MATCH($G$1,Database!$E$1:$AY$1,0),FALSE)</f>
        <v/>
      </c>
      <c r="H64" s="23">
        <f>(((Table134567891011121314151617343[[#This Row],[ITA]]-VLOOKUP($U$1,A:B,2,))/VLOOKUP($U$1,A:B,2,))*100)+100</f>
        <v/>
      </c>
      <c r="I64" s="23">
        <f>(((Table134567891011121314151617343[[#This Row],[FRA]]-VLOOKUP($U$1,A:C,3,))/VLOOKUP($U$1,A:C,3,))*100)+100</f>
        <v/>
      </c>
      <c r="J64" s="23">
        <f>(((Table134567891011121314151617343[[#This Row],[DEU]]-VLOOKUP($U$1,A:D,4,))/VLOOKUP($U$1,A:D,4,))*100)+100</f>
        <v/>
      </c>
      <c r="K64" s="23">
        <f>(((Table134567891011121314151617343[[#This Row],[ESP]]-VLOOKUP($U$1,A:E,5,))/VLOOKUP($U$1,A:E,5,))*100)+100</f>
        <v/>
      </c>
      <c r="L64" s="23">
        <f>(((Table134567891011121314151617343[[#This Row],[EA19]]-VLOOKUP($U$1,A:F,6,))/VLOOKUP($U$1,A:F,6,))*100)+100</f>
        <v/>
      </c>
      <c r="M64" s="23">
        <f>(((Table134567891011121314151617343[[#This Row],[GBR]]-VLOOKUP($U$1,A:G,7,))/VLOOKUP($U$1,A:G,7,))*100)+100</f>
        <v/>
      </c>
      <c r="N64" s="23">
        <f>VLOOKUP(A64,Database!$E:$AY,MATCH($N$1,Database!$E$1:$AY$1,0),FALSE)</f>
        <v/>
      </c>
      <c r="O64" s="23">
        <f>(((Table134567891011121314151617343[[#This Row],[USA]]-VLOOKUP($U$1,A:N,14,))/VLOOKUP($U$1,A:N,14,))*100)+100</f>
        <v/>
      </c>
      <c r="P64" s="23">
        <f>VLOOKUP(A64,Database!$E:$AY,MATCH($P$1,Database!$E$1:$AY$1,0),FALSE)</f>
        <v/>
      </c>
      <c r="Q64" s="23">
        <f>(((Table134567891011121314151617343[[#This Row],[JPN]]-VLOOKUP($U$1,A:Q,16,))/VLOOKUP($U$1,A:Q,16,))*100)+100</f>
        <v/>
      </c>
    </row>
    <row r="65" customFormat="1" s="100">
      <c r="A65" s="22" t="n">
        <v>34790</v>
      </c>
      <c r="B65" s="23">
        <f>VLOOKUP(A65,Database!$E:$AY,MATCH($B$1,Database!$E$1:$AY$1,0),FALSE)</f>
        <v/>
      </c>
      <c r="C65" s="23">
        <f>VLOOKUP(A65,Database!$E:$AY,MATCH($C$1,Database!$E$1:$AY$1,0),FALSE)</f>
        <v/>
      </c>
      <c r="D65" s="23">
        <f>VLOOKUP(A65,Database!$E:$AY,MATCH($D$1,Database!$E$1:$AY$1,0),FALSE)</f>
        <v/>
      </c>
      <c r="E65" s="23">
        <f>VLOOKUP(A65,Database!$E:$AY,MATCH($E$1,Database!$E$1:$AY$1,0),FALSE)</f>
        <v/>
      </c>
      <c r="F65" s="23">
        <f>VLOOKUP(A65,Database!$E:$AY,MATCH($F$1,Database!$E$1:$AY$1,0),FALSE)</f>
        <v/>
      </c>
      <c r="G65" s="23">
        <f>VLOOKUP(A65,Database!$E:$AY,MATCH($G$1,Database!$E$1:$AY$1,0),FALSE)</f>
        <v/>
      </c>
      <c r="H65" s="23">
        <f>(((Table134567891011121314151617343[[#This Row],[ITA]]-VLOOKUP($U$1,A:B,2,))/VLOOKUP($U$1,A:B,2,))*100)+100</f>
        <v/>
      </c>
      <c r="I65" s="23">
        <f>(((Table134567891011121314151617343[[#This Row],[FRA]]-VLOOKUP($U$1,A:C,3,))/VLOOKUP($U$1,A:C,3,))*100)+100</f>
        <v/>
      </c>
      <c r="J65" s="23">
        <f>(((Table134567891011121314151617343[[#This Row],[DEU]]-VLOOKUP($U$1,A:D,4,))/VLOOKUP($U$1,A:D,4,))*100)+100</f>
        <v/>
      </c>
      <c r="K65" s="23">
        <f>(((Table134567891011121314151617343[[#This Row],[ESP]]-VLOOKUP($U$1,A:E,5,))/VLOOKUP($U$1,A:E,5,))*100)+100</f>
        <v/>
      </c>
      <c r="L65" s="23">
        <f>(((Table134567891011121314151617343[[#This Row],[EA19]]-VLOOKUP($U$1,A:F,6,))/VLOOKUP($U$1,A:F,6,))*100)+100</f>
        <v/>
      </c>
      <c r="M65" s="23">
        <f>(((Table134567891011121314151617343[[#This Row],[GBR]]-VLOOKUP($U$1,A:G,7,))/VLOOKUP($U$1,A:G,7,))*100)+100</f>
        <v/>
      </c>
      <c r="N65" s="23">
        <f>VLOOKUP(A65,Database!$E:$AY,MATCH($N$1,Database!$E$1:$AY$1,0),FALSE)</f>
        <v/>
      </c>
      <c r="O65" s="23">
        <f>(((Table134567891011121314151617343[[#This Row],[USA]]-VLOOKUP($U$1,A:N,14,))/VLOOKUP($U$1,A:N,14,))*100)+100</f>
        <v/>
      </c>
      <c r="P65" s="23">
        <f>VLOOKUP(A65,Database!$E:$AY,MATCH($P$1,Database!$E$1:$AY$1,0),FALSE)</f>
        <v/>
      </c>
      <c r="Q65" s="23">
        <f>(((Table134567891011121314151617343[[#This Row],[JPN]]-VLOOKUP($U$1,A:Q,16,))/VLOOKUP($U$1,A:Q,16,))*100)+100</f>
        <v/>
      </c>
    </row>
    <row r="66" customFormat="1" s="100">
      <c r="A66" s="22" t="n">
        <v>34820</v>
      </c>
      <c r="B66" s="23">
        <f>VLOOKUP(A66,Database!$E:$AY,MATCH($B$1,Database!$E$1:$AY$1,0),FALSE)</f>
        <v/>
      </c>
      <c r="C66" s="23">
        <f>VLOOKUP(A66,Database!$E:$AY,MATCH($C$1,Database!$E$1:$AY$1,0),FALSE)</f>
        <v/>
      </c>
      <c r="D66" s="23">
        <f>VLOOKUP(A66,Database!$E:$AY,MATCH($D$1,Database!$E$1:$AY$1,0),FALSE)</f>
        <v/>
      </c>
      <c r="E66" s="23">
        <f>VLOOKUP(A66,Database!$E:$AY,MATCH($E$1,Database!$E$1:$AY$1,0),FALSE)</f>
        <v/>
      </c>
      <c r="F66" s="23">
        <f>VLOOKUP(A66,Database!$E:$AY,MATCH($F$1,Database!$E$1:$AY$1,0),FALSE)</f>
        <v/>
      </c>
      <c r="G66" s="23">
        <f>VLOOKUP(A66,Database!$E:$AY,MATCH($G$1,Database!$E$1:$AY$1,0),FALSE)</f>
        <v/>
      </c>
      <c r="H66" s="23">
        <f>(((Table134567891011121314151617343[[#This Row],[ITA]]-VLOOKUP($U$1,A:B,2,))/VLOOKUP($U$1,A:B,2,))*100)+100</f>
        <v/>
      </c>
      <c r="I66" s="23">
        <f>(((Table134567891011121314151617343[[#This Row],[FRA]]-VLOOKUP($U$1,A:C,3,))/VLOOKUP($U$1,A:C,3,))*100)+100</f>
        <v/>
      </c>
      <c r="J66" s="23">
        <f>(((Table134567891011121314151617343[[#This Row],[DEU]]-VLOOKUP($U$1,A:D,4,))/VLOOKUP($U$1,A:D,4,))*100)+100</f>
        <v/>
      </c>
      <c r="K66" s="23">
        <f>(((Table134567891011121314151617343[[#This Row],[ESP]]-VLOOKUP($U$1,A:E,5,))/VLOOKUP($U$1,A:E,5,))*100)+100</f>
        <v/>
      </c>
      <c r="L66" s="23">
        <f>(((Table134567891011121314151617343[[#This Row],[EA19]]-VLOOKUP($U$1,A:F,6,))/VLOOKUP($U$1,A:F,6,))*100)+100</f>
        <v/>
      </c>
      <c r="M66" s="23">
        <f>(((Table134567891011121314151617343[[#This Row],[GBR]]-VLOOKUP($U$1,A:G,7,))/VLOOKUP($U$1,A:G,7,))*100)+100</f>
        <v/>
      </c>
      <c r="N66" s="23">
        <f>VLOOKUP(A66,Database!$E:$AY,MATCH($N$1,Database!$E$1:$AY$1,0),FALSE)</f>
        <v/>
      </c>
      <c r="O66" s="23">
        <f>(((Table134567891011121314151617343[[#This Row],[USA]]-VLOOKUP($U$1,A:N,14,))/VLOOKUP($U$1,A:N,14,))*100)+100</f>
        <v/>
      </c>
      <c r="P66" s="23">
        <f>VLOOKUP(A66,Database!$E:$AY,MATCH($P$1,Database!$E$1:$AY$1,0),FALSE)</f>
        <v/>
      </c>
      <c r="Q66" s="23">
        <f>(((Table134567891011121314151617343[[#This Row],[JPN]]-VLOOKUP($U$1,A:Q,16,))/VLOOKUP($U$1,A:Q,16,))*100)+100</f>
        <v/>
      </c>
    </row>
    <row r="67" customFormat="1" s="100">
      <c r="A67" s="22" t="n">
        <v>34851</v>
      </c>
      <c r="B67" s="23">
        <f>VLOOKUP(A67,Database!$E:$AY,MATCH($B$1,Database!$E$1:$AY$1,0),FALSE)</f>
        <v/>
      </c>
      <c r="C67" s="23">
        <f>VLOOKUP(A67,Database!$E:$AY,MATCH($C$1,Database!$E$1:$AY$1,0),FALSE)</f>
        <v/>
      </c>
      <c r="D67" s="23">
        <f>VLOOKUP(A67,Database!$E:$AY,MATCH($D$1,Database!$E$1:$AY$1,0),FALSE)</f>
        <v/>
      </c>
      <c r="E67" s="23">
        <f>VLOOKUP(A67,Database!$E:$AY,MATCH($E$1,Database!$E$1:$AY$1,0),FALSE)</f>
        <v/>
      </c>
      <c r="F67" s="23">
        <f>VLOOKUP(A67,Database!$E:$AY,MATCH($F$1,Database!$E$1:$AY$1,0),FALSE)</f>
        <v/>
      </c>
      <c r="G67" s="23">
        <f>VLOOKUP(A67,Database!$E:$AY,MATCH($G$1,Database!$E$1:$AY$1,0),FALSE)</f>
        <v/>
      </c>
      <c r="H67" s="23">
        <f>(((Table134567891011121314151617343[[#This Row],[ITA]]-VLOOKUP($U$1,A:B,2,))/VLOOKUP($U$1,A:B,2,))*100)+100</f>
        <v/>
      </c>
      <c r="I67" s="23">
        <f>(((Table134567891011121314151617343[[#This Row],[FRA]]-VLOOKUP($U$1,A:C,3,))/VLOOKUP($U$1,A:C,3,))*100)+100</f>
        <v/>
      </c>
      <c r="J67" s="23">
        <f>(((Table134567891011121314151617343[[#This Row],[DEU]]-VLOOKUP($U$1,A:D,4,))/VLOOKUP($U$1,A:D,4,))*100)+100</f>
        <v/>
      </c>
      <c r="K67" s="23">
        <f>(((Table134567891011121314151617343[[#This Row],[ESP]]-VLOOKUP($U$1,A:E,5,))/VLOOKUP($U$1,A:E,5,))*100)+100</f>
        <v/>
      </c>
      <c r="L67" s="23">
        <f>(((Table134567891011121314151617343[[#This Row],[EA19]]-VLOOKUP($U$1,A:F,6,))/VLOOKUP($U$1,A:F,6,))*100)+100</f>
        <v/>
      </c>
      <c r="M67" s="23">
        <f>(((Table134567891011121314151617343[[#This Row],[GBR]]-VLOOKUP($U$1,A:G,7,))/VLOOKUP($U$1,A:G,7,))*100)+100</f>
        <v/>
      </c>
      <c r="N67" s="23">
        <f>VLOOKUP(A67,Database!$E:$AY,MATCH($N$1,Database!$E$1:$AY$1,0),FALSE)</f>
        <v/>
      </c>
      <c r="O67" s="23">
        <f>(((Table134567891011121314151617343[[#This Row],[USA]]-VLOOKUP($U$1,A:N,14,))/VLOOKUP($U$1,A:N,14,))*100)+100</f>
        <v/>
      </c>
      <c r="P67" s="23">
        <f>VLOOKUP(A67,Database!$E:$AY,MATCH($P$1,Database!$E$1:$AY$1,0),FALSE)</f>
        <v/>
      </c>
      <c r="Q67" s="23">
        <f>(((Table134567891011121314151617343[[#This Row],[JPN]]-VLOOKUP($U$1,A:Q,16,))/VLOOKUP($U$1,A:Q,16,))*100)+100</f>
        <v/>
      </c>
    </row>
    <row r="68" customFormat="1" s="100">
      <c r="A68" s="22" t="n">
        <v>34881</v>
      </c>
      <c r="B68" s="23">
        <f>VLOOKUP(A68,Database!$E:$AY,MATCH($B$1,Database!$E$1:$AY$1,0),FALSE)</f>
        <v/>
      </c>
      <c r="C68" s="23">
        <f>VLOOKUP(A68,Database!$E:$AY,MATCH($C$1,Database!$E$1:$AY$1,0),FALSE)</f>
        <v/>
      </c>
      <c r="D68" s="23">
        <f>VLOOKUP(A68,Database!$E:$AY,MATCH($D$1,Database!$E$1:$AY$1,0),FALSE)</f>
        <v/>
      </c>
      <c r="E68" s="23">
        <f>VLOOKUP(A68,Database!$E:$AY,MATCH($E$1,Database!$E$1:$AY$1,0),FALSE)</f>
        <v/>
      </c>
      <c r="F68" s="23">
        <f>VLOOKUP(A68,Database!$E:$AY,MATCH($F$1,Database!$E$1:$AY$1,0),FALSE)</f>
        <v/>
      </c>
      <c r="G68" s="23">
        <f>VLOOKUP(A68,Database!$E:$AY,MATCH($G$1,Database!$E$1:$AY$1,0),FALSE)</f>
        <v/>
      </c>
      <c r="H68" s="23">
        <f>(((Table134567891011121314151617343[[#This Row],[ITA]]-VLOOKUP($U$1,A:B,2,))/VLOOKUP($U$1,A:B,2,))*100)+100</f>
        <v/>
      </c>
      <c r="I68" s="23">
        <f>(((Table134567891011121314151617343[[#This Row],[FRA]]-VLOOKUP($U$1,A:C,3,))/VLOOKUP($U$1,A:C,3,))*100)+100</f>
        <v/>
      </c>
      <c r="J68" s="23">
        <f>(((Table134567891011121314151617343[[#This Row],[DEU]]-VLOOKUP($U$1,A:D,4,))/VLOOKUP($U$1,A:D,4,))*100)+100</f>
        <v/>
      </c>
      <c r="K68" s="23">
        <f>(((Table134567891011121314151617343[[#This Row],[ESP]]-VLOOKUP($U$1,A:E,5,))/VLOOKUP($U$1,A:E,5,))*100)+100</f>
        <v/>
      </c>
      <c r="L68" s="23">
        <f>(((Table134567891011121314151617343[[#This Row],[EA19]]-VLOOKUP($U$1,A:F,6,))/VLOOKUP($U$1,A:F,6,))*100)+100</f>
        <v/>
      </c>
      <c r="M68" s="23">
        <f>(((Table134567891011121314151617343[[#This Row],[GBR]]-VLOOKUP($U$1,A:G,7,))/VLOOKUP($U$1,A:G,7,))*100)+100</f>
        <v/>
      </c>
      <c r="N68" s="23">
        <f>VLOOKUP(A68,Database!$E:$AY,MATCH($N$1,Database!$E$1:$AY$1,0),FALSE)</f>
        <v/>
      </c>
      <c r="O68" s="23">
        <f>(((Table134567891011121314151617343[[#This Row],[USA]]-VLOOKUP($U$1,A:N,14,))/VLOOKUP($U$1,A:N,14,))*100)+100</f>
        <v/>
      </c>
      <c r="P68" s="23">
        <f>VLOOKUP(A68,Database!$E:$AY,MATCH($P$1,Database!$E$1:$AY$1,0),FALSE)</f>
        <v/>
      </c>
      <c r="Q68" s="23">
        <f>(((Table134567891011121314151617343[[#This Row],[JPN]]-VLOOKUP($U$1,A:Q,16,))/VLOOKUP($U$1,A:Q,16,))*100)+100</f>
        <v/>
      </c>
    </row>
    <row r="69" customFormat="1" s="100">
      <c r="A69" s="22" t="n">
        <v>34912</v>
      </c>
      <c r="B69" s="23">
        <f>VLOOKUP(A69,Database!$E:$AY,MATCH($B$1,Database!$E$1:$AY$1,0),FALSE)</f>
        <v/>
      </c>
      <c r="C69" s="23">
        <f>VLOOKUP(A69,Database!$E:$AY,MATCH($C$1,Database!$E$1:$AY$1,0),FALSE)</f>
        <v/>
      </c>
      <c r="D69" s="23">
        <f>VLOOKUP(A69,Database!$E:$AY,MATCH($D$1,Database!$E$1:$AY$1,0),FALSE)</f>
        <v/>
      </c>
      <c r="E69" s="23">
        <f>VLOOKUP(A69,Database!$E:$AY,MATCH($E$1,Database!$E$1:$AY$1,0),FALSE)</f>
        <v/>
      </c>
      <c r="F69" s="23">
        <f>VLOOKUP(A69,Database!$E:$AY,MATCH($F$1,Database!$E$1:$AY$1,0),FALSE)</f>
        <v/>
      </c>
      <c r="G69" s="23">
        <f>VLOOKUP(A69,Database!$E:$AY,MATCH($G$1,Database!$E$1:$AY$1,0),FALSE)</f>
        <v/>
      </c>
      <c r="H69" s="23">
        <f>(((Table134567891011121314151617343[[#This Row],[ITA]]-VLOOKUP($U$1,A:B,2,))/VLOOKUP($U$1,A:B,2,))*100)+100</f>
        <v/>
      </c>
      <c r="I69" s="23">
        <f>(((Table134567891011121314151617343[[#This Row],[FRA]]-VLOOKUP($U$1,A:C,3,))/VLOOKUP($U$1,A:C,3,))*100)+100</f>
        <v/>
      </c>
      <c r="J69" s="23">
        <f>(((Table134567891011121314151617343[[#This Row],[DEU]]-VLOOKUP($U$1,A:D,4,))/VLOOKUP($U$1,A:D,4,))*100)+100</f>
        <v/>
      </c>
      <c r="K69" s="23">
        <f>(((Table134567891011121314151617343[[#This Row],[ESP]]-VLOOKUP($U$1,A:E,5,))/VLOOKUP($U$1,A:E,5,))*100)+100</f>
        <v/>
      </c>
      <c r="L69" s="23">
        <f>(((Table134567891011121314151617343[[#This Row],[EA19]]-VLOOKUP($U$1,A:F,6,))/VLOOKUP($U$1,A:F,6,))*100)+100</f>
        <v/>
      </c>
      <c r="M69" s="23">
        <f>(((Table134567891011121314151617343[[#This Row],[GBR]]-VLOOKUP($U$1,A:G,7,))/VLOOKUP($U$1,A:G,7,))*100)+100</f>
        <v/>
      </c>
      <c r="N69" s="23">
        <f>VLOOKUP(A69,Database!$E:$AY,MATCH($N$1,Database!$E$1:$AY$1,0),FALSE)</f>
        <v/>
      </c>
      <c r="O69" s="23">
        <f>(((Table134567891011121314151617343[[#This Row],[USA]]-VLOOKUP($U$1,A:N,14,))/VLOOKUP($U$1,A:N,14,))*100)+100</f>
        <v/>
      </c>
      <c r="P69" s="23">
        <f>VLOOKUP(A69,Database!$E:$AY,MATCH($P$1,Database!$E$1:$AY$1,0),FALSE)</f>
        <v/>
      </c>
      <c r="Q69" s="23">
        <f>(((Table134567891011121314151617343[[#This Row],[JPN]]-VLOOKUP($U$1,A:Q,16,))/VLOOKUP($U$1,A:Q,16,))*100)+100</f>
        <v/>
      </c>
    </row>
    <row r="70" customFormat="1" s="100">
      <c r="A70" s="22" t="n">
        <v>34943</v>
      </c>
      <c r="B70" s="23">
        <f>VLOOKUP(A70,Database!$E:$AY,MATCH($B$1,Database!$E$1:$AY$1,0),FALSE)</f>
        <v/>
      </c>
      <c r="C70" s="23">
        <f>VLOOKUP(A70,Database!$E:$AY,MATCH($C$1,Database!$E$1:$AY$1,0),FALSE)</f>
        <v/>
      </c>
      <c r="D70" s="23">
        <f>VLOOKUP(A70,Database!$E:$AY,MATCH($D$1,Database!$E$1:$AY$1,0),FALSE)</f>
        <v/>
      </c>
      <c r="E70" s="23">
        <f>VLOOKUP(A70,Database!$E:$AY,MATCH($E$1,Database!$E$1:$AY$1,0),FALSE)</f>
        <v/>
      </c>
      <c r="F70" s="23">
        <f>VLOOKUP(A70,Database!$E:$AY,MATCH($F$1,Database!$E$1:$AY$1,0),FALSE)</f>
        <v/>
      </c>
      <c r="G70" s="23">
        <f>VLOOKUP(A70,Database!$E:$AY,MATCH($G$1,Database!$E$1:$AY$1,0),FALSE)</f>
        <v/>
      </c>
      <c r="H70" s="23">
        <f>(((Table134567891011121314151617343[[#This Row],[ITA]]-VLOOKUP($U$1,A:B,2,))/VLOOKUP($U$1,A:B,2,))*100)+100</f>
        <v/>
      </c>
      <c r="I70" s="23">
        <f>(((Table134567891011121314151617343[[#This Row],[FRA]]-VLOOKUP($U$1,A:C,3,))/VLOOKUP($U$1,A:C,3,))*100)+100</f>
        <v/>
      </c>
      <c r="J70" s="23">
        <f>(((Table134567891011121314151617343[[#This Row],[DEU]]-VLOOKUP($U$1,A:D,4,))/VLOOKUP($U$1,A:D,4,))*100)+100</f>
        <v/>
      </c>
      <c r="K70" s="23">
        <f>(((Table134567891011121314151617343[[#This Row],[ESP]]-VLOOKUP($U$1,A:E,5,))/VLOOKUP($U$1,A:E,5,))*100)+100</f>
        <v/>
      </c>
      <c r="L70" s="23">
        <f>(((Table134567891011121314151617343[[#This Row],[EA19]]-VLOOKUP($U$1,A:F,6,))/VLOOKUP($U$1,A:F,6,))*100)+100</f>
        <v/>
      </c>
      <c r="M70" s="23">
        <f>(((Table134567891011121314151617343[[#This Row],[GBR]]-VLOOKUP($U$1,A:G,7,))/VLOOKUP($U$1,A:G,7,))*100)+100</f>
        <v/>
      </c>
      <c r="N70" s="23">
        <f>VLOOKUP(A70,Database!$E:$AY,MATCH($N$1,Database!$E$1:$AY$1,0),FALSE)</f>
        <v/>
      </c>
      <c r="O70" s="23">
        <f>(((Table134567891011121314151617343[[#This Row],[USA]]-VLOOKUP($U$1,A:N,14,))/VLOOKUP($U$1,A:N,14,))*100)+100</f>
        <v/>
      </c>
      <c r="P70" s="23">
        <f>VLOOKUP(A70,Database!$E:$AY,MATCH($P$1,Database!$E$1:$AY$1,0),FALSE)</f>
        <v/>
      </c>
      <c r="Q70" s="23">
        <f>(((Table134567891011121314151617343[[#This Row],[JPN]]-VLOOKUP($U$1,A:Q,16,))/VLOOKUP($U$1,A:Q,16,))*100)+100</f>
        <v/>
      </c>
    </row>
    <row r="71" customFormat="1" s="100">
      <c r="A71" s="22" t="n">
        <v>34973</v>
      </c>
      <c r="B71" s="23">
        <f>VLOOKUP(A71,Database!$E:$AY,MATCH($B$1,Database!$E$1:$AY$1,0),FALSE)</f>
        <v/>
      </c>
      <c r="C71" s="23">
        <f>VLOOKUP(A71,Database!$E:$AY,MATCH($C$1,Database!$E$1:$AY$1,0),FALSE)</f>
        <v/>
      </c>
      <c r="D71" s="23">
        <f>VLOOKUP(A71,Database!$E:$AY,MATCH($D$1,Database!$E$1:$AY$1,0),FALSE)</f>
        <v/>
      </c>
      <c r="E71" s="23">
        <f>VLOOKUP(A71,Database!$E:$AY,MATCH($E$1,Database!$E$1:$AY$1,0),FALSE)</f>
        <v/>
      </c>
      <c r="F71" s="23">
        <f>VLOOKUP(A71,Database!$E:$AY,MATCH($F$1,Database!$E$1:$AY$1,0),FALSE)</f>
        <v/>
      </c>
      <c r="G71" s="23">
        <f>VLOOKUP(A71,Database!$E:$AY,MATCH($G$1,Database!$E$1:$AY$1,0),FALSE)</f>
        <v/>
      </c>
      <c r="H71" s="23">
        <f>(((Table134567891011121314151617343[[#This Row],[ITA]]-VLOOKUP($U$1,A:B,2,))/VLOOKUP($U$1,A:B,2,))*100)+100</f>
        <v/>
      </c>
      <c r="I71" s="23">
        <f>(((Table134567891011121314151617343[[#This Row],[FRA]]-VLOOKUP($U$1,A:C,3,))/VLOOKUP($U$1,A:C,3,))*100)+100</f>
        <v/>
      </c>
      <c r="J71" s="23">
        <f>(((Table134567891011121314151617343[[#This Row],[DEU]]-VLOOKUP($U$1,A:D,4,))/VLOOKUP($U$1,A:D,4,))*100)+100</f>
        <v/>
      </c>
      <c r="K71" s="23">
        <f>(((Table134567891011121314151617343[[#This Row],[ESP]]-VLOOKUP($U$1,A:E,5,))/VLOOKUP($U$1,A:E,5,))*100)+100</f>
        <v/>
      </c>
      <c r="L71" s="23">
        <f>(((Table134567891011121314151617343[[#This Row],[EA19]]-VLOOKUP($U$1,A:F,6,))/VLOOKUP($U$1,A:F,6,))*100)+100</f>
        <v/>
      </c>
      <c r="M71" s="23">
        <f>(((Table134567891011121314151617343[[#This Row],[GBR]]-VLOOKUP($U$1,A:G,7,))/VLOOKUP($U$1,A:G,7,))*100)+100</f>
        <v/>
      </c>
      <c r="N71" s="23">
        <f>VLOOKUP(A71,Database!$E:$AY,MATCH($N$1,Database!$E$1:$AY$1,0),FALSE)</f>
        <v/>
      </c>
      <c r="O71" s="23">
        <f>(((Table134567891011121314151617343[[#This Row],[USA]]-VLOOKUP($U$1,A:N,14,))/VLOOKUP($U$1,A:N,14,))*100)+100</f>
        <v/>
      </c>
      <c r="P71" s="23">
        <f>VLOOKUP(A71,Database!$E:$AY,MATCH($P$1,Database!$E$1:$AY$1,0),FALSE)</f>
        <v/>
      </c>
      <c r="Q71" s="23">
        <f>(((Table134567891011121314151617343[[#This Row],[JPN]]-VLOOKUP($U$1,A:Q,16,))/VLOOKUP($U$1,A:Q,16,))*100)+100</f>
        <v/>
      </c>
    </row>
    <row r="72" customFormat="1" s="100">
      <c r="A72" s="22" t="n">
        <v>35004</v>
      </c>
      <c r="B72" s="23">
        <f>VLOOKUP(A72,Database!$E:$AY,MATCH($B$1,Database!$E$1:$AY$1,0),FALSE)</f>
        <v/>
      </c>
      <c r="C72" s="23">
        <f>VLOOKUP(A72,Database!$E:$AY,MATCH($C$1,Database!$E$1:$AY$1,0),FALSE)</f>
        <v/>
      </c>
      <c r="D72" s="23">
        <f>VLOOKUP(A72,Database!$E:$AY,MATCH($D$1,Database!$E$1:$AY$1,0),FALSE)</f>
        <v/>
      </c>
      <c r="E72" s="23">
        <f>VLOOKUP(A72,Database!$E:$AY,MATCH($E$1,Database!$E$1:$AY$1,0),FALSE)</f>
        <v/>
      </c>
      <c r="F72" s="23">
        <f>VLOOKUP(A72,Database!$E:$AY,MATCH($F$1,Database!$E$1:$AY$1,0),FALSE)</f>
        <v/>
      </c>
      <c r="G72" s="23">
        <f>VLOOKUP(A72,Database!$E:$AY,MATCH($G$1,Database!$E$1:$AY$1,0),FALSE)</f>
        <v/>
      </c>
      <c r="H72" s="23">
        <f>(((Table134567891011121314151617343[[#This Row],[ITA]]-VLOOKUP($U$1,A:B,2,))/VLOOKUP($U$1,A:B,2,))*100)+100</f>
        <v/>
      </c>
      <c r="I72" s="23">
        <f>(((Table134567891011121314151617343[[#This Row],[FRA]]-VLOOKUP($U$1,A:C,3,))/VLOOKUP($U$1,A:C,3,))*100)+100</f>
        <v/>
      </c>
      <c r="J72" s="23">
        <f>(((Table134567891011121314151617343[[#This Row],[DEU]]-VLOOKUP($U$1,A:D,4,))/VLOOKUP($U$1,A:D,4,))*100)+100</f>
        <v/>
      </c>
      <c r="K72" s="23">
        <f>(((Table134567891011121314151617343[[#This Row],[ESP]]-VLOOKUP($U$1,A:E,5,))/VLOOKUP($U$1,A:E,5,))*100)+100</f>
        <v/>
      </c>
      <c r="L72" s="23">
        <f>(((Table134567891011121314151617343[[#This Row],[EA19]]-VLOOKUP($U$1,A:F,6,))/VLOOKUP($U$1,A:F,6,))*100)+100</f>
        <v/>
      </c>
      <c r="M72" s="23">
        <f>(((Table134567891011121314151617343[[#This Row],[GBR]]-VLOOKUP($U$1,A:G,7,))/VLOOKUP($U$1,A:G,7,))*100)+100</f>
        <v/>
      </c>
      <c r="N72" s="23">
        <f>VLOOKUP(A72,Database!$E:$AY,MATCH($N$1,Database!$E$1:$AY$1,0),FALSE)</f>
        <v/>
      </c>
      <c r="O72" s="23">
        <f>(((Table134567891011121314151617343[[#This Row],[USA]]-VLOOKUP($U$1,A:N,14,))/VLOOKUP($U$1,A:N,14,))*100)+100</f>
        <v/>
      </c>
      <c r="P72" s="23">
        <f>VLOOKUP(A72,Database!$E:$AY,MATCH($P$1,Database!$E$1:$AY$1,0),FALSE)</f>
        <v/>
      </c>
      <c r="Q72" s="23">
        <f>(((Table134567891011121314151617343[[#This Row],[JPN]]-VLOOKUP($U$1,A:Q,16,))/VLOOKUP($U$1,A:Q,16,))*100)+100</f>
        <v/>
      </c>
    </row>
    <row r="73" customFormat="1" s="100">
      <c r="A73" s="22" t="n">
        <v>35034</v>
      </c>
      <c r="B73" s="23">
        <f>VLOOKUP(A73,Database!$E:$AY,MATCH($B$1,Database!$E$1:$AY$1,0),FALSE)</f>
        <v/>
      </c>
      <c r="C73" s="23">
        <f>VLOOKUP(A73,Database!$E:$AY,MATCH($C$1,Database!$E$1:$AY$1,0),FALSE)</f>
        <v/>
      </c>
      <c r="D73" s="23">
        <f>VLOOKUP(A73,Database!$E:$AY,MATCH($D$1,Database!$E$1:$AY$1,0),FALSE)</f>
        <v/>
      </c>
      <c r="E73" s="23">
        <f>VLOOKUP(A73,Database!$E:$AY,MATCH($E$1,Database!$E$1:$AY$1,0),FALSE)</f>
        <v/>
      </c>
      <c r="F73" s="23">
        <f>VLOOKUP(A73,Database!$E:$AY,MATCH($F$1,Database!$E$1:$AY$1,0),FALSE)</f>
        <v/>
      </c>
      <c r="G73" s="23">
        <f>VLOOKUP(A73,Database!$E:$AY,MATCH($G$1,Database!$E$1:$AY$1,0),FALSE)</f>
        <v/>
      </c>
      <c r="H73" s="23">
        <f>(((Table134567891011121314151617343[[#This Row],[ITA]]-VLOOKUP($U$1,A:B,2,))/VLOOKUP($U$1,A:B,2,))*100)+100</f>
        <v/>
      </c>
      <c r="I73" s="23">
        <f>(((Table134567891011121314151617343[[#This Row],[FRA]]-VLOOKUP($U$1,A:C,3,))/VLOOKUP($U$1,A:C,3,))*100)+100</f>
        <v/>
      </c>
      <c r="J73" s="23">
        <f>(((Table134567891011121314151617343[[#This Row],[DEU]]-VLOOKUP($U$1,A:D,4,))/VLOOKUP($U$1,A:D,4,))*100)+100</f>
        <v/>
      </c>
      <c r="K73" s="23">
        <f>(((Table134567891011121314151617343[[#This Row],[ESP]]-VLOOKUP($U$1,A:E,5,))/VLOOKUP($U$1,A:E,5,))*100)+100</f>
        <v/>
      </c>
      <c r="L73" s="23">
        <f>(((Table134567891011121314151617343[[#This Row],[EA19]]-VLOOKUP($U$1,A:F,6,))/VLOOKUP($U$1,A:F,6,))*100)+100</f>
        <v/>
      </c>
      <c r="M73" s="23">
        <f>(((Table134567891011121314151617343[[#This Row],[GBR]]-VLOOKUP($U$1,A:G,7,))/VLOOKUP($U$1,A:G,7,))*100)+100</f>
        <v/>
      </c>
      <c r="N73" s="23">
        <f>VLOOKUP(A73,Database!$E:$AY,MATCH($N$1,Database!$E$1:$AY$1,0),FALSE)</f>
        <v/>
      </c>
      <c r="O73" s="23">
        <f>(((Table134567891011121314151617343[[#This Row],[USA]]-VLOOKUP($U$1,A:N,14,))/VLOOKUP($U$1,A:N,14,))*100)+100</f>
        <v/>
      </c>
      <c r="P73" s="23">
        <f>VLOOKUP(A73,Database!$E:$AY,MATCH($P$1,Database!$E$1:$AY$1,0),FALSE)</f>
        <v/>
      </c>
      <c r="Q73" s="23">
        <f>(((Table134567891011121314151617343[[#This Row],[JPN]]-VLOOKUP($U$1,A:Q,16,))/VLOOKUP($U$1,A:Q,16,))*100)+100</f>
        <v/>
      </c>
    </row>
    <row r="74" customFormat="1" s="100">
      <c r="A74" s="22" t="n">
        <v>35065</v>
      </c>
      <c r="B74" s="23">
        <f>VLOOKUP(A74,Database!$E:$AY,MATCH($B$1,Database!$E$1:$AY$1,0),FALSE)</f>
        <v/>
      </c>
      <c r="C74" s="23">
        <f>VLOOKUP(A74,Database!$E:$AY,MATCH($C$1,Database!$E$1:$AY$1,0),FALSE)</f>
        <v/>
      </c>
      <c r="D74" s="23">
        <f>VLOOKUP(A74,Database!$E:$AY,MATCH($D$1,Database!$E$1:$AY$1,0),FALSE)</f>
        <v/>
      </c>
      <c r="E74" s="23">
        <f>VLOOKUP(A74,Database!$E:$AY,MATCH($E$1,Database!$E$1:$AY$1,0),FALSE)</f>
        <v/>
      </c>
      <c r="F74" s="23">
        <f>VLOOKUP(A74,Database!$E:$AY,MATCH($F$1,Database!$E$1:$AY$1,0),FALSE)</f>
        <v/>
      </c>
      <c r="G74" s="23">
        <f>VLOOKUP(A74,Database!$E:$AY,MATCH($G$1,Database!$E$1:$AY$1,0),FALSE)</f>
        <v/>
      </c>
      <c r="H74" s="23">
        <f>(((Table134567891011121314151617343[[#This Row],[ITA]]-VLOOKUP($U$1,A:B,2,))/VLOOKUP($U$1,A:B,2,))*100)+100</f>
        <v/>
      </c>
      <c r="I74" s="23">
        <f>(((Table134567891011121314151617343[[#This Row],[FRA]]-VLOOKUP($U$1,A:C,3,))/VLOOKUP($U$1,A:C,3,))*100)+100</f>
        <v/>
      </c>
      <c r="J74" s="23">
        <f>(((Table134567891011121314151617343[[#This Row],[DEU]]-VLOOKUP($U$1,A:D,4,))/VLOOKUP($U$1,A:D,4,))*100)+100</f>
        <v/>
      </c>
      <c r="K74" s="23">
        <f>(((Table134567891011121314151617343[[#This Row],[ESP]]-VLOOKUP($U$1,A:E,5,))/VLOOKUP($U$1,A:E,5,))*100)+100</f>
        <v/>
      </c>
      <c r="L74" s="23">
        <f>(((Table134567891011121314151617343[[#This Row],[EA19]]-VLOOKUP($U$1,A:F,6,))/VLOOKUP($U$1,A:F,6,))*100)+100</f>
        <v/>
      </c>
      <c r="M74" s="23">
        <f>(((Table134567891011121314151617343[[#This Row],[GBR]]-VLOOKUP($U$1,A:G,7,))/VLOOKUP($U$1,A:G,7,))*100)+100</f>
        <v/>
      </c>
      <c r="N74" s="23">
        <f>VLOOKUP(A74,Database!$E:$AY,MATCH($N$1,Database!$E$1:$AY$1,0),FALSE)</f>
        <v/>
      </c>
      <c r="O74" s="23">
        <f>(((Table134567891011121314151617343[[#This Row],[USA]]-VLOOKUP($U$1,A:N,14,))/VLOOKUP($U$1,A:N,14,))*100)+100</f>
        <v/>
      </c>
      <c r="P74" s="23">
        <f>VLOOKUP(A74,Database!$E:$AY,MATCH($P$1,Database!$E$1:$AY$1,0),FALSE)</f>
        <v/>
      </c>
      <c r="Q74" s="23">
        <f>(((Table134567891011121314151617343[[#This Row],[JPN]]-VLOOKUP($U$1,A:Q,16,))/VLOOKUP($U$1,A:Q,16,))*100)+100</f>
        <v/>
      </c>
    </row>
    <row r="75" customFormat="1" s="100">
      <c r="A75" s="22" t="n">
        <v>35096</v>
      </c>
      <c r="B75" s="23">
        <f>VLOOKUP(A75,Database!$E:$AY,MATCH($B$1,Database!$E$1:$AY$1,0),FALSE)</f>
        <v/>
      </c>
      <c r="C75" s="23">
        <f>VLOOKUP(A75,Database!$E:$AY,MATCH($C$1,Database!$E$1:$AY$1,0),FALSE)</f>
        <v/>
      </c>
      <c r="D75" s="23">
        <f>VLOOKUP(A75,Database!$E:$AY,MATCH($D$1,Database!$E$1:$AY$1,0),FALSE)</f>
        <v/>
      </c>
      <c r="E75" s="23">
        <f>VLOOKUP(A75,Database!$E:$AY,MATCH($E$1,Database!$E$1:$AY$1,0),FALSE)</f>
        <v/>
      </c>
      <c r="F75" s="23">
        <f>VLOOKUP(A75,Database!$E:$AY,MATCH($F$1,Database!$E$1:$AY$1,0),FALSE)</f>
        <v/>
      </c>
      <c r="G75" s="23">
        <f>VLOOKUP(A75,Database!$E:$AY,MATCH($G$1,Database!$E$1:$AY$1,0),FALSE)</f>
        <v/>
      </c>
      <c r="H75" s="23">
        <f>(((Table134567891011121314151617343[[#This Row],[ITA]]-VLOOKUP($U$1,A:B,2,))/VLOOKUP($U$1,A:B,2,))*100)+100</f>
        <v/>
      </c>
      <c r="I75" s="23">
        <f>(((Table134567891011121314151617343[[#This Row],[FRA]]-VLOOKUP($U$1,A:C,3,))/VLOOKUP($U$1,A:C,3,))*100)+100</f>
        <v/>
      </c>
      <c r="J75" s="23">
        <f>(((Table134567891011121314151617343[[#This Row],[DEU]]-VLOOKUP($U$1,A:D,4,))/VLOOKUP($U$1,A:D,4,))*100)+100</f>
        <v/>
      </c>
      <c r="K75" s="23">
        <f>(((Table134567891011121314151617343[[#This Row],[ESP]]-VLOOKUP($U$1,A:E,5,))/VLOOKUP($U$1,A:E,5,))*100)+100</f>
        <v/>
      </c>
      <c r="L75" s="23">
        <f>(((Table134567891011121314151617343[[#This Row],[EA19]]-VLOOKUP($U$1,A:F,6,))/VLOOKUP($U$1,A:F,6,))*100)+100</f>
        <v/>
      </c>
      <c r="M75" s="23">
        <f>(((Table134567891011121314151617343[[#This Row],[GBR]]-VLOOKUP($U$1,A:G,7,))/VLOOKUP($U$1,A:G,7,))*100)+100</f>
        <v/>
      </c>
      <c r="N75" s="23">
        <f>VLOOKUP(A75,Database!$E:$AY,MATCH($N$1,Database!$E$1:$AY$1,0),FALSE)</f>
        <v/>
      </c>
      <c r="O75" s="23">
        <f>(((Table134567891011121314151617343[[#This Row],[USA]]-VLOOKUP($U$1,A:N,14,))/VLOOKUP($U$1,A:N,14,))*100)+100</f>
        <v/>
      </c>
      <c r="P75" s="23">
        <f>VLOOKUP(A75,Database!$E:$AY,MATCH($P$1,Database!$E$1:$AY$1,0),FALSE)</f>
        <v/>
      </c>
      <c r="Q75" s="23">
        <f>(((Table134567891011121314151617343[[#This Row],[JPN]]-VLOOKUP($U$1,A:Q,16,))/VLOOKUP($U$1,A:Q,16,))*100)+100</f>
        <v/>
      </c>
    </row>
    <row r="76" customFormat="1" s="100">
      <c r="A76" s="22" t="n">
        <v>35125</v>
      </c>
      <c r="B76" s="23">
        <f>VLOOKUP(A76,Database!$E:$AY,MATCH($B$1,Database!$E$1:$AY$1,0),FALSE)</f>
        <v/>
      </c>
      <c r="C76" s="23">
        <f>VLOOKUP(A76,Database!$E:$AY,MATCH($C$1,Database!$E$1:$AY$1,0),FALSE)</f>
        <v/>
      </c>
      <c r="D76" s="23">
        <f>VLOOKUP(A76,Database!$E:$AY,MATCH($D$1,Database!$E$1:$AY$1,0),FALSE)</f>
        <v/>
      </c>
      <c r="E76" s="23">
        <f>VLOOKUP(A76,Database!$E:$AY,MATCH($E$1,Database!$E$1:$AY$1,0),FALSE)</f>
        <v/>
      </c>
      <c r="F76" s="23">
        <f>VLOOKUP(A76,Database!$E:$AY,MATCH($F$1,Database!$E$1:$AY$1,0),FALSE)</f>
        <v/>
      </c>
      <c r="G76" s="23">
        <f>VLOOKUP(A76,Database!$E:$AY,MATCH($G$1,Database!$E$1:$AY$1,0),FALSE)</f>
        <v/>
      </c>
      <c r="H76" s="23">
        <f>(((Table134567891011121314151617343[[#This Row],[ITA]]-VLOOKUP($U$1,A:B,2,))/VLOOKUP($U$1,A:B,2,))*100)+100</f>
        <v/>
      </c>
      <c r="I76" s="23">
        <f>(((Table134567891011121314151617343[[#This Row],[FRA]]-VLOOKUP($U$1,A:C,3,))/VLOOKUP($U$1,A:C,3,))*100)+100</f>
        <v/>
      </c>
      <c r="J76" s="23">
        <f>(((Table134567891011121314151617343[[#This Row],[DEU]]-VLOOKUP($U$1,A:D,4,))/VLOOKUP($U$1,A:D,4,))*100)+100</f>
        <v/>
      </c>
      <c r="K76" s="23">
        <f>(((Table134567891011121314151617343[[#This Row],[ESP]]-VLOOKUP($U$1,A:E,5,))/VLOOKUP($U$1,A:E,5,))*100)+100</f>
        <v/>
      </c>
      <c r="L76" s="23">
        <f>(((Table134567891011121314151617343[[#This Row],[EA19]]-VLOOKUP($U$1,A:F,6,))/VLOOKUP($U$1,A:F,6,))*100)+100</f>
        <v/>
      </c>
      <c r="M76" s="23">
        <f>(((Table134567891011121314151617343[[#This Row],[GBR]]-VLOOKUP($U$1,A:G,7,))/VLOOKUP($U$1,A:G,7,))*100)+100</f>
        <v/>
      </c>
      <c r="N76" s="23">
        <f>VLOOKUP(A76,Database!$E:$AY,MATCH($N$1,Database!$E$1:$AY$1,0),FALSE)</f>
        <v/>
      </c>
      <c r="O76" s="23">
        <f>(((Table134567891011121314151617343[[#This Row],[USA]]-VLOOKUP($U$1,A:N,14,))/VLOOKUP($U$1,A:N,14,))*100)+100</f>
        <v/>
      </c>
      <c r="P76" s="23">
        <f>VLOOKUP(A76,Database!$E:$AY,MATCH($P$1,Database!$E$1:$AY$1,0),FALSE)</f>
        <v/>
      </c>
      <c r="Q76" s="23">
        <f>(((Table134567891011121314151617343[[#This Row],[JPN]]-VLOOKUP($U$1,A:Q,16,))/VLOOKUP($U$1,A:Q,16,))*100)+100</f>
        <v/>
      </c>
    </row>
    <row r="77" customFormat="1" s="100">
      <c r="A77" s="22" t="n">
        <v>35156</v>
      </c>
      <c r="B77" s="23">
        <f>VLOOKUP(A77,Database!$E:$AY,MATCH($B$1,Database!$E$1:$AY$1,0),FALSE)</f>
        <v/>
      </c>
      <c r="C77" s="23">
        <f>VLOOKUP(A77,Database!$E:$AY,MATCH($C$1,Database!$E$1:$AY$1,0),FALSE)</f>
        <v/>
      </c>
      <c r="D77" s="23">
        <f>VLOOKUP(A77,Database!$E:$AY,MATCH($D$1,Database!$E$1:$AY$1,0),FALSE)</f>
        <v/>
      </c>
      <c r="E77" s="23">
        <f>VLOOKUP(A77,Database!$E:$AY,MATCH($E$1,Database!$E$1:$AY$1,0),FALSE)</f>
        <v/>
      </c>
      <c r="F77" s="23">
        <f>VLOOKUP(A77,Database!$E:$AY,MATCH($F$1,Database!$E$1:$AY$1,0),FALSE)</f>
        <v/>
      </c>
      <c r="G77" s="23">
        <f>VLOOKUP(A77,Database!$E:$AY,MATCH($G$1,Database!$E$1:$AY$1,0),FALSE)</f>
        <v/>
      </c>
      <c r="H77" s="23">
        <f>(((Table134567891011121314151617343[[#This Row],[ITA]]-VLOOKUP($U$1,A:B,2,))/VLOOKUP($U$1,A:B,2,))*100)+100</f>
        <v/>
      </c>
      <c r="I77" s="23">
        <f>(((Table134567891011121314151617343[[#This Row],[FRA]]-VLOOKUP($U$1,A:C,3,))/VLOOKUP($U$1,A:C,3,))*100)+100</f>
        <v/>
      </c>
      <c r="J77" s="23">
        <f>(((Table134567891011121314151617343[[#This Row],[DEU]]-VLOOKUP($U$1,A:D,4,))/VLOOKUP($U$1,A:D,4,))*100)+100</f>
        <v/>
      </c>
      <c r="K77" s="23">
        <f>(((Table134567891011121314151617343[[#This Row],[ESP]]-VLOOKUP($U$1,A:E,5,))/VLOOKUP($U$1,A:E,5,))*100)+100</f>
        <v/>
      </c>
      <c r="L77" s="23">
        <f>(((Table134567891011121314151617343[[#This Row],[EA19]]-VLOOKUP($U$1,A:F,6,))/VLOOKUP($U$1,A:F,6,))*100)+100</f>
        <v/>
      </c>
      <c r="M77" s="23">
        <f>(((Table134567891011121314151617343[[#This Row],[GBR]]-VLOOKUP($U$1,A:G,7,))/VLOOKUP($U$1,A:G,7,))*100)+100</f>
        <v/>
      </c>
      <c r="N77" s="23">
        <f>VLOOKUP(A77,Database!$E:$AY,MATCH($N$1,Database!$E$1:$AY$1,0),FALSE)</f>
        <v/>
      </c>
      <c r="O77" s="23">
        <f>(((Table134567891011121314151617343[[#This Row],[USA]]-VLOOKUP($U$1,A:N,14,))/VLOOKUP($U$1,A:N,14,))*100)+100</f>
        <v/>
      </c>
      <c r="P77" s="23">
        <f>VLOOKUP(A77,Database!$E:$AY,MATCH($P$1,Database!$E$1:$AY$1,0),FALSE)</f>
        <v/>
      </c>
      <c r="Q77" s="23">
        <f>(((Table134567891011121314151617343[[#This Row],[JPN]]-VLOOKUP($U$1,A:Q,16,))/VLOOKUP($U$1,A:Q,16,))*100)+100</f>
        <v/>
      </c>
    </row>
    <row r="78" customFormat="1" s="100">
      <c r="A78" s="22" t="n">
        <v>35186</v>
      </c>
      <c r="B78" s="23">
        <f>VLOOKUP(A78,Database!$E:$AY,MATCH($B$1,Database!$E$1:$AY$1,0),FALSE)</f>
        <v/>
      </c>
      <c r="C78" s="23">
        <f>VLOOKUP(A78,Database!$E:$AY,MATCH($C$1,Database!$E$1:$AY$1,0),FALSE)</f>
        <v/>
      </c>
      <c r="D78" s="23">
        <f>VLOOKUP(A78,Database!$E:$AY,MATCH($D$1,Database!$E$1:$AY$1,0),FALSE)</f>
        <v/>
      </c>
      <c r="E78" s="23">
        <f>VLOOKUP(A78,Database!$E:$AY,MATCH($E$1,Database!$E$1:$AY$1,0),FALSE)</f>
        <v/>
      </c>
      <c r="F78" s="23">
        <f>VLOOKUP(A78,Database!$E:$AY,MATCH($F$1,Database!$E$1:$AY$1,0),FALSE)</f>
        <v/>
      </c>
      <c r="G78" s="23">
        <f>VLOOKUP(A78,Database!$E:$AY,MATCH($G$1,Database!$E$1:$AY$1,0),FALSE)</f>
        <v/>
      </c>
      <c r="H78" s="23">
        <f>(((Table134567891011121314151617343[[#This Row],[ITA]]-VLOOKUP($U$1,A:B,2,))/VLOOKUP($U$1,A:B,2,))*100)+100</f>
        <v/>
      </c>
      <c r="I78" s="23">
        <f>(((Table134567891011121314151617343[[#This Row],[FRA]]-VLOOKUP($U$1,A:C,3,))/VLOOKUP($U$1,A:C,3,))*100)+100</f>
        <v/>
      </c>
      <c r="J78" s="23">
        <f>(((Table134567891011121314151617343[[#This Row],[DEU]]-VLOOKUP($U$1,A:D,4,))/VLOOKUP($U$1,A:D,4,))*100)+100</f>
        <v/>
      </c>
      <c r="K78" s="23">
        <f>(((Table134567891011121314151617343[[#This Row],[ESP]]-VLOOKUP($U$1,A:E,5,))/VLOOKUP($U$1,A:E,5,))*100)+100</f>
        <v/>
      </c>
      <c r="L78" s="23">
        <f>(((Table134567891011121314151617343[[#This Row],[EA19]]-VLOOKUP($U$1,A:F,6,))/VLOOKUP($U$1,A:F,6,))*100)+100</f>
        <v/>
      </c>
      <c r="M78" s="23">
        <f>(((Table134567891011121314151617343[[#This Row],[GBR]]-VLOOKUP($U$1,A:G,7,))/VLOOKUP($U$1,A:G,7,))*100)+100</f>
        <v/>
      </c>
      <c r="N78" s="23">
        <f>VLOOKUP(A78,Database!$E:$AY,MATCH($N$1,Database!$E$1:$AY$1,0),FALSE)</f>
        <v/>
      </c>
      <c r="O78" s="23">
        <f>(((Table134567891011121314151617343[[#This Row],[USA]]-VLOOKUP($U$1,A:N,14,))/VLOOKUP($U$1,A:N,14,))*100)+100</f>
        <v/>
      </c>
      <c r="P78" s="23">
        <f>VLOOKUP(A78,Database!$E:$AY,MATCH($P$1,Database!$E$1:$AY$1,0),FALSE)</f>
        <v/>
      </c>
      <c r="Q78" s="23">
        <f>(((Table134567891011121314151617343[[#This Row],[JPN]]-VLOOKUP($U$1,A:Q,16,))/VLOOKUP($U$1,A:Q,16,))*100)+100</f>
        <v/>
      </c>
    </row>
    <row r="79" customFormat="1" s="100">
      <c r="A79" s="22" t="n">
        <v>35217</v>
      </c>
      <c r="B79" s="23">
        <f>VLOOKUP(A79,Database!$E:$AY,MATCH($B$1,Database!$E$1:$AY$1,0),FALSE)</f>
        <v/>
      </c>
      <c r="C79" s="23">
        <f>VLOOKUP(A79,Database!$E:$AY,MATCH($C$1,Database!$E$1:$AY$1,0),FALSE)</f>
        <v/>
      </c>
      <c r="D79" s="23">
        <f>VLOOKUP(A79,Database!$E:$AY,MATCH($D$1,Database!$E$1:$AY$1,0),FALSE)</f>
        <v/>
      </c>
      <c r="E79" s="23">
        <f>VLOOKUP(A79,Database!$E:$AY,MATCH($E$1,Database!$E$1:$AY$1,0),FALSE)</f>
        <v/>
      </c>
      <c r="F79" s="23">
        <f>VLOOKUP(A79,Database!$E:$AY,MATCH($F$1,Database!$E$1:$AY$1,0),FALSE)</f>
        <v/>
      </c>
      <c r="G79" s="23">
        <f>VLOOKUP(A79,Database!$E:$AY,MATCH($G$1,Database!$E$1:$AY$1,0),FALSE)</f>
        <v/>
      </c>
      <c r="H79" s="23">
        <f>(((Table134567891011121314151617343[[#This Row],[ITA]]-VLOOKUP($U$1,A:B,2,))/VLOOKUP($U$1,A:B,2,))*100)+100</f>
        <v/>
      </c>
      <c r="I79" s="23">
        <f>(((Table134567891011121314151617343[[#This Row],[FRA]]-VLOOKUP($U$1,A:C,3,))/VLOOKUP($U$1,A:C,3,))*100)+100</f>
        <v/>
      </c>
      <c r="J79" s="23">
        <f>(((Table134567891011121314151617343[[#This Row],[DEU]]-VLOOKUP($U$1,A:D,4,))/VLOOKUP($U$1,A:D,4,))*100)+100</f>
        <v/>
      </c>
      <c r="K79" s="23">
        <f>(((Table134567891011121314151617343[[#This Row],[ESP]]-VLOOKUP($U$1,A:E,5,))/VLOOKUP($U$1,A:E,5,))*100)+100</f>
        <v/>
      </c>
      <c r="L79" s="23">
        <f>(((Table134567891011121314151617343[[#This Row],[EA19]]-VLOOKUP($U$1,A:F,6,))/VLOOKUP($U$1,A:F,6,))*100)+100</f>
        <v/>
      </c>
      <c r="M79" s="23">
        <f>(((Table134567891011121314151617343[[#This Row],[GBR]]-VLOOKUP($U$1,A:G,7,))/VLOOKUP($U$1,A:G,7,))*100)+100</f>
        <v/>
      </c>
      <c r="N79" s="23">
        <f>VLOOKUP(A79,Database!$E:$AY,MATCH($N$1,Database!$E$1:$AY$1,0),FALSE)</f>
        <v/>
      </c>
      <c r="O79" s="23">
        <f>(((Table134567891011121314151617343[[#This Row],[USA]]-VLOOKUP($U$1,A:N,14,))/VLOOKUP($U$1,A:N,14,))*100)+100</f>
        <v/>
      </c>
      <c r="P79" s="23">
        <f>VLOOKUP(A79,Database!$E:$AY,MATCH($P$1,Database!$E$1:$AY$1,0),FALSE)</f>
        <v/>
      </c>
      <c r="Q79" s="23">
        <f>(((Table134567891011121314151617343[[#This Row],[JPN]]-VLOOKUP($U$1,A:Q,16,))/VLOOKUP($U$1,A:Q,16,))*100)+100</f>
        <v/>
      </c>
    </row>
    <row r="80" customFormat="1" s="100">
      <c r="A80" s="22" t="n">
        <v>35247</v>
      </c>
      <c r="B80" s="23">
        <f>VLOOKUP(A80,Database!$E:$AY,MATCH($B$1,Database!$E$1:$AY$1,0),FALSE)</f>
        <v/>
      </c>
      <c r="C80" s="23">
        <f>VLOOKUP(A80,Database!$E:$AY,MATCH($C$1,Database!$E$1:$AY$1,0),FALSE)</f>
        <v/>
      </c>
      <c r="D80" s="23">
        <f>VLOOKUP(A80,Database!$E:$AY,MATCH($D$1,Database!$E$1:$AY$1,0),FALSE)</f>
        <v/>
      </c>
      <c r="E80" s="23">
        <f>VLOOKUP(A80,Database!$E:$AY,MATCH($E$1,Database!$E$1:$AY$1,0),FALSE)</f>
        <v/>
      </c>
      <c r="F80" s="23">
        <f>VLOOKUP(A80,Database!$E:$AY,MATCH($F$1,Database!$E$1:$AY$1,0),FALSE)</f>
        <v/>
      </c>
      <c r="G80" s="23">
        <f>VLOOKUP(A80,Database!$E:$AY,MATCH($G$1,Database!$E$1:$AY$1,0),FALSE)</f>
        <v/>
      </c>
      <c r="H80" s="23">
        <f>(((Table134567891011121314151617343[[#This Row],[ITA]]-VLOOKUP($U$1,A:B,2,))/VLOOKUP($U$1,A:B,2,))*100)+100</f>
        <v/>
      </c>
      <c r="I80" s="23">
        <f>(((Table134567891011121314151617343[[#This Row],[FRA]]-VLOOKUP($U$1,A:C,3,))/VLOOKUP($U$1,A:C,3,))*100)+100</f>
        <v/>
      </c>
      <c r="J80" s="23">
        <f>(((Table134567891011121314151617343[[#This Row],[DEU]]-VLOOKUP($U$1,A:D,4,))/VLOOKUP($U$1,A:D,4,))*100)+100</f>
        <v/>
      </c>
      <c r="K80" s="23">
        <f>(((Table134567891011121314151617343[[#This Row],[ESP]]-VLOOKUP($U$1,A:E,5,))/VLOOKUP($U$1,A:E,5,))*100)+100</f>
        <v/>
      </c>
      <c r="L80" s="23">
        <f>(((Table134567891011121314151617343[[#This Row],[EA19]]-VLOOKUP($U$1,A:F,6,))/VLOOKUP($U$1,A:F,6,))*100)+100</f>
        <v/>
      </c>
      <c r="M80" s="23">
        <f>(((Table134567891011121314151617343[[#This Row],[GBR]]-VLOOKUP($U$1,A:G,7,))/VLOOKUP($U$1,A:G,7,))*100)+100</f>
        <v/>
      </c>
      <c r="N80" s="23">
        <f>VLOOKUP(A80,Database!$E:$AY,MATCH($N$1,Database!$E$1:$AY$1,0),FALSE)</f>
        <v/>
      </c>
      <c r="O80" s="23">
        <f>(((Table134567891011121314151617343[[#This Row],[USA]]-VLOOKUP($U$1,A:N,14,))/VLOOKUP($U$1,A:N,14,))*100)+100</f>
        <v/>
      </c>
      <c r="P80" s="23">
        <f>VLOOKUP(A80,Database!$E:$AY,MATCH($P$1,Database!$E$1:$AY$1,0),FALSE)</f>
        <v/>
      </c>
      <c r="Q80" s="23">
        <f>(((Table134567891011121314151617343[[#This Row],[JPN]]-VLOOKUP($U$1,A:Q,16,))/VLOOKUP($U$1,A:Q,16,))*100)+100</f>
        <v/>
      </c>
    </row>
    <row r="81" customFormat="1" s="100">
      <c r="A81" s="22" t="n">
        <v>35278</v>
      </c>
      <c r="B81" s="23">
        <f>VLOOKUP(A81,Database!$E:$AY,MATCH($B$1,Database!$E$1:$AY$1,0),FALSE)</f>
        <v/>
      </c>
      <c r="C81" s="23">
        <f>VLOOKUP(A81,Database!$E:$AY,MATCH($C$1,Database!$E$1:$AY$1,0),FALSE)</f>
        <v/>
      </c>
      <c r="D81" s="23">
        <f>VLOOKUP(A81,Database!$E:$AY,MATCH($D$1,Database!$E$1:$AY$1,0),FALSE)</f>
        <v/>
      </c>
      <c r="E81" s="23">
        <f>VLOOKUP(A81,Database!$E:$AY,MATCH($E$1,Database!$E$1:$AY$1,0),FALSE)</f>
        <v/>
      </c>
      <c r="F81" s="23">
        <f>VLOOKUP(A81,Database!$E:$AY,MATCH($F$1,Database!$E$1:$AY$1,0),FALSE)</f>
        <v/>
      </c>
      <c r="G81" s="23">
        <f>VLOOKUP(A81,Database!$E:$AY,MATCH($G$1,Database!$E$1:$AY$1,0),FALSE)</f>
        <v/>
      </c>
      <c r="H81" s="23">
        <f>(((Table134567891011121314151617343[[#This Row],[ITA]]-VLOOKUP($U$1,A:B,2,))/VLOOKUP($U$1,A:B,2,))*100)+100</f>
        <v/>
      </c>
      <c r="I81" s="23">
        <f>(((Table134567891011121314151617343[[#This Row],[FRA]]-VLOOKUP($U$1,A:C,3,))/VLOOKUP($U$1,A:C,3,))*100)+100</f>
        <v/>
      </c>
      <c r="J81" s="23">
        <f>(((Table134567891011121314151617343[[#This Row],[DEU]]-VLOOKUP($U$1,A:D,4,))/VLOOKUP($U$1,A:D,4,))*100)+100</f>
        <v/>
      </c>
      <c r="K81" s="23">
        <f>(((Table134567891011121314151617343[[#This Row],[ESP]]-VLOOKUP($U$1,A:E,5,))/VLOOKUP($U$1,A:E,5,))*100)+100</f>
        <v/>
      </c>
      <c r="L81" s="23">
        <f>(((Table134567891011121314151617343[[#This Row],[EA19]]-VLOOKUP($U$1,A:F,6,))/VLOOKUP($U$1,A:F,6,))*100)+100</f>
        <v/>
      </c>
      <c r="M81" s="23">
        <f>(((Table134567891011121314151617343[[#This Row],[GBR]]-VLOOKUP($U$1,A:G,7,))/VLOOKUP($U$1,A:G,7,))*100)+100</f>
        <v/>
      </c>
      <c r="N81" s="23">
        <f>VLOOKUP(A81,Database!$E:$AY,MATCH($N$1,Database!$E$1:$AY$1,0),FALSE)</f>
        <v/>
      </c>
      <c r="O81" s="23">
        <f>(((Table134567891011121314151617343[[#This Row],[USA]]-VLOOKUP($U$1,A:N,14,))/VLOOKUP($U$1,A:N,14,))*100)+100</f>
        <v/>
      </c>
      <c r="P81" s="23">
        <f>VLOOKUP(A81,Database!$E:$AY,MATCH($P$1,Database!$E$1:$AY$1,0),FALSE)</f>
        <v/>
      </c>
      <c r="Q81" s="23">
        <f>(((Table134567891011121314151617343[[#This Row],[JPN]]-VLOOKUP($U$1,A:Q,16,))/VLOOKUP($U$1,A:Q,16,))*100)+100</f>
        <v/>
      </c>
    </row>
    <row r="82" customFormat="1" s="100">
      <c r="A82" s="22" t="n">
        <v>35309</v>
      </c>
      <c r="B82" s="23">
        <f>VLOOKUP(A82,Database!$E:$AY,MATCH($B$1,Database!$E$1:$AY$1,0),FALSE)</f>
        <v/>
      </c>
      <c r="C82" s="23">
        <f>VLOOKUP(A82,Database!$E:$AY,MATCH($C$1,Database!$E$1:$AY$1,0),FALSE)</f>
        <v/>
      </c>
      <c r="D82" s="23">
        <f>VLOOKUP(A82,Database!$E:$AY,MATCH($D$1,Database!$E$1:$AY$1,0),FALSE)</f>
        <v/>
      </c>
      <c r="E82" s="23">
        <f>VLOOKUP(A82,Database!$E:$AY,MATCH($E$1,Database!$E$1:$AY$1,0),FALSE)</f>
        <v/>
      </c>
      <c r="F82" s="23">
        <f>VLOOKUP(A82,Database!$E:$AY,MATCH($F$1,Database!$E$1:$AY$1,0),FALSE)</f>
        <v/>
      </c>
      <c r="G82" s="23">
        <f>VLOOKUP(A82,Database!$E:$AY,MATCH($G$1,Database!$E$1:$AY$1,0),FALSE)</f>
        <v/>
      </c>
      <c r="H82" s="23">
        <f>(((Table134567891011121314151617343[[#This Row],[ITA]]-VLOOKUP($U$1,A:B,2,))/VLOOKUP($U$1,A:B,2,))*100)+100</f>
        <v/>
      </c>
      <c r="I82" s="23">
        <f>(((Table134567891011121314151617343[[#This Row],[FRA]]-VLOOKUP($U$1,A:C,3,))/VLOOKUP($U$1,A:C,3,))*100)+100</f>
        <v/>
      </c>
      <c r="J82" s="23">
        <f>(((Table134567891011121314151617343[[#This Row],[DEU]]-VLOOKUP($U$1,A:D,4,))/VLOOKUP($U$1,A:D,4,))*100)+100</f>
        <v/>
      </c>
      <c r="K82" s="23">
        <f>(((Table134567891011121314151617343[[#This Row],[ESP]]-VLOOKUP($U$1,A:E,5,))/VLOOKUP($U$1,A:E,5,))*100)+100</f>
        <v/>
      </c>
      <c r="L82" s="23">
        <f>(((Table134567891011121314151617343[[#This Row],[EA19]]-VLOOKUP($U$1,A:F,6,))/VLOOKUP($U$1,A:F,6,))*100)+100</f>
        <v/>
      </c>
      <c r="M82" s="23">
        <f>(((Table134567891011121314151617343[[#This Row],[GBR]]-VLOOKUP($U$1,A:G,7,))/VLOOKUP($U$1,A:G,7,))*100)+100</f>
        <v/>
      </c>
      <c r="N82" s="23">
        <f>VLOOKUP(A82,Database!$E:$AY,MATCH($N$1,Database!$E$1:$AY$1,0),FALSE)</f>
        <v/>
      </c>
      <c r="O82" s="23">
        <f>(((Table134567891011121314151617343[[#This Row],[USA]]-VLOOKUP($U$1,A:N,14,))/VLOOKUP($U$1,A:N,14,))*100)+100</f>
        <v/>
      </c>
      <c r="P82" s="23">
        <f>VLOOKUP(A82,Database!$E:$AY,MATCH($P$1,Database!$E$1:$AY$1,0),FALSE)</f>
        <v/>
      </c>
      <c r="Q82" s="23">
        <f>(((Table134567891011121314151617343[[#This Row],[JPN]]-VLOOKUP($U$1,A:Q,16,))/VLOOKUP($U$1,A:Q,16,))*100)+100</f>
        <v/>
      </c>
    </row>
    <row r="83" customFormat="1" s="100">
      <c r="A83" s="22" t="n">
        <v>35339</v>
      </c>
      <c r="B83" s="23">
        <f>VLOOKUP(A83,Database!$E:$AY,MATCH($B$1,Database!$E$1:$AY$1,0),FALSE)</f>
        <v/>
      </c>
      <c r="C83" s="23">
        <f>VLOOKUP(A83,Database!$E:$AY,MATCH($C$1,Database!$E$1:$AY$1,0),FALSE)</f>
        <v/>
      </c>
      <c r="D83" s="23">
        <f>VLOOKUP(A83,Database!$E:$AY,MATCH($D$1,Database!$E$1:$AY$1,0),FALSE)</f>
        <v/>
      </c>
      <c r="E83" s="23">
        <f>VLOOKUP(A83,Database!$E:$AY,MATCH($E$1,Database!$E$1:$AY$1,0),FALSE)</f>
        <v/>
      </c>
      <c r="F83" s="23">
        <f>VLOOKUP(A83,Database!$E:$AY,MATCH($F$1,Database!$E$1:$AY$1,0),FALSE)</f>
        <v/>
      </c>
      <c r="G83" s="23">
        <f>VLOOKUP(A83,Database!$E:$AY,MATCH($G$1,Database!$E$1:$AY$1,0),FALSE)</f>
        <v/>
      </c>
      <c r="H83" s="23">
        <f>(((Table134567891011121314151617343[[#This Row],[ITA]]-VLOOKUP($U$1,A:B,2,))/VLOOKUP($U$1,A:B,2,))*100)+100</f>
        <v/>
      </c>
      <c r="I83" s="23">
        <f>(((Table134567891011121314151617343[[#This Row],[FRA]]-VLOOKUP($U$1,A:C,3,))/VLOOKUP($U$1,A:C,3,))*100)+100</f>
        <v/>
      </c>
      <c r="J83" s="23">
        <f>(((Table134567891011121314151617343[[#This Row],[DEU]]-VLOOKUP($U$1,A:D,4,))/VLOOKUP($U$1,A:D,4,))*100)+100</f>
        <v/>
      </c>
      <c r="K83" s="23">
        <f>(((Table134567891011121314151617343[[#This Row],[ESP]]-VLOOKUP($U$1,A:E,5,))/VLOOKUP($U$1,A:E,5,))*100)+100</f>
        <v/>
      </c>
      <c r="L83" s="23">
        <f>(((Table134567891011121314151617343[[#This Row],[EA19]]-VLOOKUP($U$1,A:F,6,))/VLOOKUP($U$1,A:F,6,))*100)+100</f>
        <v/>
      </c>
      <c r="M83" s="23">
        <f>(((Table134567891011121314151617343[[#This Row],[GBR]]-VLOOKUP($U$1,A:G,7,))/VLOOKUP($U$1,A:G,7,))*100)+100</f>
        <v/>
      </c>
      <c r="N83" s="23">
        <f>VLOOKUP(A83,Database!$E:$AY,MATCH($N$1,Database!$E$1:$AY$1,0),FALSE)</f>
        <v/>
      </c>
      <c r="O83" s="23">
        <f>(((Table134567891011121314151617343[[#This Row],[USA]]-VLOOKUP($U$1,A:N,14,))/VLOOKUP($U$1,A:N,14,))*100)+100</f>
        <v/>
      </c>
      <c r="P83" s="23">
        <f>VLOOKUP(A83,Database!$E:$AY,MATCH($P$1,Database!$E$1:$AY$1,0),FALSE)</f>
        <v/>
      </c>
      <c r="Q83" s="23">
        <f>(((Table134567891011121314151617343[[#This Row],[JPN]]-VLOOKUP($U$1,A:Q,16,))/VLOOKUP($U$1,A:Q,16,))*100)+100</f>
        <v/>
      </c>
    </row>
    <row r="84" customFormat="1" s="100">
      <c r="A84" s="22" t="n">
        <v>35370</v>
      </c>
      <c r="B84" s="23">
        <f>VLOOKUP(A84,Database!$E:$AY,MATCH($B$1,Database!$E$1:$AY$1,0),FALSE)</f>
        <v/>
      </c>
      <c r="C84" s="23">
        <f>VLOOKUP(A84,Database!$E:$AY,MATCH($C$1,Database!$E$1:$AY$1,0),FALSE)</f>
        <v/>
      </c>
      <c r="D84" s="23">
        <f>VLOOKUP(A84,Database!$E:$AY,MATCH($D$1,Database!$E$1:$AY$1,0),FALSE)</f>
        <v/>
      </c>
      <c r="E84" s="23">
        <f>VLOOKUP(A84,Database!$E:$AY,MATCH($E$1,Database!$E$1:$AY$1,0),FALSE)</f>
        <v/>
      </c>
      <c r="F84" s="23">
        <f>VLOOKUP(A84,Database!$E:$AY,MATCH($F$1,Database!$E$1:$AY$1,0),FALSE)</f>
        <v/>
      </c>
      <c r="G84" s="23">
        <f>VLOOKUP(A84,Database!$E:$AY,MATCH($G$1,Database!$E$1:$AY$1,0),FALSE)</f>
        <v/>
      </c>
      <c r="H84" s="23">
        <f>(((Table134567891011121314151617343[[#This Row],[ITA]]-VLOOKUP($U$1,A:B,2,))/VLOOKUP($U$1,A:B,2,))*100)+100</f>
        <v/>
      </c>
      <c r="I84" s="23">
        <f>(((Table134567891011121314151617343[[#This Row],[FRA]]-VLOOKUP($U$1,A:C,3,))/VLOOKUP($U$1,A:C,3,))*100)+100</f>
        <v/>
      </c>
      <c r="J84" s="23">
        <f>(((Table134567891011121314151617343[[#This Row],[DEU]]-VLOOKUP($U$1,A:D,4,))/VLOOKUP($U$1,A:D,4,))*100)+100</f>
        <v/>
      </c>
      <c r="K84" s="23">
        <f>(((Table134567891011121314151617343[[#This Row],[ESP]]-VLOOKUP($U$1,A:E,5,))/VLOOKUP($U$1,A:E,5,))*100)+100</f>
        <v/>
      </c>
      <c r="L84" s="23">
        <f>(((Table134567891011121314151617343[[#This Row],[EA19]]-VLOOKUP($U$1,A:F,6,))/VLOOKUP($U$1,A:F,6,))*100)+100</f>
        <v/>
      </c>
      <c r="M84" s="23">
        <f>(((Table134567891011121314151617343[[#This Row],[GBR]]-VLOOKUP($U$1,A:G,7,))/VLOOKUP($U$1,A:G,7,))*100)+100</f>
        <v/>
      </c>
      <c r="N84" s="23">
        <f>VLOOKUP(A84,Database!$E:$AY,MATCH($N$1,Database!$E$1:$AY$1,0),FALSE)</f>
        <v/>
      </c>
      <c r="O84" s="23">
        <f>(((Table134567891011121314151617343[[#This Row],[USA]]-VLOOKUP($U$1,A:N,14,))/VLOOKUP($U$1,A:N,14,))*100)+100</f>
        <v/>
      </c>
      <c r="P84" s="23">
        <f>VLOOKUP(A84,Database!$E:$AY,MATCH($P$1,Database!$E$1:$AY$1,0),FALSE)</f>
        <v/>
      </c>
      <c r="Q84" s="23">
        <f>(((Table134567891011121314151617343[[#This Row],[JPN]]-VLOOKUP($U$1,A:Q,16,))/VLOOKUP($U$1,A:Q,16,))*100)+100</f>
        <v/>
      </c>
    </row>
    <row r="85" customFormat="1" s="100">
      <c r="A85" s="22" t="n">
        <v>35400</v>
      </c>
      <c r="B85" s="23">
        <f>VLOOKUP(A85,Database!$E:$AY,MATCH($B$1,Database!$E$1:$AY$1,0),FALSE)</f>
        <v/>
      </c>
      <c r="C85" s="23">
        <f>VLOOKUP(A85,Database!$E:$AY,MATCH($C$1,Database!$E$1:$AY$1,0),FALSE)</f>
        <v/>
      </c>
      <c r="D85" s="23">
        <f>VLOOKUP(A85,Database!$E:$AY,MATCH($D$1,Database!$E$1:$AY$1,0),FALSE)</f>
        <v/>
      </c>
      <c r="E85" s="23">
        <f>VLOOKUP(A85,Database!$E:$AY,MATCH($E$1,Database!$E$1:$AY$1,0),FALSE)</f>
        <v/>
      </c>
      <c r="F85" s="23">
        <f>VLOOKUP(A85,Database!$E:$AY,MATCH($F$1,Database!$E$1:$AY$1,0),FALSE)</f>
        <v/>
      </c>
      <c r="G85" s="23">
        <f>VLOOKUP(A85,Database!$E:$AY,MATCH($G$1,Database!$E$1:$AY$1,0),FALSE)</f>
        <v/>
      </c>
      <c r="H85" s="23">
        <f>(((Table134567891011121314151617343[[#This Row],[ITA]]-VLOOKUP($U$1,A:B,2,))/VLOOKUP($U$1,A:B,2,))*100)+100</f>
        <v/>
      </c>
      <c r="I85" s="23">
        <f>(((Table134567891011121314151617343[[#This Row],[FRA]]-VLOOKUP($U$1,A:C,3,))/VLOOKUP($U$1,A:C,3,))*100)+100</f>
        <v/>
      </c>
      <c r="J85" s="23">
        <f>(((Table134567891011121314151617343[[#This Row],[DEU]]-VLOOKUP($U$1,A:D,4,))/VLOOKUP($U$1,A:D,4,))*100)+100</f>
        <v/>
      </c>
      <c r="K85" s="23">
        <f>(((Table134567891011121314151617343[[#This Row],[ESP]]-VLOOKUP($U$1,A:E,5,))/VLOOKUP($U$1,A:E,5,))*100)+100</f>
        <v/>
      </c>
      <c r="L85" s="23">
        <f>(((Table134567891011121314151617343[[#This Row],[EA19]]-VLOOKUP($U$1,A:F,6,))/VLOOKUP($U$1,A:F,6,))*100)+100</f>
        <v/>
      </c>
      <c r="M85" s="23">
        <f>(((Table134567891011121314151617343[[#This Row],[GBR]]-VLOOKUP($U$1,A:G,7,))/VLOOKUP($U$1,A:G,7,))*100)+100</f>
        <v/>
      </c>
      <c r="N85" s="23">
        <f>VLOOKUP(A85,Database!$E:$AY,MATCH($N$1,Database!$E$1:$AY$1,0),FALSE)</f>
        <v/>
      </c>
      <c r="O85" s="23">
        <f>(((Table134567891011121314151617343[[#This Row],[USA]]-VLOOKUP($U$1,A:N,14,))/VLOOKUP($U$1,A:N,14,))*100)+100</f>
        <v/>
      </c>
      <c r="P85" s="23">
        <f>VLOOKUP(A85,Database!$E:$AY,MATCH($P$1,Database!$E$1:$AY$1,0),FALSE)</f>
        <v/>
      </c>
      <c r="Q85" s="23">
        <f>(((Table134567891011121314151617343[[#This Row],[JPN]]-VLOOKUP($U$1,A:Q,16,))/VLOOKUP($U$1,A:Q,16,))*100)+100</f>
        <v/>
      </c>
    </row>
    <row r="86" customFormat="1" s="100">
      <c r="A86" s="22" t="n">
        <v>35431</v>
      </c>
      <c r="B86" s="23">
        <f>VLOOKUP(A86,Database!$E:$AY,MATCH($B$1,Database!$E$1:$AY$1,0),FALSE)</f>
        <v/>
      </c>
      <c r="C86" s="23">
        <f>VLOOKUP(A86,Database!$E:$AY,MATCH($C$1,Database!$E$1:$AY$1,0),FALSE)</f>
        <v/>
      </c>
      <c r="D86" s="23">
        <f>VLOOKUP(A86,Database!$E:$AY,MATCH($D$1,Database!$E$1:$AY$1,0),FALSE)</f>
        <v/>
      </c>
      <c r="E86" s="23">
        <f>VLOOKUP(A86,Database!$E:$AY,MATCH($E$1,Database!$E$1:$AY$1,0),FALSE)</f>
        <v/>
      </c>
      <c r="F86" s="23">
        <f>VLOOKUP(A86,Database!$E:$AY,MATCH($F$1,Database!$E$1:$AY$1,0),FALSE)</f>
        <v/>
      </c>
      <c r="G86" s="23">
        <f>VLOOKUP(A86,Database!$E:$AY,MATCH($G$1,Database!$E$1:$AY$1,0),FALSE)</f>
        <v/>
      </c>
      <c r="H86" s="23">
        <f>(((Table134567891011121314151617343[[#This Row],[ITA]]-VLOOKUP($U$1,A:B,2,))/VLOOKUP($U$1,A:B,2,))*100)+100</f>
        <v/>
      </c>
      <c r="I86" s="23">
        <f>(((Table134567891011121314151617343[[#This Row],[FRA]]-VLOOKUP($U$1,A:C,3,))/VLOOKUP($U$1,A:C,3,))*100)+100</f>
        <v/>
      </c>
      <c r="J86" s="23">
        <f>(((Table134567891011121314151617343[[#This Row],[DEU]]-VLOOKUP($U$1,A:D,4,))/VLOOKUP($U$1,A:D,4,))*100)+100</f>
        <v/>
      </c>
      <c r="K86" s="23">
        <f>(((Table134567891011121314151617343[[#This Row],[ESP]]-VLOOKUP($U$1,A:E,5,))/VLOOKUP($U$1,A:E,5,))*100)+100</f>
        <v/>
      </c>
      <c r="L86" s="23">
        <f>(((Table134567891011121314151617343[[#This Row],[EA19]]-VLOOKUP($U$1,A:F,6,))/VLOOKUP($U$1,A:F,6,))*100)+100</f>
        <v/>
      </c>
      <c r="M86" s="23">
        <f>(((Table134567891011121314151617343[[#This Row],[GBR]]-VLOOKUP($U$1,A:G,7,))/VLOOKUP($U$1,A:G,7,))*100)+100</f>
        <v/>
      </c>
      <c r="N86" s="23">
        <f>VLOOKUP(A86,Database!$E:$AY,MATCH($N$1,Database!$E$1:$AY$1,0),FALSE)</f>
        <v/>
      </c>
      <c r="O86" s="23">
        <f>(((Table134567891011121314151617343[[#This Row],[USA]]-VLOOKUP($U$1,A:N,14,))/VLOOKUP($U$1,A:N,14,))*100)+100</f>
        <v/>
      </c>
      <c r="P86" s="23">
        <f>VLOOKUP(A86,Database!$E:$AY,MATCH($P$1,Database!$E$1:$AY$1,0),FALSE)</f>
        <v/>
      </c>
      <c r="Q86" s="23">
        <f>(((Table134567891011121314151617343[[#This Row],[JPN]]-VLOOKUP($U$1,A:Q,16,))/VLOOKUP($U$1,A:Q,16,))*100)+100</f>
        <v/>
      </c>
    </row>
    <row r="87" customFormat="1" s="100">
      <c r="A87" s="22" t="n">
        <v>35462</v>
      </c>
      <c r="B87" s="23">
        <f>VLOOKUP(A87,Database!$E:$AY,MATCH($B$1,Database!$E$1:$AY$1,0),FALSE)</f>
        <v/>
      </c>
      <c r="C87" s="23">
        <f>VLOOKUP(A87,Database!$E:$AY,MATCH($C$1,Database!$E$1:$AY$1,0),FALSE)</f>
        <v/>
      </c>
      <c r="D87" s="23">
        <f>VLOOKUP(A87,Database!$E:$AY,MATCH($D$1,Database!$E$1:$AY$1,0),FALSE)</f>
        <v/>
      </c>
      <c r="E87" s="23">
        <f>VLOOKUP(A87,Database!$E:$AY,MATCH($E$1,Database!$E$1:$AY$1,0),FALSE)</f>
        <v/>
      </c>
      <c r="F87" s="23">
        <f>VLOOKUP(A87,Database!$E:$AY,MATCH($F$1,Database!$E$1:$AY$1,0),FALSE)</f>
        <v/>
      </c>
      <c r="G87" s="23">
        <f>VLOOKUP(A87,Database!$E:$AY,MATCH($G$1,Database!$E$1:$AY$1,0),FALSE)</f>
        <v/>
      </c>
      <c r="H87" s="23">
        <f>(((Table134567891011121314151617343[[#This Row],[ITA]]-VLOOKUP($U$1,A:B,2,))/VLOOKUP($U$1,A:B,2,))*100)+100</f>
        <v/>
      </c>
      <c r="I87" s="23">
        <f>(((Table134567891011121314151617343[[#This Row],[FRA]]-VLOOKUP($U$1,A:C,3,))/VLOOKUP($U$1,A:C,3,))*100)+100</f>
        <v/>
      </c>
      <c r="J87" s="23">
        <f>(((Table134567891011121314151617343[[#This Row],[DEU]]-VLOOKUP($U$1,A:D,4,))/VLOOKUP($U$1,A:D,4,))*100)+100</f>
        <v/>
      </c>
      <c r="K87" s="23">
        <f>(((Table134567891011121314151617343[[#This Row],[ESP]]-VLOOKUP($U$1,A:E,5,))/VLOOKUP($U$1,A:E,5,))*100)+100</f>
        <v/>
      </c>
      <c r="L87" s="23">
        <f>(((Table134567891011121314151617343[[#This Row],[EA19]]-VLOOKUP($U$1,A:F,6,))/VLOOKUP($U$1,A:F,6,))*100)+100</f>
        <v/>
      </c>
      <c r="M87" s="23">
        <f>(((Table134567891011121314151617343[[#This Row],[GBR]]-VLOOKUP($U$1,A:G,7,))/VLOOKUP($U$1,A:G,7,))*100)+100</f>
        <v/>
      </c>
      <c r="N87" s="23">
        <f>VLOOKUP(A87,Database!$E:$AY,MATCH($N$1,Database!$E$1:$AY$1,0),FALSE)</f>
        <v/>
      </c>
      <c r="O87" s="23">
        <f>(((Table134567891011121314151617343[[#This Row],[USA]]-VLOOKUP($U$1,A:N,14,))/VLOOKUP($U$1,A:N,14,))*100)+100</f>
        <v/>
      </c>
      <c r="P87" s="23">
        <f>VLOOKUP(A87,Database!$E:$AY,MATCH($P$1,Database!$E$1:$AY$1,0),FALSE)</f>
        <v/>
      </c>
      <c r="Q87" s="23">
        <f>(((Table134567891011121314151617343[[#This Row],[JPN]]-VLOOKUP($U$1,A:Q,16,))/VLOOKUP($U$1,A:Q,16,))*100)+100</f>
        <v/>
      </c>
    </row>
    <row r="88" customFormat="1" s="100">
      <c r="A88" s="22" t="n">
        <v>35490</v>
      </c>
      <c r="B88" s="23">
        <f>VLOOKUP(A88,Database!$E:$AY,MATCH($B$1,Database!$E$1:$AY$1,0),FALSE)</f>
        <v/>
      </c>
      <c r="C88" s="23">
        <f>VLOOKUP(A88,Database!$E:$AY,MATCH($C$1,Database!$E$1:$AY$1,0),FALSE)</f>
        <v/>
      </c>
      <c r="D88" s="23">
        <f>VLOOKUP(A88,Database!$E:$AY,MATCH($D$1,Database!$E$1:$AY$1,0),FALSE)</f>
        <v/>
      </c>
      <c r="E88" s="23">
        <f>VLOOKUP(A88,Database!$E:$AY,MATCH($E$1,Database!$E$1:$AY$1,0),FALSE)</f>
        <v/>
      </c>
      <c r="F88" s="23">
        <f>VLOOKUP(A88,Database!$E:$AY,MATCH($F$1,Database!$E$1:$AY$1,0),FALSE)</f>
        <v/>
      </c>
      <c r="G88" s="23">
        <f>VLOOKUP(A88,Database!$E:$AY,MATCH($G$1,Database!$E$1:$AY$1,0),FALSE)</f>
        <v/>
      </c>
      <c r="H88" s="23">
        <f>(((Table134567891011121314151617343[[#This Row],[ITA]]-VLOOKUP($U$1,A:B,2,))/VLOOKUP($U$1,A:B,2,))*100)+100</f>
        <v/>
      </c>
      <c r="I88" s="23">
        <f>(((Table134567891011121314151617343[[#This Row],[FRA]]-VLOOKUP($U$1,A:C,3,))/VLOOKUP($U$1,A:C,3,))*100)+100</f>
        <v/>
      </c>
      <c r="J88" s="23">
        <f>(((Table134567891011121314151617343[[#This Row],[DEU]]-VLOOKUP($U$1,A:D,4,))/VLOOKUP($U$1,A:D,4,))*100)+100</f>
        <v/>
      </c>
      <c r="K88" s="23">
        <f>(((Table134567891011121314151617343[[#This Row],[ESP]]-VLOOKUP($U$1,A:E,5,))/VLOOKUP($U$1,A:E,5,))*100)+100</f>
        <v/>
      </c>
      <c r="L88" s="23">
        <f>(((Table134567891011121314151617343[[#This Row],[EA19]]-VLOOKUP($U$1,A:F,6,))/VLOOKUP($U$1,A:F,6,))*100)+100</f>
        <v/>
      </c>
      <c r="M88" s="23">
        <f>(((Table134567891011121314151617343[[#This Row],[GBR]]-VLOOKUP($U$1,A:G,7,))/VLOOKUP($U$1,A:G,7,))*100)+100</f>
        <v/>
      </c>
      <c r="N88" s="23">
        <f>VLOOKUP(A88,Database!$E:$AY,MATCH($N$1,Database!$E$1:$AY$1,0),FALSE)</f>
        <v/>
      </c>
      <c r="O88" s="23">
        <f>(((Table134567891011121314151617343[[#This Row],[USA]]-VLOOKUP($U$1,A:N,14,))/VLOOKUP($U$1,A:N,14,))*100)+100</f>
        <v/>
      </c>
      <c r="P88" s="23">
        <f>VLOOKUP(A88,Database!$E:$AY,MATCH($P$1,Database!$E$1:$AY$1,0),FALSE)</f>
        <v/>
      </c>
      <c r="Q88" s="23">
        <f>(((Table134567891011121314151617343[[#This Row],[JPN]]-VLOOKUP($U$1,A:Q,16,))/VLOOKUP($U$1,A:Q,16,))*100)+100</f>
        <v/>
      </c>
    </row>
    <row r="89" customFormat="1" s="100">
      <c r="A89" s="22" t="n">
        <v>35521</v>
      </c>
      <c r="B89" s="23">
        <f>VLOOKUP(A89,Database!$E:$AY,MATCH($B$1,Database!$E$1:$AY$1,0),FALSE)</f>
        <v/>
      </c>
      <c r="C89" s="23">
        <f>VLOOKUP(A89,Database!$E:$AY,MATCH($C$1,Database!$E$1:$AY$1,0),FALSE)</f>
        <v/>
      </c>
      <c r="D89" s="23">
        <f>VLOOKUP(A89,Database!$E:$AY,MATCH($D$1,Database!$E$1:$AY$1,0),FALSE)</f>
        <v/>
      </c>
      <c r="E89" s="23">
        <f>VLOOKUP(A89,Database!$E:$AY,MATCH($E$1,Database!$E$1:$AY$1,0),FALSE)</f>
        <v/>
      </c>
      <c r="F89" s="23">
        <f>VLOOKUP(A89,Database!$E:$AY,MATCH($F$1,Database!$E$1:$AY$1,0),FALSE)</f>
        <v/>
      </c>
      <c r="G89" s="23">
        <f>VLOOKUP(A89,Database!$E:$AY,MATCH($G$1,Database!$E$1:$AY$1,0),FALSE)</f>
        <v/>
      </c>
      <c r="H89" s="23">
        <f>(((Table134567891011121314151617343[[#This Row],[ITA]]-VLOOKUP($U$1,A:B,2,))/VLOOKUP($U$1,A:B,2,))*100)+100</f>
        <v/>
      </c>
      <c r="I89" s="23">
        <f>(((Table134567891011121314151617343[[#This Row],[FRA]]-VLOOKUP($U$1,A:C,3,))/VLOOKUP($U$1,A:C,3,))*100)+100</f>
        <v/>
      </c>
      <c r="J89" s="23">
        <f>(((Table134567891011121314151617343[[#This Row],[DEU]]-VLOOKUP($U$1,A:D,4,))/VLOOKUP($U$1,A:D,4,))*100)+100</f>
        <v/>
      </c>
      <c r="K89" s="23">
        <f>(((Table134567891011121314151617343[[#This Row],[ESP]]-VLOOKUP($U$1,A:E,5,))/VLOOKUP($U$1,A:E,5,))*100)+100</f>
        <v/>
      </c>
      <c r="L89" s="23">
        <f>(((Table134567891011121314151617343[[#This Row],[EA19]]-VLOOKUP($U$1,A:F,6,))/VLOOKUP($U$1,A:F,6,))*100)+100</f>
        <v/>
      </c>
      <c r="M89" s="23">
        <f>(((Table134567891011121314151617343[[#This Row],[GBR]]-VLOOKUP($U$1,A:G,7,))/VLOOKUP($U$1,A:G,7,))*100)+100</f>
        <v/>
      </c>
      <c r="N89" s="23">
        <f>VLOOKUP(A89,Database!$E:$AY,MATCH($N$1,Database!$E$1:$AY$1,0),FALSE)</f>
        <v/>
      </c>
      <c r="O89" s="23">
        <f>(((Table134567891011121314151617343[[#This Row],[USA]]-VLOOKUP($U$1,A:N,14,))/VLOOKUP($U$1,A:N,14,))*100)+100</f>
        <v/>
      </c>
      <c r="P89" s="23">
        <f>VLOOKUP(A89,Database!$E:$AY,MATCH($P$1,Database!$E$1:$AY$1,0),FALSE)</f>
        <v/>
      </c>
      <c r="Q89" s="23">
        <f>(((Table134567891011121314151617343[[#This Row],[JPN]]-VLOOKUP($U$1,A:Q,16,))/VLOOKUP($U$1,A:Q,16,))*100)+100</f>
        <v/>
      </c>
    </row>
    <row r="90" customFormat="1" s="100">
      <c r="A90" s="22" t="n">
        <v>35551</v>
      </c>
      <c r="B90" s="23">
        <f>VLOOKUP(A90,Database!$E:$AY,MATCH($B$1,Database!$E$1:$AY$1,0),FALSE)</f>
        <v/>
      </c>
      <c r="C90" s="23">
        <f>VLOOKUP(A90,Database!$E:$AY,MATCH($C$1,Database!$E$1:$AY$1,0),FALSE)</f>
        <v/>
      </c>
      <c r="D90" s="23">
        <f>VLOOKUP(A90,Database!$E:$AY,MATCH($D$1,Database!$E$1:$AY$1,0),FALSE)</f>
        <v/>
      </c>
      <c r="E90" s="23">
        <f>VLOOKUP(A90,Database!$E:$AY,MATCH($E$1,Database!$E$1:$AY$1,0),FALSE)</f>
        <v/>
      </c>
      <c r="F90" s="23">
        <f>VLOOKUP(A90,Database!$E:$AY,MATCH($F$1,Database!$E$1:$AY$1,0),FALSE)</f>
        <v/>
      </c>
      <c r="G90" s="23">
        <f>VLOOKUP(A90,Database!$E:$AY,MATCH($G$1,Database!$E$1:$AY$1,0),FALSE)</f>
        <v/>
      </c>
      <c r="H90" s="23">
        <f>(((Table134567891011121314151617343[[#This Row],[ITA]]-VLOOKUP($U$1,A:B,2,))/VLOOKUP($U$1,A:B,2,))*100)+100</f>
        <v/>
      </c>
      <c r="I90" s="23">
        <f>(((Table134567891011121314151617343[[#This Row],[FRA]]-VLOOKUP($U$1,A:C,3,))/VLOOKUP($U$1,A:C,3,))*100)+100</f>
        <v/>
      </c>
      <c r="J90" s="23">
        <f>(((Table134567891011121314151617343[[#This Row],[DEU]]-VLOOKUP($U$1,A:D,4,))/VLOOKUP($U$1,A:D,4,))*100)+100</f>
        <v/>
      </c>
      <c r="K90" s="23">
        <f>(((Table134567891011121314151617343[[#This Row],[ESP]]-VLOOKUP($U$1,A:E,5,))/VLOOKUP($U$1,A:E,5,))*100)+100</f>
        <v/>
      </c>
      <c r="L90" s="23">
        <f>(((Table134567891011121314151617343[[#This Row],[EA19]]-VLOOKUP($U$1,A:F,6,))/VLOOKUP($U$1,A:F,6,))*100)+100</f>
        <v/>
      </c>
      <c r="M90" s="23">
        <f>(((Table134567891011121314151617343[[#This Row],[GBR]]-VLOOKUP($U$1,A:G,7,))/VLOOKUP($U$1,A:G,7,))*100)+100</f>
        <v/>
      </c>
      <c r="N90" s="23">
        <f>VLOOKUP(A90,Database!$E:$AY,MATCH($N$1,Database!$E$1:$AY$1,0),FALSE)</f>
        <v/>
      </c>
      <c r="O90" s="23">
        <f>(((Table134567891011121314151617343[[#This Row],[USA]]-VLOOKUP($U$1,A:N,14,))/VLOOKUP($U$1,A:N,14,))*100)+100</f>
        <v/>
      </c>
      <c r="P90" s="23">
        <f>VLOOKUP(A90,Database!$E:$AY,MATCH($P$1,Database!$E$1:$AY$1,0),FALSE)</f>
        <v/>
      </c>
      <c r="Q90" s="23">
        <f>(((Table134567891011121314151617343[[#This Row],[JPN]]-VLOOKUP($U$1,A:Q,16,))/VLOOKUP($U$1,A:Q,16,))*100)+100</f>
        <v/>
      </c>
    </row>
    <row r="91" customFormat="1" s="100">
      <c r="A91" s="22" t="n">
        <v>35582</v>
      </c>
      <c r="B91" s="23">
        <f>VLOOKUP(A91,Database!$E:$AY,MATCH($B$1,Database!$E$1:$AY$1,0),FALSE)</f>
        <v/>
      </c>
      <c r="C91" s="23">
        <f>VLOOKUP(A91,Database!$E:$AY,MATCH($C$1,Database!$E$1:$AY$1,0),FALSE)</f>
        <v/>
      </c>
      <c r="D91" s="23">
        <f>VLOOKUP(A91,Database!$E:$AY,MATCH($D$1,Database!$E$1:$AY$1,0),FALSE)</f>
        <v/>
      </c>
      <c r="E91" s="23">
        <f>VLOOKUP(A91,Database!$E:$AY,MATCH($E$1,Database!$E$1:$AY$1,0),FALSE)</f>
        <v/>
      </c>
      <c r="F91" s="23">
        <f>VLOOKUP(A91,Database!$E:$AY,MATCH($F$1,Database!$E$1:$AY$1,0),FALSE)</f>
        <v/>
      </c>
      <c r="G91" s="23">
        <f>VLOOKUP(A91,Database!$E:$AY,MATCH($G$1,Database!$E$1:$AY$1,0),FALSE)</f>
        <v/>
      </c>
      <c r="H91" s="23">
        <f>(((Table134567891011121314151617343[[#This Row],[ITA]]-VLOOKUP($U$1,A:B,2,))/VLOOKUP($U$1,A:B,2,))*100)+100</f>
        <v/>
      </c>
      <c r="I91" s="23">
        <f>(((Table134567891011121314151617343[[#This Row],[FRA]]-VLOOKUP($U$1,A:C,3,))/VLOOKUP($U$1,A:C,3,))*100)+100</f>
        <v/>
      </c>
      <c r="J91" s="23">
        <f>(((Table134567891011121314151617343[[#This Row],[DEU]]-VLOOKUP($U$1,A:D,4,))/VLOOKUP($U$1,A:D,4,))*100)+100</f>
        <v/>
      </c>
      <c r="K91" s="23">
        <f>(((Table134567891011121314151617343[[#This Row],[ESP]]-VLOOKUP($U$1,A:E,5,))/VLOOKUP($U$1,A:E,5,))*100)+100</f>
        <v/>
      </c>
      <c r="L91" s="23">
        <f>(((Table134567891011121314151617343[[#This Row],[EA19]]-VLOOKUP($U$1,A:F,6,))/VLOOKUP($U$1,A:F,6,))*100)+100</f>
        <v/>
      </c>
      <c r="M91" s="23">
        <f>(((Table134567891011121314151617343[[#This Row],[GBR]]-VLOOKUP($U$1,A:G,7,))/VLOOKUP($U$1,A:G,7,))*100)+100</f>
        <v/>
      </c>
      <c r="N91" s="23">
        <f>VLOOKUP(A91,Database!$E:$AY,MATCH($N$1,Database!$E$1:$AY$1,0),FALSE)</f>
        <v/>
      </c>
      <c r="O91" s="23">
        <f>(((Table134567891011121314151617343[[#This Row],[USA]]-VLOOKUP($U$1,A:N,14,))/VLOOKUP($U$1,A:N,14,))*100)+100</f>
        <v/>
      </c>
      <c r="P91" s="23">
        <f>VLOOKUP(A91,Database!$E:$AY,MATCH($P$1,Database!$E$1:$AY$1,0),FALSE)</f>
        <v/>
      </c>
      <c r="Q91" s="23">
        <f>(((Table134567891011121314151617343[[#This Row],[JPN]]-VLOOKUP($U$1,A:Q,16,))/VLOOKUP($U$1,A:Q,16,))*100)+100</f>
        <v/>
      </c>
    </row>
    <row r="92" customFormat="1" s="100">
      <c r="A92" s="22" t="n">
        <v>35612</v>
      </c>
      <c r="B92" s="23">
        <f>VLOOKUP(A92,Database!$E:$AY,MATCH($B$1,Database!$E$1:$AY$1,0),FALSE)</f>
        <v/>
      </c>
      <c r="C92" s="23">
        <f>VLOOKUP(A92,Database!$E:$AY,MATCH($C$1,Database!$E$1:$AY$1,0),FALSE)</f>
        <v/>
      </c>
      <c r="D92" s="23">
        <f>VLOOKUP(A92,Database!$E:$AY,MATCH($D$1,Database!$E$1:$AY$1,0),FALSE)</f>
        <v/>
      </c>
      <c r="E92" s="23">
        <f>VLOOKUP(A92,Database!$E:$AY,MATCH($E$1,Database!$E$1:$AY$1,0),FALSE)</f>
        <v/>
      </c>
      <c r="F92" s="23">
        <f>VLOOKUP(A92,Database!$E:$AY,MATCH($F$1,Database!$E$1:$AY$1,0),FALSE)</f>
        <v/>
      </c>
      <c r="G92" s="23">
        <f>VLOOKUP(A92,Database!$E:$AY,MATCH($G$1,Database!$E$1:$AY$1,0),FALSE)</f>
        <v/>
      </c>
      <c r="H92" s="23">
        <f>(((Table134567891011121314151617343[[#This Row],[ITA]]-VLOOKUP($U$1,A:B,2,))/VLOOKUP($U$1,A:B,2,))*100)+100</f>
        <v/>
      </c>
      <c r="I92" s="23">
        <f>(((Table134567891011121314151617343[[#This Row],[FRA]]-VLOOKUP($U$1,A:C,3,))/VLOOKUP($U$1,A:C,3,))*100)+100</f>
        <v/>
      </c>
      <c r="J92" s="23">
        <f>(((Table134567891011121314151617343[[#This Row],[DEU]]-VLOOKUP($U$1,A:D,4,))/VLOOKUP($U$1,A:D,4,))*100)+100</f>
        <v/>
      </c>
      <c r="K92" s="23">
        <f>(((Table134567891011121314151617343[[#This Row],[ESP]]-VLOOKUP($U$1,A:E,5,))/VLOOKUP($U$1,A:E,5,))*100)+100</f>
        <v/>
      </c>
      <c r="L92" s="23">
        <f>(((Table134567891011121314151617343[[#This Row],[EA19]]-VLOOKUP($U$1,A:F,6,))/VLOOKUP($U$1,A:F,6,))*100)+100</f>
        <v/>
      </c>
      <c r="M92" s="23">
        <f>(((Table134567891011121314151617343[[#This Row],[GBR]]-VLOOKUP($U$1,A:G,7,))/VLOOKUP($U$1,A:G,7,))*100)+100</f>
        <v/>
      </c>
      <c r="N92" s="23">
        <f>VLOOKUP(A92,Database!$E:$AY,MATCH($N$1,Database!$E$1:$AY$1,0),FALSE)</f>
        <v/>
      </c>
      <c r="O92" s="23">
        <f>(((Table134567891011121314151617343[[#This Row],[USA]]-VLOOKUP($U$1,A:N,14,))/VLOOKUP($U$1,A:N,14,))*100)+100</f>
        <v/>
      </c>
      <c r="P92" s="23">
        <f>VLOOKUP(A92,Database!$E:$AY,MATCH($P$1,Database!$E$1:$AY$1,0),FALSE)</f>
        <v/>
      </c>
      <c r="Q92" s="23">
        <f>(((Table134567891011121314151617343[[#This Row],[JPN]]-VLOOKUP($U$1,A:Q,16,))/VLOOKUP($U$1,A:Q,16,))*100)+100</f>
        <v/>
      </c>
    </row>
    <row r="93" customFormat="1" s="100">
      <c r="A93" s="22" t="n">
        <v>35643</v>
      </c>
      <c r="B93" s="23">
        <f>VLOOKUP(A93,Database!$E:$AY,MATCH($B$1,Database!$E$1:$AY$1,0),FALSE)</f>
        <v/>
      </c>
      <c r="C93" s="23">
        <f>VLOOKUP(A93,Database!$E:$AY,MATCH($C$1,Database!$E$1:$AY$1,0),FALSE)</f>
        <v/>
      </c>
      <c r="D93" s="23">
        <f>VLOOKUP(A93,Database!$E:$AY,MATCH($D$1,Database!$E$1:$AY$1,0),FALSE)</f>
        <v/>
      </c>
      <c r="E93" s="23">
        <f>VLOOKUP(A93,Database!$E:$AY,MATCH($E$1,Database!$E$1:$AY$1,0),FALSE)</f>
        <v/>
      </c>
      <c r="F93" s="23">
        <f>VLOOKUP(A93,Database!$E:$AY,MATCH($F$1,Database!$E$1:$AY$1,0),FALSE)</f>
        <v/>
      </c>
      <c r="G93" s="23">
        <f>VLOOKUP(A93,Database!$E:$AY,MATCH($G$1,Database!$E$1:$AY$1,0),FALSE)</f>
        <v/>
      </c>
      <c r="H93" s="23">
        <f>(((Table134567891011121314151617343[[#This Row],[ITA]]-VLOOKUP($U$1,A:B,2,))/VLOOKUP($U$1,A:B,2,))*100)+100</f>
        <v/>
      </c>
      <c r="I93" s="23">
        <f>(((Table134567891011121314151617343[[#This Row],[FRA]]-VLOOKUP($U$1,A:C,3,))/VLOOKUP($U$1,A:C,3,))*100)+100</f>
        <v/>
      </c>
      <c r="J93" s="23">
        <f>(((Table134567891011121314151617343[[#This Row],[DEU]]-VLOOKUP($U$1,A:D,4,))/VLOOKUP($U$1,A:D,4,))*100)+100</f>
        <v/>
      </c>
      <c r="K93" s="23">
        <f>(((Table134567891011121314151617343[[#This Row],[ESP]]-VLOOKUP($U$1,A:E,5,))/VLOOKUP($U$1,A:E,5,))*100)+100</f>
        <v/>
      </c>
      <c r="L93" s="23">
        <f>(((Table134567891011121314151617343[[#This Row],[EA19]]-VLOOKUP($U$1,A:F,6,))/VLOOKUP($U$1,A:F,6,))*100)+100</f>
        <v/>
      </c>
      <c r="M93" s="23">
        <f>(((Table134567891011121314151617343[[#This Row],[GBR]]-VLOOKUP($U$1,A:G,7,))/VLOOKUP($U$1,A:G,7,))*100)+100</f>
        <v/>
      </c>
      <c r="N93" s="23">
        <f>VLOOKUP(A93,Database!$E:$AY,MATCH($N$1,Database!$E$1:$AY$1,0),FALSE)</f>
        <v/>
      </c>
      <c r="O93" s="23">
        <f>(((Table134567891011121314151617343[[#This Row],[USA]]-VLOOKUP($U$1,A:N,14,))/VLOOKUP($U$1,A:N,14,))*100)+100</f>
        <v/>
      </c>
      <c r="P93" s="23">
        <f>VLOOKUP(A93,Database!$E:$AY,MATCH($P$1,Database!$E$1:$AY$1,0),FALSE)</f>
        <v/>
      </c>
      <c r="Q93" s="23">
        <f>(((Table134567891011121314151617343[[#This Row],[JPN]]-VLOOKUP($U$1,A:Q,16,))/VLOOKUP($U$1,A:Q,16,))*100)+100</f>
        <v/>
      </c>
    </row>
    <row r="94" customFormat="1" s="100">
      <c r="A94" s="22" t="n">
        <v>35674</v>
      </c>
      <c r="B94" s="23">
        <f>VLOOKUP(A94,Database!$E:$AY,MATCH($B$1,Database!$E$1:$AY$1,0),FALSE)</f>
        <v/>
      </c>
      <c r="C94" s="23">
        <f>VLOOKUP(A94,Database!$E:$AY,MATCH($C$1,Database!$E$1:$AY$1,0),FALSE)</f>
        <v/>
      </c>
      <c r="D94" s="23">
        <f>VLOOKUP(A94,Database!$E:$AY,MATCH($D$1,Database!$E$1:$AY$1,0),FALSE)</f>
        <v/>
      </c>
      <c r="E94" s="23">
        <f>VLOOKUP(A94,Database!$E:$AY,MATCH($E$1,Database!$E$1:$AY$1,0),FALSE)</f>
        <v/>
      </c>
      <c r="F94" s="23">
        <f>VLOOKUP(A94,Database!$E:$AY,MATCH($F$1,Database!$E$1:$AY$1,0),FALSE)</f>
        <v/>
      </c>
      <c r="G94" s="23">
        <f>VLOOKUP(A94,Database!$E:$AY,MATCH($G$1,Database!$E$1:$AY$1,0),FALSE)</f>
        <v/>
      </c>
      <c r="H94" s="23">
        <f>(((Table134567891011121314151617343[[#This Row],[ITA]]-VLOOKUP($U$1,A:B,2,))/VLOOKUP($U$1,A:B,2,))*100)+100</f>
        <v/>
      </c>
      <c r="I94" s="23">
        <f>(((Table134567891011121314151617343[[#This Row],[FRA]]-VLOOKUP($U$1,A:C,3,))/VLOOKUP($U$1,A:C,3,))*100)+100</f>
        <v/>
      </c>
      <c r="J94" s="23">
        <f>(((Table134567891011121314151617343[[#This Row],[DEU]]-VLOOKUP($U$1,A:D,4,))/VLOOKUP($U$1,A:D,4,))*100)+100</f>
        <v/>
      </c>
      <c r="K94" s="23">
        <f>(((Table134567891011121314151617343[[#This Row],[ESP]]-VLOOKUP($U$1,A:E,5,))/VLOOKUP($U$1,A:E,5,))*100)+100</f>
        <v/>
      </c>
      <c r="L94" s="23">
        <f>(((Table134567891011121314151617343[[#This Row],[EA19]]-VLOOKUP($U$1,A:F,6,))/VLOOKUP($U$1,A:F,6,))*100)+100</f>
        <v/>
      </c>
      <c r="M94" s="23">
        <f>(((Table134567891011121314151617343[[#This Row],[GBR]]-VLOOKUP($U$1,A:G,7,))/VLOOKUP($U$1,A:G,7,))*100)+100</f>
        <v/>
      </c>
      <c r="N94" s="23">
        <f>VLOOKUP(A94,Database!$E:$AY,MATCH($N$1,Database!$E$1:$AY$1,0),FALSE)</f>
        <v/>
      </c>
      <c r="O94" s="23">
        <f>(((Table134567891011121314151617343[[#This Row],[USA]]-VLOOKUP($U$1,A:N,14,))/VLOOKUP($U$1,A:N,14,))*100)+100</f>
        <v/>
      </c>
      <c r="P94" s="23">
        <f>VLOOKUP(A94,Database!$E:$AY,MATCH($P$1,Database!$E$1:$AY$1,0),FALSE)</f>
        <v/>
      </c>
      <c r="Q94" s="23">
        <f>(((Table134567891011121314151617343[[#This Row],[JPN]]-VLOOKUP($U$1,A:Q,16,))/VLOOKUP($U$1,A:Q,16,))*100)+100</f>
        <v/>
      </c>
    </row>
    <row r="95" customFormat="1" s="100">
      <c r="A95" s="22" t="n">
        <v>35704</v>
      </c>
      <c r="B95" s="23">
        <f>VLOOKUP(A95,Database!$E:$AY,MATCH($B$1,Database!$E$1:$AY$1,0),FALSE)</f>
        <v/>
      </c>
      <c r="C95" s="23">
        <f>VLOOKUP(A95,Database!$E:$AY,MATCH($C$1,Database!$E$1:$AY$1,0),FALSE)</f>
        <v/>
      </c>
      <c r="D95" s="23">
        <f>VLOOKUP(A95,Database!$E:$AY,MATCH($D$1,Database!$E$1:$AY$1,0),FALSE)</f>
        <v/>
      </c>
      <c r="E95" s="23">
        <f>VLOOKUP(A95,Database!$E:$AY,MATCH($E$1,Database!$E$1:$AY$1,0),FALSE)</f>
        <v/>
      </c>
      <c r="F95" s="23">
        <f>VLOOKUP(A95,Database!$E:$AY,MATCH($F$1,Database!$E$1:$AY$1,0),FALSE)</f>
        <v/>
      </c>
      <c r="G95" s="23">
        <f>VLOOKUP(A95,Database!$E:$AY,MATCH($G$1,Database!$E$1:$AY$1,0),FALSE)</f>
        <v/>
      </c>
      <c r="H95" s="23">
        <f>(((Table134567891011121314151617343[[#This Row],[ITA]]-VLOOKUP($U$1,A:B,2,))/VLOOKUP($U$1,A:B,2,))*100)+100</f>
        <v/>
      </c>
      <c r="I95" s="23">
        <f>(((Table134567891011121314151617343[[#This Row],[FRA]]-VLOOKUP($U$1,A:C,3,))/VLOOKUP($U$1,A:C,3,))*100)+100</f>
        <v/>
      </c>
      <c r="J95" s="23">
        <f>(((Table134567891011121314151617343[[#This Row],[DEU]]-VLOOKUP($U$1,A:D,4,))/VLOOKUP($U$1,A:D,4,))*100)+100</f>
        <v/>
      </c>
      <c r="K95" s="23">
        <f>(((Table134567891011121314151617343[[#This Row],[ESP]]-VLOOKUP($U$1,A:E,5,))/VLOOKUP($U$1,A:E,5,))*100)+100</f>
        <v/>
      </c>
      <c r="L95" s="23">
        <f>(((Table134567891011121314151617343[[#This Row],[EA19]]-VLOOKUP($U$1,A:F,6,))/VLOOKUP($U$1,A:F,6,))*100)+100</f>
        <v/>
      </c>
      <c r="M95" s="23">
        <f>(((Table134567891011121314151617343[[#This Row],[GBR]]-VLOOKUP($U$1,A:G,7,))/VLOOKUP($U$1,A:G,7,))*100)+100</f>
        <v/>
      </c>
      <c r="N95" s="23">
        <f>VLOOKUP(A95,Database!$E:$AY,MATCH($N$1,Database!$E$1:$AY$1,0),FALSE)</f>
        <v/>
      </c>
      <c r="O95" s="23">
        <f>(((Table134567891011121314151617343[[#This Row],[USA]]-VLOOKUP($U$1,A:N,14,))/VLOOKUP($U$1,A:N,14,))*100)+100</f>
        <v/>
      </c>
      <c r="P95" s="23">
        <f>VLOOKUP(A95,Database!$E:$AY,MATCH($P$1,Database!$E$1:$AY$1,0),FALSE)</f>
        <v/>
      </c>
      <c r="Q95" s="23">
        <f>(((Table134567891011121314151617343[[#This Row],[JPN]]-VLOOKUP($U$1,A:Q,16,))/VLOOKUP($U$1,A:Q,16,))*100)+100</f>
        <v/>
      </c>
    </row>
    <row r="96" customFormat="1" s="100">
      <c r="A96" s="22" t="n">
        <v>35735</v>
      </c>
      <c r="B96" s="23">
        <f>VLOOKUP(A96,Database!$E:$AY,MATCH($B$1,Database!$E$1:$AY$1,0),FALSE)</f>
        <v/>
      </c>
      <c r="C96" s="23">
        <f>VLOOKUP(A96,Database!$E:$AY,MATCH($C$1,Database!$E$1:$AY$1,0),FALSE)</f>
        <v/>
      </c>
      <c r="D96" s="23">
        <f>VLOOKUP(A96,Database!$E:$AY,MATCH($D$1,Database!$E$1:$AY$1,0),FALSE)</f>
        <v/>
      </c>
      <c r="E96" s="23">
        <f>VLOOKUP(A96,Database!$E:$AY,MATCH($E$1,Database!$E$1:$AY$1,0),FALSE)</f>
        <v/>
      </c>
      <c r="F96" s="23">
        <f>VLOOKUP(A96,Database!$E:$AY,MATCH($F$1,Database!$E$1:$AY$1,0),FALSE)</f>
        <v/>
      </c>
      <c r="G96" s="23">
        <f>VLOOKUP(A96,Database!$E:$AY,MATCH($G$1,Database!$E$1:$AY$1,0),FALSE)</f>
        <v/>
      </c>
      <c r="H96" s="23">
        <f>(((Table134567891011121314151617343[[#This Row],[ITA]]-VLOOKUP($U$1,A:B,2,))/VLOOKUP($U$1,A:B,2,))*100)+100</f>
        <v/>
      </c>
      <c r="I96" s="23">
        <f>(((Table134567891011121314151617343[[#This Row],[FRA]]-VLOOKUP($U$1,A:C,3,))/VLOOKUP($U$1,A:C,3,))*100)+100</f>
        <v/>
      </c>
      <c r="J96" s="23">
        <f>(((Table134567891011121314151617343[[#This Row],[DEU]]-VLOOKUP($U$1,A:D,4,))/VLOOKUP($U$1,A:D,4,))*100)+100</f>
        <v/>
      </c>
      <c r="K96" s="23">
        <f>(((Table134567891011121314151617343[[#This Row],[ESP]]-VLOOKUP($U$1,A:E,5,))/VLOOKUP($U$1,A:E,5,))*100)+100</f>
        <v/>
      </c>
      <c r="L96" s="23">
        <f>(((Table134567891011121314151617343[[#This Row],[EA19]]-VLOOKUP($U$1,A:F,6,))/VLOOKUP($U$1,A:F,6,))*100)+100</f>
        <v/>
      </c>
      <c r="M96" s="23">
        <f>(((Table134567891011121314151617343[[#This Row],[GBR]]-VLOOKUP($U$1,A:G,7,))/VLOOKUP($U$1,A:G,7,))*100)+100</f>
        <v/>
      </c>
      <c r="N96" s="23">
        <f>VLOOKUP(A96,Database!$E:$AY,MATCH($N$1,Database!$E$1:$AY$1,0),FALSE)</f>
        <v/>
      </c>
      <c r="O96" s="23">
        <f>(((Table134567891011121314151617343[[#This Row],[USA]]-VLOOKUP($U$1,A:N,14,))/VLOOKUP($U$1,A:N,14,))*100)+100</f>
        <v/>
      </c>
      <c r="P96" s="23">
        <f>VLOOKUP(A96,Database!$E:$AY,MATCH($P$1,Database!$E$1:$AY$1,0),FALSE)</f>
        <v/>
      </c>
      <c r="Q96" s="23">
        <f>(((Table134567891011121314151617343[[#This Row],[JPN]]-VLOOKUP($U$1,A:Q,16,))/VLOOKUP($U$1,A:Q,16,))*100)+100</f>
        <v/>
      </c>
    </row>
    <row r="97" customFormat="1" s="100">
      <c r="A97" s="22" t="n">
        <v>35765</v>
      </c>
      <c r="B97" s="23">
        <f>VLOOKUP(A97,Database!$E:$AY,MATCH($B$1,Database!$E$1:$AY$1,0),FALSE)</f>
        <v/>
      </c>
      <c r="C97" s="23">
        <f>VLOOKUP(A97,Database!$E:$AY,MATCH($C$1,Database!$E$1:$AY$1,0),FALSE)</f>
        <v/>
      </c>
      <c r="D97" s="23">
        <f>VLOOKUP(A97,Database!$E:$AY,MATCH($D$1,Database!$E$1:$AY$1,0),FALSE)</f>
        <v/>
      </c>
      <c r="E97" s="23">
        <f>VLOOKUP(A97,Database!$E:$AY,MATCH($E$1,Database!$E$1:$AY$1,0),FALSE)</f>
        <v/>
      </c>
      <c r="F97" s="23">
        <f>VLOOKUP(A97,Database!$E:$AY,MATCH($F$1,Database!$E$1:$AY$1,0),FALSE)</f>
        <v/>
      </c>
      <c r="G97" s="23">
        <f>VLOOKUP(A97,Database!$E:$AY,MATCH($G$1,Database!$E$1:$AY$1,0),FALSE)</f>
        <v/>
      </c>
      <c r="H97" s="23">
        <f>(((Table134567891011121314151617343[[#This Row],[ITA]]-VLOOKUP($U$1,A:B,2,))/VLOOKUP($U$1,A:B,2,))*100)+100</f>
        <v/>
      </c>
      <c r="I97" s="23">
        <f>(((Table134567891011121314151617343[[#This Row],[FRA]]-VLOOKUP($U$1,A:C,3,))/VLOOKUP($U$1,A:C,3,))*100)+100</f>
        <v/>
      </c>
      <c r="J97" s="23">
        <f>(((Table134567891011121314151617343[[#This Row],[DEU]]-VLOOKUP($U$1,A:D,4,))/VLOOKUP($U$1,A:D,4,))*100)+100</f>
        <v/>
      </c>
      <c r="K97" s="23">
        <f>(((Table134567891011121314151617343[[#This Row],[ESP]]-VLOOKUP($U$1,A:E,5,))/VLOOKUP($U$1,A:E,5,))*100)+100</f>
        <v/>
      </c>
      <c r="L97" s="23">
        <f>(((Table134567891011121314151617343[[#This Row],[EA19]]-VLOOKUP($U$1,A:F,6,))/VLOOKUP($U$1,A:F,6,))*100)+100</f>
        <v/>
      </c>
      <c r="M97" s="23">
        <f>(((Table134567891011121314151617343[[#This Row],[GBR]]-VLOOKUP($U$1,A:G,7,))/VLOOKUP($U$1,A:G,7,))*100)+100</f>
        <v/>
      </c>
      <c r="N97" s="23">
        <f>VLOOKUP(A97,Database!$E:$AY,MATCH($N$1,Database!$E$1:$AY$1,0),FALSE)</f>
        <v/>
      </c>
      <c r="O97" s="23">
        <f>(((Table134567891011121314151617343[[#This Row],[USA]]-VLOOKUP($U$1,A:N,14,))/VLOOKUP($U$1,A:N,14,))*100)+100</f>
        <v/>
      </c>
      <c r="P97" s="23">
        <f>VLOOKUP(A97,Database!$E:$AY,MATCH($P$1,Database!$E$1:$AY$1,0),FALSE)</f>
        <v/>
      </c>
      <c r="Q97" s="23">
        <f>(((Table134567891011121314151617343[[#This Row],[JPN]]-VLOOKUP($U$1,A:Q,16,))/VLOOKUP($U$1,A:Q,16,))*100)+100</f>
        <v/>
      </c>
    </row>
    <row r="98" customFormat="1" s="100">
      <c r="A98" s="22" t="n">
        <v>35796</v>
      </c>
      <c r="B98" s="23">
        <f>VLOOKUP(A98,Database!$E:$AY,MATCH($B$1,Database!$E$1:$AY$1,0),FALSE)</f>
        <v/>
      </c>
      <c r="C98" s="23">
        <f>VLOOKUP(A98,Database!$E:$AY,MATCH($C$1,Database!$E$1:$AY$1,0),FALSE)</f>
        <v/>
      </c>
      <c r="D98" s="23">
        <f>VLOOKUP(A98,Database!$E:$AY,MATCH($D$1,Database!$E$1:$AY$1,0),FALSE)</f>
        <v/>
      </c>
      <c r="E98" s="23">
        <f>VLOOKUP(A98,Database!$E:$AY,MATCH($E$1,Database!$E$1:$AY$1,0),FALSE)</f>
        <v/>
      </c>
      <c r="F98" s="23">
        <f>VLOOKUP(A98,Database!$E:$AY,MATCH($F$1,Database!$E$1:$AY$1,0),FALSE)</f>
        <v/>
      </c>
      <c r="G98" s="23">
        <f>VLOOKUP(A98,Database!$E:$AY,MATCH($G$1,Database!$E$1:$AY$1,0),FALSE)</f>
        <v/>
      </c>
      <c r="H98" s="23">
        <f>(((Table134567891011121314151617343[[#This Row],[ITA]]-VLOOKUP($U$1,A:B,2,))/VLOOKUP($U$1,A:B,2,))*100)+100</f>
        <v/>
      </c>
      <c r="I98" s="23">
        <f>(((Table134567891011121314151617343[[#This Row],[FRA]]-VLOOKUP($U$1,A:C,3,))/VLOOKUP($U$1,A:C,3,))*100)+100</f>
        <v/>
      </c>
      <c r="J98" s="23">
        <f>(((Table134567891011121314151617343[[#This Row],[DEU]]-VLOOKUP($U$1,A:D,4,))/VLOOKUP($U$1,A:D,4,))*100)+100</f>
        <v/>
      </c>
      <c r="K98" s="23">
        <f>(((Table134567891011121314151617343[[#This Row],[ESP]]-VLOOKUP($U$1,A:E,5,))/VLOOKUP($U$1,A:E,5,))*100)+100</f>
        <v/>
      </c>
      <c r="L98" s="23">
        <f>(((Table134567891011121314151617343[[#This Row],[EA19]]-VLOOKUP($U$1,A:F,6,))/VLOOKUP($U$1,A:F,6,))*100)+100</f>
        <v/>
      </c>
      <c r="M98" s="23">
        <f>(((Table134567891011121314151617343[[#This Row],[GBR]]-VLOOKUP($U$1,A:G,7,))/VLOOKUP($U$1,A:G,7,))*100)+100</f>
        <v/>
      </c>
      <c r="N98" s="23">
        <f>VLOOKUP(A98,Database!$E:$AY,MATCH($N$1,Database!$E$1:$AY$1,0),FALSE)</f>
        <v/>
      </c>
      <c r="O98" s="23">
        <f>(((Table134567891011121314151617343[[#This Row],[USA]]-VLOOKUP($U$1,A:N,14,))/VLOOKUP($U$1,A:N,14,))*100)+100</f>
        <v/>
      </c>
      <c r="P98" s="23">
        <f>VLOOKUP(A98,Database!$E:$AY,MATCH($P$1,Database!$E$1:$AY$1,0),FALSE)</f>
        <v/>
      </c>
      <c r="Q98" s="23">
        <f>(((Table134567891011121314151617343[[#This Row],[JPN]]-VLOOKUP($U$1,A:Q,16,))/VLOOKUP($U$1,A:Q,16,))*100)+100</f>
        <v/>
      </c>
    </row>
    <row r="99" customFormat="1" s="100">
      <c r="A99" s="22" t="n">
        <v>35827</v>
      </c>
      <c r="B99" s="23">
        <f>VLOOKUP(A99,Database!$E:$AY,MATCH($B$1,Database!$E$1:$AY$1,0),FALSE)</f>
        <v/>
      </c>
      <c r="C99" s="23">
        <f>VLOOKUP(A99,Database!$E:$AY,MATCH($C$1,Database!$E$1:$AY$1,0),FALSE)</f>
        <v/>
      </c>
      <c r="D99" s="23">
        <f>VLOOKUP(A99,Database!$E:$AY,MATCH($D$1,Database!$E$1:$AY$1,0),FALSE)</f>
        <v/>
      </c>
      <c r="E99" s="23">
        <f>VLOOKUP(A99,Database!$E:$AY,MATCH($E$1,Database!$E$1:$AY$1,0),FALSE)</f>
        <v/>
      </c>
      <c r="F99" s="23">
        <f>VLOOKUP(A99,Database!$E:$AY,MATCH($F$1,Database!$E$1:$AY$1,0),FALSE)</f>
        <v/>
      </c>
      <c r="G99" s="23">
        <f>VLOOKUP(A99,Database!$E:$AY,MATCH($G$1,Database!$E$1:$AY$1,0),FALSE)</f>
        <v/>
      </c>
      <c r="H99" s="23">
        <f>(((Table134567891011121314151617343[[#This Row],[ITA]]-VLOOKUP($U$1,A:B,2,))/VLOOKUP($U$1,A:B,2,))*100)+100</f>
        <v/>
      </c>
      <c r="I99" s="23">
        <f>(((Table134567891011121314151617343[[#This Row],[FRA]]-VLOOKUP($U$1,A:C,3,))/VLOOKUP($U$1,A:C,3,))*100)+100</f>
        <v/>
      </c>
      <c r="J99" s="23">
        <f>(((Table134567891011121314151617343[[#This Row],[DEU]]-VLOOKUP($U$1,A:D,4,))/VLOOKUP($U$1,A:D,4,))*100)+100</f>
        <v/>
      </c>
      <c r="K99" s="23">
        <f>(((Table134567891011121314151617343[[#This Row],[ESP]]-VLOOKUP($U$1,A:E,5,))/VLOOKUP($U$1,A:E,5,))*100)+100</f>
        <v/>
      </c>
      <c r="L99" s="23">
        <f>(((Table134567891011121314151617343[[#This Row],[EA19]]-VLOOKUP($U$1,A:F,6,))/VLOOKUP($U$1,A:F,6,))*100)+100</f>
        <v/>
      </c>
      <c r="M99" s="23">
        <f>(((Table134567891011121314151617343[[#This Row],[GBR]]-VLOOKUP($U$1,A:G,7,))/VLOOKUP($U$1,A:G,7,))*100)+100</f>
        <v/>
      </c>
      <c r="N99" s="23">
        <f>VLOOKUP(A99,Database!$E:$AY,MATCH($N$1,Database!$E$1:$AY$1,0),FALSE)</f>
        <v/>
      </c>
      <c r="O99" s="23">
        <f>(((Table134567891011121314151617343[[#This Row],[USA]]-VLOOKUP($U$1,A:N,14,))/VLOOKUP($U$1,A:N,14,))*100)+100</f>
        <v/>
      </c>
      <c r="P99" s="23">
        <f>VLOOKUP(A99,Database!$E:$AY,MATCH($P$1,Database!$E$1:$AY$1,0),FALSE)</f>
        <v/>
      </c>
      <c r="Q99" s="23">
        <f>(((Table134567891011121314151617343[[#This Row],[JPN]]-VLOOKUP($U$1,A:Q,16,))/VLOOKUP($U$1,A:Q,16,))*100)+100</f>
        <v/>
      </c>
    </row>
    <row r="100" customFormat="1" s="100">
      <c r="A100" s="22" t="n">
        <v>35855</v>
      </c>
      <c r="B100" s="23">
        <f>VLOOKUP(A100,Database!$E:$AY,MATCH($B$1,Database!$E$1:$AY$1,0),FALSE)</f>
        <v/>
      </c>
      <c r="C100" s="23">
        <f>VLOOKUP(A100,Database!$E:$AY,MATCH($C$1,Database!$E$1:$AY$1,0),FALSE)</f>
        <v/>
      </c>
      <c r="D100" s="23">
        <f>VLOOKUP(A100,Database!$E:$AY,MATCH($D$1,Database!$E$1:$AY$1,0),FALSE)</f>
        <v/>
      </c>
      <c r="E100" s="23">
        <f>VLOOKUP(A100,Database!$E:$AY,MATCH($E$1,Database!$E$1:$AY$1,0),FALSE)</f>
        <v/>
      </c>
      <c r="F100" s="23">
        <f>VLOOKUP(A100,Database!$E:$AY,MATCH($F$1,Database!$E$1:$AY$1,0),FALSE)</f>
        <v/>
      </c>
      <c r="G100" s="23">
        <f>VLOOKUP(A100,Database!$E:$AY,MATCH($G$1,Database!$E$1:$AY$1,0),FALSE)</f>
        <v/>
      </c>
      <c r="H100" s="23">
        <f>(((Table134567891011121314151617343[[#This Row],[ITA]]-VLOOKUP($U$1,A:B,2,))/VLOOKUP($U$1,A:B,2,))*100)+100</f>
        <v/>
      </c>
      <c r="I100" s="23">
        <f>(((Table134567891011121314151617343[[#This Row],[FRA]]-VLOOKUP($U$1,A:C,3,))/VLOOKUP($U$1,A:C,3,))*100)+100</f>
        <v/>
      </c>
      <c r="J100" s="23">
        <f>(((Table134567891011121314151617343[[#This Row],[DEU]]-VLOOKUP($U$1,A:D,4,))/VLOOKUP($U$1,A:D,4,))*100)+100</f>
        <v/>
      </c>
      <c r="K100" s="23">
        <f>(((Table134567891011121314151617343[[#This Row],[ESP]]-VLOOKUP($U$1,A:E,5,))/VLOOKUP($U$1,A:E,5,))*100)+100</f>
        <v/>
      </c>
      <c r="L100" s="23">
        <f>(((Table134567891011121314151617343[[#This Row],[EA19]]-VLOOKUP($U$1,A:F,6,))/VLOOKUP($U$1,A:F,6,))*100)+100</f>
        <v/>
      </c>
      <c r="M100" s="23">
        <f>(((Table134567891011121314151617343[[#This Row],[GBR]]-VLOOKUP($U$1,A:G,7,))/VLOOKUP($U$1,A:G,7,))*100)+100</f>
        <v/>
      </c>
      <c r="N100" s="23">
        <f>VLOOKUP(A100,Database!$E:$AY,MATCH($N$1,Database!$E$1:$AY$1,0),FALSE)</f>
        <v/>
      </c>
      <c r="O100" s="23">
        <f>(((Table134567891011121314151617343[[#This Row],[USA]]-VLOOKUP($U$1,A:N,14,))/VLOOKUP($U$1,A:N,14,))*100)+100</f>
        <v/>
      </c>
      <c r="P100" s="23">
        <f>VLOOKUP(A100,Database!$E:$AY,MATCH($P$1,Database!$E$1:$AY$1,0),FALSE)</f>
        <v/>
      </c>
      <c r="Q100" s="23">
        <f>(((Table134567891011121314151617343[[#This Row],[JPN]]-VLOOKUP($U$1,A:Q,16,))/VLOOKUP($U$1,A:Q,16,))*100)+100</f>
        <v/>
      </c>
    </row>
    <row r="101" customFormat="1" s="100">
      <c r="A101" s="22" t="n">
        <v>35886</v>
      </c>
      <c r="B101" s="23">
        <f>VLOOKUP(A101,Database!$E:$AY,MATCH($B$1,Database!$E$1:$AY$1,0),FALSE)</f>
        <v/>
      </c>
      <c r="C101" s="23">
        <f>VLOOKUP(A101,Database!$E:$AY,MATCH($C$1,Database!$E$1:$AY$1,0),FALSE)</f>
        <v/>
      </c>
      <c r="D101" s="23">
        <f>VLOOKUP(A101,Database!$E:$AY,MATCH($D$1,Database!$E$1:$AY$1,0),FALSE)</f>
        <v/>
      </c>
      <c r="E101" s="23">
        <f>VLOOKUP(A101,Database!$E:$AY,MATCH($E$1,Database!$E$1:$AY$1,0),FALSE)</f>
        <v/>
      </c>
      <c r="F101" s="23">
        <f>VLOOKUP(A101,Database!$E:$AY,MATCH($F$1,Database!$E$1:$AY$1,0),FALSE)</f>
        <v/>
      </c>
      <c r="G101" s="23">
        <f>VLOOKUP(A101,Database!$E:$AY,MATCH($G$1,Database!$E$1:$AY$1,0),FALSE)</f>
        <v/>
      </c>
      <c r="H101" s="23">
        <f>(((Table134567891011121314151617343[[#This Row],[ITA]]-VLOOKUP($U$1,A:B,2,))/VLOOKUP($U$1,A:B,2,))*100)+100</f>
        <v/>
      </c>
      <c r="I101" s="23">
        <f>(((Table134567891011121314151617343[[#This Row],[FRA]]-VLOOKUP($U$1,A:C,3,))/VLOOKUP($U$1,A:C,3,))*100)+100</f>
        <v/>
      </c>
      <c r="J101" s="23">
        <f>(((Table134567891011121314151617343[[#This Row],[DEU]]-VLOOKUP($U$1,A:D,4,))/VLOOKUP($U$1,A:D,4,))*100)+100</f>
        <v/>
      </c>
      <c r="K101" s="23">
        <f>(((Table134567891011121314151617343[[#This Row],[ESP]]-VLOOKUP($U$1,A:E,5,))/VLOOKUP($U$1,A:E,5,))*100)+100</f>
        <v/>
      </c>
      <c r="L101" s="23">
        <f>(((Table134567891011121314151617343[[#This Row],[EA19]]-VLOOKUP($U$1,A:F,6,))/VLOOKUP($U$1,A:F,6,))*100)+100</f>
        <v/>
      </c>
      <c r="M101" s="23">
        <f>(((Table134567891011121314151617343[[#This Row],[GBR]]-VLOOKUP($U$1,A:G,7,))/VLOOKUP($U$1,A:G,7,))*100)+100</f>
        <v/>
      </c>
      <c r="N101" s="23">
        <f>VLOOKUP(A101,Database!$E:$AY,MATCH($N$1,Database!$E$1:$AY$1,0),FALSE)</f>
        <v/>
      </c>
      <c r="O101" s="23">
        <f>(((Table134567891011121314151617343[[#This Row],[USA]]-VLOOKUP($U$1,A:N,14,))/VLOOKUP($U$1,A:N,14,))*100)+100</f>
        <v/>
      </c>
      <c r="P101" s="23">
        <f>VLOOKUP(A101,Database!$E:$AY,MATCH($P$1,Database!$E$1:$AY$1,0),FALSE)</f>
        <v/>
      </c>
      <c r="Q101" s="23">
        <f>(((Table134567891011121314151617343[[#This Row],[JPN]]-VLOOKUP($U$1,A:Q,16,))/VLOOKUP($U$1,A:Q,16,))*100)+100</f>
        <v/>
      </c>
    </row>
    <row r="102" customFormat="1" s="100">
      <c r="A102" s="22" t="n">
        <v>35916</v>
      </c>
      <c r="B102" s="23">
        <f>VLOOKUP(A102,Database!$E:$AY,MATCH($B$1,Database!$E$1:$AY$1,0),FALSE)</f>
        <v/>
      </c>
      <c r="C102" s="23">
        <f>VLOOKUP(A102,Database!$E:$AY,MATCH($C$1,Database!$E$1:$AY$1,0),FALSE)</f>
        <v/>
      </c>
      <c r="D102" s="23">
        <f>VLOOKUP(A102,Database!$E:$AY,MATCH($D$1,Database!$E$1:$AY$1,0),FALSE)</f>
        <v/>
      </c>
      <c r="E102" s="23">
        <f>VLOOKUP(A102,Database!$E:$AY,MATCH($E$1,Database!$E$1:$AY$1,0),FALSE)</f>
        <v/>
      </c>
      <c r="F102" s="23">
        <f>VLOOKUP(A102,Database!$E:$AY,MATCH($F$1,Database!$E$1:$AY$1,0),FALSE)</f>
        <v/>
      </c>
      <c r="G102" s="23">
        <f>VLOOKUP(A102,Database!$E:$AY,MATCH($G$1,Database!$E$1:$AY$1,0),FALSE)</f>
        <v/>
      </c>
      <c r="H102" s="23">
        <f>(((Table134567891011121314151617343[[#This Row],[ITA]]-VLOOKUP($U$1,A:B,2,))/VLOOKUP($U$1,A:B,2,))*100)+100</f>
        <v/>
      </c>
      <c r="I102" s="23">
        <f>(((Table134567891011121314151617343[[#This Row],[FRA]]-VLOOKUP($U$1,A:C,3,))/VLOOKUP($U$1,A:C,3,))*100)+100</f>
        <v/>
      </c>
      <c r="J102" s="23">
        <f>(((Table134567891011121314151617343[[#This Row],[DEU]]-VLOOKUP($U$1,A:D,4,))/VLOOKUP($U$1,A:D,4,))*100)+100</f>
        <v/>
      </c>
      <c r="K102" s="23">
        <f>(((Table134567891011121314151617343[[#This Row],[ESP]]-VLOOKUP($U$1,A:E,5,))/VLOOKUP($U$1,A:E,5,))*100)+100</f>
        <v/>
      </c>
      <c r="L102" s="23">
        <f>(((Table134567891011121314151617343[[#This Row],[EA19]]-VLOOKUP($U$1,A:F,6,))/VLOOKUP($U$1,A:F,6,))*100)+100</f>
        <v/>
      </c>
      <c r="M102" s="23">
        <f>(((Table134567891011121314151617343[[#This Row],[GBR]]-VLOOKUP($U$1,A:G,7,))/VLOOKUP($U$1,A:G,7,))*100)+100</f>
        <v/>
      </c>
      <c r="N102" s="23">
        <f>VLOOKUP(A102,Database!$E:$AY,MATCH($N$1,Database!$E$1:$AY$1,0),FALSE)</f>
        <v/>
      </c>
      <c r="O102" s="23">
        <f>(((Table134567891011121314151617343[[#This Row],[USA]]-VLOOKUP($U$1,A:N,14,))/VLOOKUP($U$1,A:N,14,))*100)+100</f>
        <v/>
      </c>
      <c r="P102" s="23">
        <f>VLOOKUP(A102,Database!$E:$AY,MATCH($P$1,Database!$E$1:$AY$1,0),FALSE)</f>
        <v/>
      </c>
      <c r="Q102" s="23">
        <f>(((Table134567891011121314151617343[[#This Row],[JPN]]-VLOOKUP($U$1,A:Q,16,))/VLOOKUP($U$1,A:Q,16,))*100)+100</f>
        <v/>
      </c>
    </row>
    <row r="103" customFormat="1" s="100">
      <c r="A103" s="22" t="n">
        <v>35947</v>
      </c>
      <c r="B103" s="23">
        <f>VLOOKUP(A103,Database!$E:$AY,MATCH($B$1,Database!$E$1:$AY$1,0),FALSE)</f>
        <v/>
      </c>
      <c r="C103" s="23">
        <f>VLOOKUP(A103,Database!$E:$AY,MATCH($C$1,Database!$E$1:$AY$1,0),FALSE)</f>
        <v/>
      </c>
      <c r="D103" s="23">
        <f>VLOOKUP(A103,Database!$E:$AY,MATCH($D$1,Database!$E$1:$AY$1,0),FALSE)</f>
        <v/>
      </c>
      <c r="E103" s="23">
        <f>VLOOKUP(A103,Database!$E:$AY,MATCH($E$1,Database!$E$1:$AY$1,0),FALSE)</f>
        <v/>
      </c>
      <c r="F103" s="23">
        <f>VLOOKUP(A103,Database!$E:$AY,MATCH($F$1,Database!$E$1:$AY$1,0),FALSE)</f>
        <v/>
      </c>
      <c r="G103" s="23">
        <f>VLOOKUP(A103,Database!$E:$AY,MATCH($G$1,Database!$E$1:$AY$1,0),FALSE)</f>
        <v/>
      </c>
      <c r="H103" s="23">
        <f>(((Table134567891011121314151617343[[#This Row],[ITA]]-VLOOKUP($U$1,A:B,2,))/VLOOKUP($U$1,A:B,2,))*100)+100</f>
        <v/>
      </c>
      <c r="I103" s="23">
        <f>(((Table134567891011121314151617343[[#This Row],[FRA]]-VLOOKUP($U$1,A:C,3,))/VLOOKUP($U$1,A:C,3,))*100)+100</f>
        <v/>
      </c>
      <c r="J103" s="23">
        <f>(((Table134567891011121314151617343[[#This Row],[DEU]]-VLOOKUP($U$1,A:D,4,))/VLOOKUP($U$1,A:D,4,))*100)+100</f>
        <v/>
      </c>
      <c r="K103" s="23">
        <f>(((Table134567891011121314151617343[[#This Row],[ESP]]-VLOOKUP($U$1,A:E,5,))/VLOOKUP($U$1,A:E,5,))*100)+100</f>
        <v/>
      </c>
      <c r="L103" s="23">
        <f>(((Table134567891011121314151617343[[#This Row],[EA19]]-VLOOKUP($U$1,A:F,6,))/VLOOKUP($U$1,A:F,6,))*100)+100</f>
        <v/>
      </c>
      <c r="M103" s="23">
        <f>(((Table134567891011121314151617343[[#This Row],[GBR]]-VLOOKUP($U$1,A:G,7,))/VLOOKUP($U$1,A:G,7,))*100)+100</f>
        <v/>
      </c>
      <c r="N103" s="23">
        <f>VLOOKUP(A103,Database!$E:$AY,MATCH($N$1,Database!$E$1:$AY$1,0),FALSE)</f>
        <v/>
      </c>
      <c r="O103" s="23">
        <f>(((Table134567891011121314151617343[[#This Row],[USA]]-VLOOKUP($U$1,A:N,14,))/VLOOKUP($U$1,A:N,14,))*100)+100</f>
        <v/>
      </c>
      <c r="P103" s="23">
        <f>VLOOKUP(A103,Database!$E:$AY,MATCH($P$1,Database!$E$1:$AY$1,0),FALSE)</f>
        <v/>
      </c>
      <c r="Q103" s="23">
        <f>(((Table134567891011121314151617343[[#This Row],[JPN]]-VLOOKUP($U$1,A:Q,16,))/VLOOKUP($U$1,A:Q,16,))*100)+100</f>
        <v/>
      </c>
    </row>
    <row r="104" customFormat="1" s="100">
      <c r="A104" s="22" t="n">
        <v>35977</v>
      </c>
      <c r="B104" s="23">
        <f>VLOOKUP(A104,Database!$E:$AY,MATCH($B$1,Database!$E$1:$AY$1,0),FALSE)</f>
        <v/>
      </c>
      <c r="C104" s="23">
        <f>VLOOKUP(A104,Database!$E:$AY,MATCH($C$1,Database!$E$1:$AY$1,0),FALSE)</f>
        <v/>
      </c>
      <c r="D104" s="23">
        <f>VLOOKUP(A104,Database!$E:$AY,MATCH($D$1,Database!$E$1:$AY$1,0),FALSE)</f>
        <v/>
      </c>
      <c r="E104" s="23">
        <f>VLOOKUP(A104,Database!$E:$AY,MATCH($E$1,Database!$E$1:$AY$1,0),FALSE)</f>
        <v/>
      </c>
      <c r="F104" s="23">
        <f>VLOOKUP(A104,Database!$E:$AY,MATCH($F$1,Database!$E$1:$AY$1,0),FALSE)</f>
        <v/>
      </c>
      <c r="G104" s="23">
        <f>VLOOKUP(A104,Database!$E:$AY,MATCH($G$1,Database!$E$1:$AY$1,0),FALSE)</f>
        <v/>
      </c>
      <c r="H104" s="23">
        <f>(((Table134567891011121314151617343[[#This Row],[ITA]]-VLOOKUP($U$1,A:B,2,))/VLOOKUP($U$1,A:B,2,))*100)+100</f>
        <v/>
      </c>
      <c r="I104" s="23">
        <f>(((Table134567891011121314151617343[[#This Row],[FRA]]-VLOOKUP($U$1,A:C,3,))/VLOOKUP($U$1,A:C,3,))*100)+100</f>
        <v/>
      </c>
      <c r="J104" s="23">
        <f>(((Table134567891011121314151617343[[#This Row],[DEU]]-VLOOKUP($U$1,A:D,4,))/VLOOKUP($U$1,A:D,4,))*100)+100</f>
        <v/>
      </c>
      <c r="K104" s="23">
        <f>(((Table134567891011121314151617343[[#This Row],[ESP]]-VLOOKUP($U$1,A:E,5,))/VLOOKUP($U$1,A:E,5,))*100)+100</f>
        <v/>
      </c>
      <c r="L104" s="23">
        <f>(((Table134567891011121314151617343[[#This Row],[EA19]]-VLOOKUP($U$1,A:F,6,))/VLOOKUP($U$1,A:F,6,))*100)+100</f>
        <v/>
      </c>
      <c r="M104" s="23">
        <f>(((Table134567891011121314151617343[[#This Row],[GBR]]-VLOOKUP($U$1,A:G,7,))/VLOOKUP($U$1,A:G,7,))*100)+100</f>
        <v/>
      </c>
      <c r="N104" s="23">
        <f>VLOOKUP(A104,Database!$E:$AY,MATCH($N$1,Database!$E$1:$AY$1,0),FALSE)</f>
        <v/>
      </c>
      <c r="O104" s="23">
        <f>(((Table134567891011121314151617343[[#This Row],[USA]]-VLOOKUP($U$1,A:N,14,))/VLOOKUP($U$1,A:N,14,))*100)+100</f>
        <v/>
      </c>
      <c r="P104" s="23">
        <f>VLOOKUP(A104,Database!$E:$AY,MATCH($P$1,Database!$E$1:$AY$1,0),FALSE)</f>
        <v/>
      </c>
      <c r="Q104" s="23">
        <f>(((Table134567891011121314151617343[[#This Row],[JPN]]-VLOOKUP($U$1,A:Q,16,))/VLOOKUP($U$1,A:Q,16,))*100)+100</f>
        <v/>
      </c>
    </row>
    <row r="105" customFormat="1" s="100">
      <c r="A105" s="22" t="n">
        <v>36008</v>
      </c>
      <c r="B105" s="23">
        <f>VLOOKUP(A105,Database!$E:$AY,MATCH($B$1,Database!$E$1:$AY$1,0),FALSE)</f>
        <v/>
      </c>
      <c r="C105" s="23">
        <f>VLOOKUP(A105,Database!$E:$AY,MATCH($C$1,Database!$E$1:$AY$1,0),FALSE)</f>
        <v/>
      </c>
      <c r="D105" s="23">
        <f>VLOOKUP(A105,Database!$E:$AY,MATCH($D$1,Database!$E$1:$AY$1,0),FALSE)</f>
        <v/>
      </c>
      <c r="E105" s="23">
        <f>VLOOKUP(A105,Database!$E:$AY,MATCH($E$1,Database!$E$1:$AY$1,0),FALSE)</f>
        <v/>
      </c>
      <c r="F105" s="23">
        <f>VLOOKUP(A105,Database!$E:$AY,MATCH($F$1,Database!$E$1:$AY$1,0),FALSE)</f>
        <v/>
      </c>
      <c r="G105" s="23">
        <f>VLOOKUP(A105,Database!$E:$AY,MATCH($G$1,Database!$E$1:$AY$1,0),FALSE)</f>
        <v/>
      </c>
      <c r="H105" s="23">
        <f>(((Table134567891011121314151617343[[#This Row],[ITA]]-VLOOKUP($U$1,A:B,2,))/VLOOKUP($U$1,A:B,2,))*100)+100</f>
        <v/>
      </c>
      <c r="I105" s="23">
        <f>(((Table134567891011121314151617343[[#This Row],[FRA]]-VLOOKUP($U$1,A:C,3,))/VLOOKUP($U$1,A:C,3,))*100)+100</f>
        <v/>
      </c>
      <c r="J105" s="23">
        <f>(((Table134567891011121314151617343[[#This Row],[DEU]]-VLOOKUP($U$1,A:D,4,))/VLOOKUP($U$1,A:D,4,))*100)+100</f>
        <v/>
      </c>
      <c r="K105" s="23">
        <f>(((Table134567891011121314151617343[[#This Row],[ESP]]-VLOOKUP($U$1,A:E,5,))/VLOOKUP($U$1,A:E,5,))*100)+100</f>
        <v/>
      </c>
      <c r="L105" s="23">
        <f>(((Table134567891011121314151617343[[#This Row],[EA19]]-VLOOKUP($U$1,A:F,6,))/VLOOKUP($U$1,A:F,6,))*100)+100</f>
        <v/>
      </c>
      <c r="M105" s="23">
        <f>(((Table134567891011121314151617343[[#This Row],[GBR]]-VLOOKUP($U$1,A:G,7,))/VLOOKUP($U$1,A:G,7,))*100)+100</f>
        <v/>
      </c>
      <c r="N105" s="23">
        <f>VLOOKUP(A105,Database!$E:$AY,MATCH($N$1,Database!$E$1:$AY$1,0),FALSE)</f>
        <v/>
      </c>
      <c r="O105" s="23">
        <f>(((Table134567891011121314151617343[[#This Row],[USA]]-VLOOKUP($U$1,A:N,14,))/VLOOKUP($U$1,A:N,14,))*100)+100</f>
        <v/>
      </c>
      <c r="P105" s="23">
        <f>VLOOKUP(A105,Database!$E:$AY,MATCH($P$1,Database!$E$1:$AY$1,0),FALSE)</f>
        <v/>
      </c>
      <c r="Q105" s="23">
        <f>(((Table134567891011121314151617343[[#This Row],[JPN]]-VLOOKUP($U$1,A:Q,16,))/VLOOKUP($U$1,A:Q,16,))*100)+100</f>
        <v/>
      </c>
    </row>
    <row r="106" customFormat="1" s="100">
      <c r="A106" s="22" t="n">
        <v>36039</v>
      </c>
      <c r="B106" s="23">
        <f>VLOOKUP(A106,Database!$E:$AY,MATCH($B$1,Database!$E$1:$AY$1,0),FALSE)</f>
        <v/>
      </c>
      <c r="C106" s="23">
        <f>VLOOKUP(A106,Database!$E:$AY,MATCH($C$1,Database!$E$1:$AY$1,0),FALSE)</f>
        <v/>
      </c>
      <c r="D106" s="23">
        <f>VLOOKUP(A106,Database!$E:$AY,MATCH($D$1,Database!$E$1:$AY$1,0),FALSE)</f>
        <v/>
      </c>
      <c r="E106" s="23">
        <f>VLOOKUP(A106,Database!$E:$AY,MATCH($E$1,Database!$E$1:$AY$1,0),FALSE)</f>
        <v/>
      </c>
      <c r="F106" s="23">
        <f>VLOOKUP(A106,Database!$E:$AY,MATCH($F$1,Database!$E$1:$AY$1,0),FALSE)</f>
        <v/>
      </c>
      <c r="G106" s="23">
        <f>VLOOKUP(A106,Database!$E:$AY,MATCH($G$1,Database!$E$1:$AY$1,0),FALSE)</f>
        <v/>
      </c>
      <c r="H106" s="23">
        <f>(((Table134567891011121314151617343[[#This Row],[ITA]]-VLOOKUP($U$1,A:B,2,))/VLOOKUP($U$1,A:B,2,))*100)+100</f>
        <v/>
      </c>
      <c r="I106" s="23">
        <f>(((Table134567891011121314151617343[[#This Row],[FRA]]-VLOOKUP($U$1,A:C,3,))/VLOOKUP($U$1,A:C,3,))*100)+100</f>
        <v/>
      </c>
      <c r="J106" s="23">
        <f>(((Table134567891011121314151617343[[#This Row],[DEU]]-VLOOKUP($U$1,A:D,4,))/VLOOKUP($U$1,A:D,4,))*100)+100</f>
        <v/>
      </c>
      <c r="K106" s="23">
        <f>(((Table134567891011121314151617343[[#This Row],[ESP]]-VLOOKUP($U$1,A:E,5,))/VLOOKUP($U$1,A:E,5,))*100)+100</f>
        <v/>
      </c>
      <c r="L106" s="23">
        <f>(((Table134567891011121314151617343[[#This Row],[EA19]]-VLOOKUP($U$1,A:F,6,))/VLOOKUP($U$1,A:F,6,))*100)+100</f>
        <v/>
      </c>
      <c r="M106" s="23">
        <f>(((Table134567891011121314151617343[[#This Row],[GBR]]-VLOOKUP($U$1,A:G,7,))/VLOOKUP($U$1,A:G,7,))*100)+100</f>
        <v/>
      </c>
      <c r="N106" s="23">
        <f>VLOOKUP(A106,Database!$E:$AY,MATCH($N$1,Database!$E$1:$AY$1,0),FALSE)</f>
        <v/>
      </c>
      <c r="O106" s="23">
        <f>(((Table134567891011121314151617343[[#This Row],[USA]]-VLOOKUP($U$1,A:N,14,))/VLOOKUP($U$1,A:N,14,))*100)+100</f>
        <v/>
      </c>
      <c r="P106" s="23">
        <f>VLOOKUP(A106,Database!$E:$AY,MATCH($P$1,Database!$E$1:$AY$1,0),FALSE)</f>
        <v/>
      </c>
      <c r="Q106" s="23">
        <f>(((Table134567891011121314151617343[[#This Row],[JPN]]-VLOOKUP($U$1,A:Q,16,))/VLOOKUP($U$1,A:Q,16,))*100)+100</f>
        <v/>
      </c>
    </row>
    <row r="107" customFormat="1" s="100">
      <c r="A107" s="22" t="n">
        <v>36069</v>
      </c>
      <c r="B107" s="23">
        <f>VLOOKUP(A107,Database!$E:$AY,MATCH($B$1,Database!$E$1:$AY$1,0),FALSE)</f>
        <v/>
      </c>
      <c r="C107" s="23">
        <f>VLOOKUP(A107,Database!$E:$AY,MATCH($C$1,Database!$E$1:$AY$1,0),FALSE)</f>
        <v/>
      </c>
      <c r="D107" s="23">
        <f>VLOOKUP(A107,Database!$E:$AY,MATCH($D$1,Database!$E$1:$AY$1,0),FALSE)</f>
        <v/>
      </c>
      <c r="E107" s="23">
        <f>VLOOKUP(A107,Database!$E:$AY,MATCH($E$1,Database!$E$1:$AY$1,0),FALSE)</f>
        <v/>
      </c>
      <c r="F107" s="23">
        <f>VLOOKUP(A107,Database!$E:$AY,MATCH($F$1,Database!$E$1:$AY$1,0),FALSE)</f>
        <v/>
      </c>
      <c r="G107" s="23">
        <f>VLOOKUP(A107,Database!$E:$AY,MATCH($G$1,Database!$E$1:$AY$1,0),FALSE)</f>
        <v/>
      </c>
      <c r="H107" s="23">
        <f>(((Table134567891011121314151617343[[#This Row],[ITA]]-VLOOKUP($U$1,A:B,2,))/VLOOKUP($U$1,A:B,2,))*100)+100</f>
        <v/>
      </c>
      <c r="I107" s="23">
        <f>(((Table134567891011121314151617343[[#This Row],[FRA]]-VLOOKUP($U$1,A:C,3,))/VLOOKUP($U$1,A:C,3,))*100)+100</f>
        <v/>
      </c>
      <c r="J107" s="23">
        <f>(((Table134567891011121314151617343[[#This Row],[DEU]]-VLOOKUP($U$1,A:D,4,))/VLOOKUP($U$1,A:D,4,))*100)+100</f>
        <v/>
      </c>
      <c r="K107" s="23">
        <f>(((Table134567891011121314151617343[[#This Row],[ESP]]-VLOOKUP($U$1,A:E,5,))/VLOOKUP($U$1,A:E,5,))*100)+100</f>
        <v/>
      </c>
      <c r="L107" s="23">
        <f>(((Table134567891011121314151617343[[#This Row],[EA19]]-VLOOKUP($U$1,A:F,6,))/VLOOKUP($U$1,A:F,6,))*100)+100</f>
        <v/>
      </c>
      <c r="M107" s="23">
        <f>(((Table134567891011121314151617343[[#This Row],[GBR]]-VLOOKUP($U$1,A:G,7,))/VLOOKUP($U$1,A:G,7,))*100)+100</f>
        <v/>
      </c>
      <c r="N107" s="23">
        <f>VLOOKUP(A107,Database!$E:$AY,MATCH($N$1,Database!$E$1:$AY$1,0),FALSE)</f>
        <v/>
      </c>
      <c r="O107" s="23">
        <f>(((Table134567891011121314151617343[[#This Row],[USA]]-VLOOKUP($U$1,A:N,14,))/VLOOKUP($U$1,A:N,14,))*100)+100</f>
        <v/>
      </c>
      <c r="P107" s="23">
        <f>VLOOKUP(A107,Database!$E:$AY,MATCH($P$1,Database!$E$1:$AY$1,0),FALSE)</f>
        <v/>
      </c>
      <c r="Q107" s="23">
        <f>(((Table134567891011121314151617343[[#This Row],[JPN]]-VLOOKUP($U$1,A:Q,16,))/VLOOKUP($U$1,A:Q,16,))*100)+100</f>
        <v/>
      </c>
    </row>
    <row r="108" customFormat="1" s="100">
      <c r="A108" s="22" t="n">
        <v>36100</v>
      </c>
      <c r="B108" s="23">
        <f>VLOOKUP(A108,Database!$E:$AY,MATCH($B$1,Database!$E$1:$AY$1,0),FALSE)</f>
        <v/>
      </c>
      <c r="C108" s="23">
        <f>VLOOKUP(A108,Database!$E:$AY,MATCH($C$1,Database!$E$1:$AY$1,0),FALSE)</f>
        <v/>
      </c>
      <c r="D108" s="23">
        <f>VLOOKUP(A108,Database!$E:$AY,MATCH($D$1,Database!$E$1:$AY$1,0),FALSE)</f>
        <v/>
      </c>
      <c r="E108" s="23">
        <f>VLOOKUP(A108,Database!$E:$AY,MATCH($E$1,Database!$E$1:$AY$1,0),FALSE)</f>
        <v/>
      </c>
      <c r="F108" s="23">
        <f>VLOOKUP(A108,Database!$E:$AY,MATCH($F$1,Database!$E$1:$AY$1,0),FALSE)</f>
        <v/>
      </c>
      <c r="G108" s="23">
        <f>VLOOKUP(A108,Database!$E:$AY,MATCH($G$1,Database!$E$1:$AY$1,0),FALSE)</f>
        <v/>
      </c>
      <c r="H108" s="23">
        <f>(((Table134567891011121314151617343[[#This Row],[ITA]]-VLOOKUP($U$1,A:B,2,))/VLOOKUP($U$1,A:B,2,))*100)+100</f>
        <v/>
      </c>
      <c r="I108" s="23">
        <f>(((Table134567891011121314151617343[[#This Row],[FRA]]-VLOOKUP($U$1,A:C,3,))/VLOOKUP($U$1,A:C,3,))*100)+100</f>
        <v/>
      </c>
      <c r="J108" s="23">
        <f>(((Table134567891011121314151617343[[#This Row],[DEU]]-VLOOKUP($U$1,A:D,4,))/VLOOKUP($U$1,A:D,4,))*100)+100</f>
        <v/>
      </c>
      <c r="K108" s="23">
        <f>(((Table134567891011121314151617343[[#This Row],[ESP]]-VLOOKUP($U$1,A:E,5,))/VLOOKUP($U$1,A:E,5,))*100)+100</f>
        <v/>
      </c>
      <c r="L108" s="23">
        <f>(((Table134567891011121314151617343[[#This Row],[EA19]]-VLOOKUP($U$1,A:F,6,))/VLOOKUP($U$1,A:F,6,))*100)+100</f>
        <v/>
      </c>
      <c r="M108" s="23">
        <f>(((Table134567891011121314151617343[[#This Row],[GBR]]-VLOOKUP($U$1,A:G,7,))/VLOOKUP($U$1,A:G,7,))*100)+100</f>
        <v/>
      </c>
      <c r="N108" s="23">
        <f>VLOOKUP(A108,Database!$E:$AY,MATCH($N$1,Database!$E$1:$AY$1,0),FALSE)</f>
        <v/>
      </c>
      <c r="O108" s="23">
        <f>(((Table134567891011121314151617343[[#This Row],[USA]]-VLOOKUP($U$1,A:N,14,))/VLOOKUP($U$1,A:N,14,))*100)+100</f>
        <v/>
      </c>
      <c r="P108" s="23">
        <f>VLOOKUP(A108,Database!$E:$AY,MATCH($P$1,Database!$E$1:$AY$1,0),FALSE)</f>
        <v/>
      </c>
      <c r="Q108" s="23">
        <f>(((Table134567891011121314151617343[[#This Row],[JPN]]-VLOOKUP($U$1,A:Q,16,))/VLOOKUP($U$1,A:Q,16,))*100)+100</f>
        <v/>
      </c>
    </row>
    <row r="109" customFormat="1" s="100">
      <c r="A109" s="22" t="n">
        <v>36130</v>
      </c>
      <c r="B109" s="23">
        <f>VLOOKUP(A109,Database!$E:$AY,MATCH($B$1,Database!$E$1:$AY$1,0),FALSE)</f>
        <v/>
      </c>
      <c r="C109" s="23">
        <f>VLOOKUP(A109,Database!$E:$AY,MATCH($C$1,Database!$E$1:$AY$1,0),FALSE)</f>
        <v/>
      </c>
      <c r="D109" s="23">
        <f>VLOOKUP(A109,Database!$E:$AY,MATCH($D$1,Database!$E$1:$AY$1,0),FALSE)</f>
        <v/>
      </c>
      <c r="E109" s="23">
        <f>VLOOKUP(A109,Database!$E:$AY,MATCH($E$1,Database!$E$1:$AY$1,0),FALSE)</f>
        <v/>
      </c>
      <c r="F109" s="23">
        <f>VLOOKUP(A109,Database!$E:$AY,MATCH($F$1,Database!$E$1:$AY$1,0),FALSE)</f>
        <v/>
      </c>
      <c r="G109" s="23">
        <f>VLOOKUP(A109,Database!$E:$AY,MATCH($G$1,Database!$E$1:$AY$1,0),FALSE)</f>
        <v/>
      </c>
      <c r="H109" s="23">
        <f>(((Table134567891011121314151617343[[#This Row],[ITA]]-VLOOKUP($U$1,A:B,2,))/VLOOKUP($U$1,A:B,2,))*100)+100</f>
        <v/>
      </c>
      <c r="I109" s="23">
        <f>(((Table134567891011121314151617343[[#This Row],[FRA]]-VLOOKUP($U$1,A:C,3,))/VLOOKUP($U$1,A:C,3,))*100)+100</f>
        <v/>
      </c>
      <c r="J109" s="23">
        <f>(((Table134567891011121314151617343[[#This Row],[DEU]]-VLOOKUP($U$1,A:D,4,))/VLOOKUP($U$1,A:D,4,))*100)+100</f>
        <v/>
      </c>
      <c r="K109" s="23">
        <f>(((Table134567891011121314151617343[[#This Row],[ESP]]-VLOOKUP($U$1,A:E,5,))/VLOOKUP($U$1,A:E,5,))*100)+100</f>
        <v/>
      </c>
      <c r="L109" s="23">
        <f>(((Table134567891011121314151617343[[#This Row],[EA19]]-VLOOKUP($U$1,A:F,6,))/VLOOKUP($U$1,A:F,6,))*100)+100</f>
        <v/>
      </c>
      <c r="M109" s="23">
        <f>(((Table134567891011121314151617343[[#This Row],[GBR]]-VLOOKUP($U$1,A:G,7,))/VLOOKUP($U$1,A:G,7,))*100)+100</f>
        <v/>
      </c>
      <c r="N109" s="23">
        <f>VLOOKUP(A109,Database!$E:$AY,MATCH($N$1,Database!$E$1:$AY$1,0),FALSE)</f>
        <v/>
      </c>
      <c r="O109" s="23">
        <f>(((Table134567891011121314151617343[[#This Row],[USA]]-VLOOKUP($U$1,A:N,14,))/VLOOKUP($U$1,A:N,14,))*100)+100</f>
        <v/>
      </c>
      <c r="P109" s="23">
        <f>VLOOKUP(A109,Database!$E:$AY,MATCH($P$1,Database!$E$1:$AY$1,0),FALSE)</f>
        <v/>
      </c>
      <c r="Q109" s="23">
        <f>(((Table134567891011121314151617343[[#This Row],[JPN]]-VLOOKUP($U$1,A:Q,16,))/VLOOKUP($U$1,A:Q,16,))*100)+100</f>
        <v/>
      </c>
    </row>
    <row r="110" customFormat="1" s="100">
      <c r="A110" s="22" t="n">
        <v>36161</v>
      </c>
      <c r="B110" s="23">
        <f>VLOOKUP(A110,Database!$E:$AY,MATCH($B$1,Database!$E$1:$AY$1,0),FALSE)</f>
        <v/>
      </c>
      <c r="C110" s="23">
        <f>VLOOKUP(A110,Database!$E:$AY,MATCH($C$1,Database!$E$1:$AY$1,0),FALSE)</f>
        <v/>
      </c>
      <c r="D110" s="23">
        <f>VLOOKUP(A110,Database!$E:$AY,MATCH($D$1,Database!$E$1:$AY$1,0),FALSE)</f>
        <v/>
      </c>
      <c r="E110" s="23">
        <f>VLOOKUP(A110,Database!$E:$AY,MATCH($E$1,Database!$E$1:$AY$1,0),FALSE)</f>
        <v/>
      </c>
      <c r="F110" s="23">
        <f>VLOOKUP(A110,Database!$E:$AY,MATCH($F$1,Database!$E$1:$AY$1,0),FALSE)</f>
        <v/>
      </c>
      <c r="G110" s="23">
        <f>VLOOKUP(A110,Database!$E:$AY,MATCH($G$1,Database!$E$1:$AY$1,0),FALSE)</f>
        <v/>
      </c>
      <c r="H110" s="23">
        <f>(((Table134567891011121314151617343[[#This Row],[ITA]]-VLOOKUP($U$1,A:B,2,))/VLOOKUP($U$1,A:B,2,))*100)+100</f>
        <v/>
      </c>
      <c r="I110" s="23">
        <f>(((Table134567891011121314151617343[[#This Row],[FRA]]-VLOOKUP($U$1,A:C,3,))/VLOOKUP($U$1,A:C,3,))*100)+100</f>
        <v/>
      </c>
      <c r="J110" s="23">
        <f>(((Table134567891011121314151617343[[#This Row],[DEU]]-VLOOKUP($U$1,A:D,4,))/VLOOKUP($U$1,A:D,4,))*100)+100</f>
        <v/>
      </c>
      <c r="K110" s="23">
        <f>(((Table134567891011121314151617343[[#This Row],[ESP]]-VLOOKUP($U$1,A:E,5,))/VLOOKUP($U$1,A:E,5,))*100)+100</f>
        <v/>
      </c>
      <c r="L110" s="23">
        <f>(((Table134567891011121314151617343[[#This Row],[EA19]]-VLOOKUP($U$1,A:F,6,))/VLOOKUP($U$1,A:F,6,))*100)+100</f>
        <v/>
      </c>
      <c r="M110" s="23">
        <f>(((Table134567891011121314151617343[[#This Row],[GBR]]-VLOOKUP($U$1,A:G,7,))/VLOOKUP($U$1,A:G,7,))*100)+100</f>
        <v/>
      </c>
      <c r="N110" s="23">
        <f>VLOOKUP(A110,Database!$E:$AY,MATCH($N$1,Database!$E$1:$AY$1,0),FALSE)</f>
        <v/>
      </c>
      <c r="O110" s="23">
        <f>(((Table134567891011121314151617343[[#This Row],[USA]]-VLOOKUP($U$1,A:N,14,))/VLOOKUP($U$1,A:N,14,))*100)+100</f>
        <v/>
      </c>
      <c r="P110" s="23">
        <f>VLOOKUP(A110,Database!$E:$AY,MATCH($P$1,Database!$E$1:$AY$1,0),FALSE)</f>
        <v/>
      </c>
      <c r="Q110" s="23">
        <f>(((Table134567891011121314151617343[[#This Row],[JPN]]-VLOOKUP($U$1,A:Q,16,))/VLOOKUP($U$1,A:Q,16,))*100)+100</f>
        <v/>
      </c>
    </row>
    <row r="111" customFormat="1" s="100">
      <c r="A111" s="22" t="n">
        <v>36192</v>
      </c>
      <c r="B111" s="23">
        <f>VLOOKUP(A111,Database!$E:$AY,MATCH($B$1,Database!$E$1:$AY$1,0),FALSE)</f>
        <v/>
      </c>
      <c r="C111" s="23">
        <f>VLOOKUP(A111,Database!$E:$AY,MATCH($C$1,Database!$E$1:$AY$1,0),FALSE)</f>
        <v/>
      </c>
      <c r="D111" s="23">
        <f>VLOOKUP(A111,Database!$E:$AY,MATCH($D$1,Database!$E$1:$AY$1,0),FALSE)</f>
        <v/>
      </c>
      <c r="E111" s="23">
        <f>VLOOKUP(A111,Database!$E:$AY,MATCH($E$1,Database!$E$1:$AY$1,0),FALSE)</f>
        <v/>
      </c>
      <c r="F111" s="23">
        <f>VLOOKUP(A111,Database!$E:$AY,MATCH($F$1,Database!$E$1:$AY$1,0),FALSE)</f>
        <v/>
      </c>
      <c r="G111" s="23">
        <f>VLOOKUP(A111,Database!$E:$AY,MATCH($G$1,Database!$E$1:$AY$1,0),FALSE)</f>
        <v/>
      </c>
      <c r="H111" s="44">
        <f>(((Table134567891011121314151617343[[#This Row],[ITA]]-VLOOKUP($U$1,A:B,2,))/VLOOKUP($U$1,A:B,2,))*100)+100</f>
        <v/>
      </c>
      <c r="I111" s="23">
        <f>(((Table134567891011121314151617343[[#This Row],[FRA]]-VLOOKUP($U$1,A:C,3,))/VLOOKUP($U$1,A:C,3,))*100)+100</f>
        <v/>
      </c>
      <c r="J111" s="23">
        <f>(((Table134567891011121314151617343[[#This Row],[DEU]]-VLOOKUP($U$1,A:D,4,))/VLOOKUP($U$1,A:D,4,))*100)+100</f>
        <v/>
      </c>
      <c r="K111" s="23">
        <f>(((Table134567891011121314151617343[[#This Row],[ESP]]-VLOOKUP($U$1,A:E,5,))/VLOOKUP($U$1,A:E,5,))*100)+100</f>
        <v/>
      </c>
      <c r="L111" s="23">
        <f>(((Table134567891011121314151617343[[#This Row],[EA19]]-VLOOKUP($U$1,A:F,6,))/VLOOKUP($U$1,A:F,6,))*100)+100</f>
        <v/>
      </c>
      <c r="M111" s="23">
        <f>(((Table134567891011121314151617343[[#This Row],[GBR]]-VLOOKUP($U$1,A:G,7,))/VLOOKUP($U$1,A:G,7,))*100)+100</f>
        <v/>
      </c>
      <c r="N111" s="23">
        <f>VLOOKUP(A111,Database!$E:$AY,MATCH($N$1,Database!$E$1:$AY$1,0),FALSE)</f>
        <v/>
      </c>
      <c r="O111" s="23">
        <f>(((Table134567891011121314151617343[[#This Row],[USA]]-VLOOKUP($U$1,A:N,14,))/VLOOKUP($U$1,A:N,14,))*100)+100</f>
        <v/>
      </c>
      <c r="P111" s="23">
        <f>VLOOKUP(A111,Database!$E:$AY,MATCH($P$1,Database!$E$1:$AY$1,0),FALSE)</f>
        <v/>
      </c>
      <c r="Q111" s="23">
        <f>(((Table134567891011121314151617343[[#This Row],[JPN]]-VLOOKUP($U$1,A:Q,16,))/VLOOKUP($U$1,A:Q,16,))*100)+100</f>
        <v/>
      </c>
    </row>
    <row r="112" customFormat="1" s="100">
      <c r="A112" s="22" t="n">
        <v>36220</v>
      </c>
      <c r="B112" s="23">
        <f>VLOOKUP(A112,Database!$E:$AY,MATCH($B$1,Database!$E$1:$AY$1,0),FALSE)</f>
        <v/>
      </c>
      <c r="C112" s="23">
        <f>VLOOKUP(A112,Database!$E:$AY,MATCH($C$1,Database!$E$1:$AY$1,0),FALSE)</f>
        <v/>
      </c>
      <c r="D112" s="23">
        <f>VLOOKUP(A112,Database!$E:$AY,MATCH($D$1,Database!$E$1:$AY$1,0),FALSE)</f>
        <v/>
      </c>
      <c r="E112" s="23">
        <f>VLOOKUP(A112,Database!$E:$AY,MATCH($E$1,Database!$E$1:$AY$1,0),FALSE)</f>
        <v/>
      </c>
      <c r="F112" s="23">
        <f>VLOOKUP(A112,Database!$E:$AY,MATCH($F$1,Database!$E$1:$AY$1,0),FALSE)</f>
        <v/>
      </c>
      <c r="G112" s="23">
        <f>VLOOKUP(A112,Database!$E:$AY,MATCH($G$1,Database!$E$1:$AY$1,0),FALSE)</f>
        <v/>
      </c>
      <c r="H112" s="23">
        <f>(((Table134567891011121314151617343[[#This Row],[ITA]]-VLOOKUP($U$1,A:B,2,))/VLOOKUP($U$1,A:B,2,))*100)+100</f>
        <v/>
      </c>
      <c r="I112" s="23">
        <f>(((Table134567891011121314151617343[[#This Row],[FRA]]-VLOOKUP($U$1,A:C,3,))/VLOOKUP($U$1,A:C,3,))*100)+100</f>
        <v/>
      </c>
      <c r="J112" s="23">
        <f>(((Table134567891011121314151617343[[#This Row],[DEU]]-VLOOKUP($U$1,A:D,4,))/VLOOKUP($U$1,A:D,4,))*100)+100</f>
        <v/>
      </c>
      <c r="K112" s="23">
        <f>(((Table134567891011121314151617343[[#This Row],[ESP]]-VLOOKUP($U$1,A:E,5,))/VLOOKUP($U$1,A:E,5,))*100)+100</f>
        <v/>
      </c>
      <c r="L112" s="23">
        <f>(((Table134567891011121314151617343[[#This Row],[EA19]]-VLOOKUP($U$1,A:F,6,))/VLOOKUP($U$1,A:F,6,))*100)+100</f>
        <v/>
      </c>
      <c r="M112" s="23">
        <f>(((Table134567891011121314151617343[[#This Row],[GBR]]-VLOOKUP($U$1,A:G,7,))/VLOOKUP($U$1,A:G,7,))*100)+100</f>
        <v/>
      </c>
      <c r="N112" s="23">
        <f>VLOOKUP(A112,Database!$E:$AY,MATCH($N$1,Database!$E$1:$AY$1,0),FALSE)</f>
        <v/>
      </c>
      <c r="O112" s="23">
        <f>(((Table134567891011121314151617343[[#This Row],[USA]]-VLOOKUP($U$1,A:N,14,))/VLOOKUP($U$1,A:N,14,))*100)+100</f>
        <v/>
      </c>
      <c r="P112" s="23">
        <f>VLOOKUP(A112,Database!$E:$AY,MATCH($P$1,Database!$E$1:$AY$1,0),FALSE)</f>
        <v/>
      </c>
      <c r="Q112" s="23">
        <f>(((Table134567891011121314151617343[[#This Row],[JPN]]-VLOOKUP($U$1,A:Q,16,))/VLOOKUP($U$1,A:Q,16,))*100)+100</f>
        <v/>
      </c>
    </row>
    <row r="113" customFormat="1" s="100">
      <c r="A113" s="22" t="n">
        <v>36251</v>
      </c>
      <c r="B113" s="23">
        <f>VLOOKUP(A113,Database!$E:$AY,MATCH($B$1,Database!$E$1:$AY$1,0),FALSE)</f>
        <v/>
      </c>
      <c r="C113" s="23">
        <f>VLOOKUP(A113,Database!$E:$AY,MATCH($C$1,Database!$E$1:$AY$1,0),FALSE)</f>
        <v/>
      </c>
      <c r="D113" s="23">
        <f>VLOOKUP(A113,Database!$E:$AY,MATCH($D$1,Database!$E$1:$AY$1,0),FALSE)</f>
        <v/>
      </c>
      <c r="E113" s="23">
        <f>VLOOKUP(A113,Database!$E:$AY,MATCH($E$1,Database!$E$1:$AY$1,0),FALSE)</f>
        <v/>
      </c>
      <c r="F113" s="23">
        <f>VLOOKUP(A113,Database!$E:$AY,MATCH($F$1,Database!$E$1:$AY$1,0),FALSE)</f>
        <v/>
      </c>
      <c r="G113" s="23">
        <f>VLOOKUP(A113,Database!$E:$AY,MATCH($G$1,Database!$E$1:$AY$1,0),FALSE)</f>
        <v/>
      </c>
      <c r="H113" s="23">
        <f>(((Table134567891011121314151617343[[#This Row],[ITA]]-VLOOKUP($U$1,A:B,2,))/VLOOKUP($U$1,A:B,2,))*100)+100</f>
        <v/>
      </c>
      <c r="I113" s="23">
        <f>(((Table134567891011121314151617343[[#This Row],[FRA]]-VLOOKUP($U$1,A:C,3,))/VLOOKUP($U$1,A:C,3,))*100)+100</f>
        <v/>
      </c>
      <c r="J113" s="23">
        <f>(((Table134567891011121314151617343[[#This Row],[DEU]]-VLOOKUP($U$1,A:D,4,))/VLOOKUP($U$1,A:D,4,))*100)+100</f>
        <v/>
      </c>
      <c r="K113" s="23">
        <f>(((Table134567891011121314151617343[[#This Row],[ESP]]-VLOOKUP($U$1,A:E,5,))/VLOOKUP($U$1,A:E,5,))*100)+100</f>
        <v/>
      </c>
      <c r="L113" s="23">
        <f>(((Table134567891011121314151617343[[#This Row],[EA19]]-VLOOKUP($U$1,A:F,6,))/VLOOKUP($U$1,A:F,6,))*100)+100</f>
        <v/>
      </c>
      <c r="M113" s="23">
        <f>(((Table134567891011121314151617343[[#This Row],[GBR]]-VLOOKUP($U$1,A:G,7,))/VLOOKUP($U$1,A:G,7,))*100)+100</f>
        <v/>
      </c>
      <c r="N113" s="23">
        <f>VLOOKUP(A113,Database!$E:$AY,MATCH($N$1,Database!$E$1:$AY$1,0),FALSE)</f>
        <v/>
      </c>
      <c r="O113" s="23">
        <f>(((Table134567891011121314151617343[[#This Row],[USA]]-VLOOKUP($U$1,A:N,14,))/VLOOKUP($U$1,A:N,14,))*100)+100</f>
        <v/>
      </c>
      <c r="P113" s="23">
        <f>VLOOKUP(A113,Database!$E:$AY,MATCH($P$1,Database!$E$1:$AY$1,0),FALSE)</f>
        <v/>
      </c>
      <c r="Q113" s="23">
        <f>(((Table134567891011121314151617343[[#This Row],[JPN]]-VLOOKUP($U$1,A:Q,16,))/VLOOKUP($U$1,A:Q,16,))*100)+100</f>
        <v/>
      </c>
    </row>
    <row r="114" customFormat="1" s="100">
      <c r="A114" s="22" t="n">
        <v>36281</v>
      </c>
      <c r="B114" s="23">
        <f>VLOOKUP(A114,Database!$E:$AY,MATCH($B$1,Database!$E$1:$AY$1,0),FALSE)</f>
        <v/>
      </c>
      <c r="C114" s="23">
        <f>VLOOKUP(A114,Database!$E:$AY,MATCH($C$1,Database!$E$1:$AY$1,0),FALSE)</f>
        <v/>
      </c>
      <c r="D114" s="23">
        <f>VLOOKUP(A114,Database!$E:$AY,MATCH($D$1,Database!$E$1:$AY$1,0),FALSE)</f>
        <v/>
      </c>
      <c r="E114" s="23">
        <f>VLOOKUP(A114,Database!$E:$AY,MATCH($E$1,Database!$E$1:$AY$1,0),FALSE)</f>
        <v/>
      </c>
      <c r="F114" s="23">
        <f>VLOOKUP(A114,Database!$E:$AY,MATCH($F$1,Database!$E$1:$AY$1,0),FALSE)</f>
        <v/>
      </c>
      <c r="G114" s="23">
        <f>VLOOKUP(A114,Database!$E:$AY,MATCH($G$1,Database!$E$1:$AY$1,0),FALSE)</f>
        <v/>
      </c>
      <c r="H114" s="23">
        <f>(((Table134567891011121314151617343[[#This Row],[ITA]]-VLOOKUP($U$1,A:B,2,))/VLOOKUP($U$1,A:B,2,))*100)+100</f>
        <v/>
      </c>
      <c r="I114" s="23">
        <f>(((Table134567891011121314151617343[[#This Row],[FRA]]-VLOOKUP($U$1,A:C,3,))/VLOOKUP($U$1,A:C,3,))*100)+100</f>
        <v/>
      </c>
      <c r="J114" s="23">
        <f>(((Table134567891011121314151617343[[#This Row],[DEU]]-VLOOKUP($U$1,A:D,4,))/VLOOKUP($U$1,A:D,4,))*100)+100</f>
        <v/>
      </c>
      <c r="K114" s="23">
        <f>(((Table134567891011121314151617343[[#This Row],[ESP]]-VLOOKUP($U$1,A:E,5,))/VLOOKUP($U$1,A:E,5,))*100)+100</f>
        <v/>
      </c>
      <c r="L114" s="23">
        <f>(((Table134567891011121314151617343[[#This Row],[EA19]]-VLOOKUP($U$1,A:F,6,))/VLOOKUP($U$1,A:F,6,))*100)+100</f>
        <v/>
      </c>
      <c r="M114" s="23">
        <f>(((Table134567891011121314151617343[[#This Row],[GBR]]-VLOOKUP($U$1,A:G,7,))/VLOOKUP($U$1,A:G,7,))*100)+100</f>
        <v/>
      </c>
      <c r="N114" s="23">
        <f>VLOOKUP(A114,Database!$E:$AY,MATCH($N$1,Database!$E$1:$AY$1,0),FALSE)</f>
        <v/>
      </c>
      <c r="O114" s="23">
        <f>(((Table134567891011121314151617343[[#This Row],[USA]]-VLOOKUP($U$1,A:N,14,))/VLOOKUP($U$1,A:N,14,))*100)+100</f>
        <v/>
      </c>
      <c r="P114" s="23">
        <f>VLOOKUP(A114,Database!$E:$AY,MATCH($P$1,Database!$E$1:$AY$1,0),FALSE)</f>
        <v/>
      </c>
      <c r="Q114" s="23">
        <f>(((Table134567891011121314151617343[[#This Row],[JPN]]-VLOOKUP($U$1,A:Q,16,))/VLOOKUP($U$1,A:Q,16,))*100)+100</f>
        <v/>
      </c>
    </row>
    <row r="115" customFormat="1" s="100">
      <c r="A115" s="22" t="n">
        <v>36312</v>
      </c>
      <c r="B115" s="23">
        <f>VLOOKUP(A115,Database!$E:$AY,MATCH($B$1,Database!$E$1:$AY$1,0),FALSE)</f>
        <v/>
      </c>
      <c r="C115" s="23">
        <f>VLOOKUP(A115,Database!$E:$AY,MATCH($C$1,Database!$E$1:$AY$1,0),FALSE)</f>
        <v/>
      </c>
      <c r="D115" s="23">
        <f>VLOOKUP(A115,Database!$E:$AY,MATCH($D$1,Database!$E$1:$AY$1,0),FALSE)</f>
        <v/>
      </c>
      <c r="E115" s="23">
        <f>VLOOKUP(A115,Database!$E:$AY,MATCH($E$1,Database!$E$1:$AY$1,0),FALSE)</f>
        <v/>
      </c>
      <c r="F115" s="23">
        <f>VLOOKUP(A115,Database!$E:$AY,MATCH($F$1,Database!$E$1:$AY$1,0),FALSE)</f>
        <v/>
      </c>
      <c r="G115" s="23">
        <f>VLOOKUP(A115,Database!$E:$AY,MATCH($G$1,Database!$E$1:$AY$1,0),FALSE)</f>
        <v/>
      </c>
      <c r="H115" s="23">
        <f>(((Table134567891011121314151617343[[#This Row],[ITA]]-VLOOKUP($U$1,A:B,2,))/VLOOKUP($U$1,A:B,2,))*100)+100</f>
        <v/>
      </c>
      <c r="I115" s="23">
        <f>(((Table134567891011121314151617343[[#This Row],[FRA]]-VLOOKUP($U$1,A:C,3,))/VLOOKUP($U$1,A:C,3,))*100)+100</f>
        <v/>
      </c>
      <c r="J115" s="23">
        <f>(((Table134567891011121314151617343[[#This Row],[DEU]]-VLOOKUP($U$1,A:D,4,))/VLOOKUP($U$1,A:D,4,))*100)+100</f>
        <v/>
      </c>
      <c r="K115" s="23">
        <f>(((Table134567891011121314151617343[[#This Row],[ESP]]-VLOOKUP($U$1,A:E,5,))/VLOOKUP($U$1,A:E,5,))*100)+100</f>
        <v/>
      </c>
      <c r="L115" s="23">
        <f>(((Table134567891011121314151617343[[#This Row],[EA19]]-VLOOKUP($U$1,A:F,6,))/VLOOKUP($U$1,A:F,6,))*100)+100</f>
        <v/>
      </c>
      <c r="M115" s="23">
        <f>(((Table134567891011121314151617343[[#This Row],[GBR]]-VLOOKUP($U$1,A:G,7,))/VLOOKUP($U$1,A:G,7,))*100)+100</f>
        <v/>
      </c>
      <c r="N115" s="23">
        <f>VLOOKUP(A115,Database!$E:$AY,MATCH($N$1,Database!$E$1:$AY$1,0),FALSE)</f>
        <v/>
      </c>
      <c r="O115" s="23">
        <f>(((Table134567891011121314151617343[[#This Row],[USA]]-VLOOKUP($U$1,A:N,14,))/VLOOKUP($U$1,A:N,14,))*100)+100</f>
        <v/>
      </c>
      <c r="P115" s="23">
        <f>VLOOKUP(A115,Database!$E:$AY,MATCH($P$1,Database!$E$1:$AY$1,0),FALSE)</f>
        <v/>
      </c>
      <c r="Q115" s="23">
        <f>(((Table134567891011121314151617343[[#This Row],[JPN]]-VLOOKUP($U$1,A:Q,16,))/VLOOKUP($U$1,A:Q,16,))*100)+100</f>
        <v/>
      </c>
    </row>
    <row r="116" customFormat="1" s="100">
      <c r="A116" s="22" t="n">
        <v>36342</v>
      </c>
      <c r="B116" s="23">
        <f>VLOOKUP(A116,Database!$E:$AY,MATCH($B$1,Database!$E$1:$AY$1,0),FALSE)</f>
        <v/>
      </c>
      <c r="C116" s="23">
        <f>VLOOKUP(A116,Database!$E:$AY,MATCH($C$1,Database!$E$1:$AY$1,0),FALSE)</f>
        <v/>
      </c>
      <c r="D116" s="23">
        <f>VLOOKUP(A116,Database!$E:$AY,MATCH($D$1,Database!$E$1:$AY$1,0),FALSE)</f>
        <v/>
      </c>
      <c r="E116" s="23">
        <f>VLOOKUP(A116,Database!$E:$AY,MATCH($E$1,Database!$E$1:$AY$1,0),FALSE)</f>
        <v/>
      </c>
      <c r="F116" s="23">
        <f>VLOOKUP(A116,Database!$E:$AY,MATCH($F$1,Database!$E$1:$AY$1,0),FALSE)</f>
        <v/>
      </c>
      <c r="G116" s="23">
        <f>VLOOKUP(A116,Database!$E:$AY,MATCH($G$1,Database!$E$1:$AY$1,0),FALSE)</f>
        <v/>
      </c>
      <c r="H116" s="23">
        <f>(((Table134567891011121314151617343[[#This Row],[ITA]]-VLOOKUP($U$1,A:B,2,))/VLOOKUP($U$1,A:B,2,))*100)+100</f>
        <v/>
      </c>
      <c r="I116" s="23">
        <f>(((Table134567891011121314151617343[[#This Row],[FRA]]-VLOOKUP($U$1,A:C,3,))/VLOOKUP($U$1,A:C,3,))*100)+100</f>
        <v/>
      </c>
      <c r="J116" s="23">
        <f>(((Table134567891011121314151617343[[#This Row],[DEU]]-VLOOKUP($U$1,A:D,4,))/VLOOKUP($U$1,A:D,4,))*100)+100</f>
        <v/>
      </c>
      <c r="K116" s="23">
        <f>(((Table134567891011121314151617343[[#This Row],[ESP]]-VLOOKUP($U$1,A:E,5,))/VLOOKUP($U$1,A:E,5,))*100)+100</f>
        <v/>
      </c>
      <c r="L116" s="23">
        <f>(((Table134567891011121314151617343[[#This Row],[EA19]]-VLOOKUP($U$1,A:F,6,))/VLOOKUP($U$1,A:F,6,))*100)+100</f>
        <v/>
      </c>
      <c r="M116" s="23">
        <f>(((Table134567891011121314151617343[[#This Row],[GBR]]-VLOOKUP($U$1,A:G,7,))/VLOOKUP($U$1,A:G,7,))*100)+100</f>
        <v/>
      </c>
      <c r="N116" s="23">
        <f>VLOOKUP(A116,Database!$E:$AY,MATCH($N$1,Database!$E$1:$AY$1,0),FALSE)</f>
        <v/>
      </c>
      <c r="O116" s="23">
        <f>(((Table134567891011121314151617343[[#This Row],[USA]]-VLOOKUP($U$1,A:N,14,))/VLOOKUP($U$1,A:N,14,))*100)+100</f>
        <v/>
      </c>
      <c r="P116" s="23">
        <f>VLOOKUP(A116,Database!$E:$AY,MATCH($P$1,Database!$E$1:$AY$1,0),FALSE)</f>
        <v/>
      </c>
      <c r="Q116" s="23">
        <f>(((Table134567891011121314151617343[[#This Row],[JPN]]-VLOOKUP($U$1,A:Q,16,))/VLOOKUP($U$1,A:Q,16,))*100)+100</f>
        <v/>
      </c>
    </row>
    <row r="117" customFormat="1" s="100">
      <c r="A117" s="22" t="n">
        <v>36373</v>
      </c>
      <c r="B117" s="23">
        <f>VLOOKUP(A117,Database!$E:$AY,MATCH($B$1,Database!$E$1:$AY$1,0),FALSE)</f>
        <v/>
      </c>
      <c r="C117" s="23">
        <f>VLOOKUP(A117,Database!$E:$AY,MATCH($C$1,Database!$E$1:$AY$1,0),FALSE)</f>
        <v/>
      </c>
      <c r="D117" s="23">
        <f>VLOOKUP(A117,Database!$E:$AY,MATCH($D$1,Database!$E$1:$AY$1,0),FALSE)</f>
        <v/>
      </c>
      <c r="E117" s="23">
        <f>VLOOKUP(A117,Database!$E:$AY,MATCH($E$1,Database!$E$1:$AY$1,0),FALSE)</f>
        <v/>
      </c>
      <c r="F117" s="23">
        <f>VLOOKUP(A117,Database!$E:$AY,MATCH($F$1,Database!$E$1:$AY$1,0),FALSE)</f>
        <v/>
      </c>
      <c r="G117" s="23">
        <f>VLOOKUP(A117,Database!$E:$AY,MATCH($G$1,Database!$E$1:$AY$1,0),FALSE)</f>
        <v/>
      </c>
      <c r="H117" s="23">
        <f>(((Table134567891011121314151617343[[#This Row],[ITA]]-VLOOKUP($U$1,A:B,2,))/VLOOKUP($U$1,A:B,2,))*100)+100</f>
        <v/>
      </c>
      <c r="I117" s="23">
        <f>(((Table134567891011121314151617343[[#This Row],[FRA]]-VLOOKUP($U$1,A:C,3,))/VLOOKUP($U$1,A:C,3,))*100)+100</f>
        <v/>
      </c>
      <c r="J117" s="23">
        <f>(((Table134567891011121314151617343[[#This Row],[DEU]]-VLOOKUP($U$1,A:D,4,))/VLOOKUP($U$1,A:D,4,))*100)+100</f>
        <v/>
      </c>
      <c r="K117" s="23">
        <f>(((Table134567891011121314151617343[[#This Row],[ESP]]-VLOOKUP($U$1,A:E,5,))/VLOOKUP($U$1,A:E,5,))*100)+100</f>
        <v/>
      </c>
      <c r="L117" s="23">
        <f>(((Table134567891011121314151617343[[#This Row],[EA19]]-VLOOKUP($U$1,A:F,6,))/VLOOKUP($U$1,A:F,6,))*100)+100</f>
        <v/>
      </c>
      <c r="M117" s="23">
        <f>(((Table134567891011121314151617343[[#This Row],[GBR]]-VLOOKUP($U$1,A:G,7,))/VLOOKUP($U$1,A:G,7,))*100)+100</f>
        <v/>
      </c>
      <c r="N117" s="23">
        <f>VLOOKUP(A117,Database!$E:$AY,MATCH($N$1,Database!$E$1:$AY$1,0),FALSE)</f>
        <v/>
      </c>
      <c r="O117" s="23">
        <f>(((Table134567891011121314151617343[[#This Row],[USA]]-VLOOKUP($U$1,A:N,14,))/VLOOKUP($U$1,A:N,14,))*100)+100</f>
        <v/>
      </c>
      <c r="P117" s="23">
        <f>VLOOKUP(A117,Database!$E:$AY,MATCH($P$1,Database!$E$1:$AY$1,0),FALSE)</f>
        <v/>
      </c>
      <c r="Q117" s="23">
        <f>(((Table134567891011121314151617343[[#This Row],[JPN]]-VLOOKUP($U$1,A:Q,16,))/VLOOKUP($U$1,A:Q,16,))*100)+100</f>
        <v/>
      </c>
    </row>
    <row r="118" customFormat="1" s="100">
      <c r="A118" s="22" t="n">
        <v>36404</v>
      </c>
      <c r="B118" s="23">
        <f>VLOOKUP(A118,Database!$E:$AY,MATCH($B$1,Database!$E$1:$AY$1,0),FALSE)</f>
        <v/>
      </c>
      <c r="C118" s="23">
        <f>VLOOKUP(A118,Database!$E:$AY,MATCH($C$1,Database!$E$1:$AY$1,0),FALSE)</f>
        <v/>
      </c>
      <c r="D118" s="23">
        <f>VLOOKUP(A118,Database!$E:$AY,MATCH($D$1,Database!$E$1:$AY$1,0),FALSE)</f>
        <v/>
      </c>
      <c r="E118" s="23">
        <f>VLOOKUP(A118,Database!$E:$AY,MATCH($E$1,Database!$E$1:$AY$1,0),FALSE)</f>
        <v/>
      </c>
      <c r="F118" s="23">
        <f>VLOOKUP(A118,Database!$E:$AY,MATCH($F$1,Database!$E$1:$AY$1,0),FALSE)</f>
        <v/>
      </c>
      <c r="G118" s="23">
        <f>VLOOKUP(A118,Database!$E:$AY,MATCH($G$1,Database!$E$1:$AY$1,0),FALSE)</f>
        <v/>
      </c>
      <c r="H118" s="23">
        <f>(((Table134567891011121314151617343[[#This Row],[ITA]]-VLOOKUP($U$1,A:B,2,))/VLOOKUP($U$1,A:B,2,))*100)+100</f>
        <v/>
      </c>
      <c r="I118" s="23">
        <f>(((Table134567891011121314151617343[[#This Row],[FRA]]-VLOOKUP($U$1,A:C,3,))/VLOOKUP($U$1,A:C,3,))*100)+100</f>
        <v/>
      </c>
      <c r="J118" s="23">
        <f>(((Table134567891011121314151617343[[#This Row],[DEU]]-VLOOKUP($U$1,A:D,4,))/VLOOKUP($U$1,A:D,4,))*100)+100</f>
        <v/>
      </c>
      <c r="K118" s="23">
        <f>(((Table134567891011121314151617343[[#This Row],[ESP]]-VLOOKUP($U$1,A:E,5,))/VLOOKUP($U$1,A:E,5,))*100)+100</f>
        <v/>
      </c>
      <c r="L118" s="23">
        <f>(((Table134567891011121314151617343[[#This Row],[EA19]]-VLOOKUP($U$1,A:F,6,))/VLOOKUP($U$1,A:F,6,))*100)+100</f>
        <v/>
      </c>
      <c r="M118" s="23">
        <f>(((Table134567891011121314151617343[[#This Row],[GBR]]-VLOOKUP($U$1,A:G,7,))/VLOOKUP($U$1,A:G,7,))*100)+100</f>
        <v/>
      </c>
      <c r="N118" s="23">
        <f>VLOOKUP(A118,Database!$E:$AY,MATCH($N$1,Database!$E$1:$AY$1,0),FALSE)</f>
        <v/>
      </c>
      <c r="O118" s="23">
        <f>(((Table134567891011121314151617343[[#This Row],[USA]]-VLOOKUP($U$1,A:N,14,))/VLOOKUP($U$1,A:N,14,))*100)+100</f>
        <v/>
      </c>
      <c r="P118" s="23">
        <f>VLOOKUP(A118,Database!$E:$AY,MATCH($P$1,Database!$E$1:$AY$1,0),FALSE)</f>
        <v/>
      </c>
      <c r="Q118" s="23">
        <f>(((Table134567891011121314151617343[[#This Row],[JPN]]-VLOOKUP($U$1,A:Q,16,))/VLOOKUP($U$1,A:Q,16,))*100)+100</f>
        <v/>
      </c>
    </row>
    <row r="119" customFormat="1" s="100">
      <c r="A119" s="22" t="n">
        <v>36434</v>
      </c>
      <c r="B119" s="23">
        <f>VLOOKUP(A119,Database!$E:$AY,MATCH($B$1,Database!$E$1:$AY$1,0),FALSE)</f>
        <v/>
      </c>
      <c r="C119" s="23">
        <f>VLOOKUP(A119,Database!$E:$AY,MATCH($C$1,Database!$E$1:$AY$1,0),FALSE)</f>
        <v/>
      </c>
      <c r="D119" s="23">
        <f>VLOOKUP(A119,Database!$E:$AY,MATCH($D$1,Database!$E$1:$AY$1,0),FALSE)</f>
        <v/>
      </c>
      <c r="E119" s="23">
        <f>VLOOKUP(A119,Database!$E:$AY,MATCH($E$1,Database!$E$1:$AY$1,0),FALSE)</f>
        <v/>
      </c>
      <c r="F119" s="23">
        <f>VLOOKUP(A119,Database!$E:$AY,MATCH($F$1,Database!$E$1:$AY$1,0),FALSE)</f>
        <v/>
      </c>
      <c r="G119" s="23">
        <f>VLOOKUP(A119,Database!$E:$AY,MATCH($G$1,Database!$E$1:$AY$1,0),FALSE)</f>
        <v/>
      </c>
      <c r="H119" s="23">
        <f>(((Table134567891011121314151617343[[#This Row],[ITA]]-VLOOKUP($U$1,A:B,2,))/VLOOKUP($U$1,A:B,2,))*100)+100</f>
        <v/>
      </c>
      <c r="I119" s="23">
        <f>(((Table134567891011121314151617343[[#This Row],[FRA]]-VLOOKUP($U$1,A:C,3,))/VLOOKUP($U$1,A:C,3,))*100)+100</f>
        <v/>
      </c>
      <c r="J119" s="23">
        <f>(((Table134567891011121314151617343[[#This Row],[DEU]]-VLOOKUP($U$1,A:D,4,))/VLOOKUP($U$1,A:D,4,))*100)+100</f>
        <v/>
      </c>
      <c r="K119" s="23">
        <f>(((Table134567891011121314151617343[[#This Row],[ESP]]-VLOOKUP($U$1,A:E,5,))/VLOOKUP($U$1,A:E,5,))*100)+100</f>
        <v/>
      </c>
      <c r="L119" s="23">
        <f>(((Table134567891011121314151617343[[#This Row],[EA19]]-VLOOKUP($U$1,A:F,6,))/VLOOKUP($U$1,A:F,6,))*100)+100</f>
        <v/>
      </c>
      <c r="M119" s="23">
        <f>(((Table134567891011121314151617343[[#This Row],[GBR]]-VLOOKUP($U$1,A:G,7,))/VLOOKUP($U$1,A:G,7,))*100)+100</f>
        <v/>
      </c>
      <c r="N119" s="23">
        <f>VLOOKUP(A119,Database!$E:$AY,MATCH($N$1,Database!$E$1:$AY$1,0),FALSE)</f>
        <v/>
      </c>
      <c r="O119" s="23">
        <f>(((Table134567891011121314151617343[[#This Row],[USA]]-VLOOKUP($U$1,A:N,14,))/VLOOKUP($U$1,A:N,14,))*100)+100</f>
        <v/>
      </c>
      <c r="P119" s="23">
        <f>VLOOKUP(A119,Database!$E:$AY,MATCH($P$1,Database!$E$1:$AY$1,0),FALSE)</f>
        <v/>
      </c>
      <c r="Q119" s="23">
        <f>(((Table134567891011121314151617343[[#This Row],[JPN]]-VLOOKUP($U$1,A:Q,16,))/VLOOKUP($U$1,A:Q,16,))*100)+100</f>
        <v/>
      </c>
    </row>
    <row r="120" customFormat="1" s="100">
      <c r="A120" s="22" t="n">
        <v>36465</v>
      </c>
      <c r="B120" s="23">
        <f>VLOOKUP(A120,Database!$E:$AY,MATCH($B$1,Database!$E$1:$AY$1,0),FALSE)</f>
        <v/>
      </c>
      <c r="C120" s="23">
        <f>VLOOKUP(A120,Database!$E:$AY,MATCH($C$1,Database!$E$1:$AY$1,0),FALSE)</f>
        <v/>
      </c>
      <c r="D120" s="23">
        <f>VLOOKUP(A120,Database!$E:$AY,MATCH($D$1,Database!$E$1:$AY$1,0),FALSE)</f>
        <v/>
      </c>
      <c r="E120" s="23">
        <f>VLOOKUP(A120,Database!$E:$AY,MATCH($E$1,Database!$E$1:$AY$1,0),FALSE)</f>
        <v/>
      </c>
      <c r="F120" s="23">
        <f>VLOOKUP(A120,Database!$E:$AY,MATCH($F$1,Database!$E$1:$AY$1,0),FALSE)</f>
        <v/>
      </c>
      <c r="G120" s="23">
        <f>VLOOKUP(A120,Database!$E:$AY,MATCH($G$1,Database!$E$1:$AY$1,0),FALSE)</f>
        <v/>
      </c>
      <c r="H120" s="23">
        <f>(((Table134567891011121314151617343[[#This Row],[ITA]]-VLOOKUP($U$1,A:B,2,))/VLOOKUP($U$1,A:B,2,))*100)+100</f>
        <v/>
      </c>
      <c r="I120" s="23">
        <f>(((Table134567891011121314151617343[[#This Row],[FRA]]-VLOOKUP($U$1,A:C,3,))/VLOOKUP($U$1,A:C,3,))*100)+100</f>
        <v/>
      </c>
      <c r="J120" s="23">
        <f>(((Table134567891011121314151617343[[#This Row],[DEU]]-VLOOKUP($U$1,A:D,4,))/VLOOKUP($U$1,A:D,4,))*100)+100</f>
        <v/>
      </c>
      <c r="K120" s="23">
        <f>(((Table134567891011121314151617343[[#This Row],[ESP]]-VLOOKUP($U$1,A:E,5,))/VLOOKUP($U$1,A:E,5,))*100)+100</f>
        <v/>
      </c>
      <c r="L120" s="23">
        <f>(((Table134567891011121314151617343[[#This Row],[EA19]]-VLOOKUP($U$1,A:F,6,))/VLOOKUP($U$1,A:F,6,))*100)+100</f>
        <v/>
      </c>
      <c r="M120" s="23">
        <f>(((Table134567891011121314151617343[[#This Row],[GBR]]-VLOOKUP($U$1,A:G,7,))/VLOOKUP($U$1,A:G,7,))*100)+100</f>
        <v/>
      </c>
      <c r="N120" s="23">
        <f>VLOOKUP(A120,Database!$E:$AY,MATCH($N$1,Database!$E$1:$AY$1,0),FALSE)</f>
        <v/>
      </c>
      <c r="O120" s="23">
        <f>(((Table134567891011121314151617343[[#This Row],[USA]]-VLOOKUP($U$1,A:N,14,))/VLOOKUP($U$1,A:N,14,))*100)+100</f>
        <v/>
      </c>
      <c r="P120" s="23">
        <f>VLOOKUP(A120,Database!$E:$AY,MATCH($P$1,Database!$E$1:$AY$1,0),FALSE)</f>
        <v/>
      </c>
      <c r="Q120" s="23">
        <f>(((Table134567891011121314151617343[[#This Row],[JPN]]-VLOOKUP($U$1,A:Q,16,))/VLOOKUP($U$1,A:Q,16,))*100)+100</f>
        <v/>
      </c>
    </row>
    <row r="121" customFormat="1" s="100">
      <c r="A121" s="22" t="n">
        <v>36495</v>
      </c>
      <c r="B121" s="23">
        <f>VLOOKUP(A121,Database!$E:$AY,MATCH($B$1,Database!$E$1:$AY$1,0),FALSE)</f>
        <v/>
      </c>
      <c r="C121" s="23">
        <f>VLOOKUP(A121,Database!$E:$AY,MATCH($C$1,Database!$E$1:$AY$1,0),FALSE)</f>
        <v/>
      </c>
      <c r="D121" s="23">
        <f>VLOOKUP(A121,Database!$E:$AY,MATCH($D$1,Database!$E$1:$AY$1,0),FALSE)</f>
        <v/>
      </c>
      <c r="E121" s="23">
        <f>VLOOKUP(A121,Database!$E:$AY,MATCH($E$1,Database!$E$1:$AY$1,0),FALSE)</f>
        <v/>
      </c>
      <c r="F121" s="23">
        <f>VLOOKUP(A121,Database!$E:$AY,MATCH($F$1,Database!$E$1:$AY$1,0),FALSE)</f>
        <v/>
      </c>
      <c r="G121" s="23">
        <f>VLOOKUP(A121,Database!$E:$AY,MATCH($G$1,Database!$E$1:$AY$1,0),FALSE)</f>
        <v/>
      </c>
      <c r="H121" s="23">
        <f>(((Table134567891011121314151617343[[#This Row],[ITA]]-VLOOKUP($U$1,A:B,2,))/VLOOKUP($U$1,A:B,2,))*100)+100</f>
        <v/>
      </c>
      <c r="I121" s="23">
        <f>(((Table134567891011121314151617343[[#This Row],[FRA]]-VLOOKUP($U$1,A:C,3,))/VLOOKUP($U$1,A:C,3,))*100)+100</f>
        <v/>
      </c>
      <c r="J121" s="23">
        <f>(((Table134567891011121314151617343[[#This Row],[DEU]]-VLOOKUP($U$1,A:D,4,))/VLOOKUP($U$1,A:D,4,))*100)+100</f>
        <v/>
      </c>
      <c r="K121" s="23">
        <f>(((Table134567891011121314151617343[[#This Row],[ESP]]-VLOOKUP($U$1,A:E,5,))/VLOOKUP($U$1,A:E,5,))*100)+100</f>
        <v/>
      </c>
      <c r="L121" s="23">
        <f>(((Table134567891011121314151617343[[#This Row],[EA19]]-VLOOKUP($U$1,A:F,6,))/VLOOKUP($U$1,A:F,6,))*100)+100</f>
        <v/>
      </c>
      <c r="M121" s="23">
        <f>(((Table134567891011121314151617343[[#This Row],[GBR]]-VLOOKUP($U$1,A:G,7,))/VLOOKUP($U$1,A:G,7,))*100)+100</f>
        <v/>
      </c>
      <c r="N121" s="23">
        <f>VLOOKUP(A121,Database!$E:$AY,MATCH($N$1,Database!$E$1:$AY$1,0),FALSE)</f>
        <v/>
      </c>
      <c r="O121" s="23">
        <f>(((Table134567891011121314151617343[[#This Row],[USA]]-VLOOKUP($U$1,A:N,14,))/VLOOKUP($U$1,A:N,14,))*100)+100</f>
        <v/>
      </c>
      <c r="P121" s="23">
        <f>VLOOKUP(A121,Database!$E:$AY,MATCH($P$1,Database!$E$1:$AY$1,0),FALSE)</f>
        <v/>
      </c>
      <c r="Q121" s="23">
        <f>(((Table134567891011121314151617343[[#This Row],[JPN]]-VLOOKUP($U$1,A:Q,16,))/VLOOKUP($U$1,A:Q,16,))*100)+100</f>
        <v/>
      </c>
    </row>
    <row r="122" customFormat="1" s="100">
      <c r="A122" s="22" t="n">
        <v>36526</v>
      </c>
      <c r="B122" s="23">
        <f>VLOOKUP(A122,Database!$E:$AY,MATCH($B$1,Database!$E$1:$AY$1,0),FALSE)</f>
        <v/>
      </c>
      <c r="C122" s="23">
        <f>VLOOKUP(A122,Database!$E:$AY,MATCH($C$1,Database!$E$1:$AY$1,0),FALSE)</f>
        <v/>
      </c>
      <c r="D122" s="23">
        <f>VLOOKUP(A122,Database!$E:$AY,MATCH($D$1,Database!$E$1:$AY$1,0),FALSE)</f>
        <v/>
      </c>
      <c r="E122" s="23">
        <f>VLOOKUP(A122,Database!$E:$AY,MATCH($E$1,Database!$E$1:$AY$1,0),FALSE)</f>
        <v/>
      </c>
      <c r="F122" s="23">
        <f>VLOOKUP(A122,Database!$E:$AY,MATCH($F$1,Database!$E$1:$AY$1,0),FALSE)</f>
        <v/>
      </c>
      <c r="G122" s="23">
        <f>VLOOKUP(A122,Database!$E:$AY,MATCH($G$1,Database!$E$1:$AY$1,0),FALSE)</f>
        <v/>
      </c>
      <c r="H122" s="23">
        <f>(((Table134567891011121314151617343[[#This Row],[ITA]]-VLOOKUP($U$1,A:B,2,))/VLOOKUP($U$1,A:B,2,))*100)+100</f>
        <v/>
      </c>
      <c r="I122" s="23">
        <f>(((Table134567891011121314151617343[[#This Row],[FRA]]-VLOOKUP($U$1,A:C,3,))/VLOOKUP($U$1,A:C,3,))*100)+100</f>
        <v/>
      </c>
      <c r="J122" s="23">
        <f>(((Table134567891011121314151617343[[#This Row],[DEU]]-VLOOKUP($U$1,A:D,4,))/VLOOKUP($U$1,A:D,4,))*100)+100</f>
        <v/>
      </c>
      <c r="K122" s="23">
        <f>(((Table134567891011121314151617343[[#This Row],[ESP]]-VLOOKUP($U$1,A:E,5,))/VLOOKUP($U$1,A:E,5,))*100)+100</f>
        <v/>
      </c>
      <c r="L122" s="23">
        <f>(((Table134567891011121314151617343[[#This Row],[EA19]]-VLOOKUP($U$1,A:F,6,))/VLOOKUP($U$1,A:F,6,))*100)+100</f>
        <v/>
      </c>
      <c r="M122" s="23">
        <f>(((Table134567891011121314151617343[[#This Row],[GBR]]-VLOOKUP($U$1,A:G,7,))/VLOOKUP($U$1,A:G,7,))*100)+100</f>
        <v/>
      </c>
      <c r="N122" s="23">
        <f>VLOOKUP(A122,Database!$E:$AY,MATCH($N$1,Database!$E$1:$AY$1,0),FALSE)</f>
        <v/>
      </c>
      <c r="O122" s="23">
        <f>(((Table134567891011121314151617343[[#This Row],[USA]]-VLOOKUP($U$1,A:N,14,))/VLOOKUP($U$1,A:N,14,))*100)+100</f>
        <v/>
      </c>
      <c r="P122" s="23">
        <f>VLOOKUP(A122,Database!$E:$AY,MATCH($P$1,Database!$E$1:$AY$1,0),FALSE)</f>
        <v/>
      </c>
      <c r="Q122" s="23">
        <f>(((Table134567891011121314151617343[[#This Row],[JPN]]-VLOOKUP($U$1,A:Q,16,))/VLOOKUP($U$1,A:Q,16,))*100)+100</f>
        <v/>
      </c>
    </row>
    <row r="123" customFormat="1" s="100">
      <c r="A123" s="22" t="n">
        <v>36557</v>
      </c>
      <c r="B123" s="23">
        <f>VLOOKUP(A123,Database!$E:$AY,MATCH($B$1,Database!$E$1:$AY$1,0),FALSE)</f>
        <v/>
      </c>
      <c r="C123" s="23">
        <f>VLOOKUP(A123,Database!$E:$AY,MATCH($C$1,Database!$E$1:$AY$1,0),FALSE)</f>
        <v/>
      </c>
      <c r="D123" s="23">
        <f>VLOOKUP(A123,Database!$E:$AY,MATCH($D$1,Database!$E$1:$AY$1,0),FALSE)</f>
        <v/>
      </c>
      <c r="E123" s="23">
        <f>VLOOKUP(A123,Database!$E:$AY,MATCH($E$1,Database!$E$1:$AY$1,0),FALSE)</f>
        <v/>
      </c>
      <c r="F123" s="23">
        <f>VLOOKUP(A123,Database!$E:$AY,MATCH($F$1,Database!$E$1:$AY$1,0),FALSE)</f>
        <v/>
      </c>
      <c r="G123" s="23">
        <f>VLOOKUP(A123,Database!$E:$AY,MATCH($G$1,Database!$E$1:$AY$1,0),FALSE)</f>
        <v/>
      </c>
      <c r="H123" s="23">
        <f>(((Table134567891011121314151617343[[#This Row],[ITA]]-VLOOKUP($U$1,A:B,2,))/VLOOKUP($U$1,A:B,2,))*100)+100</f>
        <v/>
      </c>
      <c r="I123" s="23">
        <f>(((Table134567891011121314151617343[[#This Row],[FRA]]-VLOOKUP($U$1,A:C,3,))/VLOOKUP($U$1,A:C,3,))*100)+100</f>
        <v/>
      </c>
      <c r="J123" s="23">
        <f>(((Table134567891011121314151617343[[#This Row],[DEU]]-VLOOKUP($U$1,A:D,4,))/VLOOKUP($U$1,A:D,4,))*100)+100</f>
        <v/>
      </c>
      <c r="K123" s="23">
        <f>(((Table134567891011121314151617343[[#This Row],[ESP]]-VLOOKUP($U$1,A:E,5,))/VLOOKUP($U$1,A:E,5,))*100)+100</f>
        <v/>
      </c>
      <c r="L123" s="23">
        <f>(((Table134567891011121314151617343[[#This Row],[EA19]]-VLOOKUP($U$1,A:F,6,))/VLOOKUP($U$1,A:F,6,))*100)+100</f>
        <v/>
      </c>
      <c r="M123" s="23">
        <f>(((Table134567891011121314151617343[[#This Row],[GBR]]-VLOOKUP($U$1,A:G,7,))/VLOOKUP($U$1,A:G,7,))*100)+100</f>
        <v/>
      </c>
      <c r="N123" s="23">
        <f>VLOOKUP(A123,Database!$E:$AY,MATCH($N$1,Database!$E$1:$AY$1,0),FALSE)</f>
        <v/>
      </c>
      <c r="O123" s="23">
        <f>(((Table134567891011121314151617343[[#This Row],[USA]]-VLOOKUP($U$1,A:N,14,))/VLOOKUP($U$1,A:N,14,))*100)+100</f>
        <v/>
      </c>
      <c r="P123" s="23">
        <f>VLOOKUP(A123,Database!$E:$AY,MATCH($P$1,Database!$E$1:$AY$1,0),FALSE)</f>
        <v/>
      </c>
      <c r="Q123" s="23">
        <f>(((Table134567891011121314151617343[[#This Row],[JPN]]-VLOOKUP($U$1,A:Q,16,))/VLOOKUP($U$1,A:Q,16,))*100)+100</f>
        <v/>
      </c>
    </row>
    <row r="124" customFormat="1" s="100">
      <c r="A124" s="22" t="n">
        <v>36586</v>
      </c>
      <c r="B124" s="23">
        <f>VLOOKUP(A124,Database!$E:$AY,MATCH($B$1,Database!$E$1:$AY$1,0),FALSE)</f>
        <v/>
      </c>
      <c r="C124" s="23">
        <f>VLOOKUP(A124,Database!$E:$AY,MATCH($C$1,Database!$E$1:$AY$1,0),FALSE)</f>
        <v/>
      </c>
      <c r="D124" s="23">
        <f>VLOOKUP(A124,Database!$E:$AY,MATCH($D$1,Database!$E$1:$AY$1,0),FALSE)</f>
        <v/>
      </c>
      <c r="E124" s="23">
        <f>VLOOKUP(A124,Database!$E:$AY,MATCH($E$1,Database!$E$1:$AY$1,0),FALSE)</f>
        <v/>
      </c>
      <c r="F124" s="23">
        <f>VLOOKUP(A124,Database!$E:$AY,MATCH($F$1,Database!$E$1:$AY$1,0),FALSE)</f>
        <v/>
      </c>
      <c r="G124" s="23">
        <f>VLOOKUP(A124,Database!$E:$AY,MATCH($G$1,Database!$E$1:$AY$1,0),FALSE)</f>
        <v/>
      </c>
      <c r="H124" s="23">
        <f>(((Table134567891011121314151617343[[#This Row],[ITA]]-VLOOKUP($U$1,A:B,2,))/VLOOKUP($U$1,A:B,2,))*100)+100</f>
        <v/>
      </c>
      <c r="I124" s="23">
        <f>(((Table134567891011121314151617343[[#This Row],[FRA]]-VLOOKUP($U$1,A:C,3,))/VLOOKUP($U$1,A:C,3,))*100)+100</f>
        <v/>
      </c>
      <c r="J124" s="23">
        <f>(((Table134567891011121314151617343[[#This Row],[DEU]]-VLOOKUP($U$1,A:D,4,))/VLOOKUP($U$1,A:D,4,))*100)+100</f>
        <v/>
      </c>
      <c r="K124" s="23">
        <f>(((Table134567891011121314151617343[[#This Row],[ESP]]-VLOOKUP($U$1,A:E,5,))/VLOOKUP($U$1,A:E,5,))*100)+100</f>
        <v/>
      </c>
      <c r="L124" s="23">
        <f>(((Table134567891011121314151617343[[#This Row],[EA19]]-VLOOKUP($U$1,A:F,6,))/VLOOKUP($U$1,A:F,6,))*100)+100</f>
        <v/>
      </c>
      <c r="M124" s="23">
        <f>(((Table134567891011121314151617343[[#This Row],[GBR]]-VLOOKUP($U$1,A:G,7,))/VLOOKUP($U$1,A:G,7,))*100)+100</f>
        <v/>
      </c>
      <c r="N124" s="23">
        <f>VLOOKUP(A124,Database!$E:$AY,MATCH($N$1,Database!$E$1:$AY$1,0),FALSE)</f>
        <v/>
      </c>
      <c r="O124" s="23">
        <f>(((Table134567891011121314151617343[[#This Row],[USA]]-VLOOKUP($U$1,A:N,14,))/VLOOKUP($U$1,A:N,14,))*100)+100</f>
        <v/>
      </c>
      <c r="P124" s="23">
        <f>VLOOKUP(A124,Database!$E:$AY,MATCH($P$1,Database!$E$1:$AY$1,0),FALSE)</f>
        <v/>
      </c>
      <c r="Q124" s="23">
        <f>(((Table134567891011121314151617343[[#This Row],[JPN]]-VLOOKUP($U$1,A:Q,16,))/VLOOKUP($U$1,A:Q,16,))*100)+100</f>
        <v/>
      </c>
    </row>
    <row r="125" customFormat="1" s="100">
      <c r="A125" s="22" t="n">
        <v>36617</v>
      </c>
      <c r="B125" s="23">
        <f>VLOOKUP(A125,Database!$E:$AY,MATCH($B$1,Database!$E$1:$AY$1,0),FALSE)</f>
        <v/>
      </c>
      <c r="C125" s="23">
        <f>VLOOKUP(A125,Database!$E:$AY,MATCH($C$1,Database!$E$1:$AY$1,0),FALSE)</f>
        <v/>
      </c>
      <c r="D125" s="23">
        <f>VLOOKUP(A125,Database!$E:$AY,MATCH($D$1,Database!$E$1:$AY$1,0),FALSE)</f>
        <v/>
      </c>
      <c r="E125" s="23">
        <f>VLOOKUP(A125,Database!$E:$AY,MATCH($E$1,Database!$E$1:$AY$1,0),FALSE)</f>
        <v/>
      </c>
      <c r="F125" s="23">
        <f>VLOOKUP(A125,Database!$E:$AY,MATCH($F$1,Database!$E$1:$AY$1,0),FALSE)</f>
        <v/>
      </c>
      <c r="G125" s="23">
        <f>VLOOKUP(A125,Database!$E:$AY,MATCH($G$1,Database!$E$1:$AY$1,0),FALSE)</f>
        <v/>
      </c>
      <c r="H125" s="23">
        <f>(((Table134567891011121314151617343[[#This Row],[ITA]]-VLOOKUP($U$1,A:B,2,))/VLOOKUP($U$1,A:B,2,))*100)+100</f>
        <v/>
      </c>
      <c r="I125" s="23">
        <f>(((Table134567891011121314151617343[[#This Row],[FRA]]-VLOOKUP($U$1,A:C,3,))/VLOOKUP($U$1,A:C,3,))*100)+100</f>
        <v/>
      </c>
      <c r="J125" s="23">
        <f>(((Table134567891011121314151617343[[#This Row],[DEU]]-VLOOKUP($U$1,A:D,4,))/VLOOKUP($U$1,A:D,4,))*100)+100</f>
        <v/>
      </c>
      <c r="K125" s="23">
        <f>(((Table134567891011121314151617343[[#This Row],[ESP]]-VLOOKUP($U$1,A:E,5,))/VLOOKUP($U$1,A:E,5,))*100)+100</f>
        <v/>
      </c>
      <c r="L125" s="23">
        <f>(((Table134567891011121314151617343[[#This Row],[EA19]]-VLOOKUP($U$1,A:F,6,))/VLOOKUP($U$1,A:F,6,))*100)+100</f>
        <v/>
      </c>
      <c r="M125" s="23">
        <f>(((Table134567891011121314151617343[[#This Row],[GBR]]-VLOOKUP($U$1,A:G,7,))/VLOOKUP($U$1,A:G,7,))*100)+100</f>
        <v/>
      </c>
      <c r="N125" s="23">
        <f>VLOOKUP(A125,Database!$E:$AY,MATCH($N$1,Database!$E$1:$AY$1,0),FALSE)</f>
        <v/>
      </c>
      <c r="O125" s="23">
        <f>(((Table134567891011121314151617343[[#This Row],[USA]]-VLOOKUP($U$1,A:N,14,))/VLOOKUP($U$1,A:N,14,))*100)+100</f>
        <v/>
      </c>
      <c r="P125" s="23">
        <f>VLOOKUP(A125,Database!$E:$AY,MATCH($P$1,Database!$E$1:$AY$1,0),FALSE)</f>
        <v/>
      </c>
      <c r="Q125" s="23">
        <f>(((Table134567891011121314151617343[[#This Row],[JPN]]-VLOOKUP($U$1,A:Q,16,))/VLOOKUP($U$1,A:Q,16,))*100)+100</f>
        <v/>
      </c>
    </row>
    <row r="126" customFormat="1" s="100">
      <c r="A126" s="22" t="n">
        <v>36647</v>
      </c>
      <c r="B126" s="23">
        <f>VLOOKUP(A126,Database!$E:$AY,MATCH($B$1,Database!$E$1:$AY$1,0),FALSE)</f>
        <v/>
      </c>
      <c r="C126" s="23">
        <f>VLOOKUP(A126,Database!$E:$AY,MATCH($C$1,Database!$E$1:$AY$1,0),FALSE)</f>
        <v/>
      </c>
      <c r="D126" s="23">
        <f>VLOOKUP(A126,Database!$E:$AY,MATCH($D$1,Database!$E$1:$AY$1,0),FALSE)</f>
        <v/>
      </c>
      <c r="E126" s="23">
        <f>VLOOKUP(A126,Database!$E:$AY,MATCH($E$1,Database!$E$1:$AY$1,0),FALSE)</f>
        <v/>
      </c>
      <c r="F126" s="23">
        <f>VLOOKUP(A126,Database!$E:$AY,MATCH($F$1,Database!$E$1:$AY$1,0),FALSE)</f>
        <v/>
      </c>
      <c r="G126" s="23">
        <f>VLOOKUP(A126,Database!$E:$AY,MATCH($G$1,Database!$E$1:$AY$1,0),FALSE)</f>
        <v/>
      </c>
      <c r="H126" s="23">
        <f>(((Table134567891011121314151617343[[#This Row],[ITA]]-VLOOKUP($U$1,A:B,2,))/VLOOKUP($U$1,A:B,2,))*100)+100</f>
        <v/>
      </c>
      <c r="I126" s="23">
        <f>(((Table134567891011121314151617343[[#This Row],[FRA]]-VLOOKUP($U$1,A:C,3,))/VLOOKUP($U$1,A:C,3,))*100)+100</f>
        <v/>
      </c>
      <c r="J126" s="23">
        <f>(((Table134567891011121314151617343[[#This Row],[DEU]]-VLOOKUP($U$1,A:D,4,))/VLOOKUP($U$1,A:D,4,))*100)+100</f>
        <v/>
      </c>
      <c r="K126" s="23">
        <f>(((Table134567891011121314151617343[[#This Row],[ESP]]-VLOOKUP($U$1,A:E,5,))/VLOOKUP($U$1,A:E,5,))*100)+100</f>
        <v/>
      </c>
      <c r="L126" s="23">
        <f>(((Table134567891011121314151617343[[#This Row],[EA19]]-VLOOKUP($U$1,A:F,6,))/VLOOKUP($U$1,A:F,6,))*100)+100</f>
        <v/>
      </c>
      <c r="M126" s="23">
        <f>(((Table134567891011121314151617343[[#This Row],[GBR]]-VLOOKUP($U$1,A:G,7,))/VLOOKUP($U$1,A:G,7,))*100)+100</f>
        <v/>
      </c>
      <c r="N126" s="23">
        <f>VLOOKUP(A126,Database!$E:$AY,MATCH($N$1,Database!$E$1:$AY$1,0),FALSE)</f>
        <v/>
      </c>
      <c r="O126" s="23">
        <f>(((Table134567891011121314151617343[[#This Row],[USA]]-VLOOKUP($U$1,A:N,14,))/VLOOKUP($U$1,A:N,14,))*100)+100</f>
        <v/>
      </c>
      <c r="P126" s="23">
        <f>VLOOKUP(A126,Database!$E:$AY,MATCH($P$1,Database!$E$1:$AY$1,0),FALSE)</f>
        <v/>
      </c>
      <c r="Q126" s="23">
        <f>(((Table134567891011121314151617343[[#This Row],[JPN]]-VLOOKUP($U$1,A:Q,16,))/VLOOKUP($U$1,A:Q,16,))*100)+100</f>
        <v/>
      </c>
    </row>
    <row r="127" customFormat="1" s="100">
      <c r="A127" s="22" t="n">
        <v>36678</v>
      </c>
      <c r="B127" s="23">
        <f>VLOOKUP(A127,Database!$E:$AY,MATCH($B$1,Database!$E$1:$AY$1,0),FALSE)</f>
        <v/>
      </c>
      <c r="C127" s="23">
        <f>VLOOKUP(A127,Database!$E:$AY,MATCH($C$1,Database!$E$1:$AY$1,0),FALSE)</f>
        <v/>
      </c>
      <c r="D127" s="23">
        <f>VLOOKUP(A127,Database!$E:$AY,MATCH($D$1,Database!$E$1:$AY$1,0),FALSE)</f>
        <v/>
      </c>
      <c r="E127" s="23">
        <f>VLOOKUP(A127,Database!$E:$AY,MATCH($E$1,Database!$E$1:$AY$1,0),FALSE)</f>
        <v/>
      </c>
      <c r="F127" s="23">
        <f>VLOOKUP(A127,Database!$E:$AY,MATCH($F$1,Database!$E$1:$AY$1,0),FALSE)</f>
        <v/>
      </c>
      <c r="G127" s="23">
        <f>VLOOKUP(A127,Database!$E:$AY,MATCH($G$1,Database!$E$1:$AY$1,0),FALSE)</f>
        <v/>
      </c>
      <c r="H127" s="23">
        <f>(((Table134567891011121314151617343[[#This Row],[ITA]]-VLOOKUP($U$1,A:B,2,))/VLOOKUP($U$1,A:B,2,))*100)+100</f>
        <v/>
      </c>
      <c r="I127" s="23">
        <f>(((Table134567891011121314151617343[[#This Row],[FRA]]-VLOOKUP($U$1,A:C,3,))/VLOOKUP($U$1,A:C,3,))*100)+100</f>
        <v/>
      </c>
      <c r="J127" s="23">
        <f>(((Table134567891011121314151617343[[#This Row],[DEU]]-VLOOKUP($U$1,A:D,4,))/VLOOKUP($U$1,A:D,4,))*100)+100</f>
        <v/>
      </c>
      <c r="K127" s="23">
        <f>(((Table134567891011121314151617343[[#This Row],[ESP]]-VLOOKUP($U$1,A:E,5,))/VLOOKUP($U$1,A:E,5,))*100)+100</f>
        <v/>
      </c>
      <c r="L127" s="23">
        <f>(((Table134567891011121314151617343[[#This Row],[EA19]]-VLOOKUP($U$1,A:F,6,))/VLOOKUP($U$1,A:F,6,))*100)+100</f>
        <v/>
      </c>
      <c r="M127" s="23">
        <f>(((Table134567891011121314151617343[[#This Row],[GBR]]-VLOOKUP($U$1,A:G,7,))/VLOOKUP($U$1,A:G,7,))*100)+100</f>
        <v/>
      </c>
      <c r="N127" s="23">
        <f>VLOOKUP(A127,Database!$E:$AY,MATCH($N$1,Database!$E$1:$AY$1,0),FALSE)</f>
        <v/>
      </c>
      <c r="O127" s="23">
        <f>(((Table134567891011121314151617343[[#This Row],[USA]]-VLOOKUP($U$1,A:N,14,))/VLOOKUP($U$1,A:N,14,))*100)+100</f>
        <v/>
      </c>
      <c r="P127" s="23">
        <f>VLOOKUP(A127,Database!$E:$AY,MATCH($P$1,Database!$E$1:$AY$1,0),FALSE)</f>
        <v/>
      </c>
      <c r="Q127" s="23">
        <f>(((Table134567891011121314151617343[[#This Row],[JPN]]-VLOOKUP($U$1,A:Q,16,))/VLOOKUP($U$1,A:Q,16,))*100)+100</f>
        <v/>
      </c>
    </row>
    <row r="128" customFormat="1" s="100">
      <c r="A128" s="22" t="n">
        <v>36708</v>
      </c>
      <c r="B128" s="23">
        <f>VLOOKUP(A128,Database!$E:$AY,MATCH($B$1,Database!$E$1:$AY$1,0),FALSE)</f>
        <v/>
      </c>
      <c r="C128" s="23">
        <f>VLOOKUP(A128,Database!$E:$AY,MATCH($C$1,Database!$E$1:$AY$1,0),FALSE)</f>
        <v/>
      </c>
      <c r="D128" s="23">
        <f>VLOOKUP(A128,Database!$E:$AY,MATCH($D$1,Database!$E$1:$AY$1,0),FALSE)</f>
        <v/>
      </c>
      <c r="E128" s="23">
        <f>VLOOKUP(A128,Database!$E:$AY,MATCH($E$1,Database!$E$1:$AY$1,0),FALSE)</f>
        <v/>
      </c>
      <c r="F128" s="23">
        <f>VLOOKUP(A128,Database!$E:$AY,MATCH($F$1,Database!$E$1:$AY$1,0),FALSE)</f>
        <v/>
      </c>
      <c r="G128" s="23">
        <f>VLOOKUP(A128,Database!$E:$AY,MATCH($G$1,Database!$E$1:$AY$1,0),FALSE)</f>
        <v/>
      </c>
      <c r="H128" s="23">
        <f>(((Table134567891011121314151617343[[#This Row],[ITA]]-VLOOKUP($U$1,A:B,2,))/VLOOKUP($U$1,A:B,2,))*100)+100</f>
        <v/>
      </c>
      <c r="I128" s="23">
        <f>(((Table134567891011121314151617343[[#This Row],[FRA]]-VLOOKUP($U$1,A:C,3,))/VLOOKUP($U$1,A:C,3,))*100)+100</f>
        <v/>
      </c>
      <c r="J128" s="23">
        <f>(((Table134567891011121314151617343[[#This Row],[DEU]]-VLOOKUP($U$1,A:D,4,))/VLOOKUP($U$1,A:D,4,))*100)+100</f>
        <v/>
      </c>
      <c r="K128" s="23">
        <f>(((Table134567891011121314151617343[[#This Row],[ESP]]-VLOOKUP($U$1,A:E,5,))/VLOOKUP($U$1,A:E,5,))*100)+100</f>
        <v/>
      </c>
      <c r="L128" s="23">
        <f>(((Table134567891011121314151617343[[#This Row],[EA19]]-VLOOKUP($U$1,A:F,6,))/VLOOKUP($U$1,A:F,6,))*100)+100</f>
        <v/>
      </c>
      <c r="M128" s="23">
        <f>(((Table134567891011121314151617343[[#This Row],[GBR]]-VLOOKUP($U$1,A:G,7,))/VLOOKUP($U$1,A:G,7,))*100)+100</f>
        <v/>
      </c>
      <c r="N128" s="23">
        <f>VLOOKUP(A128,Database!$E:$AY,MATCH($N$1,Database!$E$1:$AY$1,0),FALSE)</f>
        <v/>
      </c>
      <c r="O128" s="23">
        <f>(((Table134567891011121314151617343[[#This Row],[USA]]-VLOOKUP($U$1,A:N,14,))/VLOOKUP($U$1,A:N,14,))*100)+100</f>
        <v/>
      </c>
      <c r="P128" s="23">
        <f>VLOOKUP(A128,Database!$E:$AY,MATCH($P$1,Database!$E$1:$AY$1,0),FALSE)</f>
        <v/>
      </c>
      <c r="Q128" s="23">
        <f>(((Table134567891011121314151617343[[#This Row],[JPN]]-VLOOKUP($U$1,A:Q,16,))/VLOOKUP($U$1,A:Q,16,))*100)+100</f>
        <v/>
      </c>
    </row>
    <row r="129" customFormat="1" s="100">
      <c r="A129" s="22" t="n">
        <v>36739</v>
      </c>
      <c r="B129" s="23">
        <f>VLOOKUP(A129,Database!$E:$AY,MATCH($B$1,Database!$E$1:$AY$1,0),FALSE)</f>
        <v/>
      </c>
      <c r="C129" s="23">
        <f>VLOOKUP(A129,Database!$E:$AY,MATCH($C$1,Database!$E$1:$AY$1,0),FALSE)</f>
        <v/>
      </c>
      <c r="D129" s="23">
        <f>VLOOKUP(A129,Database!$E:$AY,MATCH($D$1,Database!$E$1:$AY$1,0),FALSE)</f>
        <v/>
      </c>
      <c r="E129" s="23">
        <f>VLOOKUP(A129,Database!$E:$AY,MATCH($E$1,Database!$E$1:$AY$1,0),FALSE)</f>
        <v/>
      </c>
      <c r="F129" s="23">
        <f>VLOOKUP(A129,Database!$E:$AY,MATCH($F$1,Database!$E$1:$AY$1,0),FALSE)</f>
        <v/>
      </c>
      <c r="G129" s="23">
        <f>VLOOKUP(A129,Database!$E:$AY,MATCH($G$1,Database!$E$1:$AY$1,0),FALSE)</f>
        <v/>
      </c>
      <c r="H129" s="23">
        <f>(((Table134567891011121314151617343[[#This Row],[ITA]]-VLOOKUP($U$1,A:B,2,))/VLOOKUP($U$1,A:B,2,))*100)+100</f>
        <v/>
      </c>
      <c r="I129" s="23">
        <f>(((Table134567891011121314151617343[[#This Row],[FRA]]-VLOOKUP($U$1,A:C,3,))/VLOOKUP($U$1,A:C,3,))*100)+100</f>
        <v/>
      </c>
      <c r="J129" s="23">
        <f>(((Table134567891011121314151617343[[#This Row],[DEU]]-VLOOKUP($U$1,A:D,4,))/VLOOKUP($U$1,A:D,4,))*100)+100</f>
        <v/>
      </c>
      <c r="K129" s="23">
        <f>(((Table134567891011121314151617343[[#This Row],[ESP]]-VLOOKUP($U$1,A:E,5,))/VLOOKUP($U$1,A:E,5,))*100)+100</f>
        <v/>
      </c>
      <c r="L129" s="23">
        <f>(((Table134567891011121314151617343[[#This Row],[EA19]]-VLOOKUP($U$1,A:F,6,))/VLOOKUP($U$1,A:F,6,))*100)+100</f>
        <v/>
      </c>
      <c r="M129" s="23">
        <f>(((Table134567891011121314151617343[[#This Row],[GBR]]-VLOOKUP($U$1,A:G,7,))/VLOOKUP($U$1,A:G,7,))*100)+100</f>
        <v/>
      </c>
      <c r="N129" s="23">
        <f>VLOOKUP(A129,Database!$E:$AY,MATCH($N$1,Database!$E$1:$AY$1,0),FALSE)</f>
        <v/>
      </c>
      <c r="O129" s="23">
        <f>(((Table134567891011121314151617343[[#This Row],[USA]]-VLOOKUP($U$1,A:N,14,))/VLOOKUP($U$1,A:N,14,))*100)+100</f>
        <v/>
      </c>
      <c r="P129" s="23">
        <f>VLOOKUP(A129,Database!$E:$AY,MATCH($P$1,Database!$E$1:$AY$1,0),FALSE)</f>
        <v/>
      </c>
      <c r="Q129" s="23">
        <f>(((Table134567891011121314151617343[[#This Row],[JPN]]-VLOOKUP($U$1,A:Q,16,))/VLOOKUP($U$1,A:Q,16,))*100)+100</f>
        <v/>
      </c>
    </row>
    <row r="130" customFormat="1" s="100">
      <c r="A130" s="22" t="n">
        <v>36770</v>
      </c>
      <c r="B130" s="23">
        <f>VLOOKUP(A130,Database!$E:$AY,MATCH($B$1,Database!$E$1:$AY$1,0),FALSE)</f>
        <v/>
      </c>
      <c r="C130" s="23">
        <f>VLOOKUP(A130,Database!$E:$AY,MATCH($C$1,Database!$E$1:$AY$1,0),FALSE)</f>
        <v/>
      </c>
      <c r="D130" s="23">
        <f>VLOOKUP(A130,Database!$E:$AY,MATCH($D$1,Database!$E$1:$AY$1,0),FALSE)</f>
        <v/>
      </c>
      <c r="E130" s="23">
        <f>VLOOKUP(A130,Database!$E:$AY,MATCH($E$1,Database!$E$1:$AY$1,0),FALSE)</f>
        <v/>
      </c>
      <c r="F130" s="23">
        <f>VLOOKUP(A130,Database!$E:$AY,MATCH($F$1,Database!$E$1:$AY$1,0),FALSE)</f>
        <v/>
      </c>
      <c r="G130" s="23">
        <f>VLOOKUP(A130,Database!$E:$AY,MATCH($G$1,Database!$E$1:$AY$1,0),FALSE)</f>
        <v/>
      </c>
      <c r="H130" s="23">
        <f>(((Table134567891011121314151617343[[#This Row],[ITA]]-VLOOKUP($U$1,A:B,2,))/VLOOKUP($U$1,A:B,2,))*100)+100</f>
        <v/>
      </c>
      <c r="I130" s="23">
        <f>(((Table134567891011121314151617343[[#This Row],[FRA]]-VLOOKUP($U$1,A:C,3,))/VLOOKUP($U$1,A:C,3,))*100)+100</f>
        <v/>
      </c>
      <c r="J130" s="23">
        <f>(((Table134567891011121314151617343[[#This Row],[DEU]]-VLOOKUP($U$1,A:D,4,))/VLOOKUP($U$1,A:D,4,))*100)+100</f>
        <v/>
      </c>
      <c r="K130" s="23">
        <f>(((Table134567891011121314151617343[[#This Row],[ESP]]-VLOOKUP($U$1,A:E,5,))/VLOOKUP($U$1,A:E,5,))*100)+100</f>
        <v/>
      </c>
      <c r="L130" s="23">
        <f>(((Table134567891011121314151617343[[#This Row],[EA19]]-VLOOKUP($U$1,A:F,6,))/VLOOKUP($U$1,A:F,6,))*100)+100</f>
        <v/>
      </c>
      <c r="M130" s="23">
        <f>(((Table134567891011121314151617343[[#This Row],[GBR]]-VLOOKUP($U$1,A:G,7,))/VLOOKUP($U$1,A:G,7,))*100)+100</f>
        <v/>
      </c>
      <c r="N130" s="23">
        <f>VLOOKUP(A130,Database!$E:$AY,MATCH($N$1,Database!$E$1:$AY$1,0),FALSE)</f>
        <v/>
      </c>
      <c r="O130" s="23">
        <f>(((Table134567891011121314151617343[[#This Row],[USA]]-VLOOKUP($U$1,A:N,14,))/VLOOKUP($U$1,A:N,14,))*100)+100</f>
        <v/>
      </c>
      <c r="P130" s="23">
        <f>VLOOKUP(A130,Database!$E:$AY,MATCH($P$1,Database!$E$1:$AY$1,0),FALSE)</f>
        <v/>
      </c>
      <c r="Q130" s="23">
        <f>(((Table134567891011121314151617343[[#This Row],[JPN]]-VLOOKUP($U$1,A:Q,16,))/VLOOKUP($U$1,A:Q,16,))*100)+100</f>
        <v/>
      </c>
    </row>
    <row r="131" customFormat="1" s="100">
      <c r="A131" s="22" t="n">
        <v>36800</v>
      </c>
      <c r="B131" s="23">
        <f>VLOOKUP(A131,Database!$E:$AY,MATCH($B$1,Database!$E$1:$AY$1,0),FALSE)</f>
        <v/>
      </c>
      <c r="C131" s="23">
        <f>VLOOKUP(A131,Database!$E:$AY,MATCH($C$1,Database!$E$1:$AY$1,0),FALSE)</f>
        <v/>
      </c>
      <c r="D131" s="23">
        <f>VLOOKUP(A131,Database!$E:$AY,MATCH($D$1,Database!$E$1:$AY$1,0),FALSE)</f>
        <v/>
      </c>
      <c r="E131" s="23">
        <f>VLOOKUP(A131,Database!$E:$AY,MATCH($E$1,Database!$E$1:$AY$1,0),FALSE)</f>
        <v/>
      </c>
      <c r="F131" s="23">
        <f>VLOOKUP(A131,Database!$E:$AY,MATCH($F$1,Database!$E$1:$AY$1,0),FALSE)</f>
        <v/>
      </c>
      <c r="G131" s="23">
        <f>VLOOKUP(A131,Database!$E:$AY,MATCH($G$1,Database!$E$1:$AY$1,0),FALSE)</f>
        <v/>
      </c>
      <c r="H131" s="23">
        <f>(((Table134567891011121314151617343[[#This Row],[ITA]]-VLOOKUP($U$1,A:B,2,))/VLOOKUP($U$1,A:B,2,))*100)+100</f>
        <v/>
      </c>
      <c r="I131" s="23">
        <f>(((Table134567891011121314151617343[[#This Row],[FRA]]-VLOOKUP($U$1,A:C,3,))/VLOOKUP($U$1,A:C,3,))*100)+100</f>
        <v/>
      </c>
      <c r="J131" s="23">
        <f>(((Table134567891011121314151617343[[#This Row],[DEU]]-VLOOKUP($U$1,A:D,4,))/VLOOKUP($U$1,A:D,4,))*100)+100</f>
        <v/>
      </c>
      <c r="K131" s="23">
        <f>(((Table134567891011121314151617343[[#This Row],[ESP]]-VLOOKUP($U$1,A:E,5,))/VLOOKUP($U$1,A:E,5,))*100)+100</f>
        <v/>
      </c>
      <c r="L131" s="23">
        <f>(((Table134567891011121314151617343[[#This Row],[EA19]]-VLOOKUP($U$1,A:F,6,))/VLOOKUP($U$1,A:F,6,))*100)+100</f>
        <v/>
      </c>
      <c r="M131" s="23">
        <f>(((Table134567891011121314151617343[[#This Row],[GBR]]-VLOOKUP($U$1,A:G,7,))/VLOOKUP($U$1,A:G,7,))*100)+100</f>
        <v/>
      </c>
      <c r="N131" s="23">
        <f>VLOOKUP(A131,Database!$E:$AY,MATCH($N$1,Database!$E$1:$AY$1,0),FALSE)</f>
        <v/>
      </c>
      <c r="O131" s="23">
        <f>(((Table134567891011121314151617343[[#This Row],[USA]]-VLOOKUP($U$1,A:N,14,))/VLOOKUP($U$1,A:N,14,))*100)+100</f>
        <v/>
      </c>
      <c r="P131" s="23">
        <f>VLOOKUP(A131,Database!$E:$AY,MATCH($P$1,Database!$E$1:$AY$1,0),FALSE)</f>
        <v/>
      </c>
      <c r="Q131" s="23">
        <f>(((Table134567891011121314151617343[[#This Row],[JPN]]-VLOOKUP($U$1,A:Q,16,))/VLOOKUP($U$1,A:Q,16,))*100)+100</f>
        <v/>
      </c>
    </row>
    <row r="132" customFormat="1" s="100">
      <c r="A132" s="22" t="n">
        <v>36831</v>
      </c>
      <c r="B132" s="23">
        <f>VLOOKUP(A132,Database!$E:$AY,MATCH($B$1,Database!$E$1:$AY$1,0),FALSE)</f>
        <v/>
      </c>
      <c r="C132" s="23">
        <f>VLOOKUP(A132,Database!$E:$AY,MATCH($C$1,Database!$E$1:$AY$1,0),FALSE)</f>
        <v/>
      </c>
      <c r="D132" s="23">
        <f>VLOOKUP(A132,Database!$E:$AY,MATCH($D$1,Database!$E$1:$AY$1,0),FALSE)</f>
        <v/>
      </c>
      <c r="E132" s="23">
        <f>VLOOKUP(A132,Database!$E:$AY,MATCH($E$1,Database!$E$1:$AY$1,0),FALSE)</f>
        <v/>
      </c>
      <c r="F132" s="23">
        <f>VLOOKUP(A132,Database!$E:$AY,MATCH($F$1,Database!$E$1:$AY$1,0),FALSE)</f>
        <v/>
      </c>
      <c r="G132" s="23">
        <f>VLOOKUP(A132,Database!$E:$AY,MATCH($G$1,Database!$E$1:$AY$1,0),FALSE)</f>
        <v/>
      </c>
      <c r="H132" s="23">
        <f>(((Table134567891011121314151617343[[#This Row],[ITA]]-VLOOKUP($U$1,A:B,2,))/VLOOKUP($U$1,A:B,2,))*100)+100</f>
        <v/>
      </c>
      <c r="I132" s="23">
        <f>(((Table134567891011121314151617343[[#This Row],[FRA]]-VLOOKUP($U$1,A:C,3,))/VLOOKUP($U$1,A:C,3,))*100)+100</f>
        <v/>
      </c>
      <c r="J132" s="23">
        <f>(((Table134567891011121314151617343[[#This Row],[DEU]]-VLOOKUP($U$1,A:D,4,))/VLOOKUP($U$1,A:D,4,))*100)+100</f>
        <v/>
      </c>
      <c r="K132" s="23">
        <f>(((Table134567891011121314151617343[[#This Row],[ESP]]-VLOOKUP($U$1,A:E,5,))/VLOOKUP($U$1,A:E,5,))*100)+100</f>
        <v/>
      </c>
      <c r="L132" s="23">
        <f>(((Table134567891011121314151617343[[#This Row],[EA19]]-VLOOKUP($U$1,A:F,6,))/VLOOKUP($U$1,A:F,6,))*100)+100</f>
        <v/>
      </c>
      <c r="M132" s="23">
        <f>(((Table134567891011121314151617343[[#This Row],[GBR]]-VLOOKUP($U$1,A:G,7,))/VLOOKUP($U$1,A:G,7,))*100)+100</f>
        <v/>
      </c>
      <c r="N132" s="23">
        <f>VLOOKUP(A132,Database!$E:$AY,MATCH($N$1,Database!$E$1:$AY$1,0),FALSE)</f>
        <v/>
      </c>
      <c r="O132" s="23">
        <f>(((Table134567891011121314151617343[[#This Row],[USA]]-VLOOKUP($U$1,A:N,14,))/VLOOKUP($U$1,A:N,14,))*100)+100</f>
        <v/>
      </c>
      <c r="P132" s="23">
        <f>VLOOKUP(A132,Database!$E:$AY,MATCH($P$1,Database!$E$1:$AY$1,0),FALSE)</f>
        <v/>
      </c>
      <c r="Q132" s="23">
        <f>(((Table134567891011121314151617343[[#This Row],[JPN]]-VLOOKUP($U$1,A:Q,16,))/VLOOKUP($U$1,A:Q,16,))*100)+100</f>
        <v/>
      </c>
    </row>
    <row r="133" customFormat="1" s="100">
      <c r="A133" s="22" t="n">
        <v>36861</v>
      </c>
      <c r="B133" s="23">
        <f>VLOOKUP(A133,Database!$E:$AY,MATCH($B$1,Database!$E$1:$AY$1,0),FALSE)</f>
        <v/>
      </c>
      <c r="C133" s="23">
        <f>VLOOKUP(A133,Database!$E:$AY,MATCH($C$1,Database!$E$1:$AY$1,0),FALSE)</f>
        <v/>
      </c>
      <c r="D133" s="23">
        <f>VLOOKUP(A133,Database!$E:$AY,MATCH($D$1,Database!$E$1:$AY$1,0),FALSE)</f>
        <v/>
      </c>
      <c r="E133" s="23">
        <f>VLOOKUP(A133,Database!$E:$AY,MATCH($E$1,Database!$E$1:$AY$1,0),FALSE)</f>
        <v/>
      </c>
      <c r="F133" s="23">
        <f>VLOOKUP(A133,Database!$E:$AY,MATCH($F$1,Database!$E$1:$AY$1,0),FALSE)</f>
        <v/>
      </c>
      <c r="G133" s="23">
        <f>VLOOKUP(A133,Database!$E:$AY,MATCH($G$1,Database!$E$1:$AY$1,0),FALSE)</f>
        <v/>
      </c>
      <c r="H133" s="23">
        <f>(((Table134567891011121314151617343[[#This Row],[ITA]]-VLOOKUP($U$1,A:B,2,))/VLOOKUP($U$1,A:B,2,))*100)+100</f>
        <v/>
      </c>
      <c r="I133" s="23">
        <f>(((Table134567891011121314151617343[[#This Row],[FRA]]-VLOOKUP($U$1,A:C,3,))/VLOOKUP($U$1,A:C,3,))*100)+100</f>
        <v/>
      </c>
      <c r="J133" s="23">
        <f>(((Table134567891011121314151617343[[#This Row],[DEU]]-VLOOKUP($U$1,A:D,4,))/VLOOKUP($U$1,A:D,4,))*100)+100</f>
        <v/>
      </c>
      <c r="K133" s="23">
        <f>(((Table134567891011121314151617343[[#This Row],[ESP]]-VLOOKUP($U$1,A:E,5,))/VLOOKUP($U$1,A:E,5,))*100)+100</f>
        <v/>
      </c>
      <c r="L133" s="23">
        <f>(((Table134567891011121314151617343[[#This Row],[EA19]]-VLOOKUP($U$1,A:F,6,))/VLOOKUP($U$1,A:F,6,))*100)+100</f>
        <v/>
      </c>
      <c r="M133" s="23">
        <f>(((Table134567891011121314151617343[[#This Row],[GBR]]-VLOOKUP($U$1,A:G,7,))/VLOOKUP($U$1,A:G,7,))*100)+100</f>
        <v/>
      </c>
      <c r="N133" s="23">
        <f>VLOOKUP(A133,Database!$E:$AY,MATCH($N$1,Database!$E$1:$AY$1,0),FALSE)</f>
        <v/>
      </c>
      <c r="O133" s="23">
        <f>(((Table134567891011121314151617343[[#This Row],[USA]]-VLOOKUP($U$1,A:N,14,))/VLOOKUP($U$1,A:N,14,))*100)+100</f>
        <v/>
      </c>
      <c r="P133" s="23">
        <f>VLOOKUP(A133,Database!$E:$AY,MATCH($P$1,Database!$E$1:$AY$1,0),FALSE)</f>
        <v/>
      </c>
      <c r="Q133" s="23">
        <f>(((Table134567891011121314151617343[[#This Row],[JPN]]-VLOOKUP($U$1,A:Q,16,))/VLOOKUP($U$1,A:Q,16,))*100)+100</f>
        <v/>
      </c>
    </row>
    <row r="134" customFormat="1" s="100">
      <c r="A134" s="22" t="n">
        <v>36892</v>
      </c>
      <c r="B134" s="23">
        <f>VLOOKUP(A134,Database!$E:$AY,MATCH($B$1,Database!$E$1:$AY$1,0),FALSE)</f>
        <v/>
      </c>
      <c r="C134" s="23">
        <f>VLOOKUP(A134,Database!$E:$AY,MATCH($C$1,Database!$E$1:$AY$1,0),FALSE)</f>
        <v/>
      </c>
      <c r="D134" s="23">
        <f>VLOOKUP(A134,Database!$E:$AY,MATCH($D$1,Database!$E$1:$AY$1,0),FALSE)</f>
        <v/>
      </c>
      <c r="E134" s="23">
        <f>VLOOKUP(A134,Database!$E:$AY,MATCH($E$1,Database!$E$1:$AY$1,0),FALSE)</f>
        <v/>
      </c>
      <c r="F134" s="23">
        <f>VLOOKUP(A134,Database!$E:$AY,MATCH($F$1,Database!$E$1:$AY$1,0),FALSE)</f>
        <v/>
      </c>
      <c r="G134" s="23">
        <f>VLOOKUP(A134,Database!$E:$AY,MATCH($G$1,Database!$E$1:$AY$1,0),FALSE)</f>
        <v/>
      </c>
      <c r="H134" s="23">
        <f>(((Table134567891011121314151617343[[#This Row],[ITA]]-VLOOKUP($U$1,A:B,2,))/VLOOKUP($U$1,A:B,2,))*100)+100</f>
        <v/>
      </c>
      <c r="I134" s="23">
        <f>(((Table134567891011121314151617343[[#This Row],[FRA]]-VLOOKUP($U$1,A:C,3,))/VLOOKUP($U$1,A:C,3,))*100)+100</f>
        <v/>
      </c>
      <c r="J134" s="23">
        <f>(((Table134567891011121314151617343[[#This Row],[DEU]]-VLOOKUP($U$1,A:D,4,))/VLOOKUP($U$1,A:D,4,))*100)+100</f>
        <v/>
      </c>
      <c r="K134" s="23">
        <f>(((Table134567891011121314151617343[[#This Row],[ESP]]-VLOOKUP($U$1,A:E,5,))/VLOOKUP($U$1,A:E,5,))*100)+100</f>
        <v/>
      </c>
      <c r="L134" s="23">
        <f>(((Table134567891011121314151617343[[#This Row],[EA19]]-VLOOKUP($U$1,A:F,6,))/VLOOKUP($U$1,A:F,6,))*100)+100</f>
        <v/>
      </c>
      <c r="M134" s="23">
        <f>(((Table134567891011121314151617343[[#This Row],[GBR]]-VLOOKUP($U$1,A:G,7,))/VLOOKUP($U$1,A:G,7,))*100)+100</f>
        <v/>
      </c>
      <c r="N134" s="23">
        <f>VLOOKUP(A134,Database!$E:$AY,MATCH($N$1,Database!$E$1:$AY$1,0),FALSE)</f>
        <v/>
      </c>
      <c r="O134" s="23">
        <f>(((Table134567891011121314151617343[[#This Row],[USA]]-VLOOKUP($U$1,A:N,14,))/VLOOKUP($U$1,A:N,14,))*100)+100</f>
        <v/>
      </c>
      <c r="P134" s="23">
        <f>VLOOKUP(A134,Database!$E:$AY,MATCH($P$1,Database!$E$1:$AY$1,0),FALSE)</f>
        <v/>
      </c>
      <c r="Q134" s="23">
        <f>(((Table134567891011121314151617343[[#This Row],[JPN]]-VLOOKUP($U$1,A:Q,16,))/VLOOKUP($U$1,A:Q,16,))*100)+100</f>
        <v/>
      </c>
    </row>
    <row r="135" customFormat="1" s="100">
      <c r="A135" s="22" t="n">
        <v>36923</v>
      </c>
      <c r="B135" s="23">
        <f>VLOOKUP(A135,Database!$E:$AY,MATCH($B$1,Database!$E$1:$AY$1,0),FALSE)</f>
        <v/>
      </c>
      <c r="C135" s="23">
        <f>VLOOKUP(A135,Database!$E:$AY,MATCH($C$1,Database!$E$1:$AY$1,0),FALSE)</f>
        <v/>
      </c>
      <c r="D135" s="23">
        <f>VLOOKUP(A135,Database!$E:$AY,MATCH($D$1,Database!$E$1:$AY$1,0),FALSE)</f>
        <v/>
      </c>
      <c r="E135" s="23">
        <f>VLOOKUP(A135,Database!$E:$AY,MATCH($E$1,Database!$E$1:$AY$1,0),FALSE)</f>
        <v/>
      </c>
      <c r="F135" s="23">
        <f>VLOOKUP(A135,Database!$E:$AY,MATCH($F$1,Database!$E$1:$AY$1,0),FALSE)</f>
        <v/>
      </c>
      <c r="G135" s="23">
        <f>VLOOKUP(A135,Database!$E:$AY,MATCH($G$1,Database!$E$1:$AY$1,0),FALSE)</f>
        <v/>
      </c>
      <c r="H135" s="23">
        <f>(((Table134567891011121314151617343[[#This Row],[ITA]]-VLOOKUP($U$1,A:B,2,))/VLOOKUP($U$1,A:B,2,))*100)+100</f>
        <v/>
      </c>
      <c r="I135" s="23">
        <f>(((Table134567891011121314151617343[[#This Row],[FRA]]-VLOOKUP($U$1,A:C,3,))/VLOOKUP($U$1,A:C,3,))*100)+100</f>
        <v/>
      </c>
      <c r="J135" s="23">
        <f>(((Table134567891011121314151617343[[#This Row],[DEU]]-VLOOKUP($U$1,A:D,4,))/VLOOKUP($U$1,A:D,4,))*100)+100</f>
        <v/>
      </c>
      <c r="K135" s="23">
        <f>(((Table134567891011121314151617343[[#This Row],[ESP]]-VLOOKUP($U$1,A:E,5,))/VLOOKUP($U$1,A:E,5,))*100)+100</f>
        <v/>
      </c>
      <c r="L135" s="23">
        <f>(((Table134567891011121314151617343[[#This Row],[EA19]]-VLOOKUP($U$1,A:F,6,))/VLOOKUP($U$1,A:F,6,))*100)+100</f>
        <v/>
      </c>
      <c r="M135" s="23">
        <f>(((Table134567891011121314151617343[[#This Row],[GBR]]-VLOOKUP($U$1,A:G,7,))/VLOOKUP($U$1,A:G,7,))*100)+100</f>
        <v/>
      </c>
      <c r="N135" s="23">
        <f>VLOOKUP(A135,Database!$E:$AY,MATCH($N$1,Database!$E$1:$AY$1,0),FALSE)</f>
        <v/>
      </c>
      <c r="O135" s="23">
        <f>(((Table134567891011121314151617343[[#This Row],[USA]]-VLOOKUP($U$1,A:N,14,))/VLOOKUP($U$1,A:N,14,))*100)+100</f>
        <v/>
      </c>
      <c r="P135" s="23">
        <f>VLOOKUP(A135,Database!$E:$AY,MATCH($P$1,Database!$E$1:$AY$1,0),FALSE)</f>
        <v/>
      </c>
      <c r="Q135" s="23">
        <f>(((Table134567891011121314151617343[[#This Row],[JPN]]-VLOOKUP($U$1,A:Q,16,))/VLOOKUP($U$1,A:Q,16,))*100)+100</f>
        <v/>
      </c>
    </row>
    <row r="136" customFormat="1" s="100">
      <c r="A136" s="22" t="n">
        <v>36951</v>
      </c>
      <c r="B136" s="23">
        <f>VLOOKUP(A136,Database!$E:$AY,MATCH($B$1,Database!$E$1:$AY$1,0),FALSE)</f>
        <v/>
      </c>
      <c r="C136" s="23">
        <f>VLOOKUP(A136,Database!$E:$AY,MATCH($C$1,Database!$E$1:$AY$1,0),FALSE)</f>
        <v/>
      </c>
      <c r="D136" s="23">
        <f>VLOOKUP(A136,Database!$E:$AY,MATCH($D$1,Database!$E$1:$AY$1,0),FALSE)</f>
        <v/>
      </c>
      <c r="E136" s="23">
        <f>VLOOKUP(A136,Database!$E:$AY,MATCH($E$1,Database!$E$1:$AY$1,0),FALSE)</f>
        <v/>
      </c>
      <c r="F136" s="23">
        <f>VLOOKUP(A136,Database!$E:$AY,MATCH($F$1,Database!$E$1:$AY$1,0),FALSE)</f>
        <v/>
      </c>
      <c r="G136" s="23">
        <f>VLOOKUP(A136,Database!$E:$AY,MATCH($G$1,Database!$E$1:$AY$1,0),FALSE)</f>
        <v/>
      </c>
      <c r="H136" s="23">
        <f>(((Table134567891011121314151617343[[#This Row],[ITA]]-VLOOKUP($U$1,A:B,2,))/VLOOKUP($U$1,A:B,2,))*100)+100</f>
        <v/>
      </c>
      <c r="I136" s="23">
        <f>(((Table134567891011121314151617343[[#This Row],[FRA]]-VLOOKUP($U$1,A:C,3,))/VLOOKUP($U$1,A:C,3,))*100)+100</f>
        <v/>
      </c>
      <c r="J136" s="23">
        <f>(((Table134567891011121314151617343[[#This Row],[DEU]]-VLOOKUP($U$1,A:D,4,))/VLOOKUP($U$1,A:D,4,))*100)+100</f>
        <v/>
      </c>
      <c r="K136" s="23">
        <f>(((Table134567891011121314151617343[[#This Row],[ESP]]-VLOOKUP($U$1,A:E,5,))/VLOOKUP($U$1,A:E,5,))*100)+100</f>
        <v/>
      </c>
      <c r="L136" s="23">
        <f>(((Table134567891011121314151617343[[#This Row],[EA19]]-VLOOKUP($U$1,A:F,6,))/VLOOKUP($U$1,A:F,6,))*100)+100</f>
        <v/>
      </c>
      <c r="M136" s="23">
        <f>(((Table134567891011121314151617343[[#This Row],[GBR]]-VLOOKUP($U$1,A:G,7,))/VLOOKUP($U$1,A:G,7,))*100)+100</f>
        <v/>
      </c>
      <c r="N136" s="23">
        <f>VLOOKUP(A136,Database!$E:$AY,MATCH($N$1,Database!$E$1:$AY$1,0),FALSE)</f>
        <v/>
      </c>
      <c r="O136" s="23">
        <f>(((Table134567891011121314151617343[[#This Row],[USA]]-VLOOKUP($U$1,A:N,14,))/VLOOKUP($U$1,A:N,14,))*100)+100</f>
        <v/>
      </c>
      <c r="P136" s="23">
        <f>VLOOKUP(A136,Database!$E:$AY,MATCH($P$1,Database!$E$1:$AY$1,0),FALSE)</f>
        <v/>
      </c>
      <c r="Q136" s="23">
        <f>(((Table134567891011121314151617343[[#This Row],[JPN]]-VLOOKUP($U$1,A:Q,16,))/VLOOKUP($U$1,A:Q,16,))*100)+100</f>
        <v/>
      </c>
    </row>
    <row r="137" customFormat="1" s="100">
      <c r="A137" s="22" t="n">
        <v>36982</v>
      </c>
      <c r="B137" s="23">
        <f>VLOOKUP(A137,Database!$E:$AY,MATCH($B$1,Database!$E$1:$AY$1,0),FALSE)</f>
        <v/>
      </c>
      <c r="C137" s="23">
        <f>VLOOKUP(A137,Database!$E:$AY,MATCH($C$1,Database!$E$1:$AY$1,0),FALSE)</f>
        <v/>
      </c>
      <c r="D137" s="23">
        <f>VLOOKUP(A137,Database!$E:$AY,MATCH($D$1,Database!$E$1:$AY$1,0),FALSE)</f>
        <v/>
      </c>
      <c r="E137" s="23">
        <f>VLOOKUP(A137,Database!$E:$AY,MATCH($E$1,Database!$E$1:$AY$1,0),FALSE)</f>
        <v/>
      </c>
      <c r="F137" s="23">
        <f>VLOOKUP(A137,Database!$E:$AY,MATCH($F$1,Database!$E$1:$AY$1,0),FALSE)</f>
        <v/>
      </c>
      <c r="G137" s="23">
        <f>VLOOKUP(A137,Database!$E:$AY,MATCH($G$1,Database!$E$1:$AY$1,0),FALSE)</f>
        <v/>
      </c>
      <c r="H137" s="23">
        <f>(((Table134567891011121314151617343[[#This Row],[ITA]]-VLOOKUP($U$1,A:B,2,))/VLOOKUP($U$1,A:B,2,))*100)+100</f>
        <v/>
      </c>
      <c r="I137" s="23">
        <f>(((Table134567891011121314151617343[[#This Row],[FRA]]-VLOOKUP($U$1,A:C,3,))/VLOOKUP($U$1,A:C,3,))*100)+100</f>
        <v/>
      </c>
      <c r="J137" s="23">
        <f>(((Table134567891011121314151617343[[#This Row],[DEU]]-VLOOKUP($U$1,A:D,4,))/VLOOKUP($U$1,A:D,4,))*100)+100</f>
        <v/>
      </c>
      <c r="K137" s="23">
        <f>(((Table134567891011121314151617343[[#This Row],[ESP]]-VLOOKUP($U$1,A:E,5,))/VLOOKUP($U$1,A:E,5,))*100)+100</f>
        <v/>
      </c>
      <c r="L137" s="23">
        <f>(((Table134567891011121314151617343[[#This Row],[EA19]]-VLOOKUP($U$1,A:F,6,))/VLOOKUP($U$1,A:F,6,))*100)+100</f>
        <v/>
      </c>
      <c r="M137" s="23">
        <f>(((Table134567891011121314151617343[[#This Row],[GBR]]-VLOOKUP($U$1,A:G,7,))/VLOOKUP($U$1,A:G,7,))*100)+100</f>
        <v/>
      </c>
      <c r="N137" s="23">
        <f>VLOOKUP(A137,Database!$E:$AY,MATCH($N$1,Database!$E$1:$AY$1,0),FALSE)</f>
        <v/>
      </c>
      <c r="O137" s="23">
        <f>(((Table134567891011121314151617343[[#This Row],[USA]]-VLOOKUP($U$1,A:N,14,))/VLOOKUP($U$1,A:N,14,))*100)+100</f>
        <v/>
      </c>
      <c r="P137" s="23">
        <f>VLOOKUP(A137,Database!$E:$AY,MATCH($P$1,Database!$E$1:$AY$1,0),FALSE)</f>
        <v/>
      </c>
      <c r="Q137" s="23">
        <f>(((Table134567891011121314151617343[[#This Row],[JPN]]-VLOOKUP($U$1,A:Q,16,))/VLOOKUP($U$1,A:Q,16,))*100)+100</f>
        <v/>
      </c>
    </row>
    <row r="138" customFormat="1" s="100">
      <c r="A138" s="22" t="n">
        <v>37012</v>
      </c>
      <c r="B138" s="23">
        <f>VLOOKUP(A138,Database!$E:$AY,MATCH($B$1,Database!$E$1:$AY$1,0),FALSE)</f>
        <v/>
      </c>
      <c r="C138" s="23">
        <f>VLOOKUP(A138,Database!$E:$AY,MATCH($C$1,Database!$E$1:$AY$1,0),FALSE)</f>
        <v/>
      </c>
      <c r="D138" s="23">
        <f>VLOOKUP(A138,Database!$E:$AY,MATCH($D$1,Database!$E$1:$AY$1,0),FALSE)</f>
        <v/>
      </c>
      <c r="E138" s="23">
        <f>VLOOKUP(A138,Database!$E:$AY,MATCH($E$1,Database!$E$1:$AY$1,0),FALSE)</f>
        <v/>
      </c>
      <c r="F138" s="23">
        <f>VLOOKUP(A138,Database!$E:$AY,MATCH($F$1,Database!$E$1:$AY$1,0),FALSE)</f>
        <v/>
      </c>
      <c r="G138" s="23">
        <f>VLOOKUP(A138,Database!$E:$AY,MATCH($G$1,Database!$E$1:$AY$1,0),FALSE)</f>
        <v/>
      </c>
      <c r="H138" s="23">
        <f>(((Table134567891011121314151617343[[#This Row],[ITA]]-VLOOKUP($U$1,A:B,2,))/VLOOKUP($U$1,A:B,2,))*100)+100</f>
        <v/>
      </c>
      <c r="I138" s="23">
        <f>(((Table134567891011121314151617343[[#This Row],[FRA]]-VLOOKUP($U$1,A:C,3,))/VLOOKUP($U$1,A:C,3,))*100)+100</f>
        <v/>
      </c>
      <c r="J138" s="23">
        <f>(((Table134567891011121314151617343[[#This Row],[DEU]]-VLOOKUP($U$1,A:D,4,))/VLOOKUP($U$1,A:D,4,))*100)+100</f>
        <v/>
      </c>
      <c r="K138" s="23">
        <f>(((Table134567891011121314151617343[[#This Row],[ESP]]-VLOOKUP($U$1,A:E,5,))/VLOOKUP($U$1,A:E,5,))*100)+100</f>
        <v/>
      </c>
      <c r="L138" s="23">
        <f>(((Table134567891011121314151617343[[#This Row],[EA19]]-VLOOKUP($U$1,A:F,6,))/VLOOKUP($U$1,A:F,6,))*100)+100</f>
        <v/>
      </c>
      <c r="M138" s="23">
        <f>(((Table134567891011121314151617343[[#This Row],[GBR]]-VLOOKUP($U$1,A:G,7,))/VLOOKUP($U$1,A:G,7,))*100)+100</f>
        <v/>
      </c>
      <c r="N138" s="23">
        <f>VLOOKUP(A138,Database!$E:$AY,MATCH($N$1,Database!$E$1:$AY$1,0),FALSE)</f>
        <v/>
      </c>
      <c r="O138" s="23">
        <f>(((Table134567891011121314151617343[[#This Row],[USA]]-VLOOKUP($U$1,A:N,14,))/VLOOKUP($U$1,A:N,14,))*100)+100</f>
        <v/>
      </c>
      <c r="P138" s="23">
        <f>VLOOKUP(A138,Database!$E:$AY,MATCH($P$1,Database!$E$1:$AY$1,0),FALSE)</f>
        <v/>
      </c>
      <c r="Q138" s="23">
        <f>(((Table134567891011121314151617343[[#This Row],[JPN]]-VLOOKUP($U$1,A:Q,16,))/VLOOKUP($U$1,A:Q,16,))*100)+100</f>
        <v/>
      </c>
    </row>
    <row r="139" customFormat="1" s="100">
      <c r="A139" s="22" t="n">
        <v>37043</v>
      </c>
      <c r="B139" s="23">
        <f>VLOOKUP(A139,Database!$E:$AY,MATCH($B$1,Database!$E$1:$AY$1,0),FALSE)</f>
        <v/>
      </c>
      <c r="C139" s="23">
        <f>VLOOKUP(A139,Database!$E:$AY,MATCH($C$1,Database!$E$1:$AY$1,0),FALSE)</f>
        <v/>
      </c>
      <c r="D139" s="23">
        <f>VLOOKUP(A139,Database!$E:$AY,MATCH($D$1,Database!$E$1:$AY$1,0),FALSE)</f>
        <v/>
      </c>
      <c r="E139" s="23">
        <f>VLOOKUP(A139,Database!$E:$AY,MATCH($E$1,Database!$E$1:$AY$1,0),FALSE)</f>
        <v/>
      </c>
      <c r="F139" s="23">
        <f>VLOOKUP(A139,Database!$E:$AY,MATCH($F$1,Database!$E$1:$AY$1,0),FALSE)</f>
        <v/>
      </c>
      <c r="G139" s="23">
        <f>VLOOKUP(A139,Database!$E:$AY,MATCH($G$1,Database!$E$1:$AY$1,0),FALSE)</f>
        <v/>
      </c>
      <c r="H139" s="23">
        <f>(((Table134567891011121314151617343[[#This Row],[ITA]]-VLOOKUP($U$1,A:B,2,))/VLOOKUP($U$1,A:B,2,))*100)+100</f>
        <v/>
      </c>
      <c r="I139" s="23">
        <f>(((Table134567891011121314151617343[[#This Row],[FRA]]-VLOOKUP($U$1,A:C,3,))/VLOOKUP($U$1,A:C,3,))*100)+100</f>
        <v/>
      </c>
      <c r="J139" s="23">
        <f>(((Table134567891011121314151617343[[#This Row],[DEU]]-VLOOKUP($U$1,A:D,4,))/VLOOKUP($U$1,A:D,4,))*100)+100</f>
        <v/>
      </c>
      <c r="K139" s="23">
        <f>(((Table134567891011121314151617343[[#This Row],[ESP]]-VLOOKUP($U$1,A:E,5,))/VLOOKUP($U$1,A:E,5,))*100)+100</f>
        <v/>
      </c>
      <c r="L139" s="23">
        <f>(((Table134567891011121314151617343[[#This Row],[EA19]]-VLOOKUP($U$1,A:F,6,))/VLOOKUP($U$1,A:F,6,))*100)+100</f>
        <v/>
      </c>
      <c r="M139" s="23">
        <f>(((Table134567891011121314151617343[[#This Row],[GBR]]-VLOOKUP($U$1,A:G,7,))/VLOOKUP($U$1,A:G,7,))*100)+100</f>
        <v/>
      </c>
      <c r="N139" s="23">
        <f>VLOOKUP(A139,Database!$E:$AY,MATCH($N$1,Database!$E$1:$AY$1,0),FALSE)</f>
        <v/>
      </c>
      <c r="O139" s="23">
        <f>(((Table134567891011121314151617343[[#This Row],[USA]]-VLOOKUP($U$1,A:N,14,))/VLOOKUP($U$1,A:N,14,))*100)+100</f>
        <v/>
      </c>
      <c r="P139" s="23">
        <f>VLOOKUP(A139,Database!$E:$AY,MATCH($P$1,Database!$E$1:$AY$1,0),FALSE)</f>
        <v/>
      </c>
      <c r="Q139" s="23">
        <f>(((Table134567891011121314151617343[[#This Row],[JPN]]-VLOOKUP($U$1,A:Q,16,))/VLOOKUP($U$1,A:Q,16,))*100)+100</f>
        <v/>
      </c>
    </row>
    <row r="140" customFormat="1" s="100">
      <c r="A140" s="22" t="n">
        <v>37073</v>
      </c>
      <c r="B140" s="23">
        <f>VLOOKUP(A140,Database!$E:$AY,MATCH($B$1,Database!$E$1:$AY$1,0),FALSE)</f>
        <v/>
      </c>
      <c r="C140" s="23">
        <f>VLOOKUP(A140,Database!$E:$AY,MATCH($C$1,Database!$E$1:$AY$1,0),FALSE)</f>
        <v/>
      </c>
      <c r="D140" s="23">
        <f>VLOOKUP(A140,Database!$E:$AY,MATCH($D$1,Database!$E$1:$AY$1,0),FALSE)</f>
        <v/>
      </c>
      <c r="E140" s="23">
        <f>VLOOKUP(A140,Database!$E:$AY,MATCH($E$1,Database!$E$1:$AY$1,0),FALSE)</f>
        <v/>
      </c>
      <c r="F140" s="23">
        <f>VLOOKUP(A140,Database!$E:$AY,MATCH($F$1,Database!$E$1:$AY$1,0),FALSE)</f>
        <v/>
      </c>
      <c r="G140" s="23">
        <f>VLOOKUP(A140,Database!$E:$AY,MATCH($G$1,Database!$E$1:$AY$1,0),FALSE)</f>
        <v/>
      </c>
      <c r="H140" s="23">
        <f>(((Table134567891011121314151617343[[#This Row],[ITA]]-VLOOKUP($U$1,A:B,2,))/VLOOKUP($U$1,A:B,2,))*100)+100</f>
        <v/>
      </c>
      <c r="I140" s="23">
        <f>(((Table134567891011121314151617343[[#This Row],[FRA]]-VLOOKUP($U$1,A:C,3,))/VLOOKUP($U$1,A:C,3,))*100)+100</f>
        <v/>
      </c>
      <c r="J140" s="23">
        <f>(((Table134567891011121314151617343[[#This Row],[DEU]]-VLOOKUP($U$1,A:D,4,))/VLOOKUP($U$1,A:D,4,))*100)+100</f>
        <v/>
      </c>
      <c r="K140" s="23">
        <f>(((Table134567891011121314151617343[[#This Row],[ESP]]-VLOOKUP($U$1,A:E,5,))/VLOOKUP($U$1,A:E,5,))*100)+100</f>
        <v/>
      </c>
      <c r="L140" s="23">
        <f>(((Table134567891011121314151617343[[#This Row],[EA19]]-VLOOKUP($U$1,A:F,6,))/VLOOKUP($U$1,A:F,6,))*100)+100</f>
        <v/>
      </c>
      <c r="M140" s="23">
        <f>(((Table134567891011121314151617343[[#This Row],[GBR]]-VLOOKUP($U$1,A:G,7,))/VLOOKUP($U$1,A:G,7,))*100)+100</f>
        <v/>
      </c>
      <c r="N140" s="23">
        <f>VLOOKUP(A140,Database!$E:$AY,MATCH($N$1,Database!$E$1:$AY$1,0),FALSE)</f>
        <v/>
      </c>
      <c r="O140" s="23">
        <f>(((Table134567891011121314151617343[[#This Row],[USA]]-VLOOKUP($U$1,A:N,14,))/VLOOKUP($U$1,A:N,14,))*100)+100</f>
        <v/>
      </c>
      <c r="P140" s="23">
        <f>VLOOKUP(A140,Database!$E:$AY,MATCH($P$1,Database!$E$1:$AY$1,0),FALSE)</f>
        <v/>
      </c>
      <c r="Q140" s="23">
        <f>(((Table134567891011121314151617343[[#This Row],[JPN]]-VLOOKUP($U$1,A:Q,16,))/VLOOKUP($U$1,A:Q,16,))*100)+100</f>
        <v/>
      </c>
    </row>
    <row r="141" customFormat="1" s="100">
      <c r="A141" s="22" t="n">
        <v>37104</v>
      </c>
      <c r="B141" s="23">
        <f>VLOOKUP(A141,Database!$E:$AY,MATCH($B$1,Database!$E$1:$AY$1,0),FALSE)</f>
        <v/>
      </c>
      <c r="C141" s="23">
        <f>VLOOKUP(A141,Database!$E:$AY,MATCH($C$1,Database!$E$1:$AY$1,0),FALSE)</f>
        <v/>
      </c>
      <c r="D141" s="23">
        <f>VLOOKUP(A141,Database!$E:$AY,MATCH($D$1,Database!$E$1:$AY$1,0),FALSE)</f>
        <v/>
      </c>
      <c r="E141" s="23">
        <f>VLOOKUP(A141,Database!$E:$AY,MATCH($E$1,Database!$E$1:$AY$1,0),FALSE)</f>
        <v/>
      </c>
      <c r="F141" s="23">
        <f>VLOOKUP(A141,Database!$E:$AY,MATCH($F$1,Database!$E$1:$AY$1,0),FALSE)</f>
        <v/>
      </c>
      <c r="G141" s="23">
        <f>VLOOKUP(A141,Database!$E:$AY,MATCH($G$1,Database!$E$1:$AY$1,0),FALSE)</f>
        <v/>
      </c>
      <c r="H141" s="23">
        <f>(((Table134567891011121314151617343[[#This Row],[ITA]]-VLOOKUP($U$1,A:B,2,))/VLOOKUP($U$1,A:B,2,))*100)+100</f>
        <v/>
      </c>
      <c r="I141" s="23">
        <f>(((Table134567891011121314151617343[[#This Row],[FRA]]-VLOOKUP($U$1,A:C,3,))/VLOOKUP($U$1,A:C,3,))*100)+100</f>
        <v/>
      </c>
      <c r="J141" s="23">
        <f>(((Table134567891011121314151617343[[#This Row],[DEU]]-VLOOKUP($U$1,A:D,4,))/VLOOKUP($U$1,A:D,4,))*100)+100</f>
        <v/>
      </c>
      <c r="K141" s="23">
        <f>(((Table134567891011121314151617343[[#This Row],[ESP]]-VLOOKUP($U$1,A:E,5,))/VLOOKUP($U$1,A:E,5,))*100)+100</f>
        <v/>
      </c>
      <c r="L141" s="23">
        <f>(((Table134567891011121314151617343[[#This Row],[EA19]]-VLOOKUP($U$1,A:F,6,))/VLOOKUP($U$1,A:F,6,))*100)+100</f>
        <v/>
      </c>
      <c r="M141" s="23">
        <f>(((Table134567891011121314151617343[[#This Row],[GBR]]-VLOOKUP($U$1,A:G,7,))/VLOOKUP($U$1,A:G,7,))*100)+100</f>
        <v/>
      </c>
      <c r="N141" s="23">
        <f>VLOOKUP(A141,Database!$E:$AY,MATCH($N$1,Database!$E$1:$AY$1,0),FALSE)</f>
        <v/>
      </c>
      <c r="O141" s="23">
        <f>(((Table134567891011121314151617343[[#This Row],[USA]]-VLOOKUP($U$1,A:N,14,))/VLOOKUP($U$1,A:N,14,))*100)+100</f>
        <v/>
      </c>
      <c r="P141" s="23">
        <f>VLOOKUP(A141,Database!$E:$AY,MATCH($P$1,Database!$E$1:$AY$1,0),FALSE)</f>
        <v/>
      </c>
      <c r="Q141" s="23">
        <f>(((Table134567891011121314151617343[[#This Row],[JPN]]-VLOOKUP($U$1,A:Q,16,))/VLOOKUP($U$1,A:Q,16,))*100)+100</f>
        <v/>
      </c>
    </row>
    <row r="142" customFormat="1" s="100">
      <c r="A142" s="22" t="n">
        <v>37135</v>
      </c>
      <c r="B142" s="23">
        <f>VLOOKUP(A142,Database!$E:$AY,MATCH($B$1,Database!$E$1:$AY$1,0),FALSE)</f>
        <v/>
      </c>
      <c r="C142" s="23">
        <f>VLOOKUP(A142,Database!$E:$AY,MATCH($C$1,Database!$E$1:$AY$1,0),FALSE)</f>
        <v/>
      </c>
      <c r="D142" s="23">
        <f>VLOOKUP(A142,Database!$E:$AY,MATCH($D$1,Database!$E$1:$AY$1,0),FALSE)</f>
        <v/>
      </c>
      <c r="E142" s="23">
        <f>VLOOKUP(A142,Database!$E:$AY,MATCH($E$1,Database!$E$1:$AY$1,0),FALSE)</f>
        <v/>
      </c>
      <c r="F142" s="23">
        <f>VLOOKUP(A142,Database!$E:$AY,MATCH($F$1,Database!$E$1:$AY$1,0),FALSE)</f>
        <v/>
      </c>
      <c r="G142" s="23">
        <f>VLOOKUP(A142,Database!$E:$AY,MATCH($G$1,Database!$E$1:$AY$1,0),FALSE)</f>
        <v/>
      </c>
      <c r="H142" s="23">
        <f>(((Table134567891011121314151617343[[#This Row],[ITA]]-VLOOKUP($U$1,A:B,2,))/VLOOKUP($U$1,A:B,2,))*100)+100</f>
        <v/>
      </c>
      <c r="I142" s="23">
        <f>(((Table134567891011121314151617343[[#This Row],[FRA]]-VLOOKUP($U$1,A:C,3,))/VLOOKUP($U$1,A:C,3,))*100)+100</f>
        <v/>
      </c>
      <c r="J142" s="23">
        <f>(((Table134567891011121314151617343[[#This Row],[DEU]]-VLOOKUP($U$1,A:D,4,))/VLOOKUP($U$1,A:D,4,))*100)+100</f>
        <v/>
      </c>
      <c r="K142" s="23">
        <f>(((Table134567891011121314151617343[[#This Row],[ESP]]-VLOOKUP($U$1,A:E,5,))/VLOOKUP($U$1,A:E,5,))*100)+100</f>
        <v/>
      </c>
      <c r="L142" s="23">
        <f>(((Table134567891011121314151617343[[#This Row],[EA19]]-VLOOKUP($U$1,A:F,6,))/VLOOKUP($U$1,A:F,6,))*100)+100</f>
        <v/>
      </c>
      <c r="M142" s="23">
        <f>(((Table134567891011121314151617343[[#This Row],[GBR]]-VLOOKUP($U$1,A:G,7,))/VLOOKUP($U$1,A:G,7,))*100)+100</f>
        <v/>
      </c>
      <c r="N142" s="23">
        <f>VLOOKUP(A142,Database!$E:$AY,MATCH($N$1,Database!$E$1:$AY$1,0),FALSE)</f>
        <v/>
      </c>
      <c r="O142" s="23">
        <f>(((Table134567891011121314151617343[[#This Row],[USA]]-VLOOKUP($U$1,A:N,14,))/VLOOKUP($U$1,A:N,14,))*100)+100</f>
        <v/>
      </c>
      <c r="P142" s="23">
        <f>VLOOKUP(A142,Database!$E:$AY,MATCH($P$1,Database!$E$1:$AY$1,0),FALSE)</f>
        <v/>
      </c>
      <c r="Q142" s="23">
        <f>(((Table134567891011121314151617343[[#This Row],[JPN]]-VLOOKUP($U$1,A:Q,16,))/VLOOKUP($U$1,A:Q,16,))*100)+100</f>
        <v/>
      </c>
    </row>
    <row r="143" customFormat="1" s="100">
      <c r="A143" s="22" t="n">
        <v>37165</v>
      </c>
      <c r="B143" s="23">
        <f>VLOOKUP(A143,Database!$E:$AY,MATCH($B$1,Database!$E$1:$AY$1,0),FALSE)</f>
        <v/>
      </c>
      <c r="C143" s="23">
        <f>VLOOKUP(A143,Database!$E:$AY,MATCH($C$1,Database!$E$1:$AY$1,0),FALSE)</f>
        <v/>
      </c>
      <c r="D143" s="23">
        <f>VLOOKUP(A143,Database!$E:$AY,MATCH($D$1,Database!$E$1:$AY$1,0),FALSE)</f>
        <v/>
      </c>
      <c r="E143" s="23">
        <f>VLOOKUP(A143,Database!$E:$AY,MATCH($E$1,Database!$E$1:$AY$1,0),FALSE)</f>
        <v/>
      </c>
      <c r="F143" s="23">
        <f>VLOOKUP(A143,Database!$E:$AY,MATCH($F$1,Database!$E$1:$AY$1,0),FALSE)</f>
        <v/>
      </c>
      <c r="G143" s="23">
        <f>VLOOKUP(A143,Database!$E:$AY,MATCH($G$1,Database!$E$1:$AY$1,0),FALSE)</f>
        <v/>
      </c>
      <c r="H143" s="23">
        <f>(((Table134567891011121314151617343[[#This Row],[ITA]]-VLOOKUP($U$1,A:B,2,))/VLOOKUP($U$1,A:B,2,))*100)+100</f>
        <v/>
      </c>
      <c r="I143" s="23">
        <f>(((Table134567891011121314151617343[[#This Row],[FRA]]-VLOOKUP($U$1,A:C,3,))/VLOOKUP($U$1,A:C,3,))*100)+100</f>
        <v/>
      </c>
      <c r="J143" s="23">
        <f>(((Table134567891011121314151617343[[#This Row],[DEU]]-VLOOKUP($U$1,A:D,4,))/VLOOKUP($U$1,A:D,4,))*100)+100</f>
        <v/>
      </c>
      <c r="K143" s="23">
        <f>(((Table134567891011121314151617343[[#This Row],[ESP]]-VLOOKUP($U$1,A:E,5,))/VLOOKUP($U$1,A:E,5,))*100)+100</f>
        <v/>
      </c>
      <c r="L143" s="23">
        <f>(((Table134567891011121314151617343[[#This Row],[EA19]]-VLOOKUP($U$1,A:F,6,))/VLOOKUP($U$1,A:F,6,))*100)+100</f>
        <v/>
      </c>
      <c r="M143" s="23">
        <f>(((Table134567891011121314151617343[[#This Row],[GBR]]-VLOOKUP($U$1,A:G,7,))/VLOOKUP($U$1,A:G,7,))*100)+100</f>
        <v/>
      </c>
      <c r="N143" s="23">
        <f>VLOOKUP(A143,Database!$E:$AY,MATCH($N$1,Database!$E$1:$AY$1,0),FALSE)</f>
        <v/>
      </c>
      <c r="O143" s="23">
        <f>(((Table134567891011121314151617343[[#This Row],[USA]]-VLOOKUP($U$1,A:N,14,))/VLOOKUP($U$1,A:N,14,))*100)+100</f>
        <v/>
      </c>
      <c r="P143" s="23">
        <f>VLOOKUP(A143,Database!$E:$AY,MATCH($P$1,Database!$E$1:$AY$1,0),FALSE)</f>
        <v/>
      </c>
      <c r="Q143" s="23">
        <f>(((Table134567891011121314151617343[[#This Row],[JPN]]-VLOOKUP($U$1,A:Q,16,))/VLOOKUP($U$1,A:Q,16,))*100)+100</f>
        <v/>
      </c>
    </row>
    <row r="144" customFormat="1" s="100">
      <c r="A144" s="22" t="n">
        <v>37196</v>
      </c>
      <c r="B144" s="23">
        <f>VLOOKUP(A144,Database!$E:$AY,MATCH($B$1,Database!$E$1:$AY$1,0),FALSE)</f>
        <v/>
      </c>
      <c r="C144" s="23">
        <f>VLOOKUP(A144,Database!$E:$AY,MATCH($C$1,Database!$E$1:$AY$1,0),FALSE)</f>
        <v/>
      </c>
      <c r="D144" s="23">
        <f>VLOOKUP(A144,Database!$E:$AY,MATCH($D$1,Database!$E$1:$AY$1,0),FALSE)</f>
        <v/>
      </c>
      <c r="E144" s="23">
        <f>VLOOKUP(A144,Database!$E:$AY,MATCH($E$1,Database!$E$1:$AY$1,0),FALSE)</f>
        <v/>
      </c>
      <c r="F144" s="23">
        <f>VLOOKUP(A144,Database!$E:$AY,MATCH($F$1,Database!$E$1:$AY$1,0),FALSE)</f>
        <v/>
      </c>
      <c r="G144" s="23">
        <f>VLOOKUP(A144,Database!$E:$AY,MATCH($G$1,Database!$E$1:$AY$1,0),FALSE)</f>
        <v/>
      </c>
      <c r="H144" s="23">
        <f>(((Table134567891011121314151617343[[#This Row],[ITA]]-VLOOKUP($U$1,A:B,2,))/VLOOKUP($U$1,A:B,2,))*100)+100</f>
        <v/>
      </c>
      <c r="I144" s="23">
        <f>(((Table134567891011121314151617343[[#This Row],[FRA]]-VLOOKUP($U$1,A:C,3,))/VLOOKUP($U$1,A:C,3,))*100)+100</f>
        <v/>
      </c>
      <c r="J144" s="23">
        <f>(((Table134567891011121314151617343[[#This Row],[DEU]]-VLOOKUP($U$1,A:D,4,))/VLOOKUP($U$1,A:D,4,))*100)+100</f>
        <v/>
      </c>
      <c r="K144" s="23">
        <f>(((Table134567891011121314151617343[[#This Row],[ESP]]-VLOOKUP($U$1,A:E,5,))/VLOOKUP($U$1,A:E,5,))*100)+100</f>
        <v/>
      </c>
      <c r="L144" s="23">
        <f>(((Table134567891011121314151617343[[#This Row],[EA19]]-VLOOKUP($U$1,A:F,6,))/VLOOKUP($U$1,A:F,6,))*100)+100</f>
        <v/>
      </c>
      <c r="M144" s="23">
        <f>(((Table134567891011121314151617343[[#This Row],[GBR]]-VLOOKUP($U$1,A:G,7,))/VLOOKUP($U$1,A:G,7,))*100)+100</f>
        <v/>
      </c>
      <c r="N144" s="23">
        <f>VLOOKUP(A144,Database!$E:$AY,MATCH($N$1,Database!$E$1:$AY$1,0),FALSE)</f>
        <v/>
      </c>
      <c r="O144" s="23">
        <f>(((Table134567891011121314151617343[[#This Row],[USA]]-VLOOKUP($U$1,A:N,14,))/VLOOKUP($U$1,A:N,14,))*100)+100</f>
        <v/>
      </c>
      <c r="P144" s="23">
        <f>VLOOKUP(A144,Database!$E:$AY,MATCH($P$1,Database!$E$1:$AY$1,0),FALSE)</f>
        <v/>
      </c>
      <c r="Q144" s="23">
        <f>(((Table134567891011121314151617343[[#This Row],[JPN]]-VLOOKUP($U$1,A:Q,16,))/VLOOKUP($U$1,A:Q,16,))*100)+100</f>
        <v/>
      </c>
    </row>
    <row r="145" customFormat="1" s="100">
      <c r="A145" s="22" t="n">
        <v>37226</v>
      </c>
      <c r="B145" s="23">
        <f>VLOOKUP(A145,Database!$E:$AY,MATCH($B$1,Database!$E$1:$AY$1,0),FALSE)</f>
        <v/>
      </c>
      <c r="C145" s="23">
        <f>VLOOKUP(A145,Database!$E:$AY,MATCH($C$1,Database!$E$1:$AY$1,0),FALSE)</f>
        <v/>
      </c>
      <c r="D145" s="23">
        <f>VLOOKUP(A145,Database!$E:$AY,MATCH($D$1,Database!$E$1:$AY$1,0),FALSE)</f>
        <v/>
      </c>
      <c r="E145" s="23">
        <f>VLOOKUP(A145,Database!$E:$AY,MATCH($E$1,Database!$E$1:$AY$1,0),FALSE)</f>
        <v/>
      </c>
      <c r="F145" s="23">
        <f>VLOOKUP(A145,Database!$E:$AY,MATCH($F$1,Database!$E$1:$AY$1,0),FALSE)</f>
        <v/>
      </c>
      <c r="G145" s="23">
        <f>VLOOKUP(A145,Database!$E:$AY,MATCH($G$1,Database!$E$1:$AY$1,0),FALSE)</f>
        <v/>
      </c>
      <c r="H145" s="23">
        <f>(((Table134567891011121314151617343[[#This Row],[ITA]]-VLOOKUP($U$1,A:B,2,))/VLOOKUP($U$1,A:B,2,))*100)+100</f>
        <v/>
      </c>
      <c r="I145" s="23">
        <f>(((Table134567891011121314151617343[[#This Row],[FRA]]-VLOOKUP($U$1,A:C,3,))/VLOOKUP($U$1,A:C,3,))*100)+100</f>
        <v/>
      </c>
      <c r="J145" s="23">
        <f>(((Table134567891011121314151617343[[#This Row],[DEU]]-VLOOKUP($U$1,A:D,4,))/VLOOKUP($U$1,A:D,4,))*100)+100</f>
        <v/>
      </c>
      <c r="K145" s="23">
        <f>(((Table134567891011121314151617343[[#This Row],[ESP]]-VLOOKUP($U$1,A:E,5,))/VLOOKUP($U$1,A:E,5,))*100)+100</f>
        <v/>
      </c>
      <c r="L145" s="23">
        <f>(((Table134567891011121314151617343[[#This Row],[EA19]]-VLOOKUP($U$1,A:F,6,))/VLOOKUP($U$1,A:F,6,))*100)+100</f>
        <v/>
      </c>
      <c r="M145" s="23">
        <f>(((Table134567891011121314151617343[[#This Row],[GBR]]-VLOOKUP($U$1,A:G,7,))/VLOOKUP($U$1,A:G,7,))*100)+100</f>
        <v/>
      </c>
      <c r="N145" s="23">
        <f>VLOOKUP(A145,Database!$E:$AY,MATCH($N$1,Database!$E$1:$AY$1,0),FALSE)</f>
        <v/>
      </c>
      <c r="O145" s="23">
        <f>(((Table134567891011121314151617343[[#This Row],[USA]]-VLOOKUP($U$1,A:N,14,))/VLOOKUP($U$1,A:N,14,))*100)+100</f>
        <v/>
      </c>
      <c r="P145" s="23">
        <f>VLOOKUP(A145,Database!$E:$AY,MATCH($P$1,Database!$E$1:$AY$1,0),FALSE)</f>
        <v/>
      </c>
      <c r="Q145" s="23">
        <f>(((Table134567891011121314151617343[[#This Row],[JPN]]-VLOOKUP($U$1,A:Q,16,))/VLOOKUP($U$1,A:Q,16,))*100)+100</f>
        <v/>
      </c>
    </row>
    <row r="146" customFormat="1" s="100">
      <c r="A146" s="22" t="n">
        <v>37257</v>
      </c>
      <c r="B146" s="23">
        <f>VLOOKUP(A146,Database!$E:$AY,MATCH($B$1,Database!$E$1:$AY$1,0),FALSE)</f>
        <v/>
      </c>
      <c r="C146" s="23">
        <f>VLOOKUP(A146,Database!$E:$AY,MATCH($C$1,Database!$E$1:$AY$1,0),FALSE)</f>
        <v/>
      </c>
      <c r="D146" s="23">
        <f>VLOOKUP(A146,Database!$E:$AY,MATCH($D$1,Database!$E$1:$AY$1,0),FALSE)</f>
        <v/>
      </c>
      <c r="E146" s="23">
        <f>VLOOKUP(A146,Database!$E:$AY,MATCH($E$1,Database!$E$1:$AY$1,0),FALSE)</f>
        <v/>
      </c>
      <c r="F146" s="23">
        <f>VLOOKUP(A146,Database!$E:$AY,MATCH($F$1,Database!$E$1:$AY$1,0),FALSE)</f>
        <v/>
      </c>
      <c r="G146" s="23">
        <f>VLOOKUP(A146,Database!$E:$AY,MATCH($G$1,Database!$E$1:$AY$1,0),FALSE)</f>
        <v/>
      </c>
      <c r="H146" s="23">
        <f>(((Table134567891011121314151617343[[#This Row],[ITA]]-VLOOKUP($U$1,A:B,2,))/VLOOKUP($U$1,A:B,2,))*100)+100</f>
        <v/>
      </c>
      <c r="I146" s="23">
        <f>(((Table134567891011121314151617343[[#This Row],[FRA]]-VLOOKUP($U$1,A:C,3,))/VLOOKUP($U$1,A:C,3,))*100)+100</f>
        <v/>
      </c>
      <c r="J146" s="23">
        <f>(((Table134567891011121314151617343[[#This Row],[DEU]]-VLOOKUP($U$1,A:D,4,))/VLOOKUP($U$1,A:D,4,))*100)+100</f>
        <v/>
      </c>
      <c r="K146" s="23">
        <f>(((Table134567891011121314151617343[[#This Row],[ESP]]-VLOOKUP($U$1,A:E,5,))/VLOOKUP($U$1,A:E,5,))*100)+100</f>
        <v/>
      </c>
      <c r="L146" s="23">
        <f>(((Table134567891011121314151617343[[#This Row],[EA19]]-VLOOKUP($U$1,A:F,6,))/VLOOKUP($U$1,A:F,6,))*100)+100</f>
        <v/>
      </c>
      <c r="M146" s="23">
        <f>(((Table134567891011121314151617343[[#This Row],[GBR]]-VLOOKUP($U$1,A:G,7,))/VLOOKUP($U$1,A:G,7,))*100)+100</f>
        <v/>
      </c>
      <c r="N146" s="23">
        <f>VLOOKUP(A146,Database!$E:$AY,MATCH($N$1,Database!$E$1:$AY$1,0),FALSE)</f>
        <v/>
      </c>
      <c r="O146" s="23">
        <f>(((Table134567891011121314151617343[[#This Row],[USA]]-VLOOKUP($U$1,A:N,14,))/VLOOKUP($U$1,A:N,14,))*100)+100</f>
        <v/>
      </c>
      <c r="P146" s="23">
        <f>VLOOKUP(A146,Database!$E:$AY,MATCH($P$1,Database!$E$1:$AY$1,0),FALSE)</f>
        <v/>
      </c>
      <c r="Q146" s="23">
        <f>(((Table134567891011121314151617343[[#This Row],[JPN]]-VLOOKUP($U$1,A:Q,16,))/VLOOKUP($U$1,A:Q,16,))*100)+100</f>
        <v/>
      </c>
    </row>
    <row r="147" customFormat="1" s="100">
      <c r="A147" s="22" t="n">
        <v>37288</v>
      </c>
      <c r="B147" s="23">
        <f>VLOOKUP(A147,Database!$E:$AY,MATCH($B$1,Database!$E$1:$AY$1,0),FALSE)</f>
        <v/>
      </c>
      <c r="C147" s="23">
        <f>VLOOKUP(A147,Database!$E:$AY,MATCH($C$1,Database!$E$1:$AY$1,0),FALSE)</f>
        <v/>
      </c>
      <c r="D147" s="23">
        <f>VLOOKUP(A147,Database!$E:$AY,MATCH($D$1,Database!$E$1:$AY$1,0),FALSE)</f>
        <v/>
      </c>
      <c r="E147" s="23">
        <f>VLOOKUP(A147,Database!$E:$AY,MATCH($E$1,Database!$E$1:$AY$1,0),FALSE)</f>
        <v/>
      </c>
      <c r="F147" s="23">
        <f>VLOOKUP(A147,Database!$E:$AY,MATCH($F$1,Database!$E$1:$AY$1,0),FALSE)</f>
        <v/>
      </c>
      <c r="G147" s="23">
        <f>VLOOKUP(A147,Database!$E:$AY,MATCH($G$1,Database!$E$1:$AY$1,0),FALSE)</f>
        <v/>
      </c>
      <c r="H147" s="23">
        <f>(((Table134567891011121314151617343[[#This Row],[ITA]]-VLOOKUP($U$1,A:B,2,))/VLOOKUP($U$1,A:B,2,))*100)+100</f>
        <v/>
      </c>
      <c r="I147" s="23">
        <f>(((Table134567891011121314151617343[[#This Row],[FRA]]-VLOOKUP($U$1,A:C,3,))/VLOOKUP($U$1,A:C,3,))*100)+100</f>
        <v/>
      </c>
      <c r="J147" s="23">
        <f>(((Table134567891011121314151617343[[#This Row],[DEU]]-VLOOKUP($U$1,A:D,4,))/VLOOKUP($U$1,A:D,4,))*100)+100</f>
        <v/>
      </c>
      <c r="K147" s="23">
        <f>(((Table134567891011121314151617343[[#This Row],[ESP]]-VLOOKUP($U$1,A:E,5,))/VLOOKUP($U$1,A:E,5,))*100)+100</f>
        <v/>
      </c>
      <c r="L147" s="23">
        <f>(((Table134567891011121314151617343[[#This Row],[EA19]]-VLOOKUP($U$1,A:F,6,))/VLOOKUP($U$1,A:F,6,))*100)+100</f>
        <v/>
      </c>
      <c r="M147" s="23">
        <f>(((Table134567891011121314151617343[[#This Row],[GBR]]-VLOOKUP($U$1,A:G,7,))/VLOOKUP($U$1,A:G,7,))*100)+100</f>
        <v/>
      </c>
      <c r="N147" s="23">
        <f>VLOOKUP(A147,Database!$E:$AY,MATCH($N$1,Database!$E$1:$AY$1,0),FALSE)</f>
        <v/>
      </c>
      <c r="O147" s="23">
        <f>(((Table134567891011121314151617343[[#This Row],[USA]]-VLOOKUP($U$1,A:N,14,))/VLOOKUP($U$1,A:N,14,))*100)+100</f>
        <v/>
      </c>
      <c r="P147" s="23">
        <f>VLOOKUP(A147,Database!$E:$AY,MATCH($P$1,Database!$E$1:$AY$1,0),FALSE)</f>
        <v/>
      </c>
      <c r="Q147" s="23">
        <f>(((Table134567891011121314151617343[[#This Row],[JPN]]-VLOOKUP($U$1,A:Q,16,))/VLOOKUP($U$1,A:Q,16,))*100)+100</f>
        <v/>
      </c>
    </row>
    <row r="148" customFormat="1" s="100">
      <c r="A148" s="22" t="n">
        <v>37316</v>
      </c>
      <c r="B148" s="23">
        <f>VLOOKUP(A148,Database!$E:$AY,MATCH($B$1,Database!$E$1:$AY$1,0),FALSE)</f>
        <v/>
      </c>
      <c r="C148" s="23">
        <f>VLOOKUP(A148,Database!$E:$AY,MATCH($C$1,Database!$E$1:$AY$1,0),FALSE)</f>
        <v/>
      </c>
      <c r="D148" s="23">
        <f>VLOOKUP(A148,Database!$E:$AY,MATCH($D$1,Database!$E$1:$AY$1,0),FALSE)</f>
        <v/>
      </c>
      <c r="E148" s="23">
        <f>VLOOKUP(A148,Database!$E:$AY,MATCH($E$1,Database!$E$1:$AY$1,0),FALSE)</f>
        <v/>
      </c>
      <c r="F148" s="23">
        <f>VLOOKUP(A148,Database!$E:$AY,MATCH($F$1,Database!$E$1:$AY$1,0),FALSE)</f>
        <v/>
      </c>
      <c r="G148" s="23">
        <f>VLOOKUP(A148,Database!$E:$AY,MATCH($G$1,Database!$E$1:$AY$1,0),FALSE)</f>
        <v/>
      </c>
      <c r="H148" s="23">
        <f>(((Table134567891011121314151617343[[#This Row],[ITA]]-VLOOKUP($U$1,A:B,2,))/VLOOKUP($U$1,A:B,2,))*100)+100</f>
        <v/>
      </c>
      <c r="I148" s="23">
        <f>(((Table134567891011121314151617343[[#This Row],[FRA]]-VLOOKUP($U$1,A:C,3,))/VLOOKUP($U$1,A:C,3,))*100)+100</f>
        <v/>
      </c>
      <c r="J148" s="23">
        <f>(((Table134567891011121314151617343[[#This Row],[DEU]]-VLOOKUP($U$1,A:D,4,))/VLOOKUP($U$1,A:D,4,))*100)+100</f>
        <v/>
      </c>
      <c r="K148" s="23">
        <f>(((Table134567891011121314151617343[[#This Row],[ESP]]-VLOOKUP($U$1,A:E,5,))/VLOOKUP($U$1,A:E,5,))*100)+100</f>
        <v/>
      </c>
      <c r="L148" s="23">
        <f>(((Table134567891011121314151617343[[#This Row],[EA19]]-VLOOKUP($U$1,A:F,6,))/VLOOKUP($U$1,A:F,6,))*100)+100</f>
        <v/>
      </c>
      <c r="M148" s="23">
        <f>(((Table134567891011121314151617343[[#This Row],[GBR]]-VLOOKUP($U$1,A:G,7,))/VLOOKUP($U$1,A:G,7,))*100)+100</f>
        <v/>
      </c>
      <c r="N148" s="23">
        <f>VLOOKUP(A148,Database!$E:$AY,MATCH($N$1,Database!$E$1:$AY$1,0),FALSE)</f>
        <v/>
      </c>
      <c r="O148" s="23">
        <f>(((Table134567891011121314151617343[[#This Row],[USA]]-VLOOKUP($U$1,A:N,14,))/VLOOKUP($U$1,A:N,14,))*100)+100</f>
        <v/>
      </c>
      <c r="P148" s="23">
        <f>VLOOKUP(A148,Database!$E:$AY,MATCH($P$1,Database!$E$1:$AY$1,0),FALSE)</f>
        <v/>
      </c>
      <c r="Q148" s="23">
        <f>(((Table134567891011121314151617343[[#This Row],[JPN]]-VLOOKUP($U$1,A:Q,16,))/VLOOKUP($U$1,A:Q,16,))*100)+100</f>
        <v/>
      </c>
    </row>
    <row r="149" customFormat="1" s="100">
      <c r="A149" s="22" t="n">
        <v>37347</v>
      </c>
      <c r="B149" s="23">
        <f>VLOOKUP(A149,Database!$E:$AY,MATCH($B$1,Database!$E$1:$AY$1,0),FALSE)</f>
        <v/>
      </c>
      <c r="C149" s="23">
        <f>VLOOKUP(A149,Database!$E:$AY,MATCH($C$1,Database!$E$1:$AY$1,0),FALSE)</f>
        <v/>
      </c>
      <c r="D149" s="23">
        <f>VLOOKUP(A149,Database!$E:$AY,MATCH($D$1,Database!$E$1:$AY$1,0),FALSE)</f>
        <v/>
      </c>
      <c r="E149" s="23">
        <f>VLOOKUP(A149,Database!$E:$AY,MATCH($E$1,Database!$E$1:$AY$1,0),FALSE)</f>
        <v/>
      </c>
      <c r="F149" s="23">
        <f>VLOOKUP(A149,Database!$E:$AY,MATCH($F$1,Database!$E$1:$AY$1,0),FALSE)</f>
        <v/>
      </c>
      <c r="G149" s="23">
        <f>VLOOKUP(A149,Database!$E:$AY,MATCH($G$1,Database!$E$1:$AY$1,0),FALSE)</f>
        <v/>
      </c>
      <c r="H149" s="23">
        <f>(((Table134567891011121314151617343[[#This Row],[ITA]]-VLOOKUP($U$1,A:B,2,))/VLOOKUP($U$1,A:B,2,))*100)+100</f>
        <v/>
      </c>
      <c r="I149" s="23">
        <f>(((Table134567891011121314151617343[[#This Row],[FRA]]-VLOOKUP($U$1,A:C,3,))/VLOOKUP($U$1,A:C,3,))*100)+100</f>
        <v/>
      </c>
      <c r="J149" s="23">
        <f>(((Table134567891011121314151617343[[#This Row],[DEU]]-VLOOKUP($U$1,A:D,4,))/VLOOKUP($U$1,A:D,4,))*100)+100</f>
        <v/>
      </c>
      <c r="K149" s="23">
        <f>(((Table134567891011121314151617343[[#This Row],[ESP]]-VLOOKUP($U$1,A:E,5,))/VLOOKUP($U$1,A:E,5,))*100)+100</f>
        <v/>
      </c>
      <c r="L149" s="23">
        <f>(((Table134567891011121314151617343[[#This Row],[EA19]]-VLOOKUP($U$1,A:F,6,))/VLOOKUP($U$1,A:F,6,))*100)+100</f>
        <v/>
      </c>
      <c r="M149" s="23">
        <f>(((Table134567891011121314151617343[[#This Row],[GBR]]-VLOOKUP($U$1,A:G,7,))/VLOOKUP($U$1,A:G,7,))*100)+100</f>
        <v/>
      </c>
      <c r="N149" s="23">
        <f>VLOOKUP(A149,Database!$E:$AY,MATCH($N$1,Database!$E$1:$AY$1,0),FALSE)</f>
        <v/>
      </c>
      <c r="O149" s="23">
        <f>(((Table134567891011121314151617343[[#This Row],[USA]]-VLOOKUP($U$1,A:N,14,))/VLOOKUP($U$1,A:N,14,))*100)+100</f>
        <v/>
      </c>
      <c r="P149" s="23">
        <f>VLOOKUP(A149,Database!$E:$AY,MATCH($P$1,Database!$E$1:$AY$1,0),FALSE)</f>
        <v/>
      </c>
      <c r="Q149" s="23">
        <f>(((Table134567891011121314151617343[[#This Row],[JPN]]-VLOOKUP($U$1,A:Q,16,))/VLOOKUP($U$1,A:Q,16,))*100)+100</f>
        <v/>
      </c>
    </row>
    <row r="150" customFormat="1" s="100">
      <c r="A150" s="22" t="n">
        <v>37377</v>
      </c>
      <c r="B150" s="23">
        <f>VLOOKUP(A150,Database!$E:$AY,MATCH($B$1,Database!$E$1:$AY$1,0),FALSE)</f>
        <v/>
      </c>
      <c r="C150" s="23">
        <f>VLOOKUP(A150,Database!$E:$AY,MATCH($C$1,Database!$E$1:$AY$1,0),FALSE)</f>
        <v/>
      </c>
      <c r="D150" s="23">
        <f>VLOOKUP(A150,Database!$E:$AY,MATCH($D$1,Database!$E$1:$AY$1,0),FALSE)</f>
        <v/>
      </c>
      <c r="E150" s="23">
        <f>VLOOKUP(A150,Database!$E:$AY,MATCH($E$1,Database!$E$1:$AY$1,0),FALSE)</f>
        <v/>
      </c>
      <c r="F150" s="23">
        <f>VLOOKUP(A150,Database!$E:$AY,MATCH($F$1,Database!$E$1:$AY$1,0),FALSE)</f>
        <v/>
      </c>
      <c r="G150" s="23">
        <f>VLOOKUP(A150,Database!$E:$AY,MATCH($G$1,Database!$E$1:$AY$1,0),FALSE)</f>
        <v/>
      </c>
      <c r="H150" s="23">
        <f>(((Table134567891011121314151617343[[#This Row],[ITA]]-VLOOKUP($U$1,A:B,2,))/VLOOKUP($U$1,A:B,2,))*100)+100</f>
        <v/>
      </c>
      <c r="I150" s="23">
        <f>(((Table134567891011121314151617343[[#This Row],[FRA]]-VLOOKUP($U$1,A:C,3,))/VLOOKUP($U$1,A:C,3,))*100)+100</f>
        <v/>
      </c>
      <c r="J150" s="23">
        <f>(((Table134567891011121314151617343[[#This Row],[DEU]]-VLOOKUP($U$1,A:D,4,))/VLOOKUP($U$1,A:D,4,))*100)+100</f>
        <v/>
      </c>
      <c r="K150" s="23">
        <f>(((Table134567891011121314151617343[[#This Row],[ESP]]-VLOOKUP($U$1,A:E,5,))/VLOOKUP($U$1,A:E,5,))*100)+100</f>
        <v/>
      </c>
      <c r="L150" s="23">
        <f>(((Table134567891011121314151617343[[#This Row],[EA19]]-VLOOKUP($U$1,A:F,6,))/VLOOKUP($U$1,A:F,6,))*100)+100</f>
        <v/>
      </c>
      <c r="M150" s="23">
        <f>(((Table134567891011121314151617343[[#This Row],[GBR]]-VLOOKUP($U$1,A:G,7,))/VLOOKUP($U$1,A:G,7,))*100)+100</f>
        <v/>
      </c>
      <c r="N150" s="23">
        <f>VLOOKUP(A150,Database!$E:$AY,MATCH($N$1,Database!$E$1:$AY$1,0),FALSE)</f>
        <v/>
      </c>
      <c r="O150" s="23">
        <f>(((Table134567891011121314151617343[[#This Row],[USA]]-VLOOKUP($U$1,A:N,14,))/VLOOKUP($U$1,A:N,14,))*100)+100</f>
        <v/>
      </c>
      <c r="P150" s="23">
        <f>VLOOKUP(A150,Database!$E:$AY,MATCH($P$1,Database!$E$1:$AY$1,0),FALSE)</f>
        <v/>
      </c>
      <c r="Q150" s="23">
        <f>(((Table134567891011121314151617343[[#This Row],[JPN]]-VLOOKUP($U$1,A:Q,16,))/VLOOKUP($U$1,A:Q,16,))*100)+100</f>
        <v/>
      </c>
    </row>
    <row r="151" customFormat="1" s="100">
      <c r="A151" s="22" t="n">
        <v>37408</v>
      </c>
      <c r="B151" s="23">
        <f>VLOOKUP(A151,Database!$E:$AY,MATCH($B$1,Database!$E$1:$AY$1,0),FALSE)</f>
        <v/>
      </c>
      <c r="C151" s="23">
        <f>VLOOKUP(A151,Database!$E:$AY,MATCH($C$1,Database!$E$1:$AY$1,0),FALSE)</f>
        <v/>
      </c>
      <c r="D151" s="23">
        <f>VLOOKUP(A151,Database!$E:$AY,MATCH($D$1,Database!$E$1:$AY$1,0),FALSE)</f>
        <v/>
      </c>
      <c r="E151" s="23">
        <f>VLOOKUP(A151,Database!$E:$AY,MATCH($E$1,Database!$E$1:$AY$1,0),FALSE)</f>
        <v/>
      </c>
      <c r="F151" s="23">
        <f>VLOOKUP(A151,Database!$E:$AY,MATCH($F$1,Database!$E$1:$AY$1,0),FALSE)</f>
        <v/>
      </c>
      <c r="G151" s="23">
        <f>VLOOKUP(A151,Database!$E:$AY,MATCH($G$1,Database!$E$1:$AY$1,0),FALSE)</f>
        <v/>
      </c>
      <c r="H151" s="23">
        <f>(((Table134567891011121314151617343[[#This Row],[ITA]]-VLOOKUP($U$1,A:B,2,))/VLOOKUP($U$1,A:B,2,))*100)+100</f>
        <v/>
      </c>
      <c r="I151" s="23">
        <f>(((Table134567891011121314151617343[[#This Row],[FRA]]-VLOOKUP($U$1,A:C,3,))/VLOOKUP($U$1,A:C,3,))*100)+100</f>
        <v/>
      </c>
      <c r="J151" s="23">
        <f>(((Table134567891011121314151617343[[#This Row],[DEU]]-VLOOKUP($U$1,A:D,4,))/VLOOKUP($U$1,A:D,4,))*100)+100</f>
        <v/>
      </c>
      <c r="K151" s="23">
        <f>(((Table134567891011121314151617343[[#This Row],[ESP]]-VLOOKUP($U$1,A:E,5,))/VLOOKUP($U$1,A:E,5,))*100)+100</f>
        <v/>
      </c>
      <c r="L151" s="23">
        <f>(((Table134567891011121314151617343[[#This Row],[EA19]]-VLOOKUP($U$1,A:F,6,))/VLOOKUP($U$1,A:F,6,))*100)+100</f>
        <v/>
      </c>
      <c r="M151" s="23">
        <f>(((Table134567891011121314151617343[[#This Row],[GBR]]-VLOOKUP($U$1,A:G,7,))/VLOOKUP($U$1,A:G,7,))*100)+100</f>
        <v/>
      </c>
      <c r="N151" s="23">
        <f>VLOOKUP(A151,Database!$E:$AY,MATCH($N$1,Database!$E$1:$AY$1,0),FALSE)</f>
        <v/>
      </c>
      <c r="O151" s="23">
        <f>(((Table134567891011121314151617343[[#This Row],[USA]]-VLOOKUP($U$1,A:N,14,))/VLOOKUP($U$1,A:N,14,))*100)+100</f>
        <v/>
      </c>
      <c r="P151" s="23">
        <f>VLOOKUP(A151,Database!$E:$AY,MATCH($P$1,Database!$E$1:$AY$1,0),FALSE)</f>
        <v/>
      </c>
      <c r="Q151" s="23">
        <f>(((Table134567891011121314151617343[[#This Row],[JPN]]-VLOOKUP($U$1,A:Q,16,))/VLOOKUP($U$1,A:Q,16,))*100)+100</f>
        <v/>
      </c>
    </row>
    <row r="152" customFormat="1" s="100">
      <c r="A152" s="22" t="n">
        <v>37438</v>
      </c>
      <c r="B152" s="23">
        <f>VLOOKUP(A152,Database!$E:$AY,MATCH($B$1,Database!$E$1:$AY$1,0),FALSE)</f>
        <v/>
      </c>
      <c r="C152" s="23">
        <f>VLOOKUP(A152,Database!$E:$AY,MATCH($C$1,Database!$E$1:$AY$1,0),FALSE)</f>
        <v/>
      </c>
      <c r="D152" s="23">
        <f>VLOOKUP(A152,Database!$E:$AY,MATCH($D$1,Database!$E$1:$AY$1,0),FALSE)</f>
        <v/>
      </c>
      <c r="E152" s="23">
        <f>VLOOKUP(A152,Database!$E:$AY,MATCH($E$1,Database!$E$1:$AY$1,0),FALSE)</f>
        <v/>
      </c>
      <c r="F152" s="23">
        <f>VLOOKUP(A152,Database!$E:$AY,MATCH($F$1,Database!$E$1:$AY$1,0),FALSE)</f>
        <v/>
      </c>
      <c r="G152" s="23">
        <f>VLOOKUP(A152,Database!$E:$AY,MATCH($G$1,Database!$E$1:$AY$1,0),FALSE)</f>
        <v/>
      </c>
      <c r="H152" s="23">
        <f>(((Table134567891011121314151617343[[#This Row],[ITA]]-VLOOKUP($U$1,A:B,2,))/VLOOKUP($U$1,A:B,2,))*100)+100</f>
        <v/>
      </c>
      <c r="I152" s="23">
        <f>(((Table134567891011121314151617343[[#This Row],[FRA]]-VLOOKUP($U$1,A:C,3,))/VLOOKUP($U$1,A:C,3,))*100)+100</f>
        <v/>
      </c>
      <c r="J152" s="23">
        <f>(((Table134567891011121314151617343[[#This Row],[DEU]]-VLOOKUP($U$1,A:D,4,))/VLOOKUP($U$1,A:D,4,))*100)+100</f>
        <v/>
      </c>
      <c r="K152" s="23">
        <f>(((Table134567891011121314151617343[[#This Row],[ESP]]-VLOOKUP($U$1,A:E,5,))/VLOOKUP($U$1,A:E,5,))*100)+100</f>
        <v/>
      </c>
      <c r="L152" s="23">
        <f>(((Table134567891011121314151617343[[#This Row],[EA19]]-VLOOKUP($U$1,A:F,6,))/VLOOKUP($U$1,A:F,6,))*100)+100</f>
        <v/>
      </c>
      <c r="M152" s="23">
        <f>(((Table134567891011121314151617343[[#This Row],[GBR]]-VLOOKUP($U$1,A:G,7,))/VLOOKUP($U$1,A:G,7,))*100)+100</f>
        <v/>
      </c>
      <c r="N152" s="23">
        <f>VLOOKUP(A152,Database!$E:$AY,MATCH($N$1,Database!$E$1:$AY$1,0),FALSE)</f>
        <v/>
      </c>
      <c r="O152" s="23">
        <f>(((Table134567891011121314151617343[[#This Row],[USA]]-VLOOKUP($U$1,A:N,14,))/VLOOKUP($U$1,A:N,14,))*100)+100</f>
        <v/>
      </c>
      <c r="P152" s="23">
        <f>VLOOKUP(A152,Database!$E:$AY,MATCH($P$1,Database!$E$1:$AY$1,0),FALSE)</f>
        <v/>
      </c>
      <c r="Q152" s="23">
        <f>(((Table134567891011121314151617343[[#This Row],[JPN]]-VLOOKUP($U$1,A:Q,16,))/VLOOKUP($U$1,A:Q,16,))*100)+100</f>
        <v/>
      </c>
    </row>
    <row r="153" customFormat="1" s="100">
      <c r="A153" s="22" t="n">
        <v>37469</v>
      </c>
      <c r="B153" s="23">
        <f>VLOOKUP(A153,Database!$E:$AY,MATCH($B$1,Database!$E$1:$AY$1,0),FALSE)</f>
        <v/>
      </c>
      <c r="C153" s="23">
        <f>VLOOKUP(A153,Database!$E:$AY,MATCH($C$1,Database!$E$1:$AY$1,0),FALSE)</f>
        <v/>
      </c>
      <c r="D153" s="23">
        <f>VLOOKUP(A153,Database!$E:$AY,MATCH($D$1,Database!$E$1:$AY$1,0),FALSE)</f>
        <v/>
      </c>
      <c r="E153" s="23">
        <f>VLOOKUP(A153,Database!$E:$AY,MATCH($E$1,Database!$E$1:$AY$1,0),FALSE)</f>
        <v/>
      </c>
      <c r="F153" s="23">
        <f>VLOOKUP(A153,Database!$E:$AY,MATCH($F$1,Database!$E$1:$AY$1,0),FALSE)</f>
        <v/>
      </c>
      <c r="G153" s="23">
        <f>VLOOKUP(A153,Database!$E:$AY,MATCH($G$1,Database!$E$1:$AY$1,0),FALSE)</f>
        <v/>
      </c>
      <c r="H153" s="23">
        <f>(((Table134567891011121314151617343[[#This Row],[ITA]]-VLOOKUP($U$1,A:B,2,))/VLOOKUP($U$1,A:B,2,))*100)+100</f>
        <v/>
      </c>
      <c r="I153" s="23">
        <f>(((Table134567891011121314151617343[[#This Row],[FRA]]-VLOOKUP($U$1,A:C,3,))/VLOOKUP($U$1,A:C,3,))*100)+100</f>
        <v/>
      </c>
      <c r="J153" s="23">
        <f>(((Table134567891011121314151617343[[#This Row],[DEU]]-VLOOKUP($U$1,A:D,4,))/VLOOKUP($U$1,A:D,4,))*100)+100</f>
        <v/>
      </c>
      <c r="K153" s="23">
        <f>(((Table134567891011121314151617343[[#This Row],[ESP]]-VLOOKUP($U$1,A:E,5,))/VLOOKUP($U$1,A:E,5,))*100)+100</f>
        <v/>
      </c>
      <c r="L153" s="23">
        <f>(((Table134567891011121314151617343[[#This Row],[EA19]]-VLOOKUP($U$1,A:F,6,))/VLOOKUP($U$1,A:F,6,))*100)+100</f>
        <v/>
      </c>
      <c r="M153" s="23">
        <f>(((Table134567891011121314151617343[[#This Row],[GBR]]-VLOOKUP($U$1,A:G,7,))/VLOOKUP($U$1,A:G,7,))*100)+100</f>
        <v/>
      </c>
      <c r="N153" s="23">
        <f>VLOOKUP(A153,Database!$E:$AY,MATCH($N$1,Database!$E$1:$AY$1,0),FALSE)</f>
        <v/>
      </c>
      <c r="O153" s="23">
        <f>(((Table134567891011121314151617343[[#This Row],[USA]]-VLOOKUP($U$1,A:N,14,))/VLOOKUP($U$1,A:N,14,))*100)+100</f>
        <v/>
      </c>
      <c r="P153" s="23">
        <f>VLOOKUP(A153,Database!$E:$AY,MATCH($P$1,Database!$E$1:$AY$1,0),FALSE)</f>
        <v/>
      </c>
      <c r="Q153" s="23">
        <f>(((Table134567891011121314151617343[[#This Row],[JPN]]-VLOOKUP($U$1,A:Q,16,))/VLOOKUP($U$1,A:Q,16,))*100)+100</f>
        <v/>
      </c>
    </row>
    <row r="154" customFormat="1" s="100">
      <c r="A154" s="22" t="n">
        <v>37500</v>
      </c>
      <c r="B154" s="23">
        <f>VLOOKUP(A154,Database!$E:$AY,MATCH($B$1,Database!$E$1:$AY$1,0),FALSE)</f>
        <v/>
      </c>
      <c r="C154" s="23">
        <f>VLOOKUP(A154,Database!$E:$AY,MATCH($C$1,Database!$E$1:$AY$1,0),FALSE)</f>
        <v/>
      </c>
      <c r="D154" s="23">
        <f>VLOOKUP(A154,Database!$E:$AY,MATCH($D$1,Database!$E$1:$AY$1,0),FALSE)</f>
        <v/>
      </c>
      <c r="E154" s="23">
        <f>VLOOKUP(A154,Database!$E:$AY,MATCH($E$1,Database!$E$1:$AY$1,0),FALSE)</f>
        <v/>
      </c>
      <c r="F154" s="23">
        <f>VLOOKUP(A154,Database!$E:$AY,MATCH($F$1,Database!$E$1:$AY$1,0),FALSE)</f>
        <v/>
      </c>
      <c r="G154" s="23">
        <f>VLOOKUP(A154,Database!$E:$AY,MATCH($G$1,Database!$E$1:$AY$1,0),FALSE)</f>
        <v/>
      </c>
      <c r="H154" s="23">
        <f>(((Table134567891011121314151617343[[#This Row],[ITA]]-VLOOKUP($U$1,A:B,2,))/VLOOKUP($U$1,A:B,2,))*100)+100</f>
        <v/>
      </c>
      <c r="I154" s="23">
        <f>(((Table134567891011121314151617343[[#This Row],[FRA]]-VLOOKUP($U$1,A:C,3,))/VLOOKUP($U$1,A:C,3,))*100)+100</f>
        <v/>
      </c>
      <c r="J154" s="23">
        <f>(((Table134567891011121314151617343[[#This Row],[DEU]]-VLOOKUP($U$1,A:D,4,))/VLOOKUP($U$1,A:D,4,))*100)+100</f>
        <v/>
      </c>
      <c r="K154" s="23">
        <f>(((Table134567891011121314151617343[[#This Row],[ESP]]-VLOOKUP($U$1,A:E,5,))/VLOOKUP($U$1,A:E,5,))*100)+100</f>
        <v/>
      </c>
      <c r="L154" s="23">
        <f>(((Table134567891011121314151617343[[#This Row],[EA19]]-VLOOKUP($U$1,A:F,6,))/VLOOKUP($U$1,A:F,6,))*100)+100</f>
        <v/>
      </c>
      <c r="M154" s="23">
        <f>(((Table134567891011121314151617343[[#This Row],[GBR]]-VLOOKUP($U$1,A:G,7,))/VLOOKUP($U$1,A:G,7,))*100)+100</f>
        <v/>
      </c>
      <c r="N154" s="23">
        <f>VLOOKUP(A154,Database!$E:$AY,MATCH($N$1,Database!$E$1:$AY$1,0),FALSE)</f>
        <v/>
      </c>
      <c r="O154" s="23">
        <f>(((Table134567891011121314151617343[[#This Row],[USA]]-VLOOKUP($U$1,A:N,14,))/VLOOKUP($U$1,A:N,14,))*100)+100</f>
        <v/>
      </c>
      <c r="P154" s="23">
        <f>VLOOKUP(A154,Database!$E:$AY,MATCH($P$1,Database!$E$1:$AY$1,0),FALSE)</f>
        <v/>
      </c>
      <c r="Q154" s="23">
        <f>(((Table134567891011121314151617343[[#This Row],[JPN]]-VLOOKUP($U$1,A:Q,16,))/VLOOKUP($U$1,A:Q,16,))*100)+100</f>
        <v/>
      </c>
    </row>
    <row r="155" customFormat="1" s="100">
      <c r="A155" s="22" t="n">
        <v>37530</v>
      </c>
      <c r="B155" s="23">
        <f>VLOOKUP(A155,Database!$E:$AY,MATCH($B$1,Database!$E$1:$AY$1,0),FALSE)</f>
        <v/>
      </c>
      <c r="C155" s="23">
        <f>VLOOKUP(A155,Database!$E:$AY,MATCH($C$1,Database!$E$1:$AY$1,0),FALSE)</f>
        <v/>
      </c>
      <c r="D155" s="23">
        <f>VLOOKUP(A155,Database!$E:$AY,MATCH($D$1,Database!$E$1:$AY$1,0),FALSE)</f>
        <v/>
      </c>
      <c r="E155" s="23">
        <f>VLOOKUP(A155,Database!$E:$AY,MATCH($E$1,Database!$E$1:$AY$1,0),FALSE)</f>
        <v/>
      </c>
      <c r="F155" s="23">
        <f>VLOOKUP(A155,Database!$E:$AY,MATCH($F$1,Database!$E$1:$AY$1,0),FALSE)</f>
        <v/>
      </c>
      <c r="G155" s="23">
        <f>VLOOKUP(A155,Database!$E:$AY,MATCH($G$1,Database!$E$1:$AY$1,0),FALSE)</f>
        <v/>
      </c>
      <c r="H155" s="23">
        <f>(((Table134567891011121314151617343[[#This Row],[ITA]]-VLOOKUP($U$1,A:B,2,))/VLOOKUP($U$1,A:B,2,))*100)+100</f>
        <v/>
      </c>
      <c r="I155" s="23">
        <f>(((Table134567891011121314151617343[[#This Row],[FRA]]-VLOOKUP($U$1,A:C,3,))/VLOOKUP($U$1,A:C,3,))*100)+100</f>
        <v/>
      </c>
      <c r="J155" s="23">
        <f>(((Table134567891011121314151617343[[#This Row],[DEU]]-VLOOKUP($U$1,A:D,4,))/VLOOKUP($U$1,A:D,4,))*100)+100</f>
        <v/>
      </c>
      <c r="K155" s="23">
        <f>(((Table134567891011121314151617343[[#This Row],[ESP]]-VLOOKUP($U$1,A:E,5,))/VLOOKUP($U$1,A:E,5,))*100)+100</f>
        <v/>
      </c>
      <c r="L155" s="23">
        <f>(((Table134567891011121314151617343[[#This Row],[EA19]]-VLOOKUP($U$1,A:F,6,))/VLOOKUP($U$1,A:F,6,))*100)+100</f>
        <v/>
      </c>
      <c r="M155" s="23">
        <f>(((Table134567891011121314151617343[[#This Row],[GBR]]-VLOOKUP($U$1,A:G,7,))/VLOOKUP($U$1,A:G,7,))*100)+100</f>
        <v/>
      </c>
      <c r="N155" s="23">
        <f>VLOOKUP(A155,Database!$E:$AY,MATCH($N$1,Database!$E$1:$AY$1,0),FALSE)</f>
        <v/>
      </c>
      <c r="O155" s="23">
        <f>(((Table134567891011121314151617343[[#This Row],[USA]]-VLOOKUP($U$1,A:N,14,))/VLOOKUP($U$1,A:N,14,))*100)+100</f>
        <v/>
      </c>
      <c r="P155" s="23">
        <f>VLOOKUP(A155,Database!$E:$AY,MATCH($P$1,Database!$E$1:$AY$1,0),FALSE)</f>
        <v/>
      </c>
      <c r="Q155" s="23">
        <f>(((Table134567891011121314151617343[[#This Row],[JPN]]-VLOOKUP($U$1,A:Q,16,))/VLOOKUP($U$1,A:Q,16,))*100)+100</f>
        <v/>
      </c>
    </row>
    <row r="156" customFormat="1" s="100">
      <c r="A156" s="22" t="n">
        <v>37561</v>
      </c>
      <c r="B156" s="23">
        <f>VLOOKUP(A156,Database!$E:$AY,MATCH($B$1,Database!$E$1:$AY$1,0),FALSE)</f>
        <v/>
      </c>
      <c r="C156" s="23">
        <f>VLOOKUP(A156,Database!$E:$AY,MATCH($C$1,Database!$E$1:$AY$1,0),FALSE)</f>
        <v/>
      </c>
      <c r="D156" s="23">
        <f>VLOOKUP(A156,Database!$E:$AY,MATCH($D$1,Database!$E$1:$AY$1,0),FALSE)</f>
        <v/>
      </c>
      <c r="E156" s="23">
        <f>VLOOKUP(A156,Database!$E:$AY,MATCH($E$1,Database!$E$1:$AY$1,0),FALSE)</f>
        <v/>
      </c>
      <c r="F156" s="23">
        <f>VLOOKUP(A156,Database!$E:$AY,MATCH($F$1,Database!$E$1:$AY$1,0),FALSE)</f>
        <v/>
      </c>
      <c r="G156" s="23">
        <f>VLOOKUP(A156,Database!$E:$AY,MATCH($G$1,Database!$E$1:$AY$1,0),FALSE)</f>
        <v/>
      </c>
      <c r="H156" s="23">
        <f>(((Table134567891011121314151617343[[#This Row],[ITA]]-VLOOKUP($U$1,A:B,2,))/VLOOKUP($U$1,A:B,2,))*100)+100</f>
        <v/>
      </c>
      <c r="I156" s="23">
        <f>(((Table134567891011121314151617343[[#This Row],[FRA]]-VLOOKUP($U$1,A:C,3,))/VLOOKUP($U$1,A:C,3,))*100)+100</f>
        <v/>
      </c>
      <c r="J156" s="23">
        <f>(((Table134567891011121314151617343[[#This Row],[DEU]]-VLOOKUP($U$1,A:D,4,))/VLOOKUP($U$1,A:D,4,))*100)+100</f>
        <v/>
      </c>
      <c r="K156" s="23">
        <f>(((Table134567891011121314151617343[[#This Row],[ESP]]-VLOOKUP($U$1,A:E,5,))/VLOOKUP($U$1,A:E,5,))*100)+100</f>
        <v/>
      </c>
      <c r="L156" s="23">
        <f>(((Table134567891011121314151617343[[#This Row],[EA19]]-VLOOKUP($U$1,A:F,6,))/VLOOKUP($U$1,A:F,6,))*100)+100</f>
        <v/>
      </c>
      <c r="M156" s="23">
        <f>(((Table134567891011121314151617343[[#This Row],[GBR]]-VLOOKUP($U$1,A:G,7,))/VLOOKUP($U$1,A:G,7,))*100)+100</f>
        <v/>
      </c>
      <c r="N156" s="23">
        <f>VLOOKUP(A156,Database!$E:$AY,MATCH($N$1,Database!$E$1:$AY$1,0),FALSE)</f>
        <v/>
      </c>
      <c r="O156" s="23">
        <f>(((Table134567891011121314151617343[[#This Row],[USA]]-VLOOKUP($U$1,A:N,14,))/VLOOKUP($U$1,A:N,14,))*100)+100</f>
        <v/>
      </c>
      <c r="P156" s="23">
        <f>VLOOKUP(A156,Database!$E:$AY,MATCH($P$1,Database!$E$1:$AY$1,0),FALSE)</f>
        <v/>
      </c>
      <c r="Q156" s="23">
        <f>(((Table134567891011121314151617343[[#This Row],[JPN]]-VLOOKUP($U$1,A:Q,16,))/VLOOKUP($U$1,A:Q,16,))*100)+100</f>
        <v/>
      </c>
    </row>
    <row r="157" customFormat="1" s="100">
      <c r="A157" s="22" t="n">
        <v>37591</v>
      </c>
      <c r="B157" s="23">
        <f>VLOOKUP(A157,Database!$E:$AY,MATCH($B$1,Database!$E$1:$AY$1,0),FALSE)</f>
        <v/>
      </c>
      <c r="C157" s="23">
        <f>VLOOKUP(A157,Database!$E:$AY,MATCH($C$1,Database!$E$1:$AY$1,0),FALSE)</f>
        <v/>
      </c>
      <c r="D157" s="23">
        <f>VLOOKUP(A157,Database!$E:$AY,MATCH($D$1,Database!$E$1:$AY$1,0),FALSE)</f>
        <v/>
      </c>
      <c r="E157" s="23">
        <f>VLOOKUP(A157,Database!$E:$AY,MATCH($E$1,Database!$E$1:$AY$1,0),FALSE)</f>
        <v/>
      </c>
      <c r="F157" s="23">
        <f>VLOOKUP(A157,Database!$E:$AY,MATCH($F$1,Database!$E$1:$AY$1,0),FALSE)</f>
        <v/>
      </c>
      <c r="G157" s="23">
        <f>VLOOKUP(A157,Database!$E:$AY,MATCH($G$1,Database!$E$1:$AY$1,0),FALSE)</f>
        <v/>
      </c>
      <c r="H157" s="23">
        <f>(((Table134567891011121314151617343[[#This Row],[ITA]]-VLOOKUP($U$1,A:B,2,))/VLOOKUP($U$1,A:B,2,))*100)+100</f>
        <v/>
      </c>
      <c r="I157" s="23">
        <f>(((Table134567891011121314151617343[[#This Row],[FRA]]-VLOOKUP($U$1,A:C,3,))/VLOOKUP($U$1,A:C,3,))*100)+100</f>
        <v/>
      </c>
      <c r="J157" s="23">
        <f>(((Table134567891011121314151617343[[#This Row],[DEU]]-VLOOKUP($U$1,A:D,4,))/VLOOKUP($U$1,A:D,4,))*100)+100</f>
        <v/>
      </c>
      <c r="K157" s="23">
        <f>(((Table134567891011121314151617343[[#This Row],[ESP]]-VLOOKUP($U$1,A:E,5,))/VLOOKUP($U$1,A:E,5,))*100)+100</f>
        <v/>
      </c>
      <c r="L157" s="23">
        <f>(((Table134567891011121314151617343[[#This Row],[EA19]]-VLOOKUP($U$1,A:F,6,))/VLOOKUP($U$1,A:F,6,))*100)+100</f>
        <v/>
      </c>
      <c r="M157" s="23">
        <f>(((Table134567891011121314151617343[[#This Row],[GBR]]-VLOOKUP($U$1,A:G,7,))/VLOOKUP($U$1,A:G,7,))*100)+100</f>
        <v/>
      </c>
      <c r="N157" s="23">
        <f>VLOOKUP(A157,Database!$E:$AY,MATCH($N$1,Database!$E$1:$AY$1,0),FALSE)</f>
        <v/>
      </c>
      <c r="O157" s="23">
        <f>(((Table134567891011121314151617343[[#This Row],[USA]]-VLOOKUP($U$1,A:N,14,))/VLOOKUP($U$1,A:N,14,))*100)+100</f>
        <v/>
      </c>
      <c r="P157" s="23">
        <f>VLOOKUP(A157,Database!$E:$AY,MATCH($P$1,Database!$E$1:$AY$1,0),FALSE)</f>
        <v/>
      </c>
      <c r="Q157" s="23">
        <f>(((Table134567891011121314151617343[[#This Row],[JPN]]-VLOOKUP($U$1,A:Q,16,))/VLOOKUP($U$1,A:Q,16,))*100)+100</f>
        <v/>
      </c>
    </row>
    <row r="158" customFormat="1" s="100">
      <c r="A158" s="22" t="n">
        <v>37622</v>
      </c>
      <c r="B158" s="23">
        <f>VLOOKUP(A158,Database!$E:$AY,MATCH($B$1,Database!$E$1:$AY$1,0),FALSE)</f>
        <v/>
      </c>
      <c r="C158" s="23">
        <f>VLOOKUP(A158,Database!$E:$AY,MATCH($C$1,Database!$E$1:$AY$1,0),FALSE)</f>
        <v/>
      </c>
      <c r="D158" s="23">
        <f>VLOOKUP(A158,Database!$E:$AY,MATCH($D$1,Database!$E$1:$AY$1,0),FALSE)</f>
        <v/>
      </c>
      <c r="E158" s="23">
        <f>VLOOKUP(A158,Database!$E:$AY,MATCH($E$1,Database!$E$1:$AY$1,0),FALSE)</f>
        <v/>
      </c>
      <c r="F158" s="23">
        <f>VLOOKUP(A158,Database!$E:$AY,MATCH($F$1,Database!$E$1:$AY$1,0),FALSE)</f>
        <v/>
      </c>
      <c r="G158" s="23">
        <f>VLOOKUP(A158,Database!$E:$AY,MATCH($G$1,Database!$E$1:$AY$1,0),FALSE)</f>
        <v/>
      </c>
      <c r="H158" s="23">
        <f>(((Table134567891011121314151617343[[#This Row],[ITA]]-VLOOKUP($U$1,A:B,2,))/VLOOKUP($U$1,A:B,2,))*100)+100</f>
        <v/>
      </c>
      <c r="I158" s="23">
        <f>(((Table134567891011121314151617343[[#This Row],[FRA]]-VLOOKUP($U$1,A:C,3,))/VLOOKUP($U$1,A:C,3,))*100)+100</f>
        <v/>
      </c>
      <c r="J158" s="23">
        <f>(((Table134567891011121314151617343[[#This Row],[DEU]]-VLOOKUP($U$1,A:D,4,))/VLOOKUP($U$1,A:D,4,))*100)+100</f>
        <v/>
      </c>
      <c r="K158" s="23">
        <f>(((Table134567891011121314151617343[[#This Row],[ESP]]-VLOOKUP($U$1,A:E,5,))/VLOOKUP($U$1,A:E,5,))*100)+100</f>
        <v/>
      </c>
      <c r="L158" s="23">
        <f>(((Table134567891011121314151617343[[#This Row],[EA19]]-VLOOKUP($U$1,A:F,6,))/VLOOKUP($U$1,A:F,6,))*100)+100</f>
        <v/>
      </c>
      <c r="M158" s="23">
        <f>(((Table134567891011121314151617343[[#This Row],[GBR]]-VLOOKUP($U$1,A:G,7,))/VLOOKUP($U$1,A:G,7,))*100)+100</f>
        <v/>
      </c>
      <c r="N158" s="23">
        <f>VLOOKUP(A158,Database!$E:$AY,MATCH($N$1,Database!$E$1:$AY$1,0),FALSE)</f>
        <v/>
      </c>
      <c r="O158" s="23">
        <f>(((Table134567891011121314151617343[[#This Row],[USA]]-VLOOKUP($U$1,A:N,14,))/VLOOKUP($U$1,A:N,14,))*100)+100</f>
        <v/>
      </c>
      <c r="P158" s="23">
        <f>VLOOKUP(A158,Database!$E:$AY,MATCH($P$1,Database!$E$1:$AY$1,0),FALSE)</f>
        <v/>
      </c>
      <c r="Q158" s="23">
        <f>(((Table134567891011121314151617343[[#This Row],[JPN]]-VLOOKUP($U$1,A:Q,16,))/VLOOKUP($U$1,A:Q,16,))*100)+100</f>
        <v/>
      </c>
    </row>
    <row r="159" customFormat="1" s="100">
      <c r="A159" s="22" t="n">
        <v>37653</v>
      </c>
      <c r="B159" s="23">
        <f>VLOOKUP(A159,Database!$E:$AY,MATCH($B$1,Database!$E$1:$AY$1,0),FALSE)</f>
        <v/>
      </c>
      <c r="C159" s="23">
        <f>VLOOKUP(A159,Database!$E:$AY,MATCH($C$1,Database!$E$1:$AY$1,0),FALSE)</f>
        <v/>
      </c>
      <c r="D159" s="23">
        <f>VLOOKUP(A159,Database!$E:$AY,MATCH($D$1,Database!$E$1:$AY$1,0),FALSE)</f>
        <v/>
      </c>
      <c r="E159" s="23">
        <f>VLOOKUP(A159,Database!$E:$AY,MATCH($E$1,Database!$E$1:$AY$1,0),FALSE)</f>
        <v/>
      </c>
      <c r="F159" s="23">
        <f>VLOOKUP(A159,Database!$E:$AY,MATCH($F$1,Database!$E$1:$AY$1,0),FALSE)</f>
        <v/>
      </c>
      <c r="G159" s="23">
        <f>VLOOKUP(A159,Database!$E:$AY,MATCH($G$1,Database!$E$1:$AY$1,0),FALSE)</f>
        <v/>
      </c>
      <c r="H159" s="23">
        <f>(((Table134567891011121314151617343[[#This Row],[ITA]]-VLOOKUP($U$1,A:B,2,))/VLOOKUP($U$1,A:B,2,))*100)+100</f>
        <v/>
      </c>
      <c r="I159" s="23">
        <f>(((Table134567891011121314151617343[[#This Row],[FRA]]-VLOOKUP($U$1,A:C,3,))/VLOOKUP($U$1,A:C,3,))*100)+100</f>
        <v/>
      </c>
      <c r="J159" s="23">
        <f>(((Table134567891011121314151617343[[#This Row],[DEU]]-VLOOKUP($U$1,A:D,4,))/VLOOKUP($U$1,A:D,4,))*100)+100</f>
        <v/>
      </c>
      <c r="K159" s="23">
        <f>(((Table134567891011121314151617343[[#This Row],[ESP]]-VLOOKUP($U$1,A:E,5,))/VLOOKUP($U$1,A:E,5,))*100)+100</f>
        <v/>
      </c>
      <c r="L159" s="23">
        <f>(((Table134567891011121314151617343[[#This Row],[EA19]]-VLOOKUP($U$1,A:F,6,))/VLOOKUP($U$1,A:F,6,))*100)+100</f>
        <v/>
      </c>
      <c r="M159" s="23">
        <f>(((Table134567891011121314151617343[[#This Row],[GBR]]-VLOOKUP($U$1,A:G,7,))/VLOOKUP($U$1,A:G,7,))*100)+100</f>
        <v/>
      </c>
      <c r="N159" s="23">
        <f>VLOOKUP(A159,Database!$E:$AY,MATCH($N$1,Database!$E$1:$AY$1,0),FALSE)</f>
        <v/>
      </c>
      <c r="O159" s="23">
        <f>(((Table134567891011121314151617343[[#This Row],[USA]]-VLOOKUP($U$1,A:N,14,))/VLOOKUP($U$1,A:N,14,))*100)+100</f>
        <v/>
      </c>
      <c r="P159" s="23">
        <f>VLOOKUP(A159,Database!$E:$AY,MATCH($P$1,Database!$E$1:$AY$1,0),FALSE)</f>
        <v/>
      </c>
      <c r="Q159" s="23">
        <f>(((Table134567891011121314151617343[[#This Row],[JPN]]-VLOOKUP($U$1,A:Q,16,))/VLOOKUP($U$1,A:Q,16,))*100)+100</f>
        <v/>
      </c>
    </row>
    <row r="160" customFormat="1" s="100">
      <c r="A160" s="22" t="n">
        <v>37681</v>
      </c>
      <c r="B160" s="23">
        <f>VLOOKUP(A160,Database!$E:$AY,MATCH($B$1,Database!$E$1:$AY$1,0),FALSE)</f>
        <v/>
      </c>
      <c r="C160" s="23">
        <f>VLOOKUP(A160,Database!$E:$AY,MATCH($C$1,Database!$E$1:$AY$1,0),FALSE)</f>
        <v/>
      </c>
      <c r="D160" s="23">
        <f>VLOOKUP(A160,Database!$E:$AY,MATCH($D$1,Database!$E$1:$AY$1,0),FALSE)</f>
        <v/>
      </c>
      <c r="E160" s="23">
        <f>VLOOKUP(A160,Database!$E:$AY,MATCH($E$1,Database!$E$1:$AY$1,0),FALSE)</f>
        <v/>
      </c>
      <c r="F160" s="23">
        <f>VLOOKUP(A160,Database!$E:$AY,MATCH($F$1,Database!$E$1:$AY$1,0),FALSE)</f>
        <v/>
      </c>
      <c r="G160" s="23">
        <f>VLOOKUP(A160,Database!$E:$AY,MATCH($G$1,Database!$E$1:$AY$1,0),FALSE)</f>
        <v/>
      </c>
      <c r="H160" s="23">
        <f>(((Table134567891011121314151617343[[#This Row],[ITA]]-VLOOKUP($U$1,A:B,2,))/VLOOKUP($U$1,A:B,2,))*100)+100</f>
        <v/>
      </c>
      <c r="I160" s="23">
        <f>(((Table134567891011121314151617343[[#This Row],[FRA]]-VLOOKUP($U$1,A:C,3,))/VLOOKUP($U$1,A:C,3,))*100)+100</f>
        <v/>
      </c>
      <c r="J160" s="23">
        <f>(((Table134567891011121314151617343[[#This Row],[DEU]]-VLOOKUP($U$1,A:D,4,))/VLOOKUP($U$1,A:D,4,))*100)+100</f>
        <v/>
      </c>
      <c r="K160" s="23">
        <f>(((Table134567891011121314151617343[[#This Row],[ESP]]-VLOOKUP($U$1,A:E,5,))/VLOOKUP($U$1,A:E,5,))*100)+100</f>
        <v/>
      </c>
      <c r="L160" s="23">
        <f>(((Table134567891011121314151617343[[#This Row],[EA19]]-VLOOKUP($U$1,A:F,6,))/VLOOKUP($U$1,A:F,6,))*100)+100</f>
        <v/>
      </c>
      <c r="M160" s="23">
        <f>(((Table134567891011121314151617343[[#This Row],[GBR]]-VLOOKUP($U$1,A:G,7,))/VLOOKUP($U$1,A:G,7,))*100)+100</f>
        <v/>
      </c>
      <c r="N160" s="23">
        <f>VLOOKUP(A160,Database!$E:$AY,MATCH($N$1,Database!$E$1:$AY$1,0),FALSE)</f>
        <v/>
      </c>
      <c r="O160" s="23">
        <f>(((Table134567891011121314151617343[[#This Row],[USA]]-VLOOKUP($U$1,A:N,14,))/VLOOKUP($U$1,A:N,14,))*100)+100</f>
        <v/>
      </c>
      <c r="P160" s="23">
        <f>VLOOKUP(A160,Database!$E:$AY,MATCH($P$1,Database!$E$1:$AY$1,0),FALSE)</f>
        <v/>
      </c>
      <c r="Q160" s="23">
        <f>(((Table134567891011121314151617343[[#This Row],[JPN]]-VLOOKUP($U$1,A:Q,16,))/VLOOKUP($U$1,A:Q,16,))*100)+100</f>
        <v/>
      </c>
    </row>
    <row r="161" customFormat="1" s="100">
      <c r="A161" s="22" t="n">
        <v>37712</v>
      </c>
      <c r="B161" s="23">
        <f>VLOOKUP(A161,Database!$E:$AY,MATCH($B$1,Database!$E$1:$AY$1,0),FALSE)</f>
        <v/>
      </c>
      <c r="C161" s="23">
        <f>VLOOKUP(A161,Database!$E:$AY,MATCH($C$1,Database!$E$1:$AY$1,0),FALSE)</f>
        <v/>
      </c>
      <c r="D161" s="23">
        <f>VLOOKUP(A161,Database!$E:$AY,MATCH($D$1,Database!$E$1:$AY$1,0),FALSE)</f>
        <v/>
      </c>
      <c r="E161" s="23">
        <f>VLOOKUP(A161,Database!$E:$AY,MATCH($E$1,Database!$E$1:$AY$1,0),FALSE)</f>
        <v/>
      </c>
      <c r="F161" s="23">
        <f>VLOOKUP(A161,Database!$E:$AY,MATCH($F$1,Database!$E$1:$AY$1,0),FALSE)</f>
        <v/>
      </c>
      <c r="G161" s="23">
        <f>VLOOKUP(A161,Database!$E:$AY,MATCH($G$1,Database!$E$1:$AY$1,0),FALSE)</f>
        <v/>
      </c>
      <c r="H161" s="23">
        <f>(((Table134567891011121314151617343[[#This Row],[ITA]]-VLOOKUP($U$1,A:B,2,))/VLOOKUP($U$1,A:B,2,))*100)+100</f>
        <v/>
      </c>
      <c r="I161" s="23">
        <f>(((Table134567891011121314151617343[[#This Row],[FRA]]-VLOOKUP($U$1,A:C,3,))/VLOOKUP($U$1,A:C,3,))*100)+100</f>
        <v/>
      </c>
      <c r="J161" s="23">
        <f>(((Table134567891011121314151617343[[#This Row],[DEU]]-VLOOKUP($U$1,A:D,4,))/VLOOKUP($U$1,A:D,4,))*100)+100</f>
        <v/>
      </c>
      <c r="K161" s="23">
        <f>(((Table134567891011121314151617343[[#This Row],[ESP]]-VLOOKUP($U$1,A:E,5,))/VLOOKUP($U$1,A:E,5,))*100)+100</f>
        <v/>
      </c>
      <c r="L161" s="23">
        <f>(((Table134567891011121314151617343[[#This Row],[EA19]]-VLOOKUP($U$1,A:F,6,))/VLOOKUP($U$1,A:F,6,))*100)+100</f>
        <v/>
      </c>
      <c r="M161" s="23">
        <f>(((Table134567891011121314151617343[[#This Row],[GBR]]-VLOOKUP($U$1,A:G,7,))/VLOOKUP($U$1,A:G,7,))*100)+100</f>
        <v/>
      </c>
      <c r="N161" s="23">
        <f>VLOOKUP(A161,Database!$E:$AY,MATCH($N$1,Database!$E$1:$AY$1,0),FALSE)</f>
        <v/>
      </c>
      <c r="O161" s="23">
        <f>(((Table134567891011121314151617343[[#This Row],[USA]]-VLOOKUP($U$1,A:N,14,))/VLOOKUP($U$1,A:N,14,))*100)+100</f>
        <v/>
      </c>
      <c r="P161" s="23">
        <f>VLOOKUP(A161,Database!$E:$AY,MATCH($P$1,Database!$E$1:$AY$1,0),FALSE)</f>
        <v/>
      </c>
      <c r="Q161" s="23">
        <f>(((Table134567891011121314151617343[[#This Row],[JPN]]-VLOOKUP($U$1,A:Q,16,))/VLOOKUP($U$1,A:Q,16,))*100)+100</f>
        <v/>
      </c>
    </row>
    <row r="162" customFormat="1" s="100">
      <c r="A162" s="22" t="n">
        <v>37742</v>
      </c>
      <c r="B162" s="23">
        <f>VLOOKUP(A162,Database!$E:$AY,MATCH($B$1,Database!$E$1:$AY$1,0),FALSE)</f>
        <v/>
      </c>
      <c r="C162" s="23">
        <f>VLOOKUP(A162,Database!$E:$AY,MATCH($C$1,Database!$E$1:$AY$1,0),FALSE)</f>
        <v/>
      </c>
      <c r="D162" s="23">
        <f>VLOOKUP(A162,Database!$E:$AY,MATCH($D$1,Database!$E$1:$AY$1,0),FALSE)</f>
        <v/>
      </c>
      <c r="E162" s="23">
        <f>VLOOKUP(A162,Database!$E:$AY,MATCH($E$1,Database!$E$1:$AY$1,0),FALSE)</f>
        <v/>
      </c>
      <c r="F162" s="23">
        <f>VLOOKUP(A162,Database!$E:$AY,MATCH($F$1,Database!$E$1:$AY$1,0),FALSE)</f>
        <v/>
      </c>
      <c r="G162" s="23">
        <f>VLOOKUP(A162,Database!$E:$AY,MATCH($G$1,Database!$E$1:$AY$1,0),FALSE)</f>
        <v/>
      </c>
      <c r="H162" s="23">
        <f>(((Table134567891011121314151617343[[#This Row],[ITA]]-VLOOKUP($U$1,A:B,2,))/VLOOKUP($U$1,A:B,2,))*100)+100</f>
        <v/>
      </c>
      <c r="I162" s="23">
        <f>(((Table134567891011121314151617343[[#This Row],[FRA]]-VLOOKUP($U$1,A:C,3,))/VLOOKUP($U$1,A:C,3,))*100)+100</f>
        <v/>
      </c>
      <c r="J162" s="23">
        <f>(((Table134567891011121314151617343[[#This Row],[DEU]]-VLOOKUP($U$1,A:D,4,))/VLOOKUP($U$1,A:D,4,))*100)+100</f>
        <v/>
      </c>
      <c r="K162" s="23">
        <f>(((Table134567891011121314151617343[[#This Row],[ESP]]-VLOOKUP($U$1,A:E,5,))/VLOOKUP($U$1,A:E,5,))*100)+100</f>
        <v/>
      </c>
      <c r="L162" s="23">
        <f>(((Table134567891011121314151617343[[#This Row],[EA19]]-VLOOKUP($U$1,A:F,6,))/VLOOKUP($U$1,A:F,6,))*100)+100</f>
        <v/>
      </c>
      <c r="M162" s="23">
        <f>(((Table134567891011121314151617343[[#This Row],[GBR]]-VLOOKUP($U$1,A:G,7,))/VLOOKUP($U$1,A:G,7,))*100)+100</f>
        <v/>
      </c>
      <c r="N162" s="23">
        <f>VLOOKUP(A162,Database!$E:$AY,MATCH($N$1,Database!$E$1:$AY$1,0),FALSE)</f>
        <v/>
      </c>
      <c r="O162" s="23">
        <f>(((Table134567891011121314151617343[[#This Row],[USA]]-VLOOKUP($U$1,A:N,14,))/VLOOKUP($U$1,A:N,14,))*100)+100</f>
        <v/>
      </c>
      <c r="P162" s="23">
        <f>VLOOKUP(A162,Database!$E:$AY,MATCH($P$1,Database!$E$1:$AY$1,0),FALSE)</f>
        <v/>
      </c>
      <c r="Q162" s="23">
        <f>(((Table134567891011121314151617343[[#This Row],[JPN]]-VLOOKUP($U$1,A:Q,16,))/VLOOKUP($U$1,A:Q,16,))*100)+100</f>
        <v/>
      </c>
    </row>
    <row r="163" customFormat="1" s="100">
      <c r="A163" s="22" t="n">
        <v>37773</v>
      </c>
      <c r="B163" s="23">
        <f>VLOOKUP(A163,Database!$E:$AY,MATCH($B$1,Database!$E$1:$AY$1,0),FALSE)</f>
        <v/>
      </c>
      <c r="C163" s="23">
        <f>VLOOKUP(A163,Database!$E:$AY,MATCH($C$1,Database!$E$1:$AY$1,0),FALSE)</f>
        <v/>
      </c>
      <c r="D163" s="23">
        <f>VLOOKUP(A163,Database!$E:$AY,MATCH($D$1,Database!$E$1:$AY$1,0),FALSE)</f>
        <v/>
      </c>
      <c r="E163" s="23">
        <f>VLOOKUP(A163,Database!$E:$AY,MATCH($E$1,Database!$E$1:$AY$1,0),FALSE)</f>
        <v/>
      </c>
      <c r="F163" s="23">
        <f>VLOOKUP(A163,Database!$E:$AY,MATCH($F$1,Database!$E$1:$AY$1,0),FALSE)</f>
        <v/>
      </c>
      <c r="G163" s="23">
        <f>VLOOKUP(A163,Database!$E:$AY,MATCH($G$1,Database!$E$1:$AY$1,0),FALSE)</f>
        <v/>
      </c>
      <c r="H163" s="23">
        <f>(((Table134567891011121314151617343[[#This Row],[ITA]]-VLOOKUP($U$1,A:B,2,))/VLOOKUP($U$1,A:B,2,))*100)+100</f>
        <v/>
      </c>
      <c r="I163" s="23">
        <f>(((Table134567891011121314151617343[[#This Row],[FRA]]-VLOOKUP($U$1,A:C,3,))/VLOOKUP($U$1,A:C,3,))*100)+100</f>
        <v/>
      </c>
      <c r="J163" s="23">
        <f>(((Table134567891011121314151617343[[#This Row],[DEU]]-VLOOKUP($U$1,A:D,4,))/VLOOKUP($U$1,A:D,4,))*100)+100</f>
        <v/>
      </c>
      <c r="K163" s="23">
        <f>(((Table134567891011121314151617343[[#This Row],[ESP]]-VLOOKUP($U$1,A:E,5,))/VLOOKUP($U$1,A:E,5,))*100)+100</f>
        <v/>
      </c>
      <c r="L163" s="23">
        <f>(((Table134567891011121314151617343[[#This Row],[EA19]]-VLOOKUP($U$1,A:F,6,))/VLOOKUP($U$1,A:F,6,))*100)+100</f>
        <v/>
      </c>
      <c r="M163" s="23">
        <f>(((Table134567891011121314151617343[[#This Row],[GBR]]-VLOOKUP($U$1,A:G,7,))/VLOOKUP($U$1,A:G,7,))*100)+100</f>
        <v/>
      </c>
      <c r="N163" s="23">
        <f>VLOOKUP(A163,Database!$E:$AY,MATCH($N$1,Database!$E$1:$AY$1,0),FALSE)</f>
        <v/>
      </c>
      <c r="O163" s="23">
        <f>(((Table134567891011121314151617343[[#This Row],[USA]]-VLOOKUP($U$1,A:N,14,))/VLOOKUP($U$1,A:N,14,))*100)+100</f>
        <v/>
      </c>
      <c r="P163" s="23">
        <f>VLOOKUP(A163,Database!$E:$AY,MATCH($P$1,Database!$E$1:$AY$1,0),FALSE)</f>
        <v/>
      </c>
      <c r="Q163" s="23">
        <f>(((Table134567891011121314151617343[[#This Row],[JPN]]-VLOOKUP($U$1,A:Q,16,))/VLOOKUP($U$1,A:Q,16,))*100)+100</f>
        <v/>
      </c>
    </row>
    <row r="164" customFormat="1" s="100">
      <c r="A164" s="22" t="n">
        <v>37803</v>
      </c>
      <c r="B164" s="23">
        <f>VLOOKUP(A164,Database!$E:$AY,MATCH($B$1,Database!$E$1:$AY$1,0),FALSE)</f>
        <v/>
      </c>
      <c r="C164" s="23">
        <f>VLOOKUP(A164,Database!$E:$AY,MATCH($C$1,Database!$E$1:$AY$1,0),FALSE)</f>
        <v/>
      </c>
      <c r="D164" s="23">
        <f>VLOOKUP(A164,Database!$E:$AY,MATCH($D$1,Database!$E$1:$AY$1,0),FALSE)</f>
        <v/>
      </c>
      <c r="E164" s="23">
        <f>VLOOKUP(A164,Database!$E:$AY,MATCH($E$1,Database!$E$1:$AY$1,0),FALSE)</f>
        <v/>
      </c>
      <c r="F164" s="23">
        <f>VLOOKUP(A164,Database!$E:$AY,MATCH($F$1,Database!$E$1:$AY$1,0),FALSE)</f>
        <v/>
      </c>
      <c r="G164" s="23">
        <f>VLOOKUP(A164,Database!$E:$AY,MATCH($G$1,Database!$E$1:$AY$1,0),FALSE)</f>
        <v/>
      </c>
      <c r="H164" s="23">
        <f>(((Table134567891011121314151617343[[#This Row],[ITA]]-VLOOKUP($U$1,A:B,2,))/VLOOKUP($U$1,A:B,2,))*100)+100</f>
        <v/>
      </c>
      <c r="I164" s="23">
        <f>(((Table134567891011121314151617343[[#This Row],[FRA]]-VLOOKUP($U$1,A:C,3,))/VLOOKUP($U$1,A:C,3,))*100)+100</f>
        <v/>
      </c>
      <c r="J164" s="23">
        <f>(((Table134567891011121314151617343[[#This Row],[DEU]]-VLOOKUP($U$1,A:D,4,))/VLOOKUP($U$1,A:D,4,))*100)+100</f>
        <v/>
      </c>
      <c r="K164" s="23">
        <f>(((Table134567891011121314151617343[[#This Row],[ESP]]-VLOOKUP($U$1,A:E,5,))/VLOOKUP($U$1,A:E,5,))*100)+100</f>
        <v/>
      </c>
      <c r="L164" s="23">
        <f>(((Table134567891011121314151617343[[#This Row],[EA19]]-VLOOKUP($U$1,A:F,6,))/VLOOKUP($U$1,A:F,6,))*100)+100</f>
        <v/>
      </c>
      <c r="M164" s="23">
        <f>(((Table134567891011121314151617343[[#This Row],[GBR]]-VLOOKUP($U$1,A:G,7,))/VLOOKUP($U$1,A:G,7,))*100)+100</f>
        <v/>
      </c>
      <c r="N164" s="23">
        <f>VLOOKUP(A164,Database!$E:$AY,MATCH($N$1,Database!$E$1:$AY$1,0),FALSE)</f>
        <v/>
      </c>
      <c r="O164" s="23">
        <f>(((Table134567891011121314151617343[[#This Row],[USA]]-VLOOKUP($U$1,A:N,14,))/VLOOKUP($U$1,A:N,14,))*100)+100</f>
        <v/>
      </c>
      <c r="P164" s="23">
        <f>VLOOKUP(A164,Database!$E:$AY,MATCH($P$1,Database!$E$1:$AY$1,0),FALSE)</f>
        <v/>
      </c>
      <c r="Q164" s="23">
        <f>(((Table134567891011121314151617343[[#This Row],[JPN]]-VLOOKUP($U$1,A:Q,16,))/VLOOKUP($U$1,A:Q,16,))*100)+100</f>
        <v/>
      </c>
    </row>
    <row r="165" customFormat="1" s="100">
      <c r="A165" s="22" t="n">
        <v>37834</v>
      </c>
      <c r="B165" s="23">
        <f>VLOOKUP(A165,Database!$E:$AY,MATCH($B$1,Database!$E$1:$AY$1,0),FALSE)</f>
        <v/>
      </c>
      <c r="C165" s="23">
        <f>VLOOKUP(A165,Database!$E:$AY,MATCH($C$1,Database!$E$1:$AY$1,0),FALSE)</f>
        <v/>
      </c>
      <c r="D165" s="23">
        <f>VLOOKUP(A165,Database!$E:$AY,MATCH($D$1,Database!$E$1:$AY$1,0),FALSE)</f>
        <v/>
      </c>
      <c r="E165" s="23">
        <f>VLOOKUP(A165,Database!$E:$AY,MATCH($E$1,Database!$E$1:$AY$1,0),FALSE)</f>
        <v/>
      </c>
      <c r="F165" s="23">
        <f>VLOOKUP(A165,Database!$E:$AY,MATCH($F$1,Database!$E$1:$AY$1,0),FALSE)</f>
        <v/>
      </c>
      <c r="G165" s="23">
        <f>VLOOKUP(A165,Database!$E:$AY,MATCH($G$1,Database!$E$1:$AY$1,0),FALSE)</f>
        <v/>
      </c>
      <c r="H165" s="23">
        <f>(((Table134567891011121314151617343[[#This Row],[ITA]]-VLOOKUP($U$1,A:B,2,))/VLOOKUP($U$1,A:B,2,))*100)+100</f>
        <v/>
      </c>
      <c r="I165" s="23">
        <f>(((Table134567891011121314151617343[[#This Row],[FRA]]-VLOOKUP($U$1,A:C,3,))/VLOOKUP($U$1,A:C,3,))*100)+100</f>
        <v/>
      </c>
      <c r="J165" s="23">
        <f>(((Table134567891011121314151617343[[#This Row],[DEU]]-VLOOKUP($U$1,A:D,4,))/VLOOKUP($U$1,A:D,4,))*100)+100</f>
        <v/>
      </c>
      <c r="K165" s="23">
        <f>(((Table134567891011121314151617343[[#This Row],[ESP]]-VLOOKUP($U$1,A:E,5,))/VLOOKUP($U$1,A:E,5,))*100)+100</f>
        <v/>
      </c>
      <c r="L165" s="23">
        <f>(((Table134567891011121314151617343[[#This Row],[EA19]]-VLOOKUP($U$1,A:F,6,))/VLOOKUP($U$1,A:F,6,))*100)+100</f>
        <v/>
      </c>
      <c r="M165" s="23">
        <f>(((Table134567891011121314151617343[[#This Row],[GBR]]-VLOOKUP($U$1,A:G,7,))/VLOOKUP($U$1,A:G,7,))*100)+100</f>
        <v/>
      </c>
      <c r="N165" s="23">
        <f>VLOOKUP(A165,Database!$E:$AY,MATCH($N$1,Database!$E$1:$AY$1,0),FALSE)</f>
        <v/>
      </c>
      <c r="O165" s="23">
        <f>(((Table134567891011121314151617343[[#This Row],[USA]]-VLOOKUP($U$1,A:N,14,))/VLOOKUP($U$1,A:N,14,))*100)+100</f>
        <v/>
      </c>
      <c r="P165" s="23">
        <f>VLOOKUP(A165,Database!$E:$AY,MATCH($P$1,Database!$E$1:$AY$1,0),FALSE)</f>
        <v/>
      </c>
      <c r="Q165" s="23">
        <f>(((Table134567891011121314151617343[[#This Row],[JPN]]-VLOOKUP($U$1,A:Q,16,))/VLOOKUP($U$1,A:Q,16,))*100)+100</f>
        <v/>
      </c>
    </row>
    <row r="166" customFormat="1" s="100">
      <c r="A166" s="22" t="n">
        <v>37865</v>
      </c>
      <c r="B166" s="23">
        <f>VLOOKUP(A166,Database!$E:$AY,MATCH($B$1,Database!$E$1:$AY$1,0),FALSE)</f>
        <v/>
      </c>
      <c r="C166" s="23">
        <f>VLOOKUP(A166,Database!$E:$AY,MATCH($C$1,Database!$E$1:$AY$1,0),FALSE)</f>
        <v/>
      </c>
      <c r="D166" s="23">
        <f>VLOOKUP(A166,Database!$E:$AY,MATCH($D$1,Database!$E$1:$AY$1,0),FALSE)</f>
        <v/>
      </c>
      <c r="E166" s="23">
        <f>VLOOKUP(A166,Database!$E:$AY,MATCH($E$1,Database!$E$1:$AY$1,0),FALSE)</f>
        <v/>
      </c>
      <c r="F166" s="23">
        <f>VLOOKUP(A166,Database!$E:$AY,MATCH($F$1,Database!$E$1:$AY$1,0),FALSE)</f>
        <v/>
      </c>
      <c r="G166" s="23">
        <f>VLOOKUP(A166,Database!$E:$AY,MATCH($G$1,Database!$E$1:$AY$1,0),FALSE)</f>
        <v/>
      </c>
      <c r="H166" s="23">
        <f>(((Table134567891011121314151617343[[#This Row],[ITA]]-VLOOKUP($U$1,A:B,2,))/VLOOKUP($U$1,A:B,2,))*100)+100</f>
        <v/>
      </c>
      <c r="I166" s="23">
        <f>(((Table134567891011121314151617343[[#This Row],[FRA]]-VLOOKUP($U$1,A:C,3,))/VLOOKUP($U$1,A:C,3,))*100)+100</f>
        <v/>
      </c>
      <c r="J166" s="23">
        <f>(((Table134567891011121314151617343[[#This Row],[DEU]]-VLOOKUP($U$1,A:D,4,))/VLOOKUP($U$1,A:D,4,))*100)+100</f>
        <v/>
      </c>
      <c r="K166" s="23">
        <f>(((Table134567891011121314151617343[[#This Row],[ESP]]-VLOOKUP($U$1,A:E,5,))/VLOOKUP($U$1,A:E,5,))*100)+100</f>
        <v/>
      </c>
      <c r="L166" s="23">
        <f>(((Table134567891011121314151617343[[#This Row],[EA19]]-VLOOKUP($U$1,A:F,6,))/VLOOKUP($U$1,A:F,6,))*100)+100</f>
        <v/>
      </c>
      <c r="M166" s="23">
        <f>(((Table134567891011121314151617343[[#This Row],[GBR]]-VLOOKUP($U$1,A:G,7,))/VLOOKUP($U$1,A:G,7,))*100)+100</f>
        <v/>
      </c>
      <c r="N166" s="23">
        <f>VLOOKUP(A166,Database!$E:$AY,MATCH($N$1,Database!$E$1:$AY$1,0),FALSE)</f>
        <v/>
      </c>
      <c r="O166" s="23">
        <f>(((Table134567891011121314151617343[[#This Row],[USA]]-VLOOKUP($U$1,A:N,14,))/VLOOKUP($U$1,A:N,14,))*100)+100</f>
        <v/>
      </c>
      <c r="P166" s="23">
        <f>VLOOKUP(A166,Database!$E:$AY,MATCH($P$1,Database!$E$1:$AY$1,0),FALSE)</f>
        <v/>
      </c>
      <c r="Q166" s="23">
        <f>(((Table134567891011121314151617343[[#This Row],[JPN]]-VLOOKUP($U$1,A:Q,16,))/VLOOKUP($U$1,A:Q,16,))*100)+100</f>
        <v/>
      </c>
    </row>
    <row r="167" customFormat="1" s="100">
      <c r="A167" s="22" t="n">
        <v>37895</v>
      </c>
      <c r="B167" s="23">
        <f>VLOOKUP(A167,Database!$E:$AY,MATCH($B$1,Database!$E$1:$AY$1,0),FALSE)</f>
        <v/>
      </c>
      <c r="C167" s="23">
        <f>VLOOKUP(A167,Database!$E:$AY,MATCH($C$1,Database!$E$1:$AY$1,0),FALSE)</f>
        <v/>
      </c>
      <c r="D167" s="23">
        <f>VLOOKUP(A167,Database!$E:$AY,MATCH($D$1,Database!$E$1:$AY$1,0),FALSE)</f>
        <v/>
      </c>
      <c r="E167" s="23">
        <f>VLOOKUP(A167,Database!$E:$AY,MATCH($E$1,Database!$E$1:$AY$1,0),FALSE)</f>
        <v/>
      </c>
      <c r="F167" s="23">
        <f>VLOOKUP(A167,Database!$E:$AY,MATCH($F$1,Database!$E$1:$AY$1,0),FALSE)</f>
        <v/>
      </c>
      <c r="G167" s="23">
        <f>VLOOKUP(A167,Database!$E:$AY,MATCH($G$1,Database!$E$1:$AY$1,0),FALSE)</f>
        <v/>
      </c>
      <c r="H167" s="23">
        <f>(((Table134567891011121314151617343[[#This Row],[ITA]]-VLOOKUP($U$1,A:B,2,))/VLOOKUP($U$1,A:B,2,))*100)+100</f>
        <v/>
      </c>
      <c r="I167" s="23">
        <f>(((Table134567891011121314151617343[[#This Row],[FRA]]-VLOOKUP($U$1,A:C,3,))/VLOOKUP($U$1,A:C,3,))*100)+100</f>
        <v/>
      </c>
      <c r="J167" s="23">
        <f>(((Table134567891011121314151617343[[#This Row],[DEU]]-VLOOKUP($U$1,A:D,4,))/VLOOKUP($U$1,A:D,4,))*100)+100</f>
        <v/>
      </c>
      <c r="K167" s="23">
        <f>(((Table134567891011121314151617343[[#This Row],[ESP]]-VLOOKUP($U$1,A:E,5,))/VLOOKUP($U$1,A:E,5,))*100)+100</f>
        <v/>
      </c>
      <c r="L167" s="23">
        <f>(((Table134567891011121314151617343[[#This Row],[EA19]]-VLOOKUP($U$1,A:F,6,))/VLOOKUP($U$1,A:F,6,))*100)+100</f>
        <v/>
      </c>
      <c r="M167" s="23">
        <f>(((Table134567891011121314151617343[[#This Row],[GBR]]-VLOOKUP($U$1,A:G,7,))/VLOOKUP($U$1,A:G,7,))*100)+100</f>
        <v/>
      </c>
      <c r="N167" s="23">
        <f>VLOOKUP(A167,Database!$E:$AY,MATCH($N$1,Database!$E$1:$AY$1,0),FALSE)</f>
        <v/>
      </c>
      <c r="O167" s="23">
        <f>(((Table134567891011121314151617343[[#This Row],[USA]]-VLOOKUP($U$1,A:N,14,))/VLOOKUP($U$1,A:N,14,))*100)+100</f>
        <v/>
      </c>
      <c r="P167" s="23">
        <f>VLOOKUP(A167,Database!$E:$AY,MATCH($P$1,Database!$E$1:$AY$1,0),FALSE)</f>
        <v/>
      </c>
      <c r="Q167" s="23">
        <f>(((Table134567891011121314151617343[[#This Row],[JPN]]-VLOOKUP($U$1,A:Q,16,))/VLOOKUP($U$1,A:Q,16,))*100)+100</f>
        <v/>
      </c>
    </row>
    <row r="168" customFormat="1" s="100">
      <c r="A168" s="22" t="n">
        <v>37926</v>
      </c>
      <c r="B168" s="23">
        <f>VLOOKUP(A168,Database!$E:$AY,MATCH($B$1,Database!$E$1:$AY$1,0),FALSE)</f>
        <v/>
      </c>
      <c r="C168" s="23">
        <f>VLOOKUP(A168,Database!$E:$AY,MATCH($C$1,Database!$E$1:$AY$1,0),FALSE)</f>
        <v/>
      </c>
      <c r="D168" s="23">
        <f>VLOOKUP(A168,Database!$E:$AY,MATCH($D$1,Database!$E$1:$AY$1,0),FALSE)</f>
        <v/>
      </c>
      <c r="E168" s="23">
        <f>VLOOKUP(A168,Database!$E:$AY,MATCH($E$1,Database!$E$1:$AY$1,0),FALSE)</f>
        <v/>
      </c>
      <c r="F168" s="23">
        <f>VLOOKUP(A168,Database!$E:$AY,MATCH($F$1,Database!$E$1:$AY$1,0),FALSE)</f>
        <v/>
      </c>
      <c r="G168" s="23">
        <f>VLOOKUP(A168,Database!$E:$AY,MATCH($G$1,Database!$E$1:$AY$1,0),FALSE)</f>
        <v/>
      </c>
      <c r="H168" s="23">
        <f>(((Table134567891011121314151617343[[#This Row],[ITA]]-VLOOKUP($U$1,A:B,2,))/VLOOKUP($U$1,A:B,2,))*100)+100</f>
        <v/>
      </c>
      <c r="I168" s="23">
        <f>(((Table134567891011121314151617343[[#This Row],[FRA]]-VLOOKUP($U$1,A:C,3,))/VLOOKUP($U$1,A:C,3,))*100)+100</f>
        <v/>
      </c>
      <c r="J168" s="23">
        <f>(((Table134567891011121314151617343[[#This Row],[DEU]]-VLOOKUP($U$1,A:D,4,))/VLOOKUP($U$1,A:D,4,))*100)+100</f>
        <v/>
      </c>
      <c r="K168" s="23">
        <f>(((Table134567891011121314151617343[[#This Row],[ESP]]-VLOOKUP($U$1,A:E,5,))/VLOOKUP($U$1,A:E,5,))*100)+100</f>
        <v/>
      </c>
      <c r="L168" s="23">
        <f>(((Table134567891011121314151617343[[#This Row],[EA19]]-VLOOKUP($U$1,A:F,6,))/VLOOKUP($U$1,A:F,6,))*100)+100</f>
        <v/>
      </c>
      <c r="M168" s="23">
        <f>(((Table134567891011121314151617343[[#This Row],[GBR]]-VLOOKUP($U$1,A:G,7,))/VLOOKUP($U$1,A:G,7,))*100)+100</f>
        <v/>
      </c>
      <c r="N168" s="23">
        <f>VLOOKUP(A168,Database!$E:$AY,MATCH($N$1,Database!$E$1:$AY$1,0),FALSE)</f>
        <v/>
      </c>
      <c r="O168" s="23">
        <f>(((Table134567891011121314151617343[[#This Row],[USA]]-VLOOKUP($U$1,A:N,14,))/VLOOKUP($U$1,A:N,14,))*100)+100</f>
        <v/>
      </c>
      <c r="P168" s="23">
        <f>VLOOKUP(A168,Database!$E:$AY,MATCH($P$1,Database!$E$1:$AY$1,0),FALSE)</f>
        <v/>
      </c>
      <c r="Q168" s="23">
        <f>(((Table134567891011121314151617343[[#This Row],[JPN]]-VLOOKUP($U$1,A:Q,16,))/VLOOKUP($U$1,A:Q,16,))*100)+100</f>
        <v/>
      </c>
    </row>
    <row r="169" customFormat="1" s="100">
      <c r="A169" s="22" t="n">
        <v>37956</v>
      </c>
      <c r="B169" s="23">
        <f>VLOOKUP(A169,Database!$E:$AY,MATCH($B$1,Database!$E$1:$AY$1,0),FALSE)</f>
        <v/>
      </c>
      <c r="C169" s="23">
        <f>VLOOKUP(A169,Database!$E:$AY,MATCH($C$1,Database!$E$1:$AY$1,0),FALSE)</f>
        <v/>
      </c>
      <c r="D169" s="23">
        <f>VLOOKUP(A169,Database!$E:$AY,MATCH($D$1,Database!$E$1:$AY$1,0),FALSE)</f>
        <v/>
      </c>
      <c r="E169" s="23">
        <f>VLOOKUP(A169,Database!$E:$AY,MATCH($E$1,Database!$E$1:$AY$1,0),FALSE)</f>
        <v/>
      </c>
      <c r="F169" s="23">
        <f>VLOOKUP(A169,Database!$E:$AY,MATCH($F$1,Database!$E$1:$AY$1,0),FALSE)</f>
        <v/>
      </c>
      <c r="G169" s="23">
        <f>VLOOKUP(A169,Database!$E:$AY,MATCH($G$1,Database!$E$1:$AY$1,0),FALSE)</f>
        <v/>
      </c>
      <c r="H169" s="23">
        <f>(((Table134567891011121314151617343[[#This Row],[ITA]]-VLOOKUP($U$1,A:B,2,))/VLOOKUP($U$1,A:B,2,))*100)+100</f>
        <v/>
      </c>
      <c r="I169" s="23">
        <f>(((Table134567891011121314151617343[[#This Row],[FRA]]-VLOOKUP($U$1,A:C,3,))/VLOOKUP($U$1,A:C,3,))*100)+100</f>
        <v/>
      </c>
      <c r="J169" s="23">
        <f>(((Table134567891011121314151617343[[#This Row],[DEU]]-VLOOKUP($U$1,A:D,4,))/VLOOKUP($U$1,A:D,4,))*100)+100</f>
        <v/>
      </c>
      <c r="K169" s="23">
        <f>(((Table134567891011121314151617343[[#This Row],[ESP]]-VLOOKUP($U$1,A:E,5,))/VLOOKUP($U$1,A:E,5,))*100)+100</f>
        <v/>
      </c>
      <c r="L169" s="23">
        <f>(((Table134567891011121314151617343[[#This Row],[EA19]]-VLOOKUP($U$1,A:F,6,))/VLOOKUP($U$1,A:F,6,))*100)+100</f>
        <v/>
      </c>
      <c r="M169" s="23">
        <f>(((Table134567891011121314151617343[[#This Row],[GBR]]-VLOOKUP($U$1,A:G,7,))/VLOOKUP($U$1,A:G,7,))*100)+100</f>
        <v/>
      </c>
      <c r="N169" s="23">
        <f>VLOOKUP(A169,Database!$E:$AY,MATCH($N$1,Database!$E$1:$AY$1,0),FALSE)</f>
        <v/>
      </c>
      <c r="O169" s="23">
        <f>(((Table134567891011121314151617343[[#This Row],[USA]]-VLOOKUP($U$1,A:N,14,))/VLOOKUP($U$1,A:N,14,))*100)+100</f>
        <v/>
      </c>
      <c r="P169" s="23">
        <f>VLOOKUP(A169,Database!$E:$AY,MATCH($P$1,Database!$E$1:$AY$1,0),FALSE)</f>
        <v/>
      </c>
      <c r="Q169" s="23">
        <f>(((Table134567891011121314151617343[[#This Row],[JPN]]-VLOOKUP($U$1,A:Q,16,))/VLOOKUP($U$1,A:Q,16,))*100)+100</f>
        <v/>
      </c>
    </row>
    <row r="170" customFormat="1" s="100">
      <c r="A170" s="22" t="n">
        <v>37987</v>
      </c>
      <c r="B170" s="23">
        <f>VLOOKUP(A170,Database!$E:$AY,MATCH($B$1,Database!$E$1:$AY$1,0),FALSE)</f>
        <v/>
      </c>
      <c r="C170" s="23">
        <f>VLOOKUP(A170,Database!$E:$AY,MATCH($C$1,Database!$E$1:$AY$1,0),FALSE)</f>
        <v/>
      </c>
      <c r="D170" s="23">
        <f>VLOOKUP(A170,Database!$E:$AY,MATCH($D$1,Database!$E$1:$AY$1,0),FALSE)</f>
        <v/>
      </c>
      <c r="E170" s="23">
        <f>VLOOKUP(A170,Database!$E:$AY,MATCH($E$1,Database!$E$1:$AY$1,0),FALSE)</f>
        <v/>
      </c>
      <c r="F170" s="23">
        <f>VLOOKUP(A170,Database!$E:$AY,MATCH($F$1,Database!$E$1:$AY$1,0),FALSE)</f>
        <v/>
      </c>
      <c r="G170" s="23">
        <f>VLOOKUP(A170,Database!$E:$AY,MATCH($G$1,Database!$E$1:$AY$1,0),FALSE)</f>
        <v/>
      </c>
      <c r="H170" s="23">
        <f>(((Table134567891011121314151617343[[#This Row],[ITA]]-VLOOKUP($U$1,A:B,2,))/VLOOKUP($U$1,A:B,2,))*100)+100</f>
        <v/>
      </c>
      <c r="I170" s="23">
        <f>(((Table134567891011121314151617343[[#This Row],[FRA]]-VLOOKUP($U$1,A:C,3,))/VLOOKUP($U$1,A:C,3,))*100)+100</f>
        <v/>
      </c>
      <c r="J170" s="23">
        <f>(((Table134567891011121314151617343[[#This Row],[DEU]]-VLOOKUP($U$1,A:D,4,))/VLOOKUP($U$1,A:D,4,))*100)+100</f>
        <v/>
      </c>
      <c r="K170" s="23">
        <f>(((Table134567891011121314151617343[[#This Row],[ESP]]-VLOOKUP($U$1,A:E,5,))/VLOOKUP($U$1,A:E,5,))*100)+100</f>
        <v/>
      </c>
      <c r="L170" s="23">
        <f>(((Table134567891011121314151617343[[#This Row],[EA19]]-VLOOKUP($U$1,A:F,6,))/VLOOKUP($U$1,A:F,6,))*100)+100</f>
        <v/>
      </c>
      <c r="M170" s="23">
        <f>(((Table134567891011121314151617343[[#This Row],[GBR]]-VLOOKUP($U$1,A:G,7,))/VLOOKUP($U$1,A:G,7,))*100)+100</f>
        <v/>
      </c>
      <c r="N170" s="23">
        <f>VLOOKUP(A170,Database!$E:$AY,MATCH($N$1,Database!$E$1:$AY$1,0),FALSE)</f>
        <v/>
      </c>
      <c r="O170" s="23">
        <f>(((Table134567891011121314151617343[[#This Row],[USA]]-VLOOKUP($U$1,A:N,14,))/VLOOKUP($U$1,A:N,14,))*100)+100</f>
        <v/>
      </c>
      <c r="P170" s="23">
        <f>VLOOKUP(A170,Database!$E:$AY,MATCH($P$1,Database!$E$1:$AY$1,0),FALSE)</f>
        <v/>
      </c>
      <c r="Q170" s="23">
        <f>(((Table134567891011121314151617343[[#This Row],[JPN]]-VLOOKUP($U$1,A:Q,16,))/VLOOKUP($U$1,A:Q,16,))*100)+100</f>
        <v/>
      </c>
    </row>
    <row r="171" customFormat="1" s="100">
      <c r="A171" s="22" t="n">
        <v>38018</v>
      </c>
      <c r="B171" s="23">
        <f>VLOOKUP(A171,Database!$E:$AY,MATCH($B$1,Database!$E$1:$AY$1,0),FALSE)</f>
        <v/>
      </c>
      <c r="C171" s="23">
        <f>VLOOKUP(A171,Database!$E:$AY,MATCH($C$1,Database!$E$1:$AY$1,0),FALSE)</f>
        <v/>
      </c>
      <c r="D171" s="23">
        <f>VLOOKUP(A171,Database!$E:$AY,MATCH($D$1,Database!$E$1:$AY$1,0),FALSE)</f>
        <v/>
      </c>
      <c r="E171" s="23">
        <f>VLOOKUP(A171,Database!$E:$AY,MATCH($E$1,Database!$E$1:$AY$1,0),FALSE)</f>
        <v/>
      </c>
      <c r="F171" s="23">
        <f>VLOOKUP(A171,Database!$E:$AY,MATCH($F$1,Database!$E$1:$AY$1,0),FALSE)</f>
        <v/>
      </c>
      <c r="G171" s="23">
        <f>VLOOKUP(A171,Database!$E:$AY,MATCH($G$1,Database!$E$1:$AY$1,0),FALSE)</f>
        <v/>
      </c>
      <c r="H171" s="23">
        <f>(((Table134567891011121314151617343[[#This Row],[ITA]]-VLOOKUP($U$1,A:B,2,))/VLOOKUP($U$1,A:B,2,))*100)+100</f>
        <v/>
      </c>
      <c r="I171" s="23">
        <f>(((Table134567891011121314151617343[[#This Row],[FRA]]-VLOOKUP($U$1,A:C,3,))/VLOOKUP($U$1,A:C,3,))*100)+100</f>
        <v/>
      </c>
      <c r="J171" s="23">
        <f>(((Table134567891011121314151617343[[#This Row],[DEU]]-VLOOKUP($U$1,A:D,4,))/VLOOKUP($U$1,A:D,4,))*100)+100</f>
        <v/>
      </c>
      <c r="K171" s="23">
        <f>(((Table134567891011121314151617343[[#This Row],[ESP]]-VLOOKUP($U$1,A:E,5,))/VLOOKUP($U$1,A:E,5,))*100)+100</f>
        <v/>
      </c>
      <c r="L171" s="23">
        <f>(((Table134567891011121314151617343[[#This Row],[EA19]]-VLOOKUP($U$1,A:F,6,))/VLOOKUP($U$1,A:F,6,))*100)+100</f>
        <v/>
      </c>
      <c r="M171" s="23">
        <f>(((Table134567891011121314151617343[[#This Row],[GBR]]-VLOOKUP($U$1,A:G,7,))/VLOOKUP($U$1,A:G,7,))*100)+100</f>
        <v/>
      </c>
      <c r="N171" s="23">
        <f>VLOOKUP(A171,Database!$E:$AY,MATCH($N$1,Database!$E$1:$AY$1,0),FALSE)</f>
        <v/>
      </c>
      <c r="O171" s="23">
        <f>(((Table134567891011121314151617343[[#This Row],[USA]]-VLOOKUP($U$1,A:N,14,))/VLOOKUP($U$1,A:N,14,))*100)+100</f>
        <v/>
      </c>
      <c r="P171" s="23">
        <f>VLOOKUP(A171,Database!$E:$AY,MATCH($P$1,Database!$E$1:$AY$1,0),FALSE)</f>
        <v/>
      </c>
      <c r="Q171" s="23">
        <f>(((Table134567891011121314151617343[[#This Row],[JPN]]-VLOOKUP($U$1,A:Q,16,))/VLOOKUP($U$1,A:Q,16,))*100)+100</f>
        <v/>
      </c>
    </row>
    <row r="172" customFormat="1" s="100">
      <c r="A172" s="22" t="n">
        <v>38047</v>
      </c>
      <c r="B172" s="23">
        <f>VLOOKUP(A172,Database!$E:$AY,MATCH($B$1,Database!$E$1:$AY$1,0),FALSE)</f>
        <v/>
      </c>
      <c r="C172" s="23">
        <f>VLOOKUP(A172,Database!$E:$AY,MATCH($C$1,Database!$E$1:$AY$1,0),FALSE)</f>
        <v/>
      </c>
      <c r="D172" s="23">
        <f>VLOOKUP(A172,Database!$E:$AY,MATCH($D$1,Database!$E$1:$AY$1,0),FALSE)</f>
        <v/>
      </c>
      <c r="E172" s="23">
        <f>VLOOKUP(A172,Database!$E:$AY,MATCH($E$1,Database!$E$1:$AY$1,0),FALSE)</f>
        <v/>
      </c>
      <c r="F172" s="23">
        <f>VLOOKUP(A172,Database!$E:$AY,MATCH($F$1,Database!$E$1:$AY$1,0),FALSE)</f>
        <v/>
      </c>
      <c r="G172" s="23">
        <f>VLOOKUP(A172,Database!$E:$AY,MATCH($G$1,Database!$E$1:$AY$1,0),FALSE)</f>
        <v/>
      </c>
      <c r="H172" s="23">
        <f>(((Table134567891011121314151617343[[#This Row],[ITA]]-VLOOKUP($U$1,A:B,2,))/VLOOKUP($U$1,A:B,2,))*100)+100</f>
        <v/>
      </c>
      <c r="I172" s="23">
        <f>(((Table134567891011121314151617343[[#This Row],[FRA]]-VLOOKUP($U$1,A:C,3,))/VLOOKUP($U$1,A:C,3,))*100)+100</f>
        <v/>
      </c>
      <c r="J172" s="23">
        <f>(((Table134567891011121314151617343[[#This Row],[DEU]]-VLOOKUP($U$1,A:D,4,))/VLOOKUP($U$1,A:D,4,))*100)+100</f>
        <v/>
      </c>
      <c r="K172" s="23">
        <f>(((Table134567891011121314151617343[[#This Row],[ESP]]-VLOOKUP($U$1,A:E,5,))/VLOOKUP($U$1,A:E,5,))*100)+100</f>
        <v/>
      </c>
      <c r="L172" s="23">
        <f>(((Table134567891011121314151617343[[#This Row],[EA19]]-VLOOKUP($U$1,A:F,6,))/VLOOKUP($U$1,A:F,6,))*100)+100</f>
        <v/>
      </c>
      <c r="M172" s="23">
        <f>(((Table134567891011121314151617343[[#This Row],[GBR]]-VLOOKUP($U$1,A:G,7,))/VLOOKUP($U$1,A:G,7,))*100)+100</f>
        <v/>
      </c>
      <c r="N172" s="23">
        <f>VLOOKUP(A172,Database!$E:$AY,MATCH($N$1,Database!$E$1:$AY$1,0),FALSE)</f>
        <v/>
      </c>
      <c r="O172" s="23">
        <f>(((Table134567891011121314151617343[[#This Row],[USA]]-VLOOKUP($U$1,A:N,14,))/VLOOKUP($U$1,A:N,14,))*100)+100</f>
        <v/>
      </c>
      <c r="P172" s="23">
        <f>VLOOKUP(A172,Database!$E:$AY,MATCH($P$1,Database!$E$1:$AY$1,0),FALSE)</f>
        <v/>
      </c>
      <c r="Q172" s="23">
        <f>(((Table134567891011121314151617343[[#This Row],[JPN]]-VLOOKUP($U$1,A:Q,16,))/VLOOKUP($U$1,A:Q,16,))*100)+100</f>
        <v/>
      </c>
    </row>
    <row r="173" customFormat="1" s="100">
      <c r="A173" s="22" t="n">
        <v>38078</v>
      </c>
      <c r="B173" s="23">
        <f>VLOOKUP(A173,Database!$E:$AY,MATCH($B$1,Database!$E$1:$AY$1,0),FALSE)</f>
        <v/>
      </c>
      <c r="C173" s="23">
        <f>VLOOKUP(A173,Database!$E:$AY,MATCH($C$1,Database!$E$1:$AY$1,0),FALSE)</f>
        <v/>
      </c>
      <c r="D173" s="23">
        <f>VLOOKUP(A173,Database!$E:$AY,MATCH($D$1,Database!$E$1:$AY$1,0),FALSE)</f>
        <v/>
      </c>
      <c r="E173" s="23">
        <f>VLOOKUP(A173,Database!$E:$AY,MATCH($E$1,Database!$E$1:$AY$1,0),FALSE)</f>
        <v/>
      </c>
      <c r="F173" s="23">
        <f>VLOOKUP(A173,Database!$E:$AY,MATCH($F$1,Database!$E$1:$AY$1,0),FALSE)</f>
        <v/>
      </c>
      <c r="G173" s="23">
        <f>VLOOKUP(A173,Database!$E:$AY,MATCH($G$1,Database!$E$1:$AY$1,0),FALSE)</f>
        <v/>
      </c>
      <c r="H173" s="23">
        <f>(((Table134567891011121314151617343[[#This Row],[ITA]]-VLOOKUP($U$1,A:B,2,))/VLOOKUP($U$1,A:B,2,))*100)+100</f>
        <v/>
      </c>
      <c r="I173" s="23">
        <f>(((Table134567891011121314151617343[[#This Row],[FRA]]-VLOOKUP($U$1,A:C,3,))/VLOOKUP($U$1,A:C,3,))*100)+100</f>
        <v/>
      </c>
      <c r="J173" s="23">
        <f>(((Table134567891011121314151617343[[#This Row],[DEU]]-VLOOKUP($U$1,A:D,4,))/VLOOKUP($U$1,A:D,4,))*100)+100</f>
        <v/>
      </c>
      <c r="K173" s="23">
        <f>(((Table134567891011121314151617343[[#This Row],[ESP]]-VLOOKUP($U$1,A:E,5,))/VLOOKUP($U$1,A:E,5,))*100)+100</f>
        <v/>
      </c>
      <c r="L173" s="23">
        <f>(((Table134567891011121314151617343[[#This Row],[EA19]]-VLOOKUP($U$1,A:F,6,))/VLOOKUP($U$1,A:F,6,))*100)+100</f>
        <v/>
      </c>
      <c r="M173" s="23">
        <f>(((Table134567891011121314151617343[[#This Row],[GBR]]-VLOOKUP($U$1,A:G,7,))/VLOOKUP($U$1,A:G,7,))*100)+100</f>
        <v/>
      </c>
      <c r="N173" s="23">
        <f>VLOOKUP(A173,Database!$E:$AY,MATCH($N$1,Database!$E$1:$AY$1,0),FALSE)</f>
        <v/>
      </c>
      <c r="O173" s="23">
        <f>(((Table134567891011121314151617343[[#This Row],[USA]]-VLOOKUP($U$1,A:N,14,))/VLOOKUP($U$1,A:N,14,))*100)+100</f>
        <v/>
      </c>
      <c r="P173" s="23">
        <f>VLOOKUP(A173,Database!$E:$AY,MATCH($P$1,Database!$E$1:$AY$1,0),FALSE)</f>
        <v/>
      </c>
      <c r="Q173" s="23">
        <f>(((Table134567891011121314151617343[[#This Row],[JPN]]-VLOOKUP($U$1,A:Q,16,))/VLOOKUP($U$1,A:Q,16,))*100)+100</f>
        <v/>
      </c>
    </row>
    <row r="174" customFormat="1" s="100">
      <c r="A174" s="22" t="n">
        <v>38108</v>
      </c>
      <c r="B174" s="23">
        <f>VLOOKUP(A174,Database!$E:$AY,MATCH($B$1,Database!$E$1:$AY$1,0),FALSE)</f>
        <v/>
      </c>
      <c r="C174" s="23">
        <f>VLOOKUP(A174,Database!$E:$AY,MATCH($C$1,Database!$E$1:$AY$1,0),FALSE)</f>
        <v/>
      </c>
      <c r="D174" s="23">
        <f>VLOOKUP(A174,Database!$E:$AY,MATCH($D$1,Database!$E$1:$AY$1,0),FALSE)</f>
        <v/>
      </c>
      <c r="E174" s="23">
        <f>VLOOKUP(A174,Database!$E:$AY,MATCH($E$1,Database!$E$1:$AY$1,0),FALSE)</f>
        <v/>
      </c>
      <c r="F174" s="23">
        <f>VLOOKUP(A174,Database!$E:$AY,MATCH($F$1,Database!$E$1:$AY$1,0),FALSE)</f>
        <v/>
      </c>
      <c r="G174" s="23">
        <f>VLOOKUP(A174,Database!$E:$AY,MATCH($G$1,Database!$E$1:$AY$1,0),FALSE)</f>
        <v/>
      </c>
      <c r="H174" s="23">
        <f>(((Table134567891011121314151617343[[#This Row],[ITA]]-VLOOKUP($U$1,A:B,2,))/VLOOKUP($U$1,A:B,2,))*100)+100</f>
        <v/>
      </c>
      <c r="I174" s="23">
        <f>(((Table134567891011121314151617343[[#This Row],[FRA]]-VLOOKUP($U$1,A:C,3,))/VLOOKUP($U$1,A:C,3,))*100)+100</f>
        <v/>
      </c>
      <c r="J174" s="23">
        <f>(((Table134567891011121314151617343[[#This Row],[DEU]]-VLOOKUP($U$1,A:D,4,))/VLOOKUP($U$1,A:D,4,))*100)+100</f>
        <v/>
      </c>
      <c r="K174" s="23">
        <f>(((Table134567891011121314151617343[[#This Row],[ESP]]-VLOOKUP($U$1,A:E,5,))/VLOOKUP($U$1,A:E,5,))*100)+100</f>
        <v/>
      </c>
      <c r="L174" s="23">
        <f>(((Table134567891011121314151617343[[#This Row],[EA19]]-VLOOKUP($U$1,A:F,6,))/VLOOKUP($U$1,A:F,6,))*100)+100</f>
        <v/>
      </c>
      <c r="M174" s="23">
        <f>(((Table134567891011121314151617343[[#This Row],[GBR]]-VLOOKUP($U$1,A:G,7,))/VLOOKUP($U$1,A:G,7,))*100)+100</f>
        <v/>
      </c>
      <c r="N174" s="23">
        <f>VLOOKUP(A174,Database!$E:$AY,MATCH($N$1,Database!$E$1:$AY$1,0),FALSE)</f>
        <v/>
      </c>
      <c r="O174" s="23">
        <f>(((Table134567891011121314151617343[[#This Row],[USA]]-VLOOKUP($U$1,A:N,14,))/VLOOKUP($U$1,A:N,14,))*100)+100</f>
        <v/>
      </c>
      <c r="P174" s="23">
        <f>VLOOKUP(A174,Database!$E:$AY,MATCH($P$1,Database!$E$1:$AY$1,0),FALSE)</f>
        <v/>
      </c>
      <c r="Q174" s="23">
        <f>(((Table134567891011121314151617343[[#This Row],[JPN]]-VLOOKUP($U$1,A:Q,16,))/VLOOKUP($U$1,A:Q,16,))*100)+100</f>
        <v/>
      </c>
    </row>
    <row r="175" customFormat="1" s="100">
      <c r="A175" s="22" t="n">
        <v>38139</v>
      </c>
      <c r="B175" s="23">
        <f>VLOOKUP(A175,Database!$E:$AY,MATCH($B$1,Database!$E$1:$AY$1,0),FALSE)</f>
        <v/>
      </c>
      <c r="C175" s="23">
        <f>VLOOKUP(A175,Database!$E:$AY,MATCH($C$1,Database!$E$1:$AY$1,0),FALSE)</f>
        <v/>
      </c>
      <c r="D175" s="23">
        <f>VLOOKUP(A175,Database!$E:$AY,MATCH($D$1,Database!$E$1:$AY$1,0),FALSE)</f>
        <v/>
      </c>
      <c r="E175" s="23">
        <f>VLOOKUP(A175,Database!$E:$AY,MATCH($E$1,Database!$E$1:$AY$1,0),FALSE)</f>
        <v/>
      </c>
      <c r="F175" s="23">
        <f>VLOOKUP(A175,Database!$E:$AY,MATCH($F$1,Database!$E$1:$AY$1,0),FALSE)</f>
        <v/>
      </c>
      <c r="G175" s="23">
        <f>VLOOKUP(A175,Database!$E:$AY,MATCH($G$1,Database!$E$1:$AY$1,0),FALSE)</f>
        <v/>
      </c>
      <c r="H175" s="23">
        <f>(((Table134567891011121314151617343[[#This Row],[ITA]]-VLOOKUP($U$1,A:B,2,))/VLOOKUP($U$1,A:B,2,))*100)+100</f>
        <v/>
      </c>
      <c r="I175" s="23">
        <f>(((Table134567891011121314151617343[[#This Row],[FRA]]-VLOOKUP($U$1,A:C,3,))/VLOOKUP($U$1,A:C,3,))*100)+100</f>
        <v/>
      </c>
      <c r="J175" s="23">
        <f>(((Table134567891011121314151617343[[#This Row],[DEU]]-VLOOKUP($U$1,A:D,4,))/VLOOKUP($U$1,A:D,4,))*100)+100</f>
        <v/>
      </c>
      <c r="K175" s="23">
        <f>(((Table134567891011121314151617343[[#This Row],[ESP]]-VLOOKUP($U$1,A:E,5,))/VLOOKUP($U$1,A:E,5,))*100)+100</f>
        <v/>
      </c>
      <c r="L175" s="23">
        <f>(((Table134567891011121314151617343[[#This Row],[EA19]]-VLOOKUP($U$1,A:F,6,))/VLOOKUP($U$1,A:F,6,))*100)+100</f>
        <v/>
      </c>
      <c r="M175" s="23">
        <f>(((Table134567891011121314151617343[[#This Row],[GBR]]-VLOOKUP($U$1,A:G,7,))/VLOOKUP($U$1,A:G,7,))*100)+100</f>
        <v/>
      </c>
      <c r="N175" s="23">
        <f>VLOOKUP(A175,Database!$E:$AY,MATCH($N$1,Database!$E$1:$AY$1,0),FALSE)</f>
        <v/>
      </c>
      <c r="O175" s="23">
        <f>(((Table134567891011121314151617343[[#This Row],[USA]]-VLOOKUP($U$1,A:N,14,))/VLOOKUP($U$1,A:N,14,))*100)+100</f>
        <v/>
      </c>
      <c r="P175" s="23">
        <f>VLOOKUP(A175,Database!$E:$AY,MATCH($P$1,Database!$E$1:$AY$1,0),FALSE)</f>
        <v/>
      </c>
      <c r="Q175" s="23">
        <f>(((Table134567891011121314151617343[[#This Row],[JPN]]-VLOOKUP($U$1,A:Q,16,))/VLOOKUP($U$1,A:Q,16,))*100)+100</f>
        <v/>
      </c>
    </row>
    <row r="176" customFormat="1" s="100">
      <c r="A176" s="22" t="n">
        <v>38169</v>
      </c>
      <c r="B176" s="23">
        <f>VLOOKUP(A176,Database!$E:$AY,MATCH($B$1,Database!$E$1:$AY$1,0),FALSE)</f>
        <v/>
      </c>
      <c r="C176" s="23">
        <f>VLOOKUP(A176,Database!$E:$AY,MATCH($C$1,Database!$E$1:$AY$1,0),FALSE)</f>
        <v/>
      </c>
      <c r="D176" s="23">
        <f>VLOOKUP(A176,Database!$E:$AY,MATCH($D$1,Database!$E$1:$AY$1,0),FALSE)</f>
        <v/>
      </c>
      <c r="E176" s="23">
        <f>VLOOKUP(A176,Database!$E:$AY,MATCH($E$1,Database!$E$1:$AY$1,0),FALSE)</f>
        <v/>
      </c>
      <c r="F176" s="23">
        <f>VLOOKUP(A176,Database!$E:$AY,MATCH($F$1,Database!$E$1:$AY$1,0),FALSE)</f>
        <v/>
      </c>
      <c r="G176" s="23">
        <f>VLOOKUP(A176,Database!$E:$AY,MATCH($G$1,Database!$E$1:$AY$1,0),FALSE)</f>
        <v/>
      </c>
      <c r="H176" s="23">
        <f>(((Table134567891011121314151617343[[#This Row],[ITA]]-VLOOKUP($U$1,A:B,2,))/VLOOKUP($U$1,A:B,2,))*100)+100</f>
        <v/>
      </c>
      <c r="I176" s="23">
        <f>(((Table134567891011121314151617343[[#This Row],[FRA]]-VLOOKUP($U$1,A:C,3,))/VLOOKUP($U$1,A:C,3,))*100)+100</f>
        <v/>
      </c>
      <c r="J176" s="23">
        <f>(((Table134567891011121314151617343[[#This Row],[DEU]]-VLOOKUP($U$1,A:D,4,))/VLOOKUP($U$1,A:D,4,))*100)+100</f>
        <v/>
      </c>
      <c r="K176" s="23">
        <f>(((Table134567891011121314151617343[[#This Row],[ESP]]-VLOOKUP($U$1,A:E,5,))/VLOOKUP($U$1,A:E,5,))*100)+100</f>
        <v/>
      </c>
      <c r="L176" s="23">
        <f>(((Table134567891011121314151617343[[#This Row],[EA19]]-VLOOKUP($U$1,A:F,6,))/VLOOKUP($U$1,A:F,6,))*100)+100</f>
        <v/>
      </c>
      <c r="M176" s="23">
        <f>(((Table134567891011121314151617343[[#This Row],[GBR]]-VLOOKUP($U$1,A:G,7,))/VLOOKUP($U$1,A:G,7,))*100)+100</f>
        <v/>
      </c>
      <c r="N176" s="23">
        <f>VLOOKUP(A176,Database!$E:$AY,MATCH($N$1,Database!$E$1:$AY$1,0),FALSE)</f>
        <v/>
      </c>
      <c r="O176" s="23">
        <f>(((Table134567891011121314151617343[[#This Row],[USA]]-VLOOKUP($U$1,A:N,14,))/VLOOKUP($U$1,A:N,14,))*100)+100</f>
        <v/>
      </c>
      <c r="P176" s="23">
        <f>VLOOKUP(A176,Database!$E:$AY,MATCH($P$1,Database!$E$1:$AY$1,0),FALSE)</f>
        <v/>
      </c>
      <c r="Q176" s="23">
        <f>(((Table134567891011121314151617343[[#This Row],[JPN]]-VLOOKUP($U$1,A:Q,16,))/VLOOKUP($U$1,A:Q,16,))*100)+100</f>
        <v/>
      </c>
    </row>
    <row r="177" customFormat="1" s="100">
      <c r="A177" s="22" t="n">
        <v>38200</v>
      </c>
      <c r="B177" s="23">
        <f>VLOOKUP(A177,Database!$E:$AY,MATCH($B$1,Database!$E$1:$AY$1,0),FALSE)</f>
        <v/>
      </c>
      <c r="C177" s="23">
        <f>VLOOKUP(A177,Database!$E:$AY,MATCH($C$1,Database!$E$1:$AY$1,0),FALSE)</f>
        <v/>
      </c>
      <c r="D177" s="23">
        <f>VLOOKUP(A177,Database!$E:$AY,MATCH($D$1,Database!$E$1:$AY$1,0),FALSE)</f>
        <v/>
      </c>
      <c r="E177" s="23">
        <f>VLOOKUP(A177,Database!$E:$AY,MATCH($E$1,Database!$E$1:$AY$1,0),FALSE)</f>
        <v/>
      </c>
      <c r="F177" s="23">
        <f>VLOOKUP(A177,Database!$E:$AY,MATCH($F$1,Database!$E$1:$AY$1,0),FALSE)</f>
        <v/>
      </c>
      <c r="G177" s="23">
        <f>VLOOKUP(A177,Database!$E:$AY,MATCH($G$1,Database!$E$1:$AY$1,0),FALSE)</f>
        <v/>
      </c>
      <c r="H177" s="23">
        <f>(((Table134567891011121314151617343[[#This Row],[ITA]]-VLOOKUP($U$1,A:B,2,))/VLOOKUP($U$1,A:B,2,))*100)+100</f>
        <v/>
      </c>
      <c r="I177" s="23">
        <f>(((Table134567891011121314151617343[[#This Row],[FRA]]-VLOOKUP($U$1,A:C,3,))/VLOOKUP($U$1,A:C,3,))*100)+100</f>
        <v/>
      </c>
      <c r="J177" s="23">
        <f>(((Table134567891011121314151617343[[#This Row],[DEU]]-VLOOKUP($U$1,A:D,4,))/VLOOKUP($U$1,A:D,4,))*100)+100</f>
        <v/>
      </c>
      <c r="K177" s="23">
        <f>(((Table134567891011121314151617343[[#This Row],[ESP]]-VLOOKUP($U$1,A:E,5,))/VLOOKUP($U$1,A:E,5,))*100)+100</f>
        <v/>
      </c>
      <c r="L177" s="23">
        <f>(((Table134567891011121314151617343[[#This Row],[EA19]]-VLOOKUP($U$1,A:F,6,))/VLOOKUP($U$1,A:F,6,))*100)+100</f>
        <v/>
      </c>
      <c r="M177" s="23">
        <f>(((Table134567891011121314151617343[[#This Row],[GBR]]-VLOOKUP($U$1,A:G,7,))/VLOOKUP($U$1,A:G,7,))*100)+100</f>
        <v/>
      </c>
      <c r="N177" s="23">
        <f>VLOOKUP(A177,Database!$E:$AY,MATCH($N$1,Database!$E$1:$AY$1,0),FALSE)</f>
        <v/>
      </c>
      <c r="O177" s="23">
        <f>(((Table134567891011121314151617343[[#This Row],[USA]]-VLOOKUP($U$1,A:N,14,))/VLOOKUP($U$1,A:N,14,))*100)+100</f>
        <v/>
      </c>
      <c r="P177" s="23">
        <f>VLOOKUP(A177,Database!$E:$AY,MATCH($P$1,Database!$E$1:$AY$1,0),FALSE)</f>
        <v/>
      </c>
      <c r="Q177" s="23">
        <f>(((Table134567891011121314151617343[[#This Row],[JPN]]-VLOOKUP($U$1,A:Q,16,))/VLOOKUP($U$1,A:Q,16,))*100)+100</f>
        <v/>
      </c>
    </row>
    <row r="178" customFormat="1" s="100">
      <c r="A178" s="22" t="n">
        <v>38231</v>
      </c>
      <c r="B178" s="23">
        <f>VLOOKUP(A178,Database!$E:$AY,MATCH($B$1,Database!$E$1:$AY$1,0),FALSE)</f>
        <v/>
      </c>
      <c r="C178" s="23">
        <f>VLOOKUP(A178,Database!$E:$AY,MATCH($C$1,Database!$E$1:$AY$1,0),FALSE)</f>
        <v/>
      </c>
      <c r="D178" s="23">
        <f>VLOOKUP(A178,Database!$E:$AY,MATCH($D$1,Database!$E$1:$AY$1,0),FALSE)</f>
        <v/>
      </c>
      <c r="E178" s="23">
        <f>VLOOKUP(A178,Database!$E:$AY,MATCH($E$1,Database!$E$1:$AY$1,0),FALSE)</f>
        <v/>
      </c>
      <c r="F178" s="23">
        <f>VLOOKUP(A178,Database!$E:$AY,MATCH($F$1,Database!$E$1:$AY$1,0),FALSE)</f>
        <v/>
      </c>
      <c r="G178" s="23">
        <f>VLOOKUP(A178,Database!$E:$AY,MATCH($G$1,Database!$E$1:$AY$1,0),FALSE)</f>
        <v/>
      </c>
      <c r="H178" s="23">
        <f>(((Table134567891011121314151617343[[#This Row],[ITA]]-VLOOKUP($U$1,A:B,2,))/VLOOKUP($U$1,A:B,2,))*100)+100</f>
        <v/>
      </c>
      <c r="I178" s="23">
        <f>(((Table134567891011121314151617343[[#This Row],[FRA]]-VLOOKUP($U$1,A:C,3,))/VLOOKUP($U$1,A:C,3,))*100)+100</f>
        <v/>
      </c>
      <c r="J178" s="23">
        <f>(((Table134567891011121314151617343[[#This Row],[DEU]]-VLOOKUP($U$1,A:D,4,))/VLOOKUP($U$1,A:D,4,))*100)+100</f>
        <v/>
      </c>
      <c r="K178" s="23">
        <f>(((Table134567891011121314151617343[[#This Row],[ESP]]-VLOOKUP($U$1,A:E,5,))/VLOOKUP($U$1,A:E,5,))*100)+100</f>
        <v/>
      </c>
      <c r="L178" s="23">
        <f>(((Table134567891011121314151617343[[#This Row],[EA19]]-VLOOKUP($U$1,A:F,6,))/VLOOKUP($U$1,A:F,6,))*100)+100</f>
        <v/>
      </c>
      <c r="M178" s="23">
        <f>(((Table134567891011121314151617343[[#This Row],[GBR]]-VLOOKUP($U$1,A:G,7,))/VLOOKUP($U$1,A:G,7,))*100)+100</f>
        <v/>
      </c>
      <c r="N178" s="23">
        <f>VLOOKUP(A178,Database!$E:$AY,MATCH($N$1,Database!$E$1:$AY$1,0),FALSE)</f>
        <v/>
      </c>
      <c r="O178" s="23">
        <f>(((Table134567891011121314151617343[[#This Row],[USA]]-VLOOKUP($U$1,A:N,14,))/VLOOKUP($U$1,A:N,14,))*100)+100</f>
        <v/>
      </c>
      <c r="P178" s="23">
        <f>VLOOKUP(A178,Database!$E:$AY,MATCH($P$1,Database!$E$1:$AY$1,0),FALSE)</f>
        <v/>
      </c>
      <c r="Q178" s="23">
        <f>(((Table134567891011121314151617343[[#This Row],[JPN]]-VLOOKUP($U$1,A:Q,16,))/VLOOKUP($U$1,A:Q,16,))*100)+100</f>
        <v/>
      </c>
    </row>
    <row r="179" customFormat="1" s="100">
      <c r="A179" s="22" t="n">
        <v>38261</v>
      </c>
      <c r="B179" s="23">
        <f>VLOOKUP(A179,Database!$E:$AY,MATCH($B$1,Database!$E$1:$AY$1,0),FALSE)</f>
        <v/>
      </c>
      <c r="C179" s="23">
        <f>VLOOKUP(A179,Database!$E:$AY,MATCH($C$1,Database!$E$1:$AY$1,0),FALSE)</f>
        <v/>
      </c>
      <c r="D179" s="23">
        <f>VLOOKUP(A179,Database!$E:$AY,MATCH($D$1,Database!$E$1:$AY$1,0),FALSE)</f>
        <v/>
      </c>
      <c r="E179" s="23">
        <f>VLOOKUP(A179,Database!$E:$AY,MATCH($E$1,Database!$E$1:$AY$1,0),FALSE)</f>
        <v/>
      </c>
      <c r="F179" s="23">
        <f>VLOOKUP(A179,Database!$E:$AY,MATCH($F$1,Database!$E$1:$AY$1,0),FALSE)</f>
        <v/>
      </c>
      <c r="G179" s="23">
        <f>VLOOKUP(A179,Database!$E:$AY,MATCH($G$1,Database!$E$1:$AY$1,0),FALSE)</f>
        <v/>
      </c>
      <c r="H179" s="23">
        <f>(((Table134567891011121314151617343[[#This Row],[ITA]]-VLOOKUP($U$1,A:B,2,))/VLOOKUP($U$1,A:B,2,))*100)+100</f>
        <v/>
      </c>
      <c r="I179" s="23">
        <f>(((Table134567891011121314151617343[[#This Row],[FRA]]-VLOOKUP($U$1,A:C,3,))/VLOOKUP($U$1,A:C,3,))*100)+100</f>
        <v/>
      </c>
      <c r="J179" s="23">
        <f>(((Table134567891011121314151617343[[#This Row],[DEU]]-VLOOKUP($U$1,A:D,4,))/VLOOKUP($U$1,A:D,4,))*100)+100</f>
        <v/>
      </c>
      <c r="K179" s="23">
        <f>(((Table134567891011121314151617343[[#This Row],[ESP]]-VLOOKUP($U$1,A:E,5,))/VLOOKUP($U$1,A:E,5,))*100)+100</f>
        <v/>
      </c>
      <c r="L179" s="23">
        <f>(((Table134567891011121314151617343[[#This Row],[EA19]]-VLOOKUP($U$1,A:F,6,))/VLOOKUP($U$1,A:F,6,))*100)+100</f>
        <v/>
      </c>
      <c r="M179" s="23">
        <f>(((Table134567891011121314151617343[[#This Row],[GBR]]-VLOOKUP($U$1,A:G,7,))/VLOOKUP($U$1,A:G,7,))*100)+100</f>
        <v/>
      </c>
      <c r="N179" s="23">
        <f>VLOOKUP(A179,Database!$E:$AY,MATCH($N$1,Database!$E$1:$AY$1,0),FALSE)</f>
        <v/>
      </c>
      <c r="O179" s="23">
        <f>(((Table134567891011121314151617343[[#This Row],[USA]]-VLOOKUP($U$1,A:N,14,))/VLOOKUP($U$1,A:N,14,))*100)+100</f>
        <v/>
      </c>
      <c r="P179" s="23">
        <f>VLOOKUP(A179,Database!$E:$AY,MATCH($P$1,Database!$E$1:$AY$1,0),FALSE)</f>
        <v/>
      </c>
      <c r="Q179" s="23">
        <f>(((Table134567891011121314151617343[[#This Row],[JPN]]-VLOOKUP($U$1,A:Q,16,))/VLOOKUP($U$1,A:Q,16,))*100)+100</f>
        <v/>
      </c>
    </row>
    <row r="180" customFormat="1" s="100">
      <c r="A180" s="22" t="n">
        <v>38292</v>
      </c>
      <c r="B180" s="23">
        <f>VLOOKUP(A180,Database!$E:$AY,MATCH($B$1,Database!$E$1:$AY$1,0),FALSE)</f>
        <v/>
      </c>
      <c r="C180" s="23">
        <f>VLOOKUP(A180,Database!$E:$AY,MATCH($C$1,Database!$E$1:$AY$1,0),FALSE)</f>
        <v/>
      </c>
      <c r="D180" s="23">
        <f>VLOOKUP(A180,Database!$E:$AY,MATCH($D$1,Database!$E$1:$AY$1,0),FALSE)</f>
        <v/>
      </c>
      <c r="E180" s="23">
        <f>VLOOKUP(A180,Database!$E:$AY,MATCH($E$1,Database!$E$1:$AY$1,0),FALSE)</f>
        <v/>
      </c>
      <c r="F180" s="23">
        <f>VLOOKUP(A180,Database!$E:$AY,MATCH($F$1,Database!$E$1:$AY$1,0),FALSE)</f>
        <v/>
      </c>
      <c r="G180" s="23">
        <f>VLOOKUP(A180,Database!$E:$AY,MATCH($G$1,Database!$E$1:$AY$1,0),FALSE)</f>
        <v/>
      </c>
      <c r="H180" s="23">
        <f>(((Table134567891011121314151617343[[#This Row],[ITA]]-VLOOKUP($U$1,A:B,2,))/VLOOKUP($U$1,A:B,2,))*100)+100</f>
        <v/>
      </c>
      <c r="I180" s="23">
        <f>(((Table134567891011121314151617343[[#This Row],[FRA]]-VLOOKUP($U$1,A:C,3,))/VLOOKUP($U$1,A:C,3,))*100)+100</f>
        <v/>
      </c>
      <c r="J180" s="23">
        <f>(((Table134567891011121314151617343[[#This Row],[DEU]]-VLOOKUP($U$1,A:D,4,))/VLOOKUP($U$1,A:D,4,))*100)+100</f>
        <v/>
      </c>
      <c r="K180" s="23">
        <f>(((Table134567891011121314151617343[[#This Row],[ESP]]-VLOOKUP($U$1,A:E,5,))/VLOOKUP($U$1,A:E,5,))*100)+100</f>
        <v/>
      </c>
      <c r="L180" s="23">
        <f>(((Table134567891011121314151617343[[#This Row],[EA19]]-VLOOKUP($U$1,A:F,6,))/VLOOKUP($U$1,A:F,6,))*100)+100</f>
        <v/>
      </c>
      <c r="M180" s="23">
        <f>(((Table134567891011121314151617343[[#This Row],[GBR]]-VLOOKUP($U$1,A:G,7,))/VLOOKUP($U$1,A:G,7,))*100)+100</f>
        <v/>
      </c>
      <c r="N180" s="23">
        <f>VLOOKUP(A180,Database!$E:$AY,MATCH($N$1,Database!$E$1:$AY$1,0),FALSE)</f>
        <v/>
      </c>
      <c r="O180" s="23">
        <f>(((Table134567891011121314151617343[[#This Row],[USA]]-VLOOKUP($U$1,A:N,14,))/VLOOKUP($U$1,A:N,14,))*100)+100</f>
        <v/>
      </c>
      <c r="P180" s="23">
        <f>VLOOKUP(A180,Database!$E:$AY,MATCH($P$1,Database!$E$1:$AY$1,0),FALSE)</f>
        <v/>
      </c>
      <c r="Q180" s="23">
        <f>(((Table134567891011121314151617343[[#This Row],[JPN]]-VLOOKUP($U$1,A:Q,16,))/VLOOKUP($U$1,A:Q,16,))*100)+100</f>
        <v/>
      </c>
    </row>
    <row r="181" customFormat="1" s="100">
      <c r="A181" s="22" t="n">
        <v>38322</v>
      </c>
      <c r="B181" s="23">
        <f>VLOOKUP(A181,Database!$E:$AY,MATCH($B$1,Database!$E$1:$AY$1,0),FALSE)</f>
        <v/>
      </c>
      <c r="C181" s="23">
        <f>VLOOKUP(A181,Database!$E:$AY,MATCH($C$1,Database!$E$1:$AY$1,0),FALSE)</f>
        <v/>
      </c>
      <c r="D181" s="23">
        <f>VLOOKUP(A181,Database!$E:$AY,MATCH($D$1,Database!$E$1:$AY$1,0),FALSE)</f>
        <v/>
      </c>
      <c r="E181" s="23">
        <f>VLOOKUP(A181,Database!$E:$AY,MATCH($E$1,Database!$E$1:$AY$1,0),FALSE)</f>
        <v/>
      </c>
      <c r="F181" s="23">
        <f>VLOOKUP(A181,Database!$E:$AY,MATCH($F$1,Database!$E$1:$AY$1,0),FALSE)</f>
        <v/>
      </c>
      <c r="G181" s="23">
        <f>VLOOKUP(A181,Database!$E:$AY,MATCH($G$1,Database!$E$1:$AY$1,0),FALSE)</f>
        <v/>
      </c>
      <c r="H181" s="23">
        <f>(((Table134567891011121314151617343[[#This Row],[ITA]]-VLOOKUP($U$1,A:B,2,))/VLOOKUP($U$1,A:B,2,))*100)+100</f>
        <v/>
      </c>
      <c r="I181" s="23">
        <f>(((Table134567891011121314151617343[[#This Row],[FRA]]-VLOOKUP($U$1,A:C,3,))/VLOOKUP($U$1,A:C,3,))*100)+100</f>
        <v/>
      </c>
      <c r="J181" s="23">
        <f>(((Table134567891011121314151617343[[#This Row],[DEU]]-VLOOKUP($U$1,A:D,4,))/VLOOKUP($U$1,A:D,4,))*100)+100</f>
        <v/>
      </c>
      <c r="K181" s="23">
        <f>(((Table134567891011121314151617343[[#This Row],[ESP]]-VLOOKUP($U$1,A:E,5,))/VLOOKUP($U$1,A:E,5,))*100)+100</f>
        <v/>
      </c>
      <c r="L181" s="23">
        <f>(((Table134567891011121314151617343[[#This Row],[EA19]]-VLOOKUP($U$1,A:F,6,))/VLOOKUP($U$1,A:F,6,))*100)+100</f>
        <v/>
      </c>
      <c r="M181" s="23">
        <f>(((Table134567891011121314151617343[[#This Row],[GBR]]-VLOOKUP($U$1,A:G,7,))/VLOOKUP($U$1,A:G,7,))*100)+100</f>
        <v/>
      </c>
      <c r="N181" s="23">
        <f>VLOOKUP(A181,Database!$E:$AY,MATCH($N$1,Database!$E$1:$AY$1,0),FALSE)</f>
        <v/>
      </c>
      <c r="O181" s="23">
        <f>(((Table134567891011121314151617343[[#This Row],[USA]]-VLOOKUP($U$1,A:N,14,))/VLOOKUP($U$1,A:N,14,))*100)+100</f>
        <v/>
      </c>
      <c r="P181" s="23">
        <f>VLOOKUP(A181,Database!$E:$AY,MATCH($P$1,Database!$E$1:$AY$1,0),FALSE)</f>
        <v/>
      </c>
      <c r="Q181" s="23">
        <f>(((Table134567891011121314151617343[[#This Row],[JPN]]-VLOOKUP($U$1,A:Q,16,))/VLOOKUP($U$1,A:Q,16,))*100)+100</f>
        <v/>
      </c>
    </row>
    <row r="182" customFormat="1" s="100">
      <c r="A182" s="22" t="n">
        <v>38353</v>
      </c>
      <c r="B182" s="23">
        <f>VLOOKUP(A182,Database!$E:$AY,MATCH($B$1,Database!$E$1:$AY$1,0),FALSE)</f>
        <v/>
      </c>
      <c r="C182" s="23">
        <f>VLOOKUP(A182,Database!$E:$AY,MATCH($C$1,Database!$E$1:$AY$1,0),FALSE)</f>
        <v/>
      </c>
      <c r="D182" s="23">
        <f>VLOOKUP(A182,Database!$E:$AY,MATCH($D$1,Database!$E$1:$AY$1,0),FALSE)</f>
        <v/>
      </c>
      <c r="E182" s="23">
        <f>VLOOKUP(A182,Database!$E:$AY,MATCH($E$1,Database!$E$1:$AY$1,0),FALSE)</f>
        <v/>
      </c>
      <c r="F182" s="23">
        <f>VLOOKUP(A182,Database!$E:$AY,MATCH($F$1,Database!$E$1:$AY$1,0),FALSE)</f>
        <v/>
      </c>
      <c r="G182" s="23">
        <f>VLOOKUP(A182,Database!$E:$AY,MATCH($G$1,Database!$E$1:$AY$1,0),FALSE)</f>
        <v/>
      </c>
      <c r="H182" s="23">
        <f>(((Table134567891011121314151617343[[#This Row],[ITA]]-VLOOKUP($U$1,A:B,2,))/VLOOKUP($U$1,A:B,2,))*100)+100</f>
        <v/>
      </c>
      <c r="I182" s="23">
        <f>(((Table134567891011121314151617343[[#This Row],[FRA]]-VLOOKUP($U$1,A:C,3,))/VLOOKUP($U$1,A:C,3,))*100)+100</f>
        <v/>
      </c>
      <c r="J182" s="23">
        <f>(((Table134567891011121314151617343[[#This Row],[DEU]]-VLOOKUP($U$1,A:D,4,))/VLOOKUP($U$1,A:D,4,))*100)+100</f>
        <v/>
      </c>
      <c r="K182" s="23">
        <f>(((Table134567891011121314151617343[[#This Row],[ESP]]-VLOOKUP($U$1,A:E,5,))/VLOOKUP($U$1,A:E,5,))*100)+100</f>
        <v/>
      </c>
      <c r="L182" s="23">
        <f>(((Table134567891011121314151617343[[#This Row],[EA19]]-VLOOKUP($U$1,A:F,6,))/VLOOKUP($U$1,A:F,6,))*100)+100</f>
        <v/>
      </c>
      <c r="M182" s="23">
        <f>(((Table134567891011121314151617343[[#This Row],[GBR]]-VLOOKUP($U$1,A:G,7,))/VLOOKUP($U$1,A:G,7,))*100)+100</f>
        <v/>
      </c>
      <c r="N182" s="23">
        <f>VLOOKUP(A182,Database!$E:$AY,MATCH($N$1,Database!$E$1:$AY$1,0),FALSE)</f>
        <v/>
      </c>
      <c r="O182" s="23">
        <f>(((Table134567891011121314151617343[[#This Row],[USA]]-VLOOKUP($U$1,A:N,14,))/VLOOKUP($U$1,A:N,14,))*100)+100</f>
        <v/>
      </c>
      <c r="P182" s="23">
        <f>VLOOKUP(A182,Database!$E:$AY,MATCH($P$1,Database!$E$1:$AY$1,0),FALSE)</f>
        <v/>
      </c>
      <c r="Q182" s="23">
        <f>(((Table134567891011121314151617343[[#This Row],[JPN]]-VLOOKUP($U$1,A:Q,16,))/VLOOKUP($U$1,A:Q,16,))*100)+100</f>
        <v/>
      </c>
    </row>
    <row r="183" customFormat="1" s="100">
      <c r="A183" s="22" t="n">
        <v>38384</v>
      </c>
      <c r="B183" s="23">
        <f>VLOOKUP(A183,Database!$E:$AY,MATCH($B$1,Database!$E$1:$AY$1,0),FALSE)</f>
        <v/>
      </c>
      <c r="C183" s="23">
        <f>VLOOKUP(A183,Database!$E:$AY,MATCH($C$1,Database!$E$1:$AY$1,0),FALSE)</f>
        <v/>
      </c>
      <c r="D183" s="23">
        <f>VLOOKUP(A183,Database!$E:$AY,MATCH($D$1,Database!$E$1:$AY$1,0),FALSE)</f>
        <v/>
      </c>
      <c r="E183" s="23">
        <f>VLOOKUP(A183,Database!$E:$AY,MATCH($E$1,Database!$E$1:$AY$1,0),FALSE)</f>
        <v/>
      </c>
      <c r="F183" s="23">
        <f>VLOOKUP(A183,Database!$E:$AY,MATCH($F$1,Database!$E$1:$AY$1,0),FALSE)</f>
        <v/>
      </c>
      <c r="G183" s="23">
        <f>VLOOKUP(A183,Database!$E:$AY,MATCH($G$1,Database!$E$1:$AY$1,0),FALSE)</f>
        <v/>
      </c>
      <c r="H183" s="23">
        <f>(((Table134567891011121314151617343[[#This Row],[ITA]]-VLOOKUP($U$1,A:B,2,))/VLOOKUP($U$1,A:B,2,))*100)+100</f>
        <v/>
      </c>
      <c r="I183" s="23">
        <f>(((Table134567891011121314151617343[[#This Row],[FRA]]-VLOOKUP($U$1,A:C,3,))/VLOOKUP($U$1,A:C,3,))*100)+100</f>
        <v/>
      </c>
      <c r="J183" s="23">
        <f>(((Table134567891011121314151617343[[#This Row],[DEU]]-VLOOKUP($U$1,A:D,4,))/VLOOKUP($U$1,A:D,4,))*100)+100</f>
        <v/>
      </c>
      <c r="K183" s="23">
        <f>(((Table134567891011121314151617343[[#This Row],[ESP]]-VLOOKUP($U$1,A:E,5,))/VLOOKUP($U$1,A:E,5,))*100)+100</f>
        <v/>
      </c>
      <c r="L183" s="23">
        <f>(((Table134567891011121314151617343[[#This Row],[EA19]]-VLOOKUP($U$1,A:F,6,))/VLOOKUP($U$1,A:F,6,))*100)+100</f>
        <v/>
      </c>
      <c r="M183" s="23">
        <f>(((Table134567891011121314151617343[[#This Row],[GBR]]-VLOOKUP($U$1,A:G,7,))/VLOOKUP($U$1,A:G,7,))*100)+100</f>
        <v/>
      </c>
      <c r="N183" s="23">
        <f>VLOOKUP(A183,Database!$E:$AY,MATCH($N$1,Database!$E$1:$AY$1,0),FALSE)</f>
        <v/>
      </c>
      <c r="O183" s="23">
        <f>(((Table134567891011121314151617343[[#This Row],[USA]]-VLOOKUP($U$1,A:N,14,))/VLOOKUP($U$1,A:N,14,))*100)+100</f>
        <v/>
      </c>
      <c r="P183" s="23">
        <f>VLOOKUP(A183,Database!$E:$AY,MATCH($P$1,Database!$E$1:$AY$1,0),FALSE)</f>
        <v/>
      </c>
      <c r="Q183" s="23">
        <f>(((Table134567891011121314151617343[[#This Row],[JPN]]-VLOOKUP($U$1,A:Q,16,))/VLOOKUP($U$1,A:Q,16,))*100)+100</f>
        <v/>
      </c>
    </row>
    <row r="184" customFormat="1" s="100">
      <c r="A184" s="22" t="n">
        <v>38412</v>
      </c>
      <c r="B184" s="23">
        <f>VLOOKUP(A184,Database!$E:$AY,MATCH($B$1,Database!$E$1:$AY$1,0),FALSE)</f>
        <v/>
      </c>
      <c r="C184" s="23">
        <f>VLOOKUP(A184,Database!$E:$AY,MATCH($C$1,Database!$E$1:$AY$1,0),FALSE)</f>
        <v/>
      </c>
      <c r="D184" s="23">
        <f>VLOOKUP(A184,Database!$E:$AY,MATCH($D$1,Database!$E$1:$AY$1,0),FALSE)</f>
        <v/>
      </c>
      <c r="E184" s="23">
        <f>VLOOKUP(A184,Database!$E:$AY,MATCH($E$1,Database!$E$1:$AY$1,0),FALSE)</f>
        <v/>
      </c>
      <c r="F184" s="23">
        <f>VLOOKUP(A184,Database!$E:$AY,MATCH($F$1,Database!$E$1:$AY$1,0),FALSE)</f>
        <v/>
      </c>
      <c r="G184" s="23">
        <f>VLOOKUP(A184,Database!$E:$AY,MATCH($G$1,Database!$E$1:$AY$1,0),FALSE)</f>
        <v/>
      </c>
      <c r="H184" s="23">
        <f>(((Table134567891011121314151617343[[#This Row],[ITA]]-VLOOKUP($U$1,A:B,2,))/VLOOKUP($U$1,A:B,2,))*100)+100</f>
        <v/>
      </c>
      <c r="I184" s="23">
        <f>(((Table134567891011121314151617343[[#This Row],[FRA]]-VLOOKUP($U$1,A:C,3,))/VLOOKUP($U$1,A:C,3,))*100)+100</f>
        <v/>
      </c>
      <c r="J184" s="23">
        <f>(((Table134567891011121314151617343[[#This Row],[DEU]]-VLOOKUP($U$1,A:D,4,))/VLOOKUP($U$1,A:D,4,))*100)+100</f>
        <v/>
      </c>
      <c r="K184" s="23">
        <f>(((Table134567891011121314151617343[[#This Row],[ESP]]-VLOOKUP($U$1,A:E,5,))/VLOOKUP($U$1,A:E,5,))*100)+100</f>
        <v/>
      </c>
      <c r="L184" s="23">
        <f>(((Table134567891011121314151617343[[#This Row],[EA19]]-VLOOKUP($U$1,A:F,6,))/VLOOKUP($U$1,A:F,6,))*100)+100</f>
        <v/>
      </c>
      <c r="M184" s="23">
        <f>(((Table134567891011121314151617343[[#This Row],[GBR]]-VLOOKUP($U$1,A:G,7,))/VLOOKUP($U$1,A:G,7,))*100)+100</f>
        <v/>
      </c>
      <c r="N184" s="23">
        <f>VLOOKUP(A184,Database!$E:$AY,MATCH($N$1,Database!$E$1:$AY$1,0),FALSE)</f>
        <v/>
      </c>
      <c r="O184" s="23">
        <f>(((Table134567891011121314151617343[[#This Row],[USA]]-VLOOKUP($U$1,A:N,14,))/VLOOKUP($U$1,A:N,14,))*100)+100</f>
        <v/>
      </c>
      <c r="P184" s="23">
        <f>VLOOKUP(A184,Database!$E:$AY,MATCH($P$1,Database!$E$1:$AY$1,0),FALSE)</f>
        <v/>
      </c>
      <c r="Q184" s="23">
        <f>(((Table134567891011121314151617343[[#This Row],[JPN]]-VLOOKUP($U$1,A:Q,16,))/VLOOKUP($U$1,A:Q,16,))*100)+100</f>
        <v/>
      </c>
    </row>
    <row r="185" customFormat="1" s="100">
      <c r="A185" s="22" t="n">
        <v>38443</v>
      </c>
      <c r="B185" s="23">
        <f>VLOOKUP(A185,Database!$E:$AY,MATCH($B$1,Database!$E$1:$AY$1,0),FALSE)</f>
        <v/>
      </c>
      <c r="C185" s="23">
        <f>VLOOKUP(A185,Database!$E:$AY,MATCH($C$1,Database!$E$1:$AY$1,0),FALSE)</f>
        <v/>
      </c>
      <c r="D185" s="23">
        <f>VLOOKUP(A185,Database!$E:$AY,MATCH($D$1,Database!$E$1:$AY$1,0),FALSE)</f>
        <v/>
      </c>
      <c r="E185" s="23">
        <f>VLOOKUP(A185,Database!$E:$AY,MATCH($E$1,Database!$E$1:$AY$1,0),FALSE)</f>
        <v/>
      </c>
      <c r="F185" s="23">
        <f>VLOOKUP(A185,Database!$E:$AY,MATCH($F$1,Database!$E$1:$AY$1,0),FALSE)</f>
        <v/>
      </c>
      <c r="G185" s="23">
        <f>VLOOKUP(A185,Database!$E:$AY,MATCH($G$1,Database!$E$1:$AY$1,0),FALSE)</f>
        <v/>
      </c>
      <c r="H185" s="23">
        <f>(((Table134567891011121314151617343[[#This Row],[ITA]]-VLOOKUP($U$1,A:B,2,))/VLOOKUP($U$1,A:B,2,))*100)+100</f>
        <v/>
      </c>
      <c r="I185" s="23">
        <f>(((Table134567891011121314151617343[[#This Row],[FRA]]-VLOOKUP($U$1,A:C,3,))/VLOOKUP($U$1,A:C,3,))*100)+100</f>
        <v/>
      </c>
      <c r="J185" s="23">
        <f>(((Table134567891011121314151617343[[#This Row],[DEU]]-VLOOKUP($U$1,A:D,4,))/VLOOKUP($U$1,A:D,4,))*100)+100</f>
        <v/>
      </c>
      <c r="K185" s="23">
        <f>(((Table134567891011121314151617343[[#This Row],[ESP]]-VLOOKUP($U$1,A:E,5,))/VLOOKUP($U$1,A:E,5,))*100)+100</f>
        <v/>
      </c>
      <c r="L185" s="23">
        <f>(((Table134567891011121314151617343[[#This Row],[EA19]]-VLOOKUP($U$1,A:F,6,))/VLOOKUP($U$1,A:F,6,))*100)+100</f>
        <v/>
      </c>
      <c r="M185" s="23">
        <f>(((Table134567891011121314151617343[[#This Row],[GBR]]-VLOOKUP($U$1,A:G,7,))/VLOOKUP($U$1,A:G,7,))*100)+100</f>
        <v/>
      </c>
      <c r="N185" s="23">
        <f>VLOOKUP(A185,Database!$E:$AY,MATCH($N$1,Database!$E$1:$AY$1,0),FALSE)</f>
        <v/>
      </c>
      <c r="O185" s="23">
        <f>(((Table134567891011121314151617343[[#This Row],[USA]]-VLOOKUP($U$1,A:N,14,))/VLOOKUP($U$1,A:N,14,))*100)+100</f>
        <v/>
      </c>
      <c r="P185" s="23">
        <f>VLOOKUP(A185,Database!$E:$AY,MATCH($P$1,Database!$E$1:$AY$1,0),FALSE)</f>
        <v/>
      </c>
      <c r="Q185" s="23">
        <f>(((Table134567891011121314151617343[[#This Row],[JPN]]-VLOOKUP($U$1,A:Q,16,))/VLOOKUP($U$1,A:Q,16,))*100)+100</f>
        <v/>
      </c>
    </row>
    <row r="186" customFormat="1" s="100">
      <c r="A186" s="22" t="n">
        <v>38473</v>
      </c>
      <c r="B186" s="23">
        <f>VLOOKUP(A186,Database!$E:$AY,MATCH($B$1,Database!$E$1:$AY$1,0),FALSE)</f>
        <v/>
      </c>
      <c r="C186" s="23">
        <f>VLOOKUP(A186,Database!$E:$AY,MATCH($C$1,Database!$E$1:$AY$1,0),FALSE)</f>
        <v/>
      </c>
      <c r="D186" s="23">
        <f>VLOOKUP(A186,Database!$E:$AY,MATCH($D$1,Database!$E$1:$AY$1,0),FALSE)</f>
        <v/>
      </c>
      <c r="E186" s="23">
        <f>VLOOKUP(A186,Database!$E:$AY,MATCH($E$1,Database!$E$1:$AY$1,0),FALSE)</f>
        <v/>
      </c>
      <c r="F186" s="23">
        <f>VLOOKUP(A186,Database!$E:$AY,MATCH($F$1,Database!$E$1:$AY$1,0),FALSE)</f>
        <v/>
      </c>
      <c r="G186" s="23">
        <f>VLOOKUP(A186,Database!$E:$AY,MATCH($G$1,Database!$E$1:$AY$1,0),FALSE)</f>
        <v/>
      </c>
      <c r="H186" s="23">
        <f>(((Table134567891011121314151617343[[#This Row],[ITA]]-VLOOKUP($U$1,A:B,2,))/VLOOKUP($U$1,A:B,2,))*100)+100</f>
        <v/>
      </c>
      <c r="I186" s="23">
        <f>(((Table134567891011121314151617343[[#This Row],[FRA]]-VLOOKUP($U$1,A:C,3,))/VLOOKUP($U$1,A:C,3,))*100)+100</f>
        <v/>
      </c>
      <c r="J186" s="23">
        <f>(((Table134567891011121314151617343[[#This Row],[DEU]]-VLOOKUP($U$1,A:D,4,))/VLOOKUP($U$1,A:D,4,))*100)+100</f>
        <v/>
      </c>
      <c r="K186" s="23">
        <f>(((Table134567891011121314151617343[[#This Row],[ESP]]-VLOOKUP($U$1,A:E,5,))/VLOOKUP($U$1,A:E,5,))*100)+100</f>
        <v/>
      </c>
      <c r="L186" s="23">
        <f>(((Table134567891011121314151617343[[#This Row],[EA19]]-VLOOKUP($U$1,A:F,6,))/VLOOKUP($U$1,A:F,6,))*100)+100</f>
        <v/>
      </c>
      <c r="M186" s="23">
        <f>(((Table134567891011121314151617343[[#This Row],[GBR]]-VLOOKUP($U$1,A:G,7,))/VLOOKUP($U$1,A:G,7,))*100)+100</f>
        <v/>
      </c>
      <c r="N186" s="23">
        <f>VLOOKUP(A186,Database!$E:$AY,MATCH($N$1,Database!$E$1:$AY$1,0),FALSE)</f>
        <v/>
      </c>
      <c r="O186" s="23">
        <f>(((Table134567891011121314151617343[[#This Row],[USA]]-VLOOKUP($U$1,A:N,14,))/VLOOKUP($U$1,A:N,14,))*100)+100</f>
        <v/>
      </c>
      <c r="P186" s="23">
        <f>VLOOKUP(A186,Database!$E:$AY,MATCH($P$1,Database!$E$1:$AY$1,0),FALSE)</f>
        <v/>
      </c>
      <c r="Q186" s="23">
        <f>(((Table134567891011121314151617343[[#This Row],[JPN]]-VLOOKUP($U$1,A:Q,16,))/VLOOKUP($U$1,A:Q,16,))*100)+100</f>
        <v/>
      </c>
    </row>
    <row r="187" customFormat="1" s="100">
      <c r="A187" s="22" t="n">
        <v>38504</v>
      </c>
      <c r="B187" s="23">
        <f>VLOOKUP(A187,Database!$E:$AY,MATCH($B$1,Database!$E$1:$AY$1,0),FALSE)</f>
        <v/>
      </c>
      <c r="C187" s="23">
        <f>VLOOKUP(A187,Database!$E:$AY,MATCH($C$1,Database!$E$1:$AY$1,0),FALSE)</f>
        <v/>
      </c>
      <c r="D187" s="23">
        <f>VLOOKUP(A187,Database!$E:$AY,MATCH($D$1,Database!$E$1:$AY$1,0),FALSE)</f>
        <v/>
      </c>
      <c r="E187" s="23">
        <f>VLOOKUP(A187,Database!$E:$AY,MATCH($E$1,Database!$E$1:$AY$1,0),FALSE)</f>
        <v/>
      </c>
      <c r="F187" s="23">
        <f>VLOOKUP(A187,Database!$E:$AY,MATCH($F$1,Database!$E$1:$AY$1,0),FALSE)</f>
        <v/>
      </c>
      <c r="G187" s="23">
        <f>VLOOKUP(A187,Database!$E:$AY,MATCH($G$1,Database!$E$1:$AY$1,0),FALSE)</f>
        <v/>
      </c>
      <c r="H187" s="23">
        <f>(((Table134567891011121314151617343[[#This Row],[ITA]]-VLOOKUP($U$1,A:B,2,))/VLOOKUP($U$1,A:B,2,))*100)+100</f>
        <v/>
      </c>
      <c r="I187" s="23">
        <f>(((Table134567891011121314151617343[[#This Row],[FRA]]-VLOOKUP($U$1,A:C,3,))/VLOOKUP($U$1,A:C,3,))*100)+100</f>
        <v/>
      </c>
      <c r="J187" s="23">
        <f>(((Table134567891011121314151617343[[#This Row],[DEU]]-VLOOKUP($U$1,A:D,4,))/VLOOKUP($U$1,A:D,4,))*100)+100</f>
        <v/>
      </c>
      <c r="K187" s="23">
        <f>(((Table134567891011121314151617343[[#This Row],[ESP]]-VLOOKUP($U$1,A:E,5,))/VLOOKUP($U$1,A:E,5,))*100)+100</f>
        <v/>
      </c>
      <c r="L187" s="23">
        <f>(((Table134567891011121314151617343[[#This Row],[EA19]]-VLOOKUP($U$1,A:F,6,))/VLOOKUP($U$1,A:F,6,))*100)+100</f>
        <v/>
      </c>
      <c r="M187" s="23">
        <f>(((Table134567891011121314151617343[[#This Row],[GBR]]-VLOOKUP($U$1,A:G,7,))/VLOOKUP($U$1,A:G,7,))*100)+100</f>
        <v/>
      </c>
      <c r="N187" s="23">
        <f>VLOOKUP(A187,Database!$E:$AY,MATCH($N$1,Database!$E$1:$AY$1,0),FALSE)</f>
        <v/>
      </c>
      <c r="O187" s="23">
        <f>(((Table134567891011121314151617343[[#This Row],[USA]]-VLOOKUP($U$1,A:N,14,))/VLOOKUP($U$1,A:N,14,))*100)+100</f>
        <v/>
      </c>
      <c r="P187" s="23">
        <f>VLOOKUP(A187,Database!$E:$AY,MATCH($P$1,Database!$E$1:$AY$1,0),FALSE)</f>
        <v/>
      </c>
      <c r="Q187" s="23">
        <f>(((Table134567891011121314151617343[[#This Row],[JPN]]-VLOOKUP($U$1,A:Q,16,))/VLOOKUP($U$1,A:Q,16,))*100)+100</f>
        <v/>
      </c>
    </row>
    <row r="188" customFormat="1" s="100">
      <c r="A188" s="22" t="n">
        <v>38534</v>
      </c>
      <c r="B188" s="23">
        <f>VLOOKUP(A188,Database!$E:$AY,MATCH($B$1,Database!$E$1:$AY$1,0),FALSE)</f>
        <v/>
      </c>
      <c r="C188" s="23">
        <f>VLOOKUP(A188,Database!$E:$AY,MATCH($C$1,Database!$E$1:$AY$1,0),FALSE)</f>
        <v/>
      </c>
      <c r="D188" s="23">
        <f>VLOOKUP(A188,Database!$E:$AY,MATCH($D$1,Database!$E$1:$AY$1,0),FALSE)</f>
        <v/>
      </c>
      <c r="E188" s="23">
        <f>VLOOKUP(A188,Database!$E:$AY,MATCH($E$1,Database!$E$1:$AY$1,0),FALSE)</f>
        <v/>
      </c>
      <c r="F188" s="23">
        <f>VLOOKUP(A188,Database!$E:$AY,MATCH($F$1,Database!$E$1:$AY$1,0),FALSE)</f>
        <v/>
      </c>
      <c r="G188" s="23">
        <f>VLOOKUP(A188,Database!$E:$AY,MATCH($G$1,Database!$E$1:$AY$1,0),FALSE)</f>
        <v/>
      </c>
      <c r="H188" s="23">
        <f>(((Table134567891011121314151617343[[#This Row],[ITA]]-VLOOKUP($U$1,A:B,2,))/VLOOKUP($U$1,A:B,2,))*100)+100</f>
        <v/>
      </c>
      <c r="I188" s="23">
        <f>(((Table134567891011121314151617343[[#This Row],[FRA]]-VLOOKUP($U$1,A:C,3,))/VLOOKUP($U$1,A:C,3,))*100)+100</f>
        <v/>
      </c>
      <c r="J188" s="23">
        <f>(((Table134567891011121314151617343[[#This Row],[DEU]]-VLOOKUP($U$1,A:D,4,))/VLOOKUP($U$1,A:D,4,))*100)+100</f>
        <v/>
      </c>
      <c r="K188" s="23">
        <f>(((Table134567891011121314151617343[[#This Row],[ESP]]-VLOOKUP($U$1,A:E,5,))/VLOOKUP($U$1,A:E,5,))*100)+100</f>
        <v/>
      </c>
      <c r="L188" s="23">
        <f>(((Table134567891011121314151617343[[#This Row],[EA19]]-VLOOKUP($U$1,A:F,6,))/VLOOKUP($U$1,A:F,6,))*100)+100</f>
        <v/>
      </c>
      <c r="M188" s="23">
        <f>(((Table134567891011121314151617343[[#This Row],[GBR]]-VLOOKUP($U$1,A:G,7,))/VLOOKUP($U$1,A:G,7,))*100)+100</f>
        <v/>
      </c>
      <c r="N188" s="23">
        <f>VLOOKUP(A188,Database!$E:$AY,MATCH($N$1,Database!$E$1:$AY$1,0),FALSE)</f>
        <v/>
      </c>
      <c r="O188" s="23">
        <f>(((Table134567891011121314151617343[[#This Row],[USA]]-VLOOKUP($U$1,A:N,14,))/VLOOKUP($U$1,A:N,14,))*100)+100</f>
        <v/>
      </c>
      <c r="P188" s="23">
        <f>VLOOKUP(A188,Database!$E:$AY,MATCH($P$1,Database!$E$1:$AY$1,0),FALSE)</f>
        <v/>
      </c>
      <c r="Q188" s="23">
        <f>(((Table134567891011121314151617343[[#This Row],[JPN]]-VLOOKUP($U$1,A:Q,16,))/VLOOKUP($U$1,A:Q,16,))*100)+100</f>
        <v/>
      </c>
    </row>
    <row r="189" customFormat="1" s="100">
      <c r="A189" s="22" t="n">
        <v>38565</v>
      </c>
      <c r="B189" s="23">
        <f>VLOOKUP(A189,Database!$E:$AY,MATCH($B$1,Database!$E$1:$AY$1,0),FALSE)</f>
        <v/>
      </c>
      <c r="C189" s="23">
        <f>VLOOKUP(A189,Database!$E:$AY,MATCH($C$1,Database!$E$1:$AY$1,0),FALSE)</f>
        <v/>
      </c>
      <c r="D189" s="23">
        <f>VLOOKUP(A189,Database!$E:$AY,MATCH($D$1,Database!$E$1:$AY$1,0),FALSE)</f>
        <v/>
      </c>
      <c r="E189" s="23">
        <f>VLOOKUP(A189,Database!$E:$AY,MATCH($E$1,Database!$E$1:$AY$1,0),FALSE)</f>
        <v/>
      </c>
      <c r="F189" s="23">
        <f>VLOOKUP(A189,Database!$E:$AY,MATCH($F$1,Database!$E$1:$AY$1,0),FALSE)</f>
        <v/>
      </c>
      <c r="G189" s="23">
        <f>VLOOKUP(A189,Database!$E:$AY,MATCH($G$1,Database!$E$1:$AY$1,0),FALSE)</f>
        <v/>
      </c>
      <c r="H189" s="23">
        <f>(((Table134567891011121314151617343[[#This Row],[ITA]]-VLOOKUP($U$1,A:B,2,))/VLOOKUP($U$1,A:B,2,))*100)+100</f>
        <v/>
      </c>
      <c r="I189" s="23">
        <f>(((Table134567891011121314151617343[[#This Row],[FRA]]-VLOOKUP($U$1,A:C,3,))/VLOOKUP($U$1,A:C,3,))*100)+100</f>
        <v/>
      </c>
      <c r="J189" s="23">
        <f>(((Table134567891011121314151617343[[#This Row],[DEU]]-VLOOKUP($U$1,A:D,4,))/VLOOKUP($U$1,A:D,4,))*100)+100</f>
        <v/>
      </c>
      <c r="K189" s="23">
        <f>(((Table134567891011121314151617343[[#This Row],[ESP]]-VLOOKUP($U$1,A:E,5,))/VLOOKUP($U$1,A:E,5,))*100)+100</f>
        <v/>
      </c>
      <c r="L189" s="23">
        <f>(((Table134567891011121314151617343[[#This Row],[EA19]]-VLOOKUP($U$1,A:F,6,))/VLOOKUP($U$1,A:F,6,))*100)+100</f>
        <v/>
      </c>
      <c r="M189" s="23">
        <f>(((Table134567891011121314151617343[[#This Row],[GBR]]-VLOOKUP($U$1,A:G,7,))/VLOOKUP($U$1,A:G,7,))*100)+100</f>
        <v/>
      </c>
      <c r="N189" s="23">
        <f>VLOOKUP(A189,Database!$E:$AY,MATCH($N$1,Database!$E$1:$AY$1,0),FALSE)</f>
        <v/>
      </c>
      <c r="O189" s="23">
        <f>(((Table134567891011121314151617343[[#This Row],[USA]]-VLOOKUP($U$1,A:N,14,))/VLOOKUP($U$1,A:N,14,))*100)+100</f>
        <v/>
      </c>
      <c r="P189" s="23">
        <f>VLOOKUP(A189,Database!$E:$AY,MATCH($P$1,Database!$E$1:$AY$1,0),FALSE)</f>
        <v/>
      </c>
      <c r="Q189" s="23">
        <f>(((Table134567891011121314151617343[[#This Row],[JPN]]-VLOOKUP($U$1,A:Q,16,))/VLOOKUP($U$1,A:Q,16,))*100)+100</f>
        <v/>
      </c>
    </row>
    <row r="190" customFormat="1" s="100">
      <c r="A190" s="22" t="n">
        <v>38596</v>
      </c>
      <c r="B190" s="23">
        <f>VLOOKUP(A190,Database!$E:$AY,MATCH($B$1,Database!$E$1:$AY$1,0),FALSE)</f>
        <v/>
      </c>
      <c r="C190" s="23">
        <f>VLOOKUP(A190,Database!$E:$AY,MATCH($C$1,Database!$E$1:$AY$1,0),FALSE)</f>
        <v/>
      </c>
      <c r="D190" s="23">
        <f>VLOOKUP(A190,Database!$E:$AY,MATCH($D$1,Database!$E$1:$AY$1,0),FALSE)</f>
        <v/>
      </c>
      <c r="E190" s="23">
        <f>VLOOKUP(A190,Database!$E:$AY,MATCH($E$1,Database!$E$1:$AY$1,0),FALSE)</f>
        <v/>
      </c>
      <c r="F190" s="23">
        <f>VLOOKUP(A190,Database!$E:$AY,MATCH($F$1,Database!$E$1:$AY$1,0),FALSE)</f>
        <v/>
      </c>
      <c r="G190" s="23">
        <f>VLOOKUP(A190,Database!$E:$AY,MATCH($G$1,Database!$E$1:$AY$1,0),FALSE)</f>
        <v/>
      </c>
      <c r="H190" s="23">
        <f>(((Table134567891011121314151617343[[#This Row],[ITA]]-VLOOKUP($U$1,A:B,2,))/VLOOKUP($U$1,A:B,2,))*100)+100</f>
        <v/>
      </c>
      <c r="I190" s="23">
        <f>(((Table134567891011121314151617343[[#This Row],[FRA]]-VLOOKUP($U$1,A:C,3,))/VLOOKUP($U$1,A:C,3,))*100)+100</f>
        <v/>
      </c>
      <c r="J190" s="23">
        <f>(((Table134567891011121314151617343[[#This Row],[DEU]]-VLOOKUP($U$1,A:D,4,))/VLOOKUP($U$1,A:D,4,))*100)+100</f>
        <v/>
      </c>
      <c r="K190" s="23">
        <f>(((Table134567891011121314151617343[[#This Row],[ESP]]-VLOOKUP($U$1,A:E,5,))/VLOOKUP($U$1,A:E,5,))*100)+100</f>
        <v/>
      </c>
      <c r="L190" s="23">
        <f>(((Table134567891011121314151617343[[#This Row],[EA19]]-VLOOKUP($U$1,A:F,6,))/VLOOKUP($U$1,A:F,6,))*100)+100</f>
        <v/>
      </c>
      <c r="M190" s="23">
        <f>(((Table134567891011121314151617343[[#This Row],[GBR]]-VLOOKUP($U$1,A:G,7,))/VLOOKUP($U$1,A:G,7,))*100)+100</f>
        <v/>
      </c>
      <c r="N190" s="23">
        <f>VLOOKUP(A190,Database!$E:$AY,MATCH($N$1,Database!$E$1:$AY$1,0),FALSE)</f>
        <v/>
      </c>
      <c r="O190" s="23">
        <f>(((Table134567891011121314151617343[[#This Row],[USA]]-VLOOKUP($U$1,A:N,14,))/VLOOKUP($U$1,A:N,14,))*100)+100</f>
        <v/>
      </c>
      <c r="P190" s="23">
        <f>VLOOKUP(A190,Database!$E:$AY,MATCH($P$1,Database!$E$1:$AY$1,0),FALSE)</f>
        <v/>
      </c>
      <c r="Q190" s="23">
        <f>(((Table134567891011121314151617343[[#This Row],[JPN]]-VLOOKUP($U$1,A:Q,16,))/VLOOKUP($U$1,A:Q,16,))*100)+100</f>
        <v/>
      </c>
    </row>
    <row r="191" customFormat="1" s="100">
      <c r="A191" s="22" t="n">
        <v>38626</v>
      </c>
      <c r="B191" s="23">
        <f>VLOOKUP(A191,Database!$E:$AY,MATCH($B$1,Database!$E$1:$AY$1,0),FALSE)</f>
        <v/>
      </c>
      <c r="C191" s="23">
        <f>VLOOKUP(A191,Database!$E:$AY,MATCH($C$1,Database!$E$1:$AY$1,0),FALSE)</f>
        <v/>
      </c>
      <c r="D191" s="23">
        <f>VLOOKUP(A191,Database!$E:$AY,MATCH($D$1,Database!$E$1:$AY$1,0),FALSE)</f>
        <v/>
      </c>
      <c r="E191" s="23">
        <f>VLOOKUP(A191,Database!$E:$AY,MATCH($E$1,Database!$E$1:$AY$1,0),FALSE)</f>
        <v/>
      </c>
      <c r="F191" s="23">
        <f>VLOOKUP(A191,Database!$E:$AY,MATCH($F$1,Database!$E$1:$AY$1,0),FALSE)</f>
        <v/>
      </c>
      <c r="G191" s="23">
        <f>VLOOKUP(A191,Database!$E:$AY,MATCH($G$1,Database!$E$1:$AY$1,0),FALSE)</f>
        <v/>
      </c>
      <c r="H191" s="23">
        <f>(((Table134567891011121314151617343[[#This Row],[ITA]]-VLOOKUP($U$1,A:B,2,))/VLOOKUP($U$1,A:B,2,))*100)+100</f>
        <v/>
      </c>
      <c r="I191" s="23">
        <f>(((Table134567891011121314151617343[[#This Row],[FRA]]-VLOOKUP($U$1,A:C,3,))/VLOOKUP($U$1,A:C,3,))*100)+100</f>
        <v/>
      </c>
      <c r="J191" s="23">
        <f>(((Table134567891011121314151617343[[#This Row],[DEU]]-VLOOKUP($U$1,A:D,4,))/VLOOKUP($U$1,A:D,4,))*100)+100</f>
        <v/>
      </c>
      <c r="K191" s="23">
        <f>(((Table134567891011121314151617343[[#This Row],[ESP]]-VLOOKUP($U$1,A:E,5,))/VLOOKUP($U$1,A:E,5,))*100)+100</f>
        <v/>
      </c>
      <c r="L191" s="23">
        <f>(((Table134567891011121314151617343[[#This Row],[EA19]]-VLOOKUP($U$1,A:F,6,))/VLOOKUP($U$1,A:F,6,))*100)+100</f>
        <v/>
      </c>
      <c r="M191" s="23">
        <f>(((Table134567891011121314151617343[[#This Row],[GBR]]-VLOOKUP($U$1,A:G,7,))/VLOOKUP($U$1,A:G,7,))*100)+100</f>
        <v/>
      </c>
      <c r="N191" s="23">
        <f>VLOOKUP(A191,Database!$E:$AY,MATCH($N$1,Database!$E$1:$AY$1,0),FALSE)</f>
        <v/>
      </c>
      <c r="O191" s="23">
        <f>(((Table134567891011121314151617343[[#This Row],[USA]]-VLOOKUP($U$1,A:N,14,))/VLOOKUP($U$1,A:N,14,))*100)+100</f>
        <v/>
      </c>
      <c r="P191" s="23">
        <f>VLOOKUP(A191,Database!$E:$AY,MATCH($P$1,Database!$E$1:$AY$1,0),FALSE)</f>
        <v/>
      </c>
      <c r="Q191" s="23">
        <f>(((Table134567891011121314151617343[[#This Row],[JPN]]-VLOOKUP($U$1,A:Q,16,))/VLOOKUP($U$1,A:Q,16,))*100)+100</f>
        <v/>
      </c>
    </row>
    <row r="192" customFormat="1" s="100">
      <c r="A192" s="22" t="n">
        <v>38657</v>
      </c>
      <c r="B192" s="23">
        <f>VLOOKUP(A192,Database!$E:$AY,MATCH($B$1,Database!$E$1:$AY$1,0),FALSE)</f>
        <v/>
      </c>
      <c r="C192" s="23">
        <f>VLOOKUP(A192,Database!$E:$AY,MATCH($C$1,Database!$E$1:$AY$1,0),FALSE)</f>
        <v/>
      </c>
      <c r="D192" s="23">
        <f>VLOOKUP(A192,Database!$E:$AY,MATCH($D$1,Database!$E$1:$AY$1,0),FALSE)</f>
        <v/>
      </c>
      <c r="E192" s="23">
        <f>VLOOKUP(A192,Database!$E:$AY,MATCH($E$1,Database!$E$1:$AY$1,0),FALSE)</f>
        <v/>
      </c>
      <c r="F192" s="23">
        <f>VLOOKUP(A192,Database!$E:$AY,MATCH($F$1,Database!$E$1:$AY$1,0),FALSE)</f>
        <v/>
      </c>
      <c r="G192" s="23">
        <f>VLOOKUP(A192,Database!$E:$AY,MATCH($G$1,Database!$E$1:$AY$1,0),FALSE)</f>
        <v/>
      </c>
      <c r="H192" s="23">
        <f>(((Table134567891011121314151617343[[#This Row],[ITA]]-VLOOKUP($U$1,A:B,2,))/VLOOKUP($U$1,A:B,2,))*100)+100</f>
        <v/>
      </c>
      <c r="I192" s="23">
        <f>(((Table134567891011121314151617343[[#This Row],[FRA]]-VLOOKUP($U$1,A:C,3,))/VLOOKUP($U$1,A:C,3,))*100)+100</f>
        <v/>
      </c>
      <c r="J192" s="23">
        <f>(((Table134567891011121314151617343[[#This Row],[DEU]]-VLOOKUP($U$1,A:D,4,))/VLOOKUP($U$1,A:D,4,))*100)+100</f>
        <v/>
      </c>
      <c r="K192" s="23">
        <f>(((Table134567891011121314151617343[[#This Row],[ESP]]-VLOOKUP($U$1,A:E,5,))/VLOOKUP($U$1,A:E,5,))*100)+100</f>
        <v/>
      </c>
      <c r="L192" s="23">
        <f>(((Table134567891011121314151617343[[#This Row],[EA19]]-VLOOKUP($U$1,A:F,6,))/VLOOKUP($U$1,A:F,6,))*100)+100</f>
        <v/>
      </c>
      <c r="M192" s="23">
        <f>(((Table134567891011121314151617343[[#This Row],[GBR]]-VLOOKUP($U$1,A:G,7,))/VLOOKUP($U$1,A:G,7,))*100)+100</f>
        <v/>
      </c>
      <c r="N192" s="23">
        <f>VLOOKUP(A192,Database!$E:$AY,MATCH($N$1,Database!$E$1:$AY$1,0),FALSE)</f>
        <v/>
      </c>
      <c r="O192" s="23">
        <f>(((Table134567891011121314151617343[[#This Row],[USA]]-VLOOKUP($U$1,A:N,14,))/VLOOKUP($U$1,A:N,14,))*100)+100</f>
        <v/>
      </c>
      <c r="P192" s="23">
        <f>VLOOKUP(A192,Database!$E:$AY,MATCH($P$1,Database!$E$1:$AY$1,0),FALSE)</f>
        <v/>
      </c>
      <c r="Q192" s="23">
        <f>(((Table134567891011121314151617343[[#This Row],[JPN]]-VLOOKUP($U$1,A:Q,16,))/VLOOKUP($U$1,A:Q,16,))*100)+100</f>
        <v/>
      </c>
    </row>
    <row r="193" customFormat="1" s="100">
      <c r="A193" s="22" t="n">
        <v>38687</v>
      </c>
      <c r="B193" s="23">
        <f>VLOOKUP(A193,Database!$E:$AY,MATCH($B$1,Database!$E$1:$AY$1,0),FALSE)</f>
        <v/>
      </c>
      <c r="C193" s="23">
        <f>VLOOKUP(A193,Database!$E:$AY,MATCH($C$1,Database!$E$1:$AY$1,0),FALSE)</f>
        <v/>
      </c>
      <c r="D193" s="23">
        <f>VLOOKUP(A193,Database!$E:$AY,MATCH($D$1,Database!$E$1:$AY$1,0),FALSE)</f>
        <v/>
      </c>
      <c r="E193" s="23">
        <f>VLOOKUP(A193,Database!$E:$AY,MATCH($E$1,Database!$E$1:$AY$1,0),FALSE)</f>
        <v/>
      </c>
      <c r="F193" s="23">
        <f>VLOOKUP(A193,Database!$E:$AY,MATCH($F$1,Database!$E$1:$AY$1,0),FALSE)</f>
        <v/>
      </c>
      <c r="G193" s="23">
        <f>VLOOKUP(A193,Database!$E:$AY,MATCH($G$1,Database!$E$1:$AY$1,0),FALSE)</f>
        <v/>
      </c>
      <c r="H193" s="23">
        <f>(((Table134567891011121314151617343[[#This Row],[ITA]]-VLOOKUP($U$1,A:B,2,))/VLOOKUP($U$1,A:B,2,))*100)+100</f>
        <v/>
      </c>
      <c r="I193" s="23">
        <f>(((Table134567891011121314151617343[[#This Row],[FRA]]-VLOOKUP($U$1,A:C,3,))/VLOOKUP($U$1,A:C,3,))*100)+100</f>
        <v/>
      </c>
      <c r="J193" s="23">
        <f>(((Table134567891011121314151617343[[#This Row],[DEU]]-VLOOKUP($U$1,A:D,4,))/VLOOKUP($U$1,A:D,4,))*100)+100</f>
        <v/>
      </c>
      <c r="K193" s="23">
        <f>(((Table134567891011121314151617343[[#This Row],[ESP]]-VLOOKUP($U$1,A:E,5,))/VLOOKUP($U$1,A:E,5,))*100)+100</f>
        <v/>
      </c>
      <c r="L193" s="23">
        <f>(((Table134567891011121314151617343[[#This Row],[EA19]]-VLOOKUP($U$1,A:F,6,))/VLOOKUP($U$1,A:F,6,))*100)+100</f>
        <v/>
      </c>
      <c r="M193" s="23">
        <f>(((Table134567891011121314151617343[[#This Row],[GBR]]-VLOOKUP($U$1,A:G,7,))/VLOOKUP($U$1,A:G,7,))*100)+100</f>
        <v/>
      </c>
      <c r="N193" s="23">
        <f>VLOOKUP(A193,Database!$E:$AY,MATCH($N$1,Database!$E$1:$AY$1,0),FALSE)</f>
        <v/>
      </c>
      <c r="O193" s="23">
        <f>(((Table134567891011121314151617343[[#This Row],[USA]]-VLOOKUP($U$1,A:N,14,))/VLOOKUP($U$1,A:N,14,))*100)+100</f>
        <v/>
      </c>
      <c r="P193" s="23">
        <f>VLOOKUP(A193,Database!$E:$AY,MATCH($P$1,Database!$E$1:$AY$1,0),FALSE)</f>
        <v/>
      </c>
      <c r="Q193" s="23">
        <f>(((Table134567891011121314151617343[[#This Row],[JPN]]-VLOOKUP($U$1,A:Q,16,))/VLOOKUP($U$1,A:Q,16,))*100)+100</f>
        <v/>
      </c>
    </row>
    <row r="194" customFormat="1" s="100">
      <c r="A194" s="22" t="n">
        <v>38718</v>
      </c>
      <c r="B194" s="23">
        <f>VLOOKUP(A194,Database!$E:$AY,MATCH($B$1,Database!$E$1:$AY$1,0),FALSE)</f>
        <v/>
      </c>
      <c r="C194" s="23">
        <f>VLOOKUP(A194,Database!$E:$AY,MATCH($C$1,Database!$E$1:$AY$1,0),FALSE)</f>
        <v/>
      </c>
      <c r="D194" s="23">
        <f>VLOOKUP(A194,Database!$E:$AY,MATCH($D$1,Database!$E$1:$AY$1,0),FALSE)</f>
        <v/>
      </c>
      <c r="E194" s="23">
        <f>VLOOKUP(A194,Database!$E:$AY,MATCH($E$1,Database!$E$1:$AY$1,0),FALSE)</f>
        <v/>
      </c>
      <c r="F194" s="23">
        <f>VLOOKUP(A194,Database!$E:$AY,MATCH($F$1,Database!$E$1:$AY$1,0),FALSE)</f>
        <v/>
      </c>
      <c r="G194" s="23">
        <f>VLOOKUP(A194,Database!$E:$AY,MATCH($G$1,Database!$E$1:$AY$1,0),FALSE)</f>
        <v/>
      </c>
      <c r="H194" s="23">
        <f>(((Table134567891011121314151617343[[#This Row],[ITA]]-VLOOKUP($U$1,A:B,2,))/VLOOKUP($U$1,A:B,2,))*100)+100</f>
        <v/>
      </c>
      <c r="I194" s="23">
        <f>(((Table134567891011121314151617343[[#This Row],[FRA]]-VLOOKUP($U$1,A:C,3,))/VLOOKUP($U$1,A:C,3,))*100)+100</f>
        <v/>
      </c>
      <c r="J194" s="23">
        <f>(((Table134567891011121314151617343[[#This Row],[DEU]]-VLOOKUP($U$1,A:D,4,))/VLOOKUP($U$1,A:D,4,))*100)+100</f>
        <v/>
      </c>
      <c r="K194" s="23">
        <f>(((Table134567891011121314151617343[[#This Row],[ESP]]-VLOOKUP($U$1,A:E,5,))/VLOOKUP($U$1,A:E,5,))*100)+100</f>
        <v/>
      </c>
      <c r="L194" s="23">
        <f>(((Table134567891011121314151617343[[#This Row],[EA19]]-VLOOKUP($U$1,A:F,6,))/VLOOKUP($U$1,A:F,6,))*100)+100</f>
        <v/>
      </c>
      <c r="M194" s="23">
        <f>(((Table134567891011121314151617343[[#This Row],[GBR]]-VLOOKUP($U$1,A:G,7,))/VLOOKUP($U$1,A:G,7,))*100)+100</f>
        <v/>
      </c>
      <c r="N194" s="23">
        <f>VLOOKUP(A194,Database!$E:$AY,MATCH($N$1,Database!$E$1:$AY$1,0),FALSE)</f>
        <v/>
      </c>
      <c r="O194" s="23">
        <f>(((Table134567891011121314151617343[[#This Row],[USA]]-VLOOKUP($U$1,A:N,14,))/VLOOKUP($U$1,A:N,14,))*100)+100</f>
        <v/>
      </c>
      <c r="P194" s="23">
        <f>VLOOKUP(A194,Database!$E:$AY,MATCH($P$1,Database!$E$1:$AY$1,0),FALSE)</f>
        <v/>
      </c>
      <c r="Q194" s="23">
        <f>(((Table134567891011121314151617343[[#This Row],[JPN]]-VLOOKUP($U$1,A:Q,16,))/VLOOKUP($U$1,A:Q,16,))*100)+100</f>
        <v/>
      </c>
    </row>
    <row r="195" customFormat="1" s="100">
      <c r="A195" s="22" t="n">
        <v>38749</v>
      </c>
      <c r="B195" s="23">
        <f>VLOOKUP(A195,Database!$E:$AY,MATCH($B$1,Database!$E$1:$AY$1,0),FALSE)</f>
        <v/>
      </c>
      <c r="C195" s="23">
        <f>VLOOKUP(A195,Database!$E:$AY,MATCH($C$1,Database!$E$1:$AY$1,0),FALSE)</f>
        <v/>
      </c>
      <c r="D195" s="23">
        <f>VLOOKUP(A195,Database!$E:$AY,MATCH($D$1,Database!$E$1:$AY$1,0),FALSE)</f>
        <v/>
      </c>
      <c r="E195" s="23">
        <f>VLOOKUP(A195,Database!$E:$AY,MATCH($E$1,Database!$E$1:$AY$1,0),FALSE)</f>
        <v/>
      </c>
      <c r="F195" s="23">
        <f>VLOOKUP(A195,Database!$E:$AY,MATCH($F$1,Database!$E$1:$AY$1,0),FALSE)</f>
        <v/>
      </c>
      <c r="G195" s="23">
        <f>VLOOKUP(A195,Database!$E:$AY,MATCH($G$1,Database!$E$1:$AY$1,0),FALSE)</f>
        <v/>
      </c>
      <c r="H195" s="23">
        <f>(((Table134567891011121314151617343[[#This Row],[ITA]]-VLOOKUP($U$1,A:B,2,))/VLOOKUP($U$1,A:B,2,))*100)+100</f>
        <v/>
      </c>
      <c r="I195" s="23">
        <f>(((Table134567891011121314151617343[[#This Row],[FRA]]-VLOOKUP($U$1,A:C,3,))/VLOOKUP($U$1,A:C,3,))*100)+100</f>
        <v/>
      </c>
      <c r="J195" s="23">
        <f>(((Table134567891011121314151617343[[#This Row],[DEU]]-VLOOKUP($U$1,A:D,4,))/VLOOKUP($U$1,A:D,4,))*100)+100</f>
        <v/>
      </c>
      <c r="K195" s="23">
        <f>(((Table134567891011121314151617343[[#This Row],[ESP]]-VLOOKUP($U$1,A:E,5,))/VLOOKUP($U$1,A:E,5,))*100)+100</f>
        <v/>
      </c>
      <c r="L195" s="23">
        <f>(((Table134567891011121314151617343[[#This Row],[EA19]]-VLOOKUP($U$1,A:F,6,))/VLOOKUP($U$1,A:F,6,))*100)+100</f>
        <v/>
      </c>
      <c r="M195" s="23">
        <f>(((Table134567891011121314151617343[[#This Row],[GBR]]-VLOOKUP($U$1,A:G,7,))/VLOOKUP($U$1,A:G,7,))*100)+100</f>
        <v/>
      </c>
      <c r="N195" s="23">
        <f>VLOOKUP(A195,Database!$E:$AY,MATCH($N$1,Database!$E$1:$AY$1,0),FALSE)</f>
        <v/>
      </c>
      <c r="O195" s="23">
        <f>(((Table134567891011121314151617343[[#This Row],[USA]]-VLOOKUP($U$1,A:N,14,))/VLOOKUP($U$1,A:N,14,))*100)+100</f>
        <v/>
      </c>
      <c r="P195" s="23">
        <f>VLOOKUP(A195,Database!$E:$AY,MATCH($P$1,Database!$E$1:$AY$1,0),FALSE)</f>
        <v/>
      </c>
      <c r="Q195" s="23">
        <f>(((Table134567891011121314151617343[[#This Row],[JPN]]-VLOOKUP($U$1,A:Q,16,))/VLOOKUP($U$1,A:Q,16,))*100)+100</f>
        <v/>
      </c>
    </row>
    <row r="196" customFormat="1" s="100">
      <c r="A196" s="22" t="n">
        <v>38777</v>
      </c>
      <c r="B196" s="23">
        <f>VLOOKUP(A196,Database!$E:$AY,MATCH($B$1,Database!$E$1:$AY$1,0),FALSE)</f>
        <v/>
      </c>
      <c r="C196" s="23">
        <f>VLOOKUP(A196,Database!$E:$AY,MATCH($C$1,Database!$E$1:$AY$1,0),FALSE)</f>
        <v/>
      </c>
      <c r="D196" s="23">
        <f>VLOOKUP(A196,Database!$E:$AY,MATCH($D$1,Database!$E$1:$AY$1,0),FALSE)</f>
        <v/>
      </c>
      <c r="E196" s="23">
        <f>VLOOKUP(A196,Database!$E:$AY,MATCH($E$1,Database!$E$1:$AY$1,0),FALSE)</f>
        <v/>
      </c>
      <c r="F196" s="23">
        <f>VLOOKUP(A196,Database!$E:$AY,MATCH($F$1,Database!$E$1:$AY$1,0),FALSE)</f>
        <v/>
      </c>
      <c r="G196" s="23">
        <f>VLOOKUP(A196,Database!$E:$AY,MATCH($G$1,Database!$E$1:$AY$1,0),FALSE)</f>
        <v/>
      </c>
      <c r="H196" s="23">
        <f>(((Table134567891011121314151617343[[#This Row],[ITA]]-VLOOKUP($U$1,A:B,2,))/VLOOKUP($U$1,A:B,2,))*100)+100</f>
        <v/>
      </c>
      <c r="I196" s="23">
        <f>(((Table134567891011121314151617343[[#This Row],[FRA]]-VLOOKUP($U$1,A:C,3,))/VLOOKUP($U$1,A:C,3,))*100)+100</f>
        <v/>
      </c>
      <c r="J196" s="23">
        <f>(((Table134567891011121314151617343[[#This Row],[DEU]]-VLOOKUP($U$1,A:D,4,))/VLOOKUP($U$1,A:D,4,))*100)+100</f>
        <v/>
      </c>
      <c r="K196" s="23">
        <f>(((Table134567891011121314151617343[[#This Row],[ESP]]-VLOOKUP($U$1,A:E,5,))/VLOOKUP($U$1,A:E,5,))*100)+100</f>
        <v/>
      </c>
      <c r="L196" s="23">
        <f>(((Table134567891011121314151617343[[#This Row],[EA19]]-VLOOKUP($U$1,A:F,6,))/VLOOKUP($U$1,A:F,6,))*100)+100</f>
        <v/>
      </c>
      <c r="M196" s="23">
        <f>(((Table134567891011121314151617343[[#This Row],[GBR]]-VLOOKUP($U$1,A:G,7,))/VLOOKUP($U$1,A:G,7,))*100)+100</f>
        <v/>
      </c>
      <c r="N196" s="23">
        <f>VLOOKUP(A196,Database!$E:$AY,MATCH($N$1,Database!$E$1:$AY$1,0),FALSE)</f>
        <v/>
      </c>
      <c r="O196" s="23">
        <f>(((Table134567891011121314151617343[[#This Row],[USA]]-VLOOKUP($U$1,A:N,14,))/VLOOKUP($U$1,A:N,14,))*100)+100</f>
        <v/>
      </c>
      <c r="P196" s="23">
        <f>VLOOKUP(A196,Database!$E:$AY,MATCH($P$1,Database!$E$1:$AY$1,0),FALSE)</f>
        <v/>
      </c>
      <c r="Q196" s="23">
        <f>(((Table134567891011121314151617343[[#This Row],[JPN]]-VLOOKUP($U$1,A:Q,16,))/VLOOKUP($U$1,A:Q,16,))*100)+100</f>
        <v/>
      </c>
    </row>
    <row r="197" customFormat="1" s="100">
      <c r="A197" s="22" t="n">
        <v>38808</v>
      </c>
      <c r="B197" s="23">
        <f>VLOOKUP(A197,Database!$E:$AY,MATCH($B$1,Database!$E$1:$AY$1,0),FALSE)</f>
        <v/>
      </c>
      <c r="C197" s="23">
        <f>VLOOKUP(A197,Database!$E:$AY,MATCH($C$1,Database!$E$1:$AY$1,0),FALSE)</f>
        <v/>
      </c>
      <c r="D197" s="23">
        <f>VLOOKUP(A197,Database!$E:$AY,MATCH($D$1,Database!$E$1:$AY$1,0),FALSE)</f>
        <v/>
      </c>
      <c r="E197" s="23">
        <f>VLOOKUP(A197,Database!$E:$AY,MATCH($E$1,Database!$E$1:$AY$1,0),FALSE)</f>
        <v/>
      </c>
      <c r="F197" s="23">
        <f>VLOOKUP(A197,Database!$E:$AY,MATCH($F$1,Database!$E$1:$AY$1,0),FALSE)</f>
        <v/>
      </c>
      <c r="G197" s="23">
        <f>VLOOKUP(A197,Database!$E:$AY,MATCH($G$1,Database!$E$1:$AY$1,0),FALSE)</f>
        <v/>
      </c>
      <c r="H197" s="23">
        <f>(((Table134567891011121314151617343[[#This Row],[ITA]]-VLOOKUP($U$1,A:B,2,))/VLOOKUP($U$1,A:B,2,))*100)+100</f>
        <v/>
      </c>
      <c r="I197" s="23">
        <f>(((Table134567891011121314151617343[[#This Row],[FRA]]-VLOOKUP($U$1,A:C,3,))/VLOOKUP($U$1,A:C,3,))*100)+100</f>
        <v/>
      </c>
      <c r="J197" s="23">
        <f>(((Table134567891011121314151617343[[#This Row],[DEU]]-VLOOKUP($U$1,A:D,4,))/VLOOKUP($U$1,A:D,4,))*100)+100</f>
        <v/>
      </c>
      <c r="K197" s="23">
        <f>(((Table134567891011121314151617343[[#This Row],[ESP]]-VLOOKUP($U$1,A:E,5,))/VLOOKUP($U$1,A:E,5,))*100)+100</f>
        <v/>
      </c>
      <c r="L197" s="23">
        <f>(((Table134567891011121314151617343[[#This Row],[EA19]]-VLOOKUP($U$1,A:F,6,))/VLOOKUP($U$1,A:F,6,))*100)+100</f>
        <v/>
      </c>
      <c r="M197" s="23">
        <f>(((Table134567891011121314151617343[[#This Row],[GBR]]-VLOOKUP($U$1,A:G,7,))/VLOOKUP($U$1,A:G,7,))*100)+100</f>
        <v/>
      </c>
      <c r="N197" s="23">
        <f>VLOOKUP(A197,Database!$E:$AY,MATCH($N$1,Database!$E$1:$AY$1,0),FALSE)</f>
        <v/>
      </c>
      <c r="O197" s="23">
        <f>(((Table134567891011121314151617343[[#This Row],[USA]]-VLOOKUP($U$1,A:N,14,))/VLOOKUP($U$1,A:N,14,))*100)+100</f>
        <v/>
      </c>
      <c r="P197" s="23">
        <f>VLOOKUP(A197,Database!$E:$AY,MATCH($P$1,Database!$E$1:$AY$1,0),FALSE)</f>
        <v/>
      </c>
      <c r="Q197" s="23">
        <f>(((Table134567891011121314151617343[[#This Row],[JPN]]-VLOOKUP($U$1,A:Q,16,))/VLOOKUP($U$1,A:Q,16,))*100)+100</f>
        <v/>
      </c>
    </row>
    <row r="198" customFormat="1" s="100">
      <c r="A198" s="22" t="n">
        <v>38838</v>
      </c>
      <c r="B198" s="23">
        <f>VLOOKUP(A198,Database!$E:$AY,MATCH($B$1,Database!$E$1:$AY$1,0),FALSE)</f>
        <v/>
      </c>
      <c r="C198" s="23">
        <f>VLOOKUP(A198,Database!$E:$AY,MATCH($C$1,Database!$E$1:$AY$1,0),FALSE)</f>
        <v/>
      </c>
      <c r="D198" s="23">
        <f>VLOOKUP(A198,Database!$E:$AY,MATCH($D$1,Database!$E$1:$AY$1,0),FALSE)</f>
        <v/>
      </c>
      <c r="E198" s="23">
        <f>VLOOKUP(A198,Database!$E:$AY,MATCH($E$1,Database!$E$1:$AY$1,0),FALSE)</f>
        <v/>
      </c>
      <c r="F198" s="23">
        <f>VLOOKUP(A198,Database!$E:$AY,MATCH($F$1,Database!$E$1:$AY$1,0),FALSE)</f>
        <v/>
      </c>
      <c r="G198" s="23">
        <f>VLOOKUP(A198,Database!$E:$AY,MATCH($G$1,Database!$E$1:$AY$1,0),FALSE)</f>
        <v/>
      </c>
      <c r="H198" s="23">
        <f>(((Table134567891011121314151617343[[#This Row],[ITA]]-VLOOKUP($U$1,A:B,2,))/VLOOKUP($U$1,A:B,2,))*100)+100</f>
        <v/>
      </c>
      <c r="I198" s="23">
        <f>(((Table134567891011121314151617343[[#This Row],[FRA]]-VLOOKUP($U$1,A:C,3,))/VLOOKUP($U$1,A:C,3,))*100)+100</f>
        <v/>
      </c>
      <c r="J198" s="23">
        <f>(((Table134567891011121314151617343[[#This Row],[DEU]]-VLOOKUP($U$1,A:D,4,))/VLOOKUP($U$1,A:D,4,))*100)+100</f>
        <v/>
      </c>
      <c r="K198" s="23">
        <f>(((Table134567891011121314151617343[[#This Row],[ESP]]-VLOOKUP($U$1,A:E,5,))/VLOOKUP($U$1,A:E,5,))*100)+100</f>
        <v/>
      </c>
      <c r="L198" s="23">
        <f>(((Table134567891011121314151617343[[#This Row],[EA19]]-VLOOKUP($U$1,A:F,6,))/VLOOKUP($U$1,A:F,6,))*100)+100</f>
        <v/>
      </c>
      <c r="M198" s="23">
        <f>(((Table134567891011121314151617343[[#This Row],[GBR]]-VLOOKUP($U$1,A:G,7,))/VLOOKUP($U$1,A:G,7,))*100)+100</f>
        <v/>
      </c>
      <c r="N198" s="23">
        <f>VLOOKUP(A198,Database!$E:$AY,MATCH($N$1,Database!$E$1:$AY$1,0),FALSE)</f>
        <v/>
      </c>
      <c r="O198" s="23">
        <f>(((Table134567891011121314151617343[[#This Row],[USA]]-VLOOKUP($U$1,A:N,14,))/VLOOKUP($U$1,A:N,14,))*100)+100</f>
        <v/>
      </c>
      <c r="P198" s="23">
        <f>VLOOKUP(A198,Database!$E:$AY,MATCH($P$1,Database!$E$1:$AY$1,0),FALSE)</f>
        <v/>
      </c>
      <c r="Q198" s="23">
        <f>(((Table134567891011121314151617343[[#This Row],[JPN]]-VLOOKUP($U$1,A:Q,16,))/VLOOKUP($U$1,A:Q,16,))*100)+100</f>
        <v/>
      </c>
    </row>
    <row r="199" customFormat="1" s="100">
      <c r="A199" s="22" t="n">
        <v>38869</v>
      </c>
      <c r="B199" s="23">
        <f>VLOOKUP(A199,Database!$E:$AY,MATCH($B$1,Database!$E$1:$AY$1,0),FALSE)</f>
        <v/>
      </c>
      <c r="C199" s="23">
        <f>VLOOKUP(A199,Database!$E:$AY,MATCH($C$1,Database!$E$1:$AY$1,0),FALSE)</f>
        <v/>
      </c>
      <c r="D199" s="23">
        <f>VLOOKUP(A199,Database!$E:$AY,MATCH($D$1,Database!$E$1:$AY$1,0),FALSE)</f>
        <v/>
      </c>
      <c r="E199" s="23">
        <f>VLOOKUP(A199,Database!$E:$AY,MATCH($E$1,Database!$E$1:$AY$1,0),FALSE)</f>
        <v/>
      </c>
      <c r="F199" s="23">
        <f>VLOOKUP(A199,Database!$E:$AY,MATCH($F$1,Database!$E$1:$AY$1,0),FALSE)</f>
        <v/>
      </c>
      <c r="G199" s="23">
        <f>VLOOKUP(A199,Database!$E:$AY,MATCH($G$1,Database!$E$1:$AY$1,0),FALSE)</f>
        <v/>
      </c>
      <c r="H199" s="23">
        <f>(((Table134567891011121314151617343[[#This Row],[ITA]]-VLOOKUP($U$1,A:B,2,))/VLOOKUP($U$1,A:B,2,))*100)+100</f>
        <v/>
      </c>
      <c r="I199" s="23">
        <f>(((Table134567891011121314151617343[[#This Row],[FRA]]-VLOOKUP($U$1,A:C,3,))/VLOOKUP($U$1,A:C,3,))*100)+100</f>
        <v/>
      </c>
      <c r="J199" s="23">
        <f>(((Table134567891011121314151617343[[#This Row],[DEU]]-VLOOKUP($U$1,A:D,4,))/VLOOKUP($U$1,A:D,4,))*100)+100</f>
        <v/>
      </c>
      <c r="K199" s="23">
        <f>(((Table134567891011121314151617343[[#This Row],[ESP]]-VLOOKUP($U$1,A:E,5,))/VLOOKUP($U$1,A:E,5,))*100)+100</f>
        <v/>
      </c>
      <c r="L199" s="23">
        <f>(((Table134567891011121314151617343[[#This Row],[EA19]]-VLOOKUP($U$1,A:F,6,))/VLOOKUP($U$1,A:F,6,))*100)+100</f>
        <v/>
      </c>
      <c r="M199" s="23">
        <f>(((Table134567891011121314151617343[[#This Row],[GBR]]-VLOOKUP($U$1,A:G,7,))/VLOOKUP($U$1,A:G,7,))*100)+100</f>
        <v/>
      </c>
      <c r="N199" s="23">
        <f>VLOOKUP(A199,Database!$E:$AY,MATCH($N$1,Database!$E$1:$AY$1,0),FALSE)</f>
        <v/>
      </c>
      <c r="O199" s="23">
        <f>(((Table134567891011121314151617343[[#This Row],[USA]]-VLOOKUP($U$1,A:N,14,))/VLOOKUP($U$1,A:N,14,))*100)+100</f>
        <v/>
      </c>
      <c r="P199" s="23">
        <f>VLOOKUP(A199,Database!$E:$AY,MATCH($P$1,Database!$E$1:$AY$1,0),FALSE)</f>
        <v/>
      </c>
      <c r="Q199" s="23">
        <f>(((Table134567891011121314151617343[[#This Row],[JPN]]-VLOOKUP($U$1,A:Q,16,))/VLOOKUP($U$1,A:Q,16,))*100)+100</f>
        <v/>
      </c>
    </row>
    <row r="200" customFormat="1" s="100">
      <c r="A200" s="22" t="n">
        <v>38899</v>
      </c>
      <c r="B200" s="23">
        <f>VLOOKUP(A200,Database!$E:$AY,MATCH($B$1,Database!$E$1:$AY$1,0),FALSE)</f>
        <v/>
      </c>
      <c r="C200" s="23">
        <f>VLOOKUP(A200,Database!$E:$AY,MATCH($C$1,Database!$E$1:$AY$1,0),FALSE)</f>
        <v/>
      </c>
      <c r="D200" s="23">
        <f>VLOOKUP(A200,Database!$E:$AY,MATCH($D$1,Database!$E$1:$AY$1,0),FALSE)</f>
        <v/>
      </c>
      <c r="E200" s="23">
        <f>VLOOKUP(A200,Database!$E:$AY,MATCH($E$1,Database!$E$1:$AY$1,0),FALSE)</f>
        <v/>
      </c>
      <c r="F200" s="23">
        <f>VLOOKUP(A200,Database!$E:$AY,MATCH($F$1,Database!$E$1:$AY$1,0),FALSE)</f>
        <v/>
      </c>
      <c r="G200" s="23">
        <f>VLOOKUP(A200,Database!$E:$AY,MATCH($G$1,Database!$E$1:$AY$1,0),FALSE)</f>
        <v/>
      </c>
      <c r="H200" s="23">
        <f>(((Table134567891011121314151617343[[#This Row],[ITA]]-VLOOKUP($U$1,A:B,2,))/VLOOKUP($U$1,A:B,2,))*100)+100</f>
        <v/>
      </c>
      <c r="I200" s="23">
        <f>(((Table134567891011121314151617343[[#This Row],[FRA]]-VLOOKUP($U$1,A:C,3,))/VLOOKUP($U$1,A:C,3,))*100)+100</f>
        <v/>
      </c>
      <c r="J200" s="23">
        <f>(((Table134567891011121314151617343[[#This Row],[DEU]]-VLOOKUP($U$1,A:D,4,))/VLOOKUP($U$1,A:D,4,))*100)+100</f>
        <v/>
      </c>
      <c r="K200" s="23">
        <f>(((Table134567891011121314151617343[[#This Row],[ESP]]-VLOOKUP($U$1,A:E,5,))/VLOOKUP($U$1,A:E,5,))*100)+100</f>
        <v/>
      </c>
      <c r="L200" s="23">
        <f>(((Table134567891011121314151617343[[#This Row],[EA19]]-VLOOKUP($U$1,A:F,6,))/VLOOKUP($U$1,A:F,6,))*100)+100</f>
        <v/>
      </c>
      <c r="M200" s="23">
        <f>(((Table134567891011121314151617343[[#This Row],[GBR]]-VLOOKUP($U$1,A:G,7,))/VLOOKUP($U$1,A:G,7,))*100)+100</f>
        <v/>
      </c>
      <c r="N200" s="23">
        <f>VLOOKUP(A200,Database!$E:$AY,MATCH($N$1,Database!$E$1:$AY$1,0),FALSE)</f>
        <v/>
      </c>
      <c r="O200" s="23">
        <f>(((Table134567891011121314151617343[[#This Row],[USA]]-VLOOKUP($U$1,A:N,14,))/VLOOKUP($U$1,A:N,14,))*100)+100</f>
        <v/>
      </c>
      <c r="P200" s="23">
        <f>VLOOKUP(A200,Database!$E:$AY,MATCH($P$1,Database!$E$1:$AY$1,0),FALSE)</f>
        <v/>
      </c>
      <c r="Q200" s="23">
        <f>(((Table134567891011121314151617343[[#This Row],[JPN]]-VLOOKUP($U$1,A:Q,16,))/VLOOKUP($U$1,A:Q,16,))*100)+100</f>
        <v/>
      </c>
    </row>
    <row r="201" customFormat="1" s="100">
      <c r="A201" s="22" t="n">
        <v>38930</v>
      </c>
      <c r="B201" s="23">
        <f>VLOOKUP(A201,Database!$E:$AY,MATCH($B$1,Database!$E$1:$AY$1,0),FALSE)</f>
        <v/>
      </c>
      <c r="C201" s="23">
        <f>VLOOKUP(A201,Database!$E:$AY,MATCH($C$1,Database!$E$1:$AY$1,0),FALSE)</f>
        <v/>
      </c>
      <c r="D201" s="23">
        <f>VLOOKUP(A201,Database!$E:$AY,MATCH($D$1,Database!$E$1:$AY$1,0),FALSE)</f>
        <v/>
      </c>
      <c r="E201" s="23">
        <f>VLOOKUP(A201,Database!$E:$AY,MATCH($E$1,Database!$E$1:$AY$1,0),FALSE)</f>
        <v/>
      </c>
      <c r="F201" s="23">
        <f>VLOOKUP(A201,Database!$E:$AY,MATCH($F$1,Database!$E$1:$AY$1,0),FALSE)</f>
        <v/>
      </c>
      <c r="G201" s="23">
        <f>VLOOKUP(A201,Database!$E:$AY,MATCH($G$1,Database!$E$1:$AY$1,0),FALSE)</f>
        <v/>
      </c>
      <c r="H201" s="23">
        <f>(((Table134567891011121314151617343[[#This Row],[ITA]]-VLOOKUP($U$1,A:B,2,))/VLOOKUP($U$1,A:B,2,))*100)+100</f>
        <v/>
      </c>
      <c r="I201" s="23">
        <f>(((Table134567891011121314151617343[[#This Row],[FRA]]-VLOOKUP($U$1,A:C,3,))/VLOOKUP($U$1,A:C,3,))*100)+100</f>
        <v/>
      </c>
      <c r="J201" s="23">
        <f>(((Table134567891011121314151617343[[#This Row],[DEU]]-VLOOKUP($U$1,A:D,4,))/VLOOKUP($U$1,A:D,4,))*100)+100</f>
        <v/>
      </c>
      <c r="K201" s="23">
        <f>(((Table134567891011121314151617343[[#This Row],[ESP]]-VLOOKUP($U$1,A:E,5,))/VLOOKUP($U$1,A:E,5,))*100)+100</f>
        <v/>
      </c>
      <c r="L201" s="23">
        <f>(((Table134567891011121314151617343[[#This Row],[EA19]]-VLOOKUP($U$1,A:F,6,))/VLOOKUP($U$1,A:F,6,))*100)+100</f>
        <v/>
      </c>
      <c r="M201" s="23">
        <f>(((Table134567891011121314151617343[[#This Row],[GBR]]-VLOOKUP($U$1,A:G,7,))/VLOOKUP($U$1,A:G,7,))*100)+100</f>
        <v/>
      </c>
      <c r="N201" s="23">
        <f>VLOOKUP(A201,Database!$E:$AY,MATCH($N$1,Database!$E$1:$AY$1,0),FALSE)</f>
        <v/>
      </c>
      <c r="O201" s="23">
        <f>(((Table134567891011121314151617343[[#This Row],[USA]]-VLOOKUP($U$1,A:N,14,))/VLOOKUP($U$1,A:N,14,))*100)+100</f>
        <v/>
      </c>
      <c r="P201" s="23">
        <f>VLOOKUP(A201,Database!$E:$AY,MATCH($P$1,Database!$E$1:$AY$1,0),FALSE)</f>
        <v/>
      </c>
      <c r="Q201" s="23">
        <f>(((Table134567891011121314151617343[[#This Row],[JPN]]-VLOOKUP($U$1,A:Q,16,))/VLOOKUP($U$1,A:Q,16,))*100)+100</f>
        <v/>
      </c>
    </row>
    <row r="202" customFormat="1" s="100">
      <c r="A202" s="22" t="n">
        <v>38961</v>
      </c>
      <c r="B202" s="23">
        <f>VLOOKUP(A202,Database!$E:$AY,MATCH($B$1,Database!$E$1:$AY$1,0),FALSE)</f>
        <v/>
      </c>
      <c r="C202" s="23">
        <f>VLOOKUP(A202,Database!$E:$AY,MATCH($C$1,Database!$E$1:$AY$1,0),FALSE)</f>
        <v/>
      </c>
      <c r="D202" s="23">
        <f>VLOOKUP(A202,Database!$E:$AY,MATCH($D$1,Database!$E$1:$AY$1,0),FALSE)</f>
        <v/>
      </c>
      <c r="E202" s="23">
        <f>VLOOKUP(A202,Database!$E:$AY,MATCH($E$1,Database!$E$1:$AY$1,0),FALSE)</f>
        <v/>
      </c>
      <c r="F202" s="23">
        <f>VLOOKUP(A202,Database!$E:$AY,MATCH($F$1,Database!$E$1:$AY$1,0),FALSE)</f>
        <v/>
      </c>
      <c r="G202" s="23">
        <f>VLOOKUP(A202,Database!$E:$AY,MATCH($G$1,Database!$E$1:$AY$1,0),FALSE)</f>
        <v/>
      </c>
      <c r="H202" s="23">
        <f>(((Table134567891011121314151617343[[#This Row],[ITA]]-VLOOKUP($U$1,A:B,2,))/VLOOKUP($U$1,A:B,2,))*100)+100</f>
        <v/>
      </c>
      <c r="I202" s="23">
        <f>(((Table134567891011121314151617343[[#This Row],[FRA]]-VLOOKUP($U$1,A:C,3,))/VLOOKUP($U$1,A:C,3,))*100)+100</f>
        <v/>
      </c>
      <c r="J202" s="23">
        <f>(((Table134567891011121314151617343[[#This Row],[DEU]]-VLOOKUP($U$1,A:D,4,))/VLOOKUP($U$1,A:D,4,))*100)+100</f>
        <v/>
      </c>
      <c r="K202" s="23">
        <f>(((Table134567891011121314151617343[[#This Row],[ESP]]-VLOOKUP($U$1,A:E,5,))/VLOOKUP($U$1,A:E,5,))*100)+100</f>
        <v/>
      </c>
      <c r="L202" s="23">
        <f>(((Table134567891011121314151617343[[#This Row],[EA19]]-VLOOKUP($U$1,A:F,6,))/VLOOKUP($U$1,A:F,6,))*100)+100</f>
        <v/>
      </c>
      <c r="M202" s="23">
        <f>(((Table134567891011121314151617343[[#This Row],[GBR]]-VLOOKUP($U$1,A:G,7,))/VLOOKUP($U$1,A:G,7,))*100)+100</f>
        <v/>
      </c>
      <c r="N202" s="23">
        <f>VLOOKUP(A202,Database!$E:$AY,MATCH($N$1,Database!$E$1:$AY$1,0),FALSE)</f>
        <v/>
      </c>
      <c r="O202" s="23">
        <f>(((Table134567891011121314151617343[[#This Row],[USA]]-VLOOKUP($U$1,A:N,14,))/VLOOKUP($U$1,A:N,14,))*100)+100</f>
        <v/>
      </c>
      <c r="P202" s="23">
        <f>VLOOKUP(A202,Database!$E:$AY,MATCH($P$1,Database!$E$1:$AY$1,0),FALSE)</f>
        <v/>
      </c>
      <c r="Q202" s="23">
        <f>(((Table134567891011121314151617343[[#This Row],[JPN]]-VLOOKUP($U$1,A:Q,16,))/VLOOKUP($U$1,A:Q,16,))*100)+100</f>
        <v/>
      </c>
    </row>
    <row r="203" customFormat="1" s="100">
      <c r="A203" s="22" t="n">
        <v>38991</v>
      </c>
      <c r="B203" s="23">
        <f>VLOOKUP(A203,Database!$E:$AY,MATCH($B$1,Database!$E$1:$AY$1,0),FALSE)</f>
        <v/>
      </c>
      <c r="C203" s="23">
        <f>VLOOKUP(A203,Database!$E:$AY,MATCH($C$1,Database!$E$1:$AY$1,0),FALSE)</f>
        <v/>
      </c>
      <c r="D203" s="23">
        <f>VLOOKUP(A203,Database!$E:$AY,MATCH($D$1,Database!$E$1:$AY$1,0),FALSE)</f>
        <v/>
      </c>
      <c r="E203" s="23">
        <f>VLOOKUP(A203,Database!$E:$AY,MATCH($E$1,Database!$E$1:$AY$1,0),FALSE)</f>
        <v/>
      </c>
      <c r="F203" s="23">
        <f>VLOOKUP(A203,Database!$E:$AY,MATCH($F$1,Database!$E$1:$AY$1,0),FALSE)</f>
        <v/>
      </c>
      <c r="G203" s="23">
        <f>VLOOKUP(A203,Database!$E:$AY,MATCH($G$1,Database!$E$1:$AY$1,0),FALSE)</f>
        <v/>
      </c>
      <c r="H203" s="23">
        <f>(((Table134567891011121314151617343[[#This Row],[ITA]]-VLOOKUP($U$1,A:B,2,))/VLOOKUP($U$1,A:B,2,))*100)+100</f>
        <v/>
      </c>
      <c r="I203" s="23">
        <f>(((Table134567891011121314151617343[[#This Row],[FRA]]-VLOOKUP($U$1,A:C,3,))/VLOOKUP($U$1,A:C,3,))*100)+100</f>
        <v/>
      </c>
      <c r="J203" s="23">
        <f>(((Table134567891011121314151617343[[#This Row],[DEU]]-VLOOKUP($U$1,A:D,4,))/VLOOKUP($U$1,A:D,4,))*100)+100</f>
        <v/>
      </c>
      <c r="K203" s="23">
        <f>(((Table134567891011121314151617343[[#This Row],[ESP]]-VLOOKUP($U$1,A:E,5,))/VLOOKUP($U$1,A:E,5,))*100)+100</f>
        <v/>
      </c>
      <c r="L203" s="23">
        <f>(((Table134567891011121314151617343[[#This Row],[EA19]]-VLOOKUP($U$1,A:F,6,))/VLOOKUP($U$1,A:F,6,))*100)+100</f>
        <v/>
      </c>
      <c r="M203" s="23">
        <f>(((Table134567891011121314151617343[[#This Row],[GBR]]-VLOOKUP($U$1,A:G,7,))/VLOOKUP($U$1,A:G,7,))*100)+100</f>
        <v/>
      </c>
      <c r="N203" s="23">
        <f>VLOOKUP(A203,Database!$E:$AY,MATCH($N$1,Database!$E$1:$AY$1,0),FALSE)</f>
        <v/>
      </c>
      <c r="O203" s="23">
        <f>(((Table134567891011121314151617343[[#This Row],[USA]]-VLOOKUP($U$1,A:N,14,))/VLOOKUP($U$1,A:N,14,))*100)+100</f>
        <v/>
      </c>
      <c r="P203" s="23">
        <f>VLOOKUP(A203,Database!$E:$AY,MATCH($P$1,Database!$E$1:$AY$1,0),FALSE)</f>
        <v/>
      </c>
      <c r="Q203" s="23">
        <f>(((Table134567891011121314151617343[[#This Row],[JPN]]-VLOOKUP($U$1,A:Q,16,))/VLOOKUP($U$1,A:Q,16,))*100)+100</f>
        <v/>
      </c>
    </row>
    <row r="204" customFormat="1" s="100">
      <c r="A204" s="22" t="n">
        <v>39022</v>
      </c>
      <c r="B204" s="23">
        <f>VLOOKUP(A204,Database!$E:$AY,MATCH($B$1,Database!$E$1:$AY$1,0),FALSE)</f>
        <v/>
      </c>
      <c r="C204" s="23">
        <f>VLOOKUP(A204,Database!$E:$AY,MATCH($C$1,Database!$E$1:$AY$1,0),FALSE)</f>
        <v/>
      </c>
      <c r="D204" s="23">
        <f>VLOOKUP(A204,Database!$E:$AY,MATCH($D$1,Database!$E$1:$AY$1,0),FALSE)</f>
        <v/>
      </c>
      <c r="E204" s="23">
        <f>VLOOKUP(A204,Database!$E:$AY,MATCH($E$1,Database!$E$1:$AY$1,0),FALSE)</f>
        <v/>
      </c>
      <c r="F204" s="23">
        <f>VLOOKUP(A204,Database!$E:$AY,MATCH($F$1,Database!$E$1:$AY$1,0),FALSE)</f>
        <v/>
      </c>
      <c r="G204" s="23">
        <f>VLOOKUP(A204,Database!$E:$AY,MATCH($G$1,Database!$E$1:$AY$1,0),FALSE)</f>
        <v/>
      </c>
      <c r="H204" s="23">
        <f>(((Table134567891011121314151617343[[#This Row],[ITA]]-VLOOKUP($U$1,A:B,2,))/VLOOKUP($U$1,A:B,2,))*100)+100</f>
        <v/>
      </c>
      <c r="I204" s="23">
        <f>(((Table134567891011121314151617343[[#This Row],[FRA]]-VLOOKUP($U$1,A:C,3,))/VLOOKUP($U$1,A:C,3,))*100)+100</f>
        <v/>
      </c>
      <c r="J204" s="23">
        <f>(((Table134567891011121314151617343[[#This Row],[DEU]]-VLOOKUP($U$1,A:D,4,))/VLOOKUP($U$1,A:D,4,))*100)+100</f>
        <v/>
      </c>
      <c r="K204" s="23">
        <f>(((Table134567891011121314151617343[[#This Row],[ESP]]-VLOOKUP($U$1,A:E,5,))/VLOOKUP($U$1,A:E,5,))*100)+100</f>
        <v/>
      </c>
      <c r="L204" s="23">
        <f>(((Table134567891011121314151617343[[#This Row],[EA19]]-VLOOKUP($U$1,A:F,6,))/VLOOKUP($U$1,A:F,6,))*100)+100</f>
        <v/>
      </c>
      <c r="M204" s="23">
        <f>(((Table134567891011121314151617343[[#This Row],[GBR]]-VLOOKUP($U$1,A:G,7,))/VLOOKUP($U$1,A:G,7,))*100)+100</f>
        <v/>
      </c>
      <c r="N204" s="23">
        <f>VLOOKUP(A204,Database!$E:$AY,MATCH($N$1,Database!$E$1:$AY$1,0),FALSE)</f>
        <v/>
      </c>
      <c r="O204" s="23">
        <f>(((Table134567891011121314151617343[[#This Row],[USA]]-VLOOKUP($U$1,A:N,14,))/VLOOKUP($U$1,A:N,14,))*100)+100</f>
        <v/>
      </c>
      <c r="P204" s="23">
        <f>VLOOKUP(A204,Database!$E:$AY,MATCH($P$1,Database!$E$1:$AY$1,0),FALSE)</f>
        <v/>
      </c>
      <c r="Q204" s="23">
        <f>(((Table134567891011121314151617343[[#This Row],[JPN]]-VLOOKUP($U$1,A:Q,16,))/VLOOKUP($U$1,A:Q,16,))*100)+100</f>
        <v/>
      </c>
    </row>
    <row r="205" customFormat="1" s="100">
      <c r="A205" s="22" t="n">
        <v>39052</v>
      </c>
      <c r="B205" s="23">
        <f>VLOOKUP(A205,Database!$E:$AY,MATCH($B$1,Database!$E$1:$AY$1,0),FALSE)</f>
        <v/>
      </c>
      <c r="C205" s="23">
        <f>VLOOKUP(A205,Database!$E:$AY,MATCH($C$1,Database!$E$1:$AY$1,0),FALSE)</f>
        <v/>
      </c>
      <c r="D205" s="23">
        <f>VLOOKUP(A205,Database!$E:$AY,MATCH($D$1,Database!$E$1:$AY$1,0),FALSE)</f>
        <v/>
      </c>
      <c r="E205" s="23">
        <f>VLOOKUP(A205,Database!$E:$AY,MATCH($E$1,Database!$E$1:$AY$1,0),FALSE)</f>
        <v/>
      </c>
      <c r="F205" s="23">
        <f>VLOOKUP(A205,Database!$E:$AY,MATCH($F$1,Database!$E$1:$AY$1,0),FALSE)</f>
        <v/>
      </c>
      <c r="G205" s="23">
        <f>VLOOKUP(A205,Database!$E:$AY,MATCH($G$1,Database!$E$1:$AY$1,0),FALSE)</f>
        <v/>
      </c>
      <c r="H205" s="23">
        <f>(((Table134567891011121314151617343[[#This Row],[ITA]]-VLOOKUP($U$1,A:B,2,))/VLOOKUP($U$1,A:B,2,))*100)+100</f>
        <v/>
      </c>
      <c r="I205" s="23">
        <f>(((Table134567891011121314151617343[[#This Row],[FRA]]-VLOOKUP($U$1,A:C,3,))/VLOOKUP($U$1,A:C,3,))*100)+100</f>
        <v/>
      </c>
      <c r="J205" s="23">
        <f>(((Table134567891011121314151617343[[#This Row],[DEU]]-VLOOKUP($U$1,A:D,4,))/VLOOKUP($U$1,A:D,4,))*100)+100</f>
        <v/>
      </c>
      <c r="K205" s="23">
        <f>(((Table134567891011121314151617343[[#This Row],[ESP]]-VLOOKUP($U$1,A:E,5,))/VLOOKUP($U$1,A:E,5,))*100)+100</f>
        <v/>
      </c>
      <c r="L205" s="23">
        <f>(((Table134567891011121314151617343[[#This Row],[EA19]]-VLOOKUP($U$1,A:F,6,))/VLOOKUP($U$1,A:F,6,))*100)+100</f>
        <v/>
      </c>
      <c r="M205" s="23">
        <f>(((Table134567891011121314151617343[[#This Row],[GBR]]-VLOOKUP($U$1,A:G,7,))/VLOOKUP($U$1,A:G,7,))*100)+100</f>
        <v/>
      </c>
      <c r="N205" s="23">
        <f>VLOOKUP(A205,Database!$E:$AY,MATCH($N$1,Database!$E$1:$AY$1,0),FALSE)</f>
        <v/>
      </c>
      <c r="O205" s="23">
        <f>(((Table134567891011121314151617343[[#This Row],[USA]]-VLOOKUP($U$1,A:N,14,))/VLOOKUP($U$1,A:N,14,))*100)+100</f>
        <v/>
      </c>
      <c r="P205" s="23">
        <f>VLOOKUP(A205,Database!$E:$AY,MATCH($P$1,Database!$E$1:$AY$1,0),FALSE)</f>
        <v/>
      </c>
      <c r="Q205" s="23">
        <f>(((Table134567891011121314151617343[[#This Row],[JPN]]-VLOOKUP($U$1,A:Q,16,))/VLOOKUP($U$1,A:Q,16,))*100)+100</f>
        <v/>
      </c>
    </row>
    <row r="206" customFormat="1" s="100">
      <c r="A206" s="22" t="n">
        <v>39083</v>
      </c>
      <c r="B206" s="23">
        <f>VLOOKUP(A206,Database!$E:$AY,MATCH($B$1,Database!$E$1:$AY$1,0),FALSE)</f>
        <v/>
      </c>
      <c r="C206" s="23">
        <f>VLOOKUP(A206,Database!$E:$AY,MATCH($C$1,Database!$E$1:$AY$1,0),FALSE)</f>
        <v/>
      </c>
      <c r="D206" s="23">
        <f>VLOOKUP(A206,Database!$E:$AY,MATCH($D$1,Database!$E$1:$AY$1,0),FALSE)</f>
        <v/>
      </c>
      <c r="E206" s="23">
        <f>VLOOKUP(A206,Database!$E:$AY,MATCH($E$1,Database!$E$1:$AY$1,0),FALSE)</f>
        <v/>
      </c>
      <c r="F206" s="23">
        <f>VLOOKUP(A206,Database!$E:$AY,MATCH($F$1,Database!$E$1:$AY$1,0),FALSE)</f>
        <v/>
      </c>
      <c r="G206" s="23">
        <f>VLOOKUP(A206,Database!$E:$AY,MATCH($G$1,Database!$E$1:$AY$1,0),FALSE)</f>
        <v/>
      </c>
      <c r="H206" s="23">
        <f>(((Table134567891011121314151617343[[#This Row],[ITA]]-VLOOKUP($U$1,A:B,2,))/VLOOKUP($U$1,A:B,2,))*100)+100</f>
        <v/>
      </c>
      <c r="I206" s="23">
        <f>(((Table134567891011121314151617343[[#This Row],[FRA]]-VLOOKUP($U$1,A:C,3,))/VLOOKUP($U$1,A:C,3,))*100)+100</f>
        <v/>
      </c>
      <c r="J206" s="23">
        <f>(((Table134567891011121314151617343[[#This Row],[DEU]]-VLOOKUP($U$1,A:D,4,))/VLOOKUP($U$1,A:D,4,))*100)+100</f>
        <v/>
      </c>
      <c r="K206" s="23">
        <f>(((Table134567891011121314151617343[[#This Row],[ESP]]-VLOOKUP($U$1,A:E,5,))/VLOOKUP($U$1,A:E,5,))*100)+100</f>
        <v/>
      </c>
      <c r="L206" s="23">
        <f>(((Table134567891011121314151617343[[#This Row],[EA19]]-VLOOKUP($U$1,A:F,6,))/VLOOKUP($U$1,A:F,6,))*100)+100</f>
        <v/>
      </c>
      <c r="M206" s="23">
        <f>(((Table134567891011121314151617343[[#This Row],[GBR]]-VLOOKUP($U$1,A:G,7,))/VLOOKUP($U$1,A:G,7,))*100)+100</f>
        <v/>
      </c>
      <c r="N206" s="23">
        <f>VLOOKUP(A206,Database!$E:$AY,MATCH($N$1,Database!$E$1:$AY$1,0),FALSE)</f>
        <v/>
      </c>
      <c r="O206" s="23">
        <f>(((Table134567891011121314151617343[[#This Row],[USA]]-VLOOKUP($U$1,A:N,14,))/VLOOKUP($U$1,A:N,14,))*100)+100</f>
        <v/>
      </c>
      <c r="P206" s="23">
        <f>VLOOKUP(A206,Database!$E:$AY,MATCH($P$1,Database!$E$1:$AY$1,0),FALSE)</f>
        <v/>
      </c>
      <c r="Q206" s="23">
        <f>(((Table134567891011121314151617343[[#This Row],[JPN]]-VLOOKUP($U$1,A:Q,16,))/VLOOKUP($U$1,A:Q,16,))*100)+100</f>
        <v/>
      </c>
    </row>
    <row r="207" customFormat="1" s="100">
      <c r="A207" s="22" t="n">
        <v>39114</v>
      </c>
      <c r="B207" s="23">
        <f>VLOOKUP(A207,Database!$E:$AY,MATCH($B$1,Database!$E$1:$AY$1,0),FALSE)</f>
        <v/>
      </c>
      <c r="C207" s="23">
        <f>VLOOKUP(A207,Database!$E:$AY,MATCH($C$1,Database!$E$1:$AY$1,0),FALSE)</f>
        <v/>
      </c>
      <c r="D207" s="23">
        <f>VLOOKUP(A207,Database!$E:$AY,MATCH($D$1,Database!$E$1:$AY$1,0),FALSE)</f>
        <v/>
      </c>
      <c r="E207" s="23">
        <f>VLOOKUP(A207,Database!$E:$AY,MATCH($E$1,Database!$E$1:$AY$1,0),FALSE)</f>
        <v/>
      </c>
      <c r="F207" s="23">
        <f>VLOOKUP(A207,Database!$E:$AY,MATCH($F$1,Database!$E$1:$AY$1,0),FALSE)</f>
        <v/>
      </c>
      <c r="G207" s="23">
        <f>VLOOKUP(A207,Database!$E:$AY,MATCH($G$1,Database!$E$1:$AY$1,0),FALSE)</f>
        <v/>
      </c>
      <c r="H207" s="23">
        <f>(((Table134567891011121314151617343[[#This Row],[ITA]]-VLOOKUP($U$1,A:B,2,))/VLOOKUP($U$1,A:B,2,))*100)+100</f>
        <v/>
      </c>
      <c r="I207" s="23">
        <f>(((Table134567891011121314151617343[[#This Row],[FRA]]-VLOOKUP($U$1,A:C,3,))/VLOOKUP($U$1,A:C,3,))*100)+100</f>
        <v/>
      </c>
      <c r="J207" s="23">
        <f>(((Table134567891011121314151617343[[#This Row],[DEU]]-VLOOKUP($U$1,A:D,4,))/VLOOKUP($U$1,A:D,4,))*100)+100</f>
        <v/>
      </c>
      <c r="K207" s="23">
        <f>(((Table134567891011121314151617343[[#This Row],[ESP]]-VLOOKUP($U$1,A:E,5,))/VLOOKUP($U$1,A:E,5,))*100)+100</f>
        <v/>
      </c>
      <c r="L207" s="23">
        <f>(((Table134567891011121314151617343[[#This Row],[EA19]]-VLOOKUP($U$1,A:F,6,))/VLOOKUP($U$1,A:F,6,))*100)+100</f>
        <v/>
      </c>
      <c r="M207" s="23">
        <f>(((Table134567891011121314151617343[[#This Row],[GBR]]-VLOOKUP($U$1,A:G,7,))/VLOOKUP($U$1,A:G,7,))*100)+100</f>
        <v/>
      </c>
      <c r="N207" s="23">
        <f>VLOOKUP(A207,Database!$E:$AY,MATCH($N$1,Database!$E$1:$AY$1,0),FALSE)</f>
        <v/>
      </c>
      <c r="O207" s="23">
        <f>(((Table134567891011121314151617343[[#This Row],[USA]]-VLOOKUP($U$1,A:N,14,))/VLOOKUP($U$1,A:N,14,))*100)+100</f>
        <v/>
      </c>
      <c r="P207" s="23">
        <f>VLOOKUP(A207,Database!$E:$AY,MATCH($P$1,Database!$E$1:$AY$1,0),FALSE)</f>
        <v/>
      </c>
      <c r="Q207" s="23">
        <f>(((Table134567891011121314151617343[[#This Row],[JPN]]-VLOOKUP($U$1,A:Q,16,))/VLOOKUP($U$1,A:Q,16,))*100)+100</f>
        <v/>
      </c>
    </row>
    <row r="208" customFormat="1" s="100">
      <c r="A208" s="22" t="n">
        <v>39142</v>
      </c>
      <c r="B208" s="23">
        <f>VLOOKUP(A208,Database!$E:$AY,MATCH($B$1,Database!$E$1:$AY$1,0),FALSE)</f>
        <v/>
      </c>
      <c r="C208" s="23">
        <f>VLOOKUP(A208,Database!$E:$AY,MATCH($C$1,Database!$E$1:$AY$1,0),FALSE)</f>
        <v/>
      </c>
      <c r="D208" s="23">
        <f>VLOOKUP(A208,Database!$E:$AY,MATCH($D$1,Database!$E$1:$AY$1,0),FALSE)</f>
        <v/>
      </c>
      <c r="E208" s="23">
        <f>VLOOKUP(A208,Database!$E:$AY,MATCH($E$1,Database!$E$1:$AY$1,0),FALSE)</f>
        <v/>
      </c>
      <c r="F208" s="23">
        <f>VLOOKUP(A208,Database!$E:$AY,MATCH($F$1,Database!$E$1:$AY$1,0),FALSE)</f>
        <v/>
      </c>
      <c r="G208" s="23">
        <f>VLOOKUP(A208,Database!$E:$AY,MATCH($G$1,Database!$E$1:$AY$1,0),FALSE)</f>
        <v/>
      </c>
      <c r="H208" s="23">
        <f>(((Table134567891011121314151617343[[#This Row],[ITA]]-VLOOKUP($U$1,A:B,2,))/VLOOKUP($U$1,A:B,2,))*100)+100</f>
        <v/>
      </c>
      <c r="I208" s="23">
        <f>(((Table134567891011121314151617343[[#This Row],[FRA]]-VLOOKUP($U$1,A:C,3,))/VLOOKUP($U$1,A:C,3,))*100)+100</f>
        <v/>
      </c>
      <c r="J208" s="23">
        <f>(((Table134567891011121314151617343[[#This Row],[DEU]]-VLOOKUP($U$1,A:D,4,))/VLOOKUP($U$1,A:D,4,))*100)+100</f>
        <v/>
      </c>
      <c r="K208" s="23">
        <f>(((Table134567891011121314151617343[[#This Row],[ESP]]-VLOOKUP($U$1,A:E,5,))/VLOOKUP($U$1,A:E,5,))*100)+100</f>
        <v/>
      </c>
      <c r="L208" s="23">
        <f>(((Table134567891011121314151617343[[#This Row],[EA19]]-VLOOKUP($U$1,A:F,6,))/VLOOKUP($U$1,A:F,6,))*100)+100</f>
        <v/>
      </c>
      <c r="M208" s="23">
        <f>(((Table134567891011121314151617343[[#This Row],[GBR]]-VLOOKUP($U$1,A:G,7,))/VLOOKUP($U$1,A:G,7,))*100)+100</f>
        <v/>
      </c>
      <c r="N208" s="23">
        <f>VLOOKUP(A208,Database!$E:$AY,MATCH($N$1,Database!$E$1:$AY$1,0),FALSE)</f>
        <v/>
      </c>
      <c r="O208" s="23">
        <f>(((Table134567891011121314151617343[[#This Row],[USA]]-VLOOKUP($U$1,A:N,14,))/VLOOKUP($U$1,A:N,14,))*100)+100</f>
        <v/>
      </c>
      <c r="P208" s="23">
        <f>VLOOKUP(A208,Database!$E:$AY,MATCH($P$1,Database!$E$1:$AY$1,0),FALSE)</f>
        <v/>
      </c>
      <c r="Q208" s="23">
        <f>(((Table134567891011121314151617343[[#This Row],[JPN]]-VLOOKUP($U$1,A:Q,16,))/VLOOKUP($U$1,A:Q,16,))*100)+100</f>
        <v/>
      </c>
    </row>
    <row r="209" customFormat="1" s="100">
      <c r="A209" s="22" t="n">
        <v>39173</v>
      </c>
      <c r="B209" s="23">
        <f>VLOOKUP(A209,Database!$E:$AY,MATCH($B$1,Database!$E$1:$AY$1,0),FALSE)</f>
        <v/>
      </c>
      <c r="C209" s="23">
        <f>VLOOKUP(A209,Database!$E:$AY,MATCH($C$1,Database!$E$1:$AY$1,0),FALSE)</f>
        <v/>
      </c>
      <c r="D209" s="23">
        <f>VLOOKUP(A209,Database!$E:$AY,MATCH($D$1,Database!$E$1:$AY$1,0),FALSE)</f>
        <v/>
      </c>
      <c r="E209" s="23">
        <f>VLOOKUP(A209,Database!$E:$AY,MATCH($E$1,Database!$E$1:$AY$1,0),FALSE)</f>
        <v/>
      </c>
      <c r="F209" s="23">
        <f>VLOOKUP(A209,Database!$E:$AY,MATCH($F$1,Database!$E$1:$AY$1,0),FALSE)</f>
        <v/>
      </c>
      <c r="G209" s="23">
        <f>VLOOKUP(A209,Database!$E:$AY,MATCH($G$1,Database!$E$1:$AY$1,0),FALSE)</f>
        <v/>
      </c>
      <c r="H209" s="23">
        <f>(((Table134567891011121314151617343[[#This Row],[ITA]]-VLOOKUP($U$1,A:B,2,))/VLOOKUP($U$1,A:B,2,))*100)+100</f>
        <v/>
      </c>
      <c r="I209" s="23">
        <f>(((Table134567891011121314151617343[[#This Row],[FRA]]-VLOOKUP($U$1,A:C,3,))/VLOOKUP($U$1,A:C,3,))*100)+100</f>
        <v/>
      </c>
      <c r="J209" s="23">
        <f>(((Table134567891011121314151617343[[#This Row],[DEU]]-VLOOKUP($U$1,A:D,4,))/VLOOKUP($U$1,A:D,4,))*100)+100</f>
        <v/>
      </c>
      <c r="K209" s="23">
        <f>(((Table134567891011121314151617343[[#This Row],[ESP]]-VLOOKUP($U$1,A:E,5,))/VLOOKUP($U$1,A:E,5,))*100)+100</f>
        <v/>
      </c>
      <c r="L209" s="23">
        <f>(((Table134567891011121314151617343[[#This Row],[EA19]]-VLOOKUP($U$1,A:F,6,))/VLOOKUP($U$1,A:F,6,))*100)+100</f>
        <v/>
      </c>
      <c r="M209" s="23">
        <f>(((Table134567891011121314151617343[[#This Row],[GBR]]-VLOOKUP($U$1,A:G,7,))/VLOOKUP($U$1,A:G,7,))*100)+100</f>
        <v/>
      </c>
      <c r="N209" s="23">
        <f>VLOOKUP(A209,Database!$E:$AY,MATCH($N$1,Database!$E$1:$AY$1,0),FALSE)</f>
        <v/>
      </c>
      <c r="O209" s="23">
        <f>(((Table134567891011121314151617343[[#This Row],[USA]]-VLOOKUP($U$1,A:N,14,))/VLOOKUP($U$1,A:N,14,))*100)+100</f>
        <v/>
      </c>
      <c r="P209" s="23">
        <f>VLOOKUP(A209,Database!$E:$AY,MATCH($P$1,Database!$E$1:$AY$1,0),FALSE)</f>
        <v/>
      </c>
      <c r="Q209" s="23">
        <f>(((Table134567891011121314151617343[[#This Row],[JPN]]-VLOOKUP($U$1,A:Q,16,))/VLOOKUP($U$1,A:Q,16,))*100)+100</f>
        <v/>
      </c>
    </row>
    <row r="210" customFormat="1" s="100">
      <c r="A210" s="22" t="n">
        <v>39203</v>
      </c>
      <c r="B210" s="23">
        <f>VLOOKUP(A210,Database!$E:$AY,MATCH($B$1,Database!$E$1:$AY$1,0),FALSE)</f>
        <v/>
      </c>
      <c r="C210" s="23">
        <f>VLOOKUP(A210,Database!$E:$AY,MATCH($C$1,Database!$E$1:$AY$1,0),FALSE)</f>
        <v/>
      </c>
      <c r="D210" s="23">
        <f>VLOOKUP(A210,Database!$E:$AY,MATCH($D$1,Database!$E$1:$AY$1,0),FALSE)</f>
        <v/>
      </c>
      <c r="E210" s="23">
        <f>VLOOKUP(A210,Database!$E:$AY,MATCH($E$1,Database!$E$1:$AY$1,0),FALSE)</f>
        <v/>
      </c>
      <c r="F210" s="23">
        <f>VLOOKUP(A210,Database!$E:$AY,MATCH($F$1,Database!$E$1:$AY$1,0),FALSE)</f>
        <v/>
      </c>
      <c r="G210" s="23">
        <f>VLOOKUP(A210,Database!$E:$AY,MATCH($G$1,Database!$E$1:$AY$1,0),FALSE)</f>
        <v/>
      </c>
      <c r="H210" s="23">
        <f>(((Table134567891011121314151617343[[#This Row],[ITA]]-VLOOKUP($U$1,A:B,2,))/VLOOKUP($U$1,A:B,2,))*100)+100</f>
        <v/>
      </c>
      <c r="I210" s="23">
        <f>(((Table134567891011121314151617343[[#This Row],[FRA]]-VLOOKUP($U$1,A:C,3,))/VLOOKUP($U$1,A:C,3,))*100)+100</f>
        <v/>
      </c>
      <c r="J210" s="23">
        <f>(((Table134567891011121314151617343[[#This Row],[DEU]]-VLOOKUP($U$1,A:D,4,))/VLOOKUP($U$1,A:D,4,))*100)+100</f>
        <v/>
      </c>
      <c r="K210" s="23">
        <f>(((Table134567891011121314151617343[[#This Row],[ESP]]-VLOOKUP($U$1,A:E,5,))/VLOOKUP($U$1,A:E,5,))*100)+100</f>
        <v/>
      </c>
      <c r="L210" s="23">
        <f>(((Table134567891011121314151617343[[#This Row],[EA19]]-VLOOKUP($U$1,A:F,6,))/VLOOKUP($U$1,A:F,6,))*100)+100</f>
        <v/>
      </c>
      <c r="M210" s="23">
        <f>(((Table134567891011121314151617343[[#This Row],[GBR]]-VLOOKUP($U$1,A:G,7,))/VLOOKUP($U$1,A:G,7,))*100)+100</f>
        <v/>
      </c>
      <c r="N210" s="23">
        <f>VLOOKUP(A210,Database!$E:$AY,MATCH($N$1,Database!$E$1:$AY$1,0),FALSE)</f>
        <v/>
      </c>
      <c r="O210" s="23">
        <f>(((Table134567891011121314151617343[[#This Row],[USA]]-VLOOKUP($U$1,A:N,14,))/VLOOKUP($U$1,A:N,14,))*100)+100</f>
        <v/>
      </c>
      <c r="P210" s="23">
        <f>VLOOKUP(A210,Database!$E:$AY,MATCH($P$1,Database!$E$1:$AY$1,0),FALSE)</f>
        <v/>
      </c>
      <c r="Q210" s="23">
        <f>(((Table134567891011121314151617343[[#This Row],[JPN]]-VLOOKUP($U$1,A:Q,16,))/VLOOKUP($U$1,A:Q,16,))*100)+100</f>
        <v/>
      </c>
    </row>
    <row r="211" customFormat="1" s="100">
      <c r="A211" s="22" t="n">
        <v>39234</v>
      </c>
      <c r="B211" s="23">
        <f>VLOOKUP(A211,Database!$E:$AY,MATCH($B$1,Database!$E$1:$AY$1,0),FALSE)</f>
        <v/>
      </c>
      <c r="C211" s="23">
        <f>VLOOKUP(A211,Database!$E:$AY,MATCH($C$1,Database!$E$1:$AY$1,0),FALSE)</f>
        <v/>
      </c>
      <c r="D211" s="23">
        <f>VLOOKUP(A211,Database!$E:$AY,MATCH($D$1,Database!$E$1:$AY$1,0),FALSE)</f>
        <v/>
      </c>
      <c r="E211" s="23">
        <f>VLOOKUP(A211,Database!$E:$AY,MATCH($E$1,Database!$E$1:$AY$1,0),FALSE)</f>
        <v/>
      </c>
      <c r="F211" s="23">
        <f>VLOOKUP(A211,Database!$E:$AY,MATCH($F$1,Database!$E$1:$AY$1,0),FALSE)</f>
        <v/>
      </c>
      <c r="G211" s="23">
        <f>VLOOKUP(A211,Database!$E:$AY,MATCH($G$1,Database!$E$1:$AY$1,0),FALSE)</f>
        <v/>
      </c>
      <c r="H211" s="23">
        <f>(((Table134567891011121314151617343[[#This Row],[ITA]]-VLOOKUP($U$1,A:B,2,))/VLOOKUP($U$1,A:B,2,))*100)+100</f>
        <v/>
      </c>
      <c r="I211" s="23">
        <f>(((Table134567891011121314151617343[[#This Row],[FRA]]-VLOOKUP($U$1,A:C,3,))/VLOOKUP($U$1,A:C,3,))*100)+100</f>
        <v/>
      </c>
      <c r="J211" s="23">
        <f>(((Table134567891011121314151617343[[#This Row],[DEU]]-VLOOKUP($U$1,A:D,4,))/VLOOKUP($U$1,A:D,4,))*100)+100</f>
        <v/>
      </c>
      <c r="K211" s="23">
        <f>(((Table134567891011121314151617343[[#This Row],[ESP]]-VLOOKUP($U$1,A:E,5,))/VLOOKUP($U$1,A:E,5,))*100)+100</f>
        <v/>
      </c>
      <c r="L211" s="23">
        <f>(((Table134567891011121314151617343[[#This Row],[EA19]]-VLOOKUP($U$1,A:F,6,))/VLOOKUP($U$1,A:F,6,))*100)+100</f>
        <v/>
      </c>
      <c r="M211" s="23">
        <f>(((Table134567891011121314151617343[[#This Row],[GBR]]-VLOOKUP($U$1,A:G,7,))/VLOOKUP($U$1,A:G,7,))*100)+100</f>
        <v/>
      </c>
      <c r="N211" s="23">
        <f>VLOOKUP(A211,Database!$E:$AY,MATCH($N$1,Database!$E$1:$AY$1,0),FALSE)</f>
        <v/>
      </c>
      <c r="O211" s="23">
        <f>(((Table134567891011121314151617343[[#This Row],[USA]]-VLOOKUP($U$1,A:N,14,))/VLOOKUP($U$1,A:N,14,))*100)+100</f>
        <v/>
      </c>
      <c r="P211" s="23">
        <f>VLOOKUP(A211,Database!$E:$AY,MATCH($P$1,Database!$E$1:$AY$1,0),FALSE)</f>
        <v/>
      </c>
      <c r="Q211" s="23">
        <f>(((Table134567891011121314151617343[[#This Row],[JPN]]-VLOOKUP($U$1,A:Q,16,))/VLOOKUP($U$1,A:Q,16,))*100)+100</f>
        <v/>
      </c>
    </row>
    <row r="212" customFormat="1" s="100">
      <c r="A212" s="22" t="n">
        <v>39264</v>
      </c>
      <c r="B212" s="23">
        <f>VLOOKUP(A212,Database!$E:$AY,MATCH($B$1,Database!$E$1:$AY$1,0),FALSE)</f>
        <v/>
      </c>
      <c r="C212" s="23">
        <f>VLOOKUP(A212,Database!$E:$AY,MATCH($C$1,Database!$E$1:$AY$1,0),FALSE)</f>
        <v/>
      </c>
      <c r="D212" s="23">
        <f>VLOOKUP(A212,Database!$E:$AY,MATCH($D$1,Database!$E$1:$AY$1,0),FALSE)</f>
        <v/>
      </c>
      <c r="E212" s="23">
        <f>VLOOKUP(A212,Database!$E:$AY,MATCH($E$1,Database!$E$1:$AY$1,0),FALSE)</f>
        <v/>
      </c>
      <c r="F212" s="23">
        <f>VLOOKUP(A212,Database!$E:$AY,MATCH($F$1,Database!$E$1:$AY$1,0),FALSE)</f>
        <v/>
      </c>
      <c r="G212" s="23">
        <f>VLOOKUP(A212,Database!$E:$AY,MATCH($G$1,Database!$E$1:$AY$1,0),FALSE)</f>
        <v/>
      </c>
      <c r="H212" s="23">
        <f>(((Table134567891011121314151617343[[#This Row],[ITA]]-VLOOKUP($U$1,A:B,2,))/VLOOKUP($U$1,A:B,2,))*100)+100</f>
        <v/>
      </c>
      <c r="I212" s="23">
        <f>(((Table134567891011121314151617343[[#This Row],[FRA]]-VLOOKUP($U$1,A:C,3,))/VLOOKUP($U$1,A:C,3,))*100)+100</f>
        <v/>
      </c>
      <c r="J212" s="23">
        <f>(((Table134567891011121314151617343[[#This Row],[DEU]]-VLOOKUP($U$1,A:D,4,))/VLOOKUP($U$1,A:D,4,))*100)+100</f>
        <v/>
      </c>
      <c r="K212" s="23">
        <f>(((Table134567891011121314151617343[[#This Row],[ESP]]-VLOOKUP($U$1,A:E,5,))/VLOOKUP($U$1,A:E,5,))*100)+100</f>
        <v/>
      </c>
      <c r="L212" s="23">
        <f>(((Table134567891011121314151617343[[#This Row],[EA19]]-VLOOKUP($U$1,A:F,6,))/VLOOKUP($U$1,A:F,6,))*100)+100</f>
        <v/>
      </c>
      <c r="M212" s="23">
        <f>(((Table134567891011121314151617343[[#This Row],[GBR]]-VLOOKUP($U$1,A:G,7,))/VLOOKUP($U$1,A:G,7,))*100)+100</f>
        <v/>
      </c>
      <c r="N212" s="23">
        <f>VLOOKUP(A212,Database!$E:$AY,MATCH($N$1,Database!$E$1:$AY$1,0),FALSE)</f>
        <v/>
      </c>
      <c r="O212" s="23">
        <f>(((Table134567891011121314151617343[[#This Row],[USA]]-VLOOKUP($U$1,A:N,14,))/VLOOKUP($U$1,A:N,14,))*100)+100</f>
        <v/>
      </c>
      <c r="P212" s="23">
        <f>VLOOKUP(A212,Database!$E:$AY,MATCH($P$1,Database!$E$1:$AY$1,0),FALSE)</f>
        <v/>
      </c>
      <c r="Q212" s="23">
        <f>(((Table134567891011121314151617343[[#This Row],[JPN]]-VLOOKUP($U$1,A:Q,16,))/VLOOKUP($U$1,A:Q,16,))*100)+100</f>
        <v/>
      </c>
    </row>
    <row r="213" customFormat="1" s="100">
      <c r="A213" s="22" t="n">
        <v>39295</v>
      </c>
      <c r="B213" s="23">
        <f>VLOOKUP(A213,Database!$E:$AY,MATCH($B$1,Database!$E$1:$AY$1,0),FALSE)</f>
        <v/>
      </c>
      <c r="C213" s="23">
        <f>VLOOKUP(A213,Database!$E:$AY,MATCH($C$1,Database!$E$1:$AY$1,0),FALSE)</f>
        <v/>
      </c>
      <c r="D213" s="23">
        <f>VLOOKUP(A213,Database!$E:$AY,MATCH($D$1,Database!$E$1:$AY$1,0),FALSE)</f>
        <v/>
      </c>
      <c r="E213" s="23">
        <f>VLOOKUP(A213,Database!$E:$AY,MATCH($E$1,Database!$E$1:$AY$1,0),FALSE)</f>
        <v/>
      </c>
      <c r="F213" s="23">
        <f>VLOOKUP(A213,Database!$E:$AY,MATCH($F$1,Database!$E$1:$AY$1,0),FALSE)</f>
        <v/>
      </c>
      <c r="G213" s="23">
        <f>VLOOKUP(A213,Database!$E:$AY,MATCH($G$1,Database!$E$1:$AY$1,0),FALSE)</f>
        <v/>
      </c>
      <c r="H213" s="23">
        <f>(((Table134567891011121314151617343[[#This Row],[ITA]]-VLOOKUP($U$1,A:B,2,))/VLOOKUP($U$1,A:B,2,))*100)+100</f>
        <v/>
      </c>
      <c r="I213" s="23">
        <f>(((Table134567891011121314151617343[[#This Row],[FRA]]-VLOOKUP($U$1,A:C,3,))/VLOOKUP($U$1,A:C,3,))*100)+100</f>
        <v/>
      </c>
      <c r="J213" s="23">
        <f>(((Table134567891011121314151617343[[#This Row],[DEU]]-VLOOKUP($U$1,A:D,4,))/VLOOKUP($U$1,A:D,4,))*100)+100</f>
        <v/>
      </c>
      <c r="K213" s="23">
        <f>(((Table134567891011121314151617343[[#This Row],[ESP]]-VLOOKUP($U$1,A:E,5,))/VLOOKUP($U$1,A:E,5,))*100)+100</f>
        <v/>
      </c>
      <c r="L213" s="23">
        <f>(((Table134567891011121314151617343[[#This Row],[EA19]]-VLOOKUP($U$1,A:F,6,))/VLOOKUP($U$1,A:F,6,))*100)+100</f>
        <v/>
      </c>
      <c r="M213" s="23">
        <f>(((Table134567891011121314151617343[[#This Row],[GBR]]-VLOOKUP($U$1,A:G,7,))/VLOOKUP($U$1,A:G,7,))*100)+100</f>
        <v/>
      </c>
      <c r="N213" s="23">
        <f>VLOOKUP(A213,Database!$E:$AY,MATCH($N$1,Database!$E$1:$AY$1,0),FALSE)</f>
        <v/>
      </c>
      <c r="O213" s="23">
        <f>(((Table134567891011121314151617343[[#This Row],[USA]]-VLOOKUP($U$1,A:N,14,))/VLOOKUP($U$1,A:N,14,))*100)+100</f>
        <v/>
      </c>
      <c r="P213" s="23">
        <f>VLOOKUP(A213,Database!$E:$AY,MATCH($P$1,Database!$E$1:$AY$1,0),FALSE)</f>
        <v/>
      </c>
      <c r="Q213" s="23">
        <f>(((Table134567891011121314151617343[[#This Row],[JPN]]-VLOOKUP($U$1,A:Q,16,))/VLOOKUP($U$1,A:Q,16,))*100)+100</f>
        <v/>
      </c>
    </row>
    <row r="214" customFormat="1" s="100">
      <c r="A214" s="22" t="n">
        <v>39326</v>
      </c>
      <c r="B214" s="23">
        <f>VLOOKUP(A214,Database!$E:$AY,MATCH($B$1,Database!$E$1:$AY$1,0),FALSE)</f>
        <v/>
      </c>
      <c r="C214" s="23">
        <f>VLOOKUP(A214,Database!$E:$AY,MATCH($C$1,Database!$E$1:$AY$1,0),FALSE)</f>
        <v/>
      </c>
      <c r="D214" s="23">
        <f>VLOOKUP(A214,Database!$E:$AY,MATCH($D$1,Database!$E$1:$AY$1,0),FALSE)</f>
        <v/>
      </c>
      <c r="E214" s="23">
        <f>VLOOKUP(A214,Database!$E:$AY,MATCH($E$1,Database!$E$1:$AY$1,0),FALSE)</f>
        <v/>
      </c>
      <c r="F214" s="23">
        <f>VLOOKUP(A214,Database!$E:$AY,MATCH($F$1,Database!$E$1:$AY$1,0),FALSE)</f>
        <v/>
      </c>
      <c r="G214" s="23">
        <f>VLOOKUP(A214,Database!$E:$AY,MATCH($G$1,Database!$E$1:$AY$1,0),FALSE)</f>
        <v/>
      </c>
      <c r="H214" s="23">
        <f>(((Table134567891011121314151617343[[#This Row],[ITA]]-VLOOKUP($U$1,A:B,2,))/VLOOKUP($U$1,A:B,2,))*100)+100</f>
        <v/>
      </c>
      <c r="I214" s="23">
        <f>(((Table134567891011121314151617343[[#This Row],[FRA]]-VLOOKUP($U$1,A:C,3,))/VLOOKUP($U$1,A:C,3,))*100)+100</f>
        <v/>
      </c>
      <c r="J214" s="23">
        <f>(((Table134567891011121314151617343[[#This Row],[DEU]]-VLOOKUP($U$1,A:D,4,))/VLOOKUP($U$1,A:D,4,))*100)+100</f>
        <v/>
      </c>
      <c r="K214" s="23">
        <f>(((Table134567891011121314151617343[[#This Row],[ESP]]-VLOOKUP($U$1,A:E,5,))/VLOOKUP($U$1,A:E,5,))*100)+100</f>
        <v/>
      </c>
      <c r="L214" s="23">
        <f>(((Table134567891011121314151617343[[#This Row],[EA19]]-VLOOKUP($U$1,A:F,6,))/VLOOKUP($U$1,A:F,6,))*100)+100</f>
        <v/>
      </c>
      <c r="M214" s="23">
        <f>(((Table134567891011121314151617343[[#This Row],[GBR]]-VLOOKUP($U$1,A:G,7,))/VLOOKUP($U$1,A:G,7,))*100)+100</f>
        <v/>
      </c>
      <c r="N214" s="23">
        <f>VLOOKUP(A214,Database!$E:$AY,MATCH($N$1,Database!$E$1:$AY$1,0),FALSE)</f>
        <v/>
      </c>
      <c r="O214" s="23">
        <f>(((Table134567891011121314151617343[[#This Row],[USA]]-VLOOKUP($U$1,A:N,14,))/VLOOKUP($U$1,A:N,14,))*100)+100</f>
        <v/>
      </c>
      <c r="P214" s="23">
        <f>VLOOKUP(A214,Database!$E:$AY,MATCH($P$1,Database!$E$1:$AY$1,0),FALSE)</f>
        <v/>
      </c>
      <c r="Q214" s="23">
        <f>(((Table134567891011121314151617343[[#This Row],[JPN]]-VLOOKUP($U$1,A:Q,16,))/VLOOKUP($U$1,A:Q,16,))*100)+100</f>
        <v/>
      </c>
    </row>
    <row r="215" customFormat="1" s="100">
      <c r="A215" s="22" t="n">
        <v>39356</v>
      </c>
      <c r="B215" s="23">
        <f>VLOOKUP(A215,Database!$E:$AY,MATCH($B$1,Database!$E$1:$AY$1,0),FALSE)</f>
        <v/>
      </c>
      <c r="C215" s="23">
        <f>VLOOKUP(A215,Database!$E:$AY,MATCH($C$1,Database!$E$1:$AY$1,0),FALSE)</f>
        <v/>
      </c>
      <c r="D215" s="23">
        <f>VLOOKUP(A215,Database!$E:$AY,MATCH($D$1,Database!$E$1:$AY$1,0),FALSE)</f>
        <v/>
      </c>
      <c r="E215" s="23">
        <f>VLOOKUP(A215,Database!$E:$AY,MATCH($E$1,Database!$E$1:$AY$1,0),FALSE)</f>
        <v/>
      </c>
      <c r="F215" s="23">
        <f>VLOOKUP(A215,Database!$E:$AY,MATCH($F$1,Database!$E$1:$AY$1,0),FALSE)</f>
        <v/>
      </c>
      <c r="G215" s="23">
        <f>VLOOKUP(A215,Database!$E:$AY,MATCH($G$1,Database!$E$1:$AY$1,0),FALSE)</f>
        <v/>
      </c>
      <c r="H215" s="23">
        <f>(((Table134567891011121314151617343[[#This Row],[ITA]]-VLOOKUP($U$1,A:B,2,))/VLOOKUP($U$1,A:B,2,))*100)+100</f>
        <v/>
      </c>
      <c r="I215" s="23">
        <f>(((Table134567891011121314151617343[[#This Row],[FRA]]-VLOOKUP($U$1,A:C,3,))/VLOOKUP($U$1,A:C,3,))*100)+100</f>
        <v/>
      </c>
      <c r="J215" s="23">
        <f>(((Table134567891011121314151617343[[#This Row],[DEU]]-VLOOKUP($U$1,A:D,4,))/VLOOKUP($U$1,A:D,4,))*100)+100</f>
        <v/>
      </c>
      <c r="K215" s="23">
        <f>(((Table134567891011121314151617343[[#This Row],[ESP]]-VLOOKUP($U$1,A:E,5,))/VLOOKUP($U$1,A:E,5,))*100)+100</f>
        <v/>
      </c>
      <c r="L215" s="23">
        <f>(((Table134567891011121314151617343[[#This Row],[EA19]]-VLOOKUP($U$1,A:F,6,))/VLOOKUP($U$1,A:F,6,))*100)+100</f>
        <v/>
      </c>
      <c r="M215" s="23">
        <f>(((Table134567891011121314151617343[[#This Row],[GBR]]-VLOOKUP($U$1,A:G,7,))/VLOOKUP($U$1,A:G,7,))*100)+100</f>
        <v/>
      </c>
      <c r="N215" s="23">
        <f>VLOOKUP(A215,Database!$E:$AY,MATCH($N$1,Database!$E$1:$AY$1,0),FALSE)</f>
        <v/>
      </c>
      <c r="O215" s="23">
        <f>(((Table134567891011121314151617343[[#This Row],[USA]]-VLOOKUP($U$1,A:N,14,))/VLOOKUP($U$1,A:N,14,))*100)+100</f>
        <v/>
      </c>
      <c r="P215" s="23">
        <f>VLOOKUP(A215,Database!$E:$AY,MATCH($P$1,Database!$E$1:$AY$1,0),FALSE)</f>
        <v/>
      </c>
      <c r="Q215" s="23">
        <f>(((Table134567891011121314151617343[[#This Row],[JPN]]-VLOOKUP($U$1,A:Q,16,))/VLOOKUP($U$1,A:Q,16,))*100)+100</f>
        <v/>
      </c>
    </row>
    <row r="216" customFormat="1" s="100">
      <c r="A216" s="22" t="n">
        <v>39387</v>
      </c>
      <c r="B216" s="23">
        <f>VLOOKUP(A216,Database!$E:$AY,MATCH($B$1,Database!$E$1:$AY$1,0),FALSE)</f>
        <v/>
      </c>
      <c r="C216" s="23">
        <f>VLOOKUP(A216,Database!$E:$AY,MATCH($C$1,Database!$E$1:$AY$1,0),FALSE)</f>
        <v/>
      </c>
      <c r="D216" s="23">
        <f>VLOOKUP(A216,Database!$E:$AY,MATCH($D$1,Database!$E$1:$AY$1,0),FALSE)</f>
        <v/>
      </c>
      <c r="E216" s="23">
        <f>VLOOKUP(A216,Database!$E:$AY,MATCH($E$1,Database!$E$1:$AY$1,0),FALSE)</f>
        <v/>
      </c>
      <c r="F216" s="23">
        <f>VLOOKUP(A216,Database!$E:$AY,MATCH($F$1,Database!$E$1:$AY$1,0),FALSE)</f>
        <v/>
      </c>
      <c r="G216" s="23">
        <f>VLOOKUP(A216,Database!$E:$AY,MATCH($G$1,Database!$E$1:$AY$1,0),FALSE)</f>
        <v/>
      </c>
      <c r="H216" s="23">
        <f>(((Table134567891011121314151617343[[#This Row],[ITA]]-VLOOKUP($U$1,A:B,2,))/VLOOKUP($U$1,A:B,2,))*100)+100</f>
        <v/>
      </c>
      <c r="I216" s="23">
        <f>(((Table134567891011121314151617343[[#This Row],[FRA]]-VLOOKUP($U$1,A:C,3,))/VLOOKUP($U$1,A:C,3,))*100)+100</f>
        <v/>
      </c>
      <c r="J216" s="23">
        <f>(((Table134567891011121314151617343[[#This Row],[DEU]]-VLOOKUP($U$1,A:D,4,))/VLOOKUP($U$1,A:D,4,))*100)+100</f>
        <v/>
      </c>
      <c r="K216" s="23">
        <f>(((Table134567891011121314151617343[[#This Row],[ESP]]-VLOOKUP($U$1,A:E,5,))/VLOOKUP($U$1,A:E,5,))*100)+100</f>
        <v/>
      </c>
      <c r="L216" s="23">
        <f>(((Table134567891011121314151617343[[#This Row],[EA19]]-VLOOKUP($U$1,A:F,6,))/VLOOKUP($U$1,A:F,6,))*100)+100</f>
        <v/>
      </c>
      <c r="M216" s="23">
        <f>(((Table134567891011121314151617343[[#This Row],[GBR]]-VLOOKUP($U$1,A:G,7,))/VLOOKUP($U$1,A:G,7,))*100)+100</f>
        <v/>
      </c>
      <c r="N216" s="23">
        <f>VLOOKUP(A216,Database!$E:$AY,MATCH($N$1,Database!$E$1:$AY$1,0),FALSE)</f>
        <v/>
      </c>
      <c r="O216" s="23">
        <f>(((Table134567891011121314151617343[[#This Row],[USA]]-VLOOKUP($U$1,A:N,14,))/VLOOKUP($U$1,A:N,14,))*100)+100</f>
        <v/>
      </c>
      <c r="P216" s="23">
        <f>VLOOKUP(A216,Database!$E:$AY,MATCH($P$1,Database!$E$1:$AY$1,0),FALSE)</f>
        <v/>
      </c>
      <c r="Q216" s="23">
        <f>(((Table134567891011121314151617343[[#This Row],[JPN]]-VLOOKUP($U$1,A:Q,16,))/VLOOKUP($U$1,A:Q,16,))*100)+100</f>
        <v/>
      </c>
    </row>
    <row r="217" customFormat="1" s="100">
      <c r="A217" s="22" t="n">
        <v>39417</v>
      </c>
      <c r="B217" s="23">
        <f>VLOOKUP(A217,Database!$E:$AY,MATCH($B$1,Database!$E$1:$AY$1,0),FALSE)</f>
        <v/>
      </c>
      <c r="C217" s="23">
        <f>VLOOKUP(A217,Database!$E:$AY,MATCH($C$1,Database!$E$1:$AY$1,0),FALSE)</f>
        <v/>
      </c>
      <c r="D217" s="23">
        <f>VLOOKUP(A217,Database!$E:$AY,MATCH($D$1,Database!$E$1:$AY$1,0),FALSE)</f>
        <v/>
      </c>
      <c r="E217" s="23">
        <f>VLOOKUP(A217,Database!$E:$AY,MATCH($E$1,Database!$E$1:$AY$1,0),FALSE)</f>
        <v/>
      </c>
      <c r="F217" s="23">
        <f>VLOOKUP(A217,Database!$E:$AY,MATCH($F$1,Database!$E$1:$AY$1,0),FALSE)</f>
        <v/>
      </c>
      <c r="G217" s="23">
        <f>VLOOKUP(A217,Database!$E:$AY,MATCH($G$1,Database!$E$1:$AY$1,0),FALSE)</f>
        <v/>
      </c>
      <c r="H217" s="23">
        <f>(((Table134567891011121314151617343[[#This Row],[ITA]]-VLOOKUP($U$1,A:B,2,))/VLOOKUP($U$1,A:B,2,))*100)+100</f>
        <v/>
      </c>
      <c r="I217" s="23">
        <f>(((Table134567891011121314151617343[[#This Row],[FRA]]-VLOOKUP($U$1,A:C,3,))/VLOOKUP($U$1,A:C,3,))*100)+100</f>
        <v/>
      </c>
      <c r="J217" s="23">
        <f>(((Table134567891011121314151617343[[#This Row],[DEU]]-VLOOKUP($U$1,A:D,4,))/VLOOKUP($U$1,A:D,4,))*100)+100</f>
        <v/>
      </c>
      <c r="K217" s="23">
        <f>(((Table134567891011121314151617343[[#This Row],[ESP]]-VLOOKUP($U$1,A:E,5,))/VLOOKUP($U$1,A:E,5,))*100)+100</f>
        <v/>
      </c>
      <c r="L217" s="23">
        <f>(((Table134567891011121314151617343[[#This Row],[EA19]]-VLOOKUP($U$1,A:F,6,))/VLOOKUP($U$1,A:F,6,))*100)+100</f>
        <v/>
      </c>
      <c r="M217" s="23">
        <f>(((Table134567891011121314151617343[[#This Row],[GBR]]-VLOOKUP($U$1,A:G,7,))/VLOOKUP($U$1,A:G,7,))*100)+100</f>
        <v/>
      </c>
      <c r="N217" s="23">
        <f>VLOOKUP(A217,Database!$E:$AY,MATCH($N$1,Database!$E$1:$AY$1,0),FALSE)</f>
        <v/>
      </c>
      <c r="O217" s="23">
        <f>(((Table134567891011121314151617343[[#This Row],[USA]]-VLOOKUP($U$1,A:N,14,))/VLOOKUP($U$1,A:N,14,))*100)+100</f>
        <v/>
      </c>
      <c r="P217" s="23">
        <f>VLOOKUP(A217,Database!$E:$AY,MATCH($P$1,Database!$E$1:$AY$1,0),FALSE)</f>
        <v/>
      </c>
      <c r="Q217" s="23">
        <f>(((Table134567891011121314151617343[[#This Row],[JPN]]-VLOOKUP($U$1,A:Q,16,))/VLOOKUP($U$1,A:Q,16,))*100)+100</f>
        <v/>
      </c>
    </row>
    <row r="218" customFormat="1" s="100">
      <c r="A218" s="22" t="n">
        <v>39448</v>
      </c>
      <c r="B218" s="23">
        <f>VLOOKUP(A218,Database!$E:$AY,MATCH($B$1,Database!$E$1:$AY$1,0),FALSE)</f>
        <v/>
      </c>
      <c r="C218" s="23">
        <f>VLOOKUP(A218,Database!$E:$AY,MATCH($C$1,Database!$E$1:$AY$1,0),FALSE)</f>
        <v/>
      </c>
      <c r="D218" s="23">
        <f>VLOOKUP(A218,Database!$E:$AY,MATCH($D$1,Database!$E$1:$AY$1,0),FALSE)</f>
        <v/>
      </c>
      <c r="E218" s="23">
        <f>VLOOKUP(A218,Database!$E:$AY,MATCH($E$1,Database!$E$1:$AY$1,0),FALSE)</f>
        <v/>
      </c>
      <c r="F218" s="23">
        <f>VLOOKUP(A218,Database!$E:$AY,MATCH($F$1,Database!$E$1:$AY$1,0),FALSE)</f>
        <v/>
      </c>
      <c r="G218" s="23">
        <f>VLOOKUP(A218,Database!$E:$AY,MATCH($G$1,Database!$E$1:$AY$1,0),FALSE)</f>
        <v/>
      </c>
      <c r="H218" s="23">
        <f>(((Table134567891011121314151617343[[#This Row],[ITA]]-VLOOKUP($U$1,A:B,2,))/VLOOKUP($U$1,A:B,2,))*100)+100</f>
        <v/>
      </c>
      <c r="I218" s="23">
        <f>(((Table134567891011121314151617343[[#This Row],[FRA]]-VLOOKUP($U$1,A:C,3,))/VLOOKUP($U$1,A:C,3,))*100)+100</f>
        <v/>
      </c>
      <c r="J218" s="23">
        <f>(((Table134567891011121314151617343[[#This Row],[DEU]]-VLOOKUP($U$1,A:D,4,))/VLOOKUP($U$1,A:D,4,))*100)+100</f>
        <v/>
      </c>
      <c r="K218" s="23">
        <f>(((Table134567891011121314151617343[[#This Row],[ESP]]-VLOOKUP($U$1,A:E,5,))/VLOOKUP($U$1,A:E,5,))*100)+100</f>
        <v/>
      </c>
      <c r="L218" s="23">
        <f>(((Table134567891011121314151617343[[#This Row],[EA19]]-VLOOKUP($U$1,A:F,6,))/VLOOKUP($U$1,A:F,6,))*100)+100</f>
        <v/>
      </c>
      <c r="M218" s="23">
        <f>(((Table134567891011121314151617343[[#This Row],[GBR]]-VLOOKUP($U$1,A:G,7,))/VLOOKUP($U$1,A:G,7,))*100)+100</f>
        <v/>
      </c>
      <c r="N218" s="23">
        <f>VLOOKUP(A218,Database!$E:$AY,MATCH($N$1,Database!$E$1:$AY$1,0),FALSE)</f>
        <v/>
      </c>
      <c r="O218" s="23">
        <f>(((Table134567891011121314151617343[[#This Row],[USA]]-VLOOKUP($U$1,A:N,14,))/VLOOKUP($U$1,A:N,14,))*100)+100</f>
        <v/>
      </c>
      <c r="P218" s="23">
        <f>VLOOKUP(A218,Database!$E:$AY,MATCH($P$1,Database!$E$1:$AY$1,0),FALSE)</f>
        <v/>
      </c>
      <c r="Q218" s="23">
        <f>(((Table134567891011121314151617343[[#This Row],[JPN]]-VLOOKUP($U$1,A:Q,16,))/VLOOKUP($U$1,A:Q,16,))*100)+100</f>
        <v/>
      </c>
    </row>
    <row r="219" customFormat="1" s="100">
      <c r="A219" s="22" t="n">
        <v>39479</v>
      </c>
      <c r="B219" s="23">
        <f>VLOOKUP(A219,Database!$E:$AY,MATCH($B$1,Database!$E$1:$AY$1,0),FALSE)</f>
        <v/>
      </c>
      <c r="C219" s="23">
        <f>VLOOKUP(A219,Database!$E:$AY,MATCH($C$1,Database!$E$1:$AY$1,0),FALSE)</f>
        <v/>
      </c>
      <c r="D219" s="23">
        <f>VLOOKUP(A219,Database!$E:$AY,MATCH($D$1,Database!$E$1:$AY$1,0),FALSE)</f>
        <v/>
      </c>
      <c r="E219" s="23">
        <f>VLOOKUP(A219,Database!$E:$AY,MATCH($E$1,Database!$E$1:$AY$1,0),FALSE)</f>
        <v/>
      </c>
      <c r="F219" s="23">
        <f>VLOOKUP(A219,Database!$E:$AY,MATCH($F$1,Database!$E$1:$AY$1,0),FALSE)</f>
        <v/>
      </c>
      <c r="G219" s="23">
        <f>VLOOKUP(A219,Database!$E:$AY,MATCH($G$1,Database!$E$1:$AY$1,0),FALSE)</f>
        <v/>
      </c>
      <c r="H219" s="23">
        <f>(((Table134567891011121314151617343[[#This Row],[ITA]]-VLOOKUP($U$1,A:B,2,))/VLOOKUP($U$1,A:B,2,))*100)+100</f>
        <v/>
      </c>
      <c r="I219" s="23">
        <f>(((Table134567891011121314151617343[[#This Row],[FRA]]-VLOOKUP($U$1,A:C,3,))/VLOOKUP($U$1,A:C,3,))*100)+100</f>
        <v/>
      </c>
      <c r="J219" s="23">
        <f>(((Table134567891011121314151617343[[#This Row],[DEU]]-VLOOKUP($U$1,A:D,4,))/VLOOKUP($U$1,A:D,4,))*100)+100</f>
        <v/>
      </c>
      <c r="K219" s="23">
        <f>(((Table134567891011121314151617343[[#This Row],[ESP]]-VLOOKUP($U$1,A:E,5,))/VLOOKUP($U$1,A:E,5,))*100)+100</f>
        <v/>
      </c>
      <c r="L219" s="23">
        <f>(((Table134567891011121314151617343[[#This Row],[EA19]]-VLOOKUP($U$1,A:F,6,))/VLOOKUP($U$1,A:F,6,))*100)+100</f>
        <v/>
      </c>
      <c r="M219" s="23">
        <f>(((Table134567891011121314151617343[[#This Row],[GBR]]-VLOOKUP($U$1,A:G,7,))/VLOOKUP($U$1,A:G,7,))*100)+100</f>
        <v/>
      </c>
      <c r="N219" s="23">
        <f>VLOOKUP(A219,Database!$E:$AY,MATCH($N$1,Database!$E$1:$AY$1,0),FALSE)</f>
        <v/>
      </c>
      <c r="O219" s="23">
        <f>(((Table134567891011121314151617343[[#This Row],[USA]]-VLOOKUP($U$1,A:N,14,))/VLOOKUP($U$1,A:N,14,))*100)+100</f>
        <v/>
      </c>
      <c r="P219" s="23">
        <f>VLOOKUP(A219,Database!$E:$AY,MATCH($P$1,Database!$E$1:$AY$1,0),FALSE)</f>
        <v/>
      </c>
      <c r="Q219" s="23">
        <f>(((Table134567891011121314151617343[[#This Row],[JPN]]-VLOOKUP($U$1,A:Q,16,))/VLOOKUP($U$1,A:Q,16,))*100)+100</f>
        <v/>
      </c>
    </row>
    <row r="220" customFormat="1" s="100">
      <c r="A220" s="22" t="n">
        <v>39508</v>
      </c>
      <c r="B220" s="23">
        <f>VLOOKUP(A220,Database!$E:$AY,MATCH($B$1,Database!$E$1:$AY$1,0),FALSE)</f>
        <v/>
      </c>
      <c r="C220" s="23">
        <f>VLOOKUP(A220,Database!$E:$AY,MATCH($C$1,Database!$E$1:$AY$1,0),FALSE)</f>
        <v/>
      </c>
      <c r="D220" s="23">
        <f>VLOOKUP(A220,Database!$E:$AY,MATCH($D$1,Database!$E$1:$AY$1,0),FALSE)</f>
        <v/>
      </c>
      <c r="E220" s="23">
        <f>VLOOKUP(A220,Database!$E:$AY,MATCH($E$1,Database!$E$1:$AY$1,0),FALSE)</f>
        <v/>
      </c>
      <c r="F220" s="23">
        <f>VLOOKUP(A220,Database!$E:$AY,MATCH($F$1,Database!$E$1:$AY$1,0),FALSE)</f>
        <v/>
      </c>
      <c r="G220" s="23">
        <f>VLOOKUP(A220,Database!$E:$AY,MATCH($G$1,Database!$E$1:$AY$1,0),FALSE)</f>
        <v/>
      </c>
      <c r="H220" s="23">
        <f>(((Table134567891011121314151617343[[#This Row],[ITA]]-VLOOKUP($U$1,A:B,2,))/VLOOKUP($U$1,A:B,2,))*100)+100</f>
        <v/>
      </c>
      <c r="I220" s="23">
        <f>(((Table134567891011121314151617343[[#This Row],[FRA]]-VLOOKUP($U$1,A:C,3,))/VLOOKUP($U$1,A:C,3,))*100)+100</f>
        <v/>
      </c>
      <c r="J220" s="23">
        <f>(((Table134567891011121314151617343[[#This Row],[DEU]]-VLOOKUP($U$1,A:D,4,))/VLOOKUP($U$1,A:D,4,))*100)+100</f>
        <v/>
      </c>
      <c r="K220" s="23">
        <f>(((Table134567891011121314151617343[[#This Row],[ESP]]-VLOOKUP($U$1,A:E,5,))/VLOOKUP($U$1,A:E,5,))*100)+100</f>
        <v/>
      </c>
      <c r="L220" s="23">
        <f>(((Table134567891011121314151617343[[#This Row],[EA19]]-VLOOKUP($U$1,A:F,6,))/VLOOKUP($U$1,A:F,6,))*100)+100</f>
        <v/>
      </c>
      <c r="M220" s="23">
        <f>(((Table134567891011121314151617343[[#This Row],[GBR]]-VLOOKUP($U$1,A:G,7,))/VLOOKUP($U$1,A:G,7,))*100)+100</f>
        <v/>
      </c>
      <c r="N220" s="23">
        <f>VLOOKUP(A220,Database!$E:$AY,MATCH($N$1,Database!$E$1:$AY$1,0),FALSE)</f>
        <v/>
      </c>
      <c r="O220" s="23">
        <f>(((Table134567891011121314151617343[[#This Row],[USA]]-VLOOKUP($U$1,A:N,14,))/VLOOKUP($U$1,A:N,14,))*100)+100</f>
        <v/>
      </c>
      <c r="P220" s="23">
        <f>VLOOKUP(A220,Database!$E:$AY,MATCH($P$1,Database!$E$1:$AY$1,0),FALSE)</f>
        <v/>
      </c>
      <c r="Q220" s="23">
        <f>(((Table134567891011121314151617343[[#This Row],[JPN]]-VLOOKUP($U$1,A:Q,16,))/VLOOKUP($U$1,A:Q,16,))*100)+100</f>
        <v/>
      </c>
    </row>
    <row r="221" customFormat="1" s="100">
      <c r="A221" s="22" t="n">
        <v>39539</v>
      </c>
      <c r="B221" s="23">
        <f>VLOOKUP(A221,Database!$E:$AY,MATCH($B$1,Database!$E$1:$AY$1,0),FALSE)</f>
        <v/>
      </c>
      <c r="C221" s="23">
        <f>VLOOKUP(A221,Database!$E:$AY,MATCH($C$1,Database!$E$1:$AY$1,0),FALSE)</f>
        <v/>
      </c>
      <c r="D221" s="23">
        <f>VLOOKUP(A221,Database!$E:$AY,MATCH($D$1,Database!$E$1:$AY$1,0),FALSE)</f>
        <v/>
      </c>
      <c r="E221" s="23">
        <f>VLOOKUP(A221,Database!$E:$AY,MATCH($E$1,Database!$E$1:$AY$1,0),FALSE)</f>
        <v/>
      </c>
      <c r="F221" s="23">
        <f>VLOOKUP(A221,Database!$E:$AY,MATCH($F$1,Database!$E$1:$AY$1,0),FALSE)</f>
        <v/>
      </c>
      <c r="G221" s="23">
        <f>VLOOKUP(A221,Database!$E:$AY,MATCH($G$1,Database!$E$1:$AY$1,0),FALSE)</f>
        <v/>
      </c>
      <c r="H221" s="23">
        <f>(((Table134567891011121314151617343[[#This Row],[ITA]]-VLOOKUP($U$1,A:B,2,))/VLOOKUP($U$1,A:B,2,))*100)+100</f>
        <v/>
      </c>
      <c r="I221" s="23">
        <f>(((Table134567891011121314151617343[[#This Row],[FRA]]-VLOOKUP($U$1,A:C,3,))/VLOOKUP($U$1,A:C,3,))*100)+100</f>
        <v/>
      </c>
      <c r="J221" s="23">
        <f>(((Table134567891011121314151617343[[#This Row],[DEU]]-VLOOKUP($U$1,A:D,4,))/VLOOKUP($U$1,A:D,4,))*100)+100</f>
        <v/>
      </c>
      <c r="K221" s="23">
        <f>(((Table134567891011121314151617343[[#This Row],[ESP]]-VLOOKUP($U$1,A:E,5,))/VLOOKUP($U$1,A:E,5,))*100)+100</f>
        <v/>
      </c>
      <c r="L221" s="23">
        <f>(((Table134567891011121314151617343[[#This Row],[EA19]]-VLOOKUP($U$1,A:F,6,))/VLOOKUP($U$1,A:F,6,))*100)+100</f>
        <v/>
      </c>
      <c r="M221" s="23">
        <f>(((Table134567891011121314151617343[[#This Row],[GBR]]-VLOOKUP($U$1,A:G,7,))/VLOOKUP($U$1,A:G,7,))*100)+100</f>
        <v/>
      </c>
      <c r="N221" s="23">
        <f>VLOOKUP(A221,Database!$E:$AY,MATCH($N$1,Database!$E$1:$AY$1,0),FALSE)</f>
        <v/>
      </c>
      <c r="O221" s="23">
        <f>(((Table134567891011121314151617343[[#This Row],[USA]]-VLOOKUP($U$1,A:N,14,))/VLOOKUP($U$1,A:N,14,))*100)+100</f>
        <v/>
      </c>
      <c r="P221" s="23">
        <f>VLOOKUP(A221,Database!$E:$AY,MATCH($P$1,Database!$E$1:$AY$1,0),FALSE)</f>
        <v/>
      </c>
      <c r="Q221" s="23">
        <f>(((Table134567891011121314151617343[[#This Row],[JPN]]-VLOOKUP($U$1,A:Q,16,))/VLOOKUP($U$1,A:Q,16,))*100)+100</f>
        <v/>
      </c>
    </row>
    <row r="222" customFormat="1" s="100">
      <c r="A222" s="22" t="n">
        <v>39569</v>
      </c>
      <c r="B222" s="23">
        <f>VLOOKUP(A222,Database!$E:$AY,MATCH($B$1,Database!$E$1:$AY$1,0),FALSE)</f>
        <v/>
      </c>
      <c r="C222" s="23">
        <f>VLOOKUP(A222,Database!$E:$AY,MATCH($C$1,Database!$E$1:$AY$1,0),FALSE)</f>
        <v/>
      </c>
      <c r="D222" s="23">
        <f>VLOOKUP(A222,Database!$E:$AY,MATCH($D$1,Database!$E$1:$AY$1,0),FALSE)</f>
        <v/>
      </c>
      <c r="E222" s="23">
        <f>VLOOKUP(A222,Database!$E:$AY,MATCH($E$1,Database!$E$1:$AY$1,0),FALSE)</f>
        <v/>
      </c>
      <c r="F222" s="23">
        <f>VLOOKUP(A222,Database!$E:$AY,MATCH($F$1,Database!$E$1:$AY$1,0),FALSE)</f>
        <v/>
      </c>
      <c r="G222" s="23">
        <f>VLOOKUP(A222,Database!$E:$AY,MATCH($G$1,Database!$E$1:$AY$1,0),FALSE)</f>
        <v/>
      </c>
      <c r="H222" s="23">
        <f>(((Table134567891011121314151617343[[#This Row],[ITA]]-VLOOKUP($U$1,A:B,2,))/VLOOKUP($U$1,A:B,2,))*100)+100</f>
        <v/>
      </c>
      <c r="I222" s="23">
        <f>(((Table134567891011121314151617343[[#This Row],[FRA]]-VLOOKUP($U$1,A:C,3,))/VLOOKUP($U$1,A:C,3,))*100)+100</f>
        <v/>
      </c>
      <c r="J222" s="23">
        <f>(((Table134567891011121314151617343[[#This Row],[DEU]]-VLOOKUP($U$1,A:D,4,))/VLOOKUP($U$1,A:D,4,))*100)+100</f>
        <v/>
      </c>
      <c r="K222" s="23">
        <f>(((Table134567891011121314151617343[[#This Row],[ESP]]-VLOOKUP($U$1,A:E,5,))/VLOOKUP($U$1,A:E,5,))*100)+100</f>
        <v/>
      </c>
      <c r="L222" s="23">
        <f>(((Table134567891011121314151617343[[#This Row],[EA19]]-VLOOKUP($U$1,A:F,6,))/VLOOKUP($U$1,A:F,6,))*100)+100</f>
        <v/>
      </c>
      <c r="M222" s="23">
        <f>(((Table134567891011121314151617343[[#This Row],[GBR]]-VLOOKUP($U$1,A:G,7,))/VLOOKUP($U$1,A:G,7,))*100)+100</f>
        <v/>
      </c>
      <c r="N222" s="23">
        <f>VLOOKUP(A222,Database!$E:$AY,MATCH($N$1,Database!$E$1:$AY$1,0),FALSE)</f>
        <v/>
      </c>
      <c r="O222" s="23">
        <f>(((Table134567891011121314151617343[[#This Row],[USA]]-VLOOKUP($U$1,A:N,14,))/VLOOKUP($U$1,A:N,14,))*100)+100</f>
        <v/>
      </c>
      <c r="P222" s="23">
        <f>VLOOKUP(A222,Database!$E:$AY,MATCH($P$1,Database!$E$1:$AY$1,0),FALSE)</f>
        <v/>
      </c>
      <c r="Q222" s="23">
        <f>(((Table134567891011121314151617343[[#This Row],[JPN]]-VLOOKUP($U$1,A:Q,16,))/VLOOKUP($U$1,A:Q,16,))*100)+100</f>
        <v/>
      </c>
    </row>
    <row r="223" customFormat="1" s="100">
      <c r="A223" s="22" t="n">
        <v>39600</v>
      </c>
      <c r="B223" s="23">
        <f>VLOOKUP(A223,Database!$E:$AY,MATCH($B$1,Database!$E$1:$AY$1,0),FALSE)</f>
        <v/>
      </c>
      <c r="C223" s="23">
        <f>VLOOKUP(A223,Database!$E:$AY,MATCH($C$1,Database!$E$1:$AY$1,0),FALSE)</f>
        <v/>
      </c>
      <c r="D223" s="23">
        <f>VLOOKUP(A223,Database!$E:$AY,MATCH($D$1,Database!$E$1:$AY$1,0),FALSE)</f>
        <v/>
      </c>
      <c r="E223" s="23">
        <f>VLOOKUP(A223,Database!$E:$AY,MATCH($E$1,Database!$E$1:$AY$1,0),FALSE)</f>
        <v/>
      </c>
      <c r="F223" s="23">
        <f>VLOOKUP(A223,Database!$E:$AY,MATCH($F$1,Database!$E$1:$AY$1,0),FALSE)</f>
        <v/>
      </c>
      <c r="G223" s="23">
        <f>VLOOKUP(A223,Database!$E:$AY,MATCH($G$1,Database!$E$1:$AY$1,0),FALSE)</f>
        <v/>
      </c>
      <c r="H223" s="23">
        <f>(((Table134567891011121314151617343[[#This Row],[ITA]]-VLOOKUP($U$1,A:B,2,))/VLOOKUP($U$1,A:B,2,))*100)+100</f>
        <v/>
      </c>
      <c r="I223" s="23">
        <f>(((Table134567891011121314151617343[[#This Row],[FRA]]-VLOOKUP($U$1,A:C,3,))/VLOOKUP($U$1,A:C,3,))*100)+100</f>
        <v/>
      </c>
      <c r="J223" s="23">
        <f>(((Table134567891011121314151617343[[#This Row],[DEU]]-VLOOKUP($U$1,A:D,4,))/VLOOKUP($U$1,A:D,4,))*100)+100</f>
        <v/>
      </c>
      <c r="K223" s="23">
        <f>(((Table134567891011121314151617343[[#This Row],[ESP]]-VLOOKUP($U$1,A:E,5,))/VLOOKUP($U$1,A:E,5,))*100)+100</f>
        <v/>
      </c>
      <c r="L223" s="23">
        <f>(((Table134567891011121314151617343[[#This Row],[EA19]]-VLOOKUP($U$1,A:F,6,))/VLOOKUP($U$1,A:F,6,))*100)+100</f>
        <v/>
      </c>
      <c r="M223" s="23">
        <f>(((Table134567891011121314151617343[[#This Row],[GBR]]-VLOOKUP($U$1,A:G,7,))/VLOOKUP($U$1,A:G,7,))*100)+100</f>
        <v/>
      </c>
      <c r="N223" s="23">
        <f>VLOOKUP(A223,Database!$E:$AY,MATCH($N$1,Database!$E$1:$AY$1,0),FALSE)</f>
        <v/>
      </c>
      <c r="O223" s="23">
        <f>(((Table134567891011121314151617343[[#This Row],[USA]]-VLOOKUP($U$1,A:N,14,))/VLOOKUP($U$1,A:N,14,))*100)+100</f>
        <v/>
      </c>
      <c r="P223" s="23">
        <f>VLOOKUP(A223,Database!$E:$AY,MATCH($P$1,Database!$E$1:$AY$1,0),FALSE)</f>
        <v/>
      </c>
      <c r="Q223" s="23">
        <f>(((Table134567891011121314151617343[[#This Row],[JPN]]-VLOOKUP($U$1,A:Q,16,))/VLOOKUP($U$1,A:Q,16,))*100)+100</f>
        <v/>
      </c>
    </row>
    <row r="224" customFormat="1" s="100">
      <c r="A224" s="22" t="n">
        <v>39630</v>
      </c>
      <c r="B224" s="23">
        <f>VLOOKUP(A224,Database!$E:$AY,MATCH($B$1,Database!$E$1:$AY$1,0),FALSE)</f>
        <v/>
      </c>
      <c r="C224" s="23">
        <f>VLOOKUP(A224,Database!$E:$AY,MATCH($C$1,Database!$E$1:$AY$1,0),FALSE)</f>
        <v/>
      </c>
      <c r="D224" s="23">
        <f>VLOOKUP(A224,Database!$E:$AY,MATCH($D$1,Database!$E$1:$AY$1,0),FALSE)</f>
        <v/>
      </c>
      <c r="E224" s="23">
        <f>VLOOKUP(A224,Database!$E:$AY,MATCH($E$1,Database!$E$1:$AY$1,0),FALSE)</f>
        <v/>
      </c>
      <c r="F224" s="23">
        <f>VLOOKUP(A224,Database!$E:$AY,MATCH($F$1,Database!$E$1:$AY$1,0),FALSE)</f>
        <v/>
      </c>
      <c r="G224" s="23">
        <f>VLOOKUP(A224,Database!$E:$AY,MATCH($G$1,Database!$E$1:$AY$1,0),FALSE)</f>
        <v/>
      </c>
      <c r="H224" s="23">
        <f>(((Table134567891011121314151617343[[#This Row],[ITA]]-VLOOKUP($U$1,A:B,2,))/VLOOKUP($U$1,A:B,2,))*100)+100</f>
        <v/>
      </c>
      <c r="I224" s="23">
        <f>(((Table134567891011121314151617343[[#This Row],[FRA]]-VLOOKUP($U$1,A:C,3,))/VLOOKUP($U$1,A:C,3,))*100)+100</f>
        <v/>
      </c>
      <c r="J224" s="23">
        <f>(((Table134567891011121314151617343[[#This Row],[DEU]]-VLOOKUP($U$1,A:D,4,))/VLOOKUP($U$1,A:D,4,))*100)+100</f>
        <v/>
      </c>
      <c r="K224" s="23">
        <f>(((Table134567891011121314151617343[[#This Row],[ESP]]-VLOOKUP($U$1,A:E,5,))/VLOOKUP($U$1,A:E,5,))*100)+100</f>
        <v/>
      </c>
      <c r="L224" s="23">
        <f>(((Table134567891011121314151617343[[#This Row],[EA19]]-VLOOKUP($U$1,A:F,6,))/VLOOKUP($U$1,A:F,6,))*100)+100</f>
        <v/>
      </c>
      <c r="M224" s="23">
        <f>(((Table134567891011121314151617343[[#This Row],[GBR]]-VLOOKUP($U$1,A:G,7,))/VLOOKUP($U$1,A:G,7,))*100)+100</f>
        <v/>
      </c>
      <c r="N224" s="23">
        <f>VLOOKUP(A224,Database!$E:$AY,MATCH($N$1,Database!$E$1:$AY$1,0),FALSE)</f>
        <v/>
      </c>
      <c r="O224" s="23">
        <f>(((Table134567891011121314151617343[[#This Row],[USA]]-VLOOKUP($U$1,A:N,14,))/VLOOKUP($U$1,A:N,14,))*100)+100</f>
        <v/>
      </c>
      <c r="P224" s="23">
        <f>VLOOKUP(A224,Database!$E:$AY,MATCH($P$1,Database!$E$1:$AY$1,0),FALSE)</f>
        <v/>
      </c>
      <c r="Q224" s="23">
        <f>(((Table134567891011121314151617343[[#This Row],[JPN]]-VLOOKUP($U$1,A:Q,16,))/VLOOKUP($U$1,A:Q,16,))*100)+100</f>
        <v/>
      </c>
    </row>
    <row r="225" customFormat="1" s="100">
      <c r="A225" s="22" t="n">
        <v>39661</v>
      </c>
      <c r="B225" s="23">
        <f>VLOOKUP(A225,Database!$E:$AY,MATCH($B$1,Database!$E$1:$AY$1,0),FALSE)</f>
        <v/>
      </c>
      <c r="C225" s="23">
        <f>VLOOKUP(A225,Database!$E:$AY,MATCH($C$1,Database!$E$1:$AY$1,0),FALSE)</f>
        <v/>
      </c>
      <c r="D225" s="23">
        <f>VLOOKUP(A225,Database!$E:$AY,MATCH($D$1,Database!$E$1:$AY$1,0),FALSE)</f>
        <v/>
      </c>
      <c r="E225" s="23">
        <f>VLOOKUP(A225,Database!$E:$AY,MATCH($E$1,Database!$E$1:$AY$1,0),FALSE)</f>
        <v/>
      </c>
      <c r="F225" s="23">
        <f>VLOOKUP(A225,Database!$E:$AY,MATCH($F$1,Database!$E$1:$AY$1,0),FALSE)</f>
        <v/>
      </c>
      <c r="G225" s="23">
        <f>VLOOKUP(A225,Database!$E:$AY,MATCH($G$1,Database!$E$1:$AY$1,0),FALSE)</f>
        <v/>
      </c>
      <c r="H225" s="23">
        <f>(((Table134567891011121314151617343[[#This Row],[ITA]]-VLOOKUP($U$1,A:B,2,))/VLOOKUP($U$1,A:B,2,))*100)+100</f>
        <v/>
      </c>
      <c r="I225" s="23">
        <f>(((Table134567891011121314151617343[[#This Row],[FRA]]-VLOOKUP($U$1,A:C,3,))/VLOOKUP($U$1,A:C,3,))*100)+100</f>
        <v/>
      </c>
      <c r="J225" s="23">
        <f>(((Table134567891011121314151617343[[#This Row],[DEU]]-VLOOKUP($U$1,A:D,4,))/VLOOKUP($U$1,A:D,4,))*100)+100</f>
        <v/>
      </c>
      <c r="K225" s="23">
        <f>(((Table134567891011121314151617343[[#This Row],[ESP]]-VLOOKUP($U$1,A:E,5,))/VLOOKUP($U$1,A:E,5,))*100)+100</f>
        <v/>
      </c>
      <c r="L225" s="23">
        <f>(((Table134567891011121314151617343[[#This Row],[EA19]]-VLOOKUP($U$1,A:F,6,))/VLOOKUP($U$1,A:F,6,))*100)+100</f>
        <v/>
      </c>
      <c r="M225" s="23">
        <f>(((Table134567891011121314151617343[[#This Row],[GBR]]-VLOOKUP($U$1,A:G,7,))/VLOOKUP($U$1,A:G,7,))*100)+100</f>
        <v/>
      </c>
      <c r="N225" s="23">
        <f>VLOOKUP(A225,Database!$E:$AY,MATCH($N$1,Database!$E$1:$AY$1,0),FALSE)</f>
        <v/>
      </c>
      <c r="O225" s="23">
        <f>(((Table134567891011121314151617343[[#This Row],[USA]]-VLOOKUP($U$1,A:N,14,))/VLOOKUP($U$1,A:N,14,))*100)+100</f>
        <v/>
      </c>
      <c r="P225" s="23">
        <f>VLOOKUP(A225,Database!$E:$AY,MATCH($P$1,Database!$E$1:$AY$1,0),FALSE)</f>
        <v/>
      </c>
      <c r="Q225" s="23">
        <f>(((Table134567891011121314151617343[[#This Row],[JPN]]-VLOOKUP($U$1,A:Q,16,))/VLOOKUP($U$1,A:Q,16,))*100)+100</f>
        <v/>
      </c>
    </row>
    <row r="226" customFormat="1" s="100">
      <c r="A226" s="22" t="n">
        <v>39692</v>
      </c>
      <c r="B226" s="23">
        <f>VLOOKUP(A226,Database!$E:$AY,MATCH($B$1,Database!$E$1:$AY$1,0),FALSE)</f>
        <v/>
      </c>
      <c r="C226" s="23">
        <f>VLOOKUP(A226,Database!$E:$AY,MATCH($C$1,Database!$E$1:$AY$1,0),FALSE)</f>
        <v/>
      </c>
      <c r="D226" s="23">
        <f>VLOOKUP(A226,Database!$E:$AY,MATCH($D$1,Database!$E$1:$AY$1,0),FALSE)</f>
        <v/>
      </c>
      <c r="E226" s="23">
        <f>VLOOKUP(A226,Database!$E:$AY,MATCH($E$1,Database!$E$1:$AY$1,0),FALSE)</f>
        <v/>
      </c>
      <c r="F226" s="23">
        <f>VLOOKUP(A226,Database!$E:$AY,MATCH($F$1,Database!$E$1:$AY$1,0),FALSE)</f>
        <v/>
      </c>
      <c r="G226" s="23">
        <f>VLOOKUP(A226,Database!$E:$AY,MATCH($G$1,Database!$E$1:$AY$1,0),FALSE)</f>
        <v/>
      </c>
      <c r="H226" s="23">
        <f>(((Table134567891011121314151617343[[#This Row],[ITA]]-VLOOKUP($U$1,A:B,2,))/VLOOKUP($U$1,A:B,2,))*100)+100</f>
        <v/>
      </c>
      <c r="I226" s="23">
        <f>(((Table134567891011121314151617343[[#This Row],[FRA]]-VLOOKUP($U$1,A:C,3,))/VLOOKUP($U$1,A:C,3,))*100)+100</f>
        <v/>
      </c>
      <c r="J226" s="23">
        <f>(((Table134567891011121314151617343[[#This Row],[DEU]]-VLOOKUP($U$1,A:D,4,))/VLOOKUP($U$1,A:D,4,))*100)+100</f>
        <v/>
      </c>
      <c r="K226" s="23">
        <f>(((Table134567891011121314151617343[[#This Row],[ESP]]-VLOOKUP($U$1,A:E,5,))/VLOOKUP($U$1,A:E,5,))*100)+100</f>
        <v/>
      </c>
      <c r="L226" s="23">
        <f>(((Table134567891011121314151617343[[#This Row],[EA19]]-VLOOKUP($U$1,A:F,6,))/VLOOKUP($U$1,A:F,6,))*100)+100</f>
        <v/>
      </c>
      <c r="M226" s="23">
        <f>(((Table134567891011121314151617343[[#This Row],[GBR]]-VLOOKUP($U$1,A:G,7,))/VLOOKUP($U$1,A:G,7,))*100)+100</f>
        <v/>
      </c>
      <c r="N226" s="23">
        <f>VLOOKUP(A226,Database!$E:$AY,MATCH($N$1,Database!$E$1:$AY$1,0),FALSE)</f>
        <v/>
      </c>
      <c r="O226" s="23">
        <f>(((Table134567891011121314151617343[[#This Row],[USA]]-VLOOKUP($U$1,A:N,14,))/VLOOKUP($U$1,A:N,14,))*100)+100</f>
        <v/>
      </c>
      <c r="P226" s="23">
        <f>VLOOKUP(A226,Database!$E:$AY,MATCH($P$1,Database!$E$1:$AY$1,0),FALSE)</f>
        <v/>
      </c>
      <c r="Q226" s="23">
        <f>(((Table134567891011121314151617343[[#This Row],[JPN]]-VLOOKUP($U$1,A:Q,16,))/VLOOKUP($U$1,A:Q,16,))*100)+100</f>
        <v/>
      </c>
    </row>
    <row r="227" customFormat="1" s="100">
      <c r="A227" s="22" t="n">
        <v>39722</v>
      </c>
      <c r="B227" s="23">
        <f>VLOOKUP(A227,Database!$E:$AY,MATCH($B$1,Database!$E$1:$AY$1,0),FALSE)</f>
        <v/>
      </c>
      <c r="C227" s="23">
        <f>VLOOKUP(A227,Database!$E:$AY,MATCH($C$1,Database!$E$1:$AY$1,0),FALSE)</f>
        <v/>
      </c>
      <c r="D227" s="23">
        <f>VLOOKUP(A227,Database!$E:$AY,MATCH($D$1,Database!$E$1:$AY$1,0),FALSE)</f>
        <v/>
      </c>
      <c r="E227" s="23">
        <f>VLOOKUP(A227,Database!$E:$AY,MATCH($E$1,Database!$E$1:$AY$1,0),FALSE)</f>
        <v/>
      </c>
      <c r="F227" s="23">
        <f>VLOOKUP(A227,Database!$E:$AY,MATCH($F$1,Database!$E$1:$AY$1,0),FALSE)</f>
        <v/>
      </c>
      <c r="G227" s="23">
        <f>VLOOKUP(A227,Database!$E:$AY,MATCH($G$1,Database!$E$1:$AY$1,0),FALSE)</f>
        <v/>
      </c>
      <c r="H227" s="23">
        <f>(((Table134567891011121314151617343[[#This Row],[ITA]]-VLOOKUP($U$1,A:B,2,))/VLOOKUP($U$1,A:B,2,))*100)+100</f>
        <v/>
      </c>
      <c r="I227" s="23">
        <f>(((Table134567891011121314151617343[[#This Row],[FRA]]-VLOOKUP($U$1,A:C,3,))/VLOOKUP($U$1,A:C,3,))*100)+100</f>
        <v/>
      </c>
      <c r="J227" s="23">
        <f>(((Table134567891011121314151617343[[#This Row],[DEU]]-VLOOKUP($U$1,A:D,4,))/VLOOKUP($U$1,A:D,4,))*100)+100</f>
        <v/>
      </c>
      <c r="K227" s="23">
        <f>(((Table134567891011121314151617343[[#This Row],[ESP]]-VLOOKUP($U$1,A:E,5,))/VLOOKUP($U$1,A:E,5,))*100)+100</f>
        <v/>
      </c>
      <c r="L227" s="23">
        <f>(((Table134567891011121314151617343[[#This Row],[EA19]]-VLOOKUP($U$1,A:F,6,))/VLOOKUP($U$1,A:F,6,))*100)+100</f>
        <v/>
      </c>
      <c r="M227" s="23">
        <f>(((Table134567891011121314151617343[[#This Row],[GBR]]-VLOOKUP($U$1,A:G,7,))/VLOOKUP($U$1,A:G,7,))*100)+100</f>
        <v/>
      </c>
      <c r="N227" s="23">
        <f>VLOOKUP(A227,Database!$E:$AY,MATCH($N$1,Database!$E$1:$AY$1,0),FALSE)</f>
        <v/>
      </c>
      <c r="O227" s="23">
        <f>(((Table134567891011121314151617343[[#This Row],[USA]]-VLOOKUP($U$1,A:N,14,))/VLOOKUP($U$1,A:N,14,))*100)+100</f>
        <v/>
      </c>
      <c r="P227" s="23">
        <f>VLOOKUP(A227,Database!$E:$AY,MATCH($P$1,Database!$E$1:$AY$1,0),FALSE)</f>
        <v/>
      </c>
      <c r="Q227" s="23">
        <f>(((Table134567891011121314151617343[[#This Row],[JPN]]-VLOOKUP($U$1,A:Q,16,))/VLOOKUP($U$1,A:Q,16,))*100)+100</f>
        <v/>
      </c>
    </row>
    <row r="228" customFormat="1" s="100">
      <c r="A228" s="22" t="n">
        <v>39753</v>
      </c>
      <c r="B228" s="23">
        <f>VLOOKUP(A228,Database!$E:$AY,MATCH($B$1,Database!$E$1:$AY$1,0),FALSE)</f>
        <v/>
      </c>
      <c r="C228" s="23">
        <f>VLOOKUP(A228,Database!$E:$AY,MATCH($C$1,Database!$E$1:$AY$1,0),FALSE)</f>
        <v/>
      </c>
      <c r="D228" s="23">
        <f>VLOOKUP(A228,Database!$E:$AY,MATCH($D$1,Database!$E$1:$AY$1,0),FALSE)</f>
        <v/>
      </c>
      <c r="E228" s="23">
        <f>VLOOKUP(A228,Database!$E:$AY,MATCH($E$1,Database!$E$1:$AY$1,0),FALSE)</f>
        <v/>
      </c>
      <c r="F228" s="23">
        <f>VLOOKUP(A228,Database!$E:$AY,MATCH($F$1,Database!$E$1:$AY$1,0),FALSE)</f>
        <v/>
      </c>
      <c r="G228" s="23">
        <f>VLOOKUP(A228,Database!$E:$AY,MATCH($G$1,Database!$E$1:$AY$1,0),FALSE)</f>
        <v/>
      </c>
      <c r="H228" s="23">
        <f>(((Table134567891011121314151617343[[#This Row],[ITA]]-VLOOKUP($U$1,A:B,2,))/VLOOKUP($U$1,A:B,2,))*100)+100</f>
        <v/>
      </c>
      <c r="I228" s="23">
        <f>(((Table134567891011121314151617343[[#This Row],[FRA]]-VLOOKUP($U$1,A:C,3,))/VLOOKUP($U$1,A:C,3,))*100)+100</f>
        <v/>
      </c>
      <c r="J228" s="23">
        <f>(((Table134567891011121314151617343[[#This Row],[DEU]]-VLOOKUP($U$1,A:D,4,))/VLOOKUP($U$1,A:D,4,))*100)+100</f>
        <v/>
      </c>
      <c r="K228" s="23">
        <f>(((Table134567891011121314151617343[[#This Row],[ESP]]-VLOOKUP($U$1,A:E,5,))/VLOOKUP($U$1,A:E,5,))*100)+100</f>
        <v/>
      </c>
      <c r="L228" s="23">
        <f>(((Table134567891011121314151617343[[#This Row],[EA19]]-VLOOKUP($U$1,A:F,6,))/VLOOKUP($U$1,A:F,6,))*100)+100</f>
        <v/>
      </c>
      <c r="M228" s="23">
        <f>(((Table134567891011121314151617343[[#This Row],[GBR]]-VLOOKUP($U$1,A:G,7,))/VLOOKUP($U$1,A:G,7,))*100)+100</f>
        <v/>
      </c>
      <c r="N228" s="23">
        <f>VLOOKUP(A228,Database!$E:$AY,MATCH($N$1,Database!$E$1:$AY$1,0),FALSE)</f>
        <v/>
      </c>
      <c r="O228" s="23">
        <f>(((Table134567891011121314151617343[[#This Row],[USA]]-VLOOKUP($U$1,A:N,14,))/VLOOKUP($U$1,A:N,14,))*100)+100</f>
        <v/>
      </c>
      <c r="P228" s="23">
        <f>VLOOKUP(A228,Database!$E:$AY,MATCH($P$1,Database!$E$1:$AY$1,0),FALSE)</f>
        <v/>
      </c>
      <c r="Q228" s="23">
        <f>(((Table134567891011121314151617343[[#This Row],[JPN]]-VLOOKUP($U$1,A:Q,16,))/VLOOKUP($U$1,A:Q,16,))*100)+100</f>
        <v/>
      </c>
    </row>
    <row r="229" customFormat="1" s="100">
      <c r="A229" s="22" t="n">
        <v>39783</v>
      </c>
      <c r="B229" s="23">
        <f>VLOOKUP(A229,Database!$E:$AY,MATCH($B$1,Database!$E$1:$AY$1,0),FALSE)</f>
        <v/>
      </c>
      <c r="C229" s="23">
        <f>VLOOKUP(A229,Database!$E:$AY,MATCH($C$1,Database!$E$1:$AY$1,0),FALSE)</f>
        <v/>
      </c>
      <c r="D229" s="23">
        <f>VLOOKUP(A229,Database!$E:$AY,MATCH($D$1,Database!$E$1:$AY$1,0),FALSE)</f>
        <v/>
      </c>
      <c r="E229" s="23">
        <f>VLOOKUP(A229,Database!$E:$AY,MATCH($E$1,Database!$E$1:$AY$1,0),FALSE)</f>
        <v/>
      </c>
      <c r="F229" s="23">
        <f>VLOOKUP(A229,Database!$E:$AY,MATCH($F$1,Database!$E$1:$AY$1,0),FALSE)</f>
        <v/>
      </c>
      <c r="G229" s="23">
        <f>VLOOKUP(A229,Database!$E:$AY,MATCH($G$1,Database!$E$1:$AY$1,0),FALSE)</f>
        <v/>
      </c>
      <c r="H229" s="23">
        <f>(((Table134567891011121314151617343[[#This Row],[ITA]]-VLOOKUP($U$1,A:B,2,))/VLOOKUP($U$1,A:B,2,))*100)+100</f>
        <v/>
      </c>
      <c r="I229" s="23">
        <f>(((Table134567891011121314151617343[[#This Row],[FRA]]-VLOOKUP($U$1,A:C,3,))/VLOOKUP($U$1,A:C,3,))*100)+100</f>
        <v/>
      </c>
      <c r="J229" s="23">
        <f>(((Table134567891011121314151617343[[#This Row],[DEU]]-VLOOKUP($U$1,A:D,4,))/VLOOKUP($U$1,A:D,4,))*100)+100</f>
        <v/>
      </c>
      <c r="K229" s="23">
        <f>(((Table134567891011121314151617343[[#This Row],[ESP]]-VLOOKUP($U$1,A:E,5,))/VLOOKUP($U$1,A:E,5,))*100)+100</f>
        <v/>
      </c>
      <c r="L229" s="23">
        <f>(((Table134567891011121314151617343[[#This Row],[EA19]]-VLOOKUP($U$1,A:F,6,))/VLOOKUP($U$1,A:F,6,))*100)+100</f>
        <v/>
      </c>
      <c r="M229" s="23">
        <f>(((Table134567891011121314151617343[[#This Row],[GBR]]-VLOOKUP($U$1,A:G,7,))/VLOOKUP($U$1,A:G,7,))*100)+100</f>
        <v/>
      </c>
      <c r="N229" s="23">
        <f>VLOOKUP(A229,Database!$E:$AY,MATCH($N$1,Database!$E$1:$AY$1,0),FALSE)</f>
        <v/>
      </c>
      <c r="O229" s="23">
        <f>(((Table134567891011121314151617343[[#This Row],[USA]]-VLOOKUP($U$1,A:N,14,))/VLOOKUP($U$1,A:N,14,))*100)+100</f>
        <v/>
      </c>
      <c r="P229" s="23">
        <f>VLOOKUP(A229,Database!$E:$AY,MATCH($P$1,Database!$E$1:$AY$1,0),FALSE)</f>
        <v/>
      </c>
      <c r="Q229" s="23">
        <f>(((Table134567891011121314151617343[[#This Row],[JPN]]-VLOOKUP($U$1,A:Q,16,))/VLOOKUP($U$1,A:Q,16,))*100)+100</f>
        <v/>
      </c>
    </row>
    <row r="230" customFormat="1" s="100">
      <c r="A230" s="22" t="n">
        <v>39814</v>
      </c>
      <c r="B230" s="23">
        <f>VLOOKUP(A230,Database!$E:$AY,MATCH($B$1,Database!$E$1:$AY$1,0),FALSE)</f>
        <v/>
      </c>
      <c r="C230" s="23">
        <f>VLOOKUP(A230,Database!$E:$AY,MATCH($C$1,Database!$E$1:$AY$1,0),FALSE)</f>
        <v/>
      </c>
      <c r="D230" s="23">
        <f>VLOOKUP(A230,Database!$E:$AY,MATCH($D$1,Database!$E$1:$AY$1,0),FALSE)</f>
        <v/>
      </c>
      <c r="E230" s="23">
        <f>VLOOKUP(A230,Database!$E:$AY,MATCH($E$1,Database!$E$1:$AY$1,0),FALSE)</f>
        <v/>
      </c>
      <c r="F230" s="23">
        <f>VLOOKUP(A230,Database!$E:$AY,MATCH($F$1,Database!$E$1:$AY$1,0),FALSE)</f>
        <v/>
      </c>
      <c r="G230" s="23">
        <f>VLOOKUP(A230,Database!$E:$AY,MATCH($G$1,Database!$E$1:$AY$1,0),FALSE)</f>
        <v/>
      </c>
      <c r="H230" s="23">
        <f>(((Table134567891011121314151617343[[#This Row],[ITA]]-VLOOKUP($U$1,A:B,2,))/VLOOKUP($U$1,A:B,2,))*100)+100</f>
        <v/>
      </c>
      <c r="I230" s="23">
        <f>(((Table134567891011121314151617343[[#This Row],[FRA]]-VLOOKUP($U$1,A:C,3,))/VLOOKUP($U$1,A:C,3,))*100)+100</f>
        <v/>
      </c>
      <c r="J230" s="23">
        <f>(((Table134567891011121314151617343[[#This Row],[DEU]]-VLOOKUP($U$1,A:D,4,))/VLOOKUP($U$1,A:D,4,))*100)+100</f>
        <v/>
      </c>
      <c r="K230" s="23">
        <f>(((Table134567891011121314151617343[[#This Row],[ESP]]-VLOOKUP($U$1,A:E,5,))/VLOOKUP($U$1,A:E,5,))*100)+100</f>
        <v/>
      </c>
      <c r="L230" s="23">
        <f>(((Table134567891011121314151617343[[#This Row],[EA19]]-VLOOKUP($U$1,A:F,6,))/VLOOKUP($U$1,A:F,6,))*100)+100</f>
        <v/>
      </c>
      <c r="M230" s="23">
        <f>(((Table134567891011121314151617343[[#This Row],[GBR]]-VLOOKUP($U$1,A:G,7,))/VLOOKUP($U$1,A:G,7,))*100)+100</f>
        <v/>
      </c>
      <c r="N230" s="23">
        <f>VLOOKUP(A230,Database!$E:$AY,MATCH($N$1,Database!$E$1:$AY$1,0),FALSE)</f>
        <v/>
      </c>
      <c r="O230" s="23">
        <f>(((Table134567891011121314151617343[[#This Row],[USA]]-VLOOKUP($U$1,A:N,14,))/VLOOKUP($U$1,A:N,14,))*100)+100</f>
        <v/>
      </c>
      <c r="P230" s="23">
        <f>VLOOKUP(A230,Database!$E:$AY,MATCH($P$1,Database!$E$1:$AY$1,0),FALSE)</f>
        <v/>
      </c>
      <c r="Q230" s="23">
        <f>(((Table134567891011121314151617343[[#This Row],[JPN]]-VLOOKUP($U$1,A:Q,16,))/VLOOKUP($U$1,A:Q,16,))*100)+100</f>
        <v/>
      </c>
    </row>
    <row r="231" customFormat="1" s="100">
      <c r="A231" s="22" t="n">
        <v>39845</v>
      </c>
      <c r="B231" s="23">
        <f>VLOOKUP(A231,Database!$E:$AY,MATCH($B$1,Database!$E$1:$AY$1,0),FALSE)</f>
        <v/>
      </c>
      <c r="C231" s="23">
        <f>VLOOKUP(A231,Database!$E:$AY,MATCH($C$1,Database!$E$1:$AY$1,0),FALSE)</f>
        <v/>
      </c>
      <c r="D231" s="23">
        <f>VLOOKUP(A231,Database!$E:$AY,MATCH($D$1,Database!$E$1:$AY$1,0),FALSE)</f>
        <v/>
      </c>
      <c r="E231" s="23">
        <f>VLOOKUP(A231,Database!$E:$AY,MATCH($E$1,Database!$E$1:$AY$1,0),FALSE)</f>
        <v/>
      </c>
      <c r="F231" s="23">
        <f>VLOOKUP(A231,Database!$E:$AY,MATCH($F$1,Database!$E$1:$AY$1,0),FALSE)</f>
        <v/>
      </c>
      <c r="G231" s="23">
        <f>VLOOKUP(A231,Database!$E:$AY,MATCH($G$1,Database!$E$1:$AY$1,0),FALSE)</f>
        <v/>
      </c>
      <c r="H231" s="23">
        <f>(((Table134567891011121314151617343[[#This Row],[ITA]]-VLOOKUP($U$1,A:B,2,))/VLOOKUP($U$1,A:B,2,))*100)+100</f>
        <v/>
      </c>
      <c r="I231" s="23">
        <f>(((Table134567891011121314151617343[[#This Row],[FRA]]-VLOOKUP($U$1,A:C,3,))/VLOOKUP($U$1,A:C,3,))*100)+100</f>
        <v/>
      </c>
      <c r="J231" s="23">
        <f>(((Table134567891011121314151617343[[#This Row],[DEU]]-VLOOKUP($U$1,A:D,4,))/VLOOKUP($U$1,A:D,4,))*100)+100</f>
        <v/>
      </c>
      <c r="K231" s="23">
        <f>(((Table134567891011121314151617343[[#This Row],[ESP]]-VLOOKUP($U$1,A:E,5,))/VLOOKUP($U$1,A:E,5,))*100)+100</f>
        <v/>
      </c>
      <c r="L231" s="23">
        <f>(((Table134567891011121314151617343[[#This Row],[EA19]]-VLOOKUP($U$1,A:F,6,))/VLOOKUP($U$1,A:F,6,))*100)+100</f>
        <v/>
      </c>
      <c r="M231" s="23">
        <f>(((Table134567891011121314151617343[[#This Row],[GBR]]-VLOOKUP($U$1,A:G,7,))/VLOOKUP($U$1,A:G,7,))*100)+100</f>
        <v/>
      </c>
      <c r="N231" s="23">
        <f>VLOOKUP(A231,Database!$E:$AY,MATCH($N$1,Database!$E$1:$AY$1,0),FALSE)</f>
        <v/>
      </c>
      <c r="O231" s="23">
        <f>(((Table134567891011121314151617343[[#This Row],[USA]]-VLOOKUP($U$1,A:N,14,))/VLOOKUP($U$1,A:N,14,))*100)+100</f>
        <v/>
      </c>
      <c r="P231" s="23">
        <f>VLOOKUP(A231,Database!$E:$AY,MATCH($P$1,Database!$E$1:$AY$1,0),FALSE)</f>
        <v/>
      </c>
      <c r="Q231" s="23">
        <f>(((Table134567891011121314151617343[[#This Row],[JPN]]-VLOOKUP($U$1,A:Q,16,))/VLOOKUP($U$1,A:Q,16,))*100)+100</f>
        <v/>
      </c>
    </row>
    <row r="232" customFormat="1" s="100">
      <c r="A232" s="22" t="n">
        <v>39873</v>
      </c>
      <c r="B232" s="23">
        <f>VLOOKUP(A232,Database!$E:$AY,MATCH($B$1,Database!$E$1:$AY$1,0),FALSE)</f>
        <v/>
      </c>
      <c r="C232" s="23">
        <f>VLOOKUP(A232,Database!$E:$AY,MATCH($C$1,Database!$E$1:$AY$1,0),FALSE)</f>
        <v/>
      </c>
      <c r="D232" s="23">
        <f>VLOOKUP(A232,Database!$E:$AY,MATCH($D$1,Database!$E$1:$AY$1,0),FALSE)</f>
        <v/>
      </c>
      <c r="E232" s="23">
        <f>VLOOKUP(A232,Database!$E:$AY,MATCH($E$1,Database!$E$1:$AY$1,0),FALSE)</f>
        <v/>
      </c>
      <c r="F232" s="23">
        <f>VLOOKUP(A232,Database!$E:$AY,MATCH($F$1,Database!$E$1:$AY$1,0),FALSE)</f>
        <v/>
      </c>
      <c r="G232" s="23">
        <f>VLOOKUP(A232,Database!$E:$AY,MATCH($G$1,Database!$E$1:$AY$1,0),FALSE)</f>
        <v/>
      </c>
      <c r="H232" s="23">
        <f>(((Table134567891011121314151617343[[#This Row],[ITA]]-VLOOKUP($U$1,A:B,2,))/VLOOKUP($U$1,A:B,2,))*100)+100</f>
        <v/>
      </c>
      <c r="I232" s="23">
        <f>(((Table134567891011121314151617343[[#This Row],[FRA]]-VLOOKUP($U$1,A:C,3,))/VLOOKUP($U$1,A:C,3,))*100)+100</f>
        <v/>
      </c>
      <c r="J232" s="23">
        <f>(((Table134567891011121314151617343[[#This Row],[DEU]]-VLOOKUP($U$1,A:D,4,))/VLOOKUP($U$1,A:D,4,))*100)+100</f>
        <v/>
      </c>
      <c r="K232" s="23">
        <f>(((Table134567891011121314151617343[[#This Row],[ESP]]-VLOOKUP($U$1,A:E,5,))/VLOOKUP($U$1,A:E,5,))*100)+100</f>
        <v/>
      </c>
      <c r="L232" s="23">
        <f>(((Table134567891011121314151617343[[#This Row],[EA19]]-VLOOKUP($U$1,A:F,6,))/VLOOKUP($U$1,A:F,6,))*100)+100</f>
        <v/>
      </c>
      <c r="M232" s="23">
        <f>(((Table134567891011121314151617343[[#This Row],[GBR]]-VLOOKUP($U$1,A:G,7,))/VLOOKUP($U$1,A:G,7,))*100)+100</f>
        <v/>
      </c>
      <c r="N232" s="23">
        <f>VLOOKUP(A232,Database!$E:$AY,MATCH($N$1,Database!$E$1:$AY$1,0),FALSE)</f>
        <v/>
      </c>
      <c r="O232" s="23">
        <f>(((Table134567891011121314151617343[[#This Row],[USA]]-VLOOKUP($U$1,A:N,14,))/VLOOKUP($U$1,A:N,14,))*100)+100</f>
        <v/>
      </c>
      <c r="P232" s="23">
        <f>VLOOKUP(A232,Database!$E:$AY,MATCH($P$1,Database!$E$1:$AY$1,0),FALSE)</f>
        <v/>
      </c>
      <c r="Q232" s="23">
        <f>(((Table134567891011121314151617343[[#This Row],[JPN]]-VLOOKUP($U$1,A:Q,16,))/VLOOKUP($U$1,A:Q,16,))*100)+100</f>
        <v/>
      </c>
    </row>
    <row r="233" customFormat="1" s="100">
      <c r="A233" s="22" t="n">
        <v>39904</v>
      </c>
      <c r="B233" s="23">
        <f>VLOOKUP(A233,Database!$E:$AY,MATCH($B$1,Database!$E$1:$AY$1,0),FALSE)</f>
        <v/>
      </c>
      <c r="C233" s="23">
        <f>VLOOKUP(A233,Database!$E:$AY,MATCH($C$1,Database!$E$1:$AY$1,0),FALSE)</f>
        <v/>
      </c>
      <c r="D233" s="23">
        <f>VLOOKUP(A233,Database!$E:$AY,MATCH($D$1,Database!$E$1:$AY$1,0),FALSE)</f>
        <v/>
      </c>
      <c r="E233" s="23">
        <f>VLOOKUP(A233,Database!$E:$AY,MATCH($E$1,Database!$E$1:$AY$1,0),FALSE)</f>
        <v/>
      </c>
      <c r="F233" s="23">
        <f>VLOOKUP(A233,Database!$E:$AY,MATCH($F$1,Database!$E$1:$AY$1,0),FALSE)</f>
        <v/>
      </c>
      <c r="G233" s="23">
        <f>VLOOKUP(A233,Database!$E:$AY,MATCH($G$1,Database!$E$1:$AY$1,0),FALSE)</f>
        <v/>
      </c>
      <c r="H233" s="23">
        <f>(((Table134567891011121314151617343[[#This Row],[ITA]]-VLOOKUP($U$1,A:B,2,))/VLOOKUP($U$1,A:B,2,))*100)+100</f>
        <v/>
      </c>
      <c r="I233" s="23">
        <f>(((Table134567891011121314151617343[[#This Row],[FRA]]-VLOOKUP($U$1,A:C,3,))/VLOOKUP($U$1,A:C,3,))*100)+100</f>
        <v/>
      </c>
      <c r="J233" s="23">
        <f>(((Table134567891011121314151617343[[#This Row],[DEU]]-VLOOKUP($U$1,A:D,4,))/VLOOKUP($U$1,A:D,4,))*100)+100</f>
        <v/>
      </c>
      <c r="K233" s="23">
        <f>(((Table134567891011121314151617343[[#This Row],[ESP]]-VLOOKUP($U$1,A:E,5,))/VLOOKUP($U$1,A:E,5,))*100)+100</f>
        <v/>
      </c>
      <c r="L233" s="23">
        <f>(((Table134567891011121314151617343[[#This Row],[EA19]]-VLOOKUP($U$1,A:F,6,))/VLOOKUP($U$1,A:F,6,))*100)+100</f>
        <v/>
      </c>
      <c r="M233" s="23">
        <f>(((Table134567891011121314151617343[[#This Row],[GBR]]-VLOOKUP($U$1,A:G,7,))/VLOOKUP($U$1,A:G,7,))*100)+100</f>
        <v/>
      </c>
      <c r="N233" s="23">
        <f>VLOOKUP(A233,Database!$E:$AY,MATCH($N$1,Database!$E$1:$AY$1,0),FALSE)</f>
        <v/>
      </c>
      <c r="O233" s="23">
        <f>(((Table134567891011121314151617343[[#This Row],[USA]]-VLOOKUP($U$1,A:N,14,))/VLOOKUP($U$1,A:N,14,))*100)+100</f>
        <v/>
      </c>
      <c r="P233" s="23">
        <f>VLOOKUP(A233,Database!$E:$AY,MATCH($P$1,Database!$E$1:$AY$1,0),FALSE)</f>
        <v/>
      </c>
      <c r="Q233" s="23">
        <f>(((Table134567891011121314151617343[[#This Row],[JPN]]-VLOOKUP($U$1,A:Q,16,))/VLOOKUP($U$1,A:Q,16,))*100)+100</f>
        <v/>
      </c>
    </row>
    <row r="234" customFormat="1" s="100">
      <c r="A234" s="22" t="n">
        <v>39934</v>
      </c>
      <c r="B234" s="23">
        <f>VLOOKUP(A234,Database!$E:$AY,MATCH($B$1,Database!$E$1:$AY$1,0),FALSE)</f>
        <v/>
      </c>
      <c r="C234" s="23">
        <f>VLOOKUP(A234,Database!$E:$AY,MATCH($C$1,Database!$E$1:$AY$1,0),FALSE)</f>
        <v/>
      </c>
      <c r="D234" s="23">
        <f>VLOOKUP(A234,Database!$E:$AY,MATCH($D$1,Database!$E$1:$AY$1,0),FALSE)</f>
        <v/>
      </c>
      <c r="E234" s="23">
        <f>VLOOKUP(A234,Database!$E:$AY,MATCH($E$1,Database!$E$1:$AY$1,0),FALSE)</f>
        <v/>
      </c>
      <c r="F234" s="23">
        <f>VLOOKUP(A234,Database!$E:$AY,MATCH($F$1,Database!$E$1:$AY$1,0),FALSE)</f>
        <v/>
      </c>
      <c r="G234" s="23">
        <f>VLOOKUP(A234,Database!$E:$AY,MATCH($G$1,Database!$E$1:$AY$1,0),FALSE)</f>
        <v/>
      </c>
      <c r="H234" s="23">
        <f>(((Table134567891011121314151617343[[#This Row],[ITA]]-VLOOKUP($U$1,A:B,2,))/VLOOKUP($U$1,A:B,2,))*100)+100</f>
        <v/>
      </c>
      <c r="I234" s="23">
        <f>(((Table134567891011121314151617343[[#This Row],[FRA]]-VLOOKUP($U$1,A:C,3,))/VLOOKUP($U$1,A:C,3,))*100)+100</f>
        <v/>
      </c>
      <c r="J234" s="23">
        <f>(((Table134567891011121314151617343[[#This Row],[DEU]]-VLOOKUP($U$1,A:D,4,))/VLOOKUP($U$1,A:D,4,))*100)+100</f>
        <v/>
      </c>
      <c r="K234" s="23">
        <f>(((Table134567891011121314151617343[[#This Row],[ESP]]-VLOOKUP($U$1,A:E,5,))/VLOOKUP($U$1,A:E,5,))*100)+100</f>
        <v/>
      </c>
      <c r="L234" s="23">
        <f>(((Table134567891011121314151617343[[#This Row],[EA19]]-VLOOKUP($U$1,A:F,6,))/VLOOKUP($U$1,A:F,6,))*100)+100</f>
        <v/>
      </c>
      <c r="M234" s="23">
        <f>(((Table134567891011121314151617343[[#This Row],[GBR]]-VLOOKUP($U$1,A:G,7,))/VLOOKUP($U$1,A:G,7,))*100)+100</f>
        <v/>
      </c>
      <c r="N234" s="23">
        <f>VLOOKUP(A234,Database!$E:$AY,MATCH($N$1,Database!$E$1:$AY$1,0),FALSE)</f>
        <v/>
      </c>
      <c r="O234" s="23">
        <f>(((Table134567891011121314151617343[[#This Row],[USA]]-VLOOKUP($U$1,A:N,14,))/VLOOKUP($U$1,A:N,14,))*100)+100</f>
        <v/>
      </c>
      <c r="P234" s="23">
        <f>VLOOKUP(A234,Database!$E:$AY,MATCH($P$1,Database!$E$1:$AY$1,0),FALSE)</f>
        <v/>
      </c>
      <c r="Q234" s="23">
        <f>(((Table134567891011121314151617343[[#This Row],[JPN]]-VLOOKUP($U$1,A:Q,16,))/VLOOKUP($U$1,A:Q,16,))*100)+100</f>
        <v/>
      </c>
    </row>
    <row r="235" customFormat="1" s="100">
      <c r="A235" s="22" t="n">
        <v>39965</v>
      </c>
      <c r="B235" s="23">
        <f>VLOOKUP(A235,Database!$E:$AY,MATCH($B$1,Database!$E$1:$AY$1,0),FALSE)</f>
        <v/>
      </c>
      <c r="C235" s="23">
        <f>VLOOKUP(A235,Database!$E:$AY,MATCH($C$1,Database!$E$1:$AY$1,0),FALSE)</f>
        <v/>
      </c>
      <c r="D235" s="23">
        <f>VLOOKUP(A235,Database!$E:$AY,MATCH($D$1,Database!$E$1:$AY$1,0),FALSE)</f>
        <v/>
      </c>
      <c r="E235" s="23">
        <f>VLOOKUP(A235,Database!$E:$AY,MATCH($E$1,Database!$E$1:$AY$1,0),FALSE)</f>
        <v/>
      </c>
      <c r="F235" s="23">
        <f>VLOOKUP(A235,Database!$E:$AY,MATCH($F$1,Database!$E$1:$AY$1,0),FALSE)</f>
        <v/>
      </c>
      <c r="G235" s="23">
        <f>VLOOKUP(A235,Database!$E:$AY,MATCH($G$1,Database!$E$1:$AY$1,0),FALSE)</f>
        <v/>
      </c>
      <c r="H235" s="23">
        <f>(((Table134567891011121314151617343[[#This Row],[ITA]]-VLOOKUP($U$1,A:B,2,))/VLOOKUP($U$1,A:B,2,))*100)+100</f>
        <v/>
      </c>
      <c r="I235" s="23">
        <f>(((Table134567891011121314151617343[[#This Row],[FRA]]-VLOOKUP($U$1,A:C,3,))/VLOOKUP($U$1,A:C,3,))*100)+100</f>
        <v/>
      </c>
      <c r="J235" s="23">
        <f>(((Table134567891011121314151617343[[#This Row],[DEU]]-VLOOKUP($U$1,A:D,4,))/VLOOKUP($U$1,A:D,4,))*100)+100</f>
        <v/>
      </c>
      <c r="K235" s="23">
        <f>(((Table134567891011121314151617343[[#This Row],[ESP]]-VLOOKUP($U$1,A:E,5,))/VLOOKUP($U$1,A:E,5,))*100)+100</f>
        <v/>
      </c>
      <c r="L235" s="23">
        <f>(((Table134567891011121314151617343[[#This Row],[EA19]]-VLOOKUP($U$1,A:F,6,))/VLOOKUP($U$1,A:F,6,))*100)+100</f>
        <v/>
      </c>
      <c r="M235" s="23">
        <f>(((Table134567891011121314151617343[[#This Row],[GBR]]-VLOOKUP($U$1,A:G,7,))/VLOOKUP($U$1,A:G,7,))*100)+100</f>
        <v/>
      </c>
      <c r="N235" s="23">
        <f>VLOOKUP(A235,Database!$E:$AY,MATCH($N$1,Database!$E$1:$AY$1,0),FALSE)</f>
        <v/>
      </c>
      <c r="O235" s="23">
        <f>(((Table134567891011121314151617343[[#This Row],[USA]]-VLOOKUP($U$1,A:N,14,))/VLOOKUP($U$1,A:N,14,))*100)+100</f>
        <v/>
      </c>
      <c r="P235" s="23">
        <f>VLOOKUP(A235,Database!$E:$AY,MATCH($P$1,Database!$E$1:$AY$1,0),FALSE)</f>
        <v/>
      </c>
      <c r="Q235" s="23">
        <f>(((Table134567891011121314151617343[[#This Row],[JPN]]-VLOOKUP($U$1,A:Q,16,))/VLOOKUP($U$1,A:Q,16,))*100)+100</f>
        <v/>
      </c>
    </row>
    <row r="236" customFormat="1" s="100">
      <c r="A236" s="22" t="n">
        <v>39995</v>
      </c>
      <c r="B236" s="23">
        <f>VLOOKUP(A236,Database!$E:$AY,MATCH($B$1,Database!$E$1:$AY$1,0),FALSE)</f>
        <v/>
      </c>
      <c r="C236" s="23">
        <f>VLOOKUP(A236,Database!$E:$AY,MATCH($C$1,Database!$E$1:$AY$1,0),FALSE)</f>
        <v/>
      </c>
      <c r="D236" s="23">
        <f>VLOOKUP(A236,Database!$E:$AY,MATCH($D$1,Database!$E$1:$AY$1,0),FALSE)</f>
        <v/>
      </c>
      <c r="E236" s="23">
        <f>VLOOKUP(A236,Database!$E:$AY,MATCH($E$1,Database!$E$1:$AY$1,0),FALSE)</f>
        <v/>
      </c>
      <c r="F236" s="23">
        <f>VLOOKUP(A236,Database!$E:$AY,MATCH($F$1,Database!$E$1:$AY$1,0),FALSE)</f>
        <v/>
      </c>
      <c r="G236" s="23">
        <f>VLOOKUP(A236,Database!$E:$AY,MATCH($G$1,Database!$E$1:$AY$1,0),FALSE)</f>
        <v/>
      </c>
      <c r="H236" s="23">
        <f>(((Table134567891011121314151617343[[#This Row],[ITA]]-VLOOKUP($U$1,A:B,2,))/VLOOKUP($U$1,A:B,2,))*100)+100</f>
        <v/>
      </c>
      <c r="I236" s="23">
        <f>(((Table134567891011121314151617343[[#This Row],[FRA]]-VLOOKUP($U$1,A:C,3,))/VLOOKUP($U$1,A:C,3,))*100)+100</f>
        <v/>
      </c>
      <c r="J236" s="23">
        <f>(((Table134567891011121314151617343[[#This Row],[DEU]]-VLOOKUP($U$1,A:D,4,))/VLOOKUP($U$1,A:D,4,))*100)+100</f>
        <v/>
      </c>
      <c r="K236" s="23">
        <f>(((Table134567891011121314151617343[[#This Row],[ESP]]-VLOOKUP($U$1,A:E,5,))/VLOOKUP($U$1,A:E,5,))*100)+100</f>
        <v/>
      </c>
      <c r="L236" s="23">
        <f>(((Table134567891011121314151617343[[#This Row],[EA19]]-VLOOKUP($U$1,A:F,6,))/VLOOKUP($U$1,A:F,6,))*100)+100</f>
        <v/>
      </c>
      <c r="M236" s="23">
        <f>(((Table134567891011121314151617343[[#This Row],[GBR]]-VLOOKUP($U$1,A:G,7,))/VLOOKUP($U$1,A:G,7,))*100)+100</f>
        <v/>
      </c>
      <c r="N236" s="23">
        <f>VLOOKUP(A236,Database!$E:$AY,MATCH($N$1,Database!$E$1:$AY$1,0),FALSE)</f>
        <v/>
      </c>
      <c r="O236" s="23">
        <f>(((Table134567891011121314151617343[[#This Row],[USA]]-VLOOKUP($U$1,A:N,14,))/VLOOKUP($U$1,A:N,14,))*100)+100</f>
        <v/>
      </c>
      <c r="P236" s="23">
        <f>VLOOKUP(A236,Database!$E:$AY,MATCH($P$1,Database!$E$1:$AY$1,0),FALSE)</f>
        <v/>
      </c>
      <c r="Q236" s="23">
        <f>(((Table134567891011121314151617343[[#This Row],[JPN]]-VLOOKUP($U$1,A:Q,16,))/VLOOKUP($U$1,A:Q,16,))*100)+100</f>
        <v/>
      </c>
    </row>
    <row r="237" customFormat="1" s="100">
      <c r="A237" s="22" t="n">
        <v>40026</v>
      </c>
      <c r="B237" s="23">
        <f>VLOOKUP(A237,Database!$E:$AY,MATCH($B$1,Database!$E$1:$AY$1,0),FALSE)</f>
        <v/>
      </c>
      <c r="C237" s="23">
        <f>VLOOKUP(A237,Database!$E:$AY,MATCH($C$1,Database!$E$1:$AY$1,0),FALSE)</f>
        <v/>
      </c>
      <c r="D237" s="23">
        <f>VLOOKUP(A237,Database!$E:$AY,MATCH($D$1,Database!$E$1:$AY$1,0),FALSE)</f>
        <v/>
      </c>
      <c r="E237" s="23">
        <f>VLOOKUP(A237,Database!$E:$AY,MATCH($E$1,Database!$E$1:$AY$1,0),FALSE)</f>
        <v/>
      </c>
      <c r="F237" s="23">
        <f>VLOOKUP(A237,Database!$E:$AY,MATCH($F$1,Database!$E$1:$AY$1,0),FALSE)</f>
        <v/>
      </c>
      <c r="G237" s="23">
        <f>VLOOKUP(A237,Database!$E:$AY,MATCH($G$1,Database!$E$1:$AY$1,0),FALSE)</f>
        <v/>
      </c>
      <c r="H237" s="23">
        <f>(((Table134567891011121314151617343[[#This Row],[ITA]]-VLOOKUP($U$1,A:B,2,))/VLOOKUP($U$1,A:B,2,))*100)+100</f>
        <v/>
      </c>
      <c r="I237" s="23">
        <f>(((Table134567891011121314151617343[[#This Row],[FRA]]-VLOOKUP($U$1,A:C,3,))/VLOOKUP($U$1,A:C,3,))*100)+100</f>
        <v/>
      </c>
      <c r="J237" s="23">
        <f>(((Table134567891011121314151617343[[#This Row],[DEU]]-VLOOKUP($U$1,A:D,4,))/VLOOKUP($U$1,A:D,4,))*100)+100</f>
        <v/>
      </c>
      <c r="K237" s="23">
        <f>(((Table134567891011121314151617343[[#This Row],[ESP]]-VLOOKUP($U$1,A:E,5,))/VLOOKUP($U$1,A:E,5,))*100)+100</f>
        <v/>
      </c>
      <c r="L237" s="23">
        <f>(((Table134567891011121314151617343[[#This Row],[EA19]]-VLOOKUP($U$1,A:F,6,))/VLOOKUP($U$1,A:F,6,))*100)+100</f>
        <v/>
      </c>
      <c r="M237" s="23">
        <f>(((Table134567891011121314151617343[[#This Row],[GBR]]-VLOOKUP($U$1,A:G,7,))/VLOOKUP($U$1,A:G,7,))*100)+100</f>
        <v/>
      </c>
      <c r="N237" s="23">
        <f>VLOOKUP(A237,Database!$E:$AY,MATCH($N$1,Database!$E$1:$AY$1,0),FALSE)</f>
        <v/>
      </c>
      <c r="O237" s="23">
        <f>(((Table134567891011121314151617343[[#This Row],[USA]]-VLOOKUP($U$1,A:N,14,))/VLOOKUP($U$1,A:N,14,))*100)+100</f>
        <v/>
      </c>
      <c r="P237" s="23">
        <f>VLOOKUP(A237,Database!$E:$AY,MATCH($P$1,Database!$E$1:$AY$1,0),FALSE)</f>
        <v/>
      </c>
      <c r="Q237" s="23">
        <f>(((Table134567891011121314151617343[[#This Row],[JPN]]-VLOOKUP($U$1,A:Q,16,))/VLOOKUP($U$1,A:Q,16,))*100)+100</f>
        <v/>
      </c>
    </row>
    <row r="238" customFormat="1" s="100">
      <c r="A238" s="22" t="n">
        <v>40057</v>
      </c>
      <c r="B238" s="23">
        <f>VLOOKUP(A238,Database!$E:$AY,MATCH($B$1,Database!$E$1:$AY$1,0),FALSE)</f>
        <v/>
      </c>
      <c r="C238" s="23">
        <f>VLOOKUP(A238,Database!$E:$AY,MATCH($C$1,Database!$E$1:$AY$1,0),FALSE)</f>
        <v/>
      </c>
      <c r="D238" s="23">
        <f>VLOOKUP(A238,Database!$E:$AY,MATCH($D$1,Database!$E$1:$AY$1,0),FALSE)</f>
        <v/>
      </c>
      <c r="E238" s="23">
        <f>VLOOKUP(A238,Database!$E:$AY,MATCH($E$1,Database!$E$1:$AY$1,0),FALSE)</f>
        <v/>
      </c>
      <c r="F238" s="23">
        <f>VLOOKUP(A238,Database!$E:$AY,MATCH($F$1,Database!$E$1:$AY$1,0),FALSE)</f>
        <v/>
      </c>
      <c r="G238" s="23">
        <f>VLOOKUP(A238,Database!$E:$AY,MATCH($G$1,Database!$E$1:$AY$1,0),FALSE)</f>
        <v/>
      </c>
      <c r="H238" s="23">
        <f>(((Table134567891011121314151617343[[#This Row],[ITA]]-VLOOKUP($U$1,A:B,2,))/VLOOKUP($U$1,A:B,2,))*100)+100</f>
        <v/>
      </c>
      <c r="I238" s="23">
        <f>(((Table134567891011121314151617343[[#This Row],[FRA]]-VLOOKUP($U$1,A:C,3,))/VLOOKUP($U$1,A:C,3,))*100)+100</f>
        <v/>
      </c>
      <c r="J238" s="23">
        <f>(((Table134567891011121314151617343[[#This Row],[DEU]]-VLOOKUP($U$1,A:D,4,))/VLOOKUP($U$1,A:D,4,))*100)+100</f>
        <v/>
      </c>
      <c r="K238" s="23">
        <f>(((Table134567891011121314151617343[[#This Row],[ESP]]-VLOOKUP($U$1,A:E,5,))/VLOOKUP($U$1,A:E,5,))*100)+100</f>
        <v/>
      </c>
      <c r="L238" s="23">
        <f>(((Table134567891011121314151617343[[#This Row],[EA19]]-VLOOKUP($U$1,A:F,6,))/VLOOKUP($U$1,A:F,6,))*100)+100</f>
        <v/>
      </c>
      <c r="M238" s="23">
        <f>(((Table134567891011121314151617343[[#This Row],[GBR]]-VLOOKUP($U$1,A:G,7,))/VLOOKUP($U$1,A:G,7,))*100)+100</f>
        <v/>
      </c>
      <c r="N238" s="23">
        <f>VLOOKUP(A238,Database!$E:$AY,MATCH($N$1,Database!$E$1:$AY$1,0),FALSE)</f>
        <v/>
      </c>
      <c r="O238" s="23">
        <f>(((Table134567891011121314151617343[[#This Row],[USA]]-VLOOKUP($U$1,A:N,14,))/VLOOKUP($U$1,A:N,14,))*100)+100</f>
        <v/>
      </c>
      <c r="P238" s="23">
        <f>VLOOKUP(A238,Database!$E:$AY,MATCH($P$1,Database!$E$1:$AY$1,0),FALSE)</f>
        <v/>
      </c>
      <c r="Q238" s="23">
        <f>(((Table134567891011121314151617343[[#This Row],[JPN]]-VLOOKUP($U$1,A:Q,16,))/VLOOKUP($U$1,A:Q,16,))*100)+100</f>
        <v/>
      </c>
    </row>
    <row r="239" customFormat="1" s="100">
      <c r="A239" s="22" t="n">
        <v>40087</v>
      </c>
      <c r="B239" s="23">
        <f>VLOOKUP(A239,Database!$E:$AY,MATCH($B$1,Database!$E$1:$AY$1,0),FALSE)</f>
        <v/>
      </c>
      <c r="C239" s="23">
        <f>VLOOKUP(A239,Database!$E:$AY,MATCH($C$1,Database!$E$1:$AY$1,0),FALSE)</f>
        <v/>
      </c>
      <c r="D239" s="23">
        <f>VLOOKUP(A239,Database!$E:$AY,MATCH($D$1,Database!$E$1:$AY$1,0),FALSE)</f>
        <v/>
      </c>
      <c r="E239" s="23">
        <f>VLOOKUP(A239,Database!$E:$AY,MATCH($E$1,Database!$E$1:$AY$1,0),FALSE)</f>
        <v/>
      </c>
      <c r="F239" s="23">
        <f>VLOOKUP(A239,Database!$E:$AY,MATCH($F$1,Database!$E$1:$AY$1,0),FALSE)</f>
        <v/>
      </c>
      <c r="G239" s="23">
        <f>VLOOKUP(A239,Database!$E:$AY,MATCH($G$1,Database!$E$1:$AY$1,0),FALSE)</f>
        <v/>
      </c>
      <c r="H239" s="23">
        <f>(((Table134567891011121314151617343[[#This Row],[ITA]]-VLOOKUP($U$1,A:B,2,))/VLOOKUP($U$1,A:B,2,))*100)+100</f>
        <v/>
      </c>
      <c r="I239" s="23">
        <f>(((Table134567891011121314151617343[[#This Row],[FRA]]-VLOOKUP($U$1,A:C,3,))/VLOOKUP($U$1,A:C,3,))*100)+100</f>
        <v/>
      </c>
      <c r="J239" s="23">
        <f>(((Table134567891011121314151617343[[#This Row],[DEU]]-VLOOKUP($U$1,A:D,4,))/VLOOKUP($U$1,A:D,4,))*100)+100</f>
        <v/>
      </c>
      <c r="K239" s="23">
        <f>(((Table134567891011121314151617343[[#This Row],[ESP]]-VLOOKUP($U$1,A:E,5,))/VLOOKUP($U$1,A:E,5,))*100)+100</f>
        <v/>
      </c>
      <c r="L239" s="23">
        <f>(((Table134567891011121314151617343[[#This Row],[EA19]]-VLOOKUP($U$1,A:F,6,))/VLOOKUP($U$1,A:F,6,))*100)+100</f>
        <v/>
      </c>
      <c r="M239" s="23">
        <f>(((Table134567891011121314151617343[[#This Row],[GBR]]-VLOOKUP($U$1,A:G,7,))/VLOOKUP($U$1,A:G,7,))*100)+100</f>
        <v/>
      </c>
      <c r="N239" s="23">
        <f>VLOOKUP(A239,Database!$E:$AY,MATCH($N$1,Database!$E$1:$AY$1,0),FALSE)</f>
        <v/>
      </c>
      <c r="O239" s="23">
        <f>(((Table134567891011121314151617343[[#This Row],[USA]]-VLOOKUP($U$1,A:N,14,))/VLOOKUP($U$1,A:N,14,))*100)+100</f>
        <v/>
      </c>
      <c r="P239" s="23">
        <f>VLOOKUP(A239,Database!$E:$AY,MATCH($P$1,Database!$E$1:$AY$1,0),FALSE)</f>
        <v/>
      </c>
      <c r="Q239" s="23">
        <f>(((Table134567891011121314151617343[[#This Row],[JPN]]-VLOOKUP($U$1,A:Q,16,))/VLOOKUP($U$1,A:Q,16,))*100)+100</f>
        <v/>
      </c>
    </row>
    <row r="240" customFormat="1" s="100">
      <c r="A240" s="22" t="n">
        <v>40118</v>
      </c>
      <c r="B240" s="23">
        <f>VLOOKUP(A240,Database!$E:$AY,MATCH($B$1,Database!$E$1:$AY$1,0),FALSE)</f>
        <v/>
      </c>
      <c r="C240" s="23">
        <f>VLOOKUP(A240,Database!$E:$AY,MATCH($C$1,Database!$E$1:$AY$1,0),FALSE)</f>
        <v/>
      </c>
      <c r="D240" s="23">
        <f>VLOOKUP(A240,Database!$E:$AY,MATCH($D$1,Database!$E$1:$AY$1,0),FALSE)</f>
        <v/>
      </c>
      <c r="E240" s="23">
        <f>VLOOKUP(A240,Database!$E:$AY,MATCH($E$1,Database!$E$1:$AY$1,0),FALSE)</f>
        <v/>
      </c>
      <c r="F240" s="23">
        <f>VLOOKUP(A240,Database!$E:$AY,MATCH($F$1,Database!$E$1:$AY$1,0),FALSE)</f>
        <v/>
      </c>
      <c r="G240" s="23">
        <f>VLOOKUP(A240,Database!$E:$AY,MATCH($G$1,Database!$E$1:$AY$1,0),FALSE)</f>
        <v/>
      </c>
      <c r="H240" s="23">
        <f>(((Table134567891011121314151617343[[#This Row],[ITA]]-VLOOKUP($U$1,A:B,2,))/VLOOKUP($U$1,A:B,2,))*100)+100</f>
        <v/>
      </c>
      <c r="I240" s="23">
        <f>(((Table134567891011121314151617343[[#This Row],[FRA]]-VLOOKUP($U$1,A:C,3,))/VLOOKUP($U$1,A:C,3,))*100)+100</f>
        <v/>
      </c>
      <c r="J240" s="23">
        <f>(((Table134567891011121314151617343[[#This Row],[DEU]]-VLOOKUP($U$1,A:D,4,))/VLOOKUP($U$1,A:D,4,))*100)+100</f>
        <v/>
      </c>
      <c r="K240" s="23">
        <f>(((Table134567891011121314151617343[[#This Row],[ESP]]-VLOOKUP($U$1,A:E,5,))/VLOOKUP($U$1,A:E,5,))*100)+100</f>
        <v/>
      </c>
      <c r="L240" s="23">
        <f>(((Table134567891011121314151617343[[#This Row],[EA19]]-VLOOKUP($U$1,A:F,6,))/VLOOKUP($U$1,A:F,6,))*100)+100</f>
        <v/>
      </c>
      <c r="M240" s="23">
        <f>(((Table134567891011121314151617343[[#This Row],[GBR]]-VLOOKUP($U$1,A:G,7,))/VLOOKUP($U$1,A:G,7,))*100)+100</f>
        <v/>
      </c>
      <c r="N240" s="23">
        <f>VLOOKUP(A240,Database!$E:$AY,MATCH($N$1,Database!$E$1:$AY$1,0),FALSE)</f>
        <v/>
      </c>
      <c r="O240" s="23">
        <f>(((Table134567891011121314151617343[[#This Row],[USA]]-VLOOKUP($U$1,A:N,14,))/VLOOKUP($U$1,A:N,14,))*100)+100</f>
        <v/>
      </c>
      <c r="P240" s="23">
        <f>VLOOKUP(A240,Database!$E:$AY,MATCH($P$1,Database!$E$1:$AY$1,0),FALSE)</f>
        <v/>
      </c>
      <c r="Q240" s="23">
        <f>(((Table134567891011121314151617343[[#This Row],[JPN]]-VLOOKUP($U$1,A:Q,16,))/VLOOKUP($U$1,A:Q,16,))*100)+100</f>
        <v/>
      </c>
    </row>
    <row r="241" customFormat="1" s="100">
      <c r="A241" s="22" t="n">
        <v>40148</v>
      </c>
      <c r="B241" s="23">
        <f>VLOOKUP(A241,Database!$E:$AY,MATCH($B$1,Database!$E$1:$AY$1,0),FALSE)</f>
        <v/>
      </c>
      <c r="C241" s="23">
        <f>VLOOKUP(A241,Database!$E:$AY,MATCH($C$1,Database!$E$1:$AY$1,0),FALSE)</f>
        <v/>
      </c>
      <c r="D241" s="23">
        <f>VLOOKUP(A241,Database!$E:$AY,MATCH($D$1,Database!$E$1:$AY$1,0),FALSE)</f>
        <v/>
      </c>
      <c r="E241" s="23">
        <f>VLOOKUP(A241,Database!$E:$AY,MATCH($E$1,Database!$E$1:$AY$1,0),FALSE)</f>
        <v/>
      </c>
      <c r="F241" s="23">
        <f>VLOOKUP(A241,Database!$E:$AY,MATCH($F$1,Database!$E$1:$AY$1,0),FALSE)</f>
        <v/>
      </c>
      <c r="G241" s="23">
        <f>VLOOKUP(A241,Database!$E:$AY,MATCH($G$1,Database!$E$1:$AY$1,0),FALSE)</f>
        <v/>
      </c>
      <c r="H241" s="23">
        <f>(((Table134567891011121314151617343[[#This Row],[ITA]]-VLOOKUP($U$1,A:B,2,))/VLOOKUP($U$1,A:B,2,))*100)+100</f>
        <v/>
      </c>
      <c r="I241" s="23">
        <f>(((Table134567891011121314151617343[[#This Row],[FRA]]-VLOOKUP($U$1,A:C,3,))/VLOOKUP($U$1,A:C,3,))*100)+100</f>
        <v/>
      </c>
      <c r="J241" s="23">
        <f>(((Table134567891011121314151617343[[#This Row],[DEU]]-VLOOKUP($U$1,A:D,4,))/VLOOKUP($U$1,A:D,4,))*100)+100</f>
        <v/>
      </c>
      <c r="K241" s="23">
        <f>(((Table134567891011121314151617343[[#This Row],[ESP]]-VLOOKUP($U$1,A:E,5,))/VLOOKUP($U$1,A:E,5,))*100)+100</f>
        <v/>
      </c>
      <c r="L241" s="23">
        <f>(((Table134567891011121314151617343[[#This Row],[EA19]]-VLOOKUP($U$1,A:F,6,))/VLOOKUP($U$1,A:F,6,))*100)+100</f>
        <v/>
      </c>
      <c r="M241" s="23">
        <f>(((Table134567891011121314151617343[[#This Row],[GBR]]-VLOOKUP($U$1,A:G,7,))/VLOOKUP($U$1,A:G,7,))*100)+100</f>
        <v/>
      </c>
      <c r="N241" s="23">
        <f>VLOOKUP(A241,Database!$E:$AY,MATCH($N$1,Database!$E$1:$AY$1,0),FALSE)</f>
        <v/>
      </c>
      <c r="O241" s="23">
        <f>(((Table134567891011121314151617343[[#This Row],[USA]]-VLOOKUP($U$1,A:N,14,))/VLOOKUP($U$1,A:N,14,))*100)+100</f>
        <v/>
      </c>
      <c r="P241" s="23">
        <f>VLOOKUP(A241,Database!$E:$AY,MATCH($P$1,Database!$E$1:$AY$1,0),FALSE)</f>
        <v/>
      </c>
      <c r="Q241" s="23">
        <f>(((Table134567891011121314151617343[[#This Row],[JPN]]-VLOOKUP($U$1,A:Q,16,))/VLOOKUP($U$1,A:Q,16,))*100)+100</f>
        <v/>
      </c>
    </row>
    <row r="242" customFormat="1" s="100">
      <c r="A242" s="22" t="n">
        <v>40179</v>
      </c>
      <c r="B242" s="23">
        <f>VLOOKUP(A242,Database!$E:$AY,MATCH($B$1,Database!$E$1:$AY$1,0),FALSE)</f>
        <v/>
      </c>
      <c r="C242" s="23">
        <f>VLOOKUP(A242,Database!$E:$AY,MATCH($C$1,Database!$E$1:$AY$1,0),FALSE)</f>
        <v/>
      </c>
      <c r="D242" s="23">
        <f>VLOOKUP(A242,Database!$E:$AY,MATCH($D$1,Database!$E$1:$AY$1,0),FALSE)</f>
        <v/>
      </c>
      <c r="E242" s="23">
        <f>VLOOKUP(A242,Database!$E:$AY,MATCH($E$1,Database!$E$1:$AY$1,0),FALSE)</f>
        <v/>
      </c>
      <c r="F242" s="23">
        <f>VLOOKUP(A242,Database!$E:$AY,MATCH($F$1,Database!$E$1:$AY$1,0),FALSE)</f>
        <v/>
      </c>
      <c r="G242" s="23">
        <f>VLOOKUP(A242,Database!$E:$AY,MATCH($G$1,Database!$E$1:$AY$1,0),FALSE)</f>
        <v/>
      </c>
      <c r="H242" s="23">
        <f>(((Table134567891011121314151617343[[#This Row],[ITA]]-VLOOKUP($U$1,A:B,2,))/VLOOKUP($U$1,A:B,2,))*100)+100</f>
        <v/>
      </c>
      <c r="I242" s="23">
        <f>(((Table134567891011121314151617343[[#This Row],[FRA]]-VLOOKUP($U$1,A:C,3,))/VLOOKUP($U$1,A:C,3,))*100)+100</f>
        <v/>
      </c>
      <c r="J242" s="23">
        <f>(((Table134567891011121314151617343[[#This Row],[DEU]]-VLOOKUP($U$1,A:D,4,))/VLOOKUP($U$1,A:D,4,))*100)+100</f>
        <v/>
      </c>
      <c r="K242" s="23">
        <f>(((Table134567891011121314151617343[[#This Row],[ESP]]-VLOOKUP($U$1,A:E,5,))/VLOOKUP($U$1,A:E,5,))*100)+100</f>
        <v/>
      </c>
      <c r="L242" s="23">
        <f>(((Table134567891011121314151617343[[#This Row],[EA19]]-VLOOKUP($U$1,A:F,6,))/VLOOKUP($U$1,A:F,6,))*100)+100</f>
        <v/>
      </c>
      <c r="M242" s="23">
        <f>(((Table134567891011121314151617343[[#This Row],[GBR]]-VLOOKUP($U$1,A:G,7,))/VLOOKUP($U$1,A:G,7,))*100)+100</f>
        <v/>
      </c>
      <c r="N242" s="23">
        <f>VLOOKUP(A242,Database!$E:$AY,MATCH($N$1,Database!$E$1:$AY$1,0),FALSE)</f>
        <v/>
      </c>
      <c r="O242" s="23">
        <f>(((Table134567891011121314151617343[[#This Row],[USA]]-VLOOKUP($U$1,A:N,14,))/VLOOKUP($U$1,A:N,14,))*100)+100</f>
        <v/>
      </c>
      <c r="P242" s="23">
        <f>VLOOKUP(A242,Database!$E:$AY,MATCH($P$1,Database!$E$1:$AY$1,0),FALSE)</f>
        <v/>
      </c>
      <c r="Q242" s="23">
        <f>(((Table134567891011121314151617343[[#This Row],[JPN]]-VLOOKUP($U$1,A:Q,16,))/VLOOKUP($U$1,A:Q,16,))*100)+100</f>
        <v/>
      </c>
    </row>
    <row r="243" customFormat="1" s="100">
      <c r="A243" s="22" t="n">
        <v>40210</v>
      </c>
      <c r="B243" s="23">
        <f>VLOOKUP(A243,Database!$E:$AY,MATCH($B$1,Database!$E$1:$AY$1,0),FALSE)</f>
        <v/>
      </c>
      <c r="C243" s="23">
        <f>VLOOKUP(A243,Database!$E:$AY,MATCH($C$1,Database!$E$1:$AY$1,0),FALSE)</f>
        <v/>
      </c>
      <c r="D243" s="23">
        <f>VLOOKUP(A243,Database!$E:$AY,MATCH($D$1,Database!$E$1:$AY$1,0),FALSE)</f>
        <v/>
      </c>
      <c r="E243" s="23">
        <f>VLOOKUP(A243,Database!$E:$AY,MATCH($E$1,Database!$E$1:$AY$1,0),FALSE)</f>
        <v/>
      </c>
      <c r="F243" s="23">
        <f>VLOOKUP(A243,Database!$E:$AY,MATCH($F$1,Database!$E$1:$AY$1,0),FALSE)</f>
        <v/>
      </c>
      <c r="G243" s="23">
        <f>VLOOKUP(A243,Database!$E:$AY,MATCH($G$1,Database!$E$1:$AY$1,0),FALSE)</f>
        <v/>
      </c>
      <c r="H243" s="23">
        <f>(((Table134567891011121314151617343[[#This Row],[ITA]]-VLOOKUP($U$1,A:B,2,))/VLOOKUP($U$1,A:B,2,))*100)+100</f>
        <v/>
      </c>
      <c r="I243" s="23">
        <f>(((Table134567891011121314151617343[[#This Row],[FRA]]-VLOOKUP($U$1,A:C,3,))/VLOOKUP($U$1,A:C,3,))*100)+100</f>
        <v/>
      </c>
      <c r="J243" s="23">
        <f>(((Table134567891011121314151617343[[#This Row],[DEU]]-VLOOKUP($U$1,A:D,4,))/VLOOKUP($U$1,A:D,4,))*100)+100</f>
        <v/>
      </c>
      <c r="K243" s="23">
        <f>(((Table134567891011121314151617343[[#This Row],[ESP]]-VLOOKUP($U$1,A:E,5,))/VLOOKUP($U$1,A:E,5,))*100)+100</f>
        <v/>
      </c>
      <c r="L243" s="23">
        <f>(((Table134567891011121314151617343[[#This Row],[EA19]]-VLOOKUP($U$1,A:F,6,))/VLOOKUP($U$1,A:F,6,))*100)+100</f>
        <v/>
      </c>
      <c r="M243" s="23">
        <f>(((Table134567891011121314151617343[[#This Row],[GBR]]-VLOOKUP($U$1,A:G,7,))/VLOOKUP($U$1,A:G,7,))*100)+100</f>
        <v/>
      </c>
      <c r="N243" s="23">
        <f>VLOOKUP(A243,Database!$E:$AY,MATCH($N$1,Database!$E$1:$AY$1,0),FALSE)</f>
        <v/>
      </c>
      <c r="O243" s="23">
        <f>(((Table134567891011121314151617343[[#This Row],[USA]]-VLOOKUP($U$1,A:N,14,))/VLOOKUP($U$1,A:N,14,))*100)+100</f>
        <v/>
      </c>
      <c r="P243" s="23">
        <f>VLOOKUP(A243,Database!$E:$AY,MATCH($P$1,Database!$E$1:$AY$1,0),FALSE)</f>
        <v/>
      </c>
      <c r="Q243" s="23">
        <f>(((Table134567891011121314151617343[[#This Row],[JPN]]-VLOOKUP($U$1,A:Q,16,))/VLOOKUP($U$1,A:Q,16,))*100)+100</f>
        <v/>
      </c>
    </row>
    <row r="244" customFormat="1" s="100">
      <c r="A244" s="22" t="n">
        <v>40238</v>
      </c>
      <c r="B244" s="23">
        <f>VLOOKUP(A244,Database!$E:$AY,MATCH($B$1,Database!$E$1:$AY$1,0),FALSE)</f>
        <v/>
      </c>
      <c r="C244" s="23">
        <f>VLOOKUP(A244,Database!$E:$AY,MATCH($C$1,Database!$E$1:$AY$1,0),FALSE)</f>
        <v/>
      </c>
      <c r="D244" s="23">
        <f>VLOOKUP(A244,Database!$E:$AY,MATCH($D$1,Database!$E$1:$AY$1,0),FALSE)</f>
        <v/>
      </c>
      <c r="E244" s="23">
        <f>VLOOKUP(A244,Database!$E:$AY,MATCH($E$1,Database!$E$1:$AY$1,0),FALSE)</f>
        <v/>
      </c>
      <c r="F244" s="23">
        <f>VLOOKUP(A244,Database!$E:$AY,MATCH($F$1,Database!$E$1:$AY$1,0),FALSE)</f>
        <v/>
      </c>
      <c r="G244" s="23">
        <f>VLOOKUP(A244,Database!$E:$AY,MATCH($G$1,Database!$E$1:$AY$1,0),FALSE)</f>
        <v/>
      </c>
      <c r="H244" s="23">
        <f>(((Table134567891011121314151617343[[#This Row],[ITA]]-VLOOKUP($U$1,A:B,2,))/VLOOKUP($U$1,A:B,2,))*100)+100</f>
        <v/>
      </c>
      <c r="I244" s="23">
        <f>(((Table134567891011121314151617343[[#This Row],[FRA]]-VLOOKUP($U$1,A:C,3,))/VLOOKUP($U$1,A:C,3,))*100)+100</f>
        <v/>
      </c>
      <c r="J244" s="23">
        <f>(((Table134567891011121314151617343[[#This Row],[DEU]]-VLOOKUP($U$1,A:D,4,))/VLOOKUP($U$1,A:D,4,))*100)+100</f>
        <v/>
      </c>
      <c r="K244" s="23">
        <f>(((Table134567891011121314151617343[[#This Row],[ESP]]-VLOOKUP($U$1,A:E,5,))/VLOOKUP($U$1,A:E,5,))*100)+100</f>
        <v/>
      </c>
      <c r="L244" s="23">
        <f>(((Table134567891011121314151617343[[#This Row],[EA19]]-VLOOKUP($U$1,A:F,6,))/VLOOKUP($U$1,A:F,6,))*100)+100</f>
        <v/>
      </c>
      <c r="M244" s="23">
        <f>(((Table134567891011121314151617343[[#This Row],[GBR]]-VLOOKUP($U$1,A:G,7,))/VLOOKUP($U$1,A:G,7,))*100)+100</f>
        <v/>
      </c>
      <c r="N244" s="23">
        <f>VLOOKUP(A244,Database!$E:$AY,MATCH($N$1,Database!$E$1:$AY$1,0),FALSE)</f>
        <v/>
      </c>
      <c r="O244" s="23">
        <f>(((Table134567891011121314151617343[[#This Row],[USA]]-VLOOKUP($U$1,A:N,14,))/VLOOKUP($U$1,A:N,14,))*100)+100</f>
        <v/>
      </c>
      <c r="P244" s="23">
        <f>VLOOKUP(A244,Database!$E:$AY,MATCH($P$1,Database!$E$1:$AY$1,0),FALSE)</f>
        <v/>
      </c>
      <c r="Q244" s="23">
        <f>(((Table134567891011121314151617343[[#This Row],[JPN]]-VLOOKUP($U$1,A:Q,16,))/VLOOKUP($U$1,A:Q,16,))*100)+100</f>
        <v/>
      </c>
    </row>
    <row r="245" customFormat="1" s="100">
      <c r="A245" s="22" t="n">
        <v>40269</v>
      </c>
      <c r="B245" s="23">
        <f>VLOOKUP(A245,Database!$E:$AY,MATCH($B$1,Database!$E$1:$AY$1,0),FALSE)</f>
        <v/>
      </c>
      <c r="C245" s="23">
        <f>VLOOKUP(A245,Database!$E:$AY,MATCH($C$1,Database!$E$1:$AY$1,0),FALSE)</f>
        <v/>
      </c>
      <c r="D245" s="23">
        <f>VLOOKUP(A245,Database!$E:$AY,MATCH($D$1,Database!$E$1:$AY$1,0),FALSE)</f>
        <v/>
      </c>
      <c r="E245" s="23">
        <f>VLOOKUP(A245,Database!$E:$AY,MATCH($E$1,Database!$E$1:$AY$1,0),FALSE)</f>
        <v/>
      </c>
      <c r="F245" s="23">
        <f>VLOOKUP(A245,Database!$E:$AY,MATCH($F$1,Database!$E$1:$AY$1,0),FALSE)</f>
        <v/>
      </c>
      <c r="G245" s="23">
        <f>VLOOKUP(A245,Database!$E:$AY,MATCH($G$1,Database!$E$1:$AY$1,0),FALSE)</f>
        <v/>
      </c>
      <c r="H245" s="23">
        <f>(((Table134567891011121314151617343[[#This Row],[ITA]]-VLOOKUP($U$1,A:B,2,))/VLOOKUP($U$1,A:B,2,))*100)+100</f>
        <v/>
      </c>
      <c r="I245" s="23">
        <f>(((Table134567891011121314151617343[[#This Row],[FRA]]-VLOOKUP($U$1,A:C,3,))/VLOOKUP($U$1,A:C,3,))*100)+100</f>
        <v/>
      </c>
      <c r="J245" s="23">
        <f>(((Table134567891011121314151617343[[#This Row],[DEU]]-VLOOKUP($U$1,A:D,4,))/VLOOKUP($U$1,A:D,4,))*100)+100</f>
        <v/>
      </c>
      <c r="K245" s="23">
        <f>(((Table134567891011121314151617343[[#This Row],[ESP]]-VLOOKUP($U$1,A:E,5,))/VLOOKUP($U$1,A:E,5,))*100)+100</f>
        <v/>
      </c>
      <c r="L245" s="23">
        <f>(((Table134567891011121314151617343[[#This Row],[EA19]]-VLOOKUP($U$1,A:F,6,))/VLOOKUP($U$1,A:F,6,))*100)+100</f>
        <v/>
      </c>
      <c r="M245" s="23">
        <f>(((Table134567891011121314151617343[[#This Row],[GBR]]-VLOOKUP($U$1,A:G,7,))/VLOOKUP($U$1,A:G,7,))*100)+100</f>
        <v/>
      </c>
      <c r="N245" s="23">
        <f>VLOOKUP(A245,Database!$E:$AY,MATCH($N$1,Database!$E$1:$AY$1,0),FALSE)</f>
        <v/>
      </c>
      <c r="O245" s="23">
        <f>(((Table134567891011121314151617343[[#This Row],[USA]]-VLOOKUP($U$1,A:N,14,))/VLOOKUP($U$1,A:N,14,))*100)+100</f>
        <v/>
      </c>
      <c r="P245" s="23">
        <f>VLOOKUP(A245,Database!$E:$AY,MATCH($P$1,Database!$E$1:$AY$1,0),FALSE)</f>
        <v/>
      </c>
      <c r="Q245" s="23">
        <f>(((Table134567891011121314151617343[[#This Row],[JPN]]-VLOOKUP($U$1,A:Q,16,))/VLOOKUP($U$1,A:Q,16,))*100)+100</f>
        <v/>
      </c>
    </row>
    <row r="246" customFormat="1" s="100">
      <c r="A246" s="22" t="n">
        <v>40299</v>
      </c>
      <c r="B246" s="23">
        <f>VLOOKUP(A246,Database!$E:$AY,MATCH($B$1,Database!$E$1:$AY$1,0),FALSE)</f>
        <v/>
      </c>
      <c r="C246" s="23">
        <f>VLOOKUP(A246,Database!$E:$AY,MATCH($C$1,Database!$E$1:$AY$1,0),FALSE)</f>
        <v/>
      </c>
      <c r="D246" s="23">
        <f>VLOOKUP(A246,Database!$E:$AY,MATCH($D$1,Database!$E$1:$AY$1,0),FALSE)</f>
        <v/>
      </c>
      <c r="E246" s="23">
        <f>VLOOKUP(A246,Database!$E:$AY,MATCH($E$1,Database!$E$1:$AY$1,0),FALSE)</f>
        <v/>
      </c>
      <c r="F246" s="23">
        <f>VLOOKUP(A246,Database!$E:$AY,MATCH($F$1,Database!$E$1:$AY$1,0),FALSE)</f>
        <v/>
      </c>
      <c r="G246" s="23">
        <f>VLOOKUP(A246,Database!$E:$AY,MATCH($G$1,Database!$E$1:$AY$1,0),FALSE)</f>
        <v/>
      </c>
      <c r="H246" s="23">
        <f>(((Table134567891011121314151617343[[#This Row],[ITA]]-VLOOKUP($U$1,A:B,2,))/VLOOKUP($U$1,A:B,2,))*100)+100</f>
        <v/>
      </c>
      <c r="I246" s="23">
        <f>(((Table134567891011121314151617343[[#This Row],[FRA]]-VLOOKUP($U$1,A:C,3,))/VLOOKUP($U$1,A:C,3,))*100)+100</f>
        <v/>
      </c>
      <c r="J246" s="23">
        <f>(((Table134567891011121314151617343[[#This Row],[DEU]]-VLOOKUP($U$1,A:D,4,))/VLOOKUP($U$1,A:D,4,))*100)+100</f>
        <v/>
      </c>
      <c r="K246" s="23">
        <f>(((Table134567891011121314151617343[[#This Row],[ESP]]-VLOOKUP($U$1,A:E,5,))/VLOOKUP($U$1,A:E,5,))*100)+100</f>
        <v/>
      </c>
      <c r="L246" s="23">
        <f>(((Table134567891011121314151617343[[#This Row],[EA19]]-VLOOKUP($U$1,A:F,6,))/VLOOKUP($U$1,A:F,6,))*100)+100</f>
        <v/>
      </c>
      <c r="M246" s="23">
        <f>(((Table134567891011121314151617343[[#This Row],[GBR]]-VLOOKUP($U$1,A:G,7,))/VLOOKUP($U$1,A:G,7,))*100)+100</f>
        <v/>
      </c>
      <c r="N246" s="23">
        <f>VLOOKUP(A246,Database!$E:$AY,MATCH($N$1,Database!$E$1:$AY$1,0),FALSE)</f>
        <v/>
      </c>
      <c r="O246" s="23">
        <f>(((Table134567891011121314151617343[[#This Row],[USA]]-VLOOKUP($U$1,A:N,14,))/VLOOKUP($U$1,A:N,14,))*100)+100</f>
        <v/>
      </c>
      <c r="P246" s="23">
        <f>VLOOKUP(A246,Database!$E:$AY,MATCH($P$1,Database!$E$1:$AY$1,0),FALSE)</f>
        <v/>
      </c>
      <c r="Q246" s="23">
        <f>(((Table134567891011121314151617343[[#This Row],[JPN]]-VLOOKUP($U$1,A:Q,16,))/VLOOKUP($U$1,A:Q,16,))*100)+100</f>
        <v/>
      </c>
    </row>
    <row r="247" customFormat="1" s="100">
      <c r="A247" s="22" t="n">
        <v>40330</v>
      </c>
      <c r="B247" s="23">
        <f>VLOOKUP(A247,Database!$E:$AY,MATCH($B$1,Database!$E$1:$AY$1,0),FALSE)</f>
        <v/>
      </c>
      <c r="C247" s="23">
        <f>VLOOKUP(A247,Database!$E:$AY,MATCH($C$1,Database!$E$1:$AY$1,0),FALSE)</f>
        <v/>
      </c>
      <c r="D247" s="23">
        <f>VLOOKUP(A247,Database!$E:$AY,MATCH($D$1,Database!$E$1:$AY$1,0),FALSE)</f>
        <v/>
      </c>
      <c r="E247" s="23">
        <f>VLOOKUP(A247,Database!$E:$AY,MATCH($E$1,Database!$E$1:$AY$1,0),FALSE)</f>
        <v/>
      </c>
      <c r="F247" s="23">
        <f>VLOOKUP(A247,Database!$E:$AY,MATCH($F$1,Database!$E$1:$AY$1,0),FALSE)</f>
        <v/>
      </c>
      <c r="G247" s="23">
        <f>VLOOKUP(A247,Database!$E:$AY,MATCH($G$1,Database!$E$1:$AY$1,0),FALSE)</f>
        <v/>
      </c>
      <c r="H247" s="23">
        <f>(((Table134567891011121314151617343[[#This Row],[ITA]]-VLOOKUP($U$1,A:B,2,))/VLOOKUP($U$1,A:B,2,))*100)+100</f>
        <v/>
      </c>
      <c r="I247" s="23">
        <f>(((Table134567891011121314151617343[[#This Row],[FRA]]-VLOOKUP($U$1,A:C,3,))/VLOOKUP($U$1,A:C,3,))*100)+100</f>
        <v/>
      </c>
      <c r="J247" s="23">
        <f>(((Table134567891011121314151617343[[#This Row],[DEU]]-VLOOKUP($U$1,A:D,4,))/VLOOKUP($U$1,A:D,4,))*100)+100</f>
        <v/>
      </c>
      <c r="K247" s="23">
        <f>(((Table134567891011121314151617343[[#This Row],[ESP]]-VLOOKUP($U$1,A:E,5,))/VLOOKUP($U$1,A:E,5,))*100)+100</f>
        <v/>
      </c>
      <c r="L247" s="23">
        <f>(((Table134567891011121314151617343[[#This Row],[EA19]]-VLOOKUP($U$1,A:F,6,))/VLOOKUP($U$1,A:F,6,))*100)+100</f>
        <v/>
      </c>
      <c r="M247" s="23">
        <f>(((Table134567891011121314151617343[[#This Row],[GBR]]-VLOOKUP($U$1,A:G,7,))/VLOOKUP($U$1,A:G,7,))*100)+100</f>
        <v/>
      </c>
      <c r="N247" s="23">
        <f>VLOOKUP(A247,Database!$E:$AY,MATCH($N$1,Database!$E$1:$AY$1,0),FALSE)</f>
        <v/>
      </c>
      <c r="O247" s="23">
        <f>(((Table134567891011121314151617343[[#This Row],[USA]]-VLOOKUP($U$1,A:N,14,))/VLOOKUP($U$1,A:N,14,))*100)+100</f>
        <v/>
      </c>
      <c r="P247" s="23">
        <f>VLOOKUP(A247,Database!$E:$AY,MATCH($P$1,Database!$E$1:$AY$1,0),FALSE)</f>
        <v/>
      </c>
      <c r="Q247" s="23">
        <f>(((Table134567891011121314151617343[[#This Row],[JPN]]-VLOOKUP($U$1,A:Q,16,))/VLOOKUP($U$1,A:Q,16,))*100)+100</f>
        <v/>
      </c>
    </row>
    <row r="248" customFormat="1" s="100">
      <c r="A248" s="22" t="n">
        <v>40360</v>
      </c>
      <c r="B248" s="23">
        <f>VLOOKUP(A248,Database!$E:$AY,MATCH($B$1,Database!$E$1:$AY$1,0),FALSE)</f>
        <v/>
      </c>
      <c r="C248" s="23">
        <f>VLOOKUP(A248,Database!$E:$AY,MATCH($C$1,Database!$E$1:$AY$1,0),FALSE)</f>
        <v/>
      </c>
      <c r="D248" s="23">
        <f>VLOOKUP(A248,Database!$E:$AY,MATCH($D$1,Database!$E$1:$AY$1,0),FALSE)</f>
        <v/>
      </c>
      <c r="E248" s="23">
        <f>VLOOKUP(A248,Database!$E:$AY,MATCH($E$1,Database!$E$1:$AY$1,0),FALSE)</f>
        <v/>
      </c>
      <c r="F248" s="23">
        <f>VLOOKUP(A248,Database!$E:$AY,MATCH($F$1,Database!$E$1:$AY$1,0),FALSE)</f>
        <v/>
      </c>
      <c r="G248" s="23">
        <f>VLOOKUP(A248,Database!$E:$AY,MATCH($G$1,Database!$E$1:$AY$1,0),FALSE)</f>
        <v/>
      </c>
      <c r="H248" s="23">
        <f>(((Table134567891011121314151617343[[#This Row],[ITA]]-VLOOKUP($U$1,A:B,2,))/VLOOKUP($U$1,A:B,2,))*100)+100</f>
        <v/>
      </c>
      <c r="I248" s="23">
        <f>(((Table134567891011121314151617343[[#This Row],[FRA]]-VLOOKUP($U$1,A:C,3,))/VLOOKUP($U$1,A:C,3,))*100)+100</f>
        <v/>
      </c>
      <c r="J248" s="23">
        <f>(((Table134567891011121314151617343[[#This Row],[DEU]]-VLOOKUP($U$1,A:D,4,))/VLOOKUP($U$1,A:D,4,))*100)+100</f>
        <v/>
      </c>
      <c r="K248" s="23">
        <f>(((Table134567891011121314151617343[[#This Row],[ESP]]-VLOOKUP($U$1,A:E,5,))/VLOOKUP($U$1,A:E,5,))*100)+100</f>
        <v/>
      </c>
      <c r="L248" s="23">
        <f>(((Table134567891011121314151617343[[#This Row],[EA19]]-VLOOKUP($U$1,A:F,6,))/VLOOKUP($U$1,A:F,6,))*100)+100</f>
        <v/>
      </c>
      <c r="M248" s="23">
        <f>(((Table134567891011121314151617343[[#This Row],[GBR]]-VLOOKUP($U$1,A:G,7,))/VLOOKUP($U$1,A:G,7,))*100)+100</f>
        <v/>
      </c>
      <c r="N248" s="23">
        <f>VLOOKUP(A248,Database!$E:$AY,MATCH($N$1,Database!$E$1:$AY$1,0),FALSE)</f>
        <v/>
      </c>
      <c r="O248" s="23">
        <f>(((Table134567891011121314151617343[[#This Row],[USA]]-VLOOKUP($U$1,A:N,14,))/VLOOKUP($U$1,A:N,14,))*100)+100</f>
        <v/>
      </c>
      <c r="P248" s="23">
        <f>VLOOKUP(A248,Database!$E:$AY,MATCH($P$1,Database!$E$1:$AY$1,0),FALSE)</f>
        <v/>
      </c>
      <c r="Q248" s="23">
        <f>(((Table134567891011121314151617343[[#This Row],[JPN]]-VLOOKUP($U$1,A:Q,16,))/VLOOKUP($U$1,A:Q,16,))*100)+100</f>
        <v/>
      </c>
    </row>
    <row r="249" customFormat="1" s="100">
      <c r="A249" s="22" t="n">
        <v>40391</v>
      </c>
      <c r="B249" s="23">
        <f>VLOOKUP(A249,Database!$E:$AY,MATCH($B$1,Database!$E$1:$AY$1,0),FALSE)</f>
        <v/>
      </c>
      <c r="C249" s="23">
        <f>VLOOKUP(A249,Database!$E:$AY,MATCH($C$1,Database!$E$1:$AY$1,0),FALSE)</f>
        <v/>
      </c>
      <c r="D249" s="23">
        <f>VLOOKUP(A249,Database!$E:$AY,MATCH($D$1,Database!$E$1:$AY$1,0),FALSE)</f>
        <v/>
      </c>
      <c r="E249" s="23">
        <f>VLOOKUP(A249,Database!$E:$AY,MATCH($E$1,Database!$E$1:$AY$1,0),FALSE)</f>
        <v/>
      </c>
      <c r="F249" s="23">
        <f>VLOOKUP(A249,Database!$E:$AY,MATCH($F$1,Database!$E$1:$AY$1,0),FALSE)</f>
        <v/>
      </c>
      <c r="G249" s="23">
        <f>VLOOKUP(A249,Database!$E:$AY,MATCH($G$1,Database!$E$1:$AY$1,0),FALSE)</f>
        <v/>
      </c>
      <c r="H249" s="23">
        <f>(((Table134567891011121314151617343[[#This Row],[ITA]]-VLOOKUP($U$1,A:B,2,))/VLOOKUP($U$1,A:B,2,))*100)+100</f>
        <v/>
      </c>
      <c r="I249" s="23">
        <f>(((Table134567891011121314151617343[[#This Row],[FRA]]-VLOOKUP($U$1,A:C,3,))/VLOOKUP($U$1,A:C,3,))*100)+100</f>
        <v/>
      </c>
      <c r="J249" s="23">
        <f>(((Table134567891011121314151617343[[#This Row],[DEU]]-VLOOKUP($U$1,A:D,4,))/VLOOKUP($U$1,A:D,4,))*100)+100</f>
        <v/>
      </c>
      <c r="K249" s="23">
        <f>(((Table134567891011121314151617343[[#This Row],[ESP]]-VLOOKUP($U$1,A:E,5,))/VLOOKUP($U$1,A:E,5,))*100)+100</f>
        <v/>
      </c>
      <c r="L249" s="23">
        <f>(((Table134567891011121314151617343[[#This Row],[EA19]]-VLOOKUP($U$1,A:F,6,))/VLOOKUP($U$1,A:F,6,))*100)+100</f>
        <v/>
      </c>
      <c r="M249" s="23">
        <f>(((Table134567891011121314151617343[[#This Row],[GBR]]-VLOOKUP($U$1,A:G,7,))/VLOOKUP($U$1,A:G,7,))*100)+100</f>
        <v/>
      </c>
      <c r="N249" s="23">
        <f>VLOOKUP(A249,Database!$E:$AY,MATCH($N$1,Database!$E$1:$AY$1,0),FALSE)</f>
        <v/>
      </c>
      <c r="O249" s="23">
        <f>(((Table134567891011121314151617343[[#This Row],[USA]]-VLOOKUP($U$1,A:N,14,))/VLOOKUP($U$1,A:N,14,))*100)+100</f>
        <v/>
      </c>
      <c r="P249" s="23">
        <f>VLOOKUP(A249,Database!$E:$AY,MATCH($P$1,Database!$E$1:$AY$1,0),FALSE)</f>
        <v/>
      </c>
      <c r="Q249" s="23">
        <f>(((Table134567891011121314151617343[[#This Row],[JPN]]-VLOOKUP($U$1,A:Q,16,))/VLOOKUP($U$1,A:Q,16,))*100)+100</f>
        <v/>
      </c>
    </row>
    <row r="250" customFormat="1" s="100">
      <c r="A250" s="22" t="n">
        <v>40422</v>
      </c>
      <c r="B250" s="23">
        <f>VLOOKUP(A250,Database!$E:$AY,MATCH($B$1,Database!$E$1:$AY$1,0),FALSE)</f>
        <v/>
      </c>
      <c r="C250" s="23">
        <f>VLOOKUP(A250,Database!$E:$AY,MATCH($C$1,Database!$E$1:$AY$1,0),FALSE)</f>
        <v/>
      </c>
      <c r="D250" s="23">
        <f>VLOOKUP(A250,Database!$E:$AY,MATCH($D$1,Database!$E$1:$AY$1,0),FALSE)</f>
        <v/>
      </c>
      <c r="E250" s="23">
        <f>VLOOKUP(A250,Database!$E:$AY,MATCH($E$1,Database!$E$1:$AY$1,0),FALSE)</f>
        <v/>
      </c>
      <c r="F250" s="23">
        <f>VLOOKUP(A250,Database!$E:$AY,MATCH($F$1,Database!$E$1:$AY$1,0),FALSE)</f>
        <v/>
      </c>
      <c r="G250" s="23">
        <f>VLOOKUP(A250,Database!$E:$AY,MATCH($G$1,Database!$E$1:$AY$1,0),FALSE)</f>
        <v/>
      </c>
      <c r="H250" s="23">
        <f>(((Table134567891011121314151617343[[#This Row],[ITA]]-VLOOKUP($U$1,A:B,2,))/VLOOKUP($U$1,A:B,2,))*100)+100</f>
        <v/>
      </c>
      <c r="I250" s="23">
        <f>(((Table134567891011121314151617343[[#This Row],[FRA]]-VLOOKUP($U$1,A:C,3,))/VLOOKUP($U$1,A:C,3,))*100)+100</f>
        <v/>
      </c>
      <c r="J250" s="23">
        <f>(((Table134567891011121314151617343[[#This Row],[DEU]]-VLOOKUP($U$1,A:D,4,))/VLOOKUP($U$1,A:D,4,))*100)+100</f>
        <v/>
      </c>
      <c r="K250" s="23">
        <f>(((Table134567891011121314151617343[[#This Row],[ESP]]-VLOOKUP($U$1,A:E,5,))/VLOOKUP($U$1,A:E,5,))*100)+100</f>
        <v/>
      </c>
      <c r="L250" s="23">
        <f>(((Table134567891011121314151617343[[#This Row],[EA19]]-VLOOKUP($U$1,A:F,6,))/VLOOKUP($U$1,A:F,6,))*100)+100</f>
        <v/>
      </c>
      <c r="M250" s="23">
        <f>(((Table134567891011121314151617343[[#This Row],[GBR]]-VLOOKUP($U$1,A:G,7,))/VLOOKUP($U$1,A:G,7,))*100)+100</f>
        <v/>
      </c>
      <c r="N250" s="23">
        <f>VLOOKUP(A250,Database!$E:$AY,MATCH($N$1,Database!$E$1:$AY$1,0),FALSE)</f>
        <v/>
      </c>
      <c r="O250" s="23">
        <f>(((Table134567891011121314151617343[[#This Row],[USA]]-VLOOKUP($U$1,A:N,14,))/VLOOKUP($U$1,A:N,14,))*100)+100</f>
        <v/>
      </c>
      <c r="P250" s="23">
        <f>VLOOKUP(A250,Database!$E:$AY,MATCH($P$1,Database!$E$1:$AY$1,0),FALSE)</f>
        <v/>
      </c>
      <c r="Q250" s="23">
        <f>(((Table134567891011121314151617343[[#This Row],[JPN]]-VLOOKUP($U$1,A:Q,16,))/VLOOKUP($U$1,A:Q,16,))*100)+100</f>
        <v/>
      </c>
    </row>
    <row r="251" customFormat="1" s="100">
      <c r="A251" s="22" t="n">
        <v>40452</v>
      </c>
      <c r="B251" s="23">
        <f>VLOOKUP(A251,Database!$E:$AY,MATCH($B$1,Database!$E$1:$AY$1,0),FALSE)</f>
        <v/>
      </c>
      <c r="C251" s="23">
        <f>VLOOKUP(A251,Database!$E:$AY,MATCH($C$1,Database!$E$1:$AY$1,0),FALSE)</f>
        <v/>
      </c>
      <c r="D251" s="23">
        <f>VLOOKUP(A251,Database!$E:$AY,MATCH($D$1,Database!$E$1:$AY$1,0),FALSE)</f>
        <v/>
      </c>
      <c r="E251" s="23">
        <f>VLOOKUP(A251,Database!$E:$AY,MATCH($E$1,Database!$E$1:$AY$1,0),FALSE)</f>
        <v/>
      </c>
      <c r="F251" s="23">
        <f>VLOOKUP(A251,Database!$E:$AY,MATCH($F$1,Database!$E$1:$AY$1,0),FALSE)</f>
        <v/>
      </c>
      <c r="G251" s="23">
        <f>VLOOKUP(A251,Database!$E:$AY,MATCH($G$1,Database!$E$1:$AY$1,0),FALSE)</f>
        <v/>
      </c>
      <c r="H251" s="23">
        <f>(((Table134567891011121314151617343[[#This Row],[ITA]]-VLOOKUP($U$1,A:B,2,))/VLOOKUP($U$1,A:B,2,))*100)+100</f>
        <v/>
      </c>
      <c r="I251" s="23">
        <f>(((Table134567891011121314151617343[[#This Row],[FRA]]-VLOOKUP($U$1,A:C,3,))/VLOOKUP($U$1,A:C,3,))*100)+100</f>
        <v/>
      </c>
      <c r="J251" s="23">
        <f>(((Table134567891011121314151617343[[#This Row],[DEU]]-VLOOKUP($U$1,A:D,4,))/VLOOKUP($U$1,A:D,4,))*100)+100</f>
        <v/>
      </c>
      <c r="K251" s="23">
        <f>(((Table134567891011121314151617343[[#This Row],[ESP]]-VLOOKUP($U$1,A:E,5,))/VLOOKUP($U$1,A:E,5,))*100)+100</f>
        <v/>
      </c>
      <c r="L251" s="23">
        <f>(((Table134567891011121314151617343[[#This Row],[EA19]]-VLOOKUP($U$1,A:F,6,))/VLOOKUP($U$1,A:F,6,))*100)+100</f>
        <v/>
      </c>
      <c r="M251" s="23">
        <f>(((Table134567891011121314151617343[[#This Row],[GBR]]-VLOOKUP($U$1,A:G,7,))/VLOOKUP($U$1,A:G,7,))*100)+100</f>
        <v/>
      </c>
      <c r="N251" s="23">
        <f>VLOOKUP(A251,Database!$E:$AY,MATCH($N$1,Database!$E$1:$AY$1,0),FALSE)</f>
        <v/>
      </c>
      <c r="O251" s="23">
        <f>(((Table134567891011121314151617343[[#This Row],[USA]]-VLOOKUP($U$1,A:N,14,))/VLOOKUP($U$1,A:N,14,))*100)+100</f>
        <v/>
      </c>
      <c r="P251" s="23">
        <f>VLOOKUP(A251,Database!$E:$AY,MATCH($P$1,Database!$E$1:$AY$1,0),FALSE)</f>
        <v/>
      </c>
      <c r="Q251" s="23">
        <f>(((Table134567891011121314151617343[[#This Row],[JPN]]-VLOOKUP($U$1,A:Q,16,))/VLOOKUP($U$1,A:Q,16,))*100)+100</f>
        <v/>
      </c>
    </row>
    <row r="252" customFormat="1" s="100">
      <c r="A252" s="22" t="n">
        <v>40483</v>
      </c>
      <c r="B252" s="23">
        <f>VLOOKUP(A252,Database!$E:$AY,MATCH($B$1,Database!$E$1:$AY$1,0),FALSE)</f>
        <v/>
      </c>
      <c r="C252" s="23">
        <f>VLOOKUP(A252,Database!$E:$AY,MATCH($C$1,Database!$E$1:$AY$1,0),FALSE)</f>
        <v/>
      </c>
      <c r="D252" s="23">
        <f>VLOOKUP(A252,Database!$E:$AY,MATCH($D$1,Database!$E$1:$AY$1,0),FALSE)</f>
        <v/>
      </c>
      <c r="E252" s="23">
        <f>VLOOKUP(A252,Database!$E:$AY,MATCH($E$1,Database!$E$1:$AY$1,0),FALSE)</f>
        <v/>
      </c>
      <c r="F252" s="23">
        <f>VLOOKUP(A252,Database!$E:$AY,MATCH($F$1,Database!$E$1:$AY$1,0),FALSE)</f>
        <v/>
      </c>
      <c r="G252" s="23">
        <f>VLOOKUP(A252,Database!$E:$AY,MATCH($G$1,Database!$E$1:$AY$1,0),FALSE)</f>
        <v/>
      </c>
      <c r="H252" s="23">
        <f>(((Table134567891011121314151617343[[#This Row],[ITA]]-VLOOKUP($U$1,A:B,2,))/VLOOKUP($U$1,A:B,2,))*100)+100</f>
        <v/>
      </c>
      <c r="I252" s="23">
        <f>(((Table134567891011121314151617343[[#This Row],[FRA]]-VLOOKUP($U$1,A:C,3,))/VLOOKUP($U$1,A:C,3,))*100)+100</f>
        <v/>
      </c>
      <c r="J252" s="23">
        <f>(((Table134567891011121314151617343[[#This Row],[DEU]]-VLOOKUP($U$1,A:D,4,))/VLOOKUP($U$1,A:D,4,))*100)+100</f>
        <v/>
      </c>
      <c r="K252" s="23">
        <f>(((Table134567891011121314151617343[[#This Row],[ESP]]-VLOOKUP($U$1,A:E,5,))/VLOOKUP($U$1,A:E,5,))*100)+100</f>
        <v/>
      </c>
      <c r="L252" s="23">
        <f>(((Table134567891011121314151617343[[#This Row],[EA19]]-VLOOKUP($U$1,A:F,6,))/VLOOKUP($U$1,A:F,6,))*100)+100</f>
        <v/>
      </c>
      <c r="M252" s="23">
        <f>(((Table134567891011121314151617343[[#This Row],[GBR]]-VLOOKUP($U$1,A:G,7,))/VLOOKUP($U$1,A:G,7,))*100)+100</f>
        <v/>
      </c>
      <c r="N252" s="23">
        <f>VLOOKUP(A252,Database!$E:$AY,MATCH($N$1,Database!$E$1:$AY$1,0),FALSE)</f>
        <v/>
      </c>
      <c r="O252" s="23">
        <f>(((Table134567891011121314151617343[[#This Row],[USA]]-VLOOKUP($U$1,A:N,14,))/VLOOKUP($U$1,A:N,14,))*100)+100</f>
        <v/>
      </c>
      <c r="P252" s="23">
        <f>VLOOKUP(A252,Database!$E:$AY,MATCH($P$1,Database!$E$1:$AY$1,0),FALSE)</f>
        <v/>
      </c>
      <c r="Q252" s="23">
        <f>(((Table134567891011121314151617343[[#This Row],[JPN]]-VLOOKUP($U$1,A:Q,16,))/VLOOKUP($U$1,A:Q,16,))*100)+100</f>
        <v/>
      </c>
    </row>
    <row r="253" customFormat="1" s="100">
      <c r="A253" s="22" t="n">
        <v>40513</v>
      </c>
      <c r="B253" s="23">
        <f>VLOOKUP(A253,Database!$E:$AY,MATCH($B$1,Database!$E$1:$AY$1,0),FALSE)</f>
        <v/>
      </c>
      <c r="C253" s="23">
        <f>VLOOKUP(A253,Database!$E:$AY,MATCH($C$1,Database!$E$1:$AY$1,0),FALSE)</f>
        <v/>
      </c>
      <c r="D253" s="23">
        <f>VLOOKUP(A253,Database!$E:$AY,MATCH($D$1,Database!$E$1:$AY$1,0),FALSE)</f>
        <v/>
      </c>
      <c r="E253" s="23">
        <f>VLOOKUP(A253,Database!$E:$AY,MATCH($E$1,Database!$E$1:$AY$1,0),FALSE)</f>
        <v/>
      </c>
      <c r="F253" s="23">
        <f>VLOOKUP(A253,Database!$E:$AY,MATCH($F$1,Database!$E$1:$AY$1,0),FALSE)</f>
        <v/>
      </c>
      <c r="G253" s="23">
        <f>VLOOKUP(A253,Database!$E:$AY,MATCH($G$1,Database!$E$1:$AY$1,0),FALSE)</f>
        <v/>
      </c>
      <c r="H253" s="23">
        <f>(((Table134567891011121314151617343[[#This Row],[ITA]]-VLOOKUP($U$1,A:B,2,))/VLOOKUP($U$1,A:B,2,))*100)+100</f>
        <v/>
      </c>
      <c r="I253" s="23">
        <f>(((Table134567891011121314151617343[[#This Row],[FRA]]-VLOOKUP($U$1,A:C,3,))/VLOOKUP($U$1,A:C,3,))*100)+100</f>
        <v/>
      </c>
      <c r="J253" s="23">
        <f>(((Table134567891011121314151617343[[#This Row],[DEU]]-VLOOKUP($U$1,A:D,4,))/VLOOKUP($U$1,A:D,4,))*100)+100</f>
        <v/>
      </c>
      <c r="K253" s="23">
        <f>(((Table134567891011121314151617343[[#This Row],[ESP]]-VLOOKUP($U$1,A:E,5,))/VLOOKUP($U$1,A:E,5,))*100)+100</f>
        <v/>
      </c>
      <c r="L253" s="23">
        <f>(((Table134567891011121314151617343[[#This Row],[EA19]]-VLOOKUP($U$1,A:F,6,))/VLOOKUP($U$1,A:F,6,))*100)+100</f>
        <v/>
      </c>
      <c r="M253" s="23">
        <f>(((Table134567891011121314151617343[[#This Row],[GBR]]-VLOOKUP($U$1,A:G,7,))/VLOOKUP($U$1,A:G,7,))*100)+100</f>
        <v/>
      </c>
      <c r="N253" s="23">
        <f>VLOOKUP(A253,Database!$E:$AY,MATCH($N$1,Database!$E$1:$AY$1,0),FALSE)</f>
        <v/>
      </c>
      <c r="O253" s="23">
        <f>(((Table134567891011121314151617343[[#This Row],[USA]]-VLOOKUP($U$1,A:N,14,))/VLOOKUP($U$1,A:N,14,))*100)+100</f>
        <v/>
      </c>
      <c r="P253" s="23">
        <f>VLOOKUP(A253,Database!$E:$AY,MATCH($P$1,Database!$E$1:$AY$1,0),FALSE)</f>
        <v/>
      </c>
      <c r="Q253" s="23">
        <f>(((Table134567891011121314151617343[[#This Row],[JPN]]-VLOOKUP($U$1,A:Q,16,))/VLOOKUP($U$1,A:Q,16,))*100)+100</f>
        <v/>
      </c>
    </row>
    <row r="254" customFormat="1" s="100">
      <c r="A254" s="22" t="n">
        <v>40544</v>
      </c>
      <c r="B254" s="23">
        <f>VLOOKUP(A254,Database!$E:$AY,MATCH($B$1,Database!$E$1:$AY$1,0),FALSE)</f>
        <v/>
      </c>
      <c r="C254" s="23">
        <f>VLOOKUP(A254,Database!$E:$AY,MATCH($C$1,Database!$E$1:$AY$1,0),FALSE)</f>
        <v/>
      </c>
      <c r="D254" s="23">
        <f>VLOOKUP(A254,Database!$E:$AY,MATCH($D$1,Database!$E$1:$AY$1,0),FALSE)</f>
        <v/>
      </c>
      <c r="E254" s="23">
        <f>VLOOKUP(A254,Database!$E:$AY,MATCH($E$1,Database!$E$1:$AY$1,0),FALSE)</f>
        <v/>
      </c>
      <c r="F254" s="23">
        <f>VLOOKUP(A254,Database!$E:$AY,MATCH($F$1,Database!$E$1:$AY$1,0),FALSE)</f>
        <v/>
      </c>
      <c r="G254" s="23">
        <f>VLOOKUP(A254,Database!$E:$AY,MATCH($G$1,Database!$E$1:$AY$1,0),FALSE)</f>
        <v/>
      </c>
      <c r="H254" s="23">
        <f>(((Table134567891011121314151617343[[#This Row],[ITA]]-VLOOKUP($U$1,A:B,2,))/VLOOKUP($U$1,A:B,2,))*100)+100</f>
        <v/>
      </c>
      <c r="I254" s="23">
        <f>(((Table134567891011121314151617343[[#This Row],[FRA]]-VLOOKUP($U$1,A:C,3,))/VLOOKUP($U$1,A:C,3,))*100)+100</f>
        <v/>
      </c>
      <c r="J254" s="23">
        <f>(((Table134567891011121314151617343[[#This Row],[DEU]]-VLOOKUP($U$1,A:D,4,))/VLOOKUP($U$1,A:D,4,))*100)+100</f>
        <v/>
      </c>
      <c r="K254" s="23">
        <f>(((Table134567891011121314151617343[[#This Row],[ESP]]-VLOOKUP($U$1,A:E,5,))/VLOOKUP($U$1,A:E,5,))*100)+100</f>
        <v/>
      </c>
      <c r="L254" s="23">
        <f>(((Table134567891011121314151617343[[#This Row],[EA19]]-VLOOKUP($U$1,A:F,6,))/VLOOKUP($U$1,A:F,6,))*100)+100</f>
        <v/>
      </c>
      <c r="M254" s="23">
        <f>(((Table134567891011121314151617343[[#This Row],[GBR]]-VLOOKUP($U$1,A:G,7,))/VLOOKUP($U$1,A:G,7,))*100)+100</f>
        <v/>
      </c>
      <c r="N254" s="23">
        <f>VLOOKUP(A254,Database!$E:$AY,MATCH($N$1,Database!$E$1:$AY$1,0),FALSE)</f>
        <v/>
      </c>
      <c r="O254" s="23">
        <f>(((Table134567891011121314151617343[[#This Row],[USA]]-VLOOKUP($U$1,A:N,14,))/VLOOKUP($U$1,A:N,14,))*100)+100</f>
        <v/>
      </c>
      <c r="P254" s="23">
        <f>VLOOKUP(A254,Database!$E:$AY,MATCH($P$1,Database!$E$1:$AY$1,0),FALSE)</f>
        <v/>
      </c>
      <c r="Q254" s="23">
        <f>(((Table134567891011121314151617343[[#This Row],[JPN]]-VLOOKUP($U$1,A:Q,16,))/VLOOKUP($U$1,A:Q,16,))*100)+100</f>
        <v/>
      </c>
    </row>
    <row r="255" customFormat="1" s="100">
      <c r="A255" s="22" t="n">
        <v>40575</v>
      </c>
      <c r="B255" s="23">
        <f>VLOOKUP(A255,Database!$E:$AY,MATCH($B$1,Database!$E$1:$AY$1,0),FALSE)</f>
        <v/>
      </c>
      <c r="C255" s="23">
        <f>VLOOKUP(A255,Database!$E:$AY,MATCH($C$1,Database!$E$1:$AY$1,0),FALSE)</f>
        <v/>
      </c>
      <c r="D255" s="23">
        <f>VLOOKUP(A255,Database!$E:$AY,MATCH($D$1,Database!$E$1:$AY$1,0),FALSE)</f>
        <v/>
      </c>
      <c r="E255" s="23">
        <f>VLOOKUP(A255,Database!$E:$AY,MATCH($E$1,Database!$E$1:$AY$1,0),FALSE)</f>
        <v/>
      </c>
      <c r="F255" s="23">
        <f>VLOOKUP(A255,Database!$E:$AY,MATCH($F$1,Database!$E$1:$AY$1,0),FALSE)</f>
        <v/>
      </c>
      <c r="G255" s="23">
        <f>VLOOKUP(A255,Database!$E:$AY,MATCH($G$1,Database!$E$1:$AY$1,0),FALSE)</f>
        <v/>
      </c>
      <c r="H255" s="23">
        <f>(((Table134567891011121314151617343[[#This Row],[ITA]]-VLOOKUP($U$1,A:B,2,))/VLOOKUP($U$1,A:B,2,))*100)+100</f>
        <v/>
      </c>
      <c r="I255" s="23">
        <f>(((Table134567891011121314151617343[[#This Row],[FRA]]-VLOOKUP($U$1,A:C,3,))/VLOOKUP($U$1,A:C,3,))*100)+100</f>
        <v/>
      </c>
      <c r="J255" s="23">
        <f>(((Table134567891011121314151617343[[#This Row],[DEU]]-VLOOKUP($U$1,A:D,4,))/VLOOKUP($U$1,A:D,4,))*100)+100</f>
        <v/>
      </c>
      <c r="K255" s="23">
        <f>(((Table134567891011121314151617343[[#This Row],[ESP]]-VLOOKUP($U$1,A:E,5,))/VLOOKUP($U$1,A:E,5,))*100)+100</f>
        <v/>
      </c>
      <c r="L255" s="23">
        <f>(((Table134567891011121314151617343[[#This Row],[EA19]]-VLOOKUP($U$1,A:F,6,))/VLOOKUP($U$1,A:F,6,))*100)+100</f>
        <v/>
      </c>
      <c r="M255" s="23">
        <f>(((Table134567891011121314151617343[[#This Row],[GBR]]-VLOOKUP($U$1,A:G,7,))/VLOOKUP($U$1,A:G,7,))*100)+100</f>
        <v/>
      </c>
      <c r="N255" s="23">
        <f>VLOOKUP(A255,Database!$E:$AY,MATCH($N$1,Database!$E$1:$AY$1,0),FALSE)</f>
        <v/>
      </c>
      <c r="O255" s="23">
        <f>(((Table134567891011121314151617343[[#This Row],[USA]]-VLOOKUP($U$1,A:N,14,))/VLOOKUP($U$1,A:N,14,))*100)+100</f>
        <v/>
      </c>
      <c r="P255" s="23">
        <f>VLOOKUP(A255,Database!$E:$AY,MATCH($P$1,Database!$E$1:$AY$1,0),FALSE)</f>
        <v/>
      </c>
      <c r="Q255" s="23">
        <f>(((Table134567891011121314151617343[[#This Row],[JPN]]-VLOOKUP($U$1,A:Q,16,))/VLOOKUP($U$1,A:Q,16,))*100)+100</f>
        <v/>
      </c>
    </row>
    <row r="256" customFormat="1" s="100">
      <c r="A256" s="22" t="n">
        <v>40603</v>
      </c>
      <c r="B256" s="23">
        <f>VLOOKUP(A256,Database!$E:$AY,MATCH($B$1,Database!$E$1:$AY$1,0),FALSE)</f>
        <v/>
      </c>
      <c r="C256" s="23">
        <f>VLOOKUP(A256,Database!$E:$AY,MATCH($C$1,Database!$E$1:$AY$1,0),FALSE)</f>
        <v/>
      </c>
      <c r="D256" s="23">
        <f>VLOOKUP(A256,Database!$E:$AY,MATCH($D$1,Database!$E$1:$AY$1,0),FALSE)</f>
        <v/>
      </c>
      <c r="E256" s="23">
        <f>VLOOKUP(A256,Database!$E:$AY,MATCH($E$1,Database!$E$1:$AY$1,0),FALSE)</f>
        <v/>
      </c>
      <c r="F256" s="23">
        <f>VLOOKUP(A256,Database!$E:$AY,MATCH($F$1,Database!$E$1:$AY$1,0),FALSE)</f>
        <v/>
      </c>
      <c r="G256" s="23">
        <f>VLOOKUP(A256,Database!$E:$AY,MATCH($G$1,Database!$E$1:$AY$1,0),FALSE)</f>
        <v/>
      </c>
      <c r="H256" s="23">
        <f>(((Table134567891011121314151617343[[#This Row],[ITA]]-VLOOKUP($U$1,A:B,2,))/VLOOKUP($U$1,A:B,2,))*100)+100</f>
        <v/>
      </c>
      <c r="I256" s="23">
        <f>(((Table134567891011121314151617343[[#This Row],[FRA]]-VLOOKUP($U$1,A:C,3,))/VLOOKUP($U$1,A:C,3,))*100)+100</f>
        <v/>
      </c>
      <c r="J256" s="23">
        <f>(((Table134567891011121314151617343[[#This Row],[DEU]]-VLOOKUP($U$1,A:D,4,))/VLOOKUP($U$1,A:D,4,))*100)+100</f>
        <v/>
      </c>
      <c r="K256" s="23">
        <f>(((Table134567891011121314151617343[[#This Row],[ESP]]-VLOOKUP($U$1,A:E,5,))/VLOOKUP($U$1,A:E,5,))*100)+100</f>
        <v/>
      </c>
      <c r="L256" s="23">
        <f>(((Table134567891011121314151617343[[#This Row],[EA19]]-VLOOKUP($U$1,A:F,6,))/VLOOKUP($U$1,A:F,6,))*100)+100</f>
        <v/>
      </c>
      <c r="M256" s="23">
        <f>(((Table134567891011121314151617343[[#This Row],[GBR]]-VLOOKUP($U$1,A:G,7,))/VLOOKUP($U$1,A:G,7,))*100)+100</f>
        <v/>
      </c>
      <c r="N256" s="23">
        <f>VLOOKUP(A256,Database!$E:$AY,MATCH($N$1,Database!$E$1:$AY$1,0),FALSE)</f>
        <v/>
      </c>
      <c r="O256" s="23">
        <f>(((Table134567891011121314151617343[[#This Row],[USA]]-VLOOKUP($U$1,A:N,14,))/VLOOKUP($U$1,A:N,14,))*100)+100</f>
        <v/>
      </c>
      <c r="P256" s="23">
        <f>VLOOKUP(A256,Database!$E:$AY,MATCH($P$1,Database!$E$1:$AY$1,0),FALSE)</f>
        <v/>
      </c>
      <c r="Q256" s="23">
        <f>(((Table134567891011121314151617343[[#This Row],[JPN]]-VLOOKUP($U$1,A:Q,16,))/VLOOKUP($U$1,A:Q,16,))*100)+100</f>
        <v/>
      </c>
    </row>
    <row r="257" customFormat="1" s="100">
      <c r="A257" s="22" t="n">
        <v>40634</v>
      </c>
      <c r="B257" s="23">
        <f>VLOOKUP(A257,Database!$E:$AY,MATCH($B$1,Database!$E$1:$AY$1,0),FALSE)</f>
        <v/>
      </c>
      <c r="C257" s="23">
        <f>VLOOKUP(A257,Database!$E:$AY,MATCH($C$1,Database!$E$1:$AY$1,0),FALSE)</f>
        <v/>
      </c>
      <c r="D257" s="23">
        <f>VLOOKUP(A257,Database!$E:$AY,MATCH($D$1,Database!$E$1:$AY$1,0),FALSE)</f>
        <v/>
      </c>
      <c r="E257" s="23">
        <f>VLOOKUP(A257,Database!$E:$AY,MATCH($E$1,Database!$E$1:$AY$1,0),FALSE)</f>
        <v/>
      </c>
      <c r="F257" s="23">
        <f>VLOOKUP(A257,Database!$E:$AY,MATCH($F$1,Database!$E$1:$AY$1,0),FALSE)</f>
        <v/>
      </c>
      <c r="G257" s="23">
        <f>VLOOKUP(A257,Database!$E:$AY,MATCH($G$1,Database!$E$1:$AY$1,0),FALSE)</f>
        <v/>
      </c>
      <c r="H257" s="23">
        <f>(((Table134567891011121314151617343[[#This Row],[ITA]]-VLOOKUP($U$1,A:B,2,))/VLOOKUP($U$1,A:B,2,))*100)+100</f>
        <v/>
      </c>
      <c r="I257" s="23">
        <f>(((Table134567891011121314151617343[[#This Row],[FRA]]-VLOOKUP($U$1,A:C,3,))/VLOOKUP($U$1,A:C,3,))*100)+100</f>
        <v/>
      </c>
      <c r="J257" s="23">
        <f>(((Table134567891011121314151617343[[#This Row],[DEU]]-VLOOKUP($U$1,A:D,4,))/VLOOKUP($U$1,A:D,4,))*100)+100</f>
        <v/>
      </c>
      <c r="K257" s="23">
        <f>(((Table134567891011121314151617343[[#This Row],[ESP]]-VLOOKUP($U$1,A:E,5,))/VLOOKUP($U$1,A:E,5,))*100)+100</f>
        <v/>
      </c>
      <c r="L257" s="23">
        <f>(((Table134567891011121314151617343[[#This Row],[EA19]]-VLOOKUP($U$1,A:F,6,))/VLOOKUP($U$1,A:F,6,))*100)+100</f>
        <v/>
      </c>
      <c r="M257" s="23">
        <f>(((Table134567891011121314151617343[[#This Row],[GBR]]-VLOOKUP($U$1,A:G,7,))/VLOOKUP($U$1,A:G,7,))*100)+100</f>
        <v/>
      </c>
      <c r="N257" s="23">
        <f>VLOOKUP(A257,Database!$E:$AY,MATCH($N$1,Database!$E$1:$AY$1,0),FALSE)</f>
        <v/>
      </c>
      <c r="O257" s="23">
        <f>(((Table134567891011121314151617343[[#This Row],[USA]]-VLOOKUP($U$1,A:N,14,))/VLOOKUP($U$1,A:N,14,))*100)+100</f>
        <v/>
      </c>
      <c r="P257" s="23">
        <f>VLOOKUP(A257,Database!$E:$AY,MATCH($P$1,Database!$E$1:$AY$1,0),FALSE)</f>
        <v/>
      </c>
      <c r="Q257" s="23">
        <f>(((Table134567891011121314151617343[[#This Row],[JPN]]-VLOOKUP($U$1,A:Q,16,))/VLOOKUP($U$1,A:Q,16,))*100)+100</f>
        <v/>
      </c>
    </row>
    <row r="258" customFormat="1" s="100">
      <c r="A258" s="22" t="n">
        <v>40664</v>
      </c>
      <c r="B258" s="23">
        <f>VLOOKUP(A258,Database!$E:$AY,MATCH($B$1,Database!$E$1:$AY$1,0),FALSE)</f>
        <v/>
      </c>
      <c r="C258" s="23">
        <f>VLOOKUP(A258,Database!$E:$AY,MATCH($C$1,Database!$E$1:$AY$1,0),FALSE)</f>
        <v/>
      </c>
      <c r="D258" s="23">
        <f>VLOOKUP(A258,Database!$E:$AY,MATCH($D$1,Database!$E$1:$AY$1,0),FALSE)</f>
        <v/>
      </c>
      <c r="E258" s="23">
        <f>VLOOKUP(A258,Database!$E:$AY,MATCH($E$1,Database!$E$1:$AY$1,0),FALSE)</f>
        <v/>
      </c>
      <c r="F258" s="23">
        <f>VLOOKUP(A258,Database!$E:$AY,MATCH($F$1,Database!$E$1:$AY$1,0),FALSE)</f>
        <v/>
      </c>
      <c r="G258" s="23">
        <f>VLOOKUP(A258,Database!$E:$AY,MATCH($G$1,Database!$E$1:$AY$1,0),FALSE)</f>
        <v/>
      </c>
      <c r="H258" s="23">
        <f>(((Table134567891011121314151617343[[#This Row],[ITA]]-VLOOKUP($U$1,A:B,2,))/VLOOKUP($U$1,A:B,2,))*100)+100</f>
        <v/>
      </c>
      <c r="I258" s="23">
        <f>(((Table134567891011121314151617343[[#This Row],[FRA]]-VLOOKUP($U$1,A:C,3,))/VLOOKUP($U$1,A:C,3,))*100)+100</f>
        <v/>
      </c>
      <c r="J258" s="23">
        <f>(((Table134567891011121314151617343[[#This Row],[DEU]]-VLOOKUP($U$1,A:D,4,))/VLOOKUP($U$1,A:D,4,))*100)+100</f>
        <v/>
      </c>
      <c r="K258" s="23">
        <f>(((Table134567891011121314151617343[[#This Row],[ESP]]-VLOOKUP($U$1,A:E,5,))/VLOOKUP($U$1,A:E,5,))*100)+100</f>
        <v/>
      </c>
      <c r="L258" s="23">
        <f>(((Table134567891011121314151617343[[#This Row],[EA19]]-VLOOKUP($U$1,A:F,6,))/VLOOKUP($U$1,A:F,6,))*100)+100</f>
        <v/>
      </c>
      <c r="M258" s="23">
        <f>(((Table134567891011121314151617343[[#This Row],[GBR]]-VLOOKUP($U$1,A:G,7,))/VLOOKUP($U$1,A:G,7,))*100)+100</f>
        <v/>
      </c>
      <c r="N258" s="23">
        <f>VLOOKUP(A258,Database!$E:$AY,MATCH($N$1,Database!$E$1:$AY$1,0),FALSE)</f>
        <v/>
      </c>
      <c r="O258" s="23">
        <f>(((Table134567891011121314151617343[[#This Row],[USA]]-VLOOKUP($U$1,A:N,14,))/VLOOKUP($U$1,A:N,14,))*100)+100</f>
        <v/>
      </c>
      <c r="P258" s="23">
        <f>VLOOKUP(A258,Database!$E:$AY,MATCH($P$1,Database!$E$1:$AY$1,0),FALSE)</f>
        <v/>
      </c>
      <c r="Q258" s="23">
        <f>(((Table134567891011121314151617343[[#This Row],[JPN]]-VLOOKUP($U$1,A:Q,16,))/VLOOKUP($U$1,A:Q,16,))*100)+100</f>
        <v/>
      </c>
    </row>
    <row r="259" customFormat="1" s="100">
      <c r="A259" s="22" t="n">
        <v>40695</v>
      </c>
      <c r="B259" s="23">
        <f>VLOOKUP(A259,Database!$E:$AY,MATCH($B$1,Database!$E$1:$AY$1,0),FALSE)</f>
        <v/>
      </c>
      <c r="C259" s="23">
        <f>VLOOKUP(A259,Database!$E:$AY,MATCH($C$1,Database!$E$1:$AY$1,0),FALSE)</f>
        <v/>
      </c>
      <c r="D259" s="23">
        <f>VLOOKUP(A259,Database!$E:$AY,MATCH($D$1,Database!$E$1:$AY$1,0),FALSE)</f>
        <v/>
      </c>
      <c r="E259" s="23">
        <f>VLOOKUP(A259,Database!$E:$AY,MATCH($E$1,Database!$E$1:$AY$1,0),FALSE)</f>
        <v/>
      </c>
      <c r="F259" s="23">
        <f>VLOOKUP(A259,Database!$E:$AY,MATCH($F$1,Database!$E$1:$AY$1,0),FALSE)</f>
        <v/>
      </c>
      <c r="G259" s="23">
        <f>VLOOKUP(A259,Database!$E:$AY,MATCH($G$1,Database!$E$1:$AY$1,0),FALSE)</f>
        <v/>
      </c>
      <c r="H259" s="23">
        <f>(((Table134567891011121314151617343[[#This Row],[ITA]]-VLOOKUP($U$1,A:B,2,))/VLOOKUP($U$1,A:B,2,))*100)+100</f>
        <v/>
      </c>
      <c r="I259" s="23">
        <f>(((Table134567891011121314151617343[[#This Row],[FRA]]-VLOOKUP($U$1,A:C,3,))/VLOOKUP($U$1,A:C,3,))*100)+100</f>
        <v/>
      </c>
      <c r="J259" s="23">
        <f>(((Table134567891011121314151617343[[#This Row],[DEU]]-VLOOKUP($U$1,A:D,4,))/VLOOKUP($U$1,A:D,4,))*100)+100</f>
        <v/>
      </c>
      <c r="K259" s="23">
        <f>(((Table134567891011121314151617343[[#This Row],[ESP]]-VLOOKUP($U$1,A:E,5,))/VLOOKUP($U$1,A:E,5,))*100)+100</f>
        <v/>
      </c>
      <c r="L259" s="23">
        <f>(((Table134567891011121314151617343[[#This Row],[EA19]]-VLOOKUP($U$1,A:F,6,))/VLOOKUP($U$1,A:F,6,))*100)+100</f>
        <v/>
      </c>
      <c r="M259" s="23">
        <f>(((Table134567891011121314151617343[[#This Row],[GBR]]-VLOOKUP($U$1,A:G,7,))/VLOOKUP($U$1,A:G,7,))*100)+100</f>
        <v/>
      </c>
      <c r="N259" s="23">
        <f>VLOOKUP(A259,Database!$E:$AY,MATCH($N$1,Database!$E$1:$AY$1,0),FALSE)</f>
        <v/>
      </c>
      <c r="O259" s="23">
        <f>(((Table134567891011121314151617343[[#This Row],[USA]]-VLOOKUP($U$1,A:N,14,))/VLOOKUP($U$1,A:N,14,))*100)+100</f>
        <v/>
      </c>
      <c r="P259" s="23">
        <f>VLOOKUP(A259,Database!$E:$AY,MATCH($P$1,Database!$E$1:$AY$1,0),FALSE)</f>
        <v/>
      </c>
      <c r="Q259" s="23">
        <f>(((Table134567891011121314151617343[[#This Row],[JPN]]-VLOOKUP($U$1,A:Q,16,))/VLOOKUP($U$1,A:Q,16,))*100)+100</f>
        <v/>
      </c>
    </row>
    <row r="260" customFormat="1" s="100">
      <c r="A260" s="22" t="n">
        <v>40725</v>
      </c>
      <c r="B260" s="23">
        <f>VLOOKUP(A260,Database!$E:$AY,MATCH($B$1,Database!$E$1:$AY$1,0),FALSE)</f>
        <v/>
      </c>
      <c r="C260" s="23">
        <f>VLOOKUP(A260,Database!$E:$AY,MATCH($C$1,Database!$E$1:$AY$1,0),FALSE)</f>
        <v/>
      </c>
      <c r="D260" s="23">
        <f>VLOOKUP(A260,Database!$E:$AY,MATCH($D$1,Database!$E$1:$AY$1,0),FALSE)</f>
        <v/>
      </c>
      <c r="E260" s="23">
        <f>VLOOKUP(A260,Database!$E:$AY,MATCH($E$1,Database!$E$1:$AY$1,0),FALSE)</f>
        <v/>
      </c>
      <c r="F260" s="23">
        <f>VLOOKUP(A260,Database!$E:$AY,MATCH($F$1,Database!$E$1:$AY$1,0),FALSE)</f>
        <v/>
      </c>
      <c r="G260" s="23">
        <f>VLOOKUP(A260,Database!$E:$AY,MATCH($G$1,Database!$E$1:$AY$1,0),FALSE)</f>
        <v/>
      </c>
      <c r="H260" s="23">
        <f>(((Table134567891011121314151617343[[#This Row],[ITA]]-VLOOKUP($U$1,A:B,2,))/VLOOKUP($U$1,A:B,2,))*100)+100</f>
        <v/>
      </c>
      <c r="I260" s="23">
        <f>(((Table134567891011121314151617343[[#This Row],[FRA]]-VLOOKUP($U$1,A:C,3,))/VLOOKUP($U$1,A:C,3,))*100)+100</f>
        <v/>
      </c>
      <c r="J260" s="23">
        <f>(((Table134567891011121314151617343[[#This Row],[DEU]]-VLOOKUP($U$1,A:D,4,))/VLOOKUP($U$1,A:D,4,))*100)+100</f>
        <v/>
      </c>
      <c r="K260" s="23">
        <f>(((Table134567891011121314151617343[[#This Row],[ESP]]-VLOOKUP($U$1,A:E,5,))/VLOOKUP($U$1,A:E,5,))*100)+100</f>
        <v/>
      </c>
      <c r="L260" s="23">
        <f>(((Table134567891011121314151617343[[#This Row],[EA19]]-VLOOKUP($U$1,A:F,6,))/VLOOKUP($U$1,A:F,6,))*100)+100</f>
        <v/>
      </c>
      <c r="M260" s="23">
        <f>(((Table134567891011121314151617343[[#This Row],[GBR]]-VLOOKUP($U$1,A:G,7,))/VLOOKUP($U$1,A:G,7,))*100)+100</f>
        <v/>
      </c>
      <c r="N260" s="23">
        <f>VLOOKUP(A260,Database!$E:$AY,MATCH($N$1,Database!$E$1:$AY$1,0),FALSE)</f>
        <v/>
      </c>
      <c r="O260" s="23">
        <f>(((Table134567891011121314151617343[[#This Row],[USA]]-VLOOKUP($U$1,A:N,14,))/VLOOKUP($U$1,A:N,14,))*100)+100</f>
        <v/>
      </c>
      <c r="P260" s="23">
        <f>VLOOKUP(A260,Database!$E:$AY,MATCH($P$1,Database!$E$1:$AY$1,0),FALSE)</f>
        <v/>
      </c>
      <c r="Q260" s="23">
        <f>(((Table134567891011121314151617343[[#This Row],[JPN]]-VLOOKUP($U$1,A:Q,16,))/VLOOKUP($U$1,A:Q,16,))*100)+100</f>
        <v/>
      </c>
    </row>
    <row r="261" customFormat="1" s="100">
      <c r="A261" s="22" t="n">
        <v>40756</v>
      </c>
      <c r="B261" s="23">
        <f>VLOOKUP(A261,Database!$E:$AY,MATCH($B$1,Database!$E$1:$AY$1,0),FALSE)</f>
        <v/>
      </c>
      <c r="C261" s="23">
        <f>VLOOKUP(A261,Database!$E:$AY,MATCH($C$1,Database!$E$1:$AY$1,0),FALSE)</f>
        <v/>
      </c>
      <c r="D261" s="23">
        <f>VLOOKUP(A261,Database!$E:$AY,MATCH($D$1,Database!$E$1:$AY$1,0),FALSE)</f>
        <v/>
      </c>
      <c r="E261" s="23">
        <f>VLOOKUP(A261,Database!$E:$AY,MATCH($E$1,Database!$E$1:$AY$1,0),FALSE)</f>
        <v/>
      </c>
      <c r="F261" s="23">
        <f>VLOOKUP(A261,Database!$E:$AY,MATCH($F$1,Database!$E$1:$AY$1,0),FALSE)</f>
        <v/>
      </c>
      <c r="G261" s="23">
        <f>VLOOKUP(A261,Database!$E:$AY,MATCH($G$1,Database!$E$1:$AY$1,0),FALSE)</f>
        <v/>
      </c>
      <c r="H261" s="23">
        <f>(((Table134567891011121314151617343[[#This Row],[ITA]]-VLOOKUP($U$1,A:B,2,))/VLOOKUP($U$1,A:B,2,))*100)+100</f>
        <v/>
      </c>
      <c r="I261" s="23">
        <f>(((Table134567891011121314151617343[[#This Row],[FRA]]-VLOOKUP($U$1,A:C,3,))/VLOOKUP($U$1,A:C,3,))*100)+100</f>
        <v/>
      </c>
      <c r="J261" s="23">
        <f>(((Table134567891011121314151617343[[#This Row],[DEU]]-VLOOKUP($U$1,A:D,4,))/VLOOKUP($U$1,A:D,4,))*100)+100</f>
        <v/>
      </c>
      <c r="K261" s="23">
        <f>(((Table134567891011121314151617343[[#This Row],[ESP]]-VLOOKUP($U$1,A:E,5,))/VLOOKUP($U$1,A:E,5,))*100)+100</f>
        <v/>
      </c>
      <c r="L261" s="23">
        <f>(((Table134567891011121314151617343[[#This Row],[EA19]]-VLOOKUP($U$1,A:F,6,))/VLOOKUP($U$1,A:F,6,))*100)+100</f>
        <v/>
      </c>
      <c r="M261" s="23">
        <f>(((Table134567891011121314151617343[[#This Row],[GBR]]-VLOOKUP($U$1,A:G,7,))/VLOOKUP($U$1,A:G,7,))*100)+100</f>
        <v/>
      </c>
      <c r="N261" s="23">
        <f>VLOOKUP(A261,Database!$E:$AY,MATCH($N$1,Database!$E$1:$AY$1,0),FALSE)</f>
        <v/>
      </c>
      <c r="O261" s="23">
        <f>(((Table134567891011121314151617343[[#This Row],[USA]]-VLOOKUP($U$1,A:N,14,))/VLOOKUP($U$1,A:N,14,))*100)+100</f>
        <v/>
      </c>
      <c r="P261" s="23">
        <f>VLOOKUP(A261,Database!$E:$AY,MATCH($P$1,Database!$E$1:$AY$1,0),FALSE)</f>
        <v/>
      </c>
      <c r="Q261" s="23">
        <f>(((Table134567891011121314151617343[[#This Row],[JPN]]-VLOOKUP($U$1,A:Q,16,))/VLOOKUP($U$1,A:Q,16,))*100)+100</f>
        <v/>
      </c>
    </row>
    <row r="262" customFormat="1" s="100">
      <c r="A262" s="22" t="n">
        <v>40787</v>
      </c>
      <c r="B262" s="23">
        <f>VLOOKUP(A262,Database!$E:$AY,MATCH($B$1,Database!$E$1:$AY$1,0),FALSE)</f>
        <v/>
      </c>
      <c r="C262" s="23">
        <f>VLOOKUP(A262,Database!$E:$AY,MATCH($C$1,Database!$E$1:$AY$1,0),FALSE)</f>
        <v/>
      </c>
      <c r="D262" s="23">
        <f>VLOOKUP(A262,Database!$E:$AY,MATCH($D$1,Database!$E$1:$AY$1,0),FALSE)</f>
        <v/>
      </c>
      <c r="E262" s="23">
        <f>VLOOKUP(A262,Database!$E:$AY,MATCH($E$1,Database!$E$1:$AY$1,0),FALSE)</f>
        <v/>
      </c>
      <c r="F262" s="23">
        <f>VLOOKUP(A262,Database!$E:$AY,MATCH($F$1,Database!$E$1:$AY$1,0),FALSE)</f>
        <v/>
      </c>
      <c r="G262" s="23">
        <f>VLOOKUP(A262,Database!$E:$AY,MATCH($G$1,Database!$E$1:$AY$1,0),FALSE)</f>
        <v/>
      </c>
      <c r="H262" s="23">
        <f>(((Table134567891011121314151617343[[#This Row],[ITA]]-VLOOKUP($U$1,A:B,2,))/VLOOKUP($U$1,A:B,2,))*100)+100</f>
        <v/>
      </c>
      <c r="I262" s="23">
        <f>(((Table134567891011121314151617343[[#This Row],[FRA]]-VLOOKUP($U$1,A:C,3,))/VLOOKUP($U$1,A:C,3,))*100)+100</f>
        <v/>
      </c>
      <c r="J262" s="23">
        <f>(((Table134567891011121314151617343[[#This Row],[DEU]]-VLOOKUP($U$1,A:D,4,))/VLOOKUP($U$1,A:D,4,))*100)+100</f>
        <v/>
      </c>
      <c r="K262" s="23">
        <f>(((Table134567891011121314151617343[[#This Row],[ESP]]-VLOOKUP($U$1,A:E,5,))/VLOOKUP($U$1,A:E,5,))*100)+100</f>
        <v/>
      </c>
      <c r="L262" s="23">
        <f>(((Table134567891011121314151617343[[#This Row],[EA19]]-VLOOKUP($U$1,A:F,6,))/VLOOKUP($U$1,A:F,6,))*100)+100</f>
        <v/>
      </c>
      <c r="M262" s="23">
        <f>(((Table134567891011121314151617343[[#This Row],[GBR]]-VLOOKUP($U$1,A:G,7,))/VLOOKUP($U$1,A:G,7,))*100)+100</f>
        <v/>
      </c>
      <c r="N262" s="23">
        <f>VLOOKUP(A262,Database!$E:$AY,MATCH($N$1,Database!$E$1:$AY$1,0),FALSE)</f>
        <v/>
      </c>
      <c r="O262" s="23">
        <f>(((Table134567891011121314151617343[[#This Row],[USA]]-VLOOKUP($U$1,A:N,14,))/VLOOKUP($U$1,A:N,14,))*100)+100</f>
        <v/>
      </c>
      <c r="P262" s="23">
        <f>VLOOKUP(A262,Database!$E:$AY,MATCH($P$1,Database!$E$1:$AY$1,0),FALSE)</f>
        <v/>
      </c>
      <c r="Q262" s="23">
        <f>(((Table134567891011121314151617343[[#This Row],[JPN]]-VLOOKUP($U$1,A:Q,16,))/VLOOKUP($U$1,A:Q,16,))*100)+100</f>
        <v/>
      </c>
    </row>
    <row r="263" customFormat="1" s="100">
      <c r="A263" s="22" t="n">
        <v>40817</v>
      </c>
      <c r="B263" s="23">
        <f>VLOOKUP(A263,Database!$E:$AY,MATCH($B$1,Database!$E$1:$AY$1,0),FALSE)</f>
        <v/>
      </c>
      <c r="C263" s="23">
        <f>VLOOKUP(A263,Database!$E:$AY,MATCH($C$1,Database!$E$1:$AY$1,0),FALSE)</f>
        <v/>
      </c>
      <c r="D263" s="23">
        <f>VLOOKUP(A263,Database!$E:$AY,MATCH($D$1,Database!$E$1:$AY$1,0),FALSE)</f>
        <v/>
      </c>
      <c r="E263" s="23">
        <f>VLOOKUP(A263,Database!$E:$AY,MATCH($E$1,Database!$E$1:$AY$1,0),FALSE)</f>
        <v/>
      </c>
      <c r="F263" s="23">
        <f>VLOOKUP(A263,Database!$E:$AY,MATCH($F$1,Database!$E$1:$AY$1,0),FALSE)</f>
        <v/>
      </c>
      <c r="G263" s="23">
        <f>VLOOKUP(A263,Database!$E:$AY,MATCH($G$1,Database!$E$1:$AY$1,0),FALSE)</f>
        <v/>
      </c>
      <c r="H263" s="23">
        <f>(((Table134567891011121314151617343[[#This Row],[ITA]]-VLOOKUP($U$1,A:B,2,))/VLOOKUP($U$1,A:B,2,))*100)+100</f>
        <v/>
      </c>
      <c r="I263" s="23">
        <f>(((Table134567891011121314151617343[[#This Row],[FRA]]-VLOOKUP($U$1,A:C,3,))/VLOOKUP($U$1,A:C,3,))*100)+100</f>
        <v/>
      </c>
      <c r="J263" s="23">
        <f>(((Table134567891011121314151617343[[#This Row],[DEU]]-VLOOKUP($U$1,A:D,4,))/VLOOKUP($U$1,A:D,4,))*100)+100</f>
        <v/>
      </c>
      <c r="K263" s="23">
        <f>(((Table134567891011121314151617343[[#This Row],[ESP]]-VLOOKUP($U$1,A:E,5,))/VLOOKUP($U$1,A:E,5,))*100)+100</f>
        <v/>
      </c>
      <c r="L263" s="23">
        <f>(((Table134567891011121314151617343[[#This Row],[EA19]]-VLOOKUP($U$1,A:F,6,))/VLOOKUP($U$1,A:F,6,))*100)+100</f>
        <v/>
      </c>
      <c r="M263" s="23">
        <f>(((Table134567891011121314151617343[[#This Row],[GBR]]-VLOOKUP($U$1,A:G,7,))/VLOOKUP($U$1,A:G,7,))*100)+100</f>
        <v/>
      </c>
      <c r="N263" s="23">
        <f>VLOOKUP(A263,Database!$E:$AY,MATCH($N$1,Database!$E$1:$AY$1,0),FALSE)</f>
        <v/>
      </c>
      <c r="O263" s="23">
        <f>(((Table134567891011121314151617343[[#This Row],[USA]]-VLOOKUP($U$1,A:N,14,))/VLOOKUP($U$1,A:N,14,))*100)+100</f>
        <v/>
      </c>
      <c r="P263" s="23">
        <f>VLOOKUP(A263,Database!$E:$AY,MATCH($P$1,Database!$E$1:$AY$1,0),FALSE)</f>
        <v/>
      </c>
      <c r="Q263" s="23">
        <f>(((Table134567891011121314151617343[[#This Row],[JPN]]-VLOOKUP($U$1,A:Q,16,))/VLOOKUP($U$1,A:Q,16,))*100)+100</f>
        <v/>
      </c>
    </row>
    <row r="264" customFormat="1" s="100">
      <c r="A264" s="22" t="n">
        <v>40848</v>
      </c>
      <c r="B264" s="23">
        <f>VLOOKUP(A264,Database!$E:$AY,MATCH($B$1,Database!$E$1:$AY$1,0),FALSE)</f>
        <v/>
      </c>
      <c r="C264" s="23">
        <f>VLOOKUP(A264,Database!$E:$AY,MATCH($C$1,Database!$E$1:$AY$1,0),FALSE)</f>
        <v/>
      </c>
      <c r="D264" s="23">
        <f>VLOOKUP(A264,Database!$E:$AY,MATCH($D$1,Database!$E$1:$AY$1,0),FALSE)</f>
        <v/>
      </c>
      <c r="E264" s="23">
        <f>VLOOKUP(A264,Database!$E:$AY,MATCH($E$1,Database!$E$1:$AY$1,0),FALSE)</f>
        <v/>
      </c>
      <c r="F264" s="23">
        <f>VLOOKUP(A264,Database!$E:$AY,MATCH($F$1,Database!$E$1:$AY$1,0),FALSE)</f>
        <v/>
      </c>
      <c r="G264" s="23">
        <f>VLOOKUP(A264,Database!$E:$AY,MATCH($G$1,Database!$E$1:$AY$1,0),FALSE)</f>
        <v/>
      </c>
      <c r="H264" s="23">
        <f>(((Table134567891011121314151617343[[#This Row],[ITA]]-VLOOKUP($U$1,A:B,2,))/VLOOKUP($U$1,A:B,2,))*100)+100</f>
        <v/>
      </c>
      <c r="I264" s="23">
        <f>(((Table134567891011121314151617343[[#This Row],[FRA]]-VLOOKUP($U$1,A:C,3,))/VLOOKUP($U$1,A:C,3,))*100)+100</f>
        <v/>
      </c>
      <c r="J264" s="23">
        <f>(((Table134567891011121314151617343[[#This Row],[DEU]]-VLOOKUP($U$1,A:D,4,))/VLOOKUP($U$1,A:D,4,))*100)+100</f>
        <v/>
      </c>
      <c r="K264" s="23">
        <f>(((Table134567891011121314151617343[[#This Row],[ESP]]-VLOOKUP($U$1,A:E,5,))/VLOOKUP($U$1,A:E,5,))*100)+100</f>
        <v/>
      </c>
      <c r="L264" s="23">
        <f>(((Table134567891011121314151617343[[#This Row],[EA19]]-VLOOKUP($U$1,A:F,6,))/VLOOKUP($U$1,A:F,6,))*100)+100</f>
        <v/>
      </c>
      <c r="M264" s="23">
        <f>(((Table134567891011121314151617343[[#This Row],[GBR]]-VLOOKUP($U$1,A:G,7,))/VLOOKUP($U$1,A:G,7,))*100)+100</f>
        <v/>
      </c>
      <c r="N264" s="23">
        <f>VLOOKUP(A264,Database!$E:$AY,MATCH($N$1,Database!$E$1:$AY$1,0),FALSE)</f>
        <v/>
      </c>
      <c r="O264" s="23">
        <f>(((Table134567891011121314151617343[[#This Row],[USA]]-VLOOKUP($U$1,A:N,14,))/VLOOKUP($U$1,A:N,14,))*100)+100</f>
        <v/>
      </c>
      <c r="P264" s="23">
        <f>VLOOKUP(A264,Database!$E:$AY,MATCH($P$1,Database!$E$1:$AY$1,0),FALSE)</f>
        <v/>
      </c>
      <c r="Q264" s="23">
        <f>(((Table134567891011121314151617343[[#This Row],[JPN]]-VLOOKUP($U$1,A:Q,16,))/VLOOKUP($U$1,A:Q,16,))*100)+100</f>
        <v/>
      </c>
    </row>
    <row r="265" customFormat="1" s="100">
      <c r="A265" s="22" t="n">
        <v>40878</v>
      </c>
      <c r="B265" s="23">
        <f>VLOOKUP(A265,Database!$E:$AY,MATCH($B$1,Database!$E$1:$AY$1,0),FALSE)</f>
        <v/>
      </c>
      <c r="C265" s="23">
        <f>VLOOKUP(A265,Database!$E:$AY,MATCH($C$1,Database!$E$1:$AY$1,0),FALSE)</f>
        <v/>
      </c>
      <c r="D265" s="23">
        <f>VLOOKUP(A265,Database!$E:$AY,MATCH($D$1,Database!$E$1:$AY$1,0),FALSE)</f>
        <v/>
      </c>
      <c r="E265" s="23">
        <f>VLOOKUP(A265,Database!$E:$AY,MATCH($E$1,Database!$E$1:$AY$1,0),FALSE)</f>
        <v/>
      </c>
      <c r="F265" s="23">
        <f>VLOOKUP(A265,Database!$E:$AY,MATCH($F$1,Database!$E$1:$AY$1,0),FALSE)</f>
        <v/>
      </c>
      <c r="G265" s="23">
        <f>VLOOKUP(A265,Database!$E:$AY,MATCH($G$1,Database!$E$1:$AY$1,0),FALSE)</f>
        <v/>
      </c>
      <c r="H265" s="23">
        <f>(((Table134567891011121314151617343[[#This Row],[ITA]]-VLOOKUP($U$1,A:B,2,))/VLOOKUP($U$1,A:B,2,))*100)+100</f>
        <v/>
      </c>
      <c r="I265" s="23">
        <f>(((Table134567891011121314151617343[[#This Row],[FRA]]-VLOOKUP($U$1,A:C,3,))/VLOOKUP($U$1,A:C,3,))*100)+100</f>
        <v/>
      </c>
      <c r="J265" s="23">
        <f>(((Table134567891011121314151617343[[#This Row],[DEU]]-VLOOKUP($U$1,A:D,4,))/VLOOKUP($U$1,A:D,4,))*100)+100</f>
        <v/>
      </c>
      <c r="K265" s="23">
        <f>(((Table134567891011121314151617343[[#This Row],[ESP]]-VLOOKUP($U$1,A:E,5,))/VLOOKUP($U$1,A:E,5,))*100)+100</f>
        <v/>
      </c>
      <c r="L265" s="23">
        <f>(((Table134567891011121314151617343[[#This Row],[EA19]]-VLOOKUP($U$1,A:F,6,))/VLOOKUP($U$1,A:F,6,))*100)+100</f>
        <v/>
      </c>
      <c r="M265" s="23">
        <f>(((Table134567891011121314151617343[[#This Row],[GBR]]-VLOOKUP($U$1,A:G,7,))/VLOOKUP($U$1,A:G,7,))*100)+100</f>
        <v/>
      </c>
      <c r="N265" s="23">
        <f>VLOOKUP(A265,Database!$E:$AY,MATCH($N$1,Database!$E$1:$AY$1,0),FALSE)</f>
        <v/>
      </c>
      <c r="O265" s="23">
        <f>(((Table134567891011121314151617343[[#This Row],[USA]]-VLOOKUP($U$1,A:N,14,))/VLOOKUP($U$1,A:N,14,))*100)+100</f>
        <v/>
      </c>
      <c r="P265" s="23">
        <f>VLOOKUP(A265,Database!$E:$AY,MATCH($P$1,Database!$E$1:$AY$1,0),FALSE)</f>
        <v/>
      </c>
      <c r="Q265" s="23">
        <f>(((Table134567891011121314151617343[[#This Row],[JPN]]-VLOOKUP($U$1,A:Q,16,))/VLOOKUP($U$1,A:Q,16,))*100)+100</f>
        <v/>
      </c>
    </row>
    <row r="266" customFormat="1" s="100">
      <c r="A266" s="22" t="n">
        <v>40909</v>
      </c>
      <c r="B266" s="23">
        <f>VLOOKUP(A266,Database!$E:$AY,MATCH($B$1,Database!$E$1:$AY$1,0),FALSE)</f>
        <v/>
      </c>
      <c r="C266" s="23">
        <f>VLOOKUP(A266,Database!$E:$AY,MATCH($C$1,Database!$E$1:$AY$1,0),FALSE)</f>
        <v/>
      </c>
      <c r="D266" s="23">
        <f>VLOOKUP(A266,Database!$E:$AY,MATCH($D$1,Database!$E$1:$AY$1,0),FALSE)</f>
        <v/>
      </c>
      <c r="E266" s="23">
        <f>VLOOKUP(A266,Database!$E:$AY,MATCH($E$1,Database!$E$1:$AY$1,0),FALSE)</f>
        <v/>
      </c>
      <c r="F266" s="23">
        <f>VLOOKUP(A266,Database!$E:$AY,MATCH($F$1,Database!$E$1:$AY$1,0),FALSE)</f>
        <v/>
      </c>
      <c r="G266" s="23">
        <f>VLOOKUP(A266,Database!$E:$AY,MATCH($G$1,Database!$E$1:$AY$1,0),FALSE)</f>
        <v/>
      </c>
      <c r="H266" s="23">
        <f>(((Table134567891011121314151617343[[#This Row],[ITA]]-VLOOKUP($U$1,A:B,2,))/VLOOKUP($U$1,A:B,2,))*100)+100</f>
        <v/>
      </c>
      <c r="I266" s="23">
        <f>(((Table134567891011121314151617343[[#This Row],[FRA]]-VLOOKUP($U$1,A:C,3,))/VLOOKUP($U$1,A:C,3,))*100)+100</f>
        <v/>
      </c>
      <c r="J266" s="23">
        <f>(((Table134567891011121314151617343[[#This Row],[DEU]]-VLOOKUP($U$1,A:D,4,))/VLOOKUP($U$1,A:D,4,))*100)+100</f>
        <v/>
      </c>
      <c r="K266" s="23">
        <f>(((Table134567891011121314151617343[[#This Row],[ESP]]-VLOOKUP($U$1,A:E,5,))/VLOOKUP($U$1,A:E,5,))*100)+100</f>
        <v/>
      </c>
      <c r="L266" s="23">
        <f>(((Table134567891011121314151617343[[#This Row],[EA19]]-VLOOKUP($U$1,A:F,6,))/VLOOKUP($U$1,A:F,6,))*100)+100</f>
        <v/>
      </c>
      <c r="M266" s="23">
        <f>(((Table134567891011121314151617343[[#This Row],[GBR]]-VLOOKUP($U$1,A:G,7,))/VLOOKUP($U$1,A:G,7,))*100)+100</f>
        <v/>
      </c>
      <c r="N266" s="23">
        <f>VLOOKUP(A266,Database!$E:$AY,MATCH($N$1,Database!$E$1:$AY$1,0),FALSE)</f>
        <v/>
      </c>
      <c r="O266" s="23">
        <f>(((Table134567891011121314151617343[[#This Row],[USA]]-VLOOKUP($U$1,A:N,14,))/VLOOKUP($U$1,A:N,14,))*100)+100</f>
        <v/>
      </c>
      <c r="P266" s="23">
        <f>VLOOKUP(A266,Database!$E:$AY,MATCH($P$1,Database!$E$1:$AY$1,0),FALSE)</f>
        <v/>
      </c>
      <c r="Q266" s="23">
        <f>(((Table134567891011121314151617343[[#This Row],[JPN]]-VLOOKUP($U$1,A:Q,16,))/VLOOKUP($U$1,A:Q,16,))*100)+100</f>
        <v/>
      </c>
    </row>
    <row r="267" customFormat="1" s="100">
      <c r="A267" s="22" t="n">
        <v>40940</v>
      </c>
      <c r="B267" s="23">
        <f>VLOOKUP(A267,Database!$E:$AY,MATCH($B$1,Database!$E$1:$AY$1,0),FALSE)</f>
        <v/>
      </c>
      <c r="C267" s="23">
        <f>VLOOKUP(A267,Database!$E:$AY,MATCH($C$1,Database!$E$1:$AY$1,0),FALSE)</f>
        <v/>
      </c>
      <c r="D267" s="23">
        <f>VLOOKUP(A267,Database!$E:$AY,MATCH($D$1,Database!$E$1:$AY$1,0),FALSE)</f>
        <v/>
      </c>
      <c r="E267" s="23">
        <f>VLOOKUP(A267,Database!$E:$AY,MATCH($E$1,Database!$E$1:$AY$1,0),FALSE)</f>
        <v/>
      </c>
      <c r="F267" s="23">
        <f>VLOOKUP(A267,Database!$E:$AY,MATCH($F$1,Database!$E$1:$AY$1,0),FALSE)</f>
        <v/>
      </c>
      <c r="G267" s="23">
        <f>VLOOKUP(A267,Database!$E:$AY,MATCH($G$1,Database!$E$1:$AY$1,0),FALSE)</f>
        <v/>
      </c>
      <c r="H267" s="23">
        <f>(((Table134567891011121314151617343[[#This Row],[ITA]]-VLOOKUP($U$1,A:B,2,))/VLOOKUP($U$1,A:B,2,))*100)+100</f>
        <v/>
      </c>
      <c r="I267" s="23">
        <f>(((Table134567891011121314151617343[[#This Row],[FRA]]-VLOOKUP($U$1,A:C,3,))/VLOOKUP($U$1,A:C,3,))*100)+100</f>
        <v/>
      </c>
      <c r="J267" s="23">
        <f>(((Table134567891011121314151617343[[#This Row],[DEU]]-VLOOKUP($U$1,A:D,4,))/VLOOKUP($U$1,A:D,4,))*100)+100</f>
        <v/>
      </c>
      <c r="K267" s="23">
        <f>(((Table134567891011121314151617343[[#This Row],[ESP]]-VLOOKUP($U$1,A:E,5,))/VLOOKUP($U$1,A:E,5,))*100)+100</f>
        <v/>
      </c>
      <c r="L267" s="23">
        <f>(((Table134567891011121314151617343[[#This Row],[EA19]]-VLOOKUP($U$1,A:F,6,))/VLOOKUP($U$1,A:F,6,))*100)+100</f>
        <v/>
      </c>
      <c r="M267" s="23">
        <f>(((Table134567891011121314151617343[[#This Row],[GBR]]-VLOOKUP($U$1,A:G,7,))/VLOOKUP($U$1,A:G,7,))*100)+100</f>
        <v/>
      </c>
      <c r="N267" s="23">
        <f>VLOOKUP(A267,Database!$E:$AY,MATCH($N$1,Database!$E$1:$AY$1,0),FALSE)</f>
        <v/>
      </c>
      <c r="O267" s="23">
        <f>(((Table134567891011121314151617343[[#This Row],[USA]]-VLOOKUP($U$1,A:N,14,))/VLOOKUP($U$1,A:N,14,))*100)+100</f>
        <v/>
      </c>
      <c r="P267" s="23">
        <f>VLOOKUP(A267,Database!$E:$AY,MATCH($P$1,Database!$E$1:$AY$1,0),FALSE)</f>
        <v/>
      </c>
      <c r="Q267" s="23">
        <f>(((Table134567891011121314151617343[[#This Row],[JPN]]-VLOOKUP($U$1,A:Q,16,))/VLOOKUP($U$1,A:Q,16,))*100)+100</f>
        <v/>
      </c>
    </row>
    <row r="268" customFormat="1" s="100">
      <c r="A268" s="22" t="n">
        <v>40969</v>
      </c>
      <c r="B268" s="23">
        <f>VLOOKUP(A268,Database!$E:$AY,MATCH($B$1,Database!$E$1:$AY$1,0),FALSE)</f>
        <v/>
      </c>
      <c r="C268" s="23">
        <f>VLOOKUP(A268,Database!$E:$AY,MATCH($C$1,Database!$E$1:$AY$1,0),FALSE)</f>
        <v/>
      </c>
      <c r="D268" s="23">
        <f>VLOOKUP(A268,Database!$E:$AY,MATCH($D$1,Database!$E$1:$AY$1,0),FALSE)</f>
        <v/>
      </c>
      <c r="E268" s="23">
        <f>VLOOKUP(A268,Database!$E:$AY,MATCH($E$1,Database!$E$1:$AY$1,0),FALSE)</f>
        <v/>
      </c>
      <c r="F268" s="23">
        <f>VLOOKUP(A268,Database!$E:$AY,MATCH($F$1,Database!$E$1:$AY$1,0),FALSE)</f>
        <v/>
      </c>
      <c r="G268" s="23">
        <f>VLOOKUP(A268,Database!$E:$AY,MATCH($G$1,Database!$E$1:$AY$1,0),FALSE)</f>
        <v/>
      </c>
      <c r="H268" s="23">
        <f>(((Table134567891011121314151617343[[#This Row],[ITA]]-VLOOKUP($U$1,A:B,2,))/VLOOKUP($U$1,A:B,2,))*100)+100</f>
        <v/>
      </c>
      <c r="I268" s="23">
        <f>(((Table134567891011121314151617343[[#This Row],[FRA]]-VLOOKUP($U$1,A:C,3,))/VLOOKUP($U$1,A:C,3,))*100)+100</f>
        <v/>
      </c>
      <c r="J268" s="23">
        <f>(((Table134567891011121314151617343[[#This Row],[DEU]]-VLOOKUP($U$1,A:D,4,))/VLOOKUP($U$1,A:D,4,))*100)+100</f>
        <v/>
      </c>
      <c r="K268" s="23">
        <f>(((Table134567891011121314151617343[[#This Row],[ESP]]-VLOOKUP($U$1,A:E,5,))/VLOOKUP($U$1,A:E,5,))*100)+100</f>
        <v/>
      </c>
      <c r="L268" s="23">
        <f>(((Table134567891011121314151617343[[#This Row],[EA19]]-VLOOKUP($U$1,A:F,6,))/VLOOKUP($U$1,A:F,6,))*100)+100</f>
        <v/>
      </c>
      <c r="M268" s="23">
        <f>(((Table134567891011121314151617343[[#This Row],[GBR]]-VLOOKUP($U$1,A:G,7,))/VLOOKUP($U$1,A:G,7,))*100)+100</f>
        <v/>
      </c>
      <c r="N268" s="23">
        <f>VLOOKUP(A268,Database!$E:$AY,MATCH($N$1,Database!$E$1:$AY$1,0),FALSE)</f>
        <v/>
      </c>
      <c r="O268" s="23">
        <f>(((Table134567891011121314151617343[[#This Row],[USA]]-VLOOKUP($U$1,A:N,14,))/VLOOKUP($U$1,A:N,14,))*100)+100</f>
        <v/>
      </c>
      <c r="P268" s="23">
        <f>VLOOKUP(A268,Database!$E:$AY,MATCH($P$1,Database!$E$1:$AY$1,0),FALSE)</f>
        <v/>
      </c>
      <c r="Q268" s="23">
        <f>(((Table134567891011121314151617343[[#This Row],[JPN]]-VLOOKUP($U$1,A:Q,16,))/VLOOKUP($U$1,A:Q,16,))*100)+100</f>
        <v/>
      </c>
    </row>
    <row r="269" customFormat="1" s="100">
      <c r="A269" s="22" t="n">
        <v>41000</v>
      </c>
      <c r="B269" s="23">
        <f>VLOOKUP(A269,Database!$E:$AY,MATCH($B$1,Database!$E$1:$AY$1,0),FALSE)</f>
        <v/>
      </c>
      <c r="C269" s="23">
        <f>VLOOKUP(A269,Database!$E:$AY,MATCH($C$1,Database!$E$1:$AY$1,0),FALSE)</f>
        <v/>
      </c>
      <c r="D269" s="23">
        <f>VLOOKUP(A269,Database!$E:$AY,MATCH($D$1,Database!$E$1:$AY$1,0),FALSE)</f>
        <v/>
      </c>
      <c r="E269" s="23">
        <f>VLOOKUP(A269,Database!$E:$AY,MATCH($E$1,Database!$E$1:$AY$1,0),FALSE)</f>
        <v/>
      </c>
      <c r="F269" s="23">
        <f>VLOOKUP(A269,Database!$E:$AY,MATCH($F$1,Database!$E$1:$AY$1,0),FALSE)</f>
        <v/>
      </c>
      <c r="G269" s="23">
        <f>VLOOKUP(A269,Database!$E:$AY,MATCH($G$1,Database!$E$1:$AY$1,0),FALSE)</f>
        <v/>
      </c>
      <c r="H269" s="23">
        <f>(((Table134567891011121314151617343[[#This Row],[ITA]]-VLOOKUP($U$1,A:B,2,))/VLOOKUP($U$1,A:B,2,))*100)+100</f>
        <v/>
      </c>
      <c r="I269" s="23">
        <f>(((Table134567891011121314151617343[[#This Row],[FRA]]-VLOOKUP($U$1,A:C,3,))/VLOOKUP($U$1,A:C,3,))*100)+100</f>
        <v/>
      </c>
      <c r="J269" s="23">
        <f>(((Table134567891011121314151617343[[#This Row],[DEU]]-VLOOKUP($U$1,A:D,4,))/VLOOKUP($U$1,A:D,4,))*100)+100</f>
        <v/>
      </c>
      <c r="K269" s="23">
        <f>(((Table134567891011121314151617343[[#This Row],[ESP]]-VLOOKUP($U$1,A:E,5,))/VLOOKUP($U$1,A:E,5,))*100)+100</f>
        <v/>
      </c>
      <c r="L269" s="23">
        <f>(((Table134567891011121314151617343[[#This Row],[EA19]]-VLOOKUP($U$1,A:F,6,))/VLOOKUP($U$1,A:F,6,))*100)+100</f>
        <v/>
      </c>
      <c r="M269" s="23">
        <f>(((Table134567891011121314151617343[[#This Row],[GBR]]-VLOOKUP($U$1,A:G,7,))/VLOOKUP($U$1,A:G,7,))*100)+100</f>
        <v/>
      </c>
      <c r="N269" s="23">
        <f>VLOOKUP(A269,Database!$E:$AY,MATCH($N$1,Database!$E$1:$AY$1,0),FALSE)</f>
        <v/>
      </c>
      <c r="O269" s="23">
        <f>(((Table134567891011121314151617343[[#This Row],[USA]]-VLOOKUP($U$1,A:N,14,))/VLOOKUP($U$1,A:N,14,))*100)+100</f>
        <v/>
      </c>
      <c r="P269" s="23">
        <f>VLOOKUP(A269,Database!$E:$AY,MATCH($P$1,Database!$E$1:$AY$1,0),FALSE)</f>
        <v/>
      </c>
      <c r="Q269" s="23">
        <f>(((Table134567891011121314151617343[[#This Row],[JPN]]-VLOOKUP($U$1,A:Q,16,))/VLOOKUP($U$1,A:Q,16,))*100)+100</f>
        <v/>
      </c>
    </row>
    <row r="270" customFormat="1" s="100">
      <c r="A270" s="22" t="n">
        <v>41030</v>
      </c>
      <c r="B270" s="23">
        <f>VLOOKUP(A270,Database!$E:$AY,MATCH($B$1,Database!$E$1:$AY$1,0),FALSE)</f>
        <v/>
      </c>
      <c r="C270" s="23">
        <f>VLOOKUP(A270,Database!$E:$AY,MATCH($C$1,Database!$E$1:$AY$1,0),FALSE)</f>
        <v/>
      </c>
      <c r="D270" s="23">
        <f>VLOOKUP(A270,Database!$E:$AY,MATCH($D$1,Database!$E$1:$AY$1,0),FALSE)</f>
        <v/>
      </c>
      <c r="E270" s="23">
        <f>VLOOKUP(A270,Database!$E:$AY,MATCH($E$1,Database!$E$1:$AY$1,0),FALSE)</f>
        <v/>
      </c>
      <c r="F270" s="23">
        <f>VLOOKUP(A270,Database!$E:$AY,MATCH($F$1,Database!$E$1:$AY$1,0),FALSE)</f>
        <v/>
      </c>
      <c r="G270" s="23">
        <f>VLOOKUP(A270,Database!$E:$AY,MATCH($G$1,Database!$E$1:$AY$1,0),FALSE)</f>
        <v/>
      </c>
      <c r="H270" s="23">
        <f>(((Table134567891011121314151617343[[#This Row],[ITA]]-VLOOKUP($U$1,A:B,2,))/VLOOKUP($U$1,A:B,2,))*100)+100</f>
        <v/>
      </c>
      <c r="I270" s="23">
        <f>(((Table134567891011121314151617343[[#This Row],[FRA]]-VLOOKUP($U$1,A:C,3,))/VLOOKUP($U$1,A:C,3,))*100)+100</f>
        <v/>
      </c>
      <c r="J270" s="23">
        <f>(((Table134567891011121314151617343[[#This Row],[DEU]]-VLOOKUP($U$1,A:D,4,))/VLOOKUP($U$1,A:D,4,))*100)+100</f>
        <v/>
      </c>
      <c r="K270" s="23">
        <f>(((Table134567891011121314151617343[[#This Row],[ESP]]-VLOOKUP($U$1,A:E,5,))/VLOOKUP($U$1,A:E,5,))*100)+100</f>
        <v/>
      </c>
      <c r="L270" s="23">
        <f>(((Table134567891011121314151617343[[#This Row],[EA19]]-VLOOKUP($U$1,A:F,6,))/VLOOKUP($U$1,A:F,6,))*100)+100</f>
        <v/>
      </c>
      <c r="M270" s="23">
        <f>(((Table134567891011121314151617343[[#This Row],[GBR]]-VLOOKUP($U$1,A:G,7,))/VLOOKUP($U$1,A:G,7,))*100)+100</f>
        <v/>
      </c>
      <c r="N270" s="23">
        <f>VLOOKUP(A270,Database!$E:$AY,MATCH($N$1,Database!$E$1:$AY$1,0),FALSE)</f>
        <v/>
      </c>
      <c r="O270" s="23">
        <f>(((Table134567891011121314151617343[[#This Row],[USA]]-VLOOKUP($U$1,A:N,14,))/VLOOKUP($U$1,A:N,14,))*100)+100</f>
        <v/>
      </c>
      <c r="P270" s="23">
        <f>VLOOKUP(A270,Database!$E:$AY,MATCH($P$1,Database!$E$1:$AY$1,0),FALSE)</f>
        <v/>
      </c>
      <c r="Q270" s="23">
        <f>(((Table134567891011121314151617343[[#This Row],[JPN]]-VLOOKUP($U$1,A:Q,16,))/VLOOKUP($U$1,A:Q,16,))*100)+100</f>
        <v/>
      </c>
    </row>
    <row r="271" customFormat="1" s="100">
      <c r="A271" s="22" t="n">
        <v>41061</v>
      </c>
      <c r="B271" s="23">
        <f>VLOOKUP(A271,Database!$E:$AY,MATCH($B$1,Database!$E$1:$AY$1,0),FALSE)</f>
        <v/>
      </c>
      <c r="C271" s="23">
        <f>VLOOKUP(A271,Database!$E:$AY,MATCH($C$1,Database!$E$1:$AY$1,0),FALSE)</f>
        <v/>
      </c>
      <c r="D271" s="23">
        <f>VLOOKUP(A271,Database!$E:$AY,MATCH($D$1,Database!$E$1:$AY$1,0),FALSE)</f>
        <v/>
      </c>
      <c r="E271" s="23">
        <f>VLOOKUP(A271,Database!$E:$AY,MATCH($E$1,Database!$E$1:$AY$1,0),FALSE)</f>
        <v/>
      </c>
      <c r="F271" s="23">
        <f>VLOOKUP(A271,Database!$E:$AY,MATCH($F$1,Database!$E$1:$AY$1,0),FALSE)</f>
        <v/>
      </c>
      <c r="G271" s="23">
        <f>VLOOKUP(A271,Database!$E:$AY,MATCH($G$1,Database!$E$1:$AY$1,0),FALSE)</f>
        <v/>
      </c>
      <c r="H271" s="23">
        <f>(((Table134567891011121314151617343[[#This Row],[ITA]]-VLOOKUP($U$1,A:B,2,))/VLOOKUP($U$1,A:B,2,))*100)+100</f>
        <v/>
      </c>
      <c r="I271" s="23">
        <f>(((Table134567891011121314151617343[[#This Row],[FRA]]-VLOOKUP($U$1,A:C,3,))/VLOOKUP($U$1,A:C,3,))*100)+100</f>
        <v/>
      </c>
      <c r="J271" s="23">
        <f>(((Table134567891011121314151617343[[#This Row],[DEU]]-VLOOKUP($U$1,A:D,4,))/VLOOKUP($U$1,A:D,4,))*100)+100</f>
        <v/>
      </c>
      <c r="K271" s="23">
        <f>(((Table134567891011121314151617343[[#This Row],[ESP]]-VLOOKUP($U$1,A:E,5,))/VLOOKUP($U$1,A:E,5,))*100)+100</f>
        <v/>
      </c>
      <c r="L271" s="23">
        <f>(((Table134567891011121314151617343[[#This Row],[EA19]]-VLOOKUP($U$1,A:F,6,))/VLOOKUP($U$1,A:F,6,))*100)+100</f>
        <v/>
      </c>
      <c r="M271" s="23">
        <f>(((Table134567891011121314151617343[[#This Row],[GBR]]-VLOOKUP($U$1,A:G,7,))/VLOOKUP($U$1,A:G,7,))*100)+100</f>
        <v/>
      </c>
      <c r="N271" s="23">
        <f>VLOOKUP(A271,Database!$E:$AY,MATCH($N$1,Database!$E$1:$AY$1,0),FALSE)</f>
        <v/>
      </c>
      <c r="O271" s="23">
        <f>(((Table134567891011121314151617343[[#This Row],[USA]]-VLOOKUP($U$1,A:N,14,))/VLOOKUP($U$1,A:N,14,))*100)+100</f>
        <v/>
      </c>
      <c r="P271" s="23">
        <f>VLOOKUP(A271,Database!$E:$AY,MATCH($P$1,Database!$E$1:$AY$1,0),FALSE)</f>
        <v/>
      </c>
      <c r="Q271" s="23">
        <f>(((Table134567891011121314151617343[[#This Row],[JPN]]-VLOOKUP($U$1,A:Q,16,))/VLOOKUP($U$1,A:Q,16,))*100)+100</f>
        <v/>
      </c>
    </row>
    <row r="272" customFormat="1" s="100">
      <c r="A272" s="22" t="n">
        <v>41091</v>
      </c>
      <c r="B272" s="23">
        <f>VLOOKUP(A272,Database!$E:$AY,MATCH($B$1,Database!$E$1:$AY$1,0),FALSE)</f>
        <v/>
      </c>
      <c r="C272" s="23">
        <f>VLOOKUP(A272,Database!$E:$AY,MATCH($C$1,Database!$E$1:$AY$1,0),FALSE)</f>
        <v/>
      </c>
      <c r="D272" s="23">
        <f>VLOOKUP(A272,Database!$E:$AY,MATCH($D$1,Database!$E$1:$AY$1,0),FALSE)</f>
        <v/>
      </c>
      <c r="E272" s="23">
        <f>VLOOKUP(A272,Database!$E:$AY,MATCH($E$1,Database!$E$1:$AY$1,0),FALSE)</f>
        <v/>
      </c>
      <c r="F272" s="23">
        <f>VLOOKUP(A272,Database!$E:$AY,MATCH($F$1,Database!$E$1:$AY$1,0),FALSE)</f>
        <v/>
      </c>
      <c r="G272" s="23">
        <f>VLOOKUP(A272,Database!$E:$AY,MATCH($G$1,Database!$E$1:$AY$1,0),FALSE)</f>
        <v/>
      </c>
      <c r="H272" s="23">
        <f>(((Table134567891011121314151617343[[#This Row],[ITA]]-VLOOKUP($U$1,A:B,2,))/VLOOKUP($U$1,A:B,2,))*100)+100</f>
        <v/>
      </c>
      <c r="I272" s="23">
        <f>(((Table134567891011121314151617343[[#This Row],[FRA]]-VLOOKUP($U$1,A:C,3,))/VLOOKUP($U$1,A:C,3,))*100)+100</f>
        <v/>
      </c>
      <c r="J272" s="23">
        <f>(((Table134567891011121314151617343[[#This Row],[DEU]]-VLOOKUP($U$1,A:D,4,))/VLOOKUP($U$1,A:D,4,))*100)+100</f>
        <v/>
      </c>
      <c r="K272" s="23">
        <f>(((Table134567891011121314151617343[[#This Row],[ESP]]-VLOOKUP($U$1,A:E,5,))/VLOOKUP($U$1,A:E,5,))*100)+100</f>
        <v/>
      </c>
      <c r="L272" s="23">
        <f>(((Table134567891011121314151617343[[#This Row],[EA19]]-VLOOKUP($U$1,A:F,6,))/VLOOKUP($U$1,A:F,6,))*100)+100</f>
        <v/>
      </c>
      <c r="M272" s="23">
        <f>(((Table134567891011121314151617343[[#This Row],[GBR]]-VLOOKUP($U$1,A:G,7,))/VLOOKUP($U$1,A:G,7,))*100)+100</f>
        <v/>
      </c>
      <c r="N272" s="23">
        <f>VLOOKUP(A272,Database!$E:$AY,MATCH($N$1,Database!$E$1:$AY$1,0),FALSE)</f>
        <v/>
      </c>
      <c r="O272" s="23">
        <f>(((Table134567891011121314151617343[[#This Row],[USA]]-VLOOKUP($U$1,A:N,14,))/VLOOKUP($U$1,A:N,14,))*100)+100</f>
        <v/>
      </c>
      <c r="P272" s="23">
        <f>VLOOKUP(A272,Database!$E:$AY,MATCH($P$1,Database!$E$1:$AY$1,0),FALSE)</f>
        <v/>
      </c>
      <c r="Q272" s="23">
        <f>(((Table134567891011121314151617343[[#This Row],[JPN]]-VLOOKUP($U$1,A:Q,16,))/VLOOKUP($U$1,A:Q,16,))*100)+100</f>
        <v/>
      </c>
    </row>
    <row r="273" customFormat="1" s="100">
      <c r="A273" s="22" t="n">
        <v>41122</v>
      </c>
      <c r="B273" s="23">
        <f>VLOOKUP(A273,Database!$E:$AY,MATCH($B$1,Database!$E$1:$AY$1,0),FALSE)</f>
        <v/>
      </c>
      <c r="C273" s="23">
        <f>VLOOKUP(A273,Database!$E:$AY,MATCH($C$1,Database!$E$1:$AY$1,0),FALSE)</f>
        <v/>
      </c>
      <c r="D273" s="23">
        <f>VLOOKUP(A273,Database!$E:$AY,MATCH($D$1,Database!$E$1:$AY$1,0),FALSE)</f>
        <v/>
      </c>
      <c r="E273" s="23">
        <f>VLOOKUP(A273,Database!$E:$AY,MATCH($E$1,Database!$E$1:$AY$1,0),FALSE)</f>
        <v/>
      </c>
      <c r="F273" s="23">
        <f>VLOOKUP(A273,Database!$E:$AY,MATCH($F$1,Database!$E$1:$AY$1,0),FALSE)</f>
        <v/>
      </c>
      <c r="G273" s="23">
        <f>VLOOKUP(A273,Database!$E:$AY,MATCH($G$1,Database!$E$1:$AY$1,0),FALSE)</f>
        <v/>
      </c>
      <c r="H273" s="23">
        <f>(((Table134567891011121314151617343[[#This Row],[ITA]]-VLOOKUP($U$1,A:B,2,))/VLOOKUP($U$1,A:B,2,))*100)+100</f>
        <v/>
      </c>
      <c r="I273" s="23">
        <f>(((Table134567891011121314151617343[[#This Row],[FRA]]-VLOOKUP($U$1,A:C,3,))/VLOOKUP($U$1,A:C,3,))*100)+100</f>
        <v/>
      </c>
      <c r="J273" s="23">
        <f>(((Table134567891011121314151617343[[#This Row],[DEU]]-VLOOKUP($U$1,A:D,4,))/VLOOKUP($U$1,A:D,4,))*100)+100</f>
        <v/>
      </c>
      <c r="K273" s="23">
        <f>(((Table134567891011121314151617343[[#This Row],[ESP]]-VLOOKUP($U$1,A:E,5,))/VLOOKUP($U$1,A:E,5,))*100)+100</f>
        <v/>
      </c>
      <c r="L273" s="23">
        <f>(((Table134567891011121314151617343[[#This Row],[EA19]]-VLOOKUP($U$1,A:F,6,))/VLOOKUP($U$1,A:F,6,))*100)+100</f>
        <v/>
      </c>
      <c r="M273" s="23">
        <f>(((Table134567891011121314151617343[[#This Row],[GBR]]-VLOOKUP($U$1,A:G,7,))/VLOOKUP($U$1,A:G,7,))*100)+100</f>
        <v/>
      </c>
      <c r="N273" s="23">
        <f>VLOOKUP(A273,Database!$E:$AY,MATCH($N$1,Database!$E$1:$AY$1,0),FALSE)</f>
        <v/>
      </c>
      <c r="O273" s="23">
        <f>(((Table134567891011121314151617343[[#This Row],[USA]]-VLOOKUP($U$1,A:N,14,))/VLOOKUP($U$1,A:N,14,))*100)+100</f>
        <v/>
      </c>
      <c r="P273" s="23">
        <f>VLOOKUP(A273,Database!$E:$AY,MATCH($P$1,Database!$E$1:$AY$1,0),FALSE)</f>
        <v/>
      </c>
      <c r="Q273" s="23">
        <f>(((Table134567891011121314151617343[[#This Row],[JPN]]-VLOOKUP($U$1,A:Q,16,))/VLOOKUP($U$1,A:Q,16,))*100)+100</f>
        <v/>
      </c>
    </row>
    <row r="274" customFormat="1" s="100">
      <c r="A274" s="22" t="n">
        <v>41153</v>
      </c>
      <c r="B274" s="23">
        <f>VLOOKUP(A274,Database!$E:$AY,MATCH($B$1,Database!$E$1:$AY$1,0),FALSE)</f>
        <v/>
      </c>
      <c r="C274" s="23">
        <f>VLOOKUP(A274,Database!$E:$AY,MATCH($C$1,Database!$E$1:$AY$1,0),FALSE)</f>
        <v/>
      </c>
      <c r="D274" s="23">
        <f>VLOOKUP(A274,Database!$E:$AY,MATCH($D$1,Database!$E$1:$AY$1,0),FALSE)</f>
        <v/>
      </c>
      <c r="E274" s="23">
        <f>VLOOKUP(A274,Database!$E:$AY,MATCH($E$1,Database!$E$1:$AY$1,0),FALSE)</f>
        <v/>
      </c>
      <c r="F274" s="23">
        <f>VLOOKUP(A274,Database!$E:$AY,MATCH($F$1,Database!$E$1:$AY$1,0),FALSE)</f>
        <v/>
      </c>
      <c r="G274" s="23">
        <f>VLOOKUP(A274,Database!$E:$AY,MATCH($G$1,Database!$E$1:$AY$1,0),FALSE)</f>
        <v/>
      </c>
      <c r="H274" s="23">
        <f>(((Table134567891011121314151617343[[#This Row],[ITA]]-VLOOKUP($U$1,A:B,2,))/VLOOKUP($U$1,A:B,2,))*100)+100</f>
        <v/>
      </c>
      <c r="I274" s="23">
        <f>(((Table134567891011121314151617343[[#This Row],[FRA]]-VLOOKUP($U$1,A:C,3,))/VLOOKUP($U$1,A:C,3,))*100)+100</f>
        <v/>
      </c>
      <c r="J274" s="23">
        <f>(((Table134567891011121314151617343[[#This Row],[DEU]]-VLOOKUP($U$1,A:D,4,))/VLOOKUP($U$1,A:D,4,))*100)+100</f>
        <v/>
      </c>
      <c r="K274" s="23">
        <f>(((Table134567891011121314151617343[[#This Row],[ESP]]-VLOOKUP($U$1,A:E,5,))/VLOOKUP($U$1,A:E,5,))*100)+100</f>
        <v/>
      </c>
      <c r="L274" s="23">
        <f>(((Table134567891011121314151617343[[#This Row],[EA19]]-VLOOKUP($U$1,A:F,6,))/VLOOKUP($U$1,A:F,6,))*100)+100</f>
        <v/>
      </c>
      <c r="M274" s="23">
        <f>(((Table134567891011121314151617343[[#This Row],[GBR]]-VLOOKUP($U$1,A:G,7,))/VLOOKUP($U$1,A:G,7,))*100)+100</f>
        <v/>
      </c>
      <c r="N274" s="23">
        <f>VLOOKUP(A274,Database!$E:$AY,MATCH($N$1,Database!$E$1:$AY$1,0),FALSE)</f>
        <v/>
      </c>
      <c r="O274" s="23">
        <f>(((Table134567891011121314151617343[[#This Row],[USA]]-VLOOKUP($U$1,A:N,14,))/VLOOKUP($U$1,A:N,14,))*100)+100</f>
        <v/>
      </c>
      <c r="P274" s="23">
        <f>VLOOKUP(A274,Database!$E:$AY,MATCH($P$1,Database!$E$1:$AY$1,0),FALSE)</f>
        <v/>
      </c>
      <c r="Q274" s="23">
        <f>(((Table134567891011121314151617343[[#This Row],[JPN]]-VLOOKUP($U$1,A:Q,16,))/VLOOKUP($U$1,A:Q,16,))*100)+100</f>
        <v/>
      </c>
    </row>
    <row r="275" customFormat="1" s="100">
      <c r="A275" s="22" t="n">
        <v>41183</v>
      </c>
      <c r="B275" s="23">
        <f>VLOOKUP(A275,Database!$E:$AY,MATCH($B$1,Database!$E$1:$AY$1,0),FALSE)</f>
        <v/>
      </c>
      <c r="C275" s="23">
        <f>VLOOKUP(A275,Database!$E:$AY,MATCH($C$1,Database!$E$1:$AY$1,0),FALSE)</f>
        <v/>
      </c>
      <c r="D275" s="23">
        <f>VLOOKUP(A275,Database!$E:$AY,MATCH($D$1,Database!$E$1:$AY$1,0),FALSE)</f>
        <v/>
      </c>
      <c r="E275" s="23">
        <f>VLOOKUP(A275,Database!$E:$AY,MATCH($E$1,Database!$E$1:$AY$1,0),FALSE)</f>
        <v/>
      </c>
      <c r="F275" s="23">
        <f>VLOOKUP(A275,Database!$E:$AY,MATCH($F$1,Database!$E$1:$AY$1,0),FALSE)</f>
        <v/>
      </c>
      <c r="G275" s="23">
        <f>VLOOKUP(A275,Database!$E:$AY,MATCH($G$1,Database!$E$1:$AY$1,0),FALSE)</f>
        <v/>
      </c>
      <c r="H275" s="23">
        <f>(((Table134567891011121314151617343[[#This Row],[ITA]]-VLOOKUP($U$1,A:B,2,))/VLOOKUP($U$1,A:B,2,))*100)+100</f>
        <v/>
      </c>
      <c r="I275" s="23">
        <f>(((Table134567891011121314151617343[[#This Row],[FRA]]-VLOOKUP($U$1,A:C,3,))/VLOOKUP($U$1,A:C,3,))*100)+100</f>
        <v/>
      </c>
      <c r="J275" s="23">
        <f>(((Table134567891011121314151617343[[#This Row],[DEU]]-VLOOKUP($U$1,A:D,4,))/VLOOKUP($U$1,A:D,4,))*100)+100</f>
        <v/>
      </c>
      <c r="K275" s="23">
        <f>(((Table134567891011121314151617343[[#This Row],[ESP]]-VLOOKUP($U$1,A:E,5,))/VLOOKUP($U$1,A:E,5,))*100)+100</f>
        <v/>
      </c>
      <c r="L275" s="23">
        <f>(((Table134567891011121314151617343[[#This Row],[EA19]]-VLOOKUP($U$1,A:F,6,))/VLOOKUP($U$1,A:F,6,))*100)+100</f>
        <v/>
      </c>
      <c r="M275" s="23">
        <f>(((Table134567891011121314151617343[[#This Row],[GBR]]-VLOOKUP($U$1,A:G,7,))/VLOOKUP($U$1,A:G,7,))*100)+100</f>
        <v/>
      </c>
      <c r="N275" s="23">
        <f>VLOOKUP(A275,Database!$E:$AY,MATCH($N$1,Database!$E$1:$AY$1,0),FALSE)</f>
        <v/>
      </c>
      <c r="O275" s="23">
        <f>(((Table134567891011121314151617343[[#This Row],[USA]]-VLOOKUP($U$1,A:N,14,))/VLOOKUP($U$1,A:N,14,))*100)+100</f>
        <v/>
      </c>
      <c r="P275" s="23">
        <f>VLOOKUP(A275,Database!$E:$AY,MATCH($P$1,Database!$E$1:$AY$1,0),FALSE)</f>
        <v/>
      </c>
      <c r="Q275" s="23">
        <f>(((Table134567891011121314151617343[[#This Row],[JPN]]-VLOOKUP($U$1,A:Q,16,))/VLOOKUP($U$1,A:Q,16,))*100)+100</f>
        <v/>
      </c>
    </row>
    <row r="276" customFormat="1" s="100">
      <c r="A276" s="22" t="n">
        <v>41214</v>
      </c>
      <c r="B276" s="23">
        <f>VLOOKUP(A276,Database!$E:$AY,MATCH($B$1,Database!$E$1:$AY$1,0),FALSE)</f>
        <v/>
      </c>
      <c r="C276" s="23">
        <f>VLOOKUP(A276,Database!$E:$AY,MATCH($C$1,Database!$E$1:$AY$1,0),FALSE)</f>
        <v/>
      </c>
      <c r="D276" s="23">
        <f>VLOOKUP(A276,Database!$E:$AY,MATCH($D$1,Database!$E$1:$AY$1,0),FALSE)</f>
        <v/>
      </c>
      <c r="E276" s="23">
        <f>VLOOKUP(A276,Database!$E:$AY,MATCH($E$1,Database!$E$1:$AY$1,0),FALSE)</f>
        <v/>
      </c>
      <c r="F276" s="23">
        <f>VLOOKUP(A276,Database!$E:$AY,MATCH($F$1,Database!$E$1:$AY$1,0),FALSE)</f>
        <v/>
      </c>
      <c r="G276" s="23">
        <f>VLOOKUP(A276,Database!$E:$AY,MATCH($G$1,Database!$E$1:$AY$1,0),FALSE)</f>
        <v/>
      </c>
      <c r="H276" s="23">
        <f>(((Table134567891011121314151617343[[#This Row],[ITA]]-VLOOKUP($U$1,A:B,2,))/VLOOKUP($U$1,A:B,2,))*100)+100</f>
        <v/>
      </c>
      <c r="I276" s="23">
        <f>(((Table134567891011121314151617343[[#This Row],[FRA]]-VLOOKUP($U$1,A:C,3,))/VLOOKUP($U$1,A:C,3,))*100)+100</f>
        <v/>
      </c>
      <c r="J276" s="23">
        <f>(((Table134567891011121314151617343[[#This Row],[DEU]]-VLOOKUP($U$1,A:D,4,))/VLOOKUP($U$1,A:D,4,))*100)+100</f>
        <v/>
      </c>
      <c r="K276" s="23">
        <f>(((Table134567891011121314151617343[[#This Row],[ESP]]-VLOOKUP($U$1,A:E,5,))/VLOOKUP($U$1,A:E,5,))*100)+100</f>
        <v/>
      </c>
      <c r="L276" s="23">
        <f>(((Table134567891011121314151617343[[#This Row],[EA19]]-VLOOKUP($U$1,A:F,6,))/VLOOKUP($U$1,A:F,6,))*100)+100</f>
        <v/>
      </c>
      <c r="M276" s="23">
        <f>(((Table134567891011121314151617343[[#This Row],[GBR]]-VLOOKUP($U$1,A:G,7,))/VLOOKUP($U$1,A:G,7,))*100)+100</f>
        <v/>
      </c>
      <c r="N276" s="23">
        <f>VLOOKUP(A276,Database!$E:$AY,MATCH($N$1,Database!$E$1:$AY$1,0),FALSE)</f>
        <v/>
      </c>
      <c r="O276" s="23">
        <f>(((Table134567891011121314151617343[[#This Row],[USA]]-VLOOKUP($U$1,A:N,14,))/VLOOKUP($U$1,A:N,14,))*100)+100</f>
        <v/>
      </c>
      <c r="P276" s="23">
        <f>VLOOKUP(A276,Database!$E:$AY,MATCH($P$1,Database!$E$1:$AY$1,0),FALSE)</f>
        <v/>
      </c>
      <c r="Q276" s="23">
        <f>(((Table134567891011121314151617343[[#This Row],[JPN]]-VLOOKUP($U$1,A:Q,16,))/VLOOKUP($U$1,A:Q,16,))*100)+100</f>
        <v/>
      </c>
    </row>
    <row r="277" customFormat="1" s="100">
      <c r="A277" s="22" t="n">
        <v>41244</v>
      </c>
      <c r="B277" s="23">
        <f>VLOOKUP(A277,Database!$E:$AY,MATCH($B$1,Database!$E$1:$AY$1,0),FALSE)</f>
        <v/>
      </c>
      <c r="C277" s="23">
        <f>VLOOKUP(A277,Database!$E:$AY,MATCH($C$1,Database!$E$1:$AY$1,0),FALSE)</f>
        <v/>
      </c>
      <c r="D277" s="23">
        <f>VLOOKUP(A277,Database!$E:$AY,MATCH($D$1,Database!$E$1:$AY$1,0),FALSE)</f>
        <v/>
      </c>
      <c r="E277" s="23">
        <f>VLOOKUP(A277,Database!$E:$AY,MATCH($E$1,Database!$E$1:$AY$1,0),FALSE)</f>
        <v/>
      </c>
      <c r="F277" s="23">
        <f>VLOOKUP(A277,Database!$E:$AY,MATCH($F$1,Database!$E$1:$AY$1,0),FALSE)</f>
        <v/>
      </c>
      <c r="G277" s="23">
        <f>VLOOKUP(A277,Database!$E:$AY,MATCH($G$1,Database!$E$1:$AY$1,0),FALSE)</f>
        <v/>
      </c>
      <c r="H277" s="23">
        <f>(((Table134567891011121314151617343[[#This Row],[ITA]]-VLOOKUP($U$1,A:B,2,))/VLOOKUP($U$1,A:B,2,))*100)+100</f>
        <v/>
      </c>
      <c r="I277" s="23">
        <f>(((Table134567891011121314151617343[[#This Row],[FRA]]-VLOOKUP($U$1,A:C,3,))/VLOOKUP($U$1,A:C,3,))*100)+100</f>
        <v/>
      </c>
      <c r="J277" s="23">
        <f>(((Table134567891011121314151617343[[#This Row],[DEU]]-VLOOKUP($U$1,A:D,4,))/VLOOKUP($U$1,A:D,4,))*100)+100</f>
        <v/>
      </c>
      <c r="K277" s="23">
        <f>(((Table134567891011121314151617343[[#This Row],[ESP]]-VLOOKUP($U$1,A:E,5,))/VLOOKUP($U$1,A:E,5,))*100)+100</f>
        <v/>
      </c>
      <c r="L277" s="23">
        <f>(((Table134567891011121314151617343[[#This Row],[EA19]]-VLOOKUP($U$1,A:F,6,))/VLOOKUP($U$1,A:F,6,))*100)+100</f>
        <v/>
      </c>
      <c r="M277" s="23">
        <f>(((Table134567891011121314151617343[[#This Row],[GBR]]-VLOOKUP($U$1,A:G,7,))/VLOOKUP($U$1,A:G,7,))*100)+100</f>
        <v/>
      </c>
      <c r="N277" s="23">
        <f>VLOOKUP(A277,Database!$E:$AY,MATCH($N$1,Database!$E$1:$AY$1,0),FALSE)</f>
        <v/>
      </c>
      <c r="O277" s="23">
        <f>(((Table134567891011121314151617343[[#This Row],[USA]]-VLOOKUP($U$1,A:N,14,))/VLOOKUP($U$1,A:N,14,))*100)+100</f>
        <v/>
      </c>
      <c r="P277" s="23">
        <f>VLOOKUP(A277,Database!$E:$AY,MATCH($P$1,Database!$E$1:$AY$1,0),FALSE)</f>
        <v/>
      </c>
      <c r="Q277" s="23">
        <f>(((Table134567891011121314151617343[[#This Row],[JPN]]-VLOOKUP($U$1,A:Q,16,))/VLOOKUP($U$1,A:Q,16,))*100)+100</f>
        <v/>
      </c>
    </row>
    <row r="278" customFormat="1" s="100">
      <c r="A278" s="22" t="n">
        <v>41275</v>
      </c>
      <c r="B278" s="23">
        <f>VLOOKUP(A278,Database!$E:$AY,MATCH($B$1,Database!$E$1:$AY$1,0),FALSE)</f>
        <v/>
      </c>
      <c r="C278" s="23">
        <f>VLOOKUP(A278,Database!$E:$AY,MATCH($C$1,Database!$E$1:$AY$1,0),FALSE)</f>
        <v/>
      </c>
      <c r="D278" s="23">
        <f>VLOOKUP(A278,Database!$E:$AY,MATCH($D$1,Database!$E$1:$AY$1,0),FALSE)</f>
        <v/>
      </c>
      <c r="E278" s="23">
        <f>VLOOKUP(A278,Database!$E:$AY,MATCH($E$1,Database!$E$1:$AY$1,0),FALSE)</f>
        <v/>
      </c>
      <c r="F278" s="23">
        <f>VLOOKUP(A278,Database!$E:$AY,MATCH($F$1,Database!$E$1:$AY$1,0),FALSE)</f>
        <v/>
      </c>
      <c r="G278" s="23">
        <f>VLOOKUP(A278,Database!$E:$AY,MATCH($G$1,Database!$E$1:$AY$1,0),FALSE)</f>
        <v/>
      </c>
      <c r="H278" s="23">
        <f>(((Table134567891011121314151617343[[#This Row],[ITA]]-VLOOKUP($U$1,A:B,2,))/VLOOKUP($U$1,A:B,2,))*100)+100</f>
        <v/>
      </c>
      <c r="I278" s="23">
        <f>(((Table134567891011121314151617343[[#This Row],[FRA]]-VLOOKUP($U$1,A:C,3,))/VLOOKUP($U$1,A:C,3,))*100)+100</f>
        <v/>
      </c>
      <c r="J278" s="23">
        <f>(((Table134567891011121314151617343[[#This Row],[DEU]]-VLOOKUP($U$1,A:D,4,))/VLOOKUP($U$1,A:D,4,))*100)+100</f>
        <v/>
      </c>
      <c r="K278" s="23">
        <f>(((Table134567891011121314151617343[[#This Row],[ESP]]-VLOOKUP($U$1,A:E,5,))/VLOOKUP($U$1,A:E,5,))*100)+100</f>
        <v/>
      </c>
      <c r="L278" s="23">
        <f>(((Table134567891011121314151617343[[#This Row],[EA19]]-VLOOKUP($U$1,A:F,6,))/VLOOKUP($U$1,A:F,6,))*100)+100</f>
        <v/>
      </c>
      <c r="M278" s="23">
        <f>(((Table134567891011121314151617343[[#This Row],[GBR]]-VLOOKUP($U$1,A:G,7,))/VLOOKUP($U$1,A:G,7,))*100)+100</f>
        <v/>
      </c>
      <c r="N278" s="23">
        <f>VLOOKUP(A278,Database!$E:$AY,MATCH($N$1,Database!$E$1:$AY$1,0),FALSE)</f>
        <v/>
      </c>
      <c r="O278" s="23">
        <f>(((Table134567891011121314151617343[[#This Row],[USA]]-VLOOKUP($U$1,A:N,14,))/VLOOKUP($U$1,A:N,14,))*100)+100</f>
        <v/>
      </c>
      <c r="P278" s="23">
        <f>VLOOKUP(A278,Database!$E:$AY,MATCH($P$1,Database!$E$1:$AY$1,0),FALSE)</f>
        <v/>
      </c>
      <c r="Q278" s="23">
        <f>(((Table134567891011121314151617343[[#This Row],[JPN]]-VLOOKUP($U$1,A:Q,16,))/VLOOKUP($U$1,A:Q,16,))*100)+100</f>
        <v/>
      </c>
    </row>
    <row r="279" customFormat="1" s="100">
      <c r="A279" s="22" t="n">
        <v>41306</v>
      </c>
      <c r="B279" s="23">
        <f>VLOOKUP(A279,Database!$E:$AY,MATCH($B$1,Database!$E$1:$AY$1,0),FALSE)</f>
        <v/>
      </c>
      <c r="C279" s="23">
        <f>VLOOKUP(A279,Database!$E:$AY,MATCH($C$1,Database!$E$1:$AY$1,0),FALSE)</f>
        <v/>
      </c>
      <c r="D279" s="23">
        <f>VLOOKUP(A279,Database!$E:$AY,MATCH($D$1,Database!$E$1:$AY$1,0),FALSE)</f>
        <v/>
      </c>
      <c r="E279" s="23">
        <f>VLOOKUP(A279,Database!$E:$AY,MATCH($E$1,Database!$E$1:$AY$1,0),FALSE)</f>
        <v/>
      </c>
      <c r="F279" s="23">
        <f>VLOOKUP(A279,Database!$E:$AY,MATCH($F$1,Database!$E$1:$AY$1,0),FALSE)</f>
        <v/>
      </c>
      <c r="G279" s="23">
        <f>VLOOKUP(A279,Database!$E:$AY,MATCH($G$1,Database!$E$1:$AY$1,0),FALSE)</f>
        <v/>
      </c>
      <c r="H279" s="23">
        <f>(((Table134567891011121314151617343[[#This Row],[ITA]]-VLOOKUP($U$1,A:B,2,))/VLOOKUP($U$1,A:B,2,))*100)+100</f>
        <v/>
      </c>
      <c r="I279" s="23">
        <f>(((Table134567891011121314151617343[[#This Row],[FRA]]-VLOOKUP($U$1,A:C,3,))/VLOOKUP($U$1,A:C,3,))*100)+100</f>
        <v/>
      </c>
      <c r="J279" s="23">
        <f>(((Table134567891011121314151617343[[#This Row],[DEU]]-VLOOKUP($U$1,A:D,4,))/VLOOKUP($U$1,A:D,4,))*100)+100</f>
        <v/>
      </c>
      <c r="K279" s="23">
        <f>(((Table134567891011121314151617343[[#This Row],[ESP]]-VLOOKUP($U$1,A:E,5,))/VLOOKUP($U$1,A:E,5,))*100)+100</f>
        <v/>
      </c>
      <c r="L279" s="23">
        <f>(((Table134567891011121314151617343[[#This Row],[EA19]]-VLOOKUP($U$1,A:F,6,))/VLOOKUP($U$1,A:F,6,))*100)+100</f>
        <v/>
      </c>
      <c r="M279" s="23">
        <f>(((Table134567891011121314151617343[[#This Row],[GBR]]-VLOOKUP($U$1,A:G,7,))/VLOOKUP($U$1,A:G,7,))*100)+100</f>
        <v/>
      </c>
      <c r="N279" s="23">
        <f>VLOOKUP(A279,Database!$E:$AY,MATCH($N$1,Database!$E$1:$AY$1,0),FALSE)</f>
        <v/>
      </c>
      <c r="O279" s="23">
        <f>(((Table134567891011121314151617343[[#This Row],[USA]]-VLOOKUP($U$1,A:N,14,))/VLOOKUP($U$1,A:N,14,))*100)+100</f>
        <v/>
      </c>
      <c r="P279" s="23">
        <f>VLOOKUP(A279,Database!$E:$AY,MATCH($P$1,Database!$E$1:$AY$1,0),FALSE)</f>
        <v/>
      </c>
      <c r="Q279" s="23">
        <f>(((Table134567891011121314151617343[[#This Row],[JPN]]-VLOOKUP($U$1,A:Q,16,))/VLOOKUP($U$1,A:Q,16,))*100)+100</f>
        <v/>
      </c>
    </row>
    <row r="280" customFormat="1" s="100">
      <c r="A280" s="22" t="n">
        <v>41334</v>
      </c>
      <c r="B280" s="23">
        <f>VLOOKUP(A280,Database!$E:$AY,MATCH($B$1,Database!$E$1:$AY$1,0),FALSE)</f>
        <v/>
      </c>
      <c r="C280" s="23">
        <f>VLOOKUP(A280,Database!$E:$AY,MATCH($C$1,Database!$E$1:$AY$1,0),FALSE)</f>
        <v/>
      </c>
      <c r="D280" s="23">
        <f>VLOOKUP(A280,Database!$E:$AY,MATCH($D$1,Database!$E$1:$AY$1,0),FALSE)</f>
        <v/>
      </c>
      <c r="E280" s="23">
        <f>VLOOKUP(A280,Database!$E:$AY,MATCH($E$1,Database!$E$1:$AY$1,0),FALSE)</f>
        <v/>
      </c>
      <c r="F280" s="23">
        <f>VLOOKUP(A280,Database!$E:$AY,MATCH($F$1,Database!$E$1:$AY$1,0),FALSE)</f>
        <v/>
      </c>
      <c r="G280" s="23">
        <f>VLOOKUP(A280,Database!$E:$AY,MATCH($G$1,Database!$E$1:$AY$1,0),FALSE)</f>
        <v/>
      </c>
      <c r="H280" s="23">
        <f>(((Table134567891011121314151617343[[#This Row],[ITA]]-VLOOKUP($U$1,A:B,2,))/VLOOKUP($U$1,A:B,2,))*100)+100</f>
        <v/>
      </c>
      <c r="I280" s="23">
        <f>(((Table134567891011121314151617343[[#This Row],[FRA]]-VLOOKUP($U$1,A:C,3,))/VLOOKUP($U$1,A:C,3,))*100)+100</f>
        <v/>
      </c>
      <c r="J280" s="23">
        <f>(((Table134567891011121314151617343[[#This Row],[DEU]]-VLOOKUP($U$1,A:D,4,))/VLOOKUP($U$1,A:D,4,))*100)+100</f>
        <v/>
      </c>
      <c r="K280" s="23">
        <f>(((Table134567891011121314151617343[[#This Row],[ESP]]-VLOOKUP($U$1,A:E,5,))/VLOOKUP($U$1,A:E,5,))*100)+100</f>
        <v/>
      </c>
      <c r="L280" s="23">
        <f>(((Table134567891011121314151617343[[#This Row],[EA19]]-VLOOKUP($U$1,A:F,6,))/VLOOKUP($U$1,A:F,6,))*100)+100</f>
        <v/>
      </c>
      <c r="M280" s="23">
        <f>(((Table134567891011121314151617343[[#This Row],[GBR]]-VLOOKUP($U$1,A:G,7,))/VLOOKUP($U$1,A:G,7,))*100)+100</f>
        <v/>
      </c>
      <c r="N280" s="23">
        <f>VLOOKUP(A280,Database!$E:$AY,MATCH($N$1,Database!$E$1:$AY$1,0),FALSE)</f>
        <v/>
      </c>
      <c r="O280" s="23">
        <f>(((Table134567891011121314151617343[[#This Row],[USA]]-VLOOKUP($U$1,A:N,14,))/VLOOKUP($U$1,A:N,14,))*100)+100</f>
        <v/>
      </c>
      <c r="P280" s="23">
        <f>VLOOKUP(A280,Database!$E:$AY,MATCH($P$1,Database!$E$1:$AY$1,0),FALSE)</f>
        <v/>
      </c>
      <c r="Q280" s="23">
        <f>(((Table134567891011121314151617343[[#This Row],[JPN]]-VLOOKUP($U$1,A:Q,16,))/VLOOKUP($U$1,A:Q,16,))*100)+100</f>
        <v/>
      </c>
    </row>
    <row r="281" customFormat="1" s="100">
      <c r="A281" s="22" t="n">
        <v>41365</v>
      </c>
      <c r="B281" s="23">
        <f>VLOOKUP(A281,Database!$E:$AY,MATCH($B$1,Database!$E$1:$AY$1,0),FALSE)</f>
        <v/>
      </c>
      <c r="C281" s="23">
        <f>VLOOKUP(A281,Database!$E:$AY,MATCH($C$1,Database!$E$1:$AY$1,0),FALSE)</f>
        <v/>
      </c>
      <c r="D281" s="23">
        <f>VLOOKUP(A281,Database!$E:$AY,MATCH($D$1,Database!$E$1:$AY$1,0),FALSE)</f>
        <v/>
      </c>
      <c r="E281" s="23">
        <f>VLOOKUP(A281,Database!$E:$AY,MATCH($E$1,Database!$E$1:$AY$1,0),FALSE)</f>
        <v/>
      </c>
      <c r="F281" s="23">
        <f>VLOOKUP(A281,Database!$E:$AY,MATCH($F$1,Database!$E$1:$AY$1,0),FALSE)</f>
        <v/>
      </c>
      <c r="G281" s="23">
        <f>VLOOKUP(A281,Database!$E:$AY,MATCH($G$1,Database!$E$1:$AY$1,0),FALSE)</f>
        <v/>
      </c>
      <c r="H281" s="23">
        <f>(((Table134567891011121314151617343[[#This Row],[ITA]]-VLOOKUP($U$1,A:B,2,))/VLOOKUP($U$1,A:B,2,))*100)+100</f>
        <v/>
      </c>
      <c r="I281" s="23">
        <f>(((Table134567891011121314151617343[[#This Row],[FRA]]-VLOOKUP($U$1,A:C,3,))/VLOOKUP($U$1,A:C,3,))*100)+100</f>
        <v/>
      </c>
      <c r="J281" s="23">
        <f>(((Table134567891011121314151617343[[#This Row],[DEU]]-VLOOKUP($U$1,A:D,4,))/VLOOKUP($U$1,A:D,4,))*100)+100</f>
        <v/>
      </c>
      <c r="K281" s="23">
        <f>(((Table134567891011121314151617343[[#This Row],[ESP]]-VLOOKUP($U$1,A:E,5,))/VLOOKUP($U$1,A:E,5,))*100)+100</f>
        <v/>
      </c>
      <c r="L281" s="23">
        <f>(((Table134567891011121314151617343[[#This Row],[EA19]]-VLOOKUP($U$1,A:F,6,))/VLOOKUP($U$1,A:F,6,))*100)+100</f>
        <v/>
      </c>
      <c r="M281" s="23">
        <f>(((Table134567891011121314151617343[[#This Row],[GBR]]-VLOOKUP($U$1,A:G,7,))/VLOOKUP($U$1,A:G,7,))*100)+100</f>
        <v/>
      </c>
      <c r="N281" s="23">
        <f>VLOOKUP(A281,Database!$E:$AY,MATCH($N$1,Database!$E$1:$AY$1,0),FALSE)</f>
        <v/>
      </c>
      <c r="O281" s="23">
        <f>(((Table134567891011121314151617343[[#This Row],[USA]]-VLOOKUP($U$1,A:N,14,))/VLOOKUP($U$1,A:N,14,))*100)+100</f>
        <v/>
      </c>
      <c r="P281" s="23">
        <f>VLOOKUP(A281,Database!$E:$AY,MATCH($P$1,Database!$E$1:$AY$1,0),FALSE)</f>
        <v/>
      </c>
      <c r="Q281" s="23">
        <f>(((Table134567891011121314151617343[[#This Row],[JPN]]-VLOOKUP($U$1,A:Q,16,))/VLOOKUP($U$1,A:Q,16,))*100)+100</f>
        <v/>
      </c>
    </row>
    <row r="282" customFormat="1" s="100">
      <c r="A282" s="22" t="n">
        <v>41395</v>
      </c>
      <c r="B282" s="23">
        <f>VLOOKUP(A282,Database!$E:$AY,MATCH($B$1,Database!$E$1:$AY$1,0),FALSE)</f>
        <v/>
      </c>
      <c r="C282" s="23">
        <f>VLOOKUP(A282,Database!$E:$AY,MATCH($C$1,Database!$E$1:$AY$1,0),FALSE)</f>
        <v/>
      </c>
      <c r="D282" s="23">
        <f>VLOOKUP(A282,Database!$E:$AY,MATCH($D$1,Database!$E$1:$AY$1,0),FALSE)</f>
        <v/>
      </c>
      <c r="E282" s="23">
        <f>VLOOKUP(A282,Database!$E:$AY,MATCH($E$1,Database!$E$1:$AY$1,0),FALSE)</f>
        <v/>
      </c>
      <c r="F282" s="23">
        <f>VLOOKUP(A282,Database!$E:$AY,MATCH($F$1,Database!$E$1:$AY$1,0),FALSE)</f>
        <v/>
      </c>
      <c r="G282" s="23">
        <f>VLOOKUP(A282,Database!$E:$AY,MATCH($G$1,Database!$E$1:$AY$1,0),FALSE)</f>
        <v/>
      </c>
      <c r="H282" s="23">
        <f>(((Table134567891011121314151617343[[#This Row],[ITA]]-VLOOKUP($U$1,A:B,2,))/VLOOKUP($U$1,A:B,2,))*100)+100</f>
        <v/>
      </c>
      <c r="I282" s="23">
        <f>(((Table134567891011121314151617343[[#This Row],[FRA]]-VLOOKUP($U$1,A:C,3,))/VLOOKUP($U$1,A:C,3,))*100)+100</f>
        <v/>
      </c>
      <c r="J282" s="23">
        <f>(((Table134567891011121314151617343[[#This Row],[DEU]]-VLOOKUP($U$1,A:D,4,))/VLOOKUP($U$1,A:D,4,))*100)+100</f>
        <v/>
      </c>
      <c r="K282" s="23">
        <f>(((Table134567891011121314151617343[[#This Row],[ESP]]-VLOOKUP($U$1,A:E,5,))/VLOOKUP($U$1,A:E,5,))*100)+100</f>
        <v/>
      </c>
      <c r="L282" s="23">
        <f>(((Table134567891011121314151617343[[#This Row],[EA19]]-VLOOKUP($U$1,A:F,6,))/VLOOKUP($U$1,A:F,6,))*100)+100</f>
        <v/>
      </c>
      <c r="M282" s="23">
        <f>(((Table134567891011121314151617343[[#This Row],[GBR]]-VLOOKUP($U$1,A:G,7,))/VLOOKUP($U$1,A:G,7,))*100)+100</f>
        <v/>
      </c>
      <c r="N282" s="23">
        <f>VLOOKUP(A282,Database!$E:$AY,MATCH($N$1,Database!$E$1:$AY$1,0),FALSE)</f>
        <v/>
      </c>
      <c r="O282" s="23">
        <f>(((Table134567891011121314151617343[[#This Row],[USA]]-VLOOKUP($U$1,A:N,14,))/VLOOKUP($U$1,A:N,14,))*100)+100</f>
        <v/>
      </c>
      <c r="P282" s="23">
        <f>VLOOKUP(A282,Database!$E:$AY,MATCH($P$1,Database!$E$1:$AY$1,0),FALSE)</f>
        <v/>
      </c>
      <c r="Q282" s="23">
        <f>(((Table134567891011121314151617343[[#This Row],[JPN]]-VLOOKUP($U$1,A:Q,16,))/VLOOKUP($U$1,A:Q,16,))*100)+100</f>
        <v/>
      </c>
    </row>
    <row r="283" customFormat="1" s="100">
      <c r="A283" s="22" t="n">
        <v>41426</v>
      </c>
      <c r="B283" s="23">
        <f>VLOOKUP(A283,Database!$E:$AY,MATCH($B$1,Database!$E$1:$AY$1,0),FALSE)</f>
        <v/>
      </c>
      <c r="C283" s="23">
        <f>VLOOKUP(A283,Database!$E:$AY,MATCH($C$1,Database!$E$1:$AY$1,0),FALSE)</f>
        <v/>
      </c>
      <c r="D283" s="23">
        <f>VLOOKUP(A283,Database!$E:$AY,MATCH($D$1,Database!$E$1:$AY$1,0),FALSE)</f>
        <v/>
      </c>
      <c r="E283" s="23">
        <f>VLOOKUP(A283,Database!$E:$AY,MATCH($E$1,Database!$E$1:$AY$1,0),FALSE)</f>
        <v/>
      </c>
      <c r="F283" s="23">
        <f>VLOOKUP(A283,Database!$E:$AY,MATCH($F$1,Database!$E$1:$AY$1,0),FALSE)</f>
        <v/>
      </c>
      <c r="G283" s="23">
        <f>VLOOKUP(A283,Database!$E:$AY,MATCH($G$1,Database!$E$1:$AY$1,0),FALSE)</f>
        <v/>
      </c>
      <c r="H283" s="23">
        <f>(((Table134567891011121314151617343[[#This Row],[ITA]]-VLOOKUP($U$1,A:B,2,))/VLOOKUP($U$1,A:B,2,))*100)+100</f>
        <v/>
      </c>
      <c r="I283" s="23">
        <f>(((Table134567891011121314151617343[[#This Row],[FRA]]-VLOOKUP($U$1,A:C,3,))/VLOOKUP($U$1,A:C,3,))*100)+100</f>
        <v/>
      </c>
      <c r="J283" s="23">
        <f>(((Table134567891011121314151617343[[#This Row],[DEU]]-VLOOKUP($U$1,A:D,4,))/VLOOKUP($U$1,A:D,4,))*100)+100</f>
        <v/>
      </c>
      <c r="K283" s="23">
        <f>(((Table134567891011121314151617343[[#This Row],[ESP]]-VLOOKUP($U$1,A:E,5,))/VLOOKUP($U$1,A:E,5,))*100)+100</f>
        <v/>
      </c>
      <c r="L283" s="23">
        <f>(((Table134567891011121314151617343[[#This Row],[EA19]]-VLOOKUP($U$1,A:F,6,))/VLOOKUP($U$1,A:F,6,))*100)+100</f>
        <v/>
      </c>
      <c r="M283" s="23">
        <f>(((Table134567891011121314151617343[[#This Row],[GBR]]-VLOOKUP($U$1,A:G,7,))/VLOOKUP($U$1,A:G,7,))*100)+100</f>
        <v/>
      </c>
      <c r="N283" s="23">
        <f>VLOOKUP(A283,Database!$E:$AY,MATCH($N$1,Database!$E$1:$AY$1,0),FALSE)</f>
        <v/>
      </c>
      <c r="O283" s="23">
        <f>(((Table134567891011121314151617343[[#This Row],[USA]]-VLOOKUP($U$1,A:N,14,))/VLOOKUP($U$1,A:N,14,))*100)+100</f>
        <v/>
      </c>
      <c r="P283" s="23">
        <f>VLOOKUP(A283,Database!$E:$AY,MATCH($P$1,Database!$E$1:$AY$1,0),FALSE)</f>
        <v/>
      </c>
      <c r="Q283" s="23">
        <f>(((Table134567891011121314151617343[[#This Row],[JPN]]-VLOOKUP($U$1,A:Q,16,))/VLOOKUP($U$1,A:Q,16,))*100)+100</f>
        <v/>
      </c>
    </row>
    <row r="284" customFormat="1" s="100">
      <c r="A284" s="22" t="n">
        <v>41456</v>
      </c>
      <c r="B284" s="23">
        <f>VLOOKUP(A284,Database!$E:$AY,MATCH($B$1,Database!$E$1:$AY$1,0),FALSE)</f>
        <v/>
      </c>
      <c r="C284" s="23">
        <f>VLOOKUP(A284,Database!$E:$AY,MATCH($C$1,Database!$E$1:$AY$1,0),FALSE)</f>
        <v/>
      </c>
      <c r="D284" s="23">
        <f>VLOOKUP(A284,Database!$E:$AY,MATCH($D$1,Database!$E$1:$AY$1,0),FALSE)</f>
        <v/>
      </c>
      <c r="E284" s="23">
        <f>VLOOKUP(A284,Database!$E:$AY,MATCH($E$1,Database!$E$1:$AY$1,0),FALSE)</f>
        <v/>
      </c>
      <c r="F284" s="23">
        <f>VLOOKUP(A284,Database!$E:$AY,MATCH($F$1,Database!$E$1:$AY$1,0),FALSE)</f>
        <v/>
      </c>
      <c r="G284" s="23">
        <f>VLOOKUP(A284,Database!$E:$AY,MATCH($G$1,Database!$E$1:$AY$1,0),FALSE)</f>
        <v/>
      </c>
      <c r="H284" s="23">
        <f>(((Table134567891011121314151617343[[#This Row],[ITA]]-VLOOKUP($U$1,A:B,2,))/VLOOKUP($U$1,A:B,2,))*100)+100</f>
        <v/>
      </c>
      <c r="I284" s="23">
        <f>(((Table134567891011121314151617343[[#This Row],[FRA]]-VLOOKUP($U$1,A:C,3,))/VLOOKUP($U$1,A:C,3,))*100)+100</f>
        <v/>
      </c>
      <c r="J284" s="23">
        <f>(((Table134567891011121314151617343[[#This Row],[DEU]]-VLOOKUP($U$1,A:D,4,))/VLOOKUP($U$1,A:D,4,))*100)+100</f>
        <v/>
      </c>
      <c r="K284" s="23">
        <f>(((Table134567891011121314151617343[[#This Row],[ESP]]-VLOOKUP($U$1,A:E,5,))/VLOOKUP($U$1,A:E,5,))*100)+100</f>
        <v/>
      </c>
      <c r="L284" s="23">
        <f>(((Table134567891011121314151617343[[#This Row],[EA19]]-VLOOKUP($U$1,A:F,6,))/VLOOKUP($U$1,A:F,6,))*100)+100</f>
        <v/>
      </c>
      <c r="M284" s="23">
        <f>(((Table134567891011121314151617343[[#This Row],[GBR]]-VLOOKUP($U$1,A:G,7,))/VLOOKUP($U$1,A:G,7,))*100)+100</f>
        <v/>
      </c>
      <c r="N284" s="23">
        <f>VLOOKUP(A284,Database!$E:$AY,MATCH($N$1,Database!$E$1:$AY$1,0),FALSE)</f>
        <v/>
      </c>
      <c r="O284" s="23">
        <f>(((Table134567891011121314151617343[[#This Row],[USA]]-VLOOKUP($U$1,A:N,14,))/VLOOKUP($U$1,A:N,14,))*100)+100</f>
        <v/>
      </c>
      <c r="P284" s="23">
        <f>VLOOKUP(A284,Database!$E:$AY,MATCH($P$1,Database!$E$1:$AY$1,0),FALSE)</f>
        <v/>
      </c>
      <c r="Q284" s="23">
        <f>(((Table134567891011121314151617343[[#This Row],[JPN]]-VLOOKUP($U$1,A:Q,16,))/VLOOKUP($U$1,A:Q,16,))*100)+100</f>
        <v/>
      </c>
    </row>
    <row r="285" customFormat="1" s="100">
      <c r="A285" s="22" t="n">
        <v>41487</v>
      </c>
      <c r="B285" s="23">
        <f>VLOOKUP(A285,Database!$E:$AY,MATCH($B$1,Database!$E$1:$AY$1,0),FALSE)</f>
        <v/>
      </c>
      <c r="C285" s="23">
        <f>VLOOKUP(A285,Database!$E:$AY,MATCH($C$1,Database!$E$1:$AY$1,0),FALSE)</f>
        <v/>
      </c>
      <c r="D285" s="23">
        <f>VLOOKUP(A285,Database!$E:$AY,MATCH($D$1,Database!$E$1:$AY$1,0),FALSE)</f>
        <v/>
      </c>
      <c r="E285" s="23">
        <f>VLOOKUP(A285,Database!$E:$AY,MATCH($E$1,Database!$E$1:$AY$1,0),FALSE)</f>
        <v/>
      </c>
      <c r="F285" s="23">
        <f>VLOOKUP(A285,Database!$E:$AY,MATCH($F$1,Database!$E$1:$AY$1,0),FALSE)</f>
        <v/>
      </c>
      <c r="G285" s="23">
        <f>VLOOKUP(A285,Database!$E:$AY,MATCH($G$1,Database!$E$1:$AY$1,0),FALSE)</f>
        <v/>
      </c>
      <c r="H285" s="23">
        <f>(((Table134567891011121314151617343[[#This Row],[ITA]]-VLOOKUP($U$1,A:B,2,))/VLOOKUP($U$1,A:B,2,))*100)+100</f>
        <v/>
      </c>
      <c r="I285" s="23">
        <f>(((Table134567891011121314151617343[[#This Row],[FRA]]-VLOOKUP($U$1,A:C,3,))/VLOOKUP($U$1,A:C,3,))*100)+100</f>
        <v/>
      </c>
      <c r="J285" s="23">
        <f>(((Table134567891011121314151617343[[#This Row],[DEU]]-VLOOKUP($U$1,A:D,4,))/VLOOKUP($U$1,A:D,4,))*100)+100</f>
        <v/>
      </c>
      <c r="K285" s="23">
        <f>(((Table134567891011121314151617343[[#This Row],[ESP]]-VLOOKUP($U$1,A:E,5,))/VLOOKUP($U$1,A:E,5,))*100)+100</f>
        <v/>
      </c>
      <c r="L285" s="23">
        <f>(((Table134567891011121314151617343[[#This Row],[EA19]]-VLOOKUP($U$1,A:F,6,))/VLOOKUP($U$1,A:F,6,))*100)+100</f>
        <v/>
      </c>
      <c r="M285" s="23">
        <f>(((Table134567891011121314151617343[[#This Row],[GBR]]-VLOOKUP($U$1,A:G,7,))/VLOOKUP($U$1,A:G,7,))*100)+100</f>
        <v/>
      </c>
      <c r="N285" s="23">
        <f>VLOOKUP(A285,Database!$E:$AY,MATCH($N$1,Database!$E$1:$AY$1,0),FALSE)</f>
        <v/>
      </c>
      <c r="O285" s="23">
        <f>(((Table134567891011121314151617343[[#This Row],[USA]]-VLOOKUP($U$1,A:N,14,))/VLOOKUP($U$1,A:N,14,))*100)+100</f>
        <v/>
      </c>
      <c r="P285" s="23">
        <f>VLOOKUP(A285,Database!$E:$AY,MATCH($P$1,Database!$E$1:$AY$1,0),FALSE)</f>
        <v/>
      </c>
      <c r="Q285" s="23">
        <f>(((Table134567891011121314151617343[[#This Row],[JPN]]-VLOOKUP($U$1,A:Q,16,))/VLOOKUP($U$1,A:Q,16,))*100)+100</f>
        <v/>
      </c>
    </row>
    <row r="286" customFormat="1" s="100">
      <c r="A286" s="22" t="n">
        <v>41518</v>
      </c>
      <c r="B286" s="23">
        <f>VLOOKUP(A286,Database!$E:$AY,MATCH($B$1,Database!$E$1:$AY$1,0),FALSE)</f>
        <v/>
      </c>
      <c r="C286" s="23">
        <f>VLOOKUP(A286,Database!$E:$AY,MATCH($C$1,Database!$E$1:$AY$1,0),FALSE)</f>
        <v/>
      </c>
      <c r="D286" s="23">
        <f>VLOOKUP(A286,Database!$E:$AY,MATCH($D$1,Database!$E$1:$AY$1,0),FALSE)</f>
        <v/>
      </c>
      <c r="E286" s="23">
        <f>VLOOKUP(A286,Database!$E:$AY,MATCH($E$1,Database!$E$1:$AY$1,0),FALSE)</f>
        <v/>
      </c>
      <c r="F286" s="23">
        <f>VLOOKUP(A286,Database!$E:$AY,MATCH($F$1,Database!$E$1:$AY$1,0),FALSE)</f>
        <v/>
      </c>
      <c r="G286" s="23">
        <f>VLOOKUP(A286,Database!$E:$AY,MATCH($G$1,Database!$E$1:$AY$1,0),FALSE)</f>
        <v/>
      </c>
      <c r="H286" s="23">
        <f>(((Table134567891011121314151617343[[#This Row],[ITA]]-VLOOKUP($U$1,A:B,2,))/VLOOKUP($U$1,A:B,2,))*100)+100</f>
        <v/>
      </c>
      <c r="I286" s="23">
        <f>(((Table134567891011121314151617343[[#This Row],[FRA]]-VLOOKUP($U$1,A:C,3,))/VLOOKUP($U$1,A:C,3,))*100)+100</f>
        <v/>
      </c>
      <c r="J286" s="23">
        <f>(((Table134567891011121314151617343[[#This Row],[DEU]]-VLOOKUP($U$1,A:D,4,))/VLOOKUP($U$1,A:D,4,))*100)+100</f>
        <v/>
      </c>
      <c r="K286" s="23">
        <f>(((Table134567891011121314151617343[[#This Row],[ESP]]-VLOOKUP($U$1,A:E,5,))/VLOOKUP($U$1,A:E,5,))*100)+100</f>
        <v/>
      </c>
      <c r="L286" s="23">
        <f>(((Table134567891011121314151617343[[#This Row],[EA19]]-VLOOKUP($U$1,A:F,6,))/VLOOKUP($U$1,A:F,6,))*100)+100</f>
        <v/>
      </c>
      <c r="M286" s="23">
        <f>(((Table134567891011121314151617343[[#This Row],[GBR]]-VLOOKUP($U$1,A:G,7,))/VLOOKUP($U$1,A:G,7,))*100)+100</f>
        <v/>
      </c>
      <c r="N286" s="23">
        <f>VLOOKUP(A286,Database!$E:$AY,MATCH($N$1,Database!$E$1:$AY$1,0),FALSE)</f>
        <v/>
      </c>
      <c r="O286" s="23">
        <f>(((Table134567891011121314151617343[[#This Row],[USA]]-VLOOKUP($U$1,A:N,14,))/VLOOKUP($U$1,A:N,14,))*100)+100</f>
        <v/>
      </c>
      <c r="P286" s="23">
        <f>VLOOKUP(A286,Database!$E:$AY,MATCH($P$1,Database!$E$1:$AY$1,0),FALSE)</f>
        <v/>
      </c>
      <c r="Q286" s="23">
        <f>(((Table134567891011121314151617343[[#This Row],[JPN]]-VLOOKUP($U$1,A:Q,16,))/VLOOKUP($U$1,A:Q,16,))*100)+100</f>
        <v/>
      </c>
    </row>
    <row r="287" customFormat="1" s="100">
      <c r="A287" s="22" t="n">
        <v>41548</v>
      </c>
      <c r="B287" s="23">
        <f>VLOOKUP(A287,Database!$E:$AY,MATCH($B$1,Database!$E$1:$AY$1,0),FALSE)</f>
        <v/>
      </c>
      <c r="C287" s="23">
        <f>VLOOKUP(A287,Database!$E:$AY,MATCH($C$1,Database!$E$1:$AY$1,0),FALSE)</f>
        <v/>
      </c>
      <c r="D287" s="23">
        <f>VLOOKUP(A287,Database!$E:$AY,MATCH($D$1,Database!$E$1:$AY$1,0),FALSE)</f>
        <v/>
      </c>
      <c r="E287" s="23">
        <f>VLOOKUP(A287,Database!$E:$AY,MATCH($E$1,Database!$E$1:$AY$1,0),FALSE)</f>
        <v/>
      </c>
      <c r="F287" s="23">
        <f>VLOOKUP(A287,Database!$E:$AY,MATCH($F$1,Database!$E$1:$AY$1,0),FALSE)</f>
        <v/>
      </c>
      <c r="G287" s="23">
        <f>VLOOKUP(A287,Database!$E:$AY,MATCH($G$1,Database!$E$1:$AY$1,0),FALSE)</f>
        <v/>
      </c>
      <c r="H287" s="23">
        <f>(((Table134567891011121314151617343[[#This Row],[ITA]]-VLOOKUP($U$1,A:B,2,))/VLOOKUP($U$1,A:B,2,))*100)+100</f>
        <v/>
      </c>
      <c r="I287" s="23">
        <f>(((Table134567891011121314151617343[[#This Row],[FRA]]-VLOOKUP($U$1,A:C,3,))/VLOOKUP($U$1,A:C,3,))*100)+100</f>
        <v/>
      </c>
      <c r="J287" s="23">
        <f>(((Table134567891011121314151617343[[#This Row],[DEU]]-VLOOKUP($U$1,A:D,4,))/VLOOKUP($U$1,A:D,4,))*100)+100</f>
        <v/>
      </c>
      <c r="K287" s="23">
        <f>(((Table134567891011121314151617343[[#This Row],[ESP]]-VLOOKUP($U$1,A:E,5,))/VLOOKUP($U$1,A:E,5,))*100)+100</f>
        <v/>
      </c>
      <c r="L287" s="23">
        <f>(((Table134567891011121314151617343[[#This Row],[EA19]]-VLOOKUP($U$1,A:F,6,))/VLOOKUP($U$1,A:F,6,))*100)+100</f>
        <v/>
      </c>
      <c r="M287" s="23">
        <f>(((Table134567891011121314151617343[[#This Row],[GBR]]-VLOOKUP($U$1,A:G,7,))/VLOOKUP($U$1,A:G,7,))*100)+100</f>
        <v/>
      </c>
      <c r="N287" s="23">
        <f>VLOOKUP(A287,Database!$E:$AY,MATCH($N$1,Database!$E$1:$AY$1,0),FALSE)</f>
        <v/>
      </c>
      <c r="O287" s="23">
        <f>(((Table134567891011121314151617343[[#This Row],[USA]]-VLOOKUP($U$1,A:N,14,))/VLOOKUP($U$1,A:N,14,))*100)+100</f>
        <v/>
      </c>
      <c r="P287" s="23">
        <f>VLOOKUP(A287,Database!$E:$AY,MATCH($P$1,Database!$E$1:$AY$1,0),FALSE)</f>
        <v/>
      </c>
      <c r="Q287" s="23">
        <f>(((Table134567891011121314151617343[[#This Row],[JPN]]-VLOOKUP($U$1,A:Q,16,))/VLOOKUP($U$1,A:Q,16,))*100)+100</f>
        <v/>
      </c>
    </row>
    <row r="288" customFormat="1" s="100">
      <c r="A288" s="22" t="n">
        <v>41579</v>
      </c>
      <c r="B288" s="23">
        <f>VLOOKUP(A288,Database!$E:$AY,MATCH($B$1,Database!$E$1:$AY$1,0),FALSE)</f>
        <v/>
      </c>
      <c r="C288" s="23">
        <f>VLOOKUP(A288,Database!$E:$AY,MATCH($C$1,Database!$E$1:$AY$1,0),FALSE)</f>
        <v/>
      </c>
      <c r="D288" s="23">
        <f>VLOOKUP(A288,Database!$E:$AY,MATCH($D$1,Database!$E$1:$AY$1,0),FALSE)</f>
        <v/>
      </c>
      <c r="E288" s="23">
        <f>VLOOKUP(A288,Database!$E:$AY,MATCH($E$1,Database!$E$1:$AY$1,0),FALSE)</f>
        <v/>
      </c>
      <c r="F288" s="23">
        <f>VLOOKUP(A288,Database!$E:$AY,MATCH($F$1,Database!$E$1:$AY$1,0),FALSE)</f>
        <v/>
      </c>
      <c r="G288" s="23">
        <f>VLOOKUP(A288,Database!$E:$AY,MATCH($G$1,Database!$E$1:$AY$1,0),FALSE)</f>
        <v/>
      </c>
      <c r="H288" s="23">
        <f>(((Table134567891011121314151617343[[#This Row],[ITA]]-VLOOKUP($U$1,A:B,2,))/VLOOKUP($U$1,A:B,2,))*100)+100</f>
        <v/>
      </c>
      <c r="I288" s="23">
        <f>(((Table134567891011121314151617343[[#This Row],[FRA]]-VLOOKUP($U$1,A:C,3,))/VLOOKUP($U$1,A:C,3,))*100)+100</f>
        <v/>
      </c>
      <c r="J288" s="23">
        <f>(((Table134567891011121314151617343[[#This Row],[DEU]]-VLOOKUP($U$1,A:D,4,))/VLOOKUP($U$1,A:D,4,))*100)+100</f>
        <v/>
      </c>
      <c r="K288" s="23">
        <f>(((Table134567891011121314151617343[[#This Row],[ESP]]-VLOOKUP($U$1,A:E,5,))/VLOOKUP($U$1,A:E,5,))*100)+100</f>
        <v/>
      </c>
      <c r="L288" s="23">
        <f>(((Table134567891011121314151617343[[#This Row],[EA19]]-VLOOKUP($U$1,A:F,6,))/VLOOKUP($U$1,A:F,6,))*100)+100</f>
        <v/>
      </c>
      <c r="M288" s="23">
        <f>(((Table134567891011121314151617343[[#This Row],[GBR]]-VLOOKUP($U$1,A:G,7,))/VLOOKUP($U$1,A:G,7,))*100)+100</f>
        <v/>
      </c>
      <c r="N288" s="23">
        <f>VLOOKUP(A288,Database!$E:$AY,MATCH($N$1,Database!$E$1:$AY$1,0),FALSE)</f>
        <v/>
      </c>
      <c r="O288" s="23">
        <f>(((Table134567891011121314151617343[[#This Row],[USA]]-VLOOKUP($U$1,A:N,14,))/VLOOKUP($U$1,A:N,14,))*100)+100</f>
        <v/>
      </c>
      <c r="P288" s="23">
        <f>VLOOKUP(A288,Database!$E:$AY,MATCH($P$1,Database!$E$1:$AY$1,0),FALSE)</f>
        <v/>
      </c>
      <c r="Q288" s="23">
        <f>(((Table134567891011121314151617343[[#This Row],[JPN]]-VLOOKUP($U$1,A:Q,16,))/VLOOKUP($U$1,A:Q,16,))*100)+100</f>
        <v/>
      </c>
    </row>
    <row r="289" customFormat="1" s="100">
      <c r="A289" s="22" t="n">
        <v>41609</v>
      </c>
      <c r="B289" s="23">
        <f>VLOOKUP(A289,Database!$E:$AY,MATCH($B$1,Database!$E$1:$AY$1,0),FALSE)</f>
        <v/>
      </c>
      <c r="C289" s="23">
        <f>VLOOKUP(A289,Database!$E:$AY,MATCH($C$1,Database!$E$1:$AY$1,0),FALSE)</f>
        <v/>
      </c>
      <c r="D289" s="23">
        <f>VLOOKUP(A289,Database!$E:$AY,MATCH($D$1,Database!$E$1:$AY$1,0),FALSE)</f>
        <v/>
      </c>
      <c r="E289" s="23">
        <f>VLOOKUP(A289,Database!$E:$AY,MATCH($E$1,Database!$E$1:$AY$1,0),FALSE)</f>
        <v/>
      </c>
      <c r="F289" s="23">
        <f>VLOOKUP(A289,Database!$E:$AY,MATCH($F$1,Database!$E$1:$AY$1,0),FALSE)</f>
        <v/>
      </c>
      <c r="G289" s="23">
        <f>VLOOKUP(A289,Database!$E:$AY,MATCH($G$1,Database!$E$1:$AY$1,0),FALSE)</f>
        <v/>
      </c>
      <c r="H289" s="23">
        <f>(((Table134567891011121314151617343[[#This Row],[ITA]]-VLOOKUP($U$1,A:B,2,))/VLOOKUP($U$1,A:B,2,))*100)+100</f>
        <v/>
      </c>
      <c r="I289" s="23">
        <f>(((Table134567891011121314151617343[[#This Row],[FRA]]-VLOOKUP($U$1,A:C,3,))/VLOOKUP($U$1,A:C,3,))*100)+100</f>
        <v/>
      </c>
      <c r="J289" s="23">
        <f>(((Table134567891011121314151617343[[#This Row],[DEU]]-VLOOKUP($U$1,A:D,4,))/VLOOKUP($U$1,A:D,4,))*100)+100</f>
        <v/>
      </c>
      <c r="K289" s="23">
        <f>(((Table134567891011121314151617343[[#This Row],[ESP]]-VLOOKUP($U$1,A:E,5,))/VLOOKUP($U$1,A:E,5,))*100)+100</f>
        <v/>
      </c>
      <c r="L289" s="23">
        <f>(((Table134567891011121314151617343[[#This Row],[EA19]]-VLOOKUP($U$1,A:F,6,))/VLOOKUP($U$1,A:F,6,))*100)+100</f>
        <v/>
      </c>
      <c r="M289" s="23">
        <f>(((Table134567891011121314151617343[[#This Row],[GBR]]-VLOOKUP($U$1,A:G,7,))/VLOOKUP($U$1,A:G,7,))*100)+100</f>
        <v/>
      </c>
      <c r="N289" s="23">
        <f>VLOOKUP(A289,Database!$E:$AY,MATCH($N$1,Database!$E$1:$AY$1,0),FALSE)</f>
        <v/>
      </c>
      <c r="O289" s="23">
        <f>(((Table134567891011121314151617343[[#This Row],[USA]]-VLOOKUP($U$1,A:N,14,))/VLOOKUP($U$1,A:N,14,))*100)+100</f>
        <v/>
      </c>
      <c r="P289" s="23">
        <f>VLOOKUP(A289,Database!$E:$AY,MATCH($P$1,Database!$E$1:$AY$1,0),FALSE)</f>
        <v/>
      </c>
      <c r="Q289" s="23">
        <f>(((Table134567891011121314151617343[[#This Row],[JPN]]-VLOOKUP($U$1,A:Q,16,))/VLOOKUP($U$1,A:Q,16,))*100)+100</f>
        <v/>
      </c>
    </row>
    <row r="290" customFormat="1" s="100">
      <c r="A290" s="22" t="n">
        <v>41640</v>
      </c>
      <c r="B290" s="23">
        <f>VLOOKUP(A290,Database!$E:$AY,MATCH($B$1,Database!$E$1:$AY$1,0),FALSE)</f>
        <v/>
      </c>
      <c r="C290" s="23">
        <f>VLOOKUP(A290,Database!$E:$AY,MATCH($C$1,Database!$E$1:$AY$1,0),FALSE)</f>
        <v/>
      </c>
      <c r="D290" s="23">
        <f>VLOOKUP(A290,Database!$E:$AY,MATCH($D$1,Database!$E$1:$AY$1,0),FALSE)</f>
        <v/>
      </c>
      <c r="E290" s="23">
        <f>VLOOKUP(A290,Database!$E:$AY,MATCH($E$1,Database!$E$1:$AY$1,0),FALSE)</f>
        <v/>
      </c>
      <c r="F290" s="23">
        <f>VLOOKUP(A290,Database!$E:$AY,MATCH($F$1,Database!$E$1:$AY$1,0),FALSE)</f>
        <v/>
      </c>
      <c r="G290" s="23">
        <f>VLOOKUP(A290,Database!$E:$AY,MATCH($G$1,Database!$E$1:$AY$1,0),FALSE)</f>
        <v/>
      </c>
      <c r="H290" s="23">
        <f>(((Table134567891011121314151617343[[#This Row],[ITA]]-VLOOKUP($U$1,A:B,2,))/VLOOKUP($U$1,A:B,2,))*100)+100</f>
        <v/>
      </c>
      <c r="I290" s="23">
        <f>(((Table134567891011121314151617343[[#This Row],[FRA]]-VLOOKUP($U$1,A:C,3,))/VLOOKUP($U$1,A:C,3,))*100)+100</f>
        <v/>
      </c>
      <c r="J290" s="23">
        <f>(((Table134567891011121314151617343[[#This Row],[DEU]]-VLOOKUP($U$1,A:D,4,))/VLOOKUP($U$1,A:D,4,))*100)+100</f>
        <v/>
      </c>
      <c r="K290" s="23">
        <f>(((Table134567891011121314151617343[[#This Row],[ESP]]-VLOOKUP($U$1,A:E,5,))/VLOOKUP($U$1,A:E,5,))*100)+100</f>
        <v/>
      </c>
      <c r="L290" s="23">
        <f>(((Table134567891011121314151617343[[#This Row],[EA19]]-VLOOKUP($U$1,A:F,6,))/VLOOKUP($U$1,A:F,6,))*100)+100</f>
        <v/>
      </c>
      <c r="M290" s="23">
        <f>(((Table134567891011121314151617343[[#This Row],[GBR]]-VLOOKUP($U$1,A:G,7,))/VLOOKUP($U$1,A:G,7,))*100)+100</f>
        <v/>
      </c>
      <c r="N290" s="23">
        <f>VLOOKUP(A290,Database!$E:$AY,MATCH($N$1,Database!$E$1:$AY$1,0),FALSE)</f>
        <v/>
      </c>
      <c r="O290" s="23">
        <f>(((Table134567891011121314151617343[[#This Row],[USA]]-VLOOKUP($U$1,A:N,14,))/VLOOKUP($U$1,A:N,14,))*100)+100</f>
        <v/>
      </c>
      <c r="P290" s="23">
        <f>VLOOKUP(A290,Database!$E:$AY,MATCH($P$1,Database!$E$1:$AY$1,0),FALSE)</f>
        <v/>
      </c>
      <c r="Q290" s="23">
        <f>(((Table134567891011121314151617343[[#This Row],[JPN]]-VLOOKUP($U$1,A:Q,16,))/VLOOKUP($U$1,A:Q,16,))*100)+100</f>
        <v/>
      </c>
    </row>
    <row r="291" customFormat="1" s="100">
      <c r="A291" s="22" t="n">
        <v>41671</v>
      </c>
      <c r="B291" s="23">
        <f>VLOOKUP(A291,Database!$E:$AY,MATCH($B$1,Database!$E$1:$AY$1,0),FALSE)</f>
        <v/>
      </c>
      <c r="C291" s="23">
        <f>VLOOKUP(A291,Database!$E:$AY,MATCH($C$1,Database!$E$1:$AY$1,0),FALSE)</f>
        <v/>
      </c>
      <c r="D291" s="23">
        <f>VLOOKUP(A291,Database!$E:$AY,MATCH($D$1,Database!$E$1:$AY$1,0),FALSE)</f>
        <v/>
      </c>
      <c r="E291" s="23">
        <f>VLOOKUP(A291,Database!$E:$AY,MATCH($E$1,Database!$E$1:$AY$1,0),FALSE)</f>
        <v/>
      </c>
      <c r="F291" s="23">
        <f>VLOOKUP(A291,Database!$E:$AY,MATCH($F$1,Database!$E$1:$AY$1,0),FALSE)</f>
        <v/>
      </c>
      <c r="G291" s="23">
        <f>VLOOKUP(A291,Database!$E:$AY,MATCH($G$1,Database!$E$1:$AY$1,0),FALSE)</f>
        <v/>
      </c>
      <c r="H291" s="23">
        <f>(((Table134567891011121314151617343[[#This Row],[ITA]]-VLOOKUP($U$1,A:B,2,))/VLOOKUP($U$1,A:B,2,))*100)+100</f>
        <v/>
      </c>
      <c r="I291" s="23">
        <f>(((Table134567891011121314151617343[[#This Row],[FRA]]-VLOOKUP($U$1,A:C,3,))/VLOOKUP($U$1,A:C,3,))*100)+100</f>
        <v/>
      </c>
      <c r="J291" s="23">
        <f>(((Table134567891011121314151617343[[#This Row],[DEU]]-VLOOKUP($U$1,A:D,4,))/VLOOKUP($U$1,A:D,4,))*100)+100</f>
        <v/>
      </c>
      <c r="K291" s="23">
        <f>(((Table134567891011121314151617343[[#This Row],[ESP]]-VLOOKUP($U$1,A:E,5,))/VLOOKUP($U$1,A:E,5,))*100)+100</f>
        <v/>
      </c>
      <c r="L291" s="23">
        <f>(((Table134567891011121314151617343[[#This Row],[EA19]]-VLOOKUP($U$1,A:F,6,))/VLOOKUP($U$1,A:F,6,))*100)+100</f>
        <v/>
      </c>
      <c r="M291" s="23">
        <f>(((Table134567891011121314151617343[[#This Row],[GBR]]-VLOOKUP($U$1,A:G,7,))/VLOOKUP($U$1,A:G,7,))*100)+100</f>
        <v/>
      </c>
      <c r="N291" s="23">
        <f>VLOOKUP(A291,Database!$E:$AY,MATCH($N$1,Database!$E$1:$AY$1,0),FALSE)</f>
        <v/>
      </c>
      <c r="O291" s="23">
        <f>(((Table134567891011121314151617343[[#This Row],[USA]]-VLOOKUP($U$1,A:N,14,))/VLOOKUP($U$1,A:N,14,))*100)+100</f>
        <v/>
      </c>
      <c r="P291" s="23">
        <f>VLOOKUP(A291,Database!$E:$AY,MATCH($P$1,Database!$E$1:$AY$1,0),FALSE)</f>
        <v/>
      </c>
      <c r="Q291" s="23">
        <f>(((Table134567891011121314151617343[[#This Row],[JPN]]-VLOOKUP($U$1,A:Q,16,))/VLOOKUP($U$1,A:Q,16,))*100)+100</f>
        <v/>
      </c>
    </row>
    <row r="292" customFormat="1" s="100">
      <c r="A292" s="22" t="n">
        <v>41699</v>
      </c>
      <c r="B292" s="23">
        <f>VLOOKUP(A292,Database!$E:$AY,MATCH($B$1,Database!$E$1:$AY$1,0),FALSE)</f>
        <v/>
      </c>
      <c r="C292" s="23">
        <f>VLOOKUP(A292,Database!$E:$AY,MATCH($C$1,Database!$E$1:$AY$1,0),FALSE)</f>
        <v/>
      </c>
      <c r="D292" s="23">
        <f>VLOOKUP(A292,Database!$E:$AY,MATCH($D$1,Database!$E$1:$AY$1,0),FALSE)</f>
        <v/>
      </c>
      <c r="E292" s="23">
        <f>VLOOKUP(A292,Database!$E:$AY,MATCH($E$1,Database!$E$1:$AY$1,0),FALSE)</f>
        <v/>
      </c>
      <c r="F292" s="23">
        <f>VLOOKUP(A292,Database!$E:$AY,MATCH($F$1,Database!$E$1:$AY$1,0),FALSE)</f>
        <v/>
      </c>
      <c r="G292" s="23">
        <f>VLOOKUP(A292,Database!$E:$AY,MATCH($G$1,Database!$E$1:$AY$1,0),FALSE)</f>
        <v/>
      </c>
      <c r="H292" s="23">
        <f>(((Table134567891011121314151617343[[#This Row],[ITA]]-VLOOKUP($U$1,A:B,2,))/VLOOKUP($U$1,A:B,2,))*100)+100</f>
        <v/>
      </c>
      <c r="I292" s="23">
        <f>(((Table134567891011121314151617343[[#This Row],[FRA]]-VLOOKUP($U$1,A:C,3,))/VLOOKUP($U$1,A:C,3,))*100)+100</f>
        <v/>
      </c>
      <c r="J292" s="23">
        <f>(((Table134567891011121314151617343[[#This Row],[DEU]]-VLOOKUP($U$1,A:D,4,))/VLOOKUP($U$1,A:D,4,))*100)+100</f>
        <v/>
      </c>
      <c r="K292" s="23">
        <f>(((Table134567891011121314151617343[[#This Row],[ESP]]-VLOOKUP($U$1,A:E,5,))/VLOOKUP($U$1,A:E,5,))*100)+100</f>
        <v/>
      </c>
      <c r="L292" s="23">
        <f>(((Table134567891011121314151617343[[#This Row],[EA19]]-VLOOKUP($U$1,A:F,6,))/VLOOKUP($U$1,A:F,6,))*100)+100</f>
        <v/>
      </c>
      <c r="M292" s="23">
        <f>(((Table134567891011121314151617343[[#This Row],[GBR]]-VLOOKUP($U$1,A:G,7,))/VLOOKUP($U$1,A:G,7,))*100)+100</f>
        <v/>
      </c>
      <c r="N292" s="23">
        <f>VLOOKUP(A292,Database!$E:$AY,MATCH($N$1,Database!$E$1:$AY$1,0),FALSE)</f>
        <v/>
      </c>
      <c r="O292" s="23">
        <f>(((Table134567891011121314151617343[[#This Row],[USA]]-VLOOKUP($U$1,A:N,14,))/VLOOKUP($U$1,A:N,14,))*100)+100</f>
        <v/>
      </c>
      <c r="P292" s="23">
        <f>VLOOKUP(A292,Database!$E:$AY,MATCH($P$1,Database!$E$1:$AY$1,0),FALSE)</f>
        <v/>
      </c>
      <c r="Q292" s="23">
        <f>(((Table134567891011121314151617343[[#This Row],[JPN]]-VLOOKUP($U$1,A:Q,16,))/VLOOKUP($U$1,A:Q,16,))*100)+100</f>
        <v/>
      </c>
    </row>
    <row r="293" customFormat="1" s="100">
      <c r="A293" s="22" t="n">
        <v>41730</v>
      </c>
      <c r="B293" s="23">
        <f>VLOOKUP(A293,Database!$E:$AY,MATCH($B$1,Database!$E$1:$AY$1,0),FALSE)</f>
        <v/>
      </c>
      <c r="C293" s="23">
        <f>VLOOKUP(A293,Database!$E:$AY,MATCH($C$1,Database!$E$1:$AY$1,0),FALSE)</f>
        <v/>
      </c>
      <c r="D293" s="23">
        <f>VLOOKUP(A293,Database!$E:$AY,MATCH($D$1,Database!$E$1:$AY$1,0),FALSE)</f>
        <v/>
      </c>
      <c r="E293" s="23">
        <f>VLOOKUP(A293,Database!$E:$AY,MATCH($E$1,Database!$E$1:$AY$1,0),FALSE)</f>
        <v/>
      </c>
      <c r="F293" s="23">
        <f>VLOOKUP(A293,Database!$E:$AY,MATCH($F$1,Database!$E$1:$AY$1,0),FALSE)</f>
        <v/>
      </c>
      <c r="G293" s="23">
        <f>VLOOKUP(A293,Database!$E:$AY,MATCH($G$1,Database!$E$1:$AY$1,0),FALSE)</f>
        <v/>
      </c>
      <c r="H293" s="23">
        <f>(((Table134567891011121314151617343[[#This Row],[ITA]]-VLOOKUP($U$1,A:B,2,))/VLOOKUP($U$1,A:B,2,))*100)+100</f>
        <v/>
      </c>
      <c r="I293" s="23">
        <f>(((Table134567891011121314151617343[[#This Row],[FRA]]-VLOOKUP($U$1,A:C,3,))/VLOOKUP($U$1,A:C,3,))*100)+100</f>
        <v/>
      </c>
      <c r="J293" s="23">
        <f>(((Table134567891011121314151617343[[#This Row],[DEU]]-VLOOKUP($U$1,A:D,4,))/VLOOKUP($U$1,A:D,4,))*100)+100</f>
        <v/>
      </c>
      <c r="K293" s="23">
        <f>(((Table134567891011121314151617343[[#This Row],[ESP]]-VLOOKUP($U$1,A:E,5,))/VLOOKUP($U$1,A:E,5,))*100)+100</f>
        <v/>
      </c>
      <c r="L293" s="23">
        <f>(((Table134567891011121314151617343[[#This Row],[EA19]]-VLOOKUP($U$1,A:F,6,))/VLOOKUP($U$1,A:F,6,))*100)+100</f>
        <v/>
      </c>
      <c r="M293" s="23">
        <f>(((Table134567891011121314151617343[[#This Row],[GBR]]-VLOOKUP($U$1,A:G,7,))/VLOOKUP($U$1,A:G,7,))*100)+100</f>
        <v/>
      </c>
      <c r="N293" s="23">
        <f>VLOOKUP(A293,Database!$E:$AY,MATCH($N$1,Database!$E$1:$AY$1,0),FALSE)</f>
        <v/>
      </c>
      <c r="O293" s="23">
        <f>(((Table134567891011121314151617343[[#This Row],[USA]]-VLOOKUP($U$1,A:N,14,))/VLOOKUP($U$1,A:N,14,))*100)+100</f>
        <v/>
      </c>
      <c r="P293" s="23">
        <f>VLOOKUP(A293,Database!$E:$AY,MATCH($P$1,Database!$E$1:$AY$1,0),FALSE)</f>
        <v/>
      </c>
      <c r="Q293" s="23">
        <f>(((Table134567891011121314151617343[[#This Row],[JPN]]-VLOOKUP($U$1,A:Q,16,))/VLOOKUP($U$1,A:Q,16,))*100)+100</f>
        <v/>
      </c>
    </row>
    <row r="294" customFormat="1" s="100">
      <c r="A294" s="22" t="n">
        <v>41760</v>
      </c>
      <c r="B294" s="23">
        <f>VLOOKUP(A294,Database!$E:$AY,MATCH($B$1,Database!$E$1:$AY$1,0),FALSE)</f>
        <v/>
      </c>
      <c r="C294" s="23">
        <f>VLOOKUP(A294,Database!$E:$AY,MATCH($C$1,Database!$E$1:$AY$1,0),FALSE)</f>
        <v/>
      </c>
      <c r="D294" s="23">
        <f>VLOOKUP(A294,Database!$E:$AY,MATCH($D$1,Database!$E$1:$AY$1,0),FALSE)</f>
        <v/>
      </c>
      <c r="E294" s="23">
        <f>VLOOKUP(A294,Database!$E:$AY,MATCH($E$1,Database!$E$1:$AY$1,0),FALSE)</f>
        <v/>
      </c>
      <c r="F294" s="23">
        <f>VLOOKUP(A294,Database!$E:$AY,MATCH($F$1,Database!$E$1:$AY$1,0),FALSE)</f>
        <v/>
      </c>
      <c r="G294" s="23">
        <f>VLOOKUP(A294,Database!$E:$AY,MATCH($G$1,Database!$E$1:$AY$1,0),FALSE)</f>
        <v/>
      </c>
      <c r="H294" s="23">
        <f>(((Table134567891011121314151617343[[#This Row],[ITA]]-VLOOKUP($U$1,A:B,2,))/VLOOKUP($U$1,A:B,2,))*100)+100</f>
        <v/>
      </c>
      <c r="I294" s="23">
        <f>(((Table134567891011121314151617343[[#This Row],[FRA]]-VLOOKUP($U$1,A:C,3,))/VLOOKUP($U$1,A:C,3,))*100)+100</f>
        <v/>
      </c>
      <c r="J294" s="23">
        <f>(((Table134567891011121314151617343[[#This Row],[DEU]]-VLOOKUP($U$1,A:D,4,))/VLOOKUP($U$1,A:D,4,))*100)+100</f>
        <v/>
      </c>
      <c r="K294" s="23">
        <f>(((Table134567891011121314151617343[[#This Row],[ESP]]-VLOOKUP($U$1,A:E,5,))/VLOOKUP($U$1,A:E,5,))*100)+100</f>
        <v/>
      </c>
      <c r="L294" s="23">
        <f>(((Table134567891011121314151617343[[#This Row],[EA19]]-VLOOKUP($U$1,A:F,6,))/VLOOKUP($U$1,A:F,6,))*100)+100</f>
        <v/>
      </c>
      <c r="M294" s="23">
        <f>(((Table134567891011121314151617343[[#This Row],[GBR]]-VLOOKUP($U$1,A:G,7,))/VLOOKUP($U$1,A:G,7,))*100)+100</f>
        <v/>
      </c>
      <c r="N294" s="23">
        <f>VLOOKUP(A294,Database!$E:$AY,MATCH($N$1,Database!$E$1:$AY$1,0),FALSE)</f>
        <v/>
      </c>
      <c r="O294" s="23">
        <f>(((Table134567891011121314151617343[[#This Row],[USA]]-VLOOKUP($U$1,A:N,14,))/VLOOKUP($U$1,A:N,14,))*100)+100</f>
        <v/>
      </c>
      <c r="P294" s="23">
        <f>VLOOKUP(A294,Database!$E:$AY,MATCH($P$1,Database!$E$1:$AY$1,0),FALSE)</f>
        <v/>
      </c>
      <c r="Q294" s="23">
        <f>(((Table134567891011121314151617343[[#This Row],[JPN]]-VLOOKUP($U$1,A:Q,16,))/VLOOKUP($U$1,A:Q,16,))*100)+100</f>
        <v/>
      </c>
    </row>
    <row r="295" customFormat="1" s="100">
      <c r="A295" s="22" t="n">
        <v>41791</v>
      </c>
      <c r="B295" s="23">
        <f>VLOOKUP(A295,Database!$E:$AY,MATCH($B$1,Database!$E$1:$AY$1,0),FALSE)</f>
        <v/>
      </c>
      <c r="C295" s="23">
        <f>VLOOKUP(A295,Database!$E:$AY,MATCH($C$1,Database!$E$1:$AY$1,0),FALSE)</f>
        <v/>
      </c>
      <c r="D295" s="23">
        <f>VLOOKUP(A295,Database!$E:$AY,MATCH($D$1,Database!$E$1:$AY$1,0),FALSE)</f>
        <v/>
      </c>
      <c r="E295" s="23">
        <f>VLOOKUP(A295,Database!$E:$AY,MATCH($E$1,Database!$E$1:$AY$1,0),FALSE)</f>
        <v/>
      </c>
      <c r="F295" s="23">
        <f>VLOOKUP(A295,Database!$E:$AY,MATCH($F$1,Database!$E$1:$AY$1,0),FALSE)</f>
        <v/>
      </c>
      <c r="G295" s="23">
        <f>VLOOKUP(A295,Database!$E:$AY,MATCH($G$1,Database!$E$1:$AY$1,0),FALSE)</f>
        <v/>
      </c>
      <c r="H295" s="23">
        <f>(((Table134567891011121314151617343[[#This Row],[ITA]]-VLOOKUP($U$1,A:B,2,))/VLOOKUP($U$1,A:B,2,))*100)+100</f>
        <v/>
      </c>
      <c r="I295" s="23">
        <f>(((Table134567891011121314151617343[[#This Row],[FRA]]-VLOOKUP($U$1,A:C,3,))/VLOOKUP($U$1,A:C,3,))*100)+100</f>
        <v/>
      </c>
      <c r="J295" s="23">
        <f>(((Table134567891011121314151617343[[#This Row],[DEU]]-VLOOKUP($U$1,A:D,4,))/VLOOKUP($U$1,A:D,4,))*100)+100</f>
        <v/>
      </c>
      <c r="K295" s="23">
        <f>(((Table134567891011121314151617343[[#This Row],[ESP]]-VLOOKUP($U$1,A:E,5,))/VLOOKUP($U$1,A:E,5,))*100)+100</f>
        <v/>
      </c>
      <c r="L295" s="23">
        <f>(((Table134567891011121314151617343[[#This Row],[EA19]]-VLOOKUP($U$1,A:F,6,))/VLOOKUP($U$1,A:F,6,))*100)+100</f>
        <v/>
      </c>
      <c r="M295" s="23">
        <f>(((Table134567891011121314151617343[[#This Row],[GBR]]-VLOOKUP($U$1,A:G,7,))/VLOOKUP($U$1,A:G,7,))*100)+100</f>
        <v/>
      </c>
      <c r="N295" s="23">
        <f>VLOOKUP(A295,Database!$E:$AY,MATCH($N$1,Database!$E$1:$AY$1,0),FALSE)</f>
        <v/>
      </c>
      <c r="O295" s="23">
        <f>(((Table134567891011121314151617343[[#This Row],[USA]]-VLOOKUP($U$1,A:N,14,))/VLOOKUP($U$1,A:N,14,))*100)+100</f>
        <v/>
      </c>
      <c r="P295" s="23">
        <f>VLOOKUP(A295,Database!$E:$AY,MATCH($P$1,Database!$E$1:$AY$1,0),FALSE)</f>
        <v/>
      </c>
      <c r="Q295" s="23">
        <f>(((Table134567891011121314151617343[[#This Row],[JPN]]-VLOOKUP($U$1,A:Q,16,))/VLOOKUP($U$1,A:Q,16,))*100)+100</f>
        <v/>
      </c>
    </row>
    <row r="296" customFormat="1" s="100">
      <c r="A296" s="22" t="n">
        <v>41821</v>
      </c>
      <c r="B296" s="23">
        <f>VLOOKUP(A296,Database!$E:$AY,MATCH($B$1,Database!$E$1:$AY$1,0),FALSE)</f>
        <v/>
      </c>
      <c r="C296" s="23">
        <f>VLOOKUP(A296,Database!$E:$AY,MATCH($C$1,Database!$E$1:$AY$1,0),FALSE)</f>
        <v/>
      </c>
      <c r="D296" s="23">
        <f>VLOOKUP(A296,Database!$E:$AY,MATCH($D$1,Database!$E$1:$AY$1,0),FALSE)</f>
        <v/>
      </c>
      <c r="E296" s="23">
        <f>VLOOKUP(A296,Database!$E:$AY,MATCH($E$1,Database!$E$1:$AY$1,0),FALSE)</f>
        <v/>
      </c>
      <c r="F296" s="23">
        <f>VLOOKUP(A296,Database!$E:$AY,MATCH($F$1,Database!$E$1:$AY$1,0),FALSE)</f>
        <v/>
      </c>
      <c r="G296" s="23">
        <f>VLOOKUP(A296,Database!$E:$AY,MATCH($G$1,Database!$E$1:$AY$1,0),FALSE)</f>
        <v/>
      </c>
      <c r="H296" s="23">
        <f>(((Table134567891011121314151617343[[#This Row],[ITA]]-VLOOKUP($U$1,A:B,2,))/VLOOKUP($U$1,A:B,2,))*100)+100</f>
        <v/>
      </c>
      <c r="I296" s="23">
        <f>(((Table134567891011121314151617343[[#This Row],[FRA]]-VLOOKUP($U$1,A:C,3,))/VLOOKUP($U$1,A:C,3,))*100)+100</f>
        <v/>
      </c>
      <c r="J296" s="23">
        <f>(((Table134567891011121314151617343[[#This Row],[DEU]]-VLOOKUP($U$1,A:D,4,))/VLOOKUP($U$1,A:D,4,))*100)+100</f>
        <v/>
      </c>
      <c r="K296" s="23">
        <f>(((Table134567891011121314151617343[[#This Row],[ESP]]-VLOOKUP($U$1,A:E,5,))/VLOOKUP($U$1,A:E,5,))*100)+100</f>
        <v/>
      </c>
      <c r="L296" s="23">
        <f>(((Table134567891011121314151617343[[#This Row],[EA19]]-VLOOKUP($U$1,A:F,6,))/VLOOKUP($U$1,A:F,6,))*100)+100</f>
        <v/>
      </c>
      <c r="M296" s="23">
        <f>(((Table134567891011121314151617343[[#This Row],[GBR]]-VLOOKUP($U$1,A:G,7,))/VLOOKUP($U$1,A:G,7,))*100)+100</f>
        <v/>
      </c>
      <c r="N296" s="23">
        <f>VLOOKUP(A296,Database!$E:$AY,MATCH($N$1,Database!$E$1:$AY$1,0),FALSE)</f>
        <v/>
      </c>
      <c r="O296" s="23">
        <f>(((Table134567891011121314151617343[[#This Row],[USA]]-VLOOKUP($U$1,A:N,14,))/VLOOKUP($U$1,A:N,14,))*100)+100</f>
        <v/>
      </c>
      <c r="P296" s="23">
        <f>VLOOKUP(A296,Database!$E:$AY,MATCH($P$1,Database!$E$1:$AY$1,0),FALSE)</f>
        <v/>
      </c>
      <c r="Q296" s="23">
        <f>(((Table134567891011121314151617343[[#This Row],[JPN]]-VLOOKUP($U$1,A:Q,16,))/VLOOKUP($U$1,A:Q,16,))*100)+100</f>
        <v/>
      </c>
    </row>
    <row r="297" customFormat="1" s="100">
      <c r="A297" s="22" t="n">
        <v>41852</v>
      </c>
      <c r="B297" s="23">
        <f>VLOOKUP(A297,Database!$E:$AY,MATCH($B$1,Database!$E$1:$AY$1,0),FALSE)</f>
        <v/>
      </c>
      <c r="C297" s="23">
        <f>VLOOKUP(A297,Database!$E:$AY,MATCH($C$1,Database!$E$1:$AY$1,0),FALSE)</f>
        <v/>
      </c>
      <c r="D297" s="23">
        <f>VLOOKUP(A297,Database!$E:$AY,MATCH($D$1,Database!$E$1:$AY$1,0),FALSE)</f>
        <v/>
      </c>
      <c r="E297" s="23">
        <f>VLOOKUP(A297,Database!$E:$AY,MATCH($E$1,Database!$E$1:$AY$1,0),FALSE)</f>
        <v/>
      </c>
      <c r="F297" s="23">
        <f>VLOOKUP(A297,Database!$E:$AY,MATCH($F$1,Database!$E$1:$AY$1,0),FALSE)</f>
        <v/>
      </c>
      <c r="G297" s="23">
        <f>VLOOKUP(A297,Database!$E:$AY,MATCH($G$1,Database!$E$1:$AY$1,0),FALSE)</f>
        <v/>
      </c>
      <c r="H297" s="23">
        <f>(((Table134567891011121314151617343[[#This Row],[ITA]]-VLOOKUP($U$1,A:B,2,))/VLOOKUP($U$1,A:B,2,))*100)+100</f>
        <v/>
      </c>
      <c r="I297" s="23">
        <f>(((Table134567891011121314151617343[[#This Row],[FRA]]-VLOOKUP($U$1,A:C,3,))/VLOOKUP($U$1,A:C,3,))*100)+100</f>
        <v/>
      </c>
      <c r="J297" s="23">
        <f>(((Table134567891011121314151617343[[#This Row],[DEU]]-VLOOKUP($U$1,A:D,4,))/VLOOKUP($U$1,A:D,4,))*100)+100</f>
        <v/>
      </c>
      <c r="K297" s="23">
        <f>(((Table134567891011121314151617343[[#This Row],[ESP]]-VLOOKUP($U$1,A:E,5,))/VLOOKUP($U$1,A:E,5,))*100)+100</f>
        <v/>
      </c>
      <c r="L297" s="23">
        <f>(((Table134567891011121314151617343[[#This Row],[EA19]]-VLOOKUP($U$1,A:F,6,))/VLOOKUP($U$1,A:F,6,))*100)+100</f>
        <v/>
      </c>
      <c r="M297" s="23">
        <f>(((Table134567891011121314151617343[[#This Row],[GBR]]-VLOOKUP($U$1,A:G,7,))/VLOOKUP($U$1,A:G,7,))*100)+100</f>
        <v/>
      </c>
      <c r="N297" s="23">
        <f>VLOOKUP(A297,Database!$E:$AY,MATCH($N$1,Database!$E$1:$AY$1,0),FALSE)</f>
        <v/>
      </c>
      <c r="O297" s="23">
        <f>(((Table134567891011121314151617343[[#This Row],[USA]]-VLOOKUP($U$1,A:N,14,))/VLOOKUP($U$1,A:N,14,))*100)+100</f>
        <v/>
      </c>
      <c r="P297" s="23">
        <f>VLOOKUP(A297,Database!$E:$AY,MATCH($P$1,Database!$E$1:$AY$1,0),FALSE)</f>
        <v/>
      </c>
      <c r="Q297" s="23">
        <f>(((Table134567891011121314151617343[[#This Row],[JPN]]-VLOOKUP($U$1,A:Q,16,))/VLOOKUP($U$1,A:Q,16,))*100)+100</f>
        <v/>
      </c>
    </row>
    <row r="298" customFormat="1" s="100">
      <c r="A298" s="22" t="n">
        <v>41883</v>
      </c>
      <c r="B298" s="23">
        <f>VLOOKUP(A298,Database!$E:$AY,MATCH($B$1,Database!$E$1:$AY$1,0),FALSE)</f>
        <v/>
      </c>
      <c r="C298" s="23">
        <f>VLOOKUP(A298,Database!$E:$AY,MATCH($C$1,Database!$E$1:$AY$1,0),FALSE)</f>
        <v/>
      </c>
      <c r="D298" s="23">
        <f>VLOOKUP(A298,Database!$E:$AY,MATCH($D$1,Database!$E$1:$AY$1,0),FALSE)</f>
        <v/>
      </c>
      <c r="E298" s="23">
        <f>VLOOKUP(A298,Database!$E:$AY,MATCH($E$1,Database!$E$1:$AY$1,0),FALSE)</f>
        <v/>
      </c>
      <c r="F298" s="23">
        <f>VLOOKUP(A298,Database!$E:$AY,MATCH($F$1,Database!$E$1:$AY$1,0),FALSE)</f>
        <v/>
      </c>
      <c r="G298" s="23">
        <f>VLOOKUP(A298,Database!$E:$AY,MATCH($G$1,Database!$E$1:$AY$1,0),FALSE)</f>
        <v/>
      </c>
      <c r="H298" s="23">
        <f>(((Table134567891011121314151617343[[#This Row],[ITA]]-VLOOKUP($U$1,A:B,2,))/VLOOKUP($U$1,A:B,2,))*100)+100</f>
        <v/>
      </c>
      <c r="I298" s="23">
        <f>(((Table134567891011121314151617343[[#This Row],[FRA]]-VLOOKUP($U$1,A:C,3,))/VLOOKUP($U$1,A:C,3,))*100)+100</f>
        <v/>
      </c>
      <c r="J298" s="23">
        <f>(((Table134567891011121314151617343[[#This Row],[DEU]]-VLOOKUP($U$1,A:D,4,))/VLOOKUP($U$1,A:D,4,))*100)+100</f>
        <v/>
      </c>
      <c r="K298" s="23">
        <f>(((Table134567891011121314151617343[[#This Row],[ESP]]-VLOOKUP($U$1,A:E,5,))/VLOOKUP($U$1,A:E,5,))*100)+100</f>
        <v/>
      </c>
      <c r="L298" s="23">
        <f>(((Table134567891011121314151617343[[#This Row],[EA19]]-VLOOKUP($U$1,A:F,6,))/VLOOKUP($U$1,A:F,6,))*100)+100</f>
        <v/>
      </c>
      <c r="M298" s="23">
        <f>(((Table134567891011121314151617343[[#This Row],[GBR]]-VLOOKUP($U$1,A:G,7,))/VLOOKUP($U$1,A:G,7,))*100)+100</f>
        <v/>
      </c>
      <c r="N298" s="23">
        <f>VLOOKUP(A298,Database!$E:$AY,MATCH($N$1,Database!$E$1:$AY$1,0),FALSE)</f>
        <v/>
      </c>
      <c r="O298" s="23">
        <f>(((Table134567891011121314151617343[[#This Row],[USA]]-VLOOKUP($U$1,A:N,14,))/VLOOKUP($U$1,A:N,14,))*100)+100</f>
        <v/>
      </c>
      <c r="P298" s="23">
        <f>VLOOKUP(A298,Database!$E:$AY,MATCH($P$1,Database!$E$1:$AY$1,0),FALSE)</f>
        <v/>
      </c>
      <c r="Q298" s="23">
        <f>(((Table134567891011121314151617343[[#This Row],[JPN]]-VLOOKUP($U$1,A:Q,16,))/VLOOKUP($U$1,A:Q,16,))*100)+100</f>
        <v/>
      </c>
    </row>
    <row r="299" customFormat="1" s="100">
      <c r="A299" s="22" t="n">
        <v>41913</v>
      </c>
      <c r="B299" s="23">
        <f>VLOOKUP(A299,Database!$E:$AY,MATCH($B$1,Database!$E$1:$AY$1,0),FALSE)</f>
        <v/>
      </c>
      <c r="C299" s="23">
        <f>VLOOKUP(A299,Database!$E:$AY,MATCH($C$1,Database!$E$1:$AY$1,0),FALSE)</f>
        <v/>
      </c>
      <c r="D299" s="23">
        <f>VLOOKUP(A299,Database!$E:$AY,MATCH($D$1,Database!$E$1:$AY$1,0),FALSE)</f>
        <v/>
      </c>
      <c r="E299" s="23">
        <f>VLOOKUP(A299,Database!$E:$AY,MATCH($E$1,Database!$E$1:$AY$1,0),FALSE)</f>
        <v/>
      </c>
      <c r="F299" s="23">
        <f>VLOOKUP(A299,Database!$E:$AY,MATCH($F$1,Database!$E$1:$AY$1,0),FALSE)</f>
        <v/>
      </c>
      <c r="G299" s="23">
        <f>VLOOKUP(A299,Database!$E:$AY,MATCH($G$1,Database!$E$1:$AY$1,0),FALSE)</f>
        <v/>
      </c>
      <c r="H299" s="23">
        <f>(((Table134567891011121314151617343[[#This Row],[ITA]]-VLOOKUP($U$1,A:B,2,))/VLOOKUP($U$1,A:B,2,))*100)+100</f>
        <v/>
      </c>
      <c r="I299" s="23">
        <f>(((Table134567891011121314151617343[[#This Row],[FRA]]-VLOOKUP($U$1,A:C,3,))/VLOOKUP($U$1,A:C,3,))*100)+100</f>
        <v/>
      </c>
      <c r="J299" s="23">
        <f>(((Table134567891011121314151617343[[#This Row],[DEU]]-VLOOKUP($U$1,A:D,4,))/VLOOKUP($U$1,A:D,4,))*100)+100</f>
        <v/>
      </c>
      <c r="K299" s="23">
        <f>(((Table134567891011121314151617343[[#This Row],[ESP]]-VLOOKUP($U$1,A:E,5,))/VLOOKUP($U$1,A:E,5,))*100)+100</f>
        <v/>
      </c>
      <c r="L299" s="23">
        <f>(((Table134567891011121314151617343[[#This Row],[EA19]]-VLOOKUP($U$1,A:F,6,))/VLOOKUP($U$1,A:F,6,))*100)+100</f>
        <v/>
      </c>
      <c r="M299" s="23">
        <f>(((Table134567891011121314151617343[[#This Row],[GBR]]-VLOOKUP($U$1,A:G,7,))/VLOOKUP($U$1,A:G,7,))*100)+100</f>
        <v/>
      </c>
      <c r="N299" s="23">
        <f>VLOOKUP(A299,Database!$E:$AY,MATCH($N$1,Database!$E$1:$AY$1,0),FALSE)</f>
        <v/>
      </c>
      <c r="O299" s="23">
        <f>(((Table134567891011121314151617343[[#This Row],[USA]]-VLOOKUP($U$1,A:N,14,))/VLOOKUP($U$1,A:N,14,))*100)+100</f>
        <v/>
      </c>
      <c r="P299" s="23">
        <f>VLOOKUP(A299,Database!$E:$AY,MATCH($P$1,Database!$E$1:$AY$1,0),FALSE)</f>
        <v/>
      </c>
      <c r="Q299" s="23">
        <f>(((Table134567891011121314151617343[[#This Row],[JPN]]-VLOOKUP($U$1,A:Q,16,))/VLOOKUP($U$1,A:Q,16,))*100)+100</f>
        <v/>
      </c>
    </row>
    <row r="300" customFormat="1" s="100">
      <c r="A300" s="22" t="n">
        <v>41944</v>
      </c>
      <c r="B300" s="23">
        <f>VLOOKUP(A300,Database!$E:$AY,MATCH($B$1,Database!$E$1:$AY$1,0),FALSE)</f>
        <v/>
      </c>
      <c r="C300" s="23">
        <f>VLOOKUP(A300,Database!$E:$AY,MATCH($C$1,Database!$E$1:$AY$1,0),FALSE)</f>
        <v/>
      </c>
      <c r="D300" s="23">
        <f>VLOOKUP(A300,Database!$E:$AY,MATCH($D$1,Database!$E$1:$AY$1,0),FALSE)</f>
        <v/>
      </c>
      <c r="E300" s="23">
        <f>VLOOKUP(A300,Database!$E:$AY,MATCH($E$1,Database!$E$1:$AY$1,0),FALSE)</f>
        <v/>
      </c>
      <c r="F300" s="23">
        <f>VLOOKUP(A300,Database!$E:$AY,MATCH($F$1,Database!$E$1:$AY$1,0),FALSE)</f>
        <v/>
      </c>
      <c r="G300" s="23">
        <f>VLOOKUP(A300,Database!$E:$AY,MATCH($G$1,Database!$E$1:$AY$1,0),FALSE)</f>
        <v/>
      </c>
      <c r="H300" s="23">
        <f>(((Table134567891011121314151617343[[#This Row],[ITA]]-VLOOKUP($U$1,A:B,2,))/VLOOKUP($U$1,A:B,2,))*100)+100</f>
        <v/>
      </c>
      <c r="I300" s="23">
        <f>(((Table134567891011121314151617343[[#This Row],[FRA]]-VLOOKUP($U$1,A:C,3,))/VLOOKUP($U$1,A:C,3,))*100)+100</f>
        <v/>
      </c>
      <c r="J300" s="23">
        <f>(((Table134567891011121314151617343[[#This Row],[DEU]]-VLOOKUP($U$1,A:D,4,))/VLOOKUP($U$1,A:D,4,))*100)+100</f>
        <v/>
      </c>
      <c r="K300" s="23">
        <f>(((Table134567891011121314151617343[[#This Row],[ESP]]-VLOOKUP($U$1,A:E,5,))/VLOOKUP($U$1,A:E,5,))*100)+100</f>
        <v/>
      </c>
      <c r="L300" s="23">
        <f>(((Table134567891011121314151617343[[#This Row],[EA19]]-VLOOKUP($U$1,A:F,6,))/VLOOKUP($U$1,A:F,6,))*100)+100</f>
        <v/>
      </c>
      <c r="M300" s="23">
        <f>(((Table134567891011121314151617343[[#This Row],[GBR]]-VLOOKUP($U$1,A:G,7,))/VLOOKUP($U$1,A:G,7,))*100)+100</f>
        <v/>
      </c>
      <c r="N300" s="23">
        <f>VLOOKUP(A300,Database!$E:$AY,MATCH($N$1,Database!$E$1:$AY$1,0),FALSE)</f>
        <v/>
      </c>
      <c r="O300" s="23">
        <f>(((Table134567891011121314151617343[[#This Row],[USA]]-VLOOKUP($U$1,A:N,14,))/VLOOKUP($U$1,A:N,14,))*100)+100</f>
        <v/>
      </c>
      <c r="P300" s="23">
        <f>VLOOKUP(A300,Database!$E:$AY,MATCH($P$1,Database!$E$1:$AY$1,0),FALSE)</f>
        <v/>
      </c>
      <c r="Q300" s="23">
        <f>(((Table134567891011121314151617343[[#This Row],[JPN]]-VLOOKUP($U$1,A:Q,16,))/VLOOKUP($U$1,A:Q,16,))*100)+100</f>
        <v/>
      </c>
    </row>
    <row r="301" customFormat="1" s="100">
      <c r="A301" s="22" t="n">
        <v>41974</v>
      </c>
      <c r="B301" s="23">
        <f>VLOOKUP(A301,Database!$E:$AY,MATCH($B$1,Database!$E$1:$AY$1,0),FALSE)</f>
        <v/>
      </c>
      <c r="C301" s="23">
        <f>VLOOKUP(A301,Database!$E:$AY,MATCH($C$1,Database!$E$1:$AY$1,0),FALSE)</f>
        <v/>
      </c>
      <c r="D301" s="23">
        <f>VLOOKUP(A301,Database!$E:$AY,MATCH($D$1,Database!$E$1:$AY$1,0),FALSE)</f>
        <v/>
      </c>
      <c r="E301" s="23">
        <f>VLOOKUP(A301,Database!$E:$AY,MATCH($E$1,Database!$E$1:$AY$1,0),FALSE)</f>
        <v/>
      </c>
      <c r="F301" s="23">
        <f>VLOOKUP(A301,Database!$E:$AY,MATCH($F$1,Database!$E$1:$AY$1,0),FALSE)</f>
        <v/>
      </c>
      <c r="G301" s="23">
        <f>VLOOKUP(A301,Database!$E:$AY,MATCH($G$1,Database!$E$1:$AY$1,0),FALSE)</f>
        <v/>
      </c>
      <c r="H301" s="23">
        <f>(((Table134567891011121314151617343[[#This Row],[ITA]]-VLOOKUP($U$1,A:B,2,))/VLOOKUP($U$1,A:B,2,))*100)+100</f>
        <v/>
      </c>
      <c r="I301" s="23">
        <f>(((Table134567891011121314151617343[[#This Row],[FRA]]-VLOOKUP($U$1,A:C,3,))/VLOOKUP($U$1,A:C,3,))*100)+100</f>
        <v/>
      </c>
      <c r="J301" s="23">
        <f>(((Table134567891011121314151617343[[#This Row],[DEU]]-VLOOKUP($U$1,A:D,4,))/VLOOKUP($U$1,A:D,4,))*100)+100</f>
        <v/>
      </c>
      <c r="K301" s="23">
        <f>(((Table134567891011121314151617343[[#This Row],[ESP]]-VLOOKUP($U$1,A:E,5,))/VLOOKUP($U$1,A:E,5,))*100)+100</f>
        <v/>
      </c>
      <c r="L301" s="23">
        <f>(((Table134567891011121314151617343[[#This Row],[EA19]]-VLOOKUP($U$1,A:F,6,))/VLOOKUP($U$1,A:F,6,))*100)+100</f>
        <v/>
      </c>
      <c r="M301" s="23">
        <f>(((Table134567891011121314151617343[[#This Row],[GBR]]-VLOOKUP($U$1,A:G,7,))/VLOOKUP($U$1,A:G,7,))*100)+100</f>
        <v/>
      </c>
      <c r="N301" s="23">
        <f>VLOOKUP(A301,Database!$E:$AY,MATCH($N$1,Database!$E$1:$AY$1,0),FALSE)</f>
        <v/>
      </c>
      <c r="O301" s="23">
        <f>(((Table134567891011121314151617343[[#This Row],[USA]]-VLOOKUP($U$1,A:N,14,))/VLOOKUP($U$1,A:N,14,))*100)+100</f>
        <v/>
      </c>
      <c r="P301" s="23">
        <f>VLOOKUP(A301,Database!$E:$AY,MATCH($P$1,Database!$E$1:$AY$1,0),FALSE)</f>
        <v/>
      </c>
      <c r="Q301" s="23">
        <f>(((Table134567891011121314151617343[[#This Row],[JPN]]-VLOOKUP($U$1,A:Q,16,))/VLOOKUP($U$1,A:Q,16,))*100)+100</f>
        <v/>
      </c>
    </row>
    <row r="302" customFormat="1" s="100">
      <c r="A302" s="22" t="n">
        <v>42005</v>
      </c>
      <c r="B302" s="23">
        <f>VLOOKUP(A302,Database!$E:$AY,MATCH($B$1,Database!$E$1:$AY$1,0),FALSE)</f>
        <v/>
      </c>
      <c r="C302" s="23">
        <f>VLOOKUP(A302,Database!$E:$AY,MATCH($C$1,Database!$E$1:$AY$1,0),FALSE)</f>
        <v/>
      </c>
      <c r="D302" s="23">
        <f>VLOOKUP(A302,Database!$E:$AY,MATCH($D$1,Database!$E$1:$AY$1,0),FALSE)</f>
        <v/>
      </c>
      <c r="E302" s="23">
        <f>VLOOKUP(A302,Database!$E:$AY,MATCH($E$1,Database!$E$1:$AY$1,0),FALSE)</f>
        <v/>
      </c>
      <c r="F302" s="23">
        <f>VLOOKUP(A302,Database!$E:$AY,MATCH($F$1,Database!$E$1:$AY$1,0),FALSE)</f>
        <v/>
      </c>
      <c r="G302" s="23">
        <f>VLOOKUP(A302,Database!$E:$AY,MATCH($G$1,Database!$E$1:$AY$1,0),FALSE)</f>
        <v/>
      </c>
      <c r="H302" s="23">
        <f>(((Table134567891011121314151617343[[#This Row],[ITA]]-VLOOKUP($U$1,A:B,2,))/VLOOKUP($U$1,A:B,2,))*100)+100</f>
        <v/>
      </c>
      <c r="I302" s="23">
        <f>(((Table134567891011121314151617343[[#This Row],[FRA]]-VLOOKUP($U$1,A:C,3,))/VLOOKUP($U$1,A:C,3,))*100)+100</f>
        <v/>
      </c>
      <c r="J302" s="23">
        <f>(((Table134567891011121314151617343[[#This Row],[DEU]]-VLOOKUP($U$1,A:D,4,))/VLOOKUP($U$1,A:D,4,))*100)+100</f>
        <v/>
      </c>
      <c r="K302" s="23">
        <f>(((Table134567891011121314151617343[[#This Row],[ESP]]-VLOOKUP($U$1,A:E,5,))/VLOOKUP($U$1,A:E,5,))*100)+100</f>
        <v/>
      </c>
      <c r="L302" s="23">
        <f>(((Table134567891011121314151617343[[#This Row],[EA19]]-VLOOKUP($U$1,A:F,6,))/VLOOKUP($U$1,A:F,6,))*100)+100</f>
        <v/>
      </c>
      <c r="M302" s="23">
        <f>(((Table134567891011121314151617343[[#This Row],[GBR]]-VLOOKUP($U$1,A:G,7,))/VLOOKUP($U$1,A:G,7,))*100)+100</f>
        <v/>
      </c>
      <c r="N302" s="23">
        <f>VLOOKUP(A302,Database!$E:$AY,MATCH($N$1,Database!$E$1:$AY$1,0),FALSE)</f>
        <v/>
      </c>
      <c r="O302" s="23">
        <f>(((Table134567891011121314151617343[[#This Row],[USA]]-VLOOKUP($U$1,A:N,14,))/VLOOKUP($U$1,A:N,14,))*100)+100</f>
        <v/>
      </c>
      <c r="P302" s="23">
        <f>VLOOKUP(A302,Database!$E:$AY,MATCH($P$1,Database!$E$1:$AY$1,0),FALSE)</f>
        <v/>
      </c>
      <c r="Q302" s="23">
        <f>(((Table134567891011121314151617343[[#This Row],[JPN]]-VLOOKUP($U$1,A:Q,16,))/VLOOKUP($U$1,A:Q,16,))*100)+100</f>
        <v/>
      </c>
    </row>
    <row r="303" customFormat="1" s="100">
      <c r="A303" s="22" t="n">
        <v>42036</v>
      </c>
      <c r="B303" s="23">
        <f>VLOOKUP(A303,Database!$E:$AY,MATCH($B$1,Database!$E$1:$AY$1,0),FALSE)</f>
        <v/>
      </c>
      <c r="C303" s="23">
        <f>VLOOKUP(A303,Database!$E:$AY,MATCH($C$1,Database!$E$1:$AY$1,0),FALSE)</f>
        <v/>
      </c>
      <c r="D303" s="23">
        <f>VLOOKUP(A303,Database!$E:$AY,MATCH($D$1,Database!$E$1:$AY$1,0),FALSE)</f>
        <v/>
      </c>
      <c r="E303" s="23">
        <f>VLOOKUP(A303,Database!$E:$AY,MATCH($E$1,Database!$E$1:$AY$1,0),FALSE)</f>
        <v/>
      </c>
      <c r="F303" s="23">
        <f>VLOOKUP(A303,Database!$E:$AY,MATCH($F$1,Database!$E$1:$AY$1,0),FALSE)</f>
        <v/>
      </c>
      <c r="G303" s="23">
        <f>VLOOKUP(A303,Database!$E:$AY,MATCH($G$1,Database!$E$1:$AY$1,0),FALSE)</f>
        <v/>
      </c>
      <c r="H303" s="23">
        <f>(((Table134567891011121314151617343[[#This Row],[ITA]]-VLOOKUP($U$1,A:B,2,))/VLOOKUP($U$1,A:B,2,))*100)+100</f>
        <v/>
      </c>
      <c r="I303" s="23">
        <f>(((Table134567891011121314151617343[[#This Row],[FRA]]-VLOOKUP($U$1,A:C,3,))/VLOOKUP($U$1,A:C,3,))*100)+100</f>
        <v/>
      </c>
      <c r="J303" s="23">
        <f>(((Table134567891011121314151617343[[#This Row],[DEU]]-VLOOKUP($U$1,A:D,4,))/VLOOKUP($U$1,A:D,4,))*100)+100</f>
        <v/>
      </c>
      <c r="K303" s="23">
        <f>(((Table134567891011121314151617343[[#This Row],[ESP]]-VLOOKUP($U$1,A:E,5,))/VLOOKUP($U$1,A:E,5,))*100)+100</f>
        <v/>
      </c>
      <c r="L303" s="23">
        <f>(((Table134567891011121314151617343[[#This Row],[EA19]]-VLOOKUP($U$1,A:F,6,))/VLOOKUP($U$1,A:F,6,))*100)+100</f>
        <v/>
      </c>
      <c r="M303" s="23">
        <f>(((Table134567891011121314151617343[[#This Row],[GBR]]-VLOOKUP($U$1,A:G,7,))/VLOOKUP($U$1,A:G,7,))*100)+100</f>
        <v/>
      </c>
      <c r="N303" s="23">
        <f>VLOOKUP(A303,Database!$E:$AY,MATCH($N$1,Database!$E$1:$AY$1,0),FALSE)</f>
        <v/>
      </c>
      <c r="O303" s="23">
        <f>(((Table134567891011121314151617343[[#This Row],[USA]]-VLOOKUP($U$1,A:N,14,))/VLOOKUP($U$1,A:N,14,))*100)+100</f>
        <v/>
      </c>
      <c r="P303" s="23">
        <f>VLOOKUP(A303,Database!$E:$AY,MATCH($P$1,Database!$E$1:$AY$1,0),FALSE)</f>
        <v/>
      </c>
      <c r="Q303" s="23">
        <f>(((Table134567891011121314151617343[[#This Row],[JPN]]-VLOOKUP($U$1,A:Q,16,))/VLOOKUP($U$1,A:Q,16,))*100)+100</f>
        <v/>
      </c>
    </row>
    <row r="304" customFormat="1" s="100">
      <c r="A304" s="22" t="n">
        <v>42064</v>
      </c>
      <c r="B304" s="23">
        <f>VLOOKUP(A304,Database!$E:$AY,MATCH($B$1,Database!$E$1:$AY$1,0),FALSE)</f>
        <v/>
      </c>
      <c r="C304" s="23">
        <f>VLOOKUP(A304,Database!$E:$AY,MATCH($C$1,Database!$E$1:$AY$1,0),FALSE)</f>
        <v/>
      </c>
      <c r="D304" s="23">
        <f>VLOOKUP(A304,Database!$E:$AY,MATCH($D$1,Database!$E$1:$AY$1,0),FALSE)</f>
        <v/>
      </c>
      <c r="E304" s="23">
        <f>VLOOKUP(A304,Database!$E:$AY,MATCH($E$1,Database!$E$1:$AY$1,0),FALSE)</f>
        <v/>
      </c>
      <c r="F304" s="23">
        <f>VLOOKUP(A304,Database!$E:$AY,MATCH($F$1,Database!$E$1:$AY$1,0),FALSE)</f>
        <v/>
      </c>
      <c r="G304" s="23">
        <f>VLOOKUP(A304,Database!$E:$AY,MATCH($G$1,Database!$E$1:$AY$1,0),FALSE)</f>
        <v/>
      </c>
      <c r="H304" s="23">
        <f>(((Table134567891011121314151617343[[#This Row],[ITA]]-VLOOKUP($U$1,A:B,2,))/VLOOKUP($U$1,A:B,2,))*100)+100</f>
        <v/>
      </c>
      <c r="I304" s="23">
        <f>(((Table134567891011121314151617343[[#This Row],[FRA]]-VLOOKUP($U$1,A:C,3,))/VLOOKUP($U$1,A:C,3,))*100)+100</f>
        <v/>
      </c>
      <c r="J304" s="23">
        <f>(((Table134567891011121314151617343[[#This Row],[DEU]]-VLOOKUP($U$1,A:D,4,))/VLOOKUP($U$1,A:D,4,))*100)+100</f>
        <v/>
      </c>
      <c r="K304" s="23">
        <f>(((Table134567891011121314151617343[[#This Row],[ESP]]-VLOOKUP($U$1,A:E,5,))/VLOOKUP($U$1,A:E,5,))*100)+100</f>
        <v/>
      </c>
      <c r="L304" s="23">
        <f>(((Table134567891011121314151617343[[#This Row],[EA19]]-VLOOKUP($U$1,A:F,6,))/VLOOKUP($U$1,A:F,6,))*100)+100</f>
        <v/>
      </c>
      <c r="M304" s="23">
        <f>(((Table134567891011121314151617343[[#This Row],[GBR]]-VLOOKUP($U$1,A:G,7,))/VLOOKUP($U$1,A:G,7,))*100)+100</f>
        <v/>
      </c>
      <c r="N304" s="23">
        <f>VLOOKUP(A304,Database!$E:$AY,MATCH($N$1,Database!$E$1:$AY$1,0),FALSE)</f>
        <v/>
      </c>
      <c r="O304" s="23">
        <f>(((Table134567891011121314151617343[[#This Row],[USA]]-VLOOKUP($U$1,A:N,14,))/VLOOKUP($U$1,A:N,14,))*100)+100</f>
        <v/>
      </c>
      <c r="P304" s="23">
        <f>VLOOKUP(A304,Database!$E:$AY,MATCH($P$1,Database!$E$1:$AY$1,0),FALSE)</f>
        <v/>
      </c>
      <c r="Q304" s="23">
        <f>(((Table134567891011121314151617343[[#This Row],[JPN]]-VLOOKUP($U$1,A:Q,16,))/VLOOKUP($U$1,A:Q,16,))*100)+100</f>
        <v/>
      </c>
    </row>
    <row r="305" customFormat="1" s="100">
      <c r="A305" s="22" t="n">
        <v>42095</v>
      </c>
      <c r="B305" s="23">
        <f>VLOOKUP(A305,Database!$E:$AY,MATCH($B$1,Database!$E$1:$AY$1,0),FALSE)</f>
        <v/>
      </c>
      <c r="C305" s="23">
        <f>VLOOKUP(A305,Database!$E:$AY,MATCH($C$1,Database!$E$1:$AY$1,0),FALSE)</f>
        <v/>
      </c>
      <c r="D305" s="23">
        <f>VLOOKUP(A305,Database!$E:$AY,MATCH($D$1,Database!$E$1:$AY$1,0),FALSE)</f>
        <v/>
      </c>
      <c r="E305" s="23">
        <f>VLOOKUP(A305,Database!$E:$AY,MATCH($E$1,Database!$E$1:$AY$1,0),FALSE)</f>
        <v/>
      </c>
      <c r="F305" s="23">
        <f>VLOOKUP(A305,Database!$E:$AY,MATCH($F$1,Database!$E$1:$AY$1,0),FALSE)</f>
        <v/>
      </c>
      <c r="G305" s="23">
        <f>VLOOKUP(A305,Database!$E:$AY,MATCH($G$1,Database!$E$1:$AY$1,0),FALSE)</f>
        <v/>
      </c>
      <c r="H305" s="23">
        <f>(((Table134567891011121314151617343[[#This Row],[ITA]]-VLOOKUP($U$1,A:B,2,))/VLOOKUP($U$1,A:B,2,))*100)+100</f>
        <v/>
      </c>
      <c r="I305" s="23">
        <f>(((Table134567891011121314151617343[[#This Row],[FRA]]-VLOOKUP($U$1,A:C,3,))/VLOOKUP($U$1,A:C,3,))*100)+100</f>
        <v/>
      </c>
      <c r="J305" s="23">
        <f>(((Table134567891011121314151617343[[#This Row],[DEU]]-VLOOKUP($U$1,A:D,4,))/VLOOKUP($U$1,A:D,4,))*100)+100</f>
        <v/>
      </c>
      <c r="K305" s="23">
        <f>(((Table134567891011121314151617343[[#This Row],[ESP]]-VLOOKUP($U$1,A:E,5,))/VLOOKUP($U$1,A:E,5,))*100)+100</f>
        <v/>
      </c>
      <c r="L305" s="23">
        <f>(((Table134567891011121314151617343[[#This Row],[EA19]]-VLOOKUP($U$1,A:F,6,))/VLOOKUP($U$1,A:F,6,))*100)+100</f>
        <v/>
      </c>
      <c r="M305" s="23">
        <f>(((Table134567891011121314151617343[[#This Row],[GBR]]-VLOOKUP($U$1,A:G,7,))/VLOOKUP($U$1,A:G,7,))*100)+100</f>
        <v/>
      </c>
      <c r="N305" s="23">
        <f>VLOOKUP(A305,Database!$E:$AY,MATCH($N$1,Database!$E$1:$AY$1,0),FALSE)</f>
        <v/>
      </c>
      <c r="O305" s="23">
        <f>(((Table134567891011121314151617343[[#This Row],[USA]]-VLOOKUP($U$1,A:N,14,))/VLOOKUP($U$1,A:N,14,))*100)+100</f>
        <v/>
      </c>
      <c r="P305" s="23">
        <f>VLOOKUP(A305,Database!$E:$AY,MATCH($P$1,Database!$E$1:$AY$1,0),FALSE)</f>
        <v/>
      </c>
      <c r="Q305" s="23">
        <f>(((Table134567891011121314151617343[[#This Row],[JPN]]-VLOOKUP($U$1,A:Q,16,))/VLOOKUP($U$1,A:Q,16,))*100)+100</f>
        <v/>
      </c>
    </row>
    <row r="306" customFormat="1" s="100">
      <c r="A306" s="22" t="n">
        <v>42125</v>
      </c>
      <c r="B306" s="23">
        <f>VLOOKUP(A306,Database!$E:$AY,MATCH($B$1,Database!$E$1:$AY$1,0),FALSE)</f>
        <v/>
      </c>
      <c r="C306" s="23">
        <f>VLOOKUP(A306,Database!$E:$AY,MATCH($C$1,Database!$E$1:$AY$1,0),FALSE)</f>
        <v/>
      </c>
      <c r="D306" s="23">
        <f>VLOOKUP(A306,Database!$E:$AY,MATCH($D$1,Database!$E$1:$AY$1,0),FALSE)</f>
        <v/>
      </c>
      <c r="E306" s="23">
        <f>VLOOKUP(A306,Database!$E:$AY,MATCH($E$1,Database!$E$1:$AY$1,0),FALSE)</f>
        <v/>
      </c>
      <c r="F306" s="23">
        <f>VLOOKUP(A306,Database!$E:$AY,MATCH($F$1,Database!$E$1:$AY$1,0),FALSE)</f>
        <v/>
      </c>
      <c r="G306" s="23">
        <f>VLOOKUP(A306,Database!$E:$AY,MATCH($G$1,Database!$E$1:$AY$1,0),FALSE)</f>
        <v/>
      </c>
      <c r="H306" s="23">
        <f>(((Table134567891011121314151617343[[#This Row],[ITA]]-VLOOKUP($U$1,A:B,2,))/VLOOKUP($U$1,A:B,2,))*100)+100</f>
        <v/>
      </c>
      <c r="I306" s="23">
        <f>(((Table134567891011121314151617343[[#This Row],[FRA]]-VLOOKUP($U$1,A:C,3,))/VLOOKUP($U$1,A:C,3,))*100)+100</f>
        <v/>
      </c>
      <c r="J306" s="23">
        <f>(((Table134567891011121314151617343[[#This Row],[DEU]]-VLOOKUP($U$1,A:D,4,))/VLOOKUP($U$1,A:D,4,))*100)+100</f>
        <v/>
      </c>
      <c r="K306" s="23">
        <f>(((Table134567891011121314151617343[[#This Row],[ESP]]-VLOOKUP($U$1,A:E,5,))/VLOOKUP($U$1,A:E,5,))*100)+100</f>
        <v/>
      </c>
      <c r="L306" s="23">
        <f>(((Table134567891011121314151617343[[#This Row],[EA19]]-VLOOKUP($U$1,A:F,6,))/VLOOKUP($U$1,A:F,6,))*100)+100</f>
        <v/>
      </c>
      <c r="M306" s="23">
        <f>(((Table134567891011121314151617343[[#This Row],[GBR]]-VLOOKUP($U$1,A:G,7,))/VLOOKUP($U$1,A:G,7,))*100)+100</f>
        <v/>
      </c>
      <c r="N306" s="23">
        <f>VLOOKUP(A306,Database!$E:$AY,MATCH($N$1,Database!$E$1:$AY$1,0),FALSE)</f>
        <v/>
      </c>
      <c r="O306" s="23">
        <f>(((Table134567891011121314151617343[[#This Row],[USA]]-VLOOKUP($U$1,A:N,14,))/VLOOKUP($U$1,A:N,14,))*100)+100</f>
        <v/>
      </c>
      <c r="P306" s="23">
        <f>VLOOKUP(A306,Database!$E:$AY,MATCH($P$1,Database!$E$1:$AY$1,0),FALSE)</f>
        <v/>
      </c>
      <c r="Q306" s="23">
        <f>(((Table134567891011121314151617343[[#This Row],[JPN]]-VLOOKUP($U$1,A:Q,16,))/VLOOKUP($U$1,A:Q,16,))*100)+100</f>
        <v/>
      </c>
    </row>
    <row r="307" customFormat="1" s="100">
      <c r="A307" s="22" t="n">
        <v>42156</v>
      </c>
      <c r="B307" s="23">
        <f>VLOOKUP(A307,Database!$E:$AY,MATCH($B$1,Database!$E$1:$AY$1,0),FALSE)</f>
        <v/>
      </c>
      <c r="C307" s="23">
        <f>VLOOKUP(A307,Database!$E:$AY,MATCH($C$1,Database!$E$1:$AY$1,0),FALSE)</f>
        <v/>
      </c>
      <c r="D307" s="23">
        <f>VLOOKUP(A307,Database!$E:$AY,MATCH($D$1,Database!$E$1:$AY$1,0),FALSE)</f>
        <v/>
      </c>
      <c r="E307" s="23">
        <f>VLOOKUP(A307,Database!$E:$AY,MATCH($E$1,Database!$E$1:$AY$1,0),FALSE)</f>
        <v/>
      </c>
      <c r="F307" s="23">
        <f>VLOOKUP(A307,Database!$E:$AY,MATCH($F$1,Database!$E$1:$AY$1,0),FALSE)</f>
        <v/>
      </c>
      <c r="G307" s="23">
        <f>VLOOKUP(A307,Database!$E:$AY,MATCH($G$1,Database!$E$1:$AY$1,0),FALSE)</f>
        <v/>
      </c>
      <c r="H307" s="23">
        <f>(((Table134567891011121314151617343[[#This Row],[ITA]]-VLOOKUP($U$1,A:B,2,))/VLOOKUP($U$1,A:B,2,))*100)+100</f>
        <v/>
      </c>
      <c r="I307" s="23">
        <f>(((Table134567891011121314151617343[[#This Row],[FRA]]-VLOOKUP($U$1,A:C,3,))/VLOOKUP($U$1,A:C,3,))*100)+100</f>
        <v/>
      </c>
      <c r="J307" s="23">
        <f>(((Table134567891011121314151617343[[#This Row],[DEU]]-VLOOKUP($U$1,A:D,4,))/VLOOKUP($U$1,A:D,4,))*100)+100</f>
        <v/>
      </c>
      <c r="K307" s="23">
        <f>(((Table134567891011121314151617343[[#This Row],[ESP]]-VLOOKUP($U$1,A:E,5,))/VLOOKUP($U$1,A:E,5,))*100)+100</f>
        <v/>
      </c>
      <c r="L307" s="23">
        <f>(((Table134567891011121314151617343[[#This Row],[EA19]]-VLOOKUP($U$1,A:F,6,))/VLOOKUP($U$1,A:F,6,))*100)+100</f>
        <v/>
      </c>
      <c r="M307" s="23">
        <f>(((Table134567891011121314151617343[[#This Row],[GBR]]-VLOOKUP($U$1,A:G,7,))/VLOOKUP($U$1,A:G,7,))*100)+100</f>
        <v/>
      </c>
      <c r="N307" s="23">
        <f>VLOOKUP(A307,Database!$E:$AY,MATCH($N$1,Database!$E$1:$AY$1,0),FALSE)</f>
        <v/>
      </c>
      <c r="O307" s="23">
        <f>(((Table134567891011121314151617343[[#This Row],[USA]]-VLOOKUP($U$1,A:N,14,))/VLOOKUP($U$1,A:N,14,))*100)+100</f>
        <v/>
      </c>
      <c r="P307" s="23">
        <f>VLOOKUP(A307,Database!$E:$AY,MATCH($P$1,Database!$E$1:$AY$1,0),FALSE)</f>
        <v/>
      </c>
      <c r="Q307" s="23">
        <f>(((Table134567891011121314151617343[[#This Row],[JPN]]-VLOOKUP($U$1,A:Q,16,))/VLOOKUP($U$1,A:Q,16,))*100)+100</f>
        <v/>
      </c>
    </row>
    <row r="308" customFormat="1" s="100">
      <c r="A308" s="22" t="n">
        <v>42186</v>
      </c>
      <c r="B308" s="23">
        <f>VLOOKUP(A308,Database!$E:$AY,MATCH($B$1,Database!$E$1:$AY$1,0),FALSE)</f>
        <v/>
      </c>
      <c r="C308" s="23">
        <f>VLOOKUP(A308,Database!$E:$AY,MATCH($C$1,Database!$E$1:$AY$1,0),FALSE)</f>
        <v/>
      </c>
      <c r="D308" s="23">
        <f>VLOOKUP(A308,Database!$E:$AY,MATCH($D$1,Database!$E$1:$AY$1,0),FALSE)</f>
        <v/>
      </c>
      <c r="E308" s="23">
        <f>VLOOKUP(A308,Database!$E:$AY,MATCH($E$1,Database!$E$1:$AY$1,0),FALSE)</f>
        <v/>
      </c>
      <c r="F308" s="23">
        <f>VLOOKUP(A308,Database!$E:$AY,MATCH($F$1,Database!$E$1:$AY$1,0),FALSE)</f>
        <v/>
      </c>
      <c r="G308" s="23">
        <f>VLOOKUP(A308,Database!$E:$AY,MATCH($G$1,Database!$E$1:$AY$1,0),FALSE)</f>
        <v/>
      </c>
      <c r="H308" s="23">
        <f>(((Table134567891011121314151617343[[#This Row],[ITA]]-VLOOKUP($U$1,A:B,2,))/VLOOKUP($U$1,A:B,2,))*100)+100</f>
        <v/>
      </c>
      <c r="I308" s="23">
        <f>(((Table134567891011121314151617343[[#This Row],[FRA]]-VLOOKUP($U$1,A:C,3,))/VLOOKUP($U$1,A:C,3,))*100)+100</f>
        <v/>
      </c>
      <c r="J308" s="23">
        <f>(((Table134567891011121314151617343[[#This Row],[DEU]]-VLOOKUP($U$1,A:D,4,))/VLOOKUP($U$1,A:D,4,))*100)+100</f>
        <v/>
      </c>
      <c r="K308" s="23">
        <f>(((Table134567891011121314151617343[[#This Row],[ESP]]-VLOOKUP($U$1,A:E,5,))/VLOOKUP($U$1,A:E,5,))*100)+100</f>
        <v/>
      </c>
      <c r="L308" s="23">
        <f>(((Table134567891011121314151617343[[#This Row],[EA19]]-VLOOKUP($U$1,A:F,6,))/VLOOKUP($U$1,A:F,6,))*100)+100</f>
        <v/>
      </c>
      <c r="M308" s="23">
        <f>(((Table134567891011121314151617343[[#This Row],[GBR]]-VLOOKUP($U$1,A:G,7,))/VLOOKUP($U$1,A:G,7,))*100)+100</f>
        <v/>
      </c>
      <c r="N308" s="23">
        <f>VLOOKUP(A308,Database!$E:$AY,MATCH($N$1,Database!$E$1:$AY$1,0),FALSE)</f>
        <v/>
      </c>
      <c r="O308" s="23">
        <f>(((Table134567891011121314151617343[[#This Row],[USA]]-VLOOKUP($U$1,A:N,14,))/VLOOKUP($U$1,A:N,14,))*100)+100</f>
        <v/>
      </c>
      <c r="P308" s="23">
        <f>VLOOKUP(A308,Database!$E:$AY,MATCH($P$1,Database!$E$1:$AY$1,0),FALSE)</f>
        <v/>
      </c>
      <c r="Q308" s="23">
        <f>(((Table134567891011121314151617343[[#This Row],[JPN]]-VLOOKUP($U$1,A:Q,16,))/VLOOKUP($U$1,A:Q,16,))*100)+100</f>
        <v/>
      </c>
    </row>
    <row r="309" customFormat="1" s="100">
      <c r="A309" s="22" t="n">
        <v>42217</v>
      </c>
      <c r="B309" s="23">
        <f>VLOOKUP(A309,Database!$E:$AY,MATCH($B$1,Database!$E$1:$AY$1,0),FALSE)</f>
        <v/>
      </c>
      <c r="C309" s="23">
        <f>VLOOKUP(A309,Database!$E:$AY,MATCH($C$1,Database!$E$1:$AY$1,0),FALSE)</f>
        <v/>
      </c>
      <c r="D309" s="23">
        <f>VLOOKUP(A309,Database!$E:$AY,MATCH($D$1,Database!$E$1:$AY$1,0),FALSE)</f>
        <v/>
      </c>
      <c r="E309" s="23">
        <f>VLOOKUP(A309,Database!$E:$AY,MATCH($E$1,Database!$E$1:$AY$1,0),FALSE)</f>
        <v/>
      </c>
      <c r="F309" s="23">
        <f>VLOOKUP(A309,Database!$E:$AY,MATCH($F$1,Database!$E$1:$AY$1,0),FALSE)</f>
        <v/>
      </c>
      <c r="G309" s="23">
        <f>VLOOKUP(A309,Database!$E:$AY,MATCH($G$1,Database!$E$1:$AY$1,0),FALSE)</f>
        <v/>
      </c>
      <c r="H309" s="23">
        <f>(((Table134567891011121314151617343[[#This Row],[ITA]]-VLOOKUP($U$1,A:B,2,))/VLOOKUP($U$1,A:B,2,))*100)+100</f>
        <v/>
      </c>
      <c r="I309" s="23">
        <f>(((Table134567891011121314151617343[[#This Row],[FRA]]-VLOOKUP($U$1,A:C,3,))/VLOOKUP($U$1,A:C,3,))*100)+100</f>
        <v/>
      </c>
      <c r="J309" s="23">
        <f>(((Table134567891011121314151617343[[#This Row],[DEU]]-VLOOKUP($U$1,A:D,4,))/VLOOKUP($U$1,A:D,4,))*100)+100</f>
        <v/>
      </c>
      <c r="K309" s="23">
        <f>(((Table134567891011121314151617343[[#This Row],[ESP]]-VLOOKUP($U$1,A:E,5,))/VLOOKUP($U$1,A:E,5,))*100)+100</f>
        <v/>
      </c>
      <c r="L309" s="23">
        <f>(((Table134567891011121314151617343[[#This Row],[EA19]]-VLOOKUP($U$1,A:F,6,))/VLOOKUP($U$1,A:F,6,))*100)+100</f>
        <v/>
      </c>
      <c r="M309" s="23">
        <f>(((Table134567891011121314151617343[[#This Row],[GBR]]-VLOOKUP($U$1,A:G,7,))/VLOOKUP($U$1,A:G,7,))*100)+100</f>
        <v/>
      </c>
      <c r="N309" s="23">
        <f>VLOOKUP(A309,Database!$E:$AY,MATCH($N$1,Database!$E$1:$AY$1,0),FALSE)</f>
        <v/>
      </c>
      <c r="O309" s="23">
        <f>(((Table134567891011121314151617343[[#This Row],[USA]]-VLOOKUP($U$1,A:N,14,))/VLOOKUP($U$1,A:N,14,))*100)+100</f>
        <v/>
      </c>
      <c r="P309" s="23">
        <f>VLOOKUP(A309,Database!$E:$AY,MATCH($P$1,Database!$E$1:$AY$1,0),FALSE)</f>
        <v/>
      </c>
      <c r="Q309" s="23">
        <f>(((Table134567891011121314151617343[[#This Row],[JPN]]-VLOOKUP($U$1,A:Q,16,))/VLOOKUP($U$1,A:Q,16,))*100)+100</f>
        <v/>
      </c>
    </row>
    <row r="310" customFormat="1" s="100">
      <c r="A310" s="22" t="n">
        <v>42248</v>
      </c>
      <c r="B310" s="23">
        <f>VLOOKUP(A310,Database!$E:$AY,MATCH($B$1,Database!$E$1:$AY$1,0),FALSE)</f>
        <v/>
      </c>
      <c r="C310" s="23">
        <f>VLOOKUP(A310,Database!$E:$AY,MATCH($C$1,Database!$E$1:$AY$1,0),FALSE)</f>
        <v/>
      </c>
      <c r="D310" s="23">
        <f>VLOOKUP(A310,Database!$E:$AY,MATCH($D$1,Database!$E$1:$AY$1,0),FALSE)</f>
        <v/>
      </c>
      <c r="E310" s="23">
        <f>VLOOKUP(A310,Database!$E:$AY,MATCH($E$1,Database!$E$1:$AY$1,0),FALSE)</f>
        <v/>
      </c>
      <c r="F310" s="23">
        <f>VLOOKUP(A310,Database!$E:$AY,MATCH($F$1,Database!$E$1:$AY$1,0),FALSE)</f>
        <v/>
      </c>
      <c r="G310" s="23">
        <f>VLOOKUP(A310,Database!$E:$AY,MATCH($G$1,Database!$E$1:$AY$1,0),FALSE)</f>
        <v/>
      </c>
      <c r="H310" s="23">
        <f>(((Table134567891011121314151617343[[#This Row],[ITA]]-VLOOKUP($U$1,A:B,2,))/VLOOKUP($U$1,A:B,2,))*100)+100</f>
        <v/>
      </c>
      <c r="I310" s="23">
        <f>(((Table134567891011121314151617343[[#This Row],[FRA]]-VLOOKUP($U$1,A:C,3,))/VLOOKUP($U$1,A:C,3,))*100)+100</f>
        <v/>
      </c>
      <c r="J310" s="23">
        <f>(((Table134567891011121314151617343[[#This Row],[DEU]]-VLOOKUP($U$1,A:D,4,))/VLOOKUP($U$1,A:D,4,))*100)+100</f>
        <v/>
      </c>
      <c r="K310" s="23">
        <f>(((Table134567891011121314151617343[[#This Row],[ESP]]-VLOOKUP($U$1,A:E,5,))/VLOOKUP($U$1,A:E,5,))*100)+100</f>
        <v/>
      </c>
      <c r="L310" s="23">
        <f>(((Table134567891011121314151617343[[#This Row],[EA19]]-VLOOKUP($U$1,A:F,6,))/VLOOKUP($U$1,A:F,6,))*100)+100</f>
        <v/>
      </c>
      <c r="M310" s="23">
        <f>(((Table134567891011121314151617343[[#This Row],[GBR]]-VLOOKUP($U$1,A:G,7,))/VLOOKUP($U$1,A:G,7,))*100)+100</f>
        <v/>
      </c>
      <c r="N310" s="23">
        <f>VLOOKUP(A310,Database!$E:$AY,MATCH($N$1,Database!$E$1:$AY$1,0),FALSE)</f>
        <v/>
      </c>
      <c r="O310" s="23">
        <f>(((Table134567891011121314151617343[[#This Row],[USA]]-VLOOKUP($U$1,A:N,14,))/VLOOKUP($U$1,A:N,14,))*100)+100</f>
        <v/>
      </c>
      <c r="P310" s="23">
        <f>VLOOKUP(A310,Database!$E:$AY,MATCH($P$1,Database!$E$1:$AY$1,0),FALSE)</f>
        <v/>
      </c>
      <c r="Q310" s="23">
        <f>(((Table134567891011121314151617343[[#This Row],[JPN]]-VLOOKUP($U$1,A:Q,16,))/VLOOKUP($U$1,A:Q,16,))*100)+100</f>
        <v/>
      </c>
    </row>
    <row r="311" customFormat="1" s="100">
      <c r="A311" s="22" t="n">
        <v>42278</v>
      </c>
      <c r="B311" s="23">
        <f>VLOOKUP(A311,Database!$E:$AY,MATCH($B$1,Database!$E$1:$AY$1,0),FALSE)</f>
        <v/>
      </c>
      <c r="C311" s="23">
        <f>VLOOKUP(A311,Database!$E:$AY,MATCH($C$1,Database!$E$1:$AY$1,0),FALSE)</f>
        <v/>
      </c>
      <c r="D311" s="23">
        <f>VLOOKUP(A311,Database!$E:$AY,MATCH($D$1,Database!$E$1:$AY$1,0),FALSE)</f>
        <v/>
      </c>
      <c r="E311" s="23">
        <f>VLOOKUP(A311,Database!$E:$AY,MATCH($E$1,Database!$E$1:$AY$1,0),FALSE)</f>
        <v/>
      </c>
      <c r="F311" s="23">
        <f>VLOOKUP(A311,Database!$E:$AY,MATCH($F$1,Database!$E$1:$AY$1,0),FALSE)</f>
        <v/>
      </c>
      <c r="G311" s="23">
        <f>VLOOKUP(A311,Database!$E:$AY,MATCH($G$1,Database!$E$1:$AY$1,0),FALSE)</f>
        <v/>
      </c>
      <c r="H311" s="23">
        <f>(((Table134567891011121314151617343[[#This Row],[ITA]]-VLOOKUP($U$1,A:B,2,))/VLOOKUP($U$1,A:B,2,))*100)+100</f>
        <v/>
      </c>
      <c r="I311" s="23">
        <f>(((Table134567891011121314151617343[[#This Row],[FRA]]-VLOOKUP($U$1,A:C,3,))/VLOOKUP($U$1,A:C,3,))*100)+100</f>
        <v/>
      </c>
      <c r="J311" s="23">
        <f>(((Table134567891011121314151617343[[#This Row],[DEU]]-VLOOKUP($U$1,A:D,4,))/VLOOKUP($U$1,A:D,4,))*100)+100</f>
        <v/>
      </c>
      <c r="K311" s="23">
        <f>(((Table134567891011121314151617343[[#This Row],[ESP]]-VLOOKUP($U$1,A:E,5,))/VLOOKUP($U$1,A:E,5,))*100)+100</f>
        <v/>
      </c>
      <c r="L311" s="23">
        <f>(((Table134567891011121314151617343[[#This Row],[EA19]]-VLOOKUP($U$1,A:F,6,))/VLOOKUP($U$1,A:F,6,))*100)+100</f>
        <v/>
      </c>
      <c r="M311" s="23">
        <f>(((Table134567891011121314151617343[[#This Row],[GBR]]-VLOOKUP($U$1,A:G,7,))/VLOOKUP($U$1,A:G,7,))*100)+100</f>
        <v/>
      </c>
      <c r="N311" s="23">
        <f>VLOOKUP(A311,Database!$E:$AY,MATCH($N$1,Database!$E$1:$AY$1,0),FALSE)</f>
        <v/>
      </c>
      <c r="O311" s="23">
        <f>(((Table134567891011121314151617343[[#This Row],[USA]]-VLOOKUP($U$1,A:N,14,))/VLOOKUP($U$1,A:N,14,))*100)+100</f>
        <v/>
      </c>
      <c r="P311" s="23">
        <f>VLOOKUP(A311,Database!$E:$AY,MATCH($P$1,Database!$E$1:$AY$1,0),FALSE)</f>
        <v/>
      </c>
      <c r="Q311" s="23">
        <f>(((Table134567891011121314151617343[[#This Row],[JPN]]-VLOOKUP($U$1,A:Q,16,))/VLOOKUP($U$1,A:Q,16,))*100)+100</f>
        <v/>
      </c>
    </row>
    <row r="312" customFormat="1" s="100">
      <c r="A312" s="22" t="n">
        <v>42309</v>
      </c>
      <c r="B312" s="23">
        <f>VLOOKUP(A312,Database!$E:$AY,MATCH($B$1,Database!$E$1:$AY$1,0),FALSE)</f>
        <v/>
      </c>
      <c r="C312" s="23">
        <f>VLOOKUP(A312,Database!$E:$AY,MATCH($C$1,Database!$E$1:$AY$1,0),FALSE)</f>
        <v/>
      </c>
      <c r="D312" s="23">
        <f>VLOOKUP(A312,Database!$E:$AY,MATCH($D$1,Database!$E$1:$AY$1,0),FALSE)</f>
        <v/>
      </c>
      <c r="E312" s="23">
        <f>VLOOKUP(A312,Database!$E:$AY,MATCH($E$1,Database!$E$1:$AY$1,0),FALSE)</f>
        <v/>
      </c>
      <c r="F312" s="23">
        <f>VLOOKUP(A312,Database!$E:$AY,MATCH($F$1,Database!$E$1:$AY$1,0),FALSE)</f>
        <v/>
      </c>
      <c r="G312" s="23">
        <f>VLOOKUP(A312,Database!$E:$AY,MATCH($G$1,Database!$E$1:$AY$1,0),FALSE)</f>
        <v/>
      </c>
      <c r="H312" s="23">
        <f>(((Table134567891011121314151617343[[#This Row],[ITA]]-VLOOKUP($U$1,A:B,2,))/VLOOKUP($U$1,A:B,2,))*100)+100</f>
        <v/>
      </c>
      <c r="I312" s="23">
        <f>(((Table134567891011121314151617343[[#This Row],[FRA]]-VLOOKUP($U$1,A:C,3,))/VLOOKUP($U$1,A:C,3,))*100)+100</f>
        <v/>
      </c>
      <c r="J312" s="23">
        <f>(((Table134567891011121314151617343[[#This Row],[DEU]]-VLOOKUP($U$1,A:D,4,))/VLOOKUP($U$1,A:D,4,))*100)+100</f>
        <v/>
      </c>
      <c r="K312" s="23">
        <f>(((Table134567891011121314151617343[[#This Row],[ESP]]-VLOOKUP($U$1,A:E,5,))/VLOOKUP($U$1,A:E,5,))*100)+100</f>
        <v/>
      </c>
      <c r="L312" s="23">
        <f>(((Table134567891011121314151617343[[#This Row],[EA19]]-VLOOKUP($U$1,A:F,6,))/VLOOKUP($U$1,A:F,6,))*100)+100</f>
        <v/>
      </c>
      <c r="M312" s="23">
        <f>(((Table134567891011121314151617343[[#This Row],[GBR]]-VLOOKUP($U$1,A:G,7,))/VLOOKUP($U$1,A:G,7,))*100)+100</f>
        <v/>
      </c>
      <c r="N312" s="23">
        <f>VLOOKUP(A312,Database!$E:$AY,MATCH($N$1,Database!$E$1:$AY$1,0),FALSE)</f>
        <v/>
      </c>
      <c r="O312" s="23">
        <f>(((Table134567891011121314151617343[[#This Row],[USA]]-VLOOKUP($U$1,A:N,14,))/VLOOKUP($U$1,A:N,14,))*100)+100</f>
        <v/>
      </c>
      <c r="P312" s="23">
        <f>VLOOKUP(A312,Database!$E:$AY,MATCH($P$1,Database!$E$1:$AY$1,0),FALSE)</f>
        <v/>
      </c>
      <c r="Q312" s="23">
        <f>(((Table134567891011121314151617343[[#This Row],[JPN]]-VLOOKUP($U$1,A:Q,16,))/VLOOKUP($U$1,A:Q,16,))*100)+100</f>
        <v/>
      </c>
    </row>
    <row r="313" customFormat="1" s="100">
      <c r="A313" s="22" t="n">
        <v>42339</v>
      </c>
      <c r="B313" s="23">
        <f>VLOOKUP(A313,Database!$E:$AY,MATCH($B$1,Database!$E$1:$AY$1,0),FALSE)</f>
        <v/>
      </c>
      <c r="C313" s="23">
        <f>VLOOKUP(A313,Database!$E:$AY,MATCH($C$1,Database!$E$1:$AY$1,0),FALSE)</f>
        <v/>
      </c>
      <c r="D313" s="23">
        <f>VLOOKUP(A313,Database!$E:$AY,MATCH($D$1,Database!$E$1:$AY$1,0),FALSE)</f>
        <v/>
      </c>
      <c r="E313" s="23">
        <f>VLOOKUP(A313,Database!$E:$AY,MATCH($E$1,Database!$E$1:$AY$1,0),FALSE)</f>
        <v/>
      </c>
      <c r="F313" s="23">
        <f>VLOOKUP(A313,Database!$E:$AY,MATCH($F$1,Database!$E$1:$AY$1,0),FALSE)</f>
        <v/>
      </c>
      <c r="G313" s="23">
        <f>VLOOKUP(A313,Database!$E:$AY,MATCH($G$1,Database!$E$1:$AY$1,0),FALSE)</f>
        <v/>
      </c>
      <c r="H313" s="23">
        <f>(((Table134567891011121314151617343[[#This Row],[ITA]]-VLOOKUP($U$1,A:B,2,))/VLOOKUP($U$1,A:B,2,))*100)+100</f>
        <v/>
      </c>
      <c r="I313" s="23">
        <f>(((Table134567891011121314151617343[[#This Row],[FRA]]-VLOOKUP($U$1,A:C,3,))/VLOOKUP($U$1,A:C,3,))*100)+100</f>
        <v/>
      </c>
      <c r="J313" s="23">
        <f>(((Table134567891011121314151617343[[#This Row],[DEU]]-VLOOKUP($U$1,A:D,4,))/VLOOKUP($U$1,A:D,4,))*100)+100</f>
        <v/>
      </c>
      <c r="K313" s="23">
        <f>(((Table134567891011121314151617343[[#This Row],[ESP]]-VLOOKUP($U$1,A:E,5,))/VLOOKUP($U$1,A:E,5,))*100)+100</f>
        <v/>
      </c>
      <c r="L313" s="23">
        <f>(((Table134567891011121314151617343[[#This Row],[EA19]]-VLOOKUP($U$1,A:F,6,))/VLOOKUP($U$1,A:F,6,))*100)+100</f>
        <v/>
      </c>
      <c r="M313" s="23">
        <f>(((Table134567891011121314151617343[[#This Row],[GBR]]-VLOOKUP($U$1,A:G,7,))/VLOOKUP($U$1,A:G,7,))*100)+100</f>
        <v/>
      </c>
      <c r="N313" s="23">
        <f>VLOOKUP(A313,Database!$E:$AY,MATCH($N$1,Database!$E$1:$AY$1,0),FALSE)</f>
        <v/>
      </c>
      <c r="O313" s="23">
        <f>(((Table134567891011121314151617343[[#This Row],[USA]]-VLOOKUP($U$1,A:N,14,))/VLOOKUP($U$1,A:N,14,))*100)+100</f>
        <v/>
      </c>
      <c r="P313" s="23">
        <f>VLOOKUP(A313,Database!$E:$AY,MATCH($P$1,Database!$E$1:$AY$1,0),FALSE)</f>
        <v/>
      </c>
      <c r="Q313" s="23">
        <f>(((Table134567891011121314151617343[[#This Row],[JPN]]-VLOOKUP($U$1,A:Q,16,))/VLOOKUP($U$1,A:Q,16,))*100)+100</f>
        <v/>
      </c>
    </row>
    <row r="314" customFormat="1" s="100">
      <c r="A314" s="22" t="n">
        <v>42370</v>
      </c>
      <c r="B314" s="23">
        <f>VLOOKUP(A314,Database!$E:$AY,MATCH($B$1,Database!$E$1:$AY$1,0),FALSE)</f>
        <v/>
      </c>
      <c r="C314" s="23">
        <f>VLOOKUP(A314,Database!$E:$AY,MATCH($C$1,Database!$E$1:$AY$1,0),FALSE)</f>
        <v/>
      </c>
      <c r="D314" s="23">
        <f>VLOOKUP(A314,Database!$E:$AY,MATCH($D$1,Database!$E$1:$AY$1,0),FALSE)</f>
        <v/>
      </c>
      <c r="E314" s="23">
        <f>VLOOKUP(A314,Database!$E:$AY,MATCH($E$1,Database!$E$1:$AY$1,0),FALSE)</f>
        <v/>
      </c>
      <c r="F314" s="23">
        <f>VLOOKUP(A314,Database!$E:$AY,MATCH($F$1,Database!$E$1:$AY$1,0),FALSE)</f>
        <v/>
      </c>
      <c r="G314" s="23">
        <f>VLOOKUP(A314,Database!$E:$AY,MATCH($G$1,Database!$E$1:$AY$1,0),FALSE)</f>
        <v/>
      </c>
      <c r="H314" s="23">
        <f>(((Table134567891011121314151617343[[#This Row],[ITA]]-VLOOKUP($U$1,A:B,2,))/VLOOKUP($U$1,A:B,2,))*100)+100</f>
        <v/>
      </c>
      <c r="I314" s="23">
        <f>(((Table134567891011121314151617343[[#This Row],[FRA]]-VLOOKUP($U$1,A:C,3,))/VLOOKUP($U$1,A:C,3,))*100)+100</f>
        <v/>
      </c>
      <c r="J314" s="23">
        <f>(((Table134567891011121314151617343[[#This Row],[DEU]]-VLOOKUP($U$1,A:D,4,))/VLOOKUP($U$1,A:D,4,))*100)+100</f>
        <v/>
      </c>
      <c r="K314" s="23">
        <f>(((Table134567891011121314151617343[[#This Row],[ESP]]-VLOOKUP($U$1,A:E,5,))/VLOOKUP($U$1,A:E,5,))*100)+100</f>
        <v/>
      </c>
      <c r="L314" s="23">
        <f>(((Table134567891011121314151617343[[#This Row],[EA19]]-VLOOKUP($U$1,A:F,6,))/VLOOKUP($U$1,A:F,6,))*100)+100</f>
        <v/>
      </c>
      <c r="M314" s="23">
        <f>(((Table134567891011121314151617343[[#This Row],[GBR]]-VLOOKUP($U$1,A:G,7,))/VLOOKUP($U$1,A:G,7,))*100)+100</f>
        <v/>
      </c>
      <c r="N314" s="23">
        <f>VLOOKUP(A314,Database!$E:$AY,MATCH($N$1,Database!$E$1:$AY$1,0),FALSE)</f>
        <v/>
      </c>
      <c r="O314" s="23">
        <f>(((Table134567891011121314151617343[[#This Row],[USA]]-VLOOKUP($U$1,A:N,14,))/VLOOKUP($U$1,A:N,14,))*100)+100</f>
        <v/>
      </c>
      <c r="P314" s="23">
        <f>VLOOKUP(A314,Database!$E:$AY,MATCH($P$1,Database!$E$1:$AY$1,0),FALSE)</f>
        <v/>
      </c>
      <c r="Q314" s="23">
        <f>(((Table134567891011121314151617343[[#This Row],[JPN]]-VLOOKUP($U$1,A:Q,16,))/VLOOKUP($U$1,A:Q,16,))*100)+100</f>
        <v/>
      </c>
    </row>
    <row r="315" customFormat="1" s="100">
      <c r="A315" s="22" t="n">
        <v>42401</v>
      </c>
      <c r="B315" s="23">
        <f>VLOOKUP(A315,Database!$E:$AY,MATCH($B$1,Database!$E$1:$AY$1,0),FALSE)</f>
        <v/>
      </c>
      <c r="C315" s="23">
        <f>VLOOKUP(A315,Database!$E:$AY,MATCH($C$1,Database!$E$1:$AY$1,0),FALSE)</f>
        <v/>
      </c>
      <c r="D315" s="23">
        <f>VLOOKUP(A315,Database!$E:$AY,MATCH($D$1,Database!$E$1:$AY$1,0),FALSE)</f>
        <v/>
      </c>
      <c r="E315" s="23">
        <f>VLOOKUP(A315,Database!$E:$AY,MATCH($E$1,Database!$E$1:$AY$1,0),FALSE)</f>
        <v/>
      </c>
      <c r="F315" s="23">
        <f>VLOOKUP(A315,Database!$E:$AY,MATCH($F$1,Database!$E$1:$AY$1,0),FALSE)</f>
        <v/>
      </c>
      <c r="G315" s="23">
        <f>VLOOKUP(A315,Database!$E:$AY,MATCH($G$1,Database!$E$1:$AY$1,0),FALSE)</f>
        <v/>
      </c>
      <c r="H315" s="23">
        <f>(((Table134567891011121314151617343[[#This Row],[ITA]]-VLOOKUP($U$1,A:B,2,))/VLOOKUP($U$1,A:B,2,))*100)+100</f>
        <v/>
      </c>
      <c r="I315" s="23">
        <f>(((Table134567891011121314151617343[[#This Row],[FRA]]-VLOOKUP($U$1,A:C,3,))/VLOOKUP($U$1,A:C,3,))*100)+100</f>
        <v/>
      </c>
      <c r="J315" s="23">
        <f>(((Table134567891011121314151617343[[#This Row],[DEU]]-VLOOKUP($U$1,A:D,4,))/VLOOKUP($U$1,A:D,4,))*100)+100</f>
        <v/>
      </c>
      <c r="K315" s="23">
        <f>(((Table134567891011121314151617343[[#This Row],[ESP]]-VLOOKUP($U$1,A:E,5,))/VLOOKUP($U$1,A:E,5,))*100)+100</f>
        <v/>
      </c>
      <c r="L315" s="23">
        <f>(((Table134567891011121314151617343[[#This Row],[EA19]]-VLOOKUP($U$1,A:F,6,))/VLOOKUP($U$1,A:F,6,))*100)+100</f>
        <v/>
      </c>
      <c r="M315" s="23">
        <f>(((Table134567891011121314151617343[[#This Row],[GBR]]-VLOOKUP($U$1,A:G,7,))/VLOOKUP($U$1,A:G,7,))*100)+100</f>
        <v/>
      </c>
      <c r="N315" s="23">
        <f>VLOOKUP(A315,Database!$E:$AY,MATCH($N$1,Database!$E$1:$AY$1,0),FALSE)</f>
        <v/>
      </c>
      <c r="O315" s="23">
        <f>(((Table134567891011121314151617343[[#This Row],[USA]]-VLOOKUP($U$1,A:N,14,))/VLOOKUP($U$1,A:N,14,))*100)+100</f>
        <v/>
      </c>
      <c r="P315" s="23">
        <f>VLOOKUP(A315,Database!$E:$AY,MATCH($P$1,Database!$E$1:$AY$1,0),FALSE)</f>
        <v/>
      </c>
      <c r="Q315" s="23">
        <f>(((Table134567891011121314151617343[[#This Row],[JPN]]-VLOOKUP($U$1,A:Q,16,))/VLOOKUP($U$1,A:Q,16,))*100)+100</f>
        <v/>
      </c>
    </row>
    <row r="316" customFormat="1" s="100">
      <c r="A316" s="22" t="n">
        <v>42430</v>
      </c>
      <c r="B316" s="23">
        <f>VLOOKUP(A316,Database!$E:$AY,MATCH($B$1,Database!$E$1:$AY$1,0),FALSE)</f>
        <v/>
      </c>
      <c r="C316" s="23">
        <f>VLOOKUP(A316,Database!$E:$AY,MATCH($C$1,Database!$E$1:$AY$1,0),FALSE)</f>
        <v/>
      </c>
      <c r="D316" s="23">
        <f>VLOOKUP(A316,Database!$E:$AY,MATCH($D$1,Database!$E$1:$AY$1,0),FALSE)</f>
        <v/>
      </c>
      <c r="E316" s="23">
        <f>VLOOKUP(A316,Database!$E:$AY,MATCH($E$1,Database!$E$1:$AY$1,0),FALSE)</f>
        <v/>
      </c>
      <c r="F316" s="23">
        <f>VLOOKUP(A316,Database!$E:$AY,MATCH($F$1,Database!$E$1:$AY$1,0),FALSE)</f>
        <v/>
      </c>
      <c r="G316" s="23">
        <f>VLOOKUP(A316,Database!$E:$AY,MATCH($G$1,Database!$E$1:$AY$1,0),FALSE)</f>
        <v/>
      </c>
      <c r="H316" s="23">
        <f>(((Table134567891011121314151617343[[#This Row],[ITA]]-VLOOKUP($U$1,A:B,2,))/VLOOKUP($U$1,A:B,2,))*100)+100</f>
        <v/>
      </c>
      <c r="I316" s="23">
        <f>(((Table134567891011121314151617343[[#This Row],[FRA]]-VLOOKUP($U$1,A:C,3,))/VLOOKUP($U$1,A:C,3,))*100)+100</f>
        <v/>
      </c>
      <c r="J316" s="23">
        <f>(((Table134567891011121314151617343[[#This Row],[DEU]]-VLOOKUP($U$1,A:D,4,))/VLOOKUP($U$1,A:D,4,))*100)+100</f>
        <v/>
      </c>
      <c r="K316" s="23">
        <f>(((Table134567891011121314151617343[[#This Row],[ESP]]-VLOOKUP($U$1,A:E,5,))/VLOOKUP($U$1,A:E,5,))*100)+100</f>
        <v/>
      </c>
      <c r="L316" s="23">
        <f>(((Table134567891011121314151617343[[#This Row],[EA19]]-VLOOKUP($U$1,A:F,6,))/VLOOKUP($U$1,A:F,6,))*100)+100</f>
        <v/>
      </c>
      <c r="M316" s="23">
        <f>(((Table134567891011121314151617343[[#This Row],[GBR]]-VLOOKUP($U$1,A:G,7,))/VLOOKUP($U$1,A:G,7,))*100)+100</f>
        <v/>
      </c>
      <c r="N316" s="23">
        <f>VLOOKUP(A316,Database!$E:$AY,MATCH($N$1,Database!$E$1:$AY$1,0),FALSE)</f>
        <v/>
      </c>
      <c r="O316" s="23">
        <f>(((Table134567891011121314151617343[[#This Row],[USA]]-VLOOKUP($U$1,A:N,14,))/VLOOKUP($U$1,A:N,14,))*100)+100</f>
        <v/>
      </c>
      <c r="P316" s="23">
        <f>VLOOKUP(A316,Database!$E:$AY,MATCH($P$1,Database!$E$1:$AY$1,0),FALSE)</f>
        <v/>
      </c>
      <c r="Q316" s="23">
        <f>(((Table134567891011121314151617343[[#This Row],[JPN]]-VLOOKUP($U$1,A:Q,16,))/VLOOKUP($U$1,A:Q,16,))*100)+100</f>
        <v/>
      </c>
    </row>
    <row r="317" customFormat="1" s="100">
      <c r="A317" s="22" t="n">
        <v>42461</v>
      </c>
      <c r="B317" s="23">
        <f>VLOOKUP(A317,Database!$E:$AY,MATCH($B$1,Database!$E$1:$AY$1,0),FALSE)</f>
        <v/>
      </c>
      <c r="C317" s="23">
        <f>VLOOKUP(A317,Database!$E:$AY,MATCH($C$1,Database!$E$1:$AY$1,0),FALSE)</f>
        <v/>
      </c>
      <c r="D317" s="23">
        <f>VLOOKUP(A317,Database!$E:$AY,MATCH($D$1,Database!$E$1:$AY$1,0),FALSE)</f>
        <v/>
      </c>
      <c r="E317" s="23">
        <f>VLOOKUP(A317,Database!$E:$AY,MATCH($E$1,Database!$E$1:$AY$1,0),FALSE)</f>
        <v/>
      </c>
      <c r="F317" s="23">
        <f>VLOOKUP(A317,Database!$E:$AY,MATCH($F$1,Database!$E$1:$AY$1,0),FALSE)</f>
        <v/>
      </c>
      <c r="G317" s="23">
        <f>VLOOKUP(A317,Database!$E:$AY,MATCH($G$1,Database!$E$1:$AY$1,0),FALSE)</f>
        <v/>
      </c>
      <c r="H317" s="23">
        <f>(((Table134567891011121314151617343[[#This Row],[ITA]]-VLOOKUP($U$1,A:B,2,))/VLOOKUP($U$1,A:B,2,))*100)+100</f>
        <v/>
      </c>
      <c r="I317" s="23">
        <f>(((Table134567891011121314151617343[[#This Row],[FRA]]-VLOOKUP($U$1,A:C,3,))/VLOOKUP($U$1,A:C,3,))*100)+100</f>
        <v/>
      </c>
      <c r="J317" s="23">
        <f>(((Table134567891011121314151617343[[#This Row],[DEU]]-VLOOKUP($U$1,A:D,4,))/VLOOKUP($U$1,A:D,4,))*100)+100</f>
        <v/>
      </c>
      <c r="K317" s="23">
        <f>(((Table134567891011121314151617343[[#This Row],[ESP]]-VLOOKUP($U$1,A:E,5,))/VLOOKUP($U$1,A:E,5,))*100)+100</f>
        <v/>
      </c>
      <c r="L317" s="23">
        <f>(((Table134567891011121314151617343[[#This Row],[EA19]]-VLOOKUP($U$1,A:F,6,))/VLOOKUP($U$1,A:F,6,))*100)+100</f>
        <v/>
      </c>
      <c r="M317" s="23">
        <f>(((Table134567891011121314151617343[[#This Row],[GBR]]-VLOOKUP($U$1,A:G,7,))/VLOOKUP($U$1,A:G,7,))*100)+100</f>
        <v/>
      </c>
      <c r="N317" s="23">
        <f>VLOOKUP(A317,Database!$E:$AY,MATCH($N$1,Database!$E$1:$AY$1,0),FALSE)</f>
        <v/>
      </c>
      <c r="O317" s="23">
        <f>(((Table134567891011121314151617343[[#This Row],[USA]]-VLOOKUP($U$1,A:N,14,))/VLOOKUP($U$1,A:N,14,))*100)+100</f>
        <v/>
      </c>
      <c r="P317" s="23">
        <f>VLOOKUP(A317,Database!$E:$AY,MATCH($P$1,Database!$E$1:$AY$1,0),FALSE)</f>
        <v/>
      </c>
      <c r="Q317" s="23">
        <f>(((Table134567891011121314151617343[[#This Row],[JPN]]-VLOOKUP($U$1,A:Q,16,))/VLOOKUP($U$1,A:Q,16,))*100)+100</f>
        <v/>
      </c>
    </row>
    <row r="318" customFormat="1" s="100">
      <c r="A318" s="22" t="n">
        <v>42491</v>
      </c>
      <c r="B318" s="23">
        <f>VLOOKUP(A318,Database!$E:$AY,MATCH($B$1,Database!$E$1:$AY$1,0),FALSE)</f>
        <v/>
      </c>
      <c r="C318" s="23">
        <f>VLOOKUP(A318,Database!$E:$AY,MATCH($C$1,Database!$E$1:$AY$1,0),FALSE)</f>
        <v/>
      </c>
      <c r="D318" s="23">
        <f>VLOOKUP(A318,Database!$E:$AY,MATCH($D$1,Database!$E$1:$AY$1,0),FALSE)</f>
        <v/>
      </c>
      <c r="E318" s="23">
        <f>VLOOKUP(A318,Database!$E:$AY,MATCH($E$1,Database!$E$1:$AY$1,0),FALSE)</f>
        <v/>
      </c>
      <c r="F318" s="23">
        <f>VLOOKUP(A318,Database!$E:$AY,MATCH($F$1,Database!$E$1:$AY$1,0),FALSE)</f>
        <v/>
      </c>
      <c r="G318" s="23">
        <f>VLOOKUP(A318,Database!$E:$AY,MATCH($G$1,Database!$E$1:$AY$1,0),FALSE)</f>
        <v/>
      </c>
      <c r="H318" s="23">
        <f>(((Table134567891011121314151617343[[#This Row],[ITA]]-VLOOKUP($U$1,A:B,2,))/VLOOKUP($U$1,A:B,2,))*100)+100</f>
        <v/>
      </c>
      <c r="I318" s="23">
        <f>(((Table134567891011121314151617343[[#This Row],[FRA]]-VLOOKUP($U$1,A:C,3,))/VLOOKUP($U$1,A:C,3,))*100)+100</f>
        <v/>
      </c>
      <c r="J318" s="23">
        <f>(((Table134567891011121314151617343[[#This Row],[DEU]]-VLOOKUP($U$1,A:D,4,))/VLOOKUP($U$1,A:D,4,))*100)+100</f>
        <v/>
      </c>
      <c r="K318" s="23">
        <f>(((Table134567891011121314151617343[[#This Row],[ESP]]-VLOOKUP($U$1,A:E,5,))/VLOOKUP($U$1,A:E,5,))*100)+100</f>
        <v/>
      </c>
      <c r="L318" s="23">
        <f>(((Table134567891011121314151617343[[#This Row],[EA19]]-VLOOKUP($U$1,A:F,6,))/VLOOKUP($U$1,A:F,6,))*100)+100</f>
        <v/>
      </c>
      <c r="M318" s="23">
        <f>(((Table134567891011121314151617343[[#This Row],[GBR]]-VLOOKUP($U$1,A:G,7,))/VLOOKUP($U$1,A:G,7,))*100)+100</f>
        <v/>
      </c>
      <c r="N318" s="23">
        <f>VLOOKUP(A318,Database!$E:$AY,MATCH($N$1,Database!$E$1:$AY$1,0),FALSE)</f>
        <v/>
      </c>
      <c r="O318" s="23">
        <f>(((Table134567891011121314151617343[[#This Row],[USA]]-VLOOKUP($U$1,A:N,14,))/VLOOKUP($U$1,A:N,14,))*100)+100</f>
        <v/>
      </c>
      <c r="P318" s="23">
        <f>VLOOKUP(A318,Database!$E:$AY,MATCH($P$1,Database!$E$1:$AY$1,0),FALSE)</f>
        <v/>
      </c>
      <c r="Q318" s="23">
        <f>(((Table134567891011121314151617343[[#This Row],[JPN]]-VLOOKUP($U$1,A:Q,16,))/VLOOKUP($U$1,A:Q,16,))*100)+100</f>
        <v/>
      </c>
    </row>
    <row r="319" customFormat="1" s="100">
      <c r="A319" s="22" t="n">
        <v>42522</v>
      </c>
      <c r="B319" s="23">
        <f>VLOOKUP(A319,Database!$E:$AY,MATCH($B$1,Database!$E$1:$AY$1,0),FALSE)</f>
        <v/>
      </c>
      <c r="C319" s="23">
        <f>VLOOKUP(A319,Database!$E:$AY,MATCH($C$1,Database!$E$1:$AY$1,0),FALSE)</f>
        <v/>
      </c>
      <c r="D319" s="23">
        <f>VLOOKUP(A319,Database!$E:$AY,MATCH($D$1,Database!$E$1:$AY$1,0),FALSE)</f>
        <v/>
      </c>
      <c r="E319" s="23">
        <f>VLOOKUP(A319,Database!$E:$AY,MATCH($E$1,Database!$E$1:$AY$1,0),FALSE)</f>
        <v/>
      </c>
      <c r="F319" s="23">
        <f>VLOOKUP(A319,Database!$E:$AY,MATCH($F$1,Database!$E$1:$AY$1,0),FALSE)</f>
        <v/>
      </c>
      <c r="G319" s="23">
        <f>VLOOKUP(A319,Database!$E:$AY,MATCH($G$1,Database!$E$1:$AY$1,0),FALSE)</f>
        <v/>
      </c>
      <c r="H319" s="23">
        <f>(((Table134567891011121314151617343[[#This Row],[ITA]]-VLOOKUP($U$1,A:B,2,))/VLOOKUP($U$1,A:B,2,))*100)+100</f>
        <v/>
      </c>
      <c r="I319" s="23">
        <f>(((Table134567891011121314151617343[[#This Row],[FRA]]-VLOOKUP($U$1,A:C,3,))/VLOOKUP($U$1,A:C,3,))*100)+100</f>
        <v/>
      </c>
      <c r="J319" s="23">
        <f>(((Table134567891011121314151617343[[#This Row],[DEU]]-VLOOKUP($U$1,A:D,4,))/VLOOKUP($U$1,A:D,4,))*100)+100</f>
        <v/>
      </c>
      <c r="K319" s="23">
        <f>(((Table134567891011121314151617343[[#This Row],[ESP]]-VLOOKUP($U$1,A:E,5,))/VLOOKUP($U$1,A:E,5,))*100)+100</f>
        <v/>
      </c>
      <c r="L319" s="23">
        <f>(((Table134567891011121314151617343[[#This Row],[EA19]]-VLOOKUP($U$1,A:F,6,))/VLOOKUP($U$1,A:F,6,))*100)+100</f>
        <v/>
      </c>
      <c r="M319" s="23">
        <f>(((Table134567891011121314151617343[[#This Row],[GBR]]-VLOOKUP($U$1,A:G,7,))/VLOOKUP($U$1,A:G,7,))*100)+100</f>
        <v/>
      </c>
      <c r="N319" s="23">
        <f>VLOOKUP(A319,Database!$E:$AY,MATCH($N$1,Database!$E$1:$AY$1,0),FALSE)</f>
        <v/>
      </c>
      <c r="O319" s="23">
        <f>(((Table134567891011121314151617343[[#This Row],[USA]]-VLOOKUP($U$1,A:N,14,))/VLOOKUP($U$1,A:N,14,))*100)+100</f>
        <v/>
      </c>
      <c r="P319" s="23">
        <f>VLOOKUP(A319,Database!$E:$AY,MATCH($P$1,Database!$E$1:$AY$1,0),FALSE)</f>
        <v/>
      </c>
      <c r="Q319" s="23">
        <f>(((Table134567891011121314151617343[[#This Row],[JPN]]-VLOOKUP($U$1,A:Q,16,))/VLOOKUP($U$1,A:Q,16,))*100)+100</f>
        <v/>
      </c>
    </row>
    <row r="320" customFormat="1" s="100">
      <c r="A320" s="22" t="n">
        <v>42552</v>
      </c>
      <c r="B320" s="23">
        <f>VLOOKUP(A320,Database!$E:$AY,MATCH($B$1,Database!$E$1:$AY$1,0),FALSE)</f>
        <v/>
      </c>
      <c r="C320" s="23">
        <f>VLOOKUP(A320,Database!$E:$AY,MATCH($C$1,Database!$E$1:$AY$1,0),FALSE)</f>
        <v/>
      </c>
      <c r="D320" s="23">
        <f>VLOOKUP(A320,Database!$E:$AY,MATCH($D$1,Database!$E$1:$AY$1,0),FALSE)</f>
        <v/>
      </c>
      <c r="E320" s="23">
        <f>VLOOKUP(A320,Database!$E:$AY,MATCH($E$1,Database!$E$1:$AY$1,0),FALSE)</f>
        <v/>
      </c>
      <c r="F320" s="23">
        <f>VLOOKUP(A320,Database!$E:$AY,MATCH($F$1,Database!$E$1:$AY$1,0),FALSE)</f>
        <v/>
      </c>
      <c r="G320" s="23">
        <f>VLOOKUP(A320,Database!$E:$AY,MATCH($G$1,Database!$E$1:$AY$1,0),FALSE)</f>
        <v/>
      </c>
      <c r="H320" s="23">
        <f>(((Table134567891011121314151617343[[#This Row],[ITA]]-VLOOKUP($U$1,A:B,2,))/VLOOKUP($U$1,A:B,2,))*100)+100</f>
        <v/>
      </c>
      <c r="I320" s="23">
        <f>(((Table134567891011121314151617343[[#This Row],[FRA]]-VLOOKUP($U$1,A:C,3,))/VLOOKUP($U$1,A:C,3,))*100)+100</f>
        <v/>
      </c>
      <c r="J320" s="23">
        <f>(((Table134567891011121314151617343[[#This Row],[DEU]]-VLOOKUP($U$1,A:D,4,))/VLOOKUP($U$1,A:D,4,))*100)+100</f>
        <v/>
      </c>
      <c r="K320" s="23">
        <f>(((Table134567891011121314151617343[[#This Row],[ESP]]-VLOOKUP($U$1,A:E,5,))/VLOOKUP($U$1,A:E,5,))*100)+100</f>
        <v/>
      </c>
      <c r="L320" s="23">
        <f>(((Table134567891011121314151617343[[#This Row],[EA19]]-VLOOKUP($U$1,A:F,6,))/VLOOKUP($U$1,A:F,6,))*100)+100</f>
        <v/>
      </c>
      <c r="M320" s="23">
        <f>(((Table134567891011121314151617343[[#This Row],[GBR]]-VLOOKUP($U$1,A:G,7,))/VLOOKUP($U$1,A:G,7,))*100)+100</f>
        <v/>
      </c>
      <c r="N320" s="23">
        <f>VLOOKUP(A320,Database!$E:$AY,MATCH($N$1,Database!$E$1:$AY$1,0),FALSE)</f>
        <v/>
      </c>
      <c r="O320" s="23">
        <f>(((Table134567891011121314151617343[[#This Row],[USA]]-VLOOKUP($U$1,A:N,14,))/VLOOKUP($U$1,A:N,14,))*100)+100</f>
        <v/>
      </c>
      <c r="P320" s="23">
        <f>VLOOKUP(A320,Database!$E:$AY,MATCH($P$1,Database!$E$1:$AY$1,0),FALSE)</f>
        <v/>
      </c>
      <c r="Q320" s="23">
        <f>(((Table134567891011121314151617343[[#This Row],[JPN]]-VLOOKUP($U$1,A:Q,16,))/VLOOKUP($U$1,A:Q,16,))*100)+100</f>
        <v/>
      </c>
    </row>
    <row r="321" customFormat="1" s="100">
      <c r="A321" s="22" t="n">
        <v>42583</v>
      </c>
      <c r="B321" s="23">
        <f>VLOOKUP(A321,Database!$E:$AY,MATCH($B$1,Database!$E$1:$AY$1,0),FALSE)</f>
        <v/>
      </c>
      <c r="C321" s="23">
        <f>VLOOKUP(A321,Database!$E:$AY,MATCH($C$1,Database!$E$1:$AY$1,0),FALSE)</f>
        <v/>
      </c>
      <c r="D321" s="23">
        <f>VLOOKUP(A321,Database!$E:$AY,MATCH($D$1,Database!$E$1:$AY$1,0),FALSE)</f>
        <v/>
      </c>
      <c r="E321" s="23">
        <f>VLOOKUP(A321,Database!$E:$AY,MATCH($E$1,Database!$E$1:$AY$1,0),FALSE)</f>
        <v/>
      </c>
      <c r="F321" s="23">
        <f>VLOOKUP(A321,Database!$E:$AY,MATCH($F$1,Database!$E$1:$AY$1,0),FALSE)</f>
        <v/>
      </c>
      <c r="G321" s="23">
        <f>VLOOKUP(A321,Database!$E:$AY,MATCH($G$1,Database!$E$1:$AY$1,0),FALSE)</f>
        <v/>
      </c>
      <c r="H321" s="23">
        <f>(((Table134567891011121314151617343[[#This Row],[ITA]]-VLOOKUP($U$1,A:B,2,))/VLOOKUP($U$1,A:B,2,))*100)+100</f>
        <v/>
      </c>
      <c r="I321" s="23">
        <f>(((Table134567891011121314151617343[[#This Row],[FRA]]-VLOOKUP($U$1,A:C,3,))/VLOOKUP($U$1,A:C,3,))*100)+100</f>
        <v/>
      </c>
      <c r="J321" s="23">
        <f>(((Table134567891011121314151617343[[#This Row],[DEU]]-VLOOKUP($U$1,A:D,4,))/VLOOKUP($U$1,A:D,4,))*100)+100</f>
        <v/>
      </c>
      <c r="K321" s="23">
        <f>(((Table134567891011121314151617343[[#This Row],[ESP]]-VLOOKUP($U$1,A:E,5,))/VLOOKUP($U$1,A:E,5,))*100)+100</f>
        <v/>
      </c>
      <c r="L321" s="23">
        <f>(((Table134567891011121314151617343[[#This Row],[EA19]]-VLOOKUP($U$1,A:F,6,))/VLOOKUP($U$1,A:F,6,))*100)+100</f>
        <v/>
      </c>
      <c r="M321" s="23">
        <f>(((Table134567891011121314151617343[[#This Row],[GBR]]-VLOOKUP($U$1,A:G,7,))/VLOOKUP($U$1,A:G,7,))*100)+100</f>
        <v/>
      </c>
      <c r="N321" s="23">
        <f>VLOOKUP(A321,Database!$E:$AY,MATCH($N$1,Database!$E$1:$AY$1,0),FALSE)</f>
        <v/>
      </c>
      <c r="O321" s="23">
        <f>(((Table134567891011121314151617343[[#This Row],[USA]]-VLOOKUP($U$1,A:N,14,))/VLOOKUP($U$1,A:N,14,))*100)+100</f>
        <v/>
      </c>
      <c r="P321" s="23">
        <f>VLOOKUP(A321,Database!$E:$AY,MATCH($P$1,Database!$E$1:$AY$1,0),FALSE)</f>
        <v/>
      </c>
      <c r="Q321" s="23">
        <f>(((Table134567891011121314151617343[[#This Row],[JPN]]-VLOOKUP($U$1,A:Q,16,))/VLOOKUP($U$1,A:Q,16,))*100)+100</f>
        <v/>
      </c>
    </row>
    <row r="322" customFormat="1" s="100">
      <c r="A322" s="22" t="n">
        <v>42614</v>
      </c>
      <c r="B322" s="23">
        <f>VLOOKUP(A322,Database!$E:$AY,MATCH($B$1,Database!$E$1:$AY$1,0),FALSE)</f>
        <v/>
      </c>
      <c r="C322" s="23">
        <f>VLOOKUP(A322,Database!$E:$AY,MATCH($C$1,Database!$E$1:$AY$1,0),FALSE)</f>
        <v/>
      </c>
      <c r="D322" s="23">
        <f>VLOOKUP(A322,Database!$E:$AY,MATCH($D$1,Database!$E$1:$AY$1,0),FALSE)</f>
        <v/>
      </c>
      <c r="E322" s="23">
        <f>VLOOKUP(A322,Database!$E:$AY,MATCH($E$1,Database!$E$1:$AY$1,0),FALSE)</f>
        <v/>
      </c>
      <c r="F322" s="23">
        <f>VLOOKUP(A322,Database!$E:$AY,MATCH($F$1,Database!$E$1:$AY$1,0),FALSE)</f>
        <v/>
      </c>
      <c r="G322" s="23">
        <f>VLOOKUP(A322,Database!$E:$AY,MATCH($G$1,Database!$E$1:$AY$1,0),FALSE)</f>
        <v/>
      </c>
      <c r="H322" s="23">
        <f>(((Table134567891011121314151617343[[#This Row],[ITA]]-VLOOKUP($U$1,A:B,2,))/VLOOKUP($U$1,A:B,2,))*100)+100</f>
        <v/>
      </c>
      <c r="I322" s="23">
        <f>(((Table134567891011121314151617343[[#This Row],[FRA]]-VLOOKUP($U$1,A:C,3,))/VLOOKUP($U$1,A:C,3,))*100)+100</f>
        <v/>
      </c>
      <c r="J322" s="23">
        <f>(((Table134567891011121314151617343[[#This Row],[DEU]]-VLOOKUP($U$1,A:D,4,))/VLOOKUP($U$1,A:D,4,))*100)+100</f>
        <v/>
      </c>
      <c r="K322" s="23">
        <f>(((Table134567891011121314151617343[[#This Row],[ESP]]-VLOOKUP($U$1,A:E,5,))/VLOOKUP($U$1,A:E,5,))*100)+100</f>
        <v/>
      </c>
      <c r="L322" s="23">
        <f>(((Table134567891011121314151617343[[#This Row],[EA19]]-VLOOKUP($U$1,A:F,6,))/VLOOKUP($U$1,A:F,6,))*100)+100</f>
        <v/>
      </c>
      <c r="M322" s="23">
        <f>(((Table134567891011121314151617343[[#This Row],[GBR]]-VLOOKUP($U$1,A:G,7,))/VLOOKUP($U$1,A:G,7,))*100)+100</f>
        <v/>
      </c>
      <c r="N322" s="23">
        <f>VLOOKUP(A322,Database!$E:$AY,MATCH($N$1,Database!$E$1:$AY$1,0),FALSE)</f>
        <v/>
      </c>
      <c r="O322" s="23">
        <f>(((Table134567891011121314151617343[[#This Row],[USA]]-VLOOKUP($U$1,A:N,14,))/VLOOKUP($U$1,A:N,14,))*100)+100</f>
        <v/>
      </c>
      <c r="P322" s="23">
        <f>VLOOKUP(A322,Database!$E:$AY,MATCH($P$1,Database!$E$1:$AY$1,0),FALSE)</f>
        <v/>
      </c>
      <c r="Q322" s="23">
        <f>(((Table134567891011121314151617343[[#This Row],[JPN]]-VLOOKUP($U$1,A:Q,16,))/VLOOKUP($U$1,A:Q,16,))*100)+100</f>
        <v/>
      </c>
    </row>
    <row r="323" customFormat="1" s="100">
      <c r="A323" s="22" t="n">
        <v>42644</v>
      </c>
      <c r="B323" s="23">
        <f>VLOOKUP(A323,Database!$E:$AY,MATCH($B$1,Database!$E$1:$AY$1,0),FALSE)</f>
        <v/>
      </c>
      <c r="C323" s="23">
        <f>VLOOKUP(A323,Database!$E:$AY,MATCH($C$1,Database!$E$1:$AY$1,0),FALSE)</f>
        <v/>
      </c>
      <c r="D323" s="23">
        <f>VLOOKUP(A323,Database!$E:$AY,MATCH($D$1,Database!$E$1:$AY$1,0),FALSE)</f>
        <v/>
      </c>
      <c r="E323" s="23">
        <f>VLOOKUP(A323,Database!$E:$AY,MATCH($E$1,Database!$E$1:$AY$1,0),FALSE)</f>
        <v/>
      </c>
      <c r="F323" s="23">
        <f>VLOOKUP(A323,Database!$E:$AY,MATCH($F$1,Database!$E$1:$AY$1,0),FALSE)</f>
        <v/>
      </c>
      <c r="G323" s="23">
        <f>VLOOKUP(A323,Database!$E:$AY,MATCH($G$1,Database!$E$1:$AY$1,0),FALSE)</f>
        <v/>
      </c>
      <c r="H323" s="23">
        <f>(((Table134567891011121314151617343[[#This Row],[ITA]]-VLOOKUP($U$1,A:B,2,))/VLOOKUP($U$1,A:B,2,))*100)+100</f>
        <v/>
      </c>
      <c r="I323" s="23">
        <f>(((Table134567891011121314151617343[[#This Row],[FRA]]-VLOOKUP($U$1,A:C,3,))/VLOOKUP($U$1,A:C,3,))*100)+100</f>
        <v/>
      </c>
      <c r="J323" s="23">
        <f>(((Table134567891011121314151617343[[#This Row],[DEU]]-VLOOKUP($U$1,A:D,4,))/VLOOKUP($U$1,A:D,4,))*100)+100</f>
        <v/>
      </c>
      <c r="K323" s="23">
        <f>(((Table134567891011121314151617343[[#This Row],[ESP]]-VLOOKUP($U$1,A:E,5,))/VLOOKUP($U$1,A:E,5,))*100)+100</f>
        <v/>
      </c>
      <c r="L323" s="23">
        <f>(((Table134567891011121314151617343[[#This Row],[EA19]]-VLOOKUP($U$1,A:F,6,))/VLOOKUP($U$1,A:F,6,))*100)+100</f>
        <v/>
      </c>
      <c r="M323" s="23">
        <f>(((Table134567891011121314151617343[[#This Row],[GBR]]-VLOOKUP($U$1,A:G,7,))/VLOOKUP($U$1,A:G,7,))*100)+100</f>
        <v/>
      </c>
      <c r="N323" s="23">
        <f>VLOOKUP(A323,Database!$E:$AY,MATCH($N$1,Database!$E$1:$AY$1,0),FALSE)</f>
        <v/>
      </c>
      <c r="O323" s="23">
        <f>(((Table134567891011121314151617343[[#This Row],[USA]]-VLOOKUP($U$1,A:N,14,))/VLOOKUP($U$1,A:N,14,))*100)+100</f>
        <v/>
      </c>
      <c r="P323" s="23">
        <f>VLOOKUP(A323,Database!$E:$AY,MATCH($P$1,Database!$E$1:$AY$1,0),FALSE)</f>
        <v/>
      </c>
      <c r="Q323" s="23">
        <f>(((Table134567891011121314151617343[[#This Row],[JPN]]-VLOOKUP($U$1,A:Q,16,))/VLOOKUP($U$1,A:Q,16,))*100)+100</f>
        <v/>
      </c>
    </row>
    <row r="324" customFormat="1" s="100">
      <c r="A324" s="22" t="n">
        <v>42675</v>
      </c>
      <c r="B324" s="23">
        <f>VLOOKUP(A324,Database!$E:$AY,MATCH($B$1,Database!$E$1:$AY$1,0),FALSE)</f>
        <v/>
      </c>
      <c r="C324" s="23">
        <f>VLOOKUP(A324,Database!$E:$AY,MATCH($C$1,Database!$E$1:$AY$1,0),FALSE)</f>
        <v/>
      </c>
      <c r="D324" s="23">
        <f>VLOOKUP(A324,Database!$E:$AY,MATCH($D$1,Database!$E$1:$AY$1,0),FALSE)</f>
        <v/>
      </c>
      <c r="E324" s="23">
        <f>VLOOKUP(A324,Database!$E:$AY,MATCH($E$1,Database!$E$1:$AY$1,0),FALSE)</f>
        <v/>
      </c>
      <c r="F324" s="23">
        <f>VLOOKUP(A324,Database!$E:$AY,MATCH($F$1,Database!$E$1:$AY$1,0),FALSE)</f>
        <v/>
      </c>
      <c r="G324" s="23">
        <f>VLOOKUP(A324,Database!$E:$AY,MATCH($G$1,Database!$E$1:$AY$1,0),FALSE)</f>
        <v/>
      </c>
      <c r="H324" s="23">
        <f>(((Table134567891011121314151617343[[#This Row],[ITA]]-VLOOKUP($U$1,A:B,2,))/VLOOKUP($U$1,A:B,2,))*100)+100</f>
        <v/>
      </c>
      <c r="I324" s="23">
        <f>(((Table134567891011121314151617343[[#This Row],[FRA]]-VLOOKUP($U$1,A:C,3,))/VLOOKUP($U$1,A:C,3,))*100)+100</f>
        <v/>
      </c>
      <c r="J324" s="23">
        <f>(((Table134567891011121314151617343[[#This Row],[DEU]]-VLOOKUP($U$1,A:D,4,))/VLOOKUP($U$1,A:D,4,))*100)+100</f>
        <v/>
      </c>
      <c r="K324" s="23">
        <f>(((Table134567891011121314151617343[[#This Row],[ESP]]-VLOOKUP($U$1,A:E,5,))/VLOOKUP($U$1,A:E,5,))*100)+100</f>
        <v/>
      </c>
      <c r="L324" s="23">
        <f>(((Table134567891011121314151617343[[#This Row],[EA19]]-VLOOKUP($U$1,A:F,6,))/VLOOKUP($U$1,A:F,6,))*100)+100</f>
        <v/>
      </c>
      <c r="M324" s="23">
        <f>(((Table134567891011121314151617343[[#This Row],[GBR]]-VLOOKUP($U$1,A:G,7,))/VLOOKUP($U$1,A:G,7,))*100)+100</f>
        <v/>
      </c>
      <c r="N324" s="23">
        <f>VLOOKUP(A324,Database!$E:$AY,MATCH($N$1,Database!$E$1:$AY$1,0),FALSE)</f>
        <v/>
      </c>
      <c r="O324" s="23">
        <f>(((Table134567891011121314151617343[[#This Row],[USA]]-VLOOKUP($U$1,A:N,14,))/VLOOKUP($U$1,A:N,14,))*100)+100</f>
        <v/>
      </c>
      <c r="P324" s="23">
        <f>VLOOKUP(A324,Database!$E:$AY,MATCH($P$1,Database!$E$1:$AY$1,0),FALSE)</f>
        <v/>
      </c>
      <c r="Q324" s="23">
        <f>(((Table134567891011121314151617343[[#This Row],[JPN]]-VLOOKUP($U$1,A:Q,16,))/VLOOKUP($U$1,A:Q,16,))*100)+100</f>
        <v/>
      </c>
    </row>
    <row r="325" customFormat="1" s="100">
      <c r="A325" s="22" t="n">
        <v>42705</v>
      </c>
      <c r="B325" s="23">
        <f>VLOOKUP(A325,Database!$E:$AY,MATCH($B$1,Database!$E$1:$AY$1,0),FALSE)</f>
        <v/>
      </c>
      <c r="C325" s="23">
        <f>VLOOKUP(A325,Database!$E:$AY,MATCH($C$1,Database!$E$1:$AY$1,0),FALSE)</f>
        <v/>
      </c>
      <c r="D325" s="23">
        <f>VLOOKUP(A325,Database!$E:$AY,MATCH($D$1,Database!$E$1:$AY$1,0),FALSE)</f>
        <v/>
      </c>
      <c r="E325" s="23">
        <f>VLOOKUP(A325,Database!$E:$AY,MATCH($E$1,Database!$E$1:$AY$1,0),FALSE)</f>
        <v/>
      </c>
      <c r="F325" s="23">
        <f>VLOOKUP(A325,Database!$E:$AY,MATCH($F$1,Database!$E$1:$AY$1,0),FALSE)</f>
        <v/>
      </c>
      <c r="G325" s="23">
        <f>VLOOKUP(A325,Database!$E:$AY,MATCH($G$1,Database!$E$1:$AY$1,0),FALSE)</f>
        <v/>
      </c>
      <c r="H325" s="23">
        <f>(((Table134567891011121314151617343[[#This Row],[ITA]]-VLOOKUP($U$1,A:B,2,))/VLOOKUP($U$1,A:B,2,))*100)+100</f>
        <v/>
      </c>
      <c r="I325" s="23">
        <f>(((Table134567891011121314151617343[[#This Row],[FRA]]-VLOOKUP($U$1,A:C,3,))/VLOOKUP($U$1,A:C,3,))*100)+100</f>
        <v/>
      </c>
      <c r="J325" s="23">
        <f>(((Table134567891011121314151617343[[#This Row],[DEU]]-VLOOKUP($U$1,A:D,4,))/VLOOKUP($U$1,A:D,4,))*100)+100</f>
        <v/>
      </c>
      <c r="K325" s="23">
        <f>(((Table134567891011121314151617343[[#This Row],[ESP]]-VLOOKUP($U$1,A:E,5,))/VLOOKUP($U$1,A:E,5,))*100)+100</f>
        <v/>
      </c>
      <c r="L325" s="23">
        <f>(((Table134567891011121314151617343[[#This Row],[EA19]]-VLOOKUP($U$1,A:F,6,))/VLOOKUP($U$1,A:F,6,))*100)+100</f>
        <v/>
      </c>
      <c r="M325" s="23">
        <f>(((Table134567891011121314151617343[[#This Row],[GBR]]-VLOOKUP($U$1,A:G,7,))/VLOOKUP($U$1,A:G,7,))*100)+100</f>
        <v/>
      </c>
      <c r="N325" s="23">
        <f>VLOOKUP(A325,Database!$E:$AY,MATCH($N$1,Database!$E$1:$AY$1,0),FALSE)</f>
        <v/>
      </c>
      <c r="O325" s="23">
        <f>(((Table134567891011121314151617343[[#This Row],[USA]]-VLOOKUP($U$1,A:N,14,))/VLOOKUP($U$1,A:N,14,))*100)+100</f>
        <v/>
      </c>
      <c r="P325" s="23">
        <f>VLOOKUP(A325,Database!$E:$AY,MATCH($P$1,Database!$E$1:$AY$1,0),FALSE)</f>
        <v/>
      </c>
      <c r="Q325" s="23">
        <f>(((Table134567891011121314151617343[[#This Row],[JPN]]-VLOOKUP($U$1,A:Q,16,))/VLOOKUP($U$1,A:Q,16,))*100)+100</f>
        <v/>
      </c>
    </row>
    <row r="326" customFormat="1" s="100">
      <c r="A326" s="22" t="n">
        <v>42736</v>
      </c>
      <c r="B326" s="23">
        <f>VLOOKUP(A326,Database!$E:$AY,MATCH($B$1,Database!$E$1:$AY$1,0),FALSE)</f>
        <v/>
      </c>
      <c r="C326" s="23">
        <f>VLOOKUP(A326,Database!$E:$AY,MATCH($C$1,Database!$E$1:$AY$1,0),FALSE)</f>
        <v/>
      </c>
      <c r="D326" s="23">
        <f>VLOOKUP(A326,Database!$E:$AY,MATCH($D$1,Database!$E$1:$AY$1,0),FALSE)</f>
        <v/>
      </c>
      <c r="E326" s="23">
        <f>VLOOKUP(A326,Database!$E:$AY,MATCH($E$1,Database!$E$1:$AY$1,0),FALSE)</f>
        <v/>
      </c>
      <c r="F326" s="23">
        <f>VLOOKUP(A326,Database!$E:$AY,MATCH($F$1,Database!$E$1:$AY$1,0),FALSE)</f>
        <v/>
      </c>
      <c r="G326" s="23">
        <f>VLOOKUP(A326,Database!$E:$AY,MATCH($G$1,Database!$E$1:$AY$1,0),FALSE)</f>
        <v/>
      </c>
      <c r="H326" s="23">
        <f>(((Table134567891011121314151617343[[#This Row],[ITA]]-VLOOKUP($U$1,A:B,2,))/VLOOKUP($U$1,A:B,2,))*100)+100</f>
        <v/>
      </c>
      <c r="I326" s="23">
        <f>(((Table134567891011121314151617343[[#This Row],[FRA]]-VLOOKUP($U$1,A:C,3,))/VLOOKUP($U$1,A:C,3,))*100)+100</f>
        <v/>
      </c>
      <c r="J326" s="23">
        <f>(((Table134567891011121314151617343[[#This Row],[DEU]]-VLOOKUP($U$1,A:D,4,))/VLOOKUP($U$1,A:D,4,))*100)+100</f>
        <v/>
      </c>
      <c r="K326" s="23">
        <f>(((Table134567891011121314151617343[[#This Row],[ESP]]-VLOOKUP($U$1,A:E,5,))/VLOOKUP($U$1,A:E,5,))*100)+100</f>
        <v/>
      </c>
      <c r="L326" s="23">
        <f>(((Table134567891011121314151617343[[#This Row],[EA19]]-VLOOKUP($U$1,A:F,6,))/VLOOKUP($U$1,A:F,6,))*100)+100</f>
        <v/>
      </c>
      <c r="M326" s="23">
        <f>(((Table134567891011121314151617343[[#This Row],[GBR]]-VLOOKUP($U$1,A:G,7,))/VLOOKUP($U$1,A:G,7,))*100)+100</f>
        <v/>
      </c>
      <c r="N326" s="23">
        <f>VLOOKUP(A326,Database!$E:$AY,MATCH($N$1,Database!$E$1:$AY$1,0),FALSE)</f>
        <v/>
      </c>
      <c r="O326" s="23">
        <f>(((Table134567891011121314151617343[[#This Row],[USA]]-VLOOKUP($U$1,A:N,14,))/VLOOKUP($U$1,A:N,14,))*100)+100</f>
        <v/>
      </c>
      <c r="P326" s="23">
        <f>VLOOKUP(A326,Database!$E:$AY,MATCH($P$1,Database!$E$1:$AY$1,0),FALSE)</f>
        <v/>
      </c>
      <c r="Q326" s="23">
        <f>(((Table134567891011121314151617343[[#This Row],[JPN]]-VLOOKUP($U$1,A:Q,16,))/VLOOKUP($U$1,A:Q,16,))*100)+100</f>
        <v/>
      </c>
    </row>
    <row r="327" customFormat="1" s="100">
      <c r="A327" s="22" t="n">
        <v>42767</v>
      </c>
      <c r="B327" s="23">
        <f>VLOOKUP(A327,Database!$E:$AY,MATCH($B$1,Database!$E$1:$AY$1,0),FALSE)</f>
        <v/>
      </c>
      <c r="C327" s="23">
        <f>VLOOKUP(A327,Database!$E:$AY,MATCH($C$1,Database!$E$1:$AY$1,0),FALSE)</f>
        <v/>
      </c>
      <c r="D327" s="23">
        <f>VLOOKUP(A327,Database!$E:$AY,MATCH($D$1,Database!$E$1:$AY$1,0),FALSE)</f>
        <v/>
      </c>
      <c r="E327" s="23">
        <f>VLOOKUP(A327,Database!$E:$AY,MATCH($E$1,Database!$E$1:$AY$1,0),FALSE)</f>
        <v/>
      </c>
      <c r="F327" s="23">
        <f>VLOOKUP(A327,Database!$E:$AY,MATCH($F$1,Database!$E$1:$AY$1,0),FALSE)</f>
        <v/>
      </c>
      <c r="G327" s="23">
        <f>VLOOKUP(A327,Database!$E:$AY,MATCH($G$1,Database!$E$1:$AY$1,0),FALSE)</f>
        <v/>
      </c>
      <c r="H327" s="23">
        <f>(((Table134567891011121314151617343[[#This Row],[ITA]]-VLOOKUP($U$1,A:B,2,))/VLOOKUP($U$1,A:B,2,))*100)+100</f>
        <v/>
      </c>
      <c r="I327" s="23">
        <f>(((Table134567891011121314151617343[[#This Row],[FRA]]-VLOOKUP($U$1,A:C,3,))/VLOOKUP($U$1,A:C,3,))*100)+100</f>
        <v/>
      </c>
      <c r="J327" s="23">
        <f>(((Table134567891011121314151617343[[#This Row],[DEU]]-VLOOKUP($U$1,A:D,4,))/VLOOKUP($U$1,A:D,4,))*100)+100</f>
        <v/>
      </c>
      <c r="K327" s="23">
        <f>(((Table134567891011121314151617343[[#This Row],[ESP]]-VLOOKUP($U$1,A:E,5,))/VLOOKUP($U$1,A:E,5,))*100)+100</f>
        <v/>
      </c>
      <c r="L327" s="23">
        <f>(((Table134567891011121314151617343[[#This Row],[EA19]]-VLOOKUP($U$1,A:F,6,))/VLOOKUP($U$1,A:F,6,))*100)+100</f>
        <v/>
      </c>
      <c r="M327" s="23">
        <f>(((Table134567891011121314151617343[[#This Row],[GBR]]-VLOOKUP($U$1,A:G,7,))/VLOOKUP($U$1,A:G,7,))*100)+100</f>
        <v/>
      </c>
      <c r="N327" s="23">
        <f>VLOOKUP(A327,Database!$E:$AY,MATCH($N$1,Database!$E$1:$AY$1,0),FALSE)</f>
        <v/>
      </c>
      <c r="O327" s="23">
        <f>(((Table134567891011121314151617343[[#This Row],[USA]]-VLOOKUP($U$1,A:N,14,))/VLOOKUP($U$1,A:N,14,))*100)+100</f>
        <v/>
      </c>
      <c r="P327" s="23">
        <f>VLOOKUP(A327,Database!$E:$AY,MATCH($P$1,Database!$E$1:$AY$1,0),FALSE)</f>
        <v/>
      </c>
      <c r="Q327" s="23">
        <f>(((Table134567891011121314151617343[[#This Row],[JPN]]-VLOOKUP($U$1,A:Q,16,))/VLOOKUP($U$1,A:Q,16,))*100)+100</f>
        <v/>
      </c>
    </row>
    <row r="328" customFormat="1" s="100">
      <c r="A328" s="22" t="n">
        <v>42795</v>
      </c>
      <c r="B328" s="23">
        <f>VLOOKUP(A328,Database!$E:$AY,MATCH($B$1,Database!$E$1:$AY$1,0),FALSE)</f>
        <v/>
      </c>
      <c r="C328" s="23">
        <f>VLOOKUP(A328,Database!$E:$AY,MATCH($C$1,Database!$E$1:$AY$1,0),FALSE)</f>
        <v/>
      </c>
      <c r="D328" s="23">
        <f>VLOOKUP(A328,Database!$E:$AY,MATCH($D$1,Database!$E$1:$AY$1,0),FALSE)</f>
        <v/>
      </c>
      <c r="E328" s="23">
        <f>VLOOKUP(A328,Database!$E:$AY,MATCH($E$1,Database!$E$1:$AY$1,0),FALSE)</f>
        <v/>
      </c>
      <c r="F328" s="23">
        <f>VLOOKUP(A328,Database!$E:$AY,MATCH($F$1,Database!$E$1:$AY$1,0),FALSE)</f>
        <v/>
      </c>
      <c r="G328" s="23">
        <f>VLOOKUP(A328,Database!$E:$AY,MATCH($G$1,Database!$E$1:$AY$1,0),FALSE)</f>
        <v/>
      </c>
      <c r="H328" s="23">
        <f>(((Table134567891011121314151617343[[#This Row],[ITA]]-VLOOKUP($U$1,A:B,2,))/VLOOKUP($U$1,A:B,2,))*100)+100</f>
        <v/>
      </c>
      <c r="I328" s="23">
        <f>(((Table134567891011121314151617343[[#This Row],[FRA]]-VLOOKUP($U$1,A:C,3,))/VLOOKUP($U$1,A:C,3,))*100)+100</f>
        <v/>
      </c>
      <c r="J328" s="23">
        <f>(((Table134567891011121314151617343[[#This Row],[DEU]]-VLOOKUP($U$1,A:D,4,))/VLOOKUP($U$1,A:D,4,))*100)+100</f>
        <v/>
      </c>
      <c r="K328" s="23">
        <f>(((Table134567891011121314151617343[[#This Row],[ESP]]-VLOOKUP($U$1,A:E,5,))/VLOOKUP($U$1,A:E,5,))*100)+100</f>
        <v/>
      </c>
      <c r="L328" s="23">
        <f>(((Table134567891011121314151617343[[#This Row],[EA19]]-VLOOKUP($U$1,A:F,6,))/VLOOKUP($U$1,A:F,6,))*100)+100</f>
        <v/>
      </c>
      <c r="M328" s="23">
        <f>(((Table134567891011121314151617343[[#This Row],[GBR]]-VLOOKUP($U$1,A:G,7,))/VLOOKUP($U$1,A:G,7,))*100)+100</f>
        <v/>
      </c>
      <c r="N328" s="23">
        <f>VLOOKUP(A328,Database!$E:$AY,MATCH($N$1,Database!$E$1:$AY$1,0),FALSE)</f>
        <v/>
      </c>
      <c r="O328" s="23">
        <f>(((Table134567891011121314151617343[[#This Row],[USA]]-VLOOKUP($U$1,A:N,14,))/VLOOKUP($U$1,A:N,14,))*100)+100</f>
        <v/>
      </c>
      <c r="P328" s="23">
        <f>VLOOKUP(A328,Database!$E:$AY,MATCH($P$1,Database!$E$1:$AY$1,0),FALSE)</f>
        <v/>
      </c>
      <c r="Q328" s="23">
        <f>(((Table134567891011121314151617343[[#This Row],[JPN]]-VLOOKUP($U$1,A:Q,16,))/VLOOKUP($U$1,A:Q,16,))*100)+100</f>
        <v/>
      </c>
    </row>
    <row r="329" customFormat="1" s="100">
      <c r="A329" s="22" t="n">
        <v>42826</v>
      </c>
      <c r="B329" s="23">
        <f>VLOOKUP(A329,Database!$E:$AY,MATCH($B$1,Database!$E$1:$AY$1,0),FALSE)</f>
        <v/>
      </c>
      <c r="C329" s="23">
        <f>VLOOKUP(A329,Database!$E:$AY,MATCH($C$1,Database!$E$1:$AY$1,0),FALSE)</f>
        <v/>
      </c>
      <c r="D329" s="23">
        <f>VLOOKUP(A329,Database!$E:$AY,MATCH($D$1,Database!$E$1:$AY$1,0),FALSE)</f>
        <v/>
      </c>
      <c r="E329" s="23">
        <f>VLOOKUP(A329,Database!$E:$AY,MATCH($E$1,Database!$E$1:$AY$1,0),FALSE)</f>
        <v/>
      </c>
      <c r="F329" s="23">
        <f>VLOOKUP(A329,Database!$E:$AY,MATCH($F$1,Database!$E$1:$AY$1,0),FALSE)</f>
        <v/>
      </c>
      <c r="G329" s="23">
        <f>VLOOKUP(A329,Database!$E:$AY,MATCH($G$1,Database!$E$1:$AY$1,0),FALSE)</f>
        <v/>
      </c>
      <c r="H329" s="23">
        <f>(((Table134567891011121314151617343[[#This Row],[ITA]]-VLOOKUP($U$1,A:B,2,))/VLOOKUP($U$1,A:B,2,))*100)+100</f>
        <v/>
      </c>
      <c r="I329" s="23">
        <f>(((Table134567891011121314151617343[[#This Row],[FRA]]-VLOOKUP($U$1,A:C,3,))/VLOOKUP($U$1,A:C,3,))*100)+100</f>
        <v/>
      </c>
      <c r="J329" s="23">
        <f>(((Table134567891011121314151617343[[#This Row],[DEU]]-VLOOKUP($U$1,A:D,4,))/VLOOKUP($U$1,A:D,4,))*100)+100</f>
        <v/>
      </c>
      <c r="K329" s="23">
        <f>(((Table134567891011121314151617343[[#This Row],[ESP]]-VLOOKUP($U$1,A:E,5,))/VLOOKUP($U$1,A:E,5,))*100)+100</f>
        <v/>
      </c>
      <c r="L329" s="23">
        <f>(((Table134567891011121314151617343[[#This Row],[EA19]]-VLOOKUP($U$1,A:F,6,))/VLOOKUP($U$1,A:F,6,))*100)+100</f>
        <v/>
      </c>
      <c r="M329" s="23">
        <f>(((Table134567891011121314151617343[[#This Row],[GBR]]-VLOOKUP($U$1,A:G,7,))/VLOOKUP($U$1,A:G,7,))*100)+100</f>
        <v/>
      </c>
      <c r="N329" s="23">
        <f>VLOOKUP(A329,Database!$E:$AY,MATCH($N$1,Database!$E$1:$AY$1,0),FALSE)</f>
        <v/>
      </c>
      <c r="O329" s="23">
        <f>(((Table134567891011121314151617343[[#This Row],[USA]]-VLOOKUP($U$1,A:N,14,))/VLOOKUP($U$1,A:N,14,))*100)+100</f>
        <v/>
      </c>
      <c r="P329" s="23">
        <f>VLOOKUP(A329,Database!$E:$AY,MATCH($P$1,Database!$E$1:$AY$1,0),FALSE)</f>
        <v/>
      </c>
      <c r="Q329" s="23">
        <f>(((Table134567891011121314151617343[[#This Row],[JPN]]-VLOOKUP($U$1,A:Q,16,))/VLOOKUP($U$1,A:Q,16,))*100)+100</f>
        <v/>
      </c>
    </row>
    <row r="330" customFormat="1" s="100">
      <c r="A330" s="22" t="n">
        <v>42856</v>
      </c>
      <c r="B330" s="23">
        <f>VLOOKUP(A330,Database!$E:$AY,MATCH($B$1,Database!$E$1:$AY$1,0),FALSE)</f>
        <v/>
      </c>
      <c r="C330" s="23">
        <f>VLOOKUP(A330,Database!$E:$AY,MATCH($C$1,Database!$E$1:$AY$1,0),FALSE)</f>
        <v/>
      </c>
      <c r="D330" s="23">
        <f>VLOOKUP(A330,Database!$E:$AY,MATCH($D$1,Database!$E$1:$AY$1,0),FALSE)</f>
        <v/>
      </c>
      <c r="E330" s="23">
        <f>VLOOKUP(A330,Database!$E:$AY,MATCH($E$1,Database!$E$1:$AY$1,0),FALSE)</f>
        <v/>
      </c>
      <c r="F330" s="23">
        <f>VLOOKUP(A330,Database!$E:$AY,MATCH($F$1,Database!$E$1:$AY$1,0),FALSE)</f>
        <v/>
      </c>
      <c r="G330" s="23">
        <f>VLOOKUP(A330,Database!$E:$AY,MATCH($G$1,Database!$E$1:$AY$1,0),FALSE)</f>
        <v/>
      </c>
      <c r="H330" s="23">
        <f>(((Table134567891011121314151617343[[#This Row],[ITA]]-VLOOKUP($U$1,A:B,2,))/VLOOKUP($U$1,A:B,2,))*100)+100</f>
        <v/>
      </c>
      <c r="I330" s="23">
        <f>(((Table134567891011121314151617343[[#This Row],[FRA]]-VLOOKUP($U$1,A:C,3,))/VLOOKUP($U$1,A:C,3,))*100)+100</f>
        <v/>
      </c>
      <c r="J330" s="23">
        <f>(((Table134567891011121314151617343[[#This Row],[DEU]]-VLOOKUP($U$1,A:D,4,))/VLOOKUP($U$1,A:D,4,))*100)+100</f>
        <v/>
      </c>
      <c r="K330" s="23">
        <f>(((Table134567891011121314151617343[[#This Row],[ESP]]-VLOOKUP($U$1,A:E,5,))/VLOOKUP($U$1,A:E,5,))*100)+100</f>
        <v/>
      </c>
      <c r="L330" s="23">
        <f>(((Table134567891011121314151617343[[#This Row],[EA19]]-VLOOKUP($U$1,A:F,6,))/VLOOKUP($U$1,A:F,6,))*100)+100</f>
        <v/>
      </c>
      <c r="M330" s="23">
        <f>(((Table134567891011121314151617343[[#This Row],[GBR]]-VLOOKUP($U$1,A:G,7,))/VLOOKUP($U$1,A:G,7,))*100)+100</f>
        <v/>
      </c>
      <c r="N330" s="23">
        <f>VLOOKUP(A330,Database!$E:$AY,MATCH($N$1,Database!$E$1:$AY$1,0),FALSE)</f>
        <v/>
      </c>
      <c r="O330" s="23">
        <f>(((Table134567891011121314151617343[[#This Row],[USA]]-VLOOKUP($U$1,A:N,14,))/VLOOKUP($U$1,A:N,14,))*100)+100</f>
        <v/>
      </c>
      <c r="P330" s="23">
        <f>VLOOKUP(A330,Database!$E:$AY,MATCH($P$1,Database!$E$1:$AY$1,0),FALSE)</f>
        <v/>
      </c>
      <c r="Q330" s="23">
        <f>(((Table134567891011121314151617343[[#This Row],[JPN]]-VLOOKUP($U$1,A:Q,16,))/VLOOKUP($U$1,A:Q,16,))*100)+100</f>
        <v/>
      </c>
    </row>
    <row r="331" customFormat="1" s="100">
      <c r="A331" s="22" t="n">
        <v>42887</v>
      </c>
      <c r="B331" s="23">
        <f>VLOOKUP(A331,Database!$E:$AY,MATCH($B$1,Database!$E$1:$AY$1,0),FALSE)</f>
        <v/>
      </c>
      <c r="C331" s="23">
        <f>VLOOKUP(A331,Database!$E:$AY,MATCH($C$1,Database!$E$1:$AY$1,0),FALSE)</f>
        <v/>
      </c>
      <c r="D331" s="23">
        <f>VLOOKUP(A331,Database!$E:$AY,MATCH($D$1,Database!$E$1:$AY$1,0),FALSE)</f>
        <v/>
      </c>
      <c r="E331" s="23">
        <f>VLOOKUP(A331,Database!$E:$AY,MATCH($E$1,Database!$E$1:$AY$1,0),FALSE)</f>
        <v/>
      </c>
      <c r="F331" s="23">
        <f>VLOOKUP(A331,Database!$E:$AY,MATCH($F$1,Database!$E$1:$AY$1,0),FALSE)</f>
        <v/>
      </c>
      <c r="G331" s="23">
        <f>VLOOKUP(A331,Database!$E:$AY,MATCH($G$1,Database!$E$1:$AY$1,0),FALSE)</f>
        <v/>
      </c>
      <c r="H331" s="23">
        <f>(((Table134567891011121314151617343[[#This Row],[ITA]]-VLOOKUP($U$1,A:B,2,))/VLOOKUP($U$1,A:B,2,))*100)+100</f>
        <v/>
      </c>
      <c r="I331" s="23">
        <f>(((Table134567891011121314151617343[[#This Row],[FRA]]-VLOOKUP($U$1,A:C,3,))/VLOOKUP($U$1,A:C,3,))*100)+100</f>
        <v/>
      </c>
      <c r="J331" s="23">
        <f>(((Table134567891011121314151617343[[#This Row],[DEU]]-VLOOKUP($U$1,A:D,4,))/VLOOKUP($U$1,A:D,4,))*100)+100</f>
        <v/>
      </c>
      <c r="K331" s="23">
        <f>(((Table134567891011121314151617343[[#This Row],[ESP]]-VLOOKUP($U$1,A:E,5,))/VLOOKUP($U$1,A:E,5,))*100)+100</f>
        <v/>
      </c>
      <c r="L331" s="23">
        <f>(((Table134567891011121314151617343[[#This Row],[EA19]]-VLOOKUP($U$1,A:F,6,))/VLOOKUP($U$1,A:F,6,))*100)+100</f>
        <v/>
      </c>
      <c r="M331" s="23">
        <f>(((Table134567891011121314151617343[[#This Row],[GBR]]-VLOOKUP($U$1,A:G,7,))/VLOOKUP($U$1,A:G,7,))*100)+100</f>
        <v/>
      </c>
      <c r="N331" s="23">
        <f>VLOOKUP(A331,Database!$E:$AY,MATCH($N$1,Database!$E$1:$AY$1,0),FALSE)</f>
        <v/>
      </c>
      <c r="O331" s="23">
        <f>(((Table134567891011121314151617343[[#This Row],[USA]]-VLOOKUP($U$1,A:N,14,))/VLOOKUP($U$1,A:N,14,))*100)+100</f>
        <v/>
      </c>
      <c r="P331" s="23">
        <f>VLOOKUP(A331,Database!$E:$AY,MATCH($P$1,Database!$E$1:$AY$1,0),FALSE)</f>
        <v/>
      </c>
      <c r="Q331" s="23">
        <f>(((Table134567891011121314151617343[[#This Row],[JPN]]-VLOOKUP($U$1,A:Q,16,))/VLOOKUP($U$1,A:Q,16,))*100)+100</f>
        <v/>
      </c>
    </row>
    <row r="332" customFormat="1" s="100">
      <c r="A332" s="22" t="n">
        <v>42917</v>
      </c>
      <c r="B332" s="23">
        <f>VLOOKUP(A332,Database!$E:$AY,MATCH($B$1,Database!$E$1:$AY$1,0),FALSE)</f>
        <v/>
      </c>
      <c r="C332" s="23">
        <f>VLOOKUP(A332,Database!$E:$AY,MATCH($C$1,Database!$E$1:$AY$1,0),FALSE)</f>
        <v/>
      </c>
      <c r="D332" s="23">
        <f>VLOOKUP(A332,Database!$E:$AY,MATCH($D$1,Database!$E$1:$AY$1,0),FALSE)</f>
        <v/>
      </c>
      <c r="E332" s="23">
        <f>VLOOKUP(A332,Database!$E:$AY,MATCH($E$1,Database!$E$1:$AY$1,0),FALSE)</f>
        <v/>
      </c>
      <c r="F332" s="23">
        <f>VLOOKUP(A332,Database!$E:$AY,MATCH($F$1,Database!$E$1:$AY$1,0),FALSE)</f>
        <v/>
      </c>
      <c r="G332" s="23">
        <f>VLOOKUP(A332,Database!$E:$AY,MATCH($G$1,Database!$E$1:$AY$1,0),FALSE)</f>
        <v/>
      </c>
      <c r="H332" s="23">
        <f>(((Table134567891011121314151617343[[#This Row],[ITA]]-VLOOKUP($U$1,A:B,2,))/VLOOKUP($U$1,A:B,2,))*100)+100</f>
        <v/>
      </c>
      <c r="I332" s="23">
        <f>(((Table134567891011121314151617343[[#This Row],[FRA]]-VLOOKUP($U$1,A:C,3,))/VLOOKUP($U$1,A:C,3,))*100)+100</f>
        <v/>
      </c>
      <c r="J332" s="23">
        <f>(((Table134567891011121314151617343[[#This Row],[DEU]]-VLOOKUP($U$1,A:D,4,))/VLOOKUP($U$1,A:D,4,))*100)+100</f>
        <v/>
      </c>
      <c r="K332" s="23">
        <f>(((Table134567891011121314151617343[[#This Row],[ESP]]-VLOOKUP($U$1,A:E,5,))/VLOOKUP($U$1,A:E,5,))*100)+100</f>
        <v/>
      </c>
      <c r="L332" s="23">
        <f>(((Table134567891011121314151617343[[#This Row],[EA19]]-VLOOKUP($U$1,A:F,6,))/VLOOKUP($U$1,A:F,6,))*100)+100</f>
        <v/>
      </c>
      <c r="M332" s="23">
        <f>(((Table134567891011121314151617343[[#This Row],[GBR]]-VLOOKUP($U$1,A:G,7,))/VLOOKUP($U$1,A:G,7,))*100)+100</f>
        <v/>
      </c>
      <c r="N332" s="23">
        <f>VLOOKUP(A332,Database!$E:$AY,MATCH($N$1,Database!$E$1:$AY$1,0),FALSE)</f>
        <v/>
      </c>
      <c r="O332" s="23">
        <f>(((Table134567891011121314151617343[[#This Row],[USA]]-VLOOKUP($U$1,A:N,14,))/VLOOKUP($U$1,A:N,14,))*100)+100</f>
        <v/>
      </c>
      <c r="P332" s="23">
        <f>VLOOKUP(A332,Database!$E:$AY,MATCH($P$1,Database!$E$1:$AY$1,0),FALSE)</f>
        <v/>
      </c>
      <c r="Q332" s="23">
        <f>(((Table134567891011121314151617343[[#This Row],[JPN]]-VLOOKUP($U$1,A:Q,16,))/VLOOKUP($U$1,A:Q,16,))*100)+100</f>
        <v/>
      </c>
    </row>
    <row r="333" customFormat="1" s="100">
      <c r="A333" s="22" t="n">
        <v>42948</v>
      </c>
      <c r="B333" s="23">
        <f>VLOOKUP(A333,Database!$E:$AY,MATCH($B$1,Database!$E$1:$AY$1,0),FALSE)</f>
        <v/>
      </c>
      <c r="C333" s="23">
        <f>VLOOKUP(A333,Database!$E:$AY,MATCH($C$1,Database!$E$1:$AY$1,0),FALSE)</f>
        <v/>
      </c>
      <c r="D333" s="23">
        <f>VLOOKUP(A333,Database!$E:$AY,MATCH($D$1,Database!$E$1:$AY$1,0),FALSE)</f>
        <v/>
      </c>
      <c r="E333" s="23">
        <f>VLOOKUP(A333,Database!$E:$AY,MATCH($E$1,Database!$E$1:$AY$1,0),FALSE)</f>
        <v/>
      </c>
      <c r="F333" s="23">
        <f>VLOOKUP(A333,Database!$E:$AY,MATCH($F$1,Database!$E$1:$AY$1,0),FALSE)</f>
        <v/>
      </c>
      <c r="G333" s="23">
        <f>VLOOKUP(A333,Database!$E:$AY,MATCH($G$1,Database!$E$1:$AY$1,0),FALSE)</f>
        <v/>
      </c>
      <c r="H333" s="23">
        <f>(((Table134567891011121314151617343[[#This Row],[ITA]]-VLOOKUP($U$1,A:B,2,))/VLOOKUP($U$1,A:B,2,))*100)+100</f>
        <v/>
      </c>
      <c r="I333" s="23">
        <f>(((Table134567891011121314151617343[[#This Row],[FRA]]-VLOOKUP($U$1,A:C,3,))/VLOOKUP($U$1,A:C,3,))*100)+100</f>
        <v/>
      </c>
      <c r="J333" s="23">
        <f>(((Table134567891011121314151617343[[#This Row],[DEU]]-VLOOKUP($U$1,A:D,4,))/VLOOKUP($U$1,A:D,4,))*100)+100</f>
        <v/>
      </c>
      <c r="K333" s="23">
        <f>(((Table134567891011121314151617343[[#This Row],[ESP]]-VLOOKUP($U$1,A:E,5,))/VLOOKUP($U$1,A:E,5,))*100)+100</f>
        <v/>
      </c>
      <c r="L333" s="23">
        <f>(((Table134567891011121314151617343[[#This Row],[EA19]]-VLOOKUP($U$1,A:F,6,))/VLOOKUP($U$1,A:F,6,))*100)+100</f>
        <v/>
      </c>
      <c r="M333" s="23">
        <f>(((Table134567891011121314151617343[[#This Row],[GBR]]-VLOOKUP($U$1,A:G,7,))/VLOOKUP($U$1,A:G,7,))*100)+100</f>
        <v/>
      </c>
      <c r="N333" s="23">
        <f>VLOOKUP(A333,Database!$E:$AY,MATCH($N$1,Database!$E$1:$AY$1,0),FALSE)</f>
        <v/>
      </c>
      <c r="O333" s="23">
        <f>(((Table134567891011121314151617343[[#This Row],[USA]]-VLOOKUP($U$1,A:N,14,))/VLOOKUP($U$1,A:N,14,))*100)+100</f>
        <v/>
      </c>
      <c r="P333" s="23">
        <f>VLOOKUP(A333,Database!$E:$AY,MATCH($P$1,Database!$E$1:$AY$1,0),FALSE)</f>
        <v/>
      </c>
      <c r="Q333" s="23">
        <f>(((Table134567891011121314151617343[[#This Row],[JPN]]-VLOOKUP($U$1,A:Q,16,))/VLOOKUP($U$1,A:Q,16,))*100)+100</f>
        <v/>
      </c>
    </row>
    <row r="334" customFormat="1" s="100">
      <c r="A334" s="22" t="n">
        <v>42979</v>
      </c>
      <c r="B334" s="23">
        <f>VLOOKUP(A334,Database!$E:$AY,MATCH($B$1,Database!$E$1:$AY$1,0),FALSE)</f>
        <v/>
      </c>
      <c r="C334" s="23">
        <f>VLOOKUP(A334,Database!$E:$AY,MATCH($C$1,Database!$E$1:$AY$1,0),FALSE)</f>
        <v/>
      </c>
      <c r="D334" s="23">
        <f>VLOOKUP(A334,Database!$E:$AY,MATCH($D$1,Database!$E$1:$AY$1,0),FALSE)</f>
        <v/>
      </c>
      <c r="E334" s="23">
        <f>VLOOKUP(A334,Database!$E:$AY,MATCH($E$1,Database!$E$1:$AY$1,0),FALSE)</f>
        <v/>
      </c>
      <c r="F334" s="23">
        <f>VLOOKUP(A334,Database!$E:$AY,MATCH($F$1,Database!$E$1:$AY$1,0),FALSE)</f>
        <v/>
      </c>
      <c r="G334" s="23">
        <f>VLOOKUP(A334,Database!$E:$AY,MATCH($G$1,Database!$E$1:$AY$1,0),FALSE)</f>
        <v/>
      </c>
      <c r="H334" s="23">
        <f>(((Table134567891011121314151617343[[#This Row],[ITA]]-VLOOKUP($U$1,A:B,2,))/VLOOKUP($U$1,A:B,2,))*100)+100</f>
        <v/>
      </c>
      <c r="I334" s="23">
        <f>(((Table134567891011121314151617343[[#This Row],[FRA]]-VLOOKUP($U$1,A:C,3,))/VLOOKUP($U$1,A:C,3,))*100)+100</f>
        <v/>
      </c>
      <c r="J334" s="23">
        <f>(((Table134567891011121314151617343[[#This Row],[DEU]]-VLOOKUP($U$1,A:D,4,))/VLOOKUP($U$1,A:D,4,))*100)+100</f>
        <v/>
      </c>
      <c r="K334" s="23">
        <f>(((Table134567891011121314151617343[[#This Row],[ESP]]-VLOOKUP($U$1,A:E,5,))/VLOOKUP($U$1,A:E,5,))*100)+100</f>
        <v/>
      </c>
      <c r="L334" s="23">
        <f>(((Table134567891011121314151617343[[#This Row],[EA19]]-VLOOKUP($U$1,A:F,6,))/VLOOKUP($U$1,A:F,6,))*100)+100</f>
        <v/>
      </c>
      <c r="M334" s="23">
        <f>(((Table134567891011121314151617343[[#This Row],[GBR]]-VLOOKUP($U$1,A:G,7,))/VLOOKUP($U$1,A:G,7,))*100)+100</f>
        <v/>
      </c>
      <c r="N334" s="23">
        <f>VLOOKUP(A334,Database!$E:$AY,MATCH($N$1,Database!$E$1:$AY$1,0),FALSE)</f>
        <v/>
      </c>
      <c r="O334" s="23">
        <f>(((Table134567891011121314151617343[[#This Row],[USA]]-VLOOKUP($U$1,A:N,14,))/VLOOKUP($U$1,A:N,14,))*100)+100</f>
        <v/>
      </c>
      <c r="P334" s="23">
        <f>VLOOKUP(A334,Database!$E:$AY,MATCH($P$1,Database!$E$1:$AY$1,0),FALSE)</f>
        <v/>
      </c>
      <c r="Q334" s="23">
        <f>(((Table134567891011121314151617343[[#This Row],[JPN]]-VLOOKUP($U$1,A:Q,16,))/VLOOKUP($U$1,A:Q,16,))*100)+100</f>
        <v/>
      </c>
    </row>
    <row r="335" customFormat="1" s="100">
      <c r="A335" s="22" t="n">
        <v>43009</v>
      </c>
      <c r="B335" s="23">
        <f>VLOOKUP(A335,Database!$E:$AY,MATCH($B$1,Database!$E$1:$AY$1,0),FALSE)</f>
        <v/>
      </c>
      <c r="C335" s="23">
        <f>VLOOKUP(A335,Database!$E:$AY,MATCH($C$1,Database!$E$1:$AY$1,0),FALSE)</f>
        <v/>
      </c>
      <c r="D335" s="23">
        <f>VLOOKUP(A335,Database!$E:$AY,MATCH($D$1,Database!$E$1:$AY$1,0),FALSE)</f>
        <v/>
      </c>
      <c r="E335" s="23">
        <f>VLOOKUP(A335,Database!$E:$AY,MATCH($E$1,Database!$E$1:$AY$1,0),FALSE)</f>
        <v/>
      </c>
      <c r="F335" s="23">
        <f>VLOOKUP(A335,Database!$E:$AY,MATCH($F$1,Database!$E$1:$AY$1,0),FALSE)</f>
        <v/>
      </c>
      <c r="G335" s="23">
        <f>VLOOKUP(A335,Database!$E:$AY,MATCH($G$1,Database!$E$1:$AY$1,0),FALSE)</f>
        <v/>
      </c>
      <c r="H335" s="23">
        <f>(((Table134567891011121314151617343[[#This Row],[ITA]]-VLOOKUP($U$1,A:B,2,))/VLOOKUP($U$1,A:B,2,))*100)+100</f>
        <v/>
      </c>
      <c r="I335" s="23">
        <f>(((Table134567891011121314151617343[[#This Row],[FRA]]-VLOOKUP($U$1,A:C,3,))/VLOOKUP($U$1,A:C,3,))*100)+100</f>
        <v/>
      </c>
      <c r="J335" s="23">
        <f>(((Table134567891011121314151617343[[#This Row],[DEU]]-VLOOKUP($U$1,A:D,4,))/VLOOKUP($U$1,A:D,4,))*100)+100</f>
        <v/>
      </c>
      <c r="K335" s="23">
        <f>(((Table134567891011121314151617343[[#This Row],[ESP]]-VLOOKUP($U$1,A:E,5,))/VLOOKUP($U$1,A:E,5,))*100)+100</f>
        <v/>
      </c>
      <c r="L335" s="23">
        <f>(((Table134567891011121314151617343[[#This Row],[EA19]]-VLOOKUP($U$1,A:F,6,))/VLOOKUP($U$1,A:F,6,))*100)+100</f>
        <v/>
      </c>
      <c r="M335" s="23">
        <f>(((Table134567891011121314151617343[[#This Row],[GBR]]-VLOOKUP($U$1,A:G,7,))/VLOOKUP($U$1,A:G,7,))*100)+100</f>
        <v/>
      </c>
      <c r="N335" s="23">
        <f>VLOOKUP(A335,Database!$E:$AY,MATCH($N$1,Database!$E$1:$AY$1,0),FALSE)</f>
        <v/>
      </c>
      <c r="O335" s="23">
        <f>(((Table134567891011121314151617343[[#This Row],[USA]]-VLOOKUP($U$1,A:N,14,))/VLOOKUP($U$1,A:N,14,))*100)+100</f>
        <v/>
      </c>
      <c r="P335" s="23">
        <f>VLOOKUP(A335,Database!$E:$AY,MATCH($P$1,Database!$E$1:$AY$1,0),FALSE)</f>
        <v/>
      </c>
      <c r="Q335" s="23">
        <f>(((Table134567891011121314151617343[[#This Row],[JPN]]-VLOOKUP($U$1,A:Q,16,))/VLOOKUP($U$1,A:Q,16,))*100)+100</f>
        <v/>
      </c>
    </row>
    <row r="336" customFormat="1" s="100">
      <c r="A336" s="22" t="n">
        <v>43040</v>
      </c>
      <c r="B336" s="23">
        <f>VLOOKUP(A336,Database!$E:$AY,MATCH($B$1,Database!$E$1:$AY$1,0),FALSE)</f>
        <v/>
      </c>
      <c r="C336" s="23">
        <f>VLOOKUP(A336,Database!$E:$AY,MATCH($C$1,Database!$E$1:$AY$1,0),FALSE)</f>
        <v/>
      </c>
      <c r="D336" s="23">
        <f>VLOOKUP(A336,Database!$E:$AY,MATCH($D$1,Database!$E$1:$AY$1,0),FALSE)</f>
        <v/>
      </c>
      <c r="E336" s="23">
        <f>VLOOKUP(A336,Database!$E:$AY,MATCH($E$1,Database!$E$1:$AY$1,0),FALSE)</f>
        <v/>
      </c>
      <c r="F336" s="23">
        <f>VLOOKUP(A336,Database!$E:$AY,MATCH($F$1,Database!$E$1:$AY$1,0),FALSE)</f>
        <v/>
      </c>
      <c r="G336" s="23">
        <f>VLOOKUP(A336,Database!$E:$AY,MATCH($G$1,Database!$E$1:$AY$1,0),FALSE)</f>
        <v/>
      </c>
      <c r="H336" s="23">
        <f>(((Table134567891011121314151617343[[#This Row],[ITA]]-VLOOKUP($U$1,A:B,2,))/VLOOKUP($U$1,A:B,2,))*100)+100</f>
        <v/>
      </c>
      <c r="I336" s="23">
        <f>(((Table134567891011121314151617343[[#This Row],[FRA]]-VLOOKUP($U$1,A:C,3,))/VLOOKUP($U$1,A:C,3,))*100)+100</f>
        <v/>
      </c>
      <c r="J336" s="23">
        <f>(((Table134567891011121314151617343[[#This Row],[DEU]]-VLOOKUP($U$1,A:D,4,))/VLOOKUP($U$1,A:D,4,))*100)+100</f>
        <v/>
      </c>
      <c r="K336" s="23">
        <f>(((Table134567891011121314151617343[[#This Row],[ESP]]-VLOOKUP($U$1,A:E,5,))/VLOOKUP($U$1,A:E,5,))*100)+100</f>
        <v/>
      </c>
      <c r="L336" s="23">
        <f>(((Table134567891011121314151617343[[#This Row],[EA19]]-VLOOKUP($U$1,A:F,6,))/VLOOKUP($U$1,A:F,6,))*100)+100</f>
        <v/>
      </c>
      <c r="M336" s="23">
        <f>(((Table134567891011121314151617343[[#This Row],[GBR]]-VLOOKUP($U$1,A:G,7,))/VLOOKUP($U$1,A:G,7,))*100)+100</f>
        <v/>
      </c>
      <c r="N336" s="23">
        <f>VLOOKUP(A336,Database!$E:$AY,MATCH($N$1,Database!$E$1:$AY$1,0),FALSE)</f>
        <v/>
      </c>
      <c r="O336" s="23">
        <f>(((Table134567891011121314151617343[[#This Row],[USA]]-VLOOKUP($U$1,A:N,14,))/VLOOKUP($U$1,A:N,14,))*100)+100</f>
        <v/>
      </c>
      <c r="P336" s="23">
        <f>VLOOKUP(A336,Database!$E:$AY,MATCH($P$1,Database!$E$1:$AY$1,0),FALSE)</f>
        <v/>
      </c>
      <c r="Q336" s="23">
        <f>(((Table134567891011121314151617343[[#This Row],[JPN]]-VLOOKUP($U$1,A:Q,16,))/VLOOKUP($U$1,A:Q,16,))*100)+100</f>
        <v/>
      </c>
    </row>
    <row r="337" customFormat="1" s="100">
      <c r="A337" s="22" t="n">
        <v>43070</v>
      </c>
      <c r="B337" s="23">
        <f>VLOOKUP(A337,Database!$E:$AY,MATCH($B$1,Database!$E$1:$AY$1,0),FALSE)</f>
        <v/>
      </c>
      <c r="C337" s="23">
        <f>VLOOKUP(A337,Database!$E:$AY,MATCH($C$1,Database!$E$1:$AY$1,0),FALSE)</f>
        <v/>
      </c>
      <c r="D337" s="23">
        <f>VLOOKUP(A337,Database!$E:$AY,MATCH($D$1,Database!$E$1:$AY$1,0),FALSE)</f>
        <v/>
      </c>
      <c r="E337" s="23">
        <f>VLOOKUP(A337,Database!$E:$AY,MATCH($E$1,Database!$E$1:$AY$1,0),FALSE)</f>
        <v/>
      </c>
      <c r="F337" s="23">
        <f>VLOOKUP(A337,Database!$E:$AY,MATCH($F$1,Database!$E$1:$AY$1,0),FALSE)</f>
        <v/>
      </c>
      <c r="G337" s="23">
        <f>VLOOKUP(A337,Database!$E:$AY,MATCH($G$1,Database!$E$1:$AY$1,0),FALSE)</f>
        <v/>
      </c>
      <c r="H337" s="23">
        <f>(((Table134567891011121314151617343[[#This Row],[ITA]]-VLOOKUP($U$1,A:B,2,))/VLOOKUP($U$1,A:B,2,))*100)+100</f>
        <v/>
      </c>
      <c r="I337" s="23">
        <f>(((Table134567891011121314151617343[[#This Row],[FRA]]-VLOOKUP($U$1,A:C,3,))/VLOOKUP($U$1,A:C,3,))*100)+100</f>
        <v/>
      </c>
      <c r="J337" s="23">
        <f>(((Table134567891011121314151617343[[#This Row],[DEU]]-VLOOKUP($U$1,A:D,4,))/VLOOKUP($U$1,A:D,4,))*100)+100</f>
        <v/>
      </c>
      <c r="K337" s="23">
        <f>(((Table134567891011121314151617343[[#This Row],[ESP]]-VLOOKUP($U$1,A:E,5,))/VLOOKUP($U$1,A:E,5,))*100)+100</f>
        <v/>
      </c>
      <c r="L337" s="23">
        <f>(((Table134567891011121314151617343[[#This Row],[EA19]]-VLOOKUP($U$1,A:F,6,))/VLOOKUP($U$1,A:F,6,))*100)+100</f>
        <v/>
      </c>
      <c r="M337" s="23">
        <f>(((Table134567891011121314151617343[[#This Row],[GBR]]-VLOOKUP($U$1,A:G,7,))/VLOOKUP($U$1,A:G,7,))*100)+100</f>
        <v/>
      </c>
      <c r="N337" s="23">
        <f>VLOOKUP(A337,Database!$E:$AY,MATCH($N$1,Database!$E$1:$AY$1,0),FALSE)</f>
        <v/>
      </c>
      <c r="O337" s="23">
        <f>(((Table134567891011121314151617343[[#This Row],[USA]]-VLOOKUP($U$1,A:N,14,))/VLOOKUP($U$1,A:N,14,))*100)+100</f>
        <v/>
      </c>
      <c r="P337" s="23">
        <f>VLOOKUP(A337,Database!$E:$AY,MATCH($P$1,Database!$E$1:$AY$1,0),FALSE)</f>
        <v/>
      </c>
      <c r="Q337" s="23">
        <f>(((Table134567891011121314151617343[[#This Row],[JPN]]-VLOOKUP($U$1,A:Q,16,))/VLOOKUP($U$1,A:Q,16,))*100)+100</f>
        <v/>
      </c>
    </row>
    <row r="338" customFormat="1" s="100">
      <c r="A338" s="22" t="n">
        <v>43101</v>
      </c>
      <c r="B338" s="23">
        <f>VLOOKUP(A338,Database!$E:$AY,MATCH($B$1,Database!$E$1:$AY$1,0),FALSE)</f>
        <v/>
      </c>
      <c r="C338" s="23">
        <f>VLOOKUP(A338,Database!$E:$AY,MATCH($C$1,Database!$E$1:$AY$1,0),FALSE)</f>
        <v/>
      </c>
      <c r="D338" s="23">
        <f>VLOOKUP(A338,Database!$E:$AY,MATCH($D$1,Database!$E$1:$AY$1,0),FALSE)</f>
        <v/>
      </c>
      <c r="E338" s="23">
        <f>VLOOKUP(A338,Database!$E:$AY,MATCH($E$1,Database!$E$1:$AY$1,0),FALSE)</f>
        <v/>
      </c>
      <c r="F338" s="23">
        <f>VLOOKUP(A338,Database!$E:$AY,MATCH($F$1,Database!$E$1:$AY$1,0),FALSE)</f>
        <v/>
      </c>
      <c r="G338" s="23">
        <f>VLOOKUP(A338,Database!$E:$AY,MATCH($G$1,Database!$E$1:$AY$1,0),FALSE)</f>
        <v/>
      </c>
      <c r="H338" s="23">
        <f>(((Table134567891011121314151617343[[#This Row],[ITA]]-VLOOKUP($U$1,A:B,2,))/VLOOKUP($U$1,A:B,2,))*100)+100</f>
        <v/>
      </c>
      <c r="I338" s="23">
        <f>(((Table134567891011121314151617343[[#This Row],[FRA]]-VLOOKUP($U$1,A:C,3,))/VLOOKUP($U$1,A:C,3,))*100)+100</f>
        <v/>
      </c>
      <c r="J338" s="23">
        <f>(((Table134567891011121314151617343[[#This Row],[DEU]]-VLOOKUP($U$1,A:D,4,))/VLOOKUP($U$1,A:D,4,))*100)+100</f>
        <v/>
      </c>
      <c r="K338" s="23">
        <f>(((Table134567891011121314151617343[[#This Row],[ESP]]-VLOOKUP($U$1,A:E,5,))/VLOOKUP($U$1,A:E,5,))*100)+100</f>
        <v/>
      </c>
      <c r="L338" s="23">
        <f>(((Table134567891011121314151617343[[#This Row],[EA19]]-VLOOKUP($U$1,A:F,6,))/VLOOKUP($U$1,A:F,6,))*100)+100</f>
        <v/>
      </c>
      <c r="M338" s="23">
        <f>(((Table134567891011121314151617343[[#This Row],[GBR]]-VLOOKUP($U$1,A:G,7,))/VLOOKUP($U$1,A:G,7,))*100)+100</f>
        <v/>
      </c>
      <c r="N338" s="23">
        <f>VLOOKUP(A338,Database!$E:$AY,MATCH($N$1,Database!$E$1:$AY$1,0),FALSE)</f>
        <v/>
      </c>
      <c r="O338" s="23">
        <f>(((Table134567891011121314151617343[[#This Row],[USA]]-VLOOKUP($U$1,A:N,14,))/VLOOKUP($U$1,A:N,14,))*100)+100</f>
        <v/>
      </c>
      <c r="P338" s="23">
        <f>VLOOKUP(A338,Database!$E:$AY,MATCH($P$1,Database!$E$1:$AY$1,0),FALSE)</f>
        <v/>
      </c>
      <c r="Q338" s="23">
        <f>(((Table134567891011121314151617343[[#This Row],[JPN]]-VLOOKUP($U$1,A:Q,16,))/VLOOKUP($U$1,A:Q,16,))*100)+100</f>
        <v/>
      </c>
    </row>
    <row r="339" customFormat="1" s="100">
      <c r="A339" s="22" t="n">
        <v>43132</v>
      </c>
      <c r="B339" s="23">
        <f>VLOOKUP(A339,Database!$E:$AY,MATCH($B$1,Database!$E$1:$AY$1,0),FALSE)</f>
        <v/>
      </c>
      <c r="C339" s="23">
        <f>VLOOKUP(A339,Database!$E:$AY,MATCH($C$1,Database!$E$1:$AY$1,0),FALSE)</f>
        <v/>
      </c>
      <c r="D339" s="23">
        <f>VLOOKUP(A339,Database!$E:$AY,MATCH($D$1,Database!$E$1:$AY$1,0),FALSE)</f>
        <v/>
      </c>
      <c r="E339" s="23">
        <f>VLOOKUP(A339,Database!$E:$AY,MATCH($E$1,Database!$E$1:$AY$1,0),FALSE)</f>
        <v/>
      </c>
      <c r="F339" s="23">
        <f>VLOOKUP(A339,Database!$E:$AY,MATCH($F$1,Database!$E$1:$AY$1,0),FALSE)</f>
        <v/>
      </c>
      <c r="G339" s="23">
        <f>VLOOKUP(A339,Database!$E:$AY,MATCH($G$1,Database!$E$1:$AY$1,0),FALSE)</f>
        <v/>
      </c>
      <c r="H339" s="23">
        <f>(((Table134567891011121314151617343[[#This Row],[ITA]]-VLOOKUP($U$1,A:B,2,))/VLOOKUP($U$1,A:B,2,))*100)+100</f>
        <v/>
      </c>
      <c r="I339" s="23">
        <f>(((Table134567891011121314151617343[[#This Row],[FRA]]-VLOOKUP($U$1,A:C,3,))/VLOOKUP($U$1,A:C,3,))*100)+100</f>
        <v/>
      </c>
      <c r="J339" s="23">
        <f>(((Table134567891011121314151617343[[#This Row],[DEU]]-VLOOKUP($U$1,A:D,4,))/VLOOKUP($U$1,A:D,4,))*100)+100</f>
        <v/>
      </c>
      <c r="K339" s="23">
        <f>(((Table134567891011121314151617343[[#This Row],[ESP]]-VLOOKUP($U$1,A:E,5,))/VLOOKUP($U$1,A:E,5,))*100)+100</f>
        <v/>
      </c>
      <c r="L339" s="23">
        <f>(((Table134567891011121314151617343[[#This Row],[EA19]]-VLOOKUP($U$1,A:F,6,))/VLOOKUP($U$1,A:F,6,))*100)+100</f>
        <v/>
      </c>
      <c r="M339" s="23">
        <f>(((Table134567891011121314151617343[[#This Row],[GBR]]-VLOOKUP($U$1,A:G,7,))/VLOOKUP($U$1,A:G,7,))*100)+100</f>
        <v/>
      </c>
      <c r="N339" s="23">
        <f>VLOOKUP(A339,Database!$E:$AY,MATCH($N$1,Database!$E$1:$AY$1,0),FALSE)</f>
        <v/>
      </c>
      <c r="O339" s="23">
        <f>(((Table134567891011121314151617343[[#This Row],[USA]]-VLOOKUP($U$1,A:N,14,))/VLOOKUP($U$1,A:N,14,))*100)+100</f>
        <v/>
      </c>
      <c r="P339" s="23">
        <f>VLOOKUP(A339,Database!$E:$AY,MATCH($P$1,Database!$E$1:$AY$1,0),FALSE)</f>
        <v/>
      </c>
      <c r="Q339" s="23">
        <f>(((Table134567891011121314151617343[[#This Row],[JPN]]-VLOOKUP($U$1,A:Q,16,))/VLOOKUP($U$1,A:Q,16,))*100)+100</f>
        <v/>
      </c>
    </row>
    <row r="340" customFormat="1" s="100">
      <c r="A340" s="22" t="n">
        <v>43160</v>
      </c>
      <c r="B340" s="23">
        <f>VLOOKUP(A340,Database!$E:$AY,MATCH($B$1,Database!$E$1:$AY$1,0),FALSE)</f>
        <v/>
      </c>
      <c r="C340" s="23">
        <f>VLOOKUP(A340,Database!$E:$AY,MATCH($C$1,Database!$E$1:$AY$1,0),FALSE)</f>
        <v/>
      </c>
      <c r="D340" s="23">
        <f>VLOOKUP(A340,Database!$E:$AY,MATCH($D$1,Database!$E$1:$AY$1,0),FALSE)</f>
        <v/>
      </c>
      <c r="E340" s="23">
        <f>VLOOKUP(A340,Database!$E:$AY,MATCH($E$1,Database!$E$1:$AY$1,0),FALSE)</f>
        <v/>
      </c>
      <c r="F340" s="23">
        <f>VLOOKUP(A340,Database!$E:$AY,MATCH($F$1,Database!$E$1:$AY$1,0),FALSE)</f>
        <v/>
      </c>
      <c r="G340" s="23">
        <f>VLOOKUP(A340,Database!$E:$AY,MATCH($G$1,Database!$E$1:$AY$1,0),FALSE)</f>
        <v/>
      </c>
      <c r="H340" s="23">
        <f>(((Table134567891011121314151617343[[#This Row],[ITA]]-VLOOKUP($U$1,A:B,2,))/VLOOKUP($U$1,A:B,2,))*100)+100</f>
        <v/>
      </c>
      <c r="I340" s="23">
        <f>(((Table134567891011121314151617343[[#This Row],[FRA]]-VLOOKUP($U$1,A:C,3,))/VLOOKUP($U$1,A:C,3,))*100)+100</f>
        <v/>
      </c>
      <c r="J340" s="23">
        <f>(((Table134567891011121314151617343[[#This Row],[DEU]]-VLOOKUP($U$1,A:D,4,))/VLOOKUP($U$1,A:D,4,))*100)+100</f>
        <v/>
      </c>
      <c r="K340" s="23">
        <f>(((Table134567891011121314151617343[[#This Row],[ESP]]-VLOOKUP($U$1,A:E,5,))/VLOOKUP($U$1,A:E,5,))*100)+100</f>
        <v/>
      </c>
      <c r="L340" s="23">
        <f>(((Table134567891011121314151617343[[#This Row],[EA19]]-VLOOKUP($U$1,A:F,6,))/VLOOKUP($U$1,A:F,6,))*100)+100</f>
        <v/>
      </c>
      <c r="M340" s="23">
        <f>(((Table134567891011121314151617343[[#This Row],[GBR]]-VLOOKUP($U$1,A:G,7,))/VLOOKUP($U$1,A:G,7,))*100)+100</f>
        <v/>
      </c>
      <c r="N340" s="23">
        <f>VLOOKUP(A340,Database!$E:$AY,MATCH($N$1,Database!$E$1:$AY$1,0),FALSE)</f>
        <v/>
      </c>
      <c r="O340" s="23">
        <f>(((Table134567891011121314151617343[[#This Row],[USA]]-VLOOKUP($U$1,A:N,14,))/VLOOKUP($U$1,A:N,14,))*100)+100</f>
        <v/>
      </c>
      <c r="P340" s="23">
        <f>VLOOKUP(A340,Database!$E:$AY,MATCH($P$1,Database!$E$1:$AY$1,0),FALSE)</f>
        <v/>
      </c>
      <c r="Q340" s="23">
        <f>(((Table134567891011121314151617343[[#This Row],[JPN]]-VLOOKUP($U$1,A:Q,16,))/VLOOKUP($U$1,A:Q,16,))*100)+100</f>
        <v/>
      </c>
    </row>
    <row r="341" customFormat="1" s="100">
      <c r="A341" s="22" t="n">
        <v>43191</v>
      </c>
      <c r="B341" s="23">
        <f>VLOOKUP(A341,Database!$E:$AY,MATCH($B$1,Database!$E$1:$AY$1,0),FALSE)</f>
        <v/>
      </c>
      <c r="C341" s="23">
        <f>VLOOKUP(A341,Database!$E:$AY,MATCH($C$1,Database!$E$1:$AY$1,0),FALSE)</f>
        <v/>
      </c>
      <c r="D341" s="23">
        <f>VLOOKUP(A341,Database!$E:$AY,MATCH($D$1,Database!$E$1:$AY$1,0),FALSE)</f>
        <v/>
      </c>
      <c r="E341" s="23">
        <f>VLOOKUP(A341,Database!$E:$AY,MATCH($E$1,Database!$E$1:$AY$1,0),FALSE)</f>
        <v/>
      </c>
      <c r="F341" s="23">
        <f>VLOOKUP(A341,Database!$E:$AY,MATCH($F$1,Database!$E$1:$AY$1,0),FALSE)</f>
        <v/>
      </c>
      <c r="G341" s="23">
        <f>VLOOKUP(A341,Database!$E:$AY,MATCH($G$1,Database!$E$1:$AY$1,0),FALSE)</f>
        <v/>
      </c>
      <c r="H341" s="23">
        <f>(((Table134567891011121314151617343[[#This Row],[ITA]]-VLOOKUP($U$1,A:B,2,))/VLOOKUP($U$1,A:B,2,))*100)+100</f>
        <v/>
      </c>
      <c r="I341" s="23">
        <f>(((Table134567891011121314151617343[[#This Row],[FRA]]-VLOOKUP($U$1,A:C,3,))/VLOOKUP($U$1,A:C,3,))*100)+100</f>
        <v/>
      </c>
      <c r="J341" s="23">
        <f>(((Table134567891011121314151617343[[#This Row],[DEU]]-VLOOKUP($U$1,A:D,4,))/VLOOKUP($U$1,A:D,4,))*100)+100</f>
        <v/>
      </c>
      <c r="K341" s="23">
        <f>(((Table134567891011121314151617343[[#This Row],[ESP]]-VLOOKUP($U$1,A:E,5,))/VLOOKUP($U$1,A:E,5,))*100)+100</f>
        <v/>
      </c>
      <c r="L341" s="23">
        <f>(((Table134567891011121314151617343[[#This Row],[EA19]]-VLOOKUP($U$1,A:F,6,))/VLOOKUP($U$1,A:F,6,))*100)+100</f>
        <v/>
      </c>
      <c r="M341" s="23">
        <f>(((Table134567891011121314151617343[[#This Row],[GBR]]-VLOOKUP($U$1,A:G,7,))/VLOOKUP($U$1,A:G,7,))*100)+100</f>
        <v/>
      </c>
      <c r="N341" s="23">
        <f>VLOOKUP(A341,Database!$E:$AY,MATCH($N$1,Database!$E$1:$AY$1,0),FALSE)</f>
        <v/>
      </c>
      <c r="O341" s="23">
        <f>(((Table134567891011121314151617343[[#This Row],[USA]]-VLOOKUP($U$1,A:N,14,))/VLOOKUP($U$1,A:N,14,))*100)+100</f>
        <v/>
      </c>
      <c r="P341" s="23">
        <f>VLOOKUP(A341,Database!$E:$AY,MATCH($P$1,Database!$E$1:$AY$1,0),FALSE)</f>
        <v/>
      </c>
      <c r="Q341" s="23">
        <f>(((Table134567891011121314151617343[[#This Row],[JPN]]-VLOOKUP($U$1,A:Q,16,))/VLOOKUP($U$1,A:Q,16,))*100)+100</f>
        <v/>
      </c>
    </row>
    <row r="342" customFormat="1" s="100">
      <c r="A342" s="22" t="n">
        <v>43221</v>
      </c>
      <c r="B342" s="23">
        <f>VLOOKUP(A342,Database!$E:$AY,MATCH($B$1,Database!$E$1:$AY$1,0),FALSE)</f>
        <v/>
      </c>
      <c r="C342" s="23">
        <f>VLOOKUP(A342,Database!$E:$AY,MATCH($C$1,Database!$E$1:$AY$1,0),FALSE)</f>
        <v/>
      </c>
      <c r="D342" s="23">
        <f>VLOOKUP(A342,Database!$E:$AY,MATCH($D$1,Database!$E$1:$AY$1,0),FALSE)</f>
        <v/>
      </c>
      <c r="E342" s="23">
        <f>VLOOKUP(A342,Database!$E:$AY,MATCH($E$1,Database!$E$1:$AY$1,0),FALSE)</f>
        <v/>
      </c>
      <c r="F342" s="23">
        <f>VLOOKUP(A342,Database!$E:$AY,MATCH($F$1,Database!$E$1:$AY$1,0),FALSE)</f>
        <v/>
      </c>
      <c r="G342" s="23">
        <f>VLOOKUP(A342,Database!$E:$AY,MATCH($G$1,Database!$E$1:$AY$1,0),FALSE)</f>
        <v/>
      </c>
      <c r="H342" s="23">
        <f>(((Table134567891011121314151617343[[#This Row],[ITA]]-VLOOKUP($U$1,A:B,2,))/VLOOKUP($U$1,A:B,2,))*100)+100</f>
        <v/>
      </c>
      <c r="I342" s="23">
        <f>(((Table134567891011121314151617343[[#This Row],[FRA]]-VLOOKUP($U$1,A:C,3,))/VLOOKUP($U$1,A:C,3,))*100)+100</f>
        <v/>
      </c>
      <c r="J342" s="23">
        <f>(((Table134567891011121314151617343[[#This Row],[DEU]]-VLOOKUP($U$1,A:D,4,))/VLOOKUP($U$1,A:D,4,))*100)+100</f>
        <v/>
      </c>
      <c r="K342" s="23">
        <f>(((Table134567891011121314151617343[[#This Row],[ESP]]-VLOOKUP($U$1,A:E,5,))/VLOOKUP($U$1,A:E,5,))*100)+100</f>
        <v/>
      </c>
      <c r="L342" s="23">
        <f>(((Table134567891011121314151617343[[#This Row],[EA19]]-VLOOKUP($U$1,A:F,6,))/VLOOKUP($U$1,A:F,6,))*100)+100</f>
        <v/>
      </c>
      <c r="M342" s="23">
        <f>(((Table134567891011121314151617343[[#This Row],[GBR]]-VLOOKUP($U$1,A:G,7,))/VLOOKUP($U$1,A:G,7,))*100)+100</f>
        <v/>
      </c>
      <c r="N342" s="23">
        <f>VLOOKUP(A342,Database!$E:$AY,MATCH($N$1,Database!$E$1:$AY$1,0),FALSE)</f>
        <v/>
      </c>
      <c r="O342" s="23">
        <f>(((Table134567891011121314151617343[[#This Row],[USA]]-VLOOKUP($U$1,A:N,14,))/VLOOKUP($U$1,A:N,14,))*100)+100</f>
        <v/>
      </c>
      <c r="P342" s="23">
        <f>VLOOKUP(A342,Database!$E:$AY,MATCH($P$1,Database!$E$1:$AY$1,0),FALSE)</f>
        <v/>
      </c>
      <c r="Q342" s="23">
        <f>(((Table134567891011121314151617343[[#This Row],[JPN]]-VLOOKUP($U$1,A:Q,16,))/VLOOKUP($U$1,A:Q,16,))*100)+100</f>
        <v/>
      </c>
    </row>
    <row r="343" customFormat="1" s="100">
      <c r="A343" s="22" t="n">
        <v>43252</v>
      </c>
      <c r="B343" s="23">
        <f>VLOOKUP(A343,Database!$E:$AY,MATCH($B$1,Database!$E$1:$AY$1,0),FALSE)</f>
        <v/>
      </c>
      <c r="C343" s="23">
        <f>VLOOKUP(A343,Database!$E:$AY,MATCH($C$1,Database!$E$1:$AY$1,0),FALSE)</f>
        <v/>
      </c>
      <c r="D343" s="23">
        <f>VLOOKUP(A343,Database!$E:$AY,MATCH($D$1,Database!$E$1:$AY$1,0),FALSE)</f>
        <v/>
      </c>
      <c r="E343" s="23">
        <f>VLOOKUP(A343,Database!$E:$AY,MATCH($E$1,Database!$E$1:$AY$1,0),FALSE)</f>
        <v/>
      </c>
      <c r="F343" s="23">
        <f>VLOOKUP(A343,Database!$E:$AY,MATCH($F$1,Database!$E$1:$AY$1,0),FALSE)</f>
        <v/>
      </c>
      <c r="G343" s="23">
        <f>VLOOKUP(A343,Database!$E:$AY,MATCH($G$1,Database!$E$1:$AY$1,0),FALSE)</f>
        <v/>
      </c>
      <c r="H343" s="23">
        <f>(((Table134567891011121314151617343[[#This Row],[ITA]]-VLOOKUP($U$1,A:B,2,))/VLOOKUP($U$1,A:B,2,))*100)+100</f>
        <v/>
      </c>
      <c r="I343" s="23">
        <f>(((Table134567891011121314151617343[[#This Row],[FRA]]-VLOOKUP($U$1,A:C,3,))/VLOOKUP($U$1,A:C,3,))*100)+100</f>
        <v/>
      </c>
      <c r="J343" s="23">
        <f>(((Table134567891011121314151617343[[#This Row],[DEU]]-VLOOKUP($U$1,A:D,4,))/VLOOKUP($U$1,A:D,4,))*100)+100</f>
        <v/>
      </c>
      <c r="K343" s="23">
        <f>(((Table134567891011121314151617343[[#This Row],[ESP]]-VLOOKUP($U$1,A:E,5,))/VLOOKUP($U$1,A:E,5,))*100)+100</f>
        <v/>
      </c>
      <c r="L343" s="23">
        <f>(((Table134567891011121314151617343[[#This Row],[EA19]]-VLOOKUP($U$1,A:F,6,))/VLOOKUP($U$1,A:F,6,))*100)+100</f>
        <v/>
      </c>
      <c r="M343" s="23">
        <f>(((Table134567891011121314151617343[[#This Row],[GBR]]-VLOOKUP($U$1,A:G,7,))/VLOOKUP($U$1,A:G,7,))*100)+100</f>
        <v/>
      </c>
      <c r="N343" s="23">
        <f>VLOOKUP(A343,Database!$E:$AY,MATCH($N$1,Database!$E$1:$AY$1,0),FALSE)</f>
        <v/>
      </c>
      <c r="O343" s="23">
        <f>(((Table134567891011121314151617343[[#This Row],[USA]]-VLOOKUP($U$1,A:N,14,))/VLOOKUP($U$1,A:N,14,))*100)+100</f>
        <v/>
      </c>
      <c r="P343" s="23">
        <f>VLOOKUP(A343,Database!$E:$AY,MATCH($P$1,Database!$E$1:$AY$1,0),FALSE)</f>
        <v/>
      </c>
      <c r="Q343" s="23">
        <f>(((Table134567891011121314151617343[[#This Row],[JPN]]-VLOOKUP($U$1,A:Q,16,))/VLOOKUP($U$1,A:Q,16,))*100)+100</f>
        <v/>
      </c>
    </row>
    <row r="344" customFormat="1" s="100">
      <c r="A344" s="22" t="n">
        <v>43282</v>
      </c>
      <c r="B344" s="23">
        <f>VLOOKUP(A344,Database!$E:$AY,MATCH($B$1,Database!$E$1:$AY$1,0),FALSE)</f>
        <v/>
      </c>
      <c r="C344" s="23">
        <f>VLOOKUP(A344,Database!$E:$AY,MATCH($C$1,Database!$E$1:$AY$1,0),FALSE)</f>
        <v/>
      </c>
      <c r="D344" s="23">
        <f>VLOOKUP(A344,Database!$E:$AY,MATCH($D$1,Database!$E$1:$AY$1,0),FALSE)</f>
        <v/>
      </c>
      <c r="E344" s="23">
        <f>VLOOKUP(A344,Database!$E:$AY,MATCH($E$1,Database!$E$1:$AY$1,0),FALSE)</f>
        <v/>
      </c>
      <c r="F344" s="23">
        <f>VLOOKUP(A344,Database!$E:$AY,MATCH($F$1,Database!$E$1:$AY$1,0),FALSE)</f>
        <v/>
      </c>
      <c r="G344" s="23">
        <f>VLOOKUP(A344,Database!$E:$AY,MATCH($G$1,Database!$E$1:$AY$1,0),FALSE)</f>
        <v/>
      </c>
      <c r="H344" s="23">
        <f>(((Table134567891011121314151617343[[#This Row],[ITA]]-VLOOKUP($U$1,A:B,2,))/VLOOKUP($U$1,A:B,2,))*100)+100</f>
        <v/>
      </c>
      <c r="I344" s="23">
        <f>(((Table134567891011121314151617343[[#This Row],[FRA]]-VLOOKUP($U$1,A:C,3,))/VLOOKUP($U$1,A:C,3,))*100)+100</f>
        <v/>
      </c>
      <c r="J344" s="23">
        <f>(((Table134567891011121314151617343[[#This Row],[DEU]]-VLOOKUP($U$1,A:D,4,))/VLOOKUP($U$1,A:D,4,))*100)+100</f>
        <v/>
      </c>
      <c r="K344" s="23">
        <f>(((Table134567891011121314151617343[[#This Row],[ESP]]-VLOOKUP($U$1,A:E,5,))/VLOOKUP($U$1,A:E,5,))*100)+100</f>
        <v/>
      </c>
      <c r="L344" s="23">
        <f>(((Table134567891011121314151617343[[#This Row],[EA19]]-VLOOKUP($U$1,A:F,6,))/VLOOKUP($U$1,A:F,6,))*100)+100</f>
        <v/>
      </c>
      <c r="M344" s="23">
        <f>(((Table134567891011121314151617343[[#This Row],[GBR]]-VLOOKUP($U$1,A:G,7,))/VLOOKUP($U$1,A:G,7,))*100)+100</f>
        <v/>
      </c>
      <c r="N344" s="23">
        <f>VLOOKUP(A344,Database!$E:$AY,MATCH($N$1,Database!$E$1:$AY$1,0),FALSE)</f>
        <v/>
      </c>
      <c r="O344" s="23">
        <f>(((Table134567891011121314151617343[[#This Row],[USA]]-VLOOKUP($U$1,A:N,14,))/VLOOKUP($U$1,A:N,14,))*100)+100</f>
        <v/>
      </c>
      <c r="P344" s="23">
        <f>VLOOKUP(A344,Database!$E:$AY,MATCH($P$1,Database!$E$1:$AY$1,0),FALSE)</f>
        <v/>
      </c>
      <c r="Q344" s="23">
        <f>(((Table134567891011121314151617343[[#This Row],[JPN]]-VLOOKUP($U$1,A:Q,16,))/VLOOKUP($U$1,A:Q,16,))*100)+100</f>
        <v/>
      </c>
    </row>
    <row r="345" customFormat="1" s="100">
      <c r="A345" s="22" t="n">
        <v>43313</v>
      </c>
      <c r="B345" s="23">
        <f>VLOOKUP(A345,Database!$E:$AY,MATCH($B$1,Database!$E$1:$AY$1,0),FALSE)</f>
        <v/>
      </c>
      <c r="C345" s="23">
        <f>VLOOKUP(A345,Database!$E:$AY,MATCH($C$1,Database!$E$1:$AY$1,0),FALSE)</f>
        <v/>
      </c>
      <c r="D345" s="23">
        <f>VLOOKUP(A345,Database!$E:$AY,MATCH($D$1,Database!$E$1:$AY$1,0),FALSE)</f>
        <v/>
      </c>
      <c r="E345" s="23">
        <f>VLOOKUP(A345,Database!$E:$AY,MATCH($E$1,Database!$E$1:$AY$1,0),FALSE)</f>
        <v/>
      </c>
      <c r="F345" s="23">
        <f>VLOOKUP(A345,Database!$E:$AY,MATCH($F$1,Database!$E$1:$AY$1,0),FALSE)</f>
        <v/>
      </c>
      <c r="G345" s="23">
        <f>VLOOKUP(A345,Database!$E:$AY,MATCH($G$1,Database!$E$1:$AY$1,0),FALSE)</f>
        <v/>
      </c>
      <c r="H345" s="23">
        <f>(((Table134567891011121314151617343[[#This Row],[ITA]]-VLOOKUP($U$1,A:B,2,))/VLOOKUP($U$1,A:B,2,))*100)+100</f>
        <v/>
      </c>
      <c r="I345" s="23">
        <f>(((Table134567891011121314151617343[[#This Row],[FRA]]-VLOOKUP($U$1,A:C,3,))/VLOOKUP($U$1,A:C,3,))*100)+100</f>
        <v/>
      </c>
      <c r="J345" s="23">
        <f>(((Table134567891011121314151617343[[#This Row],[DEU]]-VLOOKUP($U$1,A:D,4,))/VLOOKUP($U$1,A:D,4,))*100)+100</f>
        <v/>
      </c>
      <c r="K345" s="23">
        <f>(((Table134567891011121314151617343[[#This Row],[ESP]]-VLOOKUP($U$1,A:E,5,))/VLOOKUP($U$1,A:E,5,))*100)+100</f>
        <v/>
      </c>
      <c r="L345" s="23">
        <f>(((Table134567891011121314151617343[[#This Row],[EA19]]-VLOOKUP($U$1,A:F,6,))/VLOOKUP($U$1,A:F,6,))*100)+100</f>
        <v/>
      </c>
      <c r="M345" s="23">
        <f>(((Table134567891011121314151617343[[#This Row],[GBR]]-VLOOKUP($U$1,A:G,7,))/VLOOKUP($U$1,A:G,7,))*100)+100</f>
        <v/>
      </c>
      <c r="N345" s="23">
        <f>VLOOKUP(A345,Database!$E:$AY,MATCH($N$1,Database!$E$1:$AY$1,0),FALSE)</f>
        <v/>
      </c>
      <c r="O345" s="23">
        <f>(((Table134567891011121314151617343[[#This Row],[USA]]-VLOOKUP($U$1,A:N,14,))/VLOOKUP($U$1,A:N,14,))*100)+100</f>
        <v/>
      </c>
      <c r="P345" s="23">
        <f>VLOOKUP(A345,Database!$E:$AY,MATCH($P$1,Database!$E$1:$AY$1,0),FALSE)</f>
        <v/>
      </c>
      <c r="Q345" s="23">
        <f>(((Table134567891011121314151617343[[#This Row],[JPN]]-VLOOKUP($U$1,A:Q,16,))/VLOOKUP($U$1,A:Q,16,))*100)+100</f>
        <v/>
      </c>
    </row>
    <row r="346" customFormat="1" s="100">
      <c r="A346" s="22" t="n">
        <v>43344</v>
      </c>
      <c r="B346" s="23">
        <f>VLOOKUP(A346,Database!$E:$AY,MATCH($B$1,Database!$E$1:$AY$1,0),FALSE)</f>
        <v/>
      </c>
      <c r="C346" s="23">
        <f>VLOOKUP(A346,Database!$E:$AY,MATCH($C$1,Database!$E$1:$AY$1,0),FALSE)</f>
        <v/>
      </c>
      <c r="D346" s="23">
        <f>VLOOKUP(A346,Database!$E:$AY,MATCH($D$1,Database!$E$1:$AY$1,0),FALSE)</f>
        <v/>
      </c>
      <c r="E346" s="23">
        <f>VLOOKUP(A346,Database!$E:$AY,MATCH($E$1,Database!$E$1:$AY$1,0),FALSE)</f>
        <v/>
      </c>
      <c r="F346" s="23">
        <f>VLOOKUP(A346,Database!$E:$AY,MATCH($F$1,Database!$E$1:$AY$1,0),FALSE)</f>
        <v/>
      </c>
      <c r="G346" s="23">
        <f>VLOOKUP(A346,Database!$E:$AY,MATCH($G$1,Database!$E$1:$AY$1,0),FALSE)</f>
        <v/>
      </c>
      <c r="H346" s="23">
        <f>(((Table134567891011121314151617343[[#This Row],[ITA]]-VLOOKUP($U$1,A:B,2,))/VLOOKUP($U$1,A:B,2,))*100)+100</f>
        <v/>
      </c>
      <c r="I346" s="23">
        <f>(((Table134567891011121314151617343[[#This Row],[FRA]]-VLOOKUP($U$1,A:C,3,))/VLOOKUP($U$1,A:C,3,))*100)+100</f>
        <v/>
      </c>
      <c r="J346" s="23">
        <f>(((Table134567891011121314151617343[[#This Row],[DEU]]-VLOOKUP($U$1,A:D,4,))/VLOOKUP($U$1,A:D,4,))*100)+100</f>
        <v/>
      </c>
      <c r="K346" s="23">
        <f>(((Table134567891011121314151617343[[#This Row],[ESP]]-VLOOKUP($U$1,A:E,5,))/VLOOKUP($U$1,A:E,5,))*100)+100</f>
        <v/>
      </c>
      <c r="L346" s="23">
        <f>(((Table134567891011121314151617343[[#This Row],[EA19]]-VLOOKUP($U$1,A:F,6,))/VLOOKUP($U$1,A:F,6,))*100)+100</f>
        <v/>
      </c>
      <c r="M346" s="23">
        <f>(((Table134567891011121314151617343[[#This Row],[GBR]]-VLOOKUP($U$1,A:G,7,))/VLOOKUP($U$1,A:G,7,))*100)+100</f>
        <v/>
      </c>
      <c r="N346" s="23">
        <f>VLOOKUP(A346,Database!$E:$AY,MATCH($N$1,Database!$E$1:$AY$1,0),FALSE)</f>
        <v/>
      </c>
      <c r="O346" s="23">
        <f>(((Table134567891011121314151617343[[#This Row],[USA]]-VLOOKUP($U$1,A:N,14,))/VLOOKUP($U$1,A:N,14,))*100)+100</f>
        <v/>
      </c>
      <c r="P346" s="23">
        <f>VLOOKUP(A346,Database!$E:$AY,MATCH($P$1,Database!$E$1:$AY$1,0),FALSE)</f>
        <v/>
      </c>
      <c r="Q346" s="23">
        <f>(((Table134567891011121314151617343[[#This Row],[JPN]]-VLOOKUP($U$1,A:Q,16,))/VLOOKUP($U$1,A:Q,16,))*100)+100</f>
        <v/>
      </c>
    </row>
    <row r="347" customFormat="1" s="100">
      <c r="A347" s="22" t="n">
        <v>43374</v>
      </c>
      <c r="B347" s="23">
        <f>VLOOKUP(A347,Database!$E:$AY,MATCH($B$1,Database!$E$1:$AY$1,0),FALSE)</f>
        <v/>
      </c>
      <c r="C347" s="23">
        <f>VLOOKUP(A347,Database!$E:$AY,MATCH($C$1,Database!$E$1:$AY$1,0),FALSE)</f>
        <v/>
      </c>
      <c r="D347" s="23">
        <f>VLOOKUP(A347,Database!$E:$AY,MATCH($D$1,Database!$E$1:$AY$1,0),FALSE)</f>
        <v/>
      </c>
      <c r="E347" s="23">
        <f>VLOOKUP(A347,Database!$E:$AY,MATCH($E$1,Database!$E$1:$AY$1,0),FALSE)</f>
        <v/>
      </c>
      <c r="F347" s="23">
        <f>VLOOKUP(A347,Database!$E:$AY,MATCH($F$1,Database!$E$1:$AY$1,0),FALSE)</f>
        <v/>
      </c>
      <c r="G347" s="23">
        <f>VLOOKUP(A347,Database!$E:$AY,MATCH($G$1,Database!$E$1:$AY$1,0),FALSE)</f>
        <v/>
      </c>
      <c r="H347" s="23">
        <f>(((Table134567891011121314151617343[[#This Row],[ITA]]-VLOOKUP($U$1,A:B,2,))/VLOOKUP($U$1,A:B,2,))*100)+100</f>
        <v/>
      </c>
      <c r="I347" s="23">
        <f>(((Table134567891011121314151617343[[#This Row],[FRA]]-VLOOKUP($U$1,A:C,3,))/VLOOKUP($U$1,A:C,3,))*100)+100</f>
        <v/>
      </c>
      <c r="J347" s="23">
        <f>(((Table134567891011121314151617343[[#This Row],[DEU]]-VLOOKUP($U$1,A:D,4,))/VLOOKUP($U$1,A:D,4,))*100)+100</f>
        <v/>
      </c>
      <c r="K347" s="23">
        <f>(((Table134567891011121314151617343[[#This Row],[ESP]]-VLOOKUP($U$1,A:E,5,))/VLOOKUP($U$1,A:E,5,))*100)+100</f>
        <v/>
      </c>
      <c r="L347" s="23">
        <f>(((Table134567891011121314151617343[[#This Row],[EA19]]-VLOOKUP($U$1,A:F,6,))/VLOOKUP($U$1,A:F,6,))*100)+100</f>
        <v/>
      </c>
      <c r="M347" s="23">
        <f>(((Table134567891011121314151617343[[#This Row],[GBR]]-VLOOKUP($U$1,A:G,7,))/VLOOKUP($U$1,A:G,7,))*100)+100</f>
        <v/>
      </c>
      <c r="N347" s="23">
        <f>VLOOKUP(A347,Database!$E:$AY,MATCH($N$1,Database!$E$1:$AY$1,0),FALSE)</f>
        <v/>
      </c>
      <c r="O347" s="23">
        <f>(((Table134567891011121314151617343[[#This Row],[USA]]-VLOOKUP($U$1,A:N,14,))/VLOOKUP($U$1,A:N,14,))*100)+100</f>
        <v/>
      </c>
      <c r="P347" s="23">
        <f>VLOOKUP(A347,Database!$E:$AY,MATCH($P$1,Database!$E$1:$AY$1,0),FALSE)</f>
        <v/>
      </c>
      <c r="Q347" s="23">
        <f>(((Table134567891011121314151617343[[#This Row],[JPN]]-VLOOKUP($U$1,A:Q,16,))/VLOOKUP($U$1,A:Q,16,))*100)+100</f>
        <v/>
      </c>
    </row>
    <row r="348" customFormat="1" s="100">
      <c r="A348" s="22" t="n">
        <v>43405</v>
      </c>
      <c r="B348" s="23">
        <f>VLOOKUP(A348,Database!$E:$AY,MATCH($B$1,Database!$E$1:$AY$1,0),FALSE)</f>
        <v/>
      </c>
      <c r="C348" s="23">
        <f>VLOOKUP(A348,Database!$E:$AY,MATCH($C$1,Database!$E$1:$AY$1,0),FALSE)</f>
        <v/>
      </c>
      <c r="D348" s="23">
        <f>VLOOKUP(A348,Database!$E:$AY,MATCH($D$1,Database!$E$1:$AY$1,0),FALSE)</f>
        <v/>
      </c>
      <c r="E348" s="23">
        <f>VLOOKUP(A348,Database!$E:$AY,MATCH($E$1,Database!$E$1:$AY$1,0),FALSE)</f>
        <v/>
      </c>
      <c r="F348" s="23">
        <f>VLOOKUP(A348,Database!$E:$AY,MATCH($F$1,Database!$E$1:$AY$1,0),FALSE)</f>
        <v/>
      </c>
      <c r="G348" s="23">
        <f>VLOOKUP(A348,Database!$E:$AY,MATCH($G$1,Database!$E$1:$AY$1,0),FALSE)</f>
        <v/>
      </c>
      <c r="H348" s="23">
        <f>(((Table134567891011121314151617343[[#This Row],[ITA]]-VLOOKUP($U$1,A:B,2,))/VLOOKUP($U$1,A:B,2,))*100)+100</f>
        <v/>
      </c>
      <c r="I348" s="23">
        <f>(((Table134567891011121314151617343[[#This Row],[FRA]]-VLOOKUP($U$1,A:C,3,))/VLOOKUP($U$1,A:C,3,))*100)+100</f>
        <v/>
      </c>
      <c r="J348" s="23">
        <f>(((Table134567891011121314151617343[[#This Row],[DEU]]-VLOOKUP($U$1,A:D,4,))/VLOOKUP($U$1,A:D,4,))*100)+100</f>
        <v/>
      </c>
      <c r="K348" s="23">
        <f>(((Table134567891011121314151617343[[#This Row],[ESP]]-VLOOKUP($U$1,A:E,5,))/VLOOKUP($U$1,A:E,5,))*100)+100</f>
        <v/>
      </c>
      <c r="L348" s="23">
        <f>(((Table134567891011121314151617343[[#This Row],[EA19]]-VLOOKUP($U$1,A:F,6,))/VLOOKUP($U$1,A:F,6,))*100)+100</f>
        <v/>
      </c>
      <c r="M348" s="23">
        <f>(((Table134567891011121314151617343[[#This Row],[GBR]]-VLOOKUP($U$1,A:G,7,))/VLOOKUP($U$1,A:G,7,))*100)+100</f>
        <v/>
      </c>
      <c r="N348" s="23">
        <f>VLOOKUP(A348,Database!$E:$AY,MATCH($N$1,Database!$E$1:$AY$1,0),FALSE)</f>
        <v/>
      </c>
      <c r="O348" s="23">
        <f>(((Table134567891011121314151617343[[#This Row],[USA]]-VLOOKUP($U$1,A:N,14,))/VLOOKUP($U$1,A:N,14,))*100)+100</f>
        <v/>
      </c>
      <c r="P348" s="23">
        <f>VLOOKUP(A348,Database!$E:$AY,MATCH($P$1,Database!$E$1:$AY$1,0),FALSE)</f>
        <v/>
      </c>
      <c r="Q348" s="23">
        <f>(((Table134567891011121314151617343[[#This Row],[JPN]]-VLOOKUP($U$1,A:Q,16,))/VLOOKUP($U$1,A:Q,16,))*100)+100</f>
        <v/>
      </c>
    </row>
    <row r="349" customFormat="1" s="100">
      <c r="A349" s="22" t="n">
        <v>43435</v>
      </c>
      <c r="B349" s="23">
        <f>VLOOKUP(A349,Database!$E:$AY,MATCH($B$1,Database!$E$1:$AY$1,0),FALSE)</f>
        <v/>
      </c>
      <c r="C349" s="23">
        <f>VLOOKUP(A349,Database!$E:$AY,MATCH($C$1,Database!$E$1:$AY$1,0),FALSE)</f>
        <v/>
      </c>
      <c r="D349" s="23">
        <f>VLOOKUP(A349,Database!$E:$AY,MATCH($D$1,Database!$E$1:$AY$1,0),FALSE)</f>
        <v/>
      </c>
      <c r="E349" s="23">
        <f>VLOOKUP(A349,Database!$E:$AY,MATCH($E$1,Database!$E$1:$AY$1,0),FALSE)</f>
        <v/>
      </c>
      <c r="F349" s="23">
        <f>VLOOKUP(A349,Database!$E:$AY,MATCH($F$1,Database!$E$1:$AY$1,0),FALSE)</f>
        <v/>
      </c>
      <c r="G349" s="23">
        <f>VLOOKUP(A349,Database!$E:$AY,MATCH($G$1,Database!$E$1:$AY$1,0),FALSE)</f>
        <v/>
      </c>
      <c r="H349" s="23">
        <f>(((Table134567891011121314151617343[[#This Row],[ITA]]-VLOOKUP($U$1,A:B,2,))/VLOOKUP($U$1,A:B,2,))*100)+100</f>
        <v/>
      </c>
      <c r="I349" s="23">
        <f>(((Table134567891011121314151617343[[#This Row],[FRA]]-VLOOKUP($U$1,A:C,3,))/VLOOKUP($U$1,A:C,3,))*100)+100</f>
        <v/>
      </c>
      <c r="J349" s="23">
        <f>(((Table134567891011121314151617343[[#This Row],[DEU]]-VLOOKUP($U$1,A:D,4,))/VLOOKUP($U$1,A:D,4,))*100)+100</f>
        <v/>
      </c>
      <c r="K349" s="23">
        <f>(((Table134567891011121314151617343[[#This Row],[ESP]]-VLOOKUP($U$1,A:E,5,))/VLOOKUP($U$1,A:E,5,))*100)+100</f>
        <v/>
      </c>
      <c r="L349" s="23">
        <f>(((Table134567891011121314151617343[[#This Row],[EA19]]-VLOOKUP($U$1,A:F,6,))/VLOOKUP($U$1,A:F,6,))*100)+100</f>
        <v/>
      </c>
      <c r="M349" s="23">
        <f>(((Table134567891011121314151617343[[#This Row],[GBR]]-VLOOKUP($U$1,A:G,7,))/VLOOKUP($U$1,A:G,7,))*100)+100</f>
        <v/>
      </c>
      <c r="N349" s="23">
        <f>VLOOKUP(A349,Database!$E:$AY,MATCH($N$1,Database!$E$1:$AY$1,0),FALSE)</f>
        <v/>
      </c>
      <c r="O349" s="23">
        <f>(((Table134567891011121314151617343[[#This Row],[USA]]-VLOOKUP($U$1,A:N,14,))/VLOOKUP($U$1,A:N,14,))*100)+100</f>
        <v/>
      </c>
      <c r="P349" s="23">
        <f>VLOOKUP(A349,Database!$E:$AY,MATCH($P$1,Database!$E$1:$AY$1,0),FALSE)</f>
        <v/>
      </c>
      <c r="Q349" s="23">
        <f>(((Table134567891011121314151617343[[#This Row],[JPN]]-VLOOKUP($U$1,A:Q,16,))/VLOOKUP($U$1,A:Q,16,))*100)+100</f>
        <v/>
      </c>
    </row>
    <row r="350" customFormat="1" s="100">
      <c r="A350" s="22" t="n">
        <v>43466</v>
      </c>
      <c r="B350" s="23">
        <f>VLOOKUP(A350,Database!$E:$AY,MATCH($B$1,Database!$E$1:$AY$1,0),FALSE)</f>
        <v/>
      </c>
      <c r="C350" s="23">
        <f>VLOOKUP(A350,Database!$E:$AY,MATCH($C$1,Database!$E$1:$AY$1,0),FALSE)</f>
        <v/>
      </c>
      <c r="D350" s="23">
        <f>VLOOKUP(A350,Database!$E:$AY,MATCH($D$1,Database!$E$1:$AY$1,0),FALSE)</f>
        <v/>
      </c>
      <c r="E350" s="23">
        <f>VLOOKUP(A350,Database!$E:$AY,MATCH($E$1,Database!$E$1:$AY$1,0),FALSE)</f>
        <v/>
      </c>
      <c r="F350" s="23">
        <f>VLOOKUP(A350,Database!$E:$AY,MATCH($F$1,Database!$E$1:$AY$1,0),FALSE)</f>
        <v/>
      </c>
      <c r="G350" s="23">
        <f>VLOOKUP(A350,Database!$E:$AY,MATCH($G$1,Database!$E$1:$AY$1,0),FALSE)</f>
        <v/>
      </c>
      <c r="H350" s="23">
        <f>(((Table134567891011121314151617343[[#This Row],[ITA]]-VLOOKUP($U$1,A:B,2,))/VLOOKUP($U$1,A:B,2,))*100)+100</f>
        <v/>
      </c>
      <c r="I350" s="23">
        <f>(((Table134567891011121314151617343[[#This Row],[FRA]]-VLOOKUP($U$1,A:C,3,))/VLOOKUP($U$1,A:C,3,))*100)+100</f>
        <v/>
      </c>
      <c r="J350" s="23">
        <f>(((Table134567891011121314151617343[[#This Row],[DEU]]-VLOOKUP($U$1,A:D,4,))/VLOOKUP($U$1,A:D,4,))*100)+100</f>
        <v/>
      </c>
      <c r="K350" s="23">
        <f>(((Table134567891011121314151617343[[#This Row],[ESP]]-VLOOKUP($U$1,A:E,5,))/VLOOKUP($U$1,A:E,5,))*100)+100</f>
        <v/>
      </c>
      <c r="L350" s="23">
        <f>(((Table134567891011121314151617343[[#This Row],[EA19]]-VLOOKUP($U$1,A:F,6,))/VLOOKUP($U$1,A:F,6,))*100)+100</f>
        <v/>
      </c>
      <c r="M350" s="23">
        <f>(((Table134567891011121314151617343[[#This Row],[GBR]]-VLOOKUP($U$1,A:G,7,))/VLOOKUP($U$1,A:G,7,))*100)+100</f>
        <v/>
      </c>
      <c r="N350" s="23">
        <f>VLOOKUP(A350,Database!$E:$AY,MATCH($N$1,Database!$E$1:$AY$1,0),FALSE)</f>
        <v/>
      </c>
      <c r="O350" s="23">
        <f>(((Table134567891011121314151617343[[#This Row],[USA]]-VLOOKUP($U$1,A:N,14,))/VLOOKUP($U$1,A:N,14,))*100)+100</f>
        <v/>
      </c>
      <c r="P350" s="23">
        <f>VLOOKUP(A350,Database!$E:$AY,MATCH($P$1,Database!$E$1:$AY$1,0),FALSE)</f>
        <v/>
      </c>
      <c r="Q350" s="23">
        <f>(((Table134567891011121314151617343[[#This Row],[JPN]]-VLOOKUP($U$1,A:Q,16,))/VLOOKUP($U$1,A:Q,16,))*100)+100</f>
        <v/>
      </c>
    </row>
    <row r="351" customFormat="1" s="100">
      <c r="A351" s="22" t="n">
        <v>43497</v>
      </c>
      <c r="B351" s="23">
        <f>VLOOKUP(A351,Database!$E:$AY,MATCH($B$1,Database!$E$1:$AY$1,0),FALSE)</f>
        <v/>
      </c>
      <c r="C351" s="23">
        <f>VLOOKUP(A351,Database!$E:$AY,MATCH($C$1,Database!$E$1:$AY$1,0),FALSE)</f>
        <v/>
      </c>
      <c r="D351" s="23">
        <f>VLOOKUP(A351,Database!$E:$AY,MATCH($D$1,Database!$E$1:$AY$1,0),FALSE)</f>
        <v/>
      </c>
      <c r="E351" s="23">
        <f>VLOOKUP(A351,Database!$E:$AY,MATCH($E$1,Database!$E$1:$AY$1,0),FALSE)</f>
        <v/>
      </c>
      <c r="F351" s="23">
        <f>VLOOKUP(A351,Database!$E:$AY,MATCH($F$1,Database!$E$1:$AY$1,0),FALSE)</f>
        <v/>
      </c>
      <c r="G351" s="23">
        <f>VLOOKUP(A351,Database!$E:$AY,MATCH($G$1,Database!$E$1:$AY$1,0),FALSE)</f>
        <v/>
      </c>
      <c r="H351" s="23">
        <f>(((Table134567891011121314151617343[[#This Row],[ITA]]-VLOOKUP($U$1,A:B,2,))/VLOOKUP($U$1,A:B,2,))*100)+100</f>
        <v/>
      </c>
      <c r="I351" s="23">
        <f>(((Table134567891011121314151617343[[#This Row],[FRA]]-VLOOKUP($U$1,A:C,3,))/VLOOKUP($U$1,A:C,3,))*100)+100</f>
        <v/>
      </c>
      <c r="J351" s="23">
        <f>(((Table134567891011121314151617343[[#This Row],[DEU]]-VLOOKUP($U$1,A:D,4,))/VLOOKUP($U$1,A:D,4,))*100)+100</f>
        <v/>
      </c>
      <c r="K351" s="23">
        <f>(((Table134567891011121314151617343[[#This Row],[ESP]]-VLOOKUP($U$1,A:E,5,))/VLOOKUP($U$1,A:E,5,))*100)+100</f>
        <v/>
      </c>
      <c r="L351" s="23">
        <f>(((Table134567891011121314151617343[[#This Row],[EA19]]-VLOOKUP($U$1,A:F,6,))/VLOOKUP($U$1,A:F,6,))*100)+100</f>
        <v/>
      </c>
      <c r="M351" s="23">
        <f>(((Table134567891011121314151617343[[#This Row],[GBR]]-VLOOKUP($U$1,A:G,7,))/VLOOKUP($U$1,A:G,7,))*100)+100</f>
        <v/>
      </c>
      <c r="N351" s="23">
        <f>VLOOKUP(A351,Database!$E:$AY,MATCH($N$1,Database!$E$1:$AY$1,0),FALSE)</f>
        <v/>
      </c>
      <c r="O351" s="23">
        <f>(((Table134567891011121314151617343[[#This Row],[USA]]-VLOOKUP($U$1,A:N,14,))/VLOOKUP($U$1,A:N,14,))*100)+100</f>
        <v/>
      </c>
      <c r="P351" s="23">
        <f>VLOOKUP(A351,Database!$E:$AY,MATCH($P$1,Database!$E$1:$AY$1,0),FALSE)</f>
        <v/>
      </c>
      <c r="Q351" s="23">
        <f>(((Table134567891011121314151617343[[#This Row],[JPN]]-VLOOKUP($U$1,A:Q,16,))/VLOOKUP($U$1,A:Q,16,))*100)+100</f>
        <v/>
      </c>
    </row>
    <row r="352" customFormat="1" s="100">
      <c r="A352" s="22" t="n">
        <v>43525</v>
      </c>
      <c r="B352" s="23">
        <f>VLOOKUP(A352,Database!$E:$AY,MATCH($B$1,Database!$E$1:$AY$1,0),FALSE)</f>
        <v/>
      </c>
      <c r="C352" s="23">
        <f>VLOOKUP(A352,Database!$E:$AY,MATCH($C$1,Database!$E$1:$AY$1,0),FALSE)</f>
        <v/>
      </c>
      <c r="D352" s="23">
        <f>VLOOKUP(A352,Database!$E:$AY,MATCH($D$1,Database!$E$1:$AY$1,0),FALSE)</f>
        <v/>
      </c>
      <c r="E352" s="23">
        <f>VLOOKUP(A352,Database!$E:$AY,MATCH($E$1,Database!$E$1:$AY$1,0),FALSE)</f>
        <v/>
      </c>
      <c r="F352" s="23">
        <f>VLOOKUP(A352,Database!$E:$AY,MATCH($F$1,Database!$E$1:$AY$1,0),FALSE)</f>
        <v/>
      </c>
      <c r="G352" s="23">
        <f>VLOOKUP(A352,Database!$E:$AY,MATCH($G$1,Database!$E$1:$AY$1,0),FALSE)</f>
        <v/>
      </c>
      <c r="H352" s="23">
        <f>(((Table134567891011121314151617343[[#This Row],[ITA]]-VLOOKUP($U$1,A:B,2,))/VLOOKUP($U$1,A:B,2,))*100)+100</f>
        <v/>
      </c>
      <c r="I352" s="23">
        <f>(((Table134567891011121314151617343[[#This Row],[FRA]]-VLOOKUP($U$1,A:C,3,))/VLOOKUP($U$1,A:C,3,))*100)+100</f>
        <v/>
      </c>
      <c r="J352" s="23">
        <f>(((Table134567891011121314151617343[[#This Row],[DEU]]-VLOOKUP($U$1,A:D,4,))/VLOOKUP($U$1,A:D,4,))*100)+100</f>
        <v/>
      </c>
      <c r="K352" s="23">
        <f>(((Table134567891011121314151617343[[#This Row],[ESP]]-VLOOKUP($U$1,A:E,5,))/VLOOKUP($U$1,A:E,5,))*100)+100</f>
        <v/>
      </c>
      <c r="L352" s="23">
        <f>(((Table134567891011121314151617343[[#This Row],[EA19]]-VLOOKUP($U$1,A:F,6,))/VLOOKUP($U$1,A:F,6,))*100)+100</f>
        <v/>
      </c>
      <c r="M352" s="23">
        <f>(((Table134567891011121314151617343[[#This Row],[GBR]]-VLOOKUP($U$1,A:G,7,))/VLOOKUP($U$1,A:G,7,))*100)+100</f>
        <v/>
      </c>
      <c r="N352" s="23">
        <f>VLOOKUP(A352,Database!$E:$AY,MATCH($N$1,Database!$E$1:$AY$1,0),FALSE)</f>
        <v/>
      </c>
      <c r="O352" s="23">
        <f>(((Table134567891011121314151617343[[#This Row],[USA]]-VLOOKUP($U$1,A:N,14,))/VLOOKUP($U$1,A:N,14,))*100)+100</f>
        <v/>
      </c>
      <c r="P352" s="23">
        <f>VLOOKUP(A352,Database!$E:$AY,MATCH($P$1,Database!$E$1:$AY$1,0),FALSE)</f>
        <v/>
      </c>
      <c r="Q352" s="23">
        <f>(((Table134567891011121314151617343[[#This Row],[JPN]]-VLOOKUP($U$1,A:Q,16,))/VLOOKUP($U$1,A:Q,16,))*100)+100</f>
        <v/>
      </c>
    </row>
    <row r="353" customFormat="1" s="100">
      <c r="A353" s="22" t="n">
        <v>43556</v>
      </c>
      <c r="B353" s="23">
        <f>VLOOKUP(A353,Database!$E:$AY,MATCH($B$1,Database!$E$1:$AY$1,0),FALSE)</f>
        <v/>
      </c>
      <c r="C353" s="23">
        <f>VLOOKUP(A353,Database!$E:$AY,MATCH($C$1,Database!$E$1:$AY$1,0),FALSE)</f>
        <v/>
      </c>
      <c r="D353" s="23">
        <f>VLOOKUP(A353,Database!$E:$AY,MATCH($D$1,Database!$E$1:$AY$1,0),FALSE)</f>
        <v/>
      </c>
      <c r="E353" s="23">
        <f>VLOOKUP(A353,Database!$E:$AY,MATCH($E$1,Database!$E$1:$AY$1,0),FALSE)</f>
        <v/>
      </c>
      <c r="F353" s="23">
        <f>VLOOKUP(A353,Database!$E:$AY,MATCH($F$1,Database!$E$1:$AY$1,0),FALSE)</f>
        <v/>
      </c>
      <c r="G353" s="23">
        <f>VLOOKUP(A353,Database!$E:$AY,MATCH($G$1,Database!$E$1:$AY$1,0),FALSE)</f>
        <v/>
      </c>
      <c r="H353" s="23">
        <f>(((Table134567891011121314151617343[[#This Row],[ITA]]-VLOOKUP($U$1,A:B,2,))/VLOOKUP($U$1,A:B,2,))*100)+100</f>
        <v/>
      </c>
      <c r="I353" s="23">
        <f>(((Table134567891011121314151617343[[#This Row],[FRA]]-VLOOKUP($U$1,A:C,3,))/VLOOKUP($U$1,A:C,3,))*100)+100</f>
        <v/>
      </c>
      <c r="J353" s="23">
        <f>(((Table134567891011121314151617343[[#This Row],[DEU]]-VLOOKUP($U$1,A:D,4,))/VLOOKUP($U$1,A:D,4,))*100)+100</f>
        <v/>
      </c>
      <c r="K353" s="23">
        <f>(((Table134567891011121314151617343[[#This Row],[ESP]]-VLOOKUP($U$1,A:E,5,))/VLOOKUP($U$1,A:E,5,))*100)+100</f>
        <v/>
      </c>
      <c r="L353" s="23">
        <f>(((Table134567891011121314151617343[[#This Row],[EA19]]-VLOOKUP($U$1,A:F,6,))/VLOOKUP($U$1,A:F,6,))*100)+100</f>
        <v/>
      </c>
      <c r="M353" s="23">
        <f>(((Table134567891011121314151617343[[#This Row],[GBR]]-VLOOKUP($U$1,A:G,7,))/VLOOKUP($U$1,A:G,7,))*100)+100</f>
        <v/>
      </c>
      <c r="N353" s="23">
        <f>VLOOKUP(A353,Database!$E:$AY,MATCH($N$1,Database!$E$1:$AY$1,0),FALSE)</f>
        <v/>
      </c>
      <c r="O353" s="23">
        <f>(((Table134567891011121314151617343[[#This Row],[USA]]-VLOOKUP($U$1,A:N,14,))/VLOOKUP($U$1,A:N,14,))*100)+100</f>
        <v/>
      </c>
      <c r="P353" s="23">
        <f>VLOOKUP(A353,Database!$E:$AY,MATCH($P$1,Database!$E$1:$AY$1,0),FALSE)</f>
        <v/>
      </c>
      <c r="Q353" s="23">
        <f>(((Table134567891011121314151617343[[#This Row],[JPN]]-VLOOKUP($U$1,A:Q,16,))/VLOOKUP($U$1,A:Q,16,))*100)+100</f>
        <v/>
      </c>
    </row>
    <row r="354" customFormat="1" s="100">
      <c r="A354" s="22" t="n">
        <v>43586</v>
      </c>
      <c r="B354" s="23">
        <f>VLOOKUP(A354,Database!$E:$AY,MATCH($B$1,Database!$E$1:$AY$1,0),FALSE)</f>
        <v/>
      </c>
      <c r="C354" s="23">
        <f>VLOOKUP(A354,Database!$E:$AY,MATCH($C$1,Database!$E$1:$AY$1,0),FALSE)</f>
        <v/>
      </c>
      <c r="D354" s="23">
        <f>VLOOKUP(A354,Database!$E:$AY,MATCH($D$1,Database!$E$1:$AY$1,0),FALSE)</f>
        <v/>
      </c>
      <c r="E354" s="23">
        <f>VLOOKUP(A354,Database!$E:$AY,MATCH($E$1,Database!$E$1:$AY$1,0),FALSE)</f>
        <v/>
      </c>
      <c r="F354" s="23">
        <f>VLOOKUP(A354,Database!$E:$AY,MATCH($F$1,Database!$E$1:$AY$1,0),FALSE)</f>
        <v/>
      </c>
      <c r="G354" s="23">
        <f>VLOOKUP(A354,Database!$E:$AY,MATCH($G$1,Database!$E$1:$AY$1,0),FALSE)</f>
        <v/>
      </c>
      <c r="H354" s="23">
        <f>(((Table134567891011121314151617343[[#This Row],[ITA]]-VLOOKUP($U$1,A:B,2,))/VLOOKUP($U$1,A:B,2,))*100)+100</f>
        <v/>
      </c>
      <c r="I354" s="23">
        <f>(((Table134567891011121314151617343[[#This Row],[FRA]]-VLOOKUP($U$1,A:C,3,))/VLOOKUP($U$1,A:C,3,))*100)+100</f>
        <v/>
      </c>
      <c r="J354" s="23">
        <f>(((Table134567891011121314151617343[[#This Row],[DEU]]-VLOOKUP($U$1,A:D,4,))/VLOOKUP($U$1,A:D,4,))*100)+100</f>
        <v/>
      </c>
      <c r="K354" s="23">
        <f>(((Table134567891011121314151617343[[#This Row],[ESP]]-VLOOKUP($U$1,A:E,5,))/VLOOKUP($U$1,A:E,5,))*100)+100</f>
        <v/>
      </c>
      <c r="L354" s="23">
        <f>(((Table134567891011121314151617343[[#This Row],[EA19]]-VLOOKUP($U$1,A:F,6,))/VLOOKUP($U$1,A:F,6,))*100)+100</f>
        <v/>
      </c>
      <c r="M354" s="23">
        <f>(((Table134567891011121314151617343[[#This Row],[GBR]]-VLOOKUP($U$1,A:G,7,))/VLOOKUP($U$1,A:G,7,))*100)+100</f>
        <v/>
      </c>
      <c r="N354" s="23">
        <f>VLOOKUP(A354,Database!$E:$AY,MATCH($N$1,Database!$E$1:$AY$1,0),FALSE)</f>
        <v/>
      </c>
      <c r="O354" s="23">
        <f>(((Table134567891011121314151617343[[#This Row],[USA]]-VLOOKUP($U$1,A:N,14,))/VLOOKUP($U$1,A:N,14,))*100)+100</f>
        <v/>
      </c>
      <c r="P354" s="23">
        <f>VLOOKUP(A354,Database!$E:$AY,MATCH($P$1,Database!$E$1:$AY$1,0),FALSE)</f>
        <v/>
      </c>
      <c r="Q354" s="23">
        <f>(((Table134567891011121314151617343[[#This Row],[JPN]]-VLOOKUP($U$1,A:Q,16,))/VLOOKUP($U$1,A:Q,16,))*100)+100</f>
        <v/>
      </c>
    </row>
    <row r="355" customFormat="1" s="100">
      <c r="A355" s="22" t="n">
        <v>43617</v>
      </c>
      <c r="B355" s="23">
        <f>VLOOKUP(A355,Database!$E:$AY,MATCH($B$1,Database!$E$1:$AY$1,0),FALSE)</f>
        <v/>
      </c>
      <c r="C355" s="23">
        <f>VLOOKUP(A355,Database!$E:$AY,MATCH($C$1,Database!$E$1:$AY$1,0),FALSE)</f>
        <v/>
      </c>
      <c r="D355" s="23">
        <f>VLOOKUP(A355,Database!$E:$AY,MATCH($D$1,Database!$E$1:$AY$1,0),FALSE)</f>
        <v/>
      </c>
      <c r="E355" s="23">
        <f>VLOOKUP(A355,Database!$E:$AY,MATCH($E$1,Database!$E$1:$AY$1,0),FALSE)</f>
        <v/>
      </c>
      <c r="F355" s="23">
        <f>VLOOKUP(A355,Database!$E:$AY,MATCH($F$1,Database!$E$1:$AY$1,0),FALSE)</f>
        <v/>
      </c>
      <c r="G355" s="23">
        <f>VLOOKUP(A355,Database!$E:$AY,MATCH($G$1,Database!$E$1:$AY$1,0),FALSE)</f>
        <v/>
      </c>
      <c r="H355" s="23">
        <f>(((Table134567891011121314151617343[[#This Row],[ITA]]-VLOOKUP($U$1,A:B,2,))/VLOOKUP($U$1,A:B,2,))*100)+100</f>
        <v/>
      </c>
      <c r="I355" s="23">
        <f>(((Table134567891011121314151617343[[#This Row],[FRA]]-VLOOKUP($U$1,A:C,3,))/VLOOKUP($U$1,A:C,3,))*100)+100</f>
        <v/>
      </c>
      <c r="J355" s="23">
        <f>(((Table134567891011121314151617343[[#This Row],[DEU]]-VLOOKUP($U$1,A:D,4,))/VLOOKUP($U$1,A:D,4,))*100)+100</f>
        <v/>
      </c>
      <c r="K355" s="23">
        <f>(((Table134567891011121314151617343[[#This Row],[ESP]]-VLOOKUP($U$1,A:E,5,))/VLOOKUP($U$1,A:E,5,))*100)+100</f>
        <v/>
      </c>
      <c r="L355" s="23">
        <f>(((Table134567891011121314151617343[[#This Row],[EA19]]-VLOOKUP($U$1,A:F,6,))/VLOOKUP($U$1,A:F,6,))*100)+100</f>
        <v/>
      </c>
      <c r="M355" s="23">
        <f>(((Table134567891011121314151617343[[#This Row],[GBR]]-VLOOKUP($U$1,A:G,7,))/VLOOKUP($U$1,A:G,7,))*100)+100</f>
        <v/>
      </c>
      <c r="N355" s="23">
        <f>VLOOKUP(A355,Database!$E:$AY,MATCH($N$1,Database!$E$1:$AY$1,0),FALSE)</f>
        <v/>
      </c>
      <c r="O355" s="23">
        <f>(((Table134567891011121314151617343[[#This Row],[USA]]-VLOOKUP($U$1,A:N,14,))/VLOOKUP($U$1,A:N,14,))*100)+100</f>
        <v/>
      </c>
      <c r="P355" s="23">
        <f>VLOOKUP(A355,Database!$E:$AY,MATCH($P$1,Database!$E$1:$AY$1,0),FALSE)</f>
        <v/>
      </c>
      <c r="Q355" s="23">
        <f>(((Table134567891011121314151617343[[#This Row],[JPN]]-VLOOKUP($U$1,A:Q,16,))/VLOOKUP($U$1,A:Q,16,))*100)+100</f>
        <v/>
      </c>
    </row>
    <row r="356" customFormat="1" s="100">
      <c r="A356" s="22" t="n">
        <v>43647</v>
      </c>
      <c r="B356" s="23">
        <f>VLOOKUP(A356,Database!$E:$AY,MATCH($B$1,Database!$E$1:$AY$1,0),FALSE)</f>
        <v/>
      </c>
      <c r="C356" s="23">
        <f>VLOOKUP(A356,Database!$E:$AY,MATCH($C$1,Database!$E$1:$AY$1,0),FALSE)</f>
        <v/>
      </c>
      <c r="D356" s="23">
        <f>VLOOKUP(A356,Database!$E:$AY,MATCH($D$1,Database!$E$1:$AY$1,0),FALSE)</f>
        <v/>
      </c>
      <c r="E356" s="23">
        <f>VLOOKUP(A356,Database!$E:$AY,MATCH($E$1,Database!$E$1:$AY$1,0),FALSE)</f>
        <v/>
      </c>
      <c r="F356" s="23">
        <f>VLOOKUP(A356,Database!$E:$AY,MATCH($F$1,Database!$E$1:$AY$1,0),FALSE)</f>
        <v/>
      </c>
      <c r="G356" s="23">
        <f>VLOOKUP(A356,Database!$E:$AY,MATCH($G$1,Database!$E$1:$AY$1,0),FALSE)</f>
        <v/>
      </c>
      <c r="H356" s="23">
        <f>(((Table134567891011121314151617343[[#This Row],[ITA]]-VLOOKUP($U$1,A:B,2,))/VLOOKUP($U$1,A:B,2,))*100)+100</f>
        <v/>
      </c>
      <c r="I356" s="23">
        <f>(((Table134567891011121314151617343[[#This Row],[FRA]]-VLOOKUP($U$1,A:C,3,))/VLOOKUP($U$1,A:C,3,))*100)+100</f>
        <v/>
      </c>
      <c r="J356" s="23">
        <f>(((Table134567891011121314151617343[[#This Row],[DEU]]-VLOOKUP($U$1,A:D,4,))/VLOOKUP($U$1,A:D,4,))*100)+100</f>
        <v/>
      </c>
      <c r="K356" s="23">
        <f>(((Table134567891011121314151617343[[#This Row],[ESP]]-VLOOKUP($U$1,A:E,5,))/VLOOKUP($U$1,A:E,5,))*100)+100</f>
        <v/>
      </c>
      <c r="L356" s="23">
        <f>(((Table134567891011121314151617343[[#This Row],[EA19]]-VLOOKUP($U$1,A:F,6,))/VLOOKUP($U$1,A:F,6,))*100)+100</f>
        <v/>
      </c>
      <c r="M356" s="23">
        <f>(((Table134567891011121314151617343[[#This Row],[GBR]]-VLOOKUP($U$1,A:G,7,))/VLOOKUP($U$1,A:G,7,))*100)+100</f>
        <v/>
      </c>
      <c r="N356" s="23">
        <f>VLOOKUP(A356,Database!$E:$AY,MATCH($N$1,Database!$E$1:$AY$1,0),FALSE)</f>
        <v/>
      </c>
      <c r="O356" s="23">
        <f>(((Table134567891011121314151617343[[#This Row],[USA]]-VLOOKUP($U$1,A:N,14,))/VLOOKUP($U$1,A:N,14,))*100)+100</f>
        <v/>
      </c>
      <c r="P356" s="23">
        <f>VLOOKUP(A356,Database!$E:$AY,MATCH($P$1,Database!$E$1:$AY$1,0),FALSE)</f>
        <v/>
      </c>
      <c r="Q356" s="23">
        <f>(((Table134567891011121314151617343[[#This Row],[JPN]]-VLOOKUP($U$1,A:Q,16,))/VLOOKUP($U$1,A:Q,16,))*100)+100</f>
        <v/>
      </c>
    </row>
    <row r="357" customFormat="1" s="100">
      <c r="A357" s="22" t="n">
        <v>43678</v>
      </c>
      <c r="B357" s="23">
        <f>VLOOKUP(A357,Database!$E:$AY,MATCH($B$1,Database!$E$1:$AY$1,0),FALSE)</f>
        <v/>
      </c>
      <c r="C357" s="23">
        <f>VLOOKUP(A357,Database!$E:$AY,MATCH($C$1,Database!$E$1:$AY$1,0),FALSE)</f>
        <v/>
      </c>
      <c r="D357" s="23">
        <f>VLOOKUP(A357,Database!$E:$AY,MATCH($D$1,Database!$E$1:$AY$1,0),FALSE)</f>
        <v/>
      </c>
      <c r="E357" s="23">
        <f>VLOOKUP(A357,Database!$E:$AY,MATCH($E$1,Database!$E$1:$AY$1,0),FALSE)</f>
        <v/>
      </c>
      <c r="F357" s="23">
        <f>VLOOKUP(A357,Database!$E:$AY,MATCH($F$1,Database!$E$1:$AY$1,0),FALSE)</f>
        <v/>
      </c>
      <c r="G357" s="23">
        <f>VLOOKUP(A357,Database!$E:$AY,MATCH($G$1,Database!$E$1:$AY$1,0),FALSE)</f>
        <v/>
      </c>
      <c r="H357" s="23">
        <f>(((Table134567891011121314151617343[[#This Row],[ITA]]-VLOOKUP($U$1,A:B,2,))/VLOOKUP($U$1,A:B,2,))*100)+100</f>
        <v/>
      </c>
      <c r="I357" s="23">
        <f>(((Table134567891011121314151617343[[#This Row],[FRA]]-VLOOKUP($U$1,A:C,3,))/VLOOKUP($U$1,A:C,3,))*100)+100</f>
        <v/>
      </c>
      <c r="J357" s="23">
        <f>(((Table134567891011121314151617343[[#This Row],[DEU]]-VLOOKUP($U$1,A:D,4,))/VLOOKUP($U$1,A:D,4,))*100)+100</f>
        <v/>
      </c>
      <c r="K357" s="23">
        <f>(((Table134567891011121314151617343[[#This Row],[ESP]]-VLOOKUP($U$1,A:E,5,))/VLOOKUP($U$1,A:E,5,))*100)+100</f>
        <v/>
      </c>
      <c r="L357" s="23">
        <f>(((Table134567891011121314151617343[[#This Row],[EA19]]-VLOOKUP($U$1,A:F,6,))/VLOOKUP($U$1,A:F,6,))*100)+100</f>
        <v/>
      </c>
      <c r="M357" s="23">
        <f>(((Table134567891011121314151617343[[#This Row],[GBR]]-VLOOKUP($U$1,A:G,7,))/VLOOKUP($U$1,A:G,7,))*100)+100</f>
        <v/>
      </c>
      <c r="N357" s="23">
        <f>VLOOKUP(A357,Database!$E:$AY,MATCH($N$1,Database!$E$1:$AY$1,0),FALSE)</f>
        <v/>
      </c>
      <c r="O357" s="23">
        <f>(((Table134567891011121314151617343[[#This Row],[USA]]-VLOOKUP($U$1,A:N,14,))/VLOOKUP($U$1,A:N,14,))*100)+100</f>
        <v/>
      </c>
      <c r="P357" s="23">
        <f>VLOOKUP(A357,Database!$E:$AY,MATCH($P$1,Database!$E$1:$AY$1,0),FALSE)</f>
        <v/>
      </c>
      <c r="Q357" s="23">
        <f>(((Table134567891011121314151617343[[#This Row],[JPN]]-VLOOKUP($U$1,A:Q,16,))/VLOOKUP($U$1,A:Q,16,))*100)+100</f>
        <v/>
      </c>
    </row>
    <row r="358" customFormat="1" s="100">
      <c r="A358" s="16" t="n"/>
      <c r="C358" s="37" t="n"/>
      <c r="D358" s="38" t="n"/>
    </row>
    <row r="359" customFormat="1" s="100">
      <c r="A359" s="16" t="n"/>
      <c r="C359" s="37" t="n"/>
      <c r="D359" s="38" t="n"/>
    </row>
    <row r="360" customFormat="1" s="100">
      <c r="A360" s="16" t="n"/>
      <c r="C360" s="37" t="n"/>
      <c r="D360" s="38" t="n"/>
    </row>
    <row r="361" customFormat="1" s="100">
      <c r="A361" s="16" t="n"/>
      <c r="C361" s="37" t="n"/>
      <c r="D361" s="38" t="n"/>
    </row>
    <row r="362" customFormat="1" s="100">
      <c r="A362" s="16" t="n"/>
      <c r="C362" s="37" t="n"/>
      <c r="D362" s="38" t="n"/>
    </row>
    <row r="363" customFormat="1" s="100">
      <c r="A363" s="16" t="n"/>
      <c r="C363" s="37" t="n"/>
      <c r="D363" s="38" t="n"/>
    </row>
    <row r="364" customFormat="1" s="100">
      <c r="A364" s="16" t="n"/>
      <c r="C364" s="37" t="n"/>
      <c r="D364" s="38" t="n"/>
    </row>
    <row r="365" customFormat="1" s="100">
      <c r="A365" s="16" t="n"/>
      <c r="C365" s="37" t="n"/>
      <c r="D365" s="38" t="n"/>
    </row>
    <row r="366" customFormat="1" s="100">
      <c r="A366" s="16" t="n"/>
      <c r="C366" s="37" t="n"/>
      <c r="D366" s="38" t="n"/>
    </row>
    <row r="367" customFormat="1" s="100">
      <c r="A367" s="16" t="n"/>
      <c r="C367" s="37" t="n"/>
      <c r="D367" s="38" t="n"/>
    </row>
    <row r="368" customFormat="1" s="100">
      <c r="A368" s="16" t="n"/>
      <c r="C368" s="37" t="n"/>
      <c r="D368" s="38" t="n"/>
    </row>
    <row r="369" customFormat="1" s="100">
      <c r="A369" s="16" t="n"/>
      <c r="C369" s="37" t="n"/>
      <c r="D369" s="38" t="n"/>
    </row>
    <row r="370" customFormat="1" s="100">
      <c r="A370" s="16" t="n"/>
      <c r="C370" s="37" t="n"/>
      <c r="D370" s="38" t="n"/>
    </row>
    <row r="371" customFormat="1" s="100">
      <c r="A371" s="16" t="n"/>
      <c r="C371" s="37" t="n"/>
      <c r="D371" s="38" t="n"/>
    </row>
    <row r="372" customFormat="1" s="100">
      <c r="A372" s="16" t="n"/>
      <c r="C372" s="37" t="n"/>
      <c r="D372" s="38" t="n"/>
    </row>
    <row r="373" customFormat="1" s="100">
      <c r="A373" s="16" t="n"/>
      <c r="C373" s="37" t="n"/>
      <c r="D373" s="38" t="n"/>
    </row>
    <row r="374" customFormat="1" s="100">
      <c r="A374" s="16" t="n"/>
      <c r="C374" s="37" t="n"/>
      <c r="D374" s="38" t="n"/>
    </row>
    <row r="375" customFormat="1" s="100">
      <c r="A375" s="16" t="n"/>
      <c r="C375" s="37" t="n"/>
      <c r="D375" s="38" t="n"/>
    </row>
    <row r="376" customFormat="1" s="100">
      <c r="A376" s="16" t="n"/>
      <c r="C376" s="37" t="n"/>
      <c r="D376" s="38" t="n"/>
    </row>
    <row r="377" customFormat="1" s="100">
      <c r="A377" s="16" t="n"/>
      <c r="C377" s="37" t="n"/>
      <c r="D377" s="38" t="n"/>
    </row>
    <row r="378" customFormat="1" s="100">
      <c r="A378" s="16" t="n"/>
      <c r="C378" s="37" t="n"/>
      <c r="D378" s="38" t="n"/>
    </row>
    <row r="379" customFormat="1" s="100">
      <c r="A379" s="16" t="n"/>
      <c r="C379" s="37" t="n"/>
      <c r="D379" s="38" t="n"/>
    </row>
    <row r="380" customFormat="1" s="100">
      <c r="A380" s="16" t="n"/>
      <c r="C380" s="37" t="n"/>
      <c r="D380" s="38" t="n"/>
    </row>
    <row r="381" customFormat="1" s="100">
      <c r="A381" s="16" t="n"/>
      <c r="C381" s="37" t="n"/>
      <c r="D381" s="38" t="n"/>
    </row>
    <row r="382" customFormat="1" s="100">
      <c r="A382" s="16" t="n"/>
      <c r="C382" s="37" t="n"/>
      <c r="D382" s="38" t="n"/>
    </row>
    <row r="383" customFormat="1" s="100">
      <c r="A383" s="16" t="n"/>
      <c r="C383" s="37" t="n"/>
      <c r="D383" s="38" t="n"/>
    </row>
    <row r="384" customFormat="1" s="100">
      <c r="A384" s="16" t="n"/>
      <c r="C384" s="37" t="n"/>
      <c r="D384" s="38" t="n"/>
    </row>
    <row r="385" customFormat="1" s="100">
      <c r="A385" s="16" t="n"/>
      <c r="C385" s="37" t="n"/>
      <c r="D385" s="38" t="n"/>
    </row>
    <row r="386" customFormat="1" s="100">
      <c r="A386" s="16" t="n"/>
      <c r="C386" s="37" t="n"/>
      <c r="D386" s="38" t="n"/>
    </row>
    <row r="387" customFormat="1" s="100">
      <c r="A387" s="16" t="n"/>
      <c r="C387" s="37" t="n"/>
      <c r="D387" s="38" t="n"/>
    </row>
    <row r="388" customFormat="1" s="100">
      <c r="A388" s="16" t="n"/>
      <c r="C388" s="37" t="n"/>
      <c r="D388" s="38" t="n"/>
    </row>
    <row r="389" customFormat="1" s="100">
      <c r="A389" s="16" t="n"/>
      <c r="C389" s="37" t="n"/>
      <c r="D389" s="38" t="n"/>
    </row>
    <row r="390" customFormat="1" s="100">
      <c r="A390" s="16" t="n"/>
      <c r="C390" s="37" t="n"/>
      <c r="D390" s="38" t="n"/>
    </row>
    <row r="391" customFormat="1" s="100">
      <c r="A391" s="16" t="n"/>
      <c r="C391" s="37" t="n"/>
      <c r="D391" s="38" t="n"/>
    </row>
    <row r="392" customFormat="1" s="100">
      <c r="A392" s="16" t="n"/>
      <c r="C392" s="37" t="n"/>
      <c r="D392" s="38" t="n"/>
    </row>
    <row r="393" customFormat="1" s="100">
      <c r="A393" s="16" t="n"/>
      <c r="C393" s="37" t="n"/>
      <c r="D393" s="38" t="n"/>
    </row>
    <row r="394" customFormat="1" s="100">
      <c r="A394" s="16" t="n"/>
      <c r="C394" s="37" t="n"/>
      <c r="D394" s="38" t="n"/>
    </row>
    <row r="395" customFormat="1" s="100">
      <c r="A395" s="16" t="n"/>
      <c r="C395" s="37" t="n"/>
      <c r="D395" s="38" t="n"/>
    </row>
    <row r="396" customFormat="1" s="100">
      <c r="A396" s="16" t="n"/>
      <c r="C396" s="37" t="n"/>
      <c r="D396" s="38" t="n"/>
    </row>
    <row r="397" customFormat="1" s="100">
      <c r="A397" s="16" t="n"/>
      <c r="C397" s="37" t="n"/>
      <c r="D397" s="38" t="n"/>
    </row>
    <row r="398" customFormat="1" s="100">
      <c r="A398" s="16" t="n"/>
      <c r="C398" s="37" t="n"/>
      <c r="D398" s="38" t="n"/>
    </row>
    <row r="399" customFormat="1" s="100">
      <c r="A399" s="16" t="n"/>
      <c r="C399" s="37" t="n"/>
      <c r="D399" s="38" t="n"/>
    </row>
    <row r="400" customFormat="1" s="100">
      <c r="A400" s="16" t="n"/>
      <c r="C400" s="37" t="n"/>
      <c r="D400" s="38" t="n"/>
    </row>
    <row r="401" customFormat="1" s="100">
      <c r="A401" s="16" t="n"/>
      <c r="C401" s="37" t="n"/>
      <c r="D401" s="38" t="n"/>
    </row>
    <row r="402" customFormat="1" s="100">
      <c r="A402" s="16" t="n"/>
      <c r="C402" s="37" t="n"/>
      <c r="D402" s="38" t="n"/>
    </row>
    <row r="403" customFormat="1" s="100">
      <c r="A403" s="16" t="n"/>
      <c r="C403" s="37" t="n"/>
      <c r="D403" s="38" t="n"/>
    </row>
    <row r="404" customFormat="1" s="100">
      <c r="A404" s="16" t="n"/>
      <c r="C404" s="37" t="n"/>
      <c r="D404" s="38" t="n"/>
    </row>
    <row r="405" customFormat="1" s="100">
      <c r="A405" s="16" t="n"/>
      <c r="C405" s="37" t="n"/>
      <c r="D405" s="38" t="n"/>
    </row>
    <row r="406" customFormat="1" s="100">
      <c r="A406" s="16" t="n"/>
      <c r="C406" s="37" t="n"/>
      <c r="D406" s="38" t="n"/>
    </row>
    <row r="407" customFormat="1" s="100">
      <c r="A407" s="16" t="n"/>
      <c r="C407" s="37" t="n"/>
      <c r="D407" s="38" t="n"/>
    </row>
    <row r="408" customFormat="1" s="100">
      <c r="A408" s="16" t="n"/>
      <c r="C408" s="37" t="n"/>
      <c r="D408" s="38" t="n"/>
    </row>
    <row r="409" customFormat="1" s="100">
      <c r="A409" s="16" t="n"/>
      <c r="C409" s="37" t="n"/>
      <c r="D409" s="38" t="n"/>
    </row>
    <row r="410" customFormat="1" s="100">
      <c r="A410" s="16" t="n"/>
      <c r="C410" s="37" t="n"/>
      <c r="D410" s="38" t="n"/>
    </row>
    <row r="411" customFormat="1" s="100">
      <c r="A411" s="16" t="n"/>
      <c r="C411" s="37" t="n"/>
      <c r="D411" s="38" t="n"/>
    </row>
    <row r="412" customFormat="1" s="100">
      <c r="A412" s="16" t="n"/>
      <c r="C412" s="37" t="n"/>
      <c r="D412" s="38" t="n"/>
    </row>
    <row r="413" customFormat="1" s="100">
      <c r="A413" s="16" t="n"/>
      <c r="C413" s="37" t="n"/>
      <c r="D413" s="38" t="n"/>
    </row>
    <row r="414" customFormat="1" s="100">
      <c r="A414" s="16" t="n"/>
      <c r="C414" s="37" t="n"/>
      <c r="D414" s="38" t="n"/>
    </row>
    <row r="415" customFormat="1" s="100">
      <c r="A415" s="16" t="n"/>
      <c r="C415" s="37" t="n"/>
      <c r="D415" s="38" t="n"/>
    </row>
    <row r="416" customFormat="1" s="100">
      <c r="A416" s="16" t="n"/>
      <c r="C416" s="37" t="n"/>
      <c r="D416" s="38" t="n"/>
    </row>
    <row r="417" customFormat="1" s="100">
      <c r="A417" s="16" t="n"/>
      <c r="C417" s="37" t="n"/>
      <c r="D417" s="38" t="n"/>
    </row>
    <row r="418" customFormat="1" s="100">
      <c r="A418" s="16" t="n"/>
      <c r="C418" s="37" t="n"/>
      <c r="D418" s="38" t="n"/>
    </row>
    <row r="419" customFormat="1" s="100">
      <c r="A419" s="16" t="n"/>
      <c r="C419" s="37" t="n"/>
      <c r="D419" s="38" t="n"/>
    </row>
    <row r="420" customFormat="1" s="100">
      <c r="A420" s="16" t="n"/>
      <c r="C420" s="37" t="n"/>
      <c r="D420" s="38" t="n"/>
    </row>
    <row r="421" customFormat="1" s="100">
      <c r="A421" s="16" t="n"/>
      <c r="C421" s="37" t="n"/>
      <c r="D421" s="38" t="n"/>
    </row>
    <row r="422" customFormat="1" s="100">
      <c r="A422" s="16" t="n"/>
      <c r="C422" s="37" t="n"/>
      <c r="D422" s="38" t="n"/>
    </row>
    <row r="423" customFormat="1" s="100">
      <c r="A423" s="16" t="n"/>
      <c r="C423" s="37" t="n"/>
      <c r="D423" s="38" t="n"/>
    </row>
    <row r="424" customFormat="1" s="100">
      <c r="A424" s="16" t="n"/>
      <c r="C424" s="37" t="n"/>
      <c r="D424" s="38" t="n"/>
    </row>
    <row r="425" customFormat="1" s="100">
      <c r="A425" s="16" t="n"/>
      <c r="C425" s="37" t="n"/>
      <c r="D425" s="38" t="n"/>
    </row>
    <row r="426" customFormat="1" s="100">
      <c r="A426" s="16" t="n"/>
      <c r="C426" s="37" t="n"/>
      <c r="D426" s="38" t="n"/>
    </row>
    <row r="427" customFormat="1" s="100">
      <c r="A427" s="16" t="n"/>
      <c r="C427" s="37" t="n"/>
      <c r="D427" s="38" t="n"/>
    </row>
    <row r="428" customFormat="1" s="100">
      <c r="A428" s="16" t="n"/>
      <c r="C428" s="37" t="n"/>
      <c r="D428" s="38" t="n"/>
    </row>
    <row r="429" customFormat="1" s="100">
      <c r="A429" s="16" t="n"/>
      <c r="C429" s="37" t="n"/>
      <c r="D429" s="38" t="n"/>
    </row>
    <row r="430" customFormat="1" s="100">
      <c r="A430" s="16" t="n"/>
      <c r="C430" s="37" t="n"/>
      <c r="D430" s="38" t="n"/>
    </row>
    <row r="431" customFormat="1" s="100">
      <c r="A431" s="16" t="n"/>
      <c r="C431" s="37" t="n"/>
      <c r="D431" s="38" t="n"/>
    </row>
    <row r="432" customFormat="1" s="100">
      <c r="A432" s="16" t="n"/>
      <c r="C432" s="37" t="n"/>
      <c r="D432" s="38" t="n"/>
    </row>
    <row r="433" customFormat="1" s="100">
      <c r="A433" s="16" t="n"/>
      <c r="C433" s="37" t="n"/>
      <c r="D433" s="38" t="n"/>
    </row>
    <row r="434" customFormat="1" s="100">
      <c r="A434" s="16" t="n"/>
      <c r="C434" s="37" t="n"/>
      <c r="D434" s="38" t="n"/>
    </row>
    <row r="435" customFormat="1" s="100">
      <c r="A435" s="16" t="n"/>
      <c r="C435" s="37" t="n"/>
      <c r="D435" s="38" t="n"/>
    </row>
    <row r="436" customFormat="1" s="100">
      <c r="A436" s="16" t="n"/>
      <c r="C436" s="37" t="n"/>
      <c r="D436" s="38" t="n"/>
    </row>
    <row r="437" customFormat="1" s="100">
      <c r="A437" s="16" t="n"/>
      <c r="C437" s="37" t="n"/>
      <c r="D437" s="38" t="n"/>
    </row>
    <row r="438" customFormat="1" s="100">
      <c r="A438" s="16" t="n"/>
      <c r="C438" s="37" t="n"/>
      <c r="D438" s="38" t="n"/>
    </row>
    <row r="439" customFormat="1" s="100">
      <c r="A439" s="16" t="n"/>
      <c r="C439" s="37" t="n"/>
      <c r="D439" s="38" t="n"/>
    </row>
    <row r="440" customFormat="1" s="100">
      <c r="A440" s="16" t="n"/>
      <c r="C440" s="37" t="n"/>
      <c r="D440" s="38" t="n"/>
    </row>
    <row r="441" customFormat="1" s="100">
      <c r="A441" s="16" t="n"/>
      <c r="C441" s="37" t="n"/>
      <c r="D441" s="38" t="n"/>
    </row>
    <row r="442" customFormat="1" s="100">
      <c r="A442" s="16" t="n"/>
      <c r="C442" s="37" t="n"/>
      <c r="D442" s="38" t="n"/>
    </row>
    <row r="443" customFormat="1" s="100">
      <c r="A443" s="16" t="n"/>
      <c r="C443" s="37" t="n"/>
      <c r="D443" s="38" t="n"/>
    </row>
    <row r="444" customFormat="1" s="100">
      <c r="A444" s="16" t="n"/>
      <c r="C444" s="37" t="n"/>
      <c r="D444" s="38" t="n"/>
    </row>
    <row r="445" customFormat="1" s="100">
      <c r="A445" s="16" t="n"/>
      <c r="C445" s="37" t="n"/>
      <c r="D445" s="38" t="n"/>
    </row>
    <row r="446" customFormat="1" s="100">
      <c r="A446" s="16" t="n"/>
      <c r="C446" s="37" t="n"/>
      <c r="D446" s="38" t="n"/>
    </row>
    <row r="447" customFormat="1" s="100">
      <c r="A447" s="16" t="n"/>
      <c r="C447" s="37" t="n"/>
      <c r="D447" s="38" t="n"/>
    </row>
    <row r="448" customFormat="1" s="100">
      <c r="A448" s="16" t="n"/>
      <c r="C448" s="37" t="n"/>
      <c r="D448" s="38" t="n"/>
    </row>
    <row r="449" customFormat="1" s="100">
      <c r="A449" s="16" t="n"/>
      <c r="C449" s="37" t="n"/>
      <c r="D449" s="38" t="n"/>
    </row>
    <row r="450" customFormat="1" s="100">
      <c r="A450" s="16" t="n"/>
      <c r="C450" s="37" t="n"/>
      <c r="D450" s="38" t="n"/>
    </row>
    <row r="451" customFormat="1" s="100">
      <c r="A451" s="16" t="n"/>
      <c r="C451" s="37" t="n"/>
      <c r="D451" s="38" t="n"/>
    </row>
    <row r="452" customFormat="1" s="100">
      <c r="A452" s="16" t="n"/>
      <c r="C452" s="37" t="n"/>
      <c r="D452" s="38" t="n"/>
    </row>
    <row r="453" customFormat="1" s="100">
      <c r="A453" s="16" t="n"/>
      <c r="C453" s="37" t="n"/>
      <c r="D453" s="38" t="n"/>
    </row>
    <row r="454" customFormat="1" s="100">
      <c r="A454" s="16" t="n"/>
      <c r="C454" s="37" t="n"/>
      <c r="D454" s="38" t="n"/>
    </row>
    <row r="455" customFormat="1" s="100">
      <c r="A455" s="16" t="n"/>
      <c r="C455" s="37" t="n"/>
      <c r="D455" s="38" t="n"/>
    </row>
    <row r="456" customFormat="1" s="100">
      <c r="A456" s="16" t="n"/>
      <c r="C456" s="37" t="n"/>
      <c r="D456" s="38" t="n"/>
    </row>
    <row r="457" customFormat="1" s="100">
      <c r="A457" s="16" t="n"/>
      <c r="C457" s="37" t="n"/>
      <c r="D457" s="38" t="n"/>
    </row>
    <row r="458" customFormat="1" s="100">
      <c r="A458" s="16" t="n"/>
      <c r="C458" s="37" t="n"/>
      <c r="D458" s="38" t="n"/>
    </row>
    <row r="459" customFormat="1" s="100">
      <c r="A459" s="16" t="n"/>
      <c r="C459" s="37" t="n"/>
      <c r="D459" s="38" t="n"/>
    </row>
    <row r="460" customFormat="1" s="100">
      <c r="A460" s="16" t="n"/>
      <c r="C460" s="37" t="n"/>
      <c r="D460" s="38" t="n"/>
    </row>
    <row r="461" customFormat="1" s="100">
      <c r="A461" s="16" t="n"/>
      <c r="C461" s="37" t="n"/>
      <c r="D461" s="38" t="n"/>
    </row>
    <row r="462" customFormat="1" s="100">
      <c r="A462" s="16" t="n"/>
      <c r="C462" s="37" t="n"/>
      <c r="D462" s="38" t="n"/>
    </row>
    <row r="463" customFormat="1" s="100">
      <c r="A463" s="16" t="n"/>
      <c r="C463" s="37" t="n"/>
      <c r="D463" s="38" t="n"/>
    </row>
    <row r="464" customFormat="1" s="100">
      <c r="A464" s="16" t="n"/>
      <c r="C464" s="37" t="n"/>
      <c r="D464" s="38" t="n"/>
    </row>
    <row r="465" customFormat="1" s="100">
      <c r="A465" s="16" t="n"/>
      <c r="C465" s="37" t="n"/>
      <c r="D465" s="38" t="n"/>
    </row>
    <row r="466" customFormat="1" s="100">
      <c r="A466" s="16" t="n"/>
      <c r="C466" s="37" t="n"/>
      <c r="D466" s="38" t="n"/>
    </row>
    <row r="467" customFormat="1" s="100">
      <c r="A467" s="16" t="n"/>
      <c r="C467" s="37" t="n"/>
      <c r="D467" s="38" t="n"/>
    </row>
    <row r="468" customFormat="1" s="100">
      <c r="A468" s="16" t="n"/>
      <c r="C468" s="37" t="n"/>
      <c r="D468" s="38" t="n"/>
    </row>
    <row r="469" customFormat="1" s="100">
      <c r="A469" s="16" t="n"/>
      <c r="C469" s="37" t="n"/>
      <c r="D469" s="38" t="n"/>
    </row>
    <row r="470" customFormat="1" s="100">
      <c r="A470" s="16" t="n"/>
      <c r="C470" s="37" t="n"/>
      <c r="D470" s="38" t="n"/>
    </row>
    <row r="471" customFormat="1" s="100">
      <c r="A471" s="16" t="n"/>
      <c r="C471" s="37" t="n"/>
      <c r="D471" s="38" t="n"/>
    </row>
    <row r="472" customFormat="1" s="100">
      <c r="A472" s="16" t="n"/>
      <c r="C472" s="37" t="n"/>
      <c r="D472" s="38" t="n"/>
    </row>
    <row r="473" customFormat="1" s="100">
      <c r="A473" s="16" t="n"/>
      <c r="C473" s="37" t="n"/>
      <c r="D473" s="38" t="n"/>
    </row>
    <row r="474" customFormat="1" s="100">
      <c r="A474" s="16" t="n"/>
      <c r="C474" s="37" t="n"/>
      <c r="D474" s="38" t="n"/>
    </row>
    <row r="475" customFormat="1" s="100">
      <c r="A475" s="16" t="n"/>
      <c r="C475" s="37" t="n"/>
      <c r="D475" s="38" t="n"/>
    </row>
    <row r="476" customFormat="1" s="100">
      <c r="A476" s="16" t="n"/>
      <c r="C476" s="37" t="n"/>
      <c r="D476" s="38" t="n"/>
    </row>
    <row r="477" customFormat="1" s="100">
      <c r="A477" s="16" t="n"/>
      <c r="C477" s="37" t="n"/>
      <c r="D477" s="38" t="n"/>
    </row>
    <row r="478" customFormat="1" s="100">
      <c r="A478" s="16" t="n"/>
      <c r="C478" s="37" t="n"/>
      <c r="D478" s="38" t="n"/>
    </row>
    <row r="479" customFormat="1" s="100">
      <c r="A479" s="16" t="n"/>
      <c r="C479" s="37" t="n"/>
      <c r="D479" s="38" t="n"/>
    </row>
    <row r="480" customFormat="1" s="100">
      <c r="A480" s="16" t="n"/>
      <c r="C480" s="37" t="n"/>
      <c r="D480" s="38" t="n"/>
    </row>
    <row r="481" customFormat="1" s="100">
      <c r="A481" s="16" t="n"/>
      <c r="C481" s="37" t="n"/>
      <c r="D481" s="38" t="n"/>
    </row>
    <row r="482" customFormat="1" s="100">
      <c r="A482" s="16" t="n"/>
      <c r="C482" s="37" t="n"/>
      <c r="D482" s="38" t="n"/>
    </row>
    <row r="483" customFormat="1" s="100">
      <c r="A483" s="16" t="n"/>
      <c r="C483" s="37" t="n"/>
      <c r="D483" s="38" t="n"/>
    </row>
    <row r="484" customFormat="1" s="100">
      <c r="A484" s="16" t="n"/>
      <c r="C484" s="37" t="n"/>
      <c r="D484" s="38" t="n"/>
    </row>
    <row r="485" customFormat="1" s="100">
      <c r="A485" s="16" t="n"/>
      <c r="C485" s="37" t="n"/>
      <c r="D485" s="38" t="n"/>
    </row>
    <row r="486" customFormat="1" s="100">
      <c r="A486" s="16" t="n"/>
      <c r="C486" s="37" t="n"/>
      <c r="D486" s="38" t="n"/>
    </row>
    <row r="487" customFormat="1" s="100">
      <c r="A487" s="16" t="n"/>
      <c r="C487" s="37" t="n"/>
      <c r="D487" s="38" t="n"/>
    </row>
    <row r="488" customFormat="1" s="100">
      <c r="A488" s="16" t="n"/>
      <c r="C488" s="37" t="n"/>
      <c r="D488" s="38" t="n"/>
    </row>
    <row r="489" customFormat="1" s="100">
      <c r="A489" s="16" t="n"/>
      <c r="C489" s="37" t="n"/>
      <c r="D489" s="38" t="n"/>
    </row>
    <row r="490" customFormat="1" s="100">
      <c r="A490" s="16" t="n"/>
      <c r="C490" s="37" t="n"/>
      <c r="D490" s="38" t="n"/>
    </row>
    <row r="491" customFormat="1" s="100">
      <c r="A491" s="16" t="n"/>
      <c r="C491" s="37" t="n"/>
      <c r="D491" s="38" t="n"/>
    </row>
    <row r="492" customFormat="1" s="100">
      <c r="A492" s="16" t="n"/>
      <c r="C492" s="37" t="n"/>
      <c r="D492" s="38" t="n"/>
    </row>
    <row r="493" customFormat="1" s="100">
      <c r="A493" s="16" t="n"/>
      <c r="C493" s="37" t="n"/>
      <c r="D493" s="38" t="n"/>
    </row>
    <row r="494" customFormat="1" s="100">
      <c r="A494" s="16" t="n"/>
      <c r="C494" s="37" t="n"/>
      <c r="D494" s="38" t="n"/>
    </row>
    <row r="495" customFormat="1" s="100">
      <c r="A495" s="16" t="n"/>
      <c r="C495" s="37" t="n"/>
      <c r="D495" s="38" t="n"/>
    </row>
    <row r="496" customFormat="1" s="100">
      <c r="A496" s="16" t="n"/>
      <c r="C496" s="37" t="n"/>
      <c r="D496" s="38" t="n"/>
    </row>
    <row r="497" customFormat="1" s="100">
      <c r="A497" s="16" t="n"/>
      <c r="C497" s="37" t="n"/>
      <c r="D497" s="38" t="n"/>
    </row>
    <row r="498" customFormat="1" s="100">
      <c r="A498" s="16" t="n"/>
      <c r="C498" s="37" t="n"/>
      <c r="D498" s="38" t="n"/>
    </row>
    <row r="499" customFormat="1" s="100">
      <c r="A499" s="16" t="n"/>
      <c r="C499" s="37" t="n"/>
      <c r="D499" s="38" t="n"/>
    </row>
    <row r="500" customFormat="1" s="100">
      <c r="A500" s="16" t="n"/>
      <c r="C500" s="37" t="n"/>
      <c r="D500" s="38" t="n"/>
    </row>
    <row r="501" customFormat="1" s="100">
      <c r="A501" s="16" t="n"/>
      <c r="C501" s="37" t="n"/>
      <c r="D501" s="38" t="n"/>
    </row>
    <row r="502" customFormat="1" s="100">
      <c r="A502" s="16" t="n"/>
      <c r="C502" s="37" t="n"/>
      <c r="D502" s="38" t="n"/>
    </row>
    <row r="503" customFormat="1" s="100">
      <c r="A503" s="16" t="n"/>
      <c r="C503" s="37" t="n"/>
      <c r="D503" s="38" t="n"/>
    </row>
    <row r="504" customFormat="1" s="100">
      <c r="A504" s="16" t="n"/>
      <c r="C504" s="37" t="n"/>
      <c r="D504" s="38" t="n"/>
    </row>
    <row r="505" customFormat="1" s="100">
      <c r="A505" s="16" t="n"/>
      <c r="C505" s="37" t="n"/>
      <c r="D505" s="38" t="n"/>
    </row>
    <row r="506" customFormat="1" s="100">
      <c r="A506" s="16" t="n"/>
      <c r="C506" s="37" t="n"/>
      <c r="D506" s="38" t="n"/>
    </row>
    <row r="507" customFormat="1" s="100">
      <c r="A507" s="16" t="n"/>
      <c r="C507" s="37" t="n"/>
      <c r="D507" s="38" t="n"/>
    </row>
    <row r="508" customFormat="1" s="100">
      <c r="A508" s="16" t="n"/>
      <c r="C508" s="37" t="n"/>
      <c r="D508" s="38" t="n"/>
    </row>
    <row r="509" customFormat="1" s="100">
      <c r="A509" s="16" t="n"/>
      <c r="C509" s="37" t="n"/>
      <c r="D509" s="38" t="n"/>
    </row>
    <row r="510" customFormat="1" s="100">
      <c r="A510" s="16" t="n"/>
      <c r="C510" s="37" t="n"/>
      <c r="D510" s="38" t="n"/>
    </row>
    <row r="511" customFormat="1" s="100">
      <c r="A511" s="16" t="n"/>
      <c r="C511" s="37" t="n"/>
      <c r="D511" s="38" t="n"/>
    </row>
    <row r="512" customFormat="1" s="100">
      <c r="A512" s="16" t="n"/>
      <c r="C512" s="37" t="n"/>
      <c r="D512" s="38" t="n"/>
    </row>
    <row r="513" customFormat="1" s="100">
      <c r="A513" s="16" t="n"/>
      <c r="C513" s="37" t="n"/>
      <c r="D513" s="38" t="n"/>
    </row>
    <row r="514" customFormat="1" s="100">
      <c r="A514" s="16" t="n"/>
      <c r="C514" s="37" t="n"/>
      <c r="D514" s="38" t="n"/>
    </row>
    <row r="515" customFormat="1" s="100">
      <c r="A515" s="16" t="n"/>
      <c r="C515" s="37" t="n"/>
      <c r="D515" s="38" t="n"/>
    </row>
    <row r="516" customFormat="1" s="100">
      <c r="A516" s="16" t="n"/>
      <c r="C516" s="37" t="n"/>
      <c r="D516" s="38" t="n"/>
    </row>
    <row r="517" customFormat="1" s="100">
      <c r="A517" s="16" t="n"/>
      <c r="C517" s="37" t="n"/>
      <c r="D517" s="38" t="n"/>
    </row>
    <row r="518" customFormat="1" s="100">
      <c r="A518" s="16" t="n"/>
      <c r="C518" s="37" t="n"/>
      <c r="D518" s="38" t="n"/>
    </row>
    <row r="519" customFormat="1" s="100">
      <c r="A519" s="16" t="n"/>
      <c r="C519" s="37" t="n"/>
      <c r="D519" s="38" t="n"/>
    </row>
    <row r="520" customFormat="1" s="100">
      <c r="A520" s="16" t="n"/>
      <c r="C520" s="37" t="n"/>
      <c r="D520" s="38" t="n"/>
    </row>
    <row r="521" customFormat="1" s="100">
      <c r="A521" s="16" t="n"/>
      <c r="C521" s="37" t="n"/>
      <c r="D521" s="38" t="n"/>
    </row>
    <row r="522" customFormat="1" s="100">
      <c r="A522" s="16" t="n"/>
      <c r="C522" s="37" t="n"/>
      <c r="D522" s="38" t="n"/>
    </row>
    <row r="523" customFormat="1" s="100">
      <c r="A523" s="16" t="n"/>
      <c r="C523" s="37" t="n"/>
      <c r="D523" s="38" t="n"/>
    </row>
    <row r="524" customFormat="1" s="100">
      <c r="A524" s="16" t="n"/>
      <c r="C524" s="37" t="n"/>
      <c r="D524" s="38" t="n"/>
    </row>
    <row r="525" customFormat="1" s="100">
      <c r="A525" s="16" t="n"/>
      <c r="C525" s="37" t="n"/>
      <c r="D525" s="38" t="n"/>
    </row>
    <row r="526" customFormat="1" s="100">
      <c r="A526" s="16" t="n"/>
      <c r="C526" s="37" t="n"/>
      <c r="D526" s="38" t="n"/>
    </row>
    <row r="527" customFormat="1" s="100">
      <c r="A527" s="16" t="n"/>
      <c r="C527" s="37" t="n"/>
      <c r="D527" s="38" t="n"/>
    </row>
    <row r="528" customFormat="1" s="100">
      <c r="A528" s="16" t="n"/>
      <c r="C528" s="37" t="n"/>
      <c r="D528" s="38" t="n"/>
    </row>
    <row r="529" customFormat="1" s="100">
      <c r="A529" s="16" t="n"/>
      <c r="C529" s="37" t="n"/>
      <c r="D529" s="38" t="n"/>
    </row>
    <row r="530" customFormat="1" s="100">
      <c r="A530" s="16" t="n"/>
      <c r="C530" s="37" t="n"/>
      <c r="D530" s="38" t="n"/>
    </row>
    <row r="531" customFormat="1" s="100">
      <c r="A531" s="16" t="n"/>
      <c r="C531" s="37" t="n"/>
      <c r="D531" s="38" t="n"/>
    </row>
    <row r="532" customFormat="1" s="100">
      <c r="A532" s="16" t="n"/>
      <c r="C532" s="37" t="n"/>
      <c r="D532" s="38" t="n"/>
    </row>
    <row r="533" customFormat="1" s="100">
      <c r="A533" s="16" t="n"/>
      <c r="C533" s="37" t="n"/>
      <c r="D533" s="38" t="n"/>
    </row>
    <row r="534" customFormat="1" s="100">
      <c r="A534" s="16" t="n"/>
      <c r="C534" s="37" t="n"/>
      <c r="D534" s="38" t="n"/>
    </row>
    <row r="535" customFormat="1" s="100">
      <c r="A535" s="16" t="n"/>
      <c r="C535" s="37" t="n"/>
      <c r="D535" s="38" t="n"/>
    </row>
    <row r="536" customFormat="1" s="100">
      <c r="A536" s="16" t="n"/>
      <c r="C536" s="37" t="n"/>
      <c r="D536" s="38" t="n"/>
    </row>
    <row r="537" customFormat="1" s="100">
      <c r="A537" s="16" t="n"/>
      <c r="C537" s="37" t="n"/>
      <c r="D537" s="38" t="n"/>
    </row>
    <row r="538" customFormat="1" s="100">
      <c r="A538" s="16" t="n"/>
      <c r="C538" s="37" t="n"/>
      <c r="D538" s="38" t="n"/>
    </row>
    <row r="539" customFormat="1" s="100">
      <c r="A539" s="16" t="n"/>
      <c r="C539" s="37" t="n"/>
      <c r="D539" s="38" t="n"/>
    </row>
    <row r="540" customFormat="1" s="100">
      <c r="A540" s="16" t="n"/>
      <c r="C540" s="37" t="n"/>
      <c r="D540" s="38" t="n"/>
    </row>
    <row r="541" customFormat="1" s="100">
      <c r="A541" s="16" t="n"/>
      <c r="C541" s="37" t="n"/>
      <c r="D541" s="38" t="n"/>
    </row>
    <row r="542" customFormat="1" s="100">
      <c r="A542" s="16" t="n"/>
      <c r="C542" s="37" t="n"/>
      <c r="D542" s="38" t="n"/>
    </row>
    <row r="543" customFormat="1" s="100">
      <c r="A543" s="16" t="n"/>
      <c r="C543" s="37" t="n"/>
      <c r="D543" s="38" t="n"/>
    </row>
    <row r="544" customFormat="1" s="100">
      <c r="A544" s="16" t="n"/>
      <c r="C544" s="37" t="n"/>
      <c r="D544" s="38" t="n"/>
    </row>
    <row r="545" customFormat="1" s="100">
      <c r="A545" s="16" t="n"/>
      <c r="C545" s="37" t="n"/>
      <c r="D545" s="38" t="n"/>
    </row>
    <row r="546" customFormat="1" s="100">
      <c r="A546" s="16" t="n"/>
      <c r="C546" s="37" t="n"/>
      <c r="D546" s="38" t="n"/>
    </row>
    <row r="547" customFormat="1" s="100">
      <c r="A547" s="16" t="n"/>
      <c r="C547" s="37" t="n"/>
      <c r="D547" s="38" t="n"/>
    </row>
    <row r="548" customFormat="1" s="100">
      <c r="A548" s="16" t="n"/>
      <c r="C548" s="37" t="n"/>
      <c r="D548" s="38" t="n"/>
    </row>
    <row r="549" customFormat="1" s="100">
      <c r="A549" s="16" t="n"/>
      <c r="C549" s="37" t="n"/>
      <c r="D549" s="38" t="n"/>
    </row>
    <row r="550" customFormat="1" s="100">
      <c r="A550" s="16" t="n"/>
      <c r="C550" s="37" t="n"/>
      <c r="D550" s="38" t="n"/>
    </row>
    <row r="551" customFormat="1" s="100">
      <c r="A551" s="16" t="n"/>
      <c r="C551" s="37" t="n"/>
      <c r="D551" s="38" t="n"/>
    </row>
    <row r="552" customFormat="1" s="100">
      <c r="A552" s="16" t="n"/>
      <c r="C552" s="37" t="n"/>
      <c r="D552" s="38" t="n"/>
    </row>
    <row r="553" customFormat="1" s="100">
      <c r="A553" s="16" t="n"/>
      <c r="C553" s="37" t="n"/>
      <c r="D553" s="38" t="n"/>
    </row>
    <row r="554" customFormat="1" s="100">
      <c r="A554" s="16" t="n"/>
      <c r="C554" s="37" t="n"/>
      <c r="D554" s="38" t="n"/>
    </row>
    <row r="555" customFormat="1" s="100">
      <c r="A555" s="16" t="n"/>
      <c r="C555" s="37" t="n"/>
      <c r="D555" s="38" t="n"/>
    </row>
    <row r="556" customFormat="1" s="100">
      <c r="A556" s="16" t="n"/>
      <c r="C556" s="37" t="n"/>
      <c r="D556" s="38" t="n"/>
    </row>
    <row r="557" customFormat="1" s="100">
      <c r="A557" s="16" t="n"/>
      <c r="C557" s="37" t="n"/>
      <c r="D557" s="38" t="n"/>
    </row>
    <row r="558" customFormat="1" s="100">
      <c r="A558" s="16" t="n"/>
      <c r="C558" s="37" t="n"/>
      <c r="D558" s="38" t="n"/>
    </row>
    <row r="559" customFormat="1" s="100">
      <c r="A559" s="16" t="n"/>
      <c r="C559" s="37" t="n"/>
      <c r="D559" s="38" t="n"/>
    </row>
    <row r="560" customFormat="1" s="100">
      <c r="A560" s="16" t="n"/>
      <c r="C560" s="37" t="n"/>
      <c r="D560" s="38" t="n"/>
    </row>
    <row r="561" customFormat="1" s="100">
      <c r="A561" s="16" t="n"/>
      <c r="C561" s="37" t="n"/>
      <c r="D561" s="38" t="n"/>
    </row>
    <row r="562" customFormat="1" s="100">
      <c r="A562" s="16" t="n"/>
      <c r="C562" s="37" t="n"/>
      <c r="D562" s="38" t="n"/>
    </row>
    <row r="563" customFormat="1" s="100">
      <c r="A563" s="16" t="n"/>
      <c r="C563" s="37" t="n"/>
      <c r="D563" s="38" t="n"/>
    </row>
    <row r="564" customFormat="1" s="100">
      <c r="A564" s="16" t="n"/>
      <c r="C564" s="37" t="n"/>
      <c r="D564" s="38" t="n"/>
    </row>
    <row r="565" customFormat="1" s="100">
      <c r="A565" s="16" t="n"/>
      <c r="C565" s="37" t="n"/>
      <c r="D565" s="38" t="n"/>
    </row>
    <row r="566" customFormat="1" s="100">
      <c r="A566" s="16" t="n"/>
      <c r="C566" s="37" t="n"/>
      <c r="D566" s="38" t="n"/>
    </row>
    <row r="567" customFormat="1" s="100">
      <c r="A567" s="16" t="n"/>
      <c r="C567" s="37" t="n"/>
      <c r="D567" s="38" t="n"/>
    </row>
    <row r="568" customFormat="1" s="100">
      <c r="A568" s="16" t="n"/>
      <c r="C568" s="37" t="n"/>
      <c r="D568" s="38" t="n"/>
    </row>
    <row r="569" customFormat="1" s="100">
      <c r="A569" s="16" t="n"/>
      <c r="C569" s="37" t="n"/>
      <c r="D569" s="38" t="n"/>
    </row>
    <row r="570" customFormat="1" s="100">
      <c r="A570" s="16" t="n"/>
      <c r="C570" s="37" t="n"/>
      <c r="D570" s="38" t="n"/>
    </row>
    <row r="571" customFormat="1" s="100">
      <c r="A571" s="16" t="n"/>
      <c r="C571" s="37" t="n"/>
      <c r="D571" s="38" t="n"/>
    </row>
    <row r="572" customFormat="1" s="100">
      <c r="A572" s="16" t="n"/>
      <c r="C572" s="37" t="n"/>
      <c r="D572" s="38" t="n"/>
    </row>
    <row r="573" customFormat="1" s="100">
      <c r="A573" s="16" t="n"/>
      <c r="C573" s="37" t="n"/>
      <c r="D573" s="38" t="n"/>
    </row>
    <row r="574" customFormat="1" s="100">
      <c r="A574" s="16" t="n"/>
      <c r="C574" s="37" t="n"/>
      <c r="D574" s="38" t="n"/>
    </row>
    <row r="575" customFormat="1" s="100">
      <c r="A575" s="16" t="n"/>
      <c r="C575" s="37" t="n"/>
      <c r="D575" s="38" t="n"/>
    </row>
    <row r="576" customFormat="1" s="100">
      <c r="A576" s="16" t="n"/>
      <c r="C576" s="37" t="n"/>
      <c r="D576" s="38" t="n"/>
    </row>
    <row r="577" customFormat="1" s="100">
      <c r="A577" s="16" t="n"/>
      <c r="C577" s="37" t="n"/>
      <c r="D577" s="38" t="n"/>
    </row>
    <row r="578" customFormat="1" s="100">
      <c r="A578" s="16" t="n"/>
      <c r="C578" s="37" t="n"/>
      <c r="D578" s="38" t="n"/>
    </row>
    <row r="579" customFormat="1" s="100">
      <c r="A579" s="16" t="n"/>
      <c r="C579" s="37" t="n"/>
      <c r="D579" s="38" t="n"/>
    </row>
    <row r="580" customFormat="1" s="100">
      <c r="A580" s="16" t="n"/>
      <c r="C580" s="37" t="n"/>
      <c r="D580" s="38" t="n"/>
    </row>
    <row r="581" customFormat="1" s="100">
      <c r="A581" s="16" t="n"/>
      <c r="C581" s="37" t="n"/>
      <c r="D581" s="38" t="n"/>
    </row>
    <row r="582" customFormat="1" s="100">
      <c r="A582" s="16" t="n"/>
      <c r="C582" s="37" t="n"/>
      <c r="D582" s="38" t="n"/>
    </row>
    <row r="583" customFormat="1" s="100">
      <c r="A583" s="16" t="n"/>
      <c r="C583" s="37" t="n"/>
      <c r="D583" s="38" t="n"/>
    </row>
    <row r="584" customFormat="1" s="100">
      <c r="A584" s="16" t="n"/>
      <c r="C584" s="37" t="n"/>
      <c r="D584" s="38" t="n"/>
    </row>
    <row r="585" customFormat="1" s="100">
      <c r="A585" s="16" t="n"/>
      <c r="C585" s="37" t="n"/>
      <c r="D585" s="38" t="n"/>
    </row>
    <row r="586" customFormat="1" s="100">
      <c r="A586" s="16" t="n"/>
      <c r="C586" s="37" t="n"/>
      <c r="D586" s="38" t="n"/>
    </row>
    <row r="587" customFormat="1" s="100">
      <c r="A587" s="16" t="n"/>
      <c r="C587" s="37" t="n"/>
      <c r="D587" s="38" t="n"/>
    </row>
    <row r="588" customFormat="1" s="100">
      <c r="A588" s="16" t="n"/>
      <c r="C588" s="37" t="n"/>
      <c r="D588" s="38" t="n"/>
    </row>
    <row r="589" customFormat="1" s="100">
      <c r="A589" s="16" t="n"/>
      <c r="C589" s="37" t="n"/>
      <c r="D589" s="38" t="n"/>
    </row>
    <row r="590" customFormat="1" s="100">
      <c r="A590" s="16" t="n"/>
      <c r="C590" s="37" t="n"/>
      <c r="D590" s="38" t="n"/>
    </row>
    <row r="591" customFormat="1" s="100">
      <c r="A591" s="16" t="n"/>
      <c r="C591" s="37" t="n"/>
      <c r="D591" s="38" t="n"/>
    </row>
    <row r="592" customFormat="1" s="100">
      <c r="A592" s="16" t="n"/>
      <c r="C592" s="37" t="n"/>
      <c r="D592" s="38" t="n"/>
    </row>
    <row r="593" customFormat="1" s="100">
      <c r="A593" s="16" t="n"/>
      <c r="C593" s="37" t="n"/>
      <c r="D593" s="38" t="n"/>
    </row>
    <row r="594" customFormat="1" s="100">
      <c r="A594" s="16" t="n"/>
      <c r="C594" s="37" t="n"/>
      <c r="D594" s="38" t="n"/>
    </row>
    <row r="595" customFormat="1" s="100">
      <c r="A595" s="16" t="n"/>
      <c r="C595" s="37" t="n"/>
      <c r="D595" s="38" t="n"/>
    </row>
    <row r="596" customFormat="1" s="100">
      <c r="A596" s="16" t="n"/>
      <c r="C596" s="37" t="n"/>
      <c r="D596" s="38" t="n"/>
    </row>
    <row r="597" customFormat="1" s="100">
      <c r="A597" s="16" t="n"/>
      <c r="C597" s="37" t="n"/>
      <c r="D597" s="38" t="n"/>
    </row>
    <row r="598" customFormat="1" s="100">
      <c r="A598" s="16" t="n"/>
      <c r="C598" s="37" t="n"/>
      <c r="D598" s="38" t="n"/>
    </row>
    <row r="599" customFormat="1" s="100">
      <c r="A599" s="16" t="n"/>
      <c r="C599" s="37" t="n"/>
      <c r="D599" s="38" t="n"/>
    </row>
    <row r="600" customFormat="1" s="100">
      <c r="A600" s="16" t="n"/>
      <c r="C600" s="37" t="n"/>
      <c r="D600" s="38" t="n"/>
    </row>
    <row r="601" customFormat="1" s="100">
      <c r="A601" s="16" t="n"/>
      <c r="C601" s="37" t="n"/>
      <c r="D601" s="38" t="n"/>
    </row>
    <row r="602" customFormat="1" s="100">
      <c r="A602" s="16" t="n"/>
      <c r="C602" s="37" t="n"/>
      <c r="D602" s="38" t="n"/>
    </row>
    <row r="603" customFormat="1" s="100">
      <c r="A603" s="16" t="n"/>
      <c r="C603" s="37" t="n"/>
      <c r="D603" s="38" t="n"/>
    </row>
    <row r="604" customFormat="1" s="100">
      <c r="A604" s="16" t="n"/>
      <c r="C604" s="37" t="n"/>
      <c r="D604" s="38" t="n"/>
    </row>
    <row r="605" customFormat="1" s="100">
      <c r="A605" s="16" t="n"/>
      <c r="C605" s="37" t="n"/>
      <c r="D605" s="38" t="n"/>
    </row>
    <row r="606" customFormat="1" s="100">
      <c r="A606" s="16" t="n"/>
      <c r="C606" s="37" t="n"/>
      <c r="D606" s="38" t="n"/>
    </row>
    <row r="607" customFormat="1" s="100">
      <c r="A607" s="16" t="n"/>
      <c r="C607" s="37" t="n"/>
      <c r="D607" s="38" t="n"/>
    </row>
    <row r="608" customFormat="1" s="100">
      <c r="A608" s="16" t="n"/>
      <c r="C608" s="37" t="n"/>
      <c r="D608" s="38" t="n"/>
    </row>
    <row r="609" customFormat="1" s="100">
      <c r="A609" s="16" t="n"/>
      <c r="C609" s="37" t="n"/>
      <c r="D609" s="38" t="n"/>
    </row>
    <row r="610" customFormat="1" s="100">
      <c r="A610" s="16" t="n"/>
      <c r="C610" s="37" t="n"/>
      <c r="D610" s="38" t="n"/>
    </row>
    <row r="611" customFormat="1" s="100">
      <c r="A611" s="16" t="n"/>
      <c r="C611" s="37" t="n"/>
      <c r="D611" s="38" t="n"/>
    </row>
    <row r="612" customFormat="1" s="100">
      <c r="A612" s="16" t="n"/>
      <c r="C612" s="37" t="n"/>
      <c r="D612" s="38" t="n"/>
    </row>
    <row r="613" customFormat="1" s="100">
      <c r="A613" s="16" t="n"/>
      <c r="C613" s="37" t="n"/>
      <c r="D613" s="38" t="n"/>
    </row>
    <row r="614" customFormat="1" s="100">
      <c r="A614" s="16" t="n"/>
      <c r="C614" s="37" t="n"/>
      <c r="D614" s="38" t="n"/>
    </row>
    <row r="615" customFormat="1" s="100">
      <c r="A615" s="16" t="n"/>
      <c r="C615" s="37" t="n"/>
      <c r="D615" s="38" t="n"/>
    </row>
    <row r="616" customFormat="1" s="100">
      <c r="A616" s="16" t="n"/>
      <c r="C616" s="37" t="n"/>
      <c r="D616" s="38" t="n"/>
    </row>
    <row r="617" customFormat="1" s="100">
      <c r="A617" s="16" t="n"/>
      <c r="C617" s="37" t="n"/>
      <c r="D617" s="38" t="n"/>
    </row>
    <row r="618" customFormat="1" s="100">
      <c r="A618" s="16" t="n"/>
      <c r="C618" s="37" t="n"/>
      <c r="D618" s="38" t="n"/>
    </row>
    <row r="619" customFormat="1" s="100">
      <c r="A619" s="16" t="n"/>
      <c r="C619" s="37" t="n"/>
      <c r="D619" s="38" t="n"/>
    </row>
    <row r="620" customFormat="1" s="100">
      <c r="A620" s="16" t="n"/>
      <c r="C620" s="37" t="n"/>
      <c r="D620" s="38" t="n"/>
    </row>
    <row r="621" customFormat="1" s="100">
      <c r="A621" s="16" t="n"/>
      <c r="C621" s="37" t="n"/>
      <c r="D621" s="38" t="n"/>
    </row>
    <row r="622" customFormat="1" s="100">
      <c r="A622" s="16" t="n"/>
      <c r="C622" s="37" t="n"/>
      <c r="D622" s="38" t="n"/>
    </row>
    <row r="623" customFormat="1" s="100">
      <c r="A623" s="16" t="n"/>
      <c r="C623" s="37" t="n"/>
      <c r="D623" s="38" t="n"/>
    </row>
    <row r="624" customFormat="1" s="100">
      <c r="A624" s="16" t="n"/>
      <c r="C624" s="37" t="n"/>
      <c r="D624" s="38" t="n"/>
    </row>
    <row r="625" customFormat="1" s="100">
      <c r="A625" s="16" t="n"/>
      <c r="C625" s="37" t="n"/>
      <c r="D625" s="38" t="n"/>
    </row>
    <row r="626" customFormat="1" s="100">
      <c r="A626" s="16" t="n"/>
      <c r="C626" s="37" t="n"/>
      <c r="D626" s="38" t="n"/>
    </row>
    <row r="627" customFormat="1" s="100">
      <c r="A627" s="16" t="n"/>
      <c r="C627" s="37" t="n"/>
      <c r="D627" s="38" t="n"/>
    </row>
    <row r="628" customFormat="1" s="100">
      <c r="A628" s="16" t="n"/>
      <c r="C628" s="37" t="n"/>
      <c r="D628" s="38" t="n"/>
    </row>
    <row r="629" customFormat="1" s="100">
      <c r="A629" s="16" t="n"/>
      <c r="C629" s="37" t="n"/>
      <c r="D629" s="38" t="n"/>
    </row>
    <row r="630" customFormat="1" s="100">
      <c r="A630" s="16" t="n"/>
      <c r="C630" s="37" t="n"/>
      <c r="D630" s="38" t="n"/>
    </row>
    <row r="631" customFormat="1" s="100">
      <c r="A631" s="16" t="n"/>
      <c r="C631" s="37" t="n"/>
      <c r="D631" s="38" t="n"/>
    </row>
    <row r="632" customFormat="1" s="100">
      <c r="A632" s="16" t="n"/>
      <c r="C632" s="37" t="n"/>
      <c r="D632" s="38" t="n"/>
    </row>
    <row r="633" customFormat="1" s="100">
      <c r="A633" s="16" t="n"/>
      <c r="C633" s="37" t="n"/>
      <c r="D633" s="38" t="n"/>
    </row>
    <row r="634" customFormat="1" s="100">
      <c r="A634" s="16" t="n"/>
      <c r="C634" s="37" t="n"/>
      <c r="D634" s="38" t="n"/>
    </row>
    <row r="635" customFormat="1" s="100">
      <c r="A635" s="16" t="n"/>
      <c r="C635" s="37" t="n"/>
      <c r="D635" s="38" t="n"/>
    </row>
    <row r="636" customFormat="1" s="100">
      <c r="A636" s="16" t="n"/>
      <c r="C636" s="37" t="n"/>
      <c r="D636" s="38" t="n"/>
    </row>
    <row r="637" customFormat="1" s="100">
      <c r="A637" s="16" t="n"/>
      <c r="C637" s="37" t="n"/>
      <c r="D637" s="38" t="n"/>
    </row>
    <row r="638" customFormat="1" s="100">
      <c r="A638" s="16" t="n"/>
      <c r="C638" s="37" t="n"/>
      <c r="D638" s="38" t="n"/>
    </row>
    <row r="639" customFormat="1" s="100">
      <c r="A639" s="16" t="n"/>
      <c r="C639" s="37" t="n"/>
      <c r="D639" s="38" t="n"/>
    </row>
    <row r="640" customFormat="1" s="100">
      <c r="A640" s="16" t="n"/>
      <c r="C640" s="37" t="n"/>
      <c r="D640" s="38" t="n"/>
    </row>
    <row r="641" customFormat="1" s="100">
      <c r="A641" s="16" t="n"/>
      <c r="C641" s="37" t="n"/>
      <c r="D641" s="38" t="n"/>
    </row>
    <row r="642" customFormat="1" s="100">
      <c r="A642" s="16" t="n"/>
      <c r="C642" s="37" t="n"/>
      <c r="D642" s="38" t="n"/>
    </row>
    <row r="643" customFormat="1" s="100">
      <c r="A643" s="16" t="n"/>
      <c r="C643" s="37" t="n"/>
      <c r="D643" s="38" t="n"/>
    </row>
    <row r="644" customFormat="1" s="100">
      <c r="A644" s="16" t="n"/>
      <c r="C644" s="37" t="n"/>
      <c r="D644" s="38" t="n"/>
    </row>
    <row r="645" customFormat="1" s="100">
      <c r="A645" s="16" t="n"/>
      <c r="C645" s="37" t="n"/>
      <c r="D645" s="38" t="n"/>
    </row>
    <row r="646" customFormat="1" s="100">
      <c r="A646" s="16" t="n"/>
      <c r="C646" s="37" t="n"/>
      <c r="D646" s="38" t="n"/>
    </row>
    <row r="647" customFormat="1" s="100">
      <c r="A647" s="16" t="n"/>
      <c r="C647" s="37" t="n"/>
      <c r="D647" s="38" t="n"/>
    </row>
    <row r="648" customFormat="1" s="100">
      <c r="A648" s="16" t="n"/>
      <c r="C648" s="37" t="n"/>
      <c r="D648" s="38" t="n"/>
    </row>
    <row r="649" customFormat="1" s="100">
      <c r="A649" s="16" t="n"/>
      <c r="C649" s="37" t="n"/>
      <c r="D649" s="38" t="n"/>
    </row>
    <row r="650" customFormat="1" s="100">
      <c r="A650" s="16" t="n"/>
      <c r="C650" s="37" t="n"/>
      <c r="D650" s="38" t="n"/>
    </row>
    <row r="651" customFormat="1" s="100">
      <c r="A651" s="16" t="n"/>
      <c r="C651" s="37" t="n"/>
      <c r="D651" s="38" t="n"/>
    </row>
    <row r="652" customFormat="1" s="100">
      <c r="A652" s="16" t="n"/>
      <c r="C652" s="37" t="n"/>
      <c r="D652" s="38" t="n"/>
    </row>
    <row r="653" customFormat="1" s="100">
      <c r="A653" s="16" t="n"/>
      <c r="C653" s="37" t="n"/>
      <c r="D653" s="38" t="n"/>
    </row>
    <row r="654" customFormat="1" s="100">
      <c r="A654" s="16" t="n"/>
      <c r="C654" s="37" t="n"/>
      <c r="D654" s="38" t="n"/>
    </row>
    <row r="655" customFormat="1" s="100">
      <c r="A655" s="16" t="n"/>
      <c r="C655" s="37" t="n"/>
      <c r="D655" s="38" t="n"/>
    </row>
    <row r="656" customFormat="1" s="100">
      <c r="A656" s="16" t="n"/>
      <c r="C656" s="37" t="n"/>
      <c r="D656" s="38" t="n"/>
    </row>
    <row r="657" customFormat="1" s="100">
      <c r="A657" s="16" t="n"/>
      <c r="C657" s="37" t="n"/>
      <c r="D657" s="38" t="n"/>
    </row>
    <row r="658" customFormat="1" s="100">
      <c r="A658" s="16" t="n"/>
      <c r="C658" s="37" t="n"/>
      <c r="D658" s="38" t="n"/>
    </row>
    <row r="659" customFormat="1" s="100">
      <c r="A659" s="16" t="n"/>
      <c r="C659" s="37" t="n"/>
      <c r="D659" s="38" t="n"/>
    </row>
    <row r="660" customFormat="1" s="100">
      <c r="A660" s="16" t="n"/>
      <c r="C660" s="37" t="n"/>
      <c r="D660" s="38" t="n"/>
    </row>
    <row r="661" customFormat="1" s="100">
      <c r="A661" s="16" t="n"/>
      <c r="C661" s="37" t="n"/>
      <c r="D661" s="38" t="n"/>
    </row>
    <row r="662" customFormat="1" s="100">
      <c r="A662" s="16" t="n"/>
      <c r="C662" s="37" t="n"/>
      <c r="D662" s="38" t="n"/>
    </row>
    <row r="663" customFormat="1" s="100">
      <c r="A663" s="16" t="n"/>
      <c r="C663" s="37" t="n"/>
      <c r="D663" s="38" t="n"/>
    </row>
    <row r="664" customFormat="1" s="100">
      <c r="A664" s="16" t="n"/>
      <c r="C664" s="37" t="n"/>
      <c r="D664" s="38" t="n"/>
    </row>
    <row r="665" customFormat="1" s="100">
      <c r="A665" s="16" t="n"/>
      <c r="C665" s="37" t="n"/>
      <c r="D665" s="38" t="n"/>
    </row>
    <row r="666" customFormat="1" s="100">
      <c r="A666" s="16" t="n"/>
      <c r="C666" s="37" t="n"/>
      <c r="D666" s="38" t="n"/>
    </row>
    <row r="667" customFormat="1" s="100">
      <c r="A667" s="16" t="n"/>
      <c r="C667" s="37" t="n"/>
      <c r="D667" s="38" t="n"/>
    </row>
    <row r="668" customFormat="1" s="100">
      <c r="A668" s="16" t="n"/>
      <c r="C668" s="37" t="n"/>
      <c r="D668" s="38" t="n"/>
    </row>
    <row r="669" customFormat="1" s="100">
      <c r="A669" s="16" t="n"/>
      <c r="C669" s="37" t="n"/>
      <c r="D669" s="38" t="n"/>
    </row>
    <row r="670" customFormat="1" s="100">
      <c r="A670" s="16" t="n"/>
      <c r="C670" s="37" t="n"/>
      <c r="D670" s="38" t="n"/>
    </row>
    <row r="671" customFormat="1" s="100">
      <c r="A671" s="16" t="n"/>
      <c r="C671" s="37" t="n"/>
      <c r="D671" s="38" t="n"/>
    </row>
    <row r="672" customFormat="1" s="100">
      <c r="A672" s="16" t="n"/>
      <c r="C672" s="37" t="n"/>
      <c r="D672" s="38" t="n"/>
    </row>
    <row r="673" customFormat="1" s="100">
      <c r="A673" s="16" t="n"/>
      <c r="C673" s="37" t="n"/>
      <c r="D673" s="38" t="n"/>
    </row>
    <row r="674" customFormat="1" s="100">
      <c r="A674" s="16" t="n"/>
      <c r="C674" s="37" t="n"/>
      <c r="D674" s="38" t="n"/>
    </row>
    <row r="675" customFormat="1" s="100">
      <c r="A675" s="16" t="n"/>
      <c r="C675" s="37" t="n"/>
      <c r="D675" s="38" t="n"/>
    </row>
    <row r="676" customFormat="1" s="100">
      <c r="A676" s="16" t="n"/>
      <c r="C676" s="37" t="n"/>
      <c r="D676" s="38" t="n"/>
    </row>
    <row r="677" customFormat="1" s="100">
      <c r="A677" s="16" t="n"/>
      <c r="C677" s="37" t="n"/>
      <c r="D677" s="38" t="n"/>
    </row>
    <row r="678" customFormat="1" s="100">
      <c r="A678" s="16" t="n"/>
      <c r="C678" s="37" t="n"/>
      <c r="D678" s="38" t="n"/>
    </row>
    <row r="679" customFormat="1" s="100">
      <c r="A679" s="16" t="n"/>
      <c r="C679" s="37" t="n"/>
      <c r="D679" s="38" t="n"/>
    </row>
    <row r="680" customFormat="1" s="100">
      <c r="A680" s="16" t="n"/>
      <c r="C680" s="37" t="n"/>
      <c r="D680" s="38" t="n"/>
    </row>
    <row r="681" customFormat="1" s="100">
      <c r="A681" s="16" t="n"/>
      <c r="C681" s="37" t="n"/>
      <c r="D681" s="38" t="n"/>
    </row>
    <row r="682" customFormat="1" s="100">
      <c r="A682" s="16" t="n"/>
      <c r="C682" s="37" t="n"/>
      <c r="D682" s="38" t="n"/>
    </row>
    <row r="683" customFormat="1" s="100">
      <c r="A683" s="16" t="n"/>
      <c r="C683" s="37" t="n"/>
      <c r="D683" s="38" t="n"/>
    </row>
    <row r="684" customFormat="1" s="100">
      <c r="A684" s="16" t="n"/>
      <c r="C684" s="37" t="n"/>
      <c r="D684" s="38" t="n"/>
    </row>
    <row r="685" customFormat="1" s="100">
      <c r="A685" s="16" t="n"/>
      <c r="C685" s="37" t="n"/>
      <c r="D685" s="38" t="n"/>
    </row>
    <row r="686" customFormat="1" s="100">
      <c r="A686" s="16" t="n"/>
      <c r="C686" s="37" t="n"/>
      <c r="D686" s="38" t="n"/>
    </row>
    <row r="687" customFormat="1" s="100">
      <c r="A687" s="16" t="n"/>
      <c r="C687" s="37" t="n"/>
      <c r="D687" s="38" t="n"/>
    </row>
    <row r="688" customFormat="1" s="100">
      <c r="A688" s="16" t="n"/>
      <c r="C688" s="37" t="n"/>
      <c r="D688" s="38" t="n"/>
    </row>
    <row r="689" customFormat="1" s="100">
      <c r="A689" s="16" t="n"/>
      <c r="C689" s="37" t="n"/>
      <c r="D689" s="38" t="n"/>
    </row>
    <row r="690" customFormat="1" s="100">
      <c r="A690" s="16" t="n"/>
      <c r="C690" s="37" t="n"/>
      <c r="D690" s="38" t="n"/>
    </row>
    <row r="691" customFormat="1" s="100">
      <c r="A691" s="16" t="n"/>
      <c r="C691" s="37" t="n"/>
      <c r="D691" s="38" t="n"/>
    </row>
    <row r="692" customFormat="1" s="100">
      <c r="A692" s="16" t="n"/>
      <c r="C692" s="37" t="n"/>
      <c r="D692" s="38" t="n"/>
    </row>
    <row r="693" customFormat="1" s="100">
      <c r="A693" s="16" t="n"/>
      <c r="C693" s="37" t="n"/>
      <c r="D693" s="38" t="n"/>
    </row>
    <row r="694" customFormat="1" s="100">
      <c r="A694" s="16" t="n"/>
      <c r="C694" s="37" t="n"/>
      <c r="D694" s="38" t="n"/>
    </row>
    <row r="695" customFormat="1" s="100">
      <c r="A695" s="16" t="n"/>
      <c r="C695" s="37" t="n"/>
      <c r="D695" s="38" t="n"/>
    </row>
    <row r="696" customFormat="1" s="100">
      <c r="A696" s="16" t="n"/>
      <c r="C696" s="37" t="n"/>
      <c r="D696" s="38" t="n"/>
    </row>
    <row r="697" customFormat="1" s="100">
      <c r="A697" s="16" t="n"/>
      <c r="C697" s="37" t="n"/>
      <c r="D697" s="38" t="n"/>
    </row>
    <row r="698" customFormat="1" s="100">
      <c r="A698" s="16" t="n"/>
      <c r="C698" s="37" t="n"/>
      <c r="D698" s="38" t="n"/>
    </row>
    <row r="699" customFormat="1" s="100">
      <c r="A699" s="16" t="n"/>
      <c r="C699" s="37" t="n"/>
      <c r="D699" s="38" t="n"/>
    </row>
    <row r="700" customFormat="1" s="100">
      <c r="A700" s="16" t="n"/>
      <c r="C700" s="37" t="n"/>
      <c r="D700" s="38" t="n"/>
    </row>
    <row r="701" customFormat="1" s="100">
      <c r="A701" s="16" t="n"/>
      <c r="C701" s="37" t="n"/>
      <c r="D701" s="38" t="n"/>
    </row>
    <row r="702" customFormat="1" s="100">
      <c r="A702" s="16" t="n"/>
      <c r="C702" s="37" t="n"/>
      <c r="D702" s="38" t="n"/>
    </row>
    <row r="703" customFormat="1" s="100">
      <c r="A703" s="16" t="n"/>
      <c r="C703" s="37" t="n"/>
      <c r="D703" s="38" t="n"/>
    </row>
    <row r="704" customFormat="1" s="100">
      <c r="A704" s="16" t="n"/>
      <c r="C704" s="37" t="n"/>
      <c r="D704" s="38" t="n"/>
    </row>
    <row r="705" customFormat="1" s="100">
      <c r="A705" s="16" t="n"/>
      <c r="C705" s="37" t="n"/>
      <c r="D705" s="38" t="n"/>
    </row>
    <row r="706" customFormat="1" s="100">
      <c r="A706" s="16" t="n"/>
      <c r="C706" s="37" t="n"/>
      <c r="D706" s="38" t="n"/>
    </row>
    <row r="707" customFormat="1" s="100">
      <c r="A707" s="16" t="n"/>
      <c r="C707" s="37" t="n"/>
      <c r="D707" s="38" t="n"/>
    </row>
    <row r="708" customFormat="1" s="100">
      <c r="A708" s="16" t="n"/>
      <c r="C708" s="37" t="n"/>
      <c r="D708" s="38" t="n"/>
    </row>
    <row r="709" customFormat="1" s="100">
      <c r="A709" s="16" t="n"/>
      <c r="C709" s="37" t="n"/>
      <c r="D709" s="38" t="n"/>
    </row>
    <row r="710" customFormat="1" s="100">
      <c r="A710" s="16" t="n"/>
      <c r="C710" s="37" t="n"/>
      <c r="D710" s="38" t="n"/>
    </row>
    <row r="711" customFormat="1" s="100">
      <c r="A711" s="16" t="n"/>
      <c r="C711" s="37" t="n"/>
      <c r="D711" s="38" t="n"/>
    </row>
    <row r="712" customFormat="1" s="100">
      <c r="A712" s="16" t="n"/>
      <c r="C712" s="37" t="n"/>
      <c r="D712" s="38" t="n"/>
    </row>
    <row r="713" customFormat="1" s="100">
      <c r="A713" s="16" t="n"/>
      <c r="C713" s="37" t="n"/>
      <c r="D713" s="38" t="n"/>
    </row>
    <row r="714" customFormat="1" s="100">
      <c r="A714" s="16" t="n"/>
      <c r="C714" s="37" t="n"/>
      <c r="D714" s="38" t="n"/>
    </row>
    <row r="715" customFormat="1" s="100">
      <c r="A715" s="16" t="n"/>
      <c r="C715" s="37" t="n"/>
      <c r="D715" s="38" t="n"/>
    </row>
    <row r="716" customFormat="1" s="100">
      <c r="A716" s="16" t="n"/>
      <c r="C716" s="37" t="n"/>
      <c r="D716" s="38" t="n"/>
    </row>
    <row r="717" customFormat="1" s="100">
      <c r="A717" s="16" t="n"/>
      <c r="C717" s="37" t="n"/>
      <c r="D717" s="38" t="n"/>
    </row>
    <row r="718" customFormat="1" s="100">
      <c r="A718" s="16" t="n"/>
      <c r="C718" s="37" t="n"/>
      <c r="D718" s="38" t="n"/>
    </row>
    <row r="719" customFormat="1" s="100">
      <c r="A719" s="16" t="n"/>
      <c r="C719" s="37" t="n"/>
      <c r="D719" s="38" t="n"/>
    </row>
    <row r="720" customFormat="1" s="100">
      <c r="A720" s="16" t="n"/>
      <c r="C720" s="37" t="n"/>
      <c r="D720" s="38" t="n"/>
    </row>
    <row r="721" customFormat="1" s="100">
      <c r="A721" s="16" t="n"/>
      <c r="C721" s="37" t="n"/>
      <c r="D721" s="38" t="n"/>
    </row>
    <row r="722" customFormat="1" s="100">
      <c r="A722" s="16" t="n"/>
      <c r="C722" s="37" t="n"/>
      <c r="D722" s="38" t="n"/>
    </row>
    <row r="723" customFormat="1" s="100">
      <c r="A723" s="16" t="n"/>
      <c r="C723" s="37" t="n"/>
      <c r="D723" s="38" t="n"/>
    </row>
    <row r="724" customFormat="1" s="100">
      <c r="A724" s="16" t="n"/>
      <c r="C724" s="37" t="n"/>
      <c r="D724" s="38" t="n"/>
    </row>
    <row r="725" customFormat="1" s="100">
      <c r="A725" s="16" t="n"/>
      <c r="C725" s="37" t="n"/>
      <c r="D725" s="38" t="n"/>
    </row>
    <row r="726" customFormat="1" s="100">
      <c r="A726" s="16" t="n"/>
      <c r="C726" s="37" t="n"/>
      <c r="D726" s="38" t="n"/>
    </row>
    <row r="727" customFormat="1" s="100">
      <c r="A727" s="16" t="n"/>
      <c r="C727" s="37" t="n"/>
      <c r="D727" s="38" t="n"/>
    </row>
    <row r="728" customFormat="1" s="100">
      <c r="A728" s="16" t="n"/>
      <c r="C728" s="37" t="n"/>
      <c r="D728" s="38" t="n"/>
    </row>
    <row r="729" customFormat="1" s="100">
      <c r="A729" s="16" t="n"/>
      <c r="C729" s="37" t="n"/>
      <c r="D729" s="38" t="n"/>
    </row>
    <row r="730" customFormat="1" s="100">
      <c r="A730" s="16" t="n"/>
      <c r="C730" s="37" t="n"/>
      <c r="D730" s="38" t="n"/>
    </row>
    <row r="731" customFormat="1" s="100">
      <c r="A731" s="16" t="n"/>
      <c r="C731" s="37" t="n"/>
      <c r="D731" s="38" t="n"/>
    </row>
    <row r="732" customFormat="1" s="100">
      <c r="A732" s="16" t="n"/>
      <c r="C732" s="37" t="n"/>
      <c r="D732" s="38" t="n"/>
    </row>
    <row r="733" customFormat="1" s="100">
      <c r="A733" s="16" t="n"/>
      <c r="C733" s="37" t="n"/>
      <c r="D733" s="38" t="n"/>
    </row>
    <row r="734" customFormat="1" s="100">
      <c r="A734" s="16" t="n"/>
      <c r="C734" s="37" t="n"/>
      <c r="D734" s="38" t="n"/>
    </row>
    <row r="735" customFormat="1" s="100">
      <c r="A735" s="16" t="n"/>
      <c r="C735" s="37" t="n"/>
      <c r="D735" s="38" t="n"/>
    </row>
    <row r="736" customFormat="1" s="100">
      <c r="A736" s="16" t="n"/>
      <c r="C736" s="37" t="n"/>
      <c r="D736" s="38" t="n"/>
    </row>
    <row r="737" customFormat="1" s="100">
      <c r="A737" s="16" t="n"/>
      <c r="C737" s="37" t="n"/>
      <c r="D737" s="38" t="n"/>
    </row>
    <row r="738" customFormat="1" s="100">
      <c r="A738" s="16" t="n"/>
      <c r="C738" s="37" t="n"/>
      <c r="D738" s="38" t="n"/>
    </row>
    <row r="739" customFormat="1" s="100">
      <c r="A739" s="16" t="n"/>
      <c r="C739" s="37" t="n"/>
      <c r="D739" s="38" t="n"/>
    </row>
    <row r="740" customFormat="1" s="100">
      <c r="A740" s="16" t="n"/>
      <c r="C740" s="37" t="n"/>
      <c r="D740" s="38" t="n"/>
    </row>
    <row r="741" customFormat="1" s="100">
      <c r="A741" s="16" t="n"/>
      <c r="C741" s="37" t="n"/>
      <c r="D741" s="38" t="n"/>
    </row>
    <row r="742" customFormat="1" s="100">
      <c r="A742" s="16" t="n"/>
      <c r="C742" s="37" t="n"/>
      <c r="D742" s="38" t="n"/>
    </row>
    <row r="743" customFormat="1" s="100">
      <c r="A743" s="16" t="n"/>
      <c r="C743" s="37" t="n"/>
      <c r="D743" s="38" t="n"/>
    </row>
    <row r="744" customFormat="1" s="100">
      <c r="A744" s="16" t="n"/>
      <c r="C744" s="37" t="n"/>
      <c r="D744" s="38" t="n"/>
    </row>
    <row r="745" customFormat="1" s="100">
      <c r="A745" s="16" t="n"/>
      <c r="C745" s="37" t="n"/>
      <c r="D745" s="38" t="n"/>
    </row>
    <row r="746" customFormat="1" s="100">
      <c r="A746" s="16" t="n"/>
      <c r="C746" s="37" t="n"/>
      <c r="D746" s="38" t="n"/>
    </row>
    <row r="747" customFormat="1" s="100">
      <c r="A747" s="16" t="n"/>
      <c r="C747" s="37" t="n"/>
      <c r="D747" s="38" t="n"/>
    </row>
    <row r="748" customFormat="1" s="100">
      <c r="A748" s="16" t="n"/>
      <c r="C748" s="37" t="n"/>
      <c r="D748" s="38" t="n"/>
    </row>
    <row r="749" customFormat="1" s="100">
      <c r="A749" s="16" t="n"/>
      <c r="C749" s="37" t="n"/>
      <c r="D749" s="38" t="n"/>
    </row>
    <row r="750" customFormat="1" s="100">
      <c r="A750" s="16" t="n"/>
      <c r="C750" s="37" t="n"/>
      <c r="D750" s="38" t="n"/>
    </row>
    <row r="751" customFormat="1" s="100">
      <c r="A751" s="16" t="n"/>
      <c r="C751" s="37" t="n"/>
      <c r="D751" s="38" t="n"/>
    </row>
    <row r="752" customFormat="1" s="100">
      <c r="A752" s="16" t="n"/>
      <c r="C752" s="37" t="n"/>
      <c r="D752" s="38" t="n"/>
    </row>
    <row r="753" customFormat="1" s="100">
      <c r="A753" s="16" t="n"/>
      <c r="C753" s="37" t="n"/>
      <c r="D753" s="38" t="n"/>
    </row>
    <row r="754" customFormat="1" s="100">
      <c r="A754" s="16" t="n"/>
      <c r="C754" s="37" t="n"/>
      <c r="D754" s="38" t="n"/>
    </row>
    <row r="755" customFormat="1" s="100">
      <c r="A755" s="16" t="n"/>
      <c r="C755" s="37" t="n"/>
      <c r="D755" s="38" t="n"/>
    </row>
    <row r="756" customFormat="1" s="100">
      <c r="A756" s="16" t="n"/>
      <c r="C756" s="37" t="n"/>
      <c r="D756" s="38" t="n"/>
    </row>
    <row r="757" customFormat="1" s="100">
      <c r="A757" s="16" t="n"/>
      <c r="C757" s="37" t="n"/>
      <c r="D757" s="38" t="n"/>
    </row>
    <row r="758" customFormat="1" s="100">
      <c r="A758" s="16" t="n"/>
      <c r="C758" s="37" t="n"/>
      <c r="D758" s="38" t="n"/>
    </row>
    <row r="759" customFormat="1" s="100">
      <c r="A759" s="16" t="n"/>
      <c r="C759" s="37" t="n"/>
      <c r="D759" s="38" t="n"/>
    </row>
    <row r="760" customFormat="1" s="100">
      <c r="A760" s="16" t="n"/>
      <c r="C760" s="37" t="n"/>
      <c r="D760" s="38" t="n"/>
    </row>
    <row r="761" customFormat="1" s="100">
      <c r="A761" s="16" t="n"/>
      <c r="C761" s="37" t="n"/>
      <c r="D761" s="38" t="n"/>
    </row>
    <row r="762" customFormat="1" s="100">
      <c r="A762" s="16" t="n"/>
      <c r="C762" s="37" t="n"/>
      <c r="D762" s="38" t="n"/>
    </row>
    <row r="763" customFormat="1" s="100">
      <c r="A763" s="16" t="n"/>
      <c r="C763" s="37" t="n"/>
      <c r="D763" s="38" t="n"/>
    </row>
    <row r="764" customFormat="1" s="100">
      <c r="A764" s="16" t="n"/>
      <c r="C764" s="37" t="n"/>
      <c r="D764" s="38" t="n"/>
    </row>
    <row r="765" customFormat="1" s="100">
      <c r="A765" s="16" t="n"/>
      <c r="C765" s="37" t="n"/>
      <c r="D765" s="38" t="n"/>
    </row>
    <row r="766" customFormat="1" s="100">
      <c r="A766" s="16" t="n"/>
      <c r="C766" s="37" t="n"/>
      <c r="D766" s="38" t="n"/>
    </row>
    <row r="767" customFormat="1" s="100">
      <c r="A767" s="16" t="n"/>
      <c r="C767" s="37" t="n"/>
      <c r="D767" s="38" t="n"/>
    </row>
    <row r="768" customFormat="1" s="100">
      <c r="A768" s="16" t="n"/>
      <c r="C768" s="37" t="n"/>
      <c r="D768" s="38" t="n"/>
    </row>
    <row r="769" customFormat="1" s="100">
      <c r="A769" s="16" t="n"/>
      <c r="C769" s="37" t="n"/>
      <c r="D769" s="38" t="n"/>
    </row>
    <row r="770" customFormat="1" s="100">
      <c r="A770" s="16" t="n"/>
      <c r="C770" s="37" t="n"/>
      <c r="D770" s="38" t="n"/>
    </row>
    <row r="771" customFormat="1" s="100">
      <c r="A771" s="16" t="n"/>
      <c r="C771" s="37" t="n"/>
      <c r="D771" s="38" t="n"/>
    </row>
    <row r="772" customFormat="1" s="100">
      <c r="A772" s="16" t="n"/>
      <c r="C772" s="37" t="n"/>
      <c r="D772" s="38" t="n"/>
    </row>
    <row r="773" customFormat="1" s="100">
      <c r="A773" s="16" t="n"/>
      <c r="C773" s="37" t="n"/>
      <c r="D773" s="38" t="n"/>
    </row>
    <row r="774" customFormat="1" s="100">
      <c r="A774" s="16" t="n"/>
      <c r="C774" s="37" t="n"/>
      <c r="D774" s="38" t="n"/>
    </row>
    <row r="775" customFormat="1" s="100">
      <c r="A775" s="16" t="n"/>
      <c r="C775" s="37" t="n"/>
      <c r="D775" s="38" t="n"/>
    </row>
    <row r="776" customFormat="1" s="100">
      <c r="A776" s="16" t="n"/>
      <c r="C776" s="37" t="n"/>
      <c r="D776" s="38" t="n"/>
    </row>
    <row r="777" customFormat="1" s="100">
      <c r="A777" s="16" t="n"/>
      <c r="C777" s="37" t="n"/>
      <c r="D777" s="38" t="n"/>
    </row>
    <row r="778" customFormat="1" s="100">
      <c r="A778" s="16" t="n"/>
      <c r="C778" s="37" t="n"/>
      <c r="D778" s="38" t="n"/>
    </row>
    <row r="779" customFormat="1" s="100">
      <c r="A779" s="16" t="n"/>
      <c r="C779" s="37" t="n"/>
      <c r="D779" s="38" t="n"/>
    </row>
    <row r="780" customFormat="1" s="100">
      <c r="A780" s="16" t="n"/>
      <c r="C780" s="37" t="n"/>
      <c r="D780" s="38" t="n"/>
    </row>
    <row r="781" customFormat="1" s="100">
      <c r="A781" s="16" t="n"/>
      <c r="C781" s="37" t="n"/>
      <c r="D781" s="38" t="n"/>
    </row>
    <row r="782" customFormat="1" s="100">
      <c r="A782" s="16" t="n"/>
      <c r="C782" s="37" t="n"/>
      <c r="D782" s="38" t="n"/>
    </row>
    <row r="783" customFormat="1" s="100">
      <c r="A783" s="16" t="n"/>
      <c r="C783" s="37" t="n"/>
      <c r="D783" s="38" t="n"/>
    </row>
    <row r="784" customFormat="1" s="100">
      <c r="A784" s="16" t="n"/>
      <c r="C784" s="37" t="n"/>
      <c r="D784" s="38" t="n"/>
    </row>
    <row r="785" customFormat="1" s="100">
      <c r="A785" s="16" t="n"/>
      <c r="C785" s="37" t="n"/>
      <c r="D785" s="38" t="n"/>
    </row>
    <row r="786" customFormat="1" s="100">
      <c r="A786" s="16" t="n"/>
      <c r="C786" s="37" t="n"/>
      <c r="D786" s="38" t="n"/>
    </row>
    <row r="787" customFormat="1" s="100">
      <c r="A787" s="16" t="n"/>
      <c r="C787" s="37" t="n"/>
      <c r="D787" s="38" t="n"/>
    </row>
    <row r="788" customFormat="1" s="100">
      <c r="A788" s="16" t="n"/>
      <c r="C788" s="37" t="n"/>
      <c r="D788" s="38" t="n"/>
    </row>
    <row r="789" customFormat="1" s="100">
      <c r="A789" s="16" t="n"/>
      <c r="C789" s="37" t="n"/>
      <c r="D789" s="38" t="n"/>
    </row>
    <row r="790" customFormat="1" s="100">
      <c r="A790" s="16" t="n"/>
      <c r="C790" s="37" t="n"/>
      <c r="D790" s="38" t="n"/>
    </row>
    <row r="791" customFormat="1" s="100">
      <c r="A791" s="16" t="n"/>
      <c r="C791" s="37" t="n"/>
      <c r="D791" s="38" t="n"/>
    </row>
    <row r="792" customFormat="1" s="100">
      <c r="A792" s="16" t="n"/>
      <c r="C792" s="37" t="n"/>
      <c r="D792" s="38" t="n"/>
    </row>
    <row r="793" customFormat="1" s="100">
      <c r="A793" s="16" t="n"/>
      <c r="C793" s="37" t="n"/>
      <c r="D793" s="38" t="n"/>
    </row>
    <row r="794" customFormat="1" s="100">
      <c r="A794" s="16" t="n"/>
      <c r="C794" s="37" t="n"/>
      <c r="D794" s="38" t="n"/>
    </row>
    <row r="795" customFormat="1" s="100">
      <c r="A795" s="16" t="n"/>
      <c r="C795" s="37" t="n"/>
      <c r="D795" s="38" t="n"/>
    </row>
    <row r="796" customFormat="1" s="100">
      <c r="A796" s="16" t="n"/>
      <c r="C796" s="37" t="n"/>
      <c r="D796" s="38" t="n"/>
    </row>
    <row r="797" customFormat="1" s="100">
      <c r="A797" s="16" t="n"/>
      <c r="C797" s="37" t="n"/>
      <c r="D797" s="38" t="n"/>
    </row>
    <row r="798" customFormat="1" s="100">
      <c r="A798" s="16" t="n"/>
      <c r="C798" s="37" t="n"/>
      <c r="D798" s="38" t="n"/>
    </row>
    <row r="799" customFormat="1" s="100">
      <c r="A799" s="16" t="n"/>
      <c r="C799" s="37" t="n"/>
      <c r="D799" s="38" t="n"/>
    </row>
    <row r="800" customFormat="1" s="100">
      <c r="A800" s="16" t="n"/>
      <c r="C800" s="37" t="n"/>
      <c r="D800" s="38" t="n"/>
    </row>
    <row r="801" customFormat="1" s="100">
      <c r="A801" s="16" t="n"/>
      <c r="C801" s="37" t="n"/>
      <c r="D801" s="38" t="n"/>
    </row>
    <row r="802" customFormat="1" s="100">
      <c r="A802" s="16" t="n"/>
      <c r="C802" s="37" t="n"/>
      <c r="D802" s="38" t="n"/>
    </row>
    <row r="803" customFormat="1" s="100">
      <c r="A803" s="16" t="n"/>
      <c r="C803" s="37" t="n"/>
      <c r="D803" s="38" t="n"/>
    </row>
    <row r="804" customFormat="1" s="100">
      <c r="A804" s="16" t="n"/>
      <c r="C804" s="37" t="n"/>
      <c r="D804" s="38" t="n"/>
    </row>
    <row r="805" customFormat="1" s="100">
      <c r="A805" s="16" t="n"/>
      <c r="C805" s="37" t="n"/>
      <c r="D805" s="38" t="n"/>
    </row>
    <row r="806" customFormat="1" s="100">
      <c r="A806" s="16" t="n"/>
      <c r="C806" s="37" t="n"/>
      <c r="D806" s="38" t="n"/>
    </row>
    <row r="807" customFormat="1" s="100">
      <c r="A807" s="16" t="n"/>
      <c r="C807" s="37" t="n"/>
      <c r="D807" s="38" t="n"/>
    </row>
    <row r="808" customFormat="1" s="100">
      <c r="A808" s="16" t="n"/>
      <c r="C808" s="37" t="n"/>
      <c r="D808" s="38" t="n"/>
    </row>
    <row r="809" customFormat="1" s="100">
      <c r="A809" s="16" t="n"/>
      <c r="C809" s="37" t="n"/>
      <c r="D809" s="38" t="n"/>
    </row>
    <row r="810" customFormat="1" s="100">
      <c r="A810" s="16" t="n"/>
      <c r="C810" s="37" t="n"/>
      <c r="D810" s="38" t="n"/>
    </row>
    <row r="811" customFormat="1" s="100">
      <c r="A811" s="16" t="n"/>
      <c r="C811" s="37" t="n"/>
      <c r="D811" s="38" t="n"/>
    </row>
    <row r="812" customFormat="1" s="100">
      <c r="A812" s="16" t="n"/>
      <c r="C812" s="37" t="n"/>
      <c r="D812" s="38" t="n"/>
    </row>
    <row r="813" customFormat="1" s="100">
      <c r="A813" s="16" t="n"/>
      <c r="C813" s="37" t="n"/>
      <c r="D813" s="38" t="n"/>
    </row>
    <row r="814" customFormat="1" s="100">
      <c r="A814" s="16" t="n"/>
      <c r="C814" s="37" t="n"/>
      <c r="D814" s="38" t="n"/>
    </row>
    <row r="815" customFormat="1" s="100">
      <c r="A815" s="16" t="n"/>
      <c r="C815" s="37" t="n"/>
      <c r="D815" s="38" t="n"/>
    </row>
    <row r="816">
      <c r="A816" s="16" t="n"/>
      <c r="B816" s="100" t="n"/>
      <c r="C816" s="37" t="n"/>
      <c r="D816" s="38" t="n"/>
      <c r="E816" s="100" t="n"/>
      <c r="F816" s="100" t="n"/>
      <c r="G816" s="100" t="n"/>
      <c r="H816" s="100" t="n"/>
      <c r="I816" s="100" t="n"/>
      <c r="J816" s="100" t="n"/>
      <c r="K816" s="100" t="n"/>
      <c r="L816" s="100" t="n"/>
      <c r="M816" s="100" t="n"/>
      <c r="N816" s="100" t="n"/>
      <c r="O816" s="100" t="n"/>
      <c r="P816" s="100" t="n"/>
      <c r="Q816" s="100" t="n"/>
    </row>
    <row r="817">
      <c r="A817" s="16" t="n"/>
      <c r="B817" s="100" t="n"/>
      <c r="C817" s="37" t="n"/>
      <c r="D817" s="38" t="n"/>
      <c r="E817" s="100" t="n"/>
      <c r="F817" s="100" t="n"/>
      <c r="G817" s="100" t="n"/>
      <c r="H817" s="100" t="n"/>
      <c r="I817" s="100" t="n"/>
      <c r="J817" s="100" t="n"/>
      <c r="K817" s="100" t="n"/>
      <c r="L817" s="100" t="n"/>
      <c r="M817" s="100" t="n"/>
      <c r="N817" s="100" t="n"/>
      <c r="O817" s="100" t="n"/>
      <c r="P817" s="100" t="n"/>
      <c r="Q817" s="100" t="n"/>
    </row>
    <row r="818">
      <c r="A818" s="16" t="n"/>
      <c r="B818" s="100" t="n"/>
      <c r="C818" s="37" t="n"/>
      <c r="D818" s="38" t="n"/>
      <c r="E818" s="100" t="n"/>
      <c r="F818" s="100" t="n"/>
      <c r="G818" s="100" t="n"/>
      <c r="H818" s="100" t="n"/>
      <c r="I818" s="100" t="n"/>
      <c r="J818" s="100" t="n"/>
      <c r="K818" s="100" t="n"/>
      <c r="L818" s="100" t="n"/>
      <c r="M818" s="100" t="n"/>
      <c r="N818" s="100" t="n"/>
      <c r="O818" s="100" t="n"/>
      <c r="P818" s="100" t="n"/>
      <c r="Q818" s="100" t="n"/>
    </row>
    <row r="819">
      <c r="A819" s="16" t="n"/>
      <c r="B819" s="100" t="n"/>
      <c r="C819" s="37" t="n"/>
      <c r="D819" s="38" t="n"/>
      <c r="E819" s="100" t="n"/>
      <c r="F819" s="100" t="n"/>
      <c r="G819" s="100" t="n"/>
      <c r="H819" s="100" t="n"/>
      <c r="I819" s="100" t="n"/>
      <c r="J819" s="100" t="n"/>
      <c r="K819" s="100" t="n"/>
      <c r="L819" s="100" t="n"/>
      <c r="M819" s="100" t="n"/>
      <c r="N819" s="100" t="n"/>
      <c r="O819" s="100" t="n"/>
      <c r="P819" s="100" t="n"/>
      <c r="Q819" s="100" t="n"/>
    </row>
    <row r="820">
      <c r="A820" s="16" t="n"/>
      <c r="B820" s="100" t="n"/>
      <c r="C820" s="37" t="n"/>
      <c r="D820" s="38" t="n"/>
      <c r="E820" s="100" t="n"/>
      <c r="F820" s="100" t="n"/>
      <c r="G820" s="100" t="n"/>
      <c r="H820" s="100" t="n"/>
      <c r="I820" s="100" t="n"/>
      <c r="J820" s="100" t="n"/>
      <c r="K820" s="100" t="n"/>
      <c r="L820" s="100" t="n"/>
      <c r="M820" s="100" t="n"/>
      <c r="N820" s="100" t="n"/>
      <c r="O820" s="100" t="n"/>
      <c r="P820" s="100" t="n"/>
      <c r="Q820" s="100" t="n"/>
    </row>
    <row r="821">
      <c r="A821" s="16" t="n"/>
      <c r="B821" s="100" t="n"/>
      <c r="C821" s="37" t="n"/>
      <c r="D821" s="38" t="n"/>
      <c r="E821" s="100" t="n"/>
      <c r="F821" s="100" t="n"/>
      <c r="G821" s="100" t="n"/>
      <c r="H821" s="100" t="n"/>
      <c r="I821" s="100" t="n"/>
      <c r="J821" s="100" t="n"/>
      <c r="K821" s="100" t="n"/>
      <c r="L821" s="100" t="n"/>
      <c r="M821" s="100" t="n"/>
      <c r="N821" s="100" t="n"/>
      <c r="O821" s="100" t="n"/>
      <c r="P821" s="100" t="n"/>
      <c r="Q821" s="100" t="n"/>
    </row>
    <row r="822">
      <c r="A822" s="16" t="n"/>
      <c r="B822" s="100" t="n"/>
      <c r="C822" s="37" t="n"/>
      <c r="D822" s="38" t="n"/>
      <c r="E822" s="100" t="n"/>
      <c r="F822" s="100" t="n"/>
      <c r="G822" s="100" t="n"/>
      <c r="H822" s="100" t="n"/>
      <c r="I822" s="100" t="n"/>
      <c r="J822" s="100" t="n"/>
      <c r="K822" s="100" t="n"/>
      <c r="L822" s="100" t="n"/>
      <c r="M822" s="100" t="n"/>
      <c r="N822" s="100" t="n"/>
      <c r="O822" s="100" t="n"/>
      <c r="P822" s="100" t="n"/>
      <c r="Q822" s="100" t="n"/>
    </row>
    <row r="823">
      <c r="A823" s="16" t="n"/>
      <c r="B823" s="100" t="n"/>
      <c r="C823" s="37" t="n"/>
      <c r="D823" s="38" t="n"/>
      <c r="E823" s="100" t="n"/>
      <c r="F823" s="100" t="n"/>
      <c r="G823" s="100" t="n"/>
      <c r="H823" s="100" t="n"/>
      <c r="I823" s="100" t="n"/>
      <c r="J823" s="100" t="n"/>
      <c r="K823" s="100" t="n"/>
      <c r="L823" s="100" t="n"/>
      <c r="M823" s="100" t="n"/>
      <c r="N823" s="100" t="n"/>
      <c r="O823" s="100" t="n"/>
      <c r="P823" s="100" t="n"/>
      <c r="Q823" s="100" t="n"/>
    </row>
    <row r="824">
      <c r="A824" s="16" t="n"/>
      <c r="B824" s="100" t="n"/>
      <c r="C824" s="37" t="n"/>
      <c r="D824" s="38" t="n"/>
      <c r="E824" s="100" t="n"/>
      <c r="F824" s="100" t="n"/>
      <c r="G824" s="100" t="n"/>
      <c r="H824" s="100" t="n"/>
      <c r="I824" s="100" t="n"/>
      <c r="J824" s="100" t="n"/>
      <c r="K824" s="100" t="n"/>
      <c r="L824" s="100" t="n"/>
      <c r="M824" s="100" t="n"/>
      <c r="N824" s="100" t="n"/>
      <c r="O824" s="100" t="n"/>
      <c r="P824" s="100" t="n"/>
      <c r="Q824" s="100" t="n"/>
    </row>
    <row r="825">
      <c r="A825" s="16" t="n"/>
      <c r="B825" s="100" t="n"/>
      <c r="C825" s="37" t="n"/>
      <c r="D825" s="38" t="n"/>
      <c r="E825" s="100" t="n"/>
      <c r="F825" s="100" t="n"/>
      <c r="G825" s="100" t="n"/>
      <c r="H825" s="100" t="n"/>
      <c r="I825" s="100" t="n"/>
      <c r="J825" s="100" t="n"/>
      <c r="K825" s="100" t="n"/>
      <c r="L825" s="100" t="n"/>
      <c r="M825" s="100" t="n"/>
      <c r="N825" s="100" t="n"/>
      <c r="O825" s="100" t="n"/>
      <c r="P825" s="100" t="n"/>
      <c r="Q825" s="100" t="n"/>
    </row>
    <row r="826">
      <c r="A826" s="16" t="n"/>
      <c r="B826" s="100" t="n"/>
      <c r="C826" s="37" t="n"/>
      <c r="D826" s="38" t="n"/>
      <c r="E826" s="100" t="n"/>
      <c r="F826" s="100" t="n"/>
      <c r="G826" s="100" t="n"/>
      <c r="H826" s="100" t="n"/>
      <c r="I826" s="100" t="n"/>
      <c r="J826" s="100" t="n"/>
      <c r="K826" s="100" t="n"/>
      <c r="L826" s="100" t="n"/>
      <c r="M826" s="100" t="n"/>
      <c r="N826" s="100" t="n"/>
      <c r="O826" s="100" t="n"/>
      <c r="P826" s="100" t="n"/>
      <c r="Q826" s="100" t="n"/>
    </row>
    <row r="827">
      <c r="A827" s="16" t="n"/>
      <c r="B827" s="100" t="n"/>
      <c r="C827" s="37" t="n"/>
      <c r="D827" s="38" t="n"/>
      <c r="E827" s="100" t="n"/>
      <c r="F827" s="100" t="n"/>
      <c r="G827" s="100" t="n"/>
      <c r="H827" s="100" t="n"/>
      <c r="I827" s="100" t="n"/>
      <c r="J827" s="100" t="n"/>
      <c r="K827" s="100" t="n"/>
      <c r="L827" s="100" t="n"/>
      <c r="M827" s="100" t="n"/>
      <c r="N827" s="100" t="n"/>
      <c r="O827" s="100" t="n"/>
      <c r="P827" s="100" t="n"/>
      <c r="Q827" s="100" t="n"/>
    </row>
    <row r="828">
      <c r="A828" s="16" t="n"/>
      <c r="B828" s="100" t="n"/>
      <c r="C828" s="37" t="n"/>
      <c r="D828" s="38" t="n"/>
      <c r="E828" s="100" t="n"/>
      <c r="F828" s="100" t="n"/>
      <c r="G828" s="100" t="n"/>
      <c r="H828" s="100" t="n"/>
      <c r="I828" s="100" t="n"/>
      <c r="J828" s="100" t="n"/>
      <c r="K828" s="100" t="n"/>
      <c r="L828" s="100" t="n"/>
      <c r="M828" s="100" t="n"/>
      <c r="N828" s="100" t="n"/>
      <c r="O828" s="100" t="n"/>
      <c r="P828" s="100" t="n"/>
      <c r="Q828" s="100" t="n"/>
    </row>
    <row r="829">
      <c r="A829" s="16" t="n"/>
      <c r="B829" s="100" t="n"/>
      <c r="C829" s="37" t="n"/>
      <c r="D829" s="38" t="n"/>
      <c r="E829" s="100" t="n"/>
      <c r="F829" s="100" t="n"/>
      <c r="G829" s="100" t="n"/>
      <c r="H829" s="100" t="n"/>
      <c r="I829" s="100" t="n"/>
      <c r="J829" s="100" t="n"/>
      <c r="K829" s="100" t="n"/>
      <c r="L829" s="100" t="n"/>
      <c r="M829" s="100" t="n"/>
      <c r="N829" s="100" t="n"/>
      <c r="O829" s="100" t="n"/>
      <c r="P829" s="100" t="n"/>
      <c r="Q829" s="100" t="n"/>
    </row>
    <row r="830">
      <c r="A830" s="16" t="n"/>
      <c r="B830" s="100" t="n"/>
      <c r="C830" s="37" t="n"/>
      <c r="D830" s="38" t="n"/>
      <c r="E830" s="100" t="n"/>
      <c r="F830" s="100" t="n"/>
      <c r="G830" s="100" t="n"/>
      <c r="H830" s="100" t="n"/>
      <c r="I830" s="100" t="n"/>
      <c r="J830" s="100" t="n"/>
      <c r="K830" s="100" t="n"/>
      <c r="L830" s="100" t="n"/>
      <c r="M830" s="100" t="n"/>
      <c r="N830" s="100" t="n"/>
      <c r="O830" s="100" t="n"/>
      <c r="P830" s="100" t="n"/>
      <c r="Q830" s="100" t="n"/>
    </row>
    <row r="831">
      <c r="A831" s="16" t="n"/>
      <c r="B831" s="100" t="n"/>
      <c r="C831" s="37" t="n"/>
      <c r="D831" s="38" t="n"/>
      <c r="E831" s="100" t="n"/>
      <c r="F831" s="100" t="n"/>
      <c r="G831" s="100" t="n"/>
      <c r="H831" s="100" t="n"/>
      <c r="I831" s="100" t="n"/>
      <c r="J831" s="100" t="n"/>
      <c r="K831" s="100" t="n"/>
      <c r="L831" s="100" t="n"/>
      <c r="M831" s="100" t="n"/>
      <c r="N831" s="100" t="n"/>
      <c r="O831" s="100" t="n"/>
      <c r="P831" s="100" t="n"/>
      <c r="Q831" s="100" t="n"/>
    </row>
    <row r="832">
      <c r="A832" s="16" t="n"/>
      <c r="B832" s="100" t="n"/>
      <c r="C832" s="37" t="n"/>
      <c r="D832" s="38" t="n"/>
      <c r="E832" s="100" t="n"/>
      <c r="F832" s="100" t="n"/>
      <c r="G832" s="100" t="n"/>
      <c r="H832" s="100" t="n"/>
      <c r="I832" s="100" t="n"/>
      <c r="J832" s="100" t="n"/>
      <c r="K832" s="100" t="n"/>
      <c r="L832" s="100" t="n"/>
      <c r="M832" s="100" t="n"/>
      <c r="N832" s="100" t="n"/>
      <c r="O832" s="100" t="n"/>
      <c r="P832" s="100" t="n"/>
      <c r="Q832" s="100" t="n"/>
    </row>
    <row r="833">
      <c r="A833" s="16" t="n"/>
      <c r="B833" s="100" t="n"/>
      <c r="C833" s="37" t="n"/>
      <c r="D833" s="38" t="n"/>
      <c r="E833" s="100" t="n"/>
      <c r="F833" s="100" t="n"/>
      <c r="G833" s="100" t="n"/>
      <c r="H833" s="100" t="n"/>
      <c r="I833" s="100" t="n"/>
      <c r="J833" s="100" t="n"/>
      <c r="K833" s="100" t="n"/>
      <c r="L833" s="100" t="n"/>
      <c r="M833" s="100" t="n"/>
      <c r="N833" s="100" t="n"/>
      <c r="O833" s="100" t="n"/>
      <c r="P833" s="100" t="n"/>
      <c r="Q833" s="100" t="n"/>
    </row>
    <row r="834">
      <c r="A834" s="16" t="n"/>
      <c r="B834" s="100" t="n"/>
      <c r="C834" s="37" t="n"/>
      <c r="D834" s="38" t="n"/>
      <c r="E834" s="100" t="n"/>
      <c r="F834" s="100" t="n"/>
      <c r="G834" s="100" t="n"/>
      <c r="H834" s="100" t="n"/>
      <c r="I834" s="100" t="n"/>
      <c r="J834" s="100" t="n"/>
      <c r="K834" s="100" t="n"/>
      <c r="L834" s="100" t="n"/>
      <c r="M834" s="100" t="n"/>
      <c r="N834" s="100" t="n"/>
      <c r="O834" s="100" t="n"/>
      <c r="P834" s="100" t="n"/>
      <c r="Q834" s="100" t="n"/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8.xml><?xml version="1.0" encoding="utf-8"?>
<worksheet xmlns="http://schemas.openxmlformats.org/spreadsheetml/2006/main">
  <sheetPr codeName="Sheet6">
    <outlinePr summaryBelow="1" summaryRight="1"/>
    <pageSetUpPr/>
  </sheetPr>
  <dimension ref="A1:DY1001"/>
  <sheetViews>
    <sheetView zoomScale="130" zoomScaleNormal="130" workbookViewId="0">
      <pane ySplit="4" topLeftCell="A305" activePane="bottomLeft" state="frozen"/>
      <selection pane="bottomLeft" activeCell="F351" sqref="F351"/>
    </sheetView>
  </sheetViews>
  <sheetFormatPr baseColWidth="10" defaultColWidth="8.83203125" defaultRowHeight="15"/>
  <cols>
    <col width="14.1640625" customWidth="1" style="1" min="1" max="1"/>
    <col width="12.6640625" bestFit="1" customWidth="1" style="95" min="2" max="2"/>
    <col width="11.6640625" customWidth="1" style="9" min="3" max="4"/>
    <col width="9.1640625" customWidth="1" style="100" min="5" max="129"/>
  </cols>
  <sheetData>
    <row r="1" customFormat="1" s="28">
      <c r="A1" s="36" t="inlineStr">
        <is>
          <t>*Country Code in B4</t>
        </is>
      </c>
      <c r="C1" s="32" t="n"/>
      <c r="D1" s="32" t="n"/>
      <c r="E1" s="29" t="n"/>
      <c r="F1" s="29" t="n"/>
      <c r="G1" s="31">
        <f>VLOOKUP(O1,Note!O:P,2,)</f>
        <v/>
      </c>
      <c r="H1" s="29" t="n"/>
      <c r="I1" s="29" t="n"/>
      <c r="J1" s="29" t="n"/>
      <c r="K1" s="29" t="n"/>
      <c r="L1" s="29" t="n"/>
      <c r="M1" s="29" t="n"/>
      <c r="N1" s="29" t="n"/>
      <c r="O1" s="33">
        <f>Table13456789101112131415161734[[#Headers],[FRA]]</f>
        <v/>
      </c>
      <c r="P1" s="29" t="n"/>
      <c r="Q1" s="29" t="n"/>
      <c r="R1" s="29" t="n"/>
      <c r="S1" s="29" t="n"/>
      <c r="T1" s="29" t="n"/>
      <c r="U1" s="29" t="n"/>
      <c r="V1" s="29" t="n"/>
      <c r="W1" s="29" t="n"/>
      <c r="X1" s="29" t="n"/>
      <c r="Y1" s="29" t="n"/>
      <c r="Z1" s="29" t="n"/>
      <c r="AA1" s="29" t="n"/>
      <c r="AB1" s="29" t="n"/>
      <c r="AC1" s="29" t="n"/>
      <c r="AD1" s="29" t="n"/>
      <c r="AE1" s="29" t="n"/>
      <c r="AF1" s="29" t="n"/>
      <c r="AG1" s="29" t="n"/>
      <c r="AH1" s="29" t="n"/>
      <c r="AI1" s="29" t="n"/>
      <c r="AJ1" s="29" t="n"/>
      <c r="AK1" s="29" t="n"/>
      <c r="AL1" s="29" t="n"/>
      <c r="AM1" s="29" t="n"/>
      <c r="AN1" s="29" t="n"/>
      <c r="AO1" s="29" t="n"/>
      <c r="AP1" s="29" t="n"/>
      <c r="AQ1" s="29" t="n"/>
      <c r="AR1" s="29" t="n"/>
      <c r="AS1" s="29" t="n"/>
      <c r="AT1" s="29" t="n"/>
      <c r="AU1" s="29" t="n"/>
      <c r="AV1" s="29" t="n"/>
      <c r="AW1" s="29" t="n"/>
      <c r="AX1" s="29" t="n"/>
      <c r="AY1" s="29" t="n"/>
      <c r="AZ1" s="29" t="n"/>
      <c r="BA1" s="29" t="n"/>
      <c r="BB1" s="29" t="n"/>
      <c r="BC1" s="29" t="n"/>
      <c r="BD1" s="29" t="n"/>
      <c r="BE1" s="29" t="n"/>
      <c r="BF1" s="29" t="n"/>
      <c r="BG1" s="29" t="n"/>
      <c r="BH1" s="29" t="n"/>
      <c r="BI1" s="29" t="n"/>
      <c r="BJ1" s="29" t="n"/>
      <c r="BK1" s="29" t="n"/>
      <c r="BL1" s="29" t="n"/>
      <c r="BM1" s="29" t="n"/>
      <c r="BN1" s="29" t="n"/>
      <c r="BO1" s="29" t="n"/>
      <c r="BP1" s="29" t="n"/>
      <c r="BQ1" s="29" t="n"/>
      <c r="BR1" s="29" t="n"/>
      <c r="BS1" s="29" t="n"/>
      <c r="BT1" s="29" t="n"/>
      <c r="BU1" s="29" t="n"/>
      <c r="BV1" s="29" t="n"/>
      <c r="BW1" s="29" t="n"/>
      <c r="BX1" s="29" t="n"/>
      <c r="BY1" s="29" t="n"/>
      <c r="BZ1" s="29" t="n"/>
      <c r="CA1" s="29" t="n"/>
      <c r="CB1" s="29" t="n"/>
      <c r="CC1" s="29" t="n"/>
      <c r="CD1" s="29" t="n"/>
      <c r="CE1" s="29" t="n"/>
      <c r="CF1" s="29" t="n"/>
      <c r="CG1" s="29" t="n"/>
      <c r="CH1" s="29" t="n"/>
      <c r="CI1" s="29" t="n"/>
      <c r="CJ1" s="29" t="n"/>
      <c r="CK1" s="29" t="n"/>
      <c r="CL1" s="29" t="n"/>
      <c r="CM1" s="29" t="n"/>
      <c r="CN1" s="29" t="n"/>
      <c r="CO1" s="29" t="n"/>
      <c r="CP1" s="29" t="n"/>
      <c r="CQ1" s="29" t="n"/>
      <c r="CR1" s="29" t="n"/>
      <c r="CS1" s="29" t="n"/>
      <c r="CT1" s="29" t="n"/>
      <c r="CU1" s="29" t="n"/>
      <c r="CV1" s="29" t="n"/>
      <c r="CW1" s="29" t="n"/>
      <c r="CX1" s="29" t="n"/>
      <c r="CY1" s="29" t="n"/>
      <c r="CZ1" s="29" t="n"/>
      <c r="DA1" s="29" t="n"/>
      <c r="DB1" s="29" t="n"/>
      <c r="DC1" s="29" t="n"/>
      <c r="DD1" s="29" t="n"/>
      <c r="DE1" s="29" t="n"/>
      <c r="DF1" s="29" t="n"/>
      <c r="DG1" s="29" t="n"/>
      <c r="DH1" s="29" t="n"/>
      <c r="DI1" s="29" t="n"/>
      <c r="DJ1" s="29" t="n"/>
      <c r="DK1" s="29" t="n"/>
      <c r="DL1" s="29" t="n"/>
      <c r="DM1" s="29" t="n"/>
      <c r="DN1" s="29" t="n"/>
      <c r="DO1" s="29" t="n"/>
      <c r="DP1" s="29" t="n"/>
      <c r="DQ1" s="29" t="n"/>
      <c r="DR1" s="29" t="n"/>
      <c r="DS1" s="29" t="n"/>
      <c r="DT1" s="29" t="n"/>
      <c r="DU1" s="29" t="n"/>
      <c r="DV1" s="29" t="n"/>
      <c r="DW1" s="29" t="n"/>
      <c r="DX1" s="29" t="n"/>
      <c r="DY1" s="29" t="n"/>
    </row>
    <row r="2" customFormat="1" s="28">
      <c r="A2" s="35" t="inlineStr">
        <is>
          <t>Example FRA for France USA for the U.S.</t>
        </is>
      </c>
      <c r="B2" s="31" t="n"/>
      <c r="C2" s="32" t="n"/>
      <c r="D2" s="32" t="n"/>
      <c r="E2" s="29" t="n"/>
      <c r="F2" s="29" t="n"/>
      <c r="G2" s="31">
        <f>G1&amp;" Industrial Production mom"</f>
        <v/>
      </c>
      <c r="H2" s="29" t="n"/>
      <c r="I2" s="29" t="n"/>
      <c r="J2" s="29" t="n"/>
      <c r="K2" s="29" t="n"/>
      <c r="L2" s="29" t="n"/>
      <c r="M2" s="29" t="n"/>
      <c r="N2" s="29" t="n"/>
      <c r="O2" s="29" t="n"/>
      <c r="P2" s="29" t="n"/>
      <c r="Q2" s="29" t="n"/>
      <c r="R2" s="29" t="n"/>
      <c r="S2" s="29" t="n"/>
      <c r="T2" s="29" t="n"/>
      <c r="U2" s="29" t="n"/>
      <c r="V2" s="29" t="n"/>
      <c r="W2" s="29" t="n"/>
      <c r="X2" s="29" t="n"/>
      <c r="Y2" s="29" t="n"/>
      <c r="Z2" s="29" t="n"/>
      <c r="AA2" s="29" t="n"/>
      <c r="AB2" s="29" t="n"/>
      <c r="AC2" s="29" t="n"/>
      <c r="AD2" s="29" t="n"/>
      <c r="AE2" s="29" t="n"/>
      <c r="AF2" s="29" t="n"/>
      <c r="AG2" s="29" t="n"/>
      <c r="AH2" s="29" t="n"/>
      <c r="AI2" s="29" t="n"/>
      <c r="AJ2" s="29" t="n"/>
      <c r="AK2" s="29" t="n"/>
      <c r="AL2" s="29" t="n"/>
      <c r="AM2" s="29" t="n"/>
      <c r="AN2" s="29" t="n"/>
      <c r="AO2" s="29" t="n"/>
      <c r="AP2" s="29" t="n"/>
      <c r="AQ2" s="29" t="n"/>
      <c r="AR2" s="29" t="n"/>
      <c r="AS2" s="29" t="n"/>
      <c r="AT2" s="29" t="n"/>
      <c r="AU2" s="29" t="n"/>
      <c r="AV2" s="29" t="n"/>
      <c r="AW2" s="29" t="n"/>
      <c r="AX2" s="29" t="n"/>
      <c r="AY2" s="29" t="n"/>
      <c r="AZ2" s="29" t="n"/>
      <c r="BA2" s="29" t="n"/>
      <c r="BB2" s="29" t="n"/>
      <c r="BC2" s="29" t="n"/>
      <c r="BD2" s="29" t="n"/>
      <c r="BE2" s="29" t="n"/>
      <c r="BF2" s="29" t="n"/>
      <c r="BG2" s="29" t="n"/>
      <c r="BH2" s="29" t="n"/>
      <c r="BI2" s="29" t="n"/>
      <c r="BJ2" s="29" t="n"/>
      <c r="BK2" s="29" t="n"/>
      <c r="BL2" s="29" t="n"/>
      <c r="BM2" s="29" t="n"/>
      <c r="BN2" s="29" t="n"/>
      <c r="BO2" s="29" t="n"/>
      <c r="BP2" s="29" t="n"/>
      <c r="BQ2" s="29" t="n"/>
      <c r="BR2" s="29" t="n"/>
      <c r="BS2" s="29" t="n"/>
      <c r="BT2" s="29" t="n"/>
      <c r="BU2" s="29" t="n"/>
      <c r="BV2" s="29" t="n"/>
      <c r="BW2" s="29" t="n"/>
      <c r="BX2" s="29" t="n"/>
      <c r="BY2" s="29" t="n"/>
      <c r="BZ2" s="29" t="n"/>
      <c r="CA2" s="29" t="n"/>
      <c r="CB2" s="29" t="n"/>
      <c r="CC2" s="29" t="n"/>
      <c r="CD2" s="29" t="n"/>
      <c r="CE2" s="29" t="n"/>
      <c r="CF2" s="29" t="n"/>
      <c r="CG2" s="29" t="n"/>
      <c r="CH2" s="29" t="n"/>
      <c r="CI2" s="29" t="n"/>
      <c r="CJ2" s="29" t="n"/>
      <c r="CK2" s="29" t="n"/>
      <c r="CL2" s="29" t="n"/>
      <c r="CM2" s="29" t="n"/>
      <c r="CN2" s="29" t="n"/>
      <c r="CO2" s="29" t="n"/>
      <c r="CP2" s="29" t="n"/>
      <c r="CQ2" s="29" t="n"/>
      <c r="CR2" s="29" t="n"/>
      <c r="CS2" s="29" t="n"/>
      <c r="CT2" s="29" t="n"/>
      <c r="CU2" s="29" t="n"/>
      <c r="CV2" s="29" t="n"/>
      <c r="CW2" s="29" t="n"/>
      <c r="CX2" s="29" t="n"/>
      <c r="CY2" s="29" t="n"/>
      <c r="CZ2" s="29" t="n"/>
      <c r="DA2" s="29" t="n"/>
      <c r="DB2" s="29" t="n"/>
      <c r="DC2" s="29" t="n"/>
      <c r="DD2" s="29" t="n"/>
      <c r="DE2" s="29" t="n"/>
      <c r="DF2" s="29" t="n"/>
      <c r="DG2" s="29" t="n"/>
      <c r="DH2" s="29" t="n"/>
      <c r="DI2" s="29" t="n"/>
      <c r="DJ2" s="29" t="n"/>
      <c r="DK2" s="29" t="n"/>
      <c r="DL2" s="29" t="n"/>
      <c r="DM2" s="29" t="n"/>
      <c r="DN2" s="29" t="n"/>
      <c r="DO2" s="29" t="n"/>
      <c r="DP2" s="29" t="n"/>
      <c r="DQ2" s="29" t="n"/>
      <c r="DR2" s="29" t="n"/>
      <c r="DS2" s="29" t="n"/>
      <c r="DT2" s="29" t="n"/>
      <c r="DU2" s="29" t="n"/>
      <c r="DV2" s="29" t="n"/>
      <c r="DW2" s="29" t="n"/>
      <c r="DX2" s="29" t="n"/>
      <c r="DY2" s="29" t="n"/>
    </row>
    <row r="3" customFormat="1" s="28">
      <c r="A3" s="30" t="n"/>
      <c r="B3" s="31" t="n"/>
      <c r="C3" s="32" t="n"/>
      <c r="D3" s="32" t="n"/>
      <c r="E3" s="29" t="n"/>
      <c r="F3" s="29" t="n"/>
      <c r="G3" s="31">
        <f>G1&amp;" Industrial Production yoy"</f>
        <v/>
      </c>
      <c r="H3" s="29" t="n"/>
      <c r="I3" s="29" t="n"/>
      <c r="J3" s="29" t="n"/>
      <c r="K3" s="29" t="n"/>
      <c r="L3" s="29" t="n"/>
      <c r="M3" s="29" t="n"/>
      <c r="N3" s="29" t="n"/>
      <c r="O3" s="29" t="n"/>
      <c r="P3" s="29" t="n"/>
      <c r="Q3" s="29" t="n"/>
      <c r="R3" s="29" t="n"/>
      <c r="S3" s="29" t="n"/>
      <c r="T3" s="29" t="n"/>
      <c r="U3" s="29" t="n"/>
      <c r="V3" s="29" t="n"/>
      <c r="W3" s="29" t="n"/>
      <c r="X3" s="29" t="n"/>
      <c r="Y3" s="29" t="n"/>
      <c r="Z3" s="29" t="n"/>
      <c r="AA3" s="29" t="n"/>
      <c r="AB3" s="29" t="n"/>
      <c r="AC3" s="29" t="n"/>
      <c r="AD3" s="29" t="n"/>
      <c r="AE3" s="29" t="n"/>
      <c r="AF3" s="29" t="n"/>
      <c r="AG3" s="29" t="n"/>
      <c r="AH3" s="29" t="n"/>
      <c r="AI3" s="29" t="n"/>
      <c r="AJ3" s="29" t="n"/>
      <c r="AK3" s="29" t="n"/>
      <c r="AL3" s="29" t="n"/>
      <c r="AM3" s="29" t="n"/>
      <c r="AN3" s="29" t="n"/>
      <c r="AO3" s="29" t="n"/>
      <c r="AP3" s="29" t="n"/>
      <c r="AQ3" s="29" t="n"/>
      <c r="AR3" s="29" t="n"/>
      <c r="AS3" s="29" t="n"/>
      <c r="AT3" s="29" t="n"/>
      <c r="AU3" s="29" t="n"/>
      <c r="AV3" s="29" t="n"/>
      <c r="AW3" s="29" t="n"/>
      <c r="AX3" s="29" t="n"/>
      <c r="AY3" s="29" t="n"/>
      <c r="AZ3" s="29" t="n"/>
      <c r="BA3" s="29" t="n"/>
      <c r="BB3" s="29" t="n"/>
      <c r="BC3" s="29" t="n"/>
      <c r="BD3" s="29" t="n"/>
      <c r="BE3" s="29" t="n"/>
      <c r="BF3" s="29" t="n"/>
      <c r="BG3" s="29" t="n"/>
      <c r="BH3" s="29" t="n"/>
      <c r="BI3" s="29" t="n"/>
      <c r="BJ3" s="29" t="n"/>
      <c r="BK3" s="29" t="n"/>
      <c r="BL3" s="29" t="n"/>
      <c r="BM3" s="29" t="n"/>
      <c r="BN3" s="29" t="n"/>
      <c r="BO3" s="29" t="n"/>
      <c r="BP3" s="29" t="n"/>
      <c r="BQ3" s="29" t="n"/>
      <c r="BR3" s="29" t="n"/>
      <c r="BS3" s="29" t="n"/>
      <c r="BT3" s="29" t="n"/>
      <c r="BU3" s="29" t="n"/>
      <c r="BV3" s="29" t="n"/>
      <c r="BW3" s="29" t="n"/>
      <c r="BX3" s="29" t="n"/>
      <c r="BY3" s="29" t="n"/>
      <c r="BZ3" s="29" t="n"/>
      <c r="CA3" s="29" t="n"/>
      <c r="CB3" s="29" t="n"/>
      <c r="CC3" s="29" t="n"/>
      <c r="CD3" s="29" t="n"/>
      <c r="CE3" s="29" t="n"/>
      <c r="CF3" s="29" t="n"/>
      <c r="CG3" s="29" t="n"/>
      <c r="CH3" s="29" t="n"/>
      <c r="CI3" s="29" t="n"/>
      <c r="CJ3" s="29" t="n"/>
      <c r="CK3" s="29" t="n"/>
      <c r="CL3" s="29" t="n"/>
      <c r="CM3" s="29" t="n"/>
      <c r="CN3" s="29" t="n"/>
      <c r="CO3" s="29" t="n"/>
      <c r="CP3" s="29" t="n"/>
      <c r="CQ3" s="29" t="n"/>
      <c r="CR3" s="29" t="n"/>
      <c r="CS3" s="29" t="n"/>
      <c r="CT3" s="29" t="n"/>
      <c r="CU3" s="29" t="n"/>
      <c r="CV3" s="29" t="n"/>
      <c r="CW3" s="29" t="n"/>
      <c r="CX3" s="29" t="n"/>
      <c r="CY3" s="29" t="n"/>
      <c r="CZ3" s="29" t="n"/>
      <c r="DA3" s="29" t="n"/>
      <c r="DB3" s="29" t="n"/>
      <c r="DC3" s="29" t="n"/>
      <c r="DD3" s="29" t="n"/>
      <c r="DE3" s="29" t="n"/>
      <c r="DF3" s="29" t="n"/>
      <c r="DG3" s="29" t="n"/>
      <c r="DH3" s="29" t="n"/>
      <c r="DI3" s="29" t="n"/>
      <c r="DJ3" s="29" t="n"/>
      <c r="DK3" s="29" t="n"/>
      <c r="DL3" s="29" t="n"/>
      <c r="DM3" s="29" t="n"/>
      <c r="DN3" s="29" t="n"/>
      <c r="DO3" s="29" t="n"/>
      <c r="DP3" s="29" t="n"/>
      <c r="DQ3" s="29" t="n"/>
      <c r="DR3" s="29" t="n"/>
      <c r="DS3" s="29" t="n"/>
      <c r="DT3" s="29" t="n"/>
      <c r="DU3" s="29" t="n"/>
      <c r="DV3" s="29" t="n"/>
      <c r="DW3" s="29" t="n"/>
      <c r="DX3" s="29" t="n"/>
      <c r="DY3" s="29" t="n"/>
    </row>
    <row r="4">
      <c r="A4" s="26" t="inlineStr">
        <is>
          <t>Month</t>
        </is>
      </c>
      <c r="B4" s="34" t="inlineStr">
        <is>
          <t>FRA</t>
        </is>
      </c>
      <c r="C4" s="27" t="inlineStr">
        <is>
          <t>mom</t>
        </is>
      </c>
      <c r="D4" s="27" t="inlineStr">
        <is>
          <t>yoy</t>
        </is>
      </c>
      <c r="G4" s="31">
        <f>G1&amp;" Industrial Production"</f>
        <v/>
      </c>
    </row>
    <row r="5">
      <c r="A5" s="22" t="n">
        <v>33208</v>
      </c>
      <c r="B5" s="23">
        <f>VLOOKUP(A5,Database!$E:$AY,MATCH($B$4,Database!$E$1:$AY$1,0),FALSE)</f>
        <v/>
      </c>
      <c r="C5" s="24" t="n"/>
      <c r="D5" s="25" t="n"/>
    </row>
    <row r="6">
      <c r="A6" s="22" t="n">
        <v>33239</v>
      </c>
      <c r="B6" s="23">
        <f>VLOOKUP(A6,Database!$E:$AY,MATCH($B$4,Database!$E$1:$AY$1,0),FALSE)</f>
        <v/>
      </c>
      <c r="C6" s="24">
        <f>(Table13456789101112131415161734[[#This Row],[FRA]]-B5)/B5</f>
        <v/>
      </c>
      <c r="D6" s="25" t="n"/>
    </row>
    <row r="7">
      <c r="A7" s="22" t="n">
        <v>33270</v>
      </c>
      <c r="B7" s="23">
        <f>VLOOKUP(A7,Database!$E:$AY,MATCH($B$4,Database!$E$1:$AY$1,0),FALSE)</f>
        <v/>
      </c>
      <c r="C7" s="24">
        <f>(Table13456789101112131415161734[[#This Row],[FRA]]-B6)/B6</f>
        <v/>
      </c>
      <c r="D7" s="25" t="n"/>
    </row>
    <row r="8">
      <c r="A8" s="22" t="n">
        <v>33298</v>
      </c>
      <c r="B8" s="23">
        <f>VLOOKUP(A8,Database!$E:$AY,MATCH($B$4,Database!$E$1:$AY$1,0),FALSE)</f>
        <v/>
      </c>
      <c r="C8" s="24">
        <f>(Table13456789101112131415161734[[#This Row],[FRA]]-B7)/B7</f>
        <v/>
      </c>
      <c r="D8" s="25" t="n"/>
    </row>
    <row r="9">
      <c r="A9" s="22" t="n">
        <v>33329</v>
      </c>
      <c r="B9" s="23">
        <f>VLOOKUP(A9,Database!$E:$AY,MATCH($B$4,Database!$E$1:$AY$1,0),FALSE)</f>
        <v/>
      </c>
      <c r="C9" s="24">
        <f>(Table13456789101112131415161734[[#This Row],[FRA]]-B8)/B8</f>
        <v/>
      </c>
      <c r="D9" s="25" t="n"/>
    </row>
    <row r="10">
      <c r="A10" s="22" t="n">
        <v>33359</v>
      </c>
      <c r="B10" s="23">
        <f>VLOOKUP(A10,Database!$E:$AY,MATCH($B$4,Database!$E$1:$AY$1,0),FALSE)</f>
        <v/>
      </c>
      <c r="C10" s="24">
        <f>(Table13456789101112131415161734[[#This Row],[FRA]]-B9)/B9</f>
        <v/>
      </c>
      <c r="D10" s="25" t="n"/>
    </row>
    <row r="11">
      <c r="A11" s="22" t="n">
        <v>33390</v>
      </c>
      <c r="B11" s="23">
        <f>VLOOKUP(A11,Database!$E:$AY,MATCH($B$4,Database!$E$1:$AY$1,0),FALSE)</f>
        <v/>
      </c>
      <c r="C11" s="24">
        <f>(Table13456789101112131415161734[[#This Row],[FRA]]-B10)/B10</f>
        <v/>
      </c>
      <c r="D11" s="25" t="n"/>
    </row>
    <row r="12">
      <c r="A12" s="22" t="n">
        <v>33420</v>
      </c>
      <c r="B12" s="23">
        <f>VLOOKUP(A12,Database!$E:$AY,MATCH($B$4,Database!$E$1:$AY$1,0),FALSE)</f>
        <v/>
      </c>
      <c r="C12" s="24">
        <f>(Table13456789101112131415161734[[#This Row],[FRA]]-B11)/B11</f>
        <v/>
      </c>
      <c r="D12" s="25" t="n"/>
    </row>
    <row r="13">
      <c r="A13" s="22" t="n">
        <v>33451</v>
      </c>
      <c r="B13" s="23">
        <f>VLOOKUP(A13,Database!$E:$AY,MATCH($B$4,Database!$E$1:$AY$1,0),FALSE)</f>
        <v/>
      </c>
      <c r="C13" s="24">
        <f>(Table13456789101112131415161734[[#This Row],[FRA]]-B12)/B12</f>
        <v/>
      </c>
      <c r="D13" s="25" t="n"/>
    </row>
    <row r="14">
      <c r="A14" s="22" t="n">
        <v>33482</v>
      </c>
      <c r="B14" s="23">
        <f>VLOOKUP(A14,Database!$E:$AY,MATCH($B$4,Database!$E$1:$AY$1,0),FALSE)</f>
        <v/>
      </c>
      <c r="C14" s="24">
        <f>(Table13456789101112131415161734[[#This Row],[FRA]]-B13)/B13</f>
        <v/>
      </c>
      <c r="D14" s="25" t="n"/>
    </row>
    <row r="15">
      <c r="A15" s="22" t="n">
        <v>33512</v>
      </c>
      <c r="B15" s="23">
        <f>VLOOKUP(A15,Database!$E:$AY,MATCH($B$4,Database!$E$1:$AY$1,0),FALSE)</f>
        <v/>
      </c>
      <c r="C15" s="24">
        <f>(Table13456789101112131415161734[[#This Row],[FRA]]-B14)/B14</f>
        <v/>
      </c>
      <c r="D15" s="25" t="n"/>
    </row>
    <row r="16">
      <c r="A16" s="22" t="n">
        <v>33543</v>
      </c>
      <c r="B16" s="23">
        <f>VLOOKUP(A16,Database!$E:$AY,MATCH($B$4,Database!$E$1:$AY$1,0),FALSE)</f>
        <v/>
      </c>
      <c r="C16" s="24">
        <f>(Table13456789101112131415161734[[#This Row],[FRA]]-B15)/B15</f>
        <v/>
      </c>
      <c r="D16" s="25" t="n"/>
    </row>
    <row r="17">
      <c r="A17" s="22" t="n">
        <v>33573</v>
      </c>
      <c r="B17" s="23">
        <f>VLOOKUP(A17,Database!$E:$AY,MATCH($B$4,Database!$E$1:$AY$1,0),FALSE)</f>
        <v/>
      </c>
      <c r="C17" s="24">
        <f>(Table13456789101112131415161734[[#This Row],[FRA]]-B16)/B16</f>
        <v/>
      </c>
      <c r="D17" s="25">
        <f>(Table13456789101112131415161734[[#This Row],[FRA]]-B5)/B5</f>
        <v/>
      </c>
    </row>
    <row r="18">
      <c r="A18" s="22" t="n">
        <v>33604</v>
      </c>
      <c r="B18" s="23">
        <f>VLOOKUP(A18,Database!$E:$AY,MATCH($B$4,Database!$E$1:$AY$1,0),FALSE)</f>
        <v/>
      </c>
      <c r="C18" s="24">
        <f>(Table13456789101112131415161734[[#This Row],[FRA]]-B17)/B17</f>
        <v/>
      </c>
      <c r="D18" s="25">
        <f>(Table13456789101112131415161734[[#This Row],[FRA]]-B6)/B6</f>
        <v/>
      </c>
    </row>
    <row r="19">
      <c r="A19" s="22" t="n">
        <v>33635</v>
      </c>
      <c r="B19" s="23">
        <f>VLOOKUP(A19,Database!$E:$AY,MATCH($B$4,Database!$E$1:$AY$1,0),FALSE)</f>
        <v/>
      </c>
      <c r="C19" s="24">
        <f>(Table13456789101112131415161734[[#This Row],[FRA]]-B18)/B18</f>
        <v/>
      </c>
      <c r="D19" s="25">
        <f>(Table13456789101112131415161734[[#This Row],[FRA]]-B7)/B7</f>
        <v/>
      </c>
    </row>
    <row r="20">
      <c r="A20" s="22" t="n">
        <v>33664</v>
      </c>
      <c r="B20" s="23">
        <f>VLOOKUP(A20,Database!$E:$AY,MATCH($B$4,Database!$E$1:$AY$1,0),FALSE)</f>
        <v/>
      </c>
      <c r="C20" s="24">
        <f>(Table13456789101112131415161734[[#This Row],[FRA]]-B19)/B19</f>
        <v/>
      </c>
      <c r="D20" s="25">
        <f>(Table13456789101112131415161734[[#This Row],[FRA]]-B8)/B8</f>
        <v/>
      </c>
    </row>
    <row r="21">
      <c r="A21" s="22" t="n">
        <v>33695</v>
      </c>
      <c r="B21" s="23">
        <f>VLOOKUP(A21,Database!$E:$AY,MATCH($B$4,Database!$E$1:$AY$1,0),FALSE)</f>
        <v/>
      </c>
      <c r="C21" s="24">
        <f>(Table13456789101112131415161734[[#This Row],[FRA]]-B20)/B20</f>
        <v/>
      </c>
      <c r="D21" s="25">
        <f>(Table13456789101112131415161734[[#This Row],[FRA]]-B9)/B9</f>
        <v/>
      </c>
    </row>
    <row r="22">
      <c r="A22" s="22" t="n">
        <v>33725</v>
      </c>
      <c r="B22" s="23">
        <f>VLOOKUP(A22,Database!$E:$AY,MATCH($B$4,Database!$E$1:$AY$1,0),FALSE)</f>
        <v/>
      </c>
      <c r="C22" s="24">
        <f>(Table13456789101112131415161734[[#This Row],[FRA]]-B21)/B21</f>
        <v/>
      </c>
      <c r="D22" s="25">
        <f>(Table13456789101112131415161734[[#This Row],[FRA]]-B10)/B10</f>
        <v/>
      </c>
    </row>
    <row r="23">
      <c r="A23" s="22" t="n">
        <v>33756</v>
      </c>
      <c r="B23" s="23">
        <f>VLOOKUP(A23,Database!$E:$AY,MATCH($B$4,Database!$E$1:$AY$1,0),FALSE)</f>
        <v/>
      </c>
      <c r="C23" s="24">
        <f>(Table13456789101112131415161734[[#This Row],[FRA]]-B22)/B22</f>
        <v/>
      </c>
      <c r="D23" s="25">
        <f>(Table13456789101112131415161734[[#This Row],[FRA]]-B11)/B11</f>
        <v/>
      </c>
    </row>
    <row r="24">
      <c r="A24" s="22" t="n">
        <v>33786</v>
      </c>
      <c r="B24" s="23">
        <f>VLOOKUP(A24,Database!$E:$AY,MATCH($B$4,Database!$E$1:$AY$1,0),FALSE)</f>
        <v/>
      </c>
      <c r="C24" s="24">
        <f>(Table13456789101112131415161734[[#This Row],[FRA]]-B23)/B23</f>
        <v/>
      </c>
      <c r="D24" s="25">
        <f>(Table13456789101112131415161734[[#This Row],[FRA]]-B12)/B12</f>
        <v/>
      </c>
    </row>
    <row r="25">
      <c r="A25" s="22" t="n">
        <v>33817</v>
      </c>
      <c r="B25" s="23">
        <f>VLOOKUP(A25,Database!$E:$AY,MATCH($B$4,Database!$E$1:$AY$1,0),FALSE)</f>
        <v/>
      </c>
      <c r="C25" s="24">
        <f>(Table13456789101112131415161734[[#This Row],[FRA]]-B24)/B24</f>
        <v/>
      </c>
      <c r="D25" s="25">
        <f>(Table13456789101112131415161734[[#This Row],[FRA]]-B13)/B13</f>
        <v/>
      </c>
    </row>
    <row r="26">
      <c r="A26" s="22" t="n">
        <v>33848</v>
      </c>
      <c r="B26" s="23">
        <f>VLOOKUP(A26,Database!$E:$AY,MATCH($B$4,Database!$E$1:$AY$1,0),FALSE)</f>
        <v/>
      </c>
      <c r="C26" s="24">
        <f>(Table13456789101112131415161734[[#This Row],[FRA]]-B25)/B25</f>
        <v/>
      </c>
      <c r="D26" s="25">
        <f>(Table13456789101112131415161734[[#This Row],[FRA]]-B14)/B14</f>
        <v/>
      </c>
    </row>
    <row r="27">
      <c r="A27" s="22" t="n">
        <v>33878</v>
      </c>
      <c r="B27" s="23">
        <f>VLOOKUP(A27,Database!$E:$AY,MATCH($B$4,Database!$E$1:$AY$1,0),FALSE)</f>
        <v/>
      </c>
      <c r="C27" s="24">
        <f>(Table13456789101112131415161734[[#This Row],[FRA]]-B26)/B26</f>
        <v/>
      </c>
      <c r="D27" s="25">
        <f>(Table13456789101112131415161734[[#This Row],[FRA]]-B15)/B15</f>
        <v/>
      </c>
    </row>
    <row r="28">
      <c r="A28" s="22" t="n">
        <v>33909</v>
      </c>
      <c r="B28" s="23">
        <f>VLOOKUP(A28,Database!$E:$AY,MATCH($B$4,Database!$E$1:$AY$1,0),FALSE)</f>
        <v/>
      </c>
      <c r="C28" s="24">
        <f>(Table13456789101112131415161734[[#This Row],[FRA]]-B27)/B27</f>
        <v/>
      </c>
      <c r="D28" s="25">
        <f>(Table13456789101112131415161734[[#This Row],[FRA]]-B16)/B16</f>
        <v/>
      </c>
    </row>
    <row r="29">
      <c r="A29" s="22" t="n">
        <v>33939</v>
      </c>
      <c r="B29" s="23">
        <f>VLOOKUP(A29,Database!$E:$AY,MATCH($B$4,Database!$E$1:$AY$1,0),FALSE)</f>
        <v/>
      </c>
      <c r="C29" s="24">
        <f>(Table13456789101112131415161734[[#This Row],[FRA]]-B28)/B28</f>
        <v/>
      </c>
      <c r="D29" s="25">
        <f>(Table13456789101112131415161734[[#This Row],[FRA]]-B17)/B17</f>
        <v/>
      </c>
    </row>
    <row r="30">
      <c r="A30" s="22" t="n">
        <v>33970</v>
      </c>
      <c r="B30" s="23">
        <f>VLOOKUP(A30,Database!$E:$AY,MATCH($B$4,Database!$E$1:$AY$1,0),FALSE)</f>
        <v/>
      </c>
      <c r="C30" s="24">
        <f>(Table13456789101112131415161734[[#This Row],[FRA]]-B29)/B29</f>
        <v/>
      </c>
      <c r="D30" s="25">
        <f>(Table13456789101112131415161734[[#This Row],[FRA]]-B18)/B18</f>
        <v/>
      </c>
    </row>
    <row r="31">
      <c r="A31" s="22" t="n">
        <v>34001</v>
      </c>
      <c r="B31" s="23">
        <f>VLOOKUP(A31,Database!$E:$AY,MATCH($B$4,Database!$E$1:$AY$1,0),FALSE)</f>
        <v/>
      </c>
      <c r="C31" s="24">
        <f>(Table13456789101112131415161734[[#This Row],[FRA]]-B30)/B30</f>
        <v/>
      </c>
      <c r="D31" s="25">
        <f>(Table13456789101112131415161734[[#This Row],[FRA]]-B19)/B19</f>
        <v/>
      </c>
    </row>
    <row r="32">
      <c r="A32" s="22" t="n">
        <v>34029</v>
      </c>
      <c r="B32" s="23">
        <f>VLOOKUP(A32,Database!$E:$AY,MATCH($B$4,Database!$E$1:$AY$1,0),FALSE)</f>
        <v/>
      </c>
      <c r="C32" s="24">
        <f>(Table13456789101112131415161734[[#This Row],[FRA]]-B31)/B31</f>
        <v/>
      </c>
      <c r="D32" s="25">
        <f>(Table13456789101112131415161734[[#This Row],[FRA]]-B20)/B20</f>
        <v/>
      </c>
    </row>
    <row r="33">
      <c r="A33" s="22" t="n">
        <v>34060</v>
      </c>
      <c r="B33" s="23">
        <f>VLOOKUP(A33,Database!$E:$AY,MATCH($B$4,Database!$E$1:$AY$1,0),FALSE)</f>
        <v/>
      </c>
      <c r="C33" s="24">
        <f>(Table13456789101112131415161734[[#This Row],[FRA]]-B32)/B32</f>
        <v/>
      </c>
      <c r="D33" s="25">
        <f>(Table13456789101112131415161734[[#This Row],[FRA]]-B21)/B21</f>
        <v/>
      </c>
    </row>
    <row r="34">
      <c r="A34" s="22" t="n">
        <v>34090</v>
      </c>
      <c r="B34" s="23">
        <f>VLOOKUP(A34,Database!$E:$AY,MATCH($B$4,Database!$E$1:$AY$1,0),FALSE)</f>
        <v/>
      </c>
      <c r="C34" s="24">
        <f>(Table13456789101112131415161734[[#This Row],[FRA]]-B33)/B33</f>
        <v/>
      </c>
      <c r="D34" s="25">
        <f>(Table13456789101112131415161734[[#This Row],[FRA]]-B22)/B22</f>
        <v/>
      </c>
    </row>
    <row r="35">
      <c r="A35" s="22" t="n">
        <v>34121</v>
      </c>
      <c r="B35" s="23">
        <f>VLOOKUP(A35,Database!$E:$AY,MATCH($B$4,Database!$E$1:$AY$1,0),FALSE)</f>
        <v/>
      </c>
      <c r="C35" s="24">
        <f>(Table13456789101112131415161734[[#This Row],[FRA]]-B34)/B34</f>
        <v/>
      </c>
      <c r="D35" s="25">
        <f>(Table13456789101112131415161734[[#This Row],[FRA]]-B23)/B23</f>
        <v/>
      </c>
    </row>
    <row r="36">
      <c r="A36" s="22" t="n">
        <v>34151</v>
      </c>
      <c r="B36" s="23">
        <f>VLOOKUP(A36,Database!$E:$AY,MATCH($B$4,Database!$E$1:$AY$1,0),FALSE)</f>
        <v/>
      </c>
      <c r="C36" s="24">
        <f>(Table13456789101112131415161734[[#This Row],[FRA]]-B35)/B35</f>
        <v/>
      </c>
      <c r="D36" s="25">
        <f>(Table13456789101112131415161734[[#This Row],[FRA]]-B24)/B24</f>
        <v/>
      </c>
    </row>
    <row r="37">
      <c r="A37" s="22" t="n">
        <v>34182</v>
      </c>
      <c r="B37" s="23">
        <f>VLOOKUP(A37,Database!$E:$AY,MATCH($B$4,Database!$E$1:$AY$1,0),FALSE)</f>
        <v/>
      </c>
      <c r="C37" s="24">
        <f>(Table13456789101112131415161734[[#This Row],[FRA]]-B36)/B36</f>
        <v/>
      </c>
      <c r="D37" s="25">
        <f>(Table13456789101112131415161734[[#This Row],[FRA]]-B25)/B25</f>
        <v/>
      </c>
    </row>
    <row r="38">
      <c r="A38" s="22" t="n">
        <v>34213</v>
      </c>
      <c r="B38" s="23">
        <f>VLOOKUP(A38,Database!$E:$AY,MATCH($B$4,Database!$E$1:$AY$1,0),FALSE)</f>
        <v/>
      </c>
      <c r="C38" s="24">
        <f>(Table13456789101112131415161734[[#This Row],[FRA]]-B37)/B37</f>
        <v/>
      </c>
      <c r="D38" s="25">
        <f>(Table13456789101112131415161734[[#This Row],[FRA]]-B26)/B26</f>
        <v/>
      </c>
    </row>
    <row r="39">
      <c r="A39" s="22" t="n">
        <v>34243</v>
      </c>
      <c r="B39" s="23">
        <f>VLOOKUP(A39,Database!$E:$AY,MATCH($B$4,Database!$E$1:$AY$1,0),FALSE)</f>
        <v/>
      </c>
      <c r="C39" s="24">
        <f>(Table13456789101112131415161734[[#This Row],[FRA]]-B38)/B38</f>
        <v/>
      </c>
      <c r="D39" s="25">
        <f>(Table13456789101112131415161734[[#This Row],[FRA]]-B27)/B27</f>
        <v/>
      </c>
    </row>
    <row r="40">
      <c r="A40" s="22" t="n">
        <v>34274</v>
      </c>
      <c r="B40" s="23">
        <f>VLOOKUP(A40,Database!$E:$AY,MATCH($B$4,Database!$E$1:$AY$1,0),FALSE)</f>
        <v/>
      </c>
      <c r="C40" s="24">
        <f>(Table13456789101112131415161734[[#This Row],[FRA]]-B39)/B39</f>
        <v/>
      </c>
      <c r="D40" s="25">
        <f>(Table13456789101112131415161734[[#This Row],[FRA]]-B28)/B28</f>
        <v/>
      </c>
    </row>
    <row r="41">
      <c r="A41" s="22" t="n">
        <v>34304</v>
      </c>
      <c r="B41" s="23">
        <f>VLOOKUP(A41,Database!$E:$AY,MATCH($B$4,Database!$E$1:$AY$1,0),FALSE)</f>
        <v/>
      </c>
      <c r="C41" s="24">
        <f>(Table13456789101112131415161734[[#This Row],[FRA]]-B40)/B40</f>
        <v/>
      </c>
      <c r="D41" s="25">
        <f>(Table13456789101112131415161734[[#This Row],[FRA]]-B29)/B29</f>
        <v/>
      </c>
    </row>
    <row r="42">
      <c r="A42" s="22" t="n">
        <v>34335</v>
      </c>
      <c r="B42" s="23">
        <f>VLOOKUP(A42,Database!$E:$AY,MATCH($B$4,Database!$E$1:$AY$1,0),FALSE)</f>
        <v/>
      </c>
      <c r="C42" s="24">
        <f>(Table13456789101112131415161734[[#This Row],[FRA]]-B41)/B41</f>
        <v/>
      </c>
      <c r="D42" s="25">
        <f>(Table13456789101112131415161734[[#This Row],[FRA]]-B30)/B30</f>
        <v/>
      </c>
    </row>
    <row r="43">
      <c r="A43" s="22" t="n">
        <v>34366</v>
      </c>
      <c r="B43" s="23">
        <f>VLOOKUP(A43,Database!$E:$AY,MATCH($B$4,Database!$E$1:$AY$1,0),FALSE)</f>
        <v/>
      </c>
      <c r="C43" s="24">
        <f>(Table13456789101112131415161734[[#This Row],[FRA]]-B42)/B42</f>
        <v/>
      </c>
      <c r="D43" s="25">
        <f>(Table13456789101112131415161734[[#This Row],[FRA]]-B31)/B31</f>
        <v/>
      </c>
    </row>
    <row r="44">
      <c r="A44" s="22" t="n">
        <v>34394</v>
      </c>
      <c r="B44" s="23">
        <f>VLOOKUP(A44,Database!$E:$AY,MATCH($B$4,Database!$E$1:$AY$1,0),FALSE)</f>
        <v/>
      </c>
      <c r="C44" s="24">
        <f>(Table13456789101112131415161734[[#This Row],[FRA]]-B43)/B43</f>
        <v/>
      </c>
      <c r="D44" s="25">
        <f>(Table13456789101112131415161734[[#This Row],[FRA]]-B32)/B32</f>
        <v/>
      </c>
    </row>
    <row r="45">
      <c r="A45" s="22" t="n">
        <v>34425</v>
      </c>
      <c r="B45" s="23">
        <f>VLOOKUP(A45,Database!$E:$AY,MATCH($B$4,Database!$E$1:$AY$1,0),FALSE)</f>
        <v/>
      </c>
      <c r="C45" s="24">
        <f>(Table13456789101112131415161734[[#This Row],[FRA]]-B44)/B44</f>
        <v/>
      </c>
      <c r="D45" s="25">
        <f>(Table13456789101112131415161734[[#This Row],[FRA]]-B33)/B33</f>
        <v/>
      </c>
    </row>
    <row r="46">
      <c r="A46" s="22" t="n">
        <v>34455</v>
      </c>
      <c r="B46" s="23">
        <f>VLOOKUP(A46,Database!$E:$AY,MATCH($B$4,Database!$E$1:$AY$1,0),FALSE)</f>
        <v/>
      </c>
      <c r="C46" s="24">
        <f>(Table13456789101112131415161734[[#This Row],[FRA]]-B45)/B45</f>
        <v/>
      </c>
      <c r="D46" s="25">
        <f>(Table13456789101112131415161734[[#This Row],[FRA]]-B34)/B34</f>
        <v/>
      </c>
    </row>
    <row r="47">
      <c r="A47" s="22" t="n">
        <v>34486</v>
      </c>
      <c r="B47" s="23">
        <f>VLOOKUP(A47,Database!$E:$AY,MATCH($B$4,Database!$E$1:$AY$1,0),FALSE)</f>
        <v/>
      </c>
      <c r="C47" s="24">
        <f>(Table13456789101112131415161734[[#This Row],[FRA]]-B46)/B46</f>
        <v/>
      </c>
      <c r="D47" s="25">
        <f>(Table13456789101112131415161734[[#This Row],[FRA]]-B35)/B35</f>
        <v/>
      </c>
    </row>
    <row r="48">
      <c r="A48" s="22" t="n">
        <v>34516</v>
      </c>
      <c r="B48" s="23">
        <f>VLOOKUP(A48,Database!$E:$AY,MATCH($B$4,Database!$E$1:$AY$1,0),FALSE)</f>
        <v/>
      </c>
      <c r="C48" s="24">
        <f>(Table13456789101112131415161734[[#This Row],[FRA]]-B47)/B47</f>
        <v/>
      </c>
      <c r="D48" s="25">
        <f>(Table13456789101112131415161734[[#This Row],[FRA]]-B36)/B36</f>
        <v/>
      </c>
    </row>
    <row r="49">
      <c r="A49" s="22" t="n">
        <v>34547</v>
      </c>
      <c r="B49" s="23">
        <f>VLOOKUP(A49,Database!$E:$AY,MATCH($B$4,Database!$E$1:$AY$1,0),FALSE)</f>
        <v/>
      </c>
      <c r="C49" s="24">
        <f>(Table13456789101112131415161734[[#This Row],[FRA]]-B48)/B48</f>
        <v/>
      </c>
      <c r="D49" s="25">
        <f>(Table13456789101112131415161734[[#This Row],[FRA]]-B37)/B37</f>
        <v/>
      </c>
    </row>
    <row r="50">
      <c r="A50" s="22" t="n">
        <v>34578</v>
      </c>
      <c r="B50" s="23">
        <f>VLOOKUP(A50,Database!$E:$AY,MATCH($B$4,Database!$E$1:$AY$1,0),FALSE)</f>
        <v/>
      </c>
      <c r="C50" s="24">
        <f>(Table13456789101112131415161734[[#This Row],[FRA]]-B49)/B49</f>
        <v/>
      </c>
      <c r="D50" s="25">
        <f>(Table13456789101112131415161734[[#This Row],[FRA]]-B38)/B38</f>
        <v/>
      </c>
    </row>
    <row r="51">
      <c r="A51" s="22" t="n">
        <v>34608</v>
      </c>
      <c r="B51" s="23">
        <f>VLOOKUP(A51,Database!$E:$AY,MATCH($B$4,Database!$E$1:$AY$1,0),FALSE)</f>
        <v/>
      </c>
      <c r="C51" s="24">
        <f>(Table13456789101112131415161734[[#This Row],[FRA]]-B50)/B50</f>
        <v/>
      </c>
      <c r="D51" s="25">
        <f>(Table13456789101112131415161734[[#This Row],[FRA]]-B39)/B39</f>
        <v/>
      </c>
    </row>
    <row r="52">
      <c r="A52" s="22" t="n">
        <v>34639</v>
      </c>
      <c r="B52" s="23">
        <f>VLOOKUP(A52,Database!$E:$AY,MATCH($B$4,Database!$E$1:$AY$1,0),FALSE)</f>
        <v/>
      </c>
      <c r="C52" s="24">
        <f>(Table13456789101112131415161734[[#This Row],[FRA]]-B51)/B51</f>
        <v/>
      </c>
      <c r="D52" s="25">
        <f>(Table13456789101112131415161734[[#This Row],[FRA]]-B40)/B40</f>
        <v/>
      </c>
    </row>
    <row r="53">
      <c r="A53" s="22" t="n">
        <v>34669</v>
      </c>
      <c r="B53" s="23">
        <f>VLOOKUP(A53,Database!$E:$AY,MATCH($B$4,Database!$E$1:$AY$1,0),FALSE)</f>
        <v/>
      </c>
      <c r="C53" s="24">
        <f>(Table13456789101112131415161734[[#This Row],[FRA]]-B52)/B52</f>
        <v/>
      </c>
      <c r="D53" s="25">
        <f>(Table13456789101112131415161734[[#This Row],[FRA]]-B41)/B41</f>
        <v/>
      </c>
    </row>
    <row r="54">
      <c r="A54" s="22" t="n">
        <v>34700</v>
      </c>
      <c r="B54" s="23">
        <f>VLOOKUP(A54,Database!$E:$AY,MATCH($B$4,Database!$E$1:$AY$1,0),FALSE)</f>
        <v/>
      </c>
      <c r="C54" s="24">
        <f>(Table13456789101112131415161734[[#This Row],[FRA]]-B53)/B53</f>
        <v/>
      </c>
      <c r="D54" s="25">
        <f>(Table13456789101112131415161734[[#This Row],[FRA]]-B42)/B42</f>
        <v/>
      </c>
    </row>
    <row r="55">
      <c r="A55" s="22" t="n">
        <v>34731</v>
      </c>
      <c r="B55" s="23">
        <f>VLOOKUP(A55,Database!$E:$AY,MATCH($B$4,Database!$E$1:$AY$1,0),FALSE)</f>
        <v/>
      </c>
      <c r="C55" s="24">
        <f>(Table13456789101112131415161734[[#This Row],[FRA]]-B54)/B54</f>
        <v/>
      </c>
      <c r="D55" s="25">
        <f>(Table13456789101112131415161734[[#This Row],[FRA]]-B43)/B43</f>
        <v/>
      </c>
    </row>
    <row r="56">
      <c r="A56" s="22" t="n">
        <v>34759</v>
      </c>
      <c r="B56" s="23">
        <f>VLOOKUP(A56,Database!$E:$AY,MATCH($B$4,Database!$E$1:$AY$1,0),FALSE)</f>
        <v/>
      </c>
      <c r="C56" s="24">
        <f>(Table13456789101112131415161734[[#This Row],[FRA]]-B55)/B55</f>
        <v/>
      </c>
      <c r="D56" s="25">
        <f>(Table13456789101112131415161734[[#This Row],[FRA]]-B44)/B44</f>
        <v/>
      </c>
    </row>
    <row r="57">
      <c r="A57" s="22" t="n">
        <v>34790</v>
      </c>
      <c r="B57" s="23">
        <f>VLOOKUP(A57,Database!$E:$AY,MATCH($B$4,Database!$E$1:$AY$1,0),FALSE)</f>
        <v/>
      </c>
      <c r="C57" s="24">
        <f>(Table13456789101112131415161734[[#This Row],[FRA]]-B56)/B56</f>
        <v/>
      </c>
      <c r="D57" s="25">
        <f>(Table13456789101112131415161734[[#This Row],[FRA]]-B45)/B45</f>
        <v/>
      </c>
    </row>
    <row r="58">
      <c r="A58" s="22" t="n">
        <v>34820</v>
      </c>
      <c r="B58" s="23">
        <f>VLOOKUP(A58,Database!$E:$AY,MATCH($B$4,Database!$E$1:$AY$1,0),FALSE)</f>
        <v/>
      </c>
      <c r="C58" s="24">
        <f>(Table13456789101112131415161734[[#This Row],[FRA]]-B57)/B57</f>
        <v/>
      </c>
      <c r="D58" s="25">
        <f>(Table13456789101112131415161734[[#This Row],[FRA]]-B46)/B46</f>
        <v/>
      </c>
    </row>
    <row r="59">
      <c r="A59" s="22" t="n">
        <v>34851</v>
      </c>
      <c r="B59" s="23">
        <f>VLOOKUP(A59,Database!$E:$AY,MATCH($B$4,Database!$E$1:$AY$1,0),FALSE)</f>
        <v/>
      </c>
      <c r="C59" s="24">
        <f>(Table13456789101112131415161734[[#This Row],[FRA]]-B58)/B58</f>
        <v/>
      </c>
      <c r="D59" s="25">
        <f>(Table13456789101112131415161734[[#This Row],[FRA]]-B47)/B47</f>
        <v/>
      </c>
    </row>
    <row r="60">
      <c r="A60" s="22" t="n">
        <v>34881</v>
      </c>
      <c r="B60" s="23">
        <f>VLOOKUP(A60,Database!$E:$AY,MATCH($B$4,Database!$E$1:$AY$1,0),FALSE)</f>
        <v/>
      </c>
      <c r="C60" s="24">
        <f>(Table13456789101112131415161734[[#This Row],[FRA]]-B59)/B59</f>
        <v/>
      </c>
      <c r="D60" s="25">
        <f>(Table13456789101112131415161734[[#This Row],[FRA]]-B48)/B48</f>
        <v/>
      </c>
    </row>
    <row r="61">
      <c r="A61" s="22" t="n">
        <v>34912</v>
      </c>
      <c r="B61" s="23">
        <f>VLOOKUP(A61,Database!$E:$AY,MATCH($B$4,Database!$E$1:$AY$1,0),FALSE)</f>
        <v/>
      </c>
      <c r="C61" s="24">
        <f>(Table13456789101112131415161734[[#This Row],[FRA]]-B60)/B60</f>
        <v/>
      </c>
      <c r="D61" s="25">
        <f>(Table13456789101112131415161734[[#This Row],[FRA]]-B49)/B49</f>
        <v/>
      </c>
    </row>
    <row r="62">
      <c r="A62" s="22" t="n">
        <v>34943</v>
      </c>
      <c r="B62" s="23">
        <f>VLOOKUP(A62,Database!$E:$AY,MATCH($B$4,Database!$E$1:$AY$1,0),FALSE)</f>
        <v/>
      </c>
      <c r="C62" s="24">
        <f>(Table13456789101112131415161734[[#This Row],[FRA]]-B61)/B61</f>
        <v/>
      </c>
      <c r="D62" s="25">
        <f>(Table13456789101112131415161734[[#This Row],[FRA]]-B50)/B50</f>
        <v/>
      </c>
    </row>
    <row r="63">
      <c r="A63" s="22" t="n">
        <v>34973</v>
      </c>
      <c r="B63" s="23">
        <f>VLOOKUP(A63,Database!$E:$AY,MATCH($B$4,Database!$E$1:$AY$1,0),FALSE)</f>
        <v/>
      </c>
      <c r="C63" s="24">
        <f>(Table13456789101112131415161734[[#This Row],[FRA]]-B62)/B62</f>
        <v/>
      </c>
      <c r="D63" s="25">
        <f>(Table13456789101112131415161734[[#This Row],[FRA]]-B51)/B51</f>
        <v/>
      </c>
    </row>
    <row r="64">
      <c r="A64" s="22" t="n">
        <v>35004</v>
      </c>
      <c r="B64" s="23">
        <f>VLOOKUP(A64,Database!$E:$AY,MATCH($B$4,Database!$E$1:$AY$1,0),FALSE)</f>
        <v/>
      </c>
      <c r="C64" s="24">
        <f>(Table13456789101112131415161734[[#This Row],[FRA]]-B63)/B63</f>
        <v/>
      </c>
      <c r="D64" s="25">
        <f>(Table13456789101112131415161734[[#This Row],[FRA]]-B52)/B52</f>
        <v/>
      </c>
    </row>
    <row r="65">
      <c r="A65" s="22" t="n">
        <v>35034</v>
      </c>
      <c r="B65" s="23">
        <f>VLOOKUP(A65,Database!$E:$AY,MATCH($B$4,Database!$E$1:$AY$1,0),FALSE)</f>
        <v/>
      </c>
      <c r="C65" s="24">
        <f>(Table13456789101112131415161734[[#This Row],[FRA]]-B64)/B64</f>
        <v/>
      </c>
      <c r="D65" s="25">
        <f>(Table13456789101112131415161734[[#This Row],[FRA]]-B53)/B53</f>
        <v/>
      </c>
    </row>
    <row r="66">
      <c r="A66" s="22" t="n">
        <v>35065</v>
      </c>
      <c r="B66" s="23">
        <f>VLOOKUP(A66,Database!$E:$AY,MATCH($B$4,Database!$E$1:$AY$1,0),FALSE)</f>
        <v/>
      </c>
      <c r="C66" s="24">
        <f>(Table13456789101112131415161734[[#This Row],[FRA]]-B65)/B65</f>
        <v/>
      </c>
      <c r="D66" s="25">
        <f>(Table13456789101112131415161734[[#This Row],[FRA]]-B54)/B54</f>
        <v/>
      </c>
    </row>
    <row r="67">
      <c r="A67" s="22" t="n">
        <v>35096</v>
      </c>
      <c r="B67" s="23">
        <f>VLOOKUP(A67,Database!$E:$AY,MATCH($B$4,Database!$E$1:$AY$1,0),FALSE)</f>
        <v/>
      </c>
      <c r="C67" s="24">
        <f>(Table13456789101112131415161734[[#This Row],[FRA]]-B66)/B66</f>
        <v/>
      </c>
      <c r="D67" s="25">
        <f>(Table13456789101112131415161734[[#This Row],[FRA]]-B55)/B55</f>
        <v/>
      </c>
    </row>
    <row r="68">
      <c r="A68" s="22" t="n">
        <v>35125</v>
      </c>
      <c r="B68" s="23">
        <f>VLOOKUP(A68,Database!$E:$AY,MATCH($B$4,Database!$E$1:$AY$1,0),FALSE)</f>
        <v/>
      </c>
      <c r="C68" s="24">
        <f>(Table13456789101112131415161734[[#This Row],[FRA]]-B67)/B67</f>
        <v/>
      </c>
      <c r="D68" s="25">
        <f>(Table13456789101112131415161734[[#This Row],[FRA]]-B56)/B56</f>
        <v/>
      </c>
    </row>
    <row r="69">
      <c r="A69" s="22" t="n">
        <v>35156</v>
      </c>
      <c r="B69" s="23">
        <f>VLOOKUP(A69,Database!$E:$AY,MATCH($B$4,Database!$E$1:$AY$1,0),FALSE)</f>
        <v/>
      </c>
      <c r="C69" s="24">
        <f>(Table13456789101112131415161734[[#This Row],[FRA]]-B68)/B68</f>
        <v/>
      </c>
      <c r="D69" s="25">
        <f>(Table13456789101112131415161734[[#This Row],[FRA]]-B57)/B57</f>
        <v/>
      </c>
    </row>
    <row r="70">
      <c r="A70" s="22" t="n">
        <v>35186</v>
      </c>
      <c r="B70" s="23">
        <f>VLOOKUP(A70,Database!$E:$AY,MATCH($B$4,Database!$E$1:$AY$1,0),FALSE)</f>
        <v/>
      </c>
      <c r="C70" s="24">
        <f>(Table13456789101112131415161734[[#This Row],[FRA]]-B69)/B69</f>
        <v/>
      </c>
      <c r="D70" s="25">
        <f>(Table13456789101112131415161734[[#This Row],[FRA]]-B58)/B58</f>
        <v/>
      </c>
    </row>
    <row r="71">
      <c r="A71" s="22" t="n">
        <v>35217</v>
      </c>
      <c r="B71" s="23">
        <f>VLOOKUP(A71,Database!$E:$AY,MATCH($B$4,Database!$E$1:$AY$1,0),FALSE)</f>
        <v/>
      </c>
      <c r="C71" s="24">
        <f>(Table13456789101112131415161734[[#This Row],[FRA]]-B70)/B70</f>
        <v/>
      </c>
      <c r="D71" s="25">
        <f>(Table13456789101112131415161734[[#This Row],[FRA]]-B59)/B59</f>
        <v/>
      </c>
    </row>
    <row r="72">
      <c r="A72" s="22" t="n">
        <v>35247</v>
      </c>
      <c r="B72" s="23">
        <f>VLOOKUP(A72,Database!$E:$AY,MATCH($B$4,Database!$E$1:$AY$1,0),FALSE)</f>
        <v/>
      </c>
      <c r="C72" s="24">
        <f>(Table13456789101112131415161734[[#This Row],[FRA]]-B71)/B71</f>
        <v/>
      </c>
      <c r="D72" s="25">
        <f>(Table13456789101112131415161734[[#This Row],[FRA]]-B60)/B60</f>
        <v/>
      </c>
    </row>
    <row r="73">
      <c r="A73" s="22" t="n">
        <v>35278</v>
      </c>
      <c r="B73" s="23">
        <f>VLOOKUP(A73,Database!$E:$AY,MATCH($B$4,Database!$E$1:$AY$1,0),FALSE)</f>
        <v/>
      </c>
      <c r="C73" s="24">
        <f>(Table13456789101112131415161734[[#This Row],[FRA]]-B72)/B72</f>
        <v/>
      </c>
      <c r="D73" s="25">
        <f>(Table13456789101112131415161734[[#This Row],[FRA]]-B61)/B61</f>
        <v/>
      </c>
    </row>
    <row r="74">
      <c r="A74" s="22" t="n">
        <v>35309</v>
      </c>
      <c r="B74" s="23">
        <f>VLOOKUP(A74,Database!$E:$AY,MATCH($B$4,Database!$E$1:$AY$1,0),FALSE)</f>
        <v/>
      </c>
      <c r="C74" s="24">
        <f>(Table13456789101112131415161734[[#This Row],[FRA]]-B73)/B73</f>
        <v/>
      </c>
      <c r="D74" s="25">
        <f>(Table13456789101112131415161734[[#This Row],[FRA]]-B62)/B62</f>
        <v/>
      </c>
    </row>
    <row r="75">
      <c r="A75" s="22" t="n">
        <v>35339</v>
      </c>
      <c r="B75" s="23">
        <f>VLOOKUP(A75,Database!$E:$AY,MATCH($B$4,Database!$E$1:$AY$1,0),FALSE)</f>
        <v/>
      </c>
      <c r="C75" s="24">
        <f>(Table13456789101112131415161734[[#This Row],[FRA]]-B74)/B74</f>
        <v/>
      </c>
      <c r="D75" s="25">
        <f>(Table13456789101112131415161734[[#This Row],[FRA]]-B63)/B63</f>
        <v/>
      </c>
    </row>
    <row r="76">
      <c r="A76" s="22" t="n">
        <v>35370</v>
      </c>
      <c r="B76" s="23">
        <f>VLOOKUP(A76,Database!$E:$AY,MATCH($B$4,Database!$E$1:$AY$1,0),FALSE)</f>
        <v/>
      </c>
      <c r="C76" s="24">
        <f>(Table13456789101112131415161734[[#This Row],[FRA]]-B75)/B75</f>
        <v/>
      </c>
      <c r="D76" s="25">
        <f>(Table13456789101112131415161734[[#This Row],[FRA]]-B64)/B64</f>
        <v/>
      </c>
    </row>
    <row r="77">
      <c r="A77" s="22" t="n">
        <v>35400</v>
      </c>
      <c r="B77" s="23">
        <f>VLOOKUP(A77,Database!$E:$AY,MATCH($B$4,Database!$E$1:$AY$1,0),FALSE)</f>
        <v/>
      </c>
      <c r="C77" s="24">
        <f>(Table13456789101112131415161734[[#This Row],[FRA]]-B76)/B76</f>
        <v/>
      </c>
      <c r="D77" s="25">
        <f>(Table13456789101112131415161734[[#This Row],[FRA]]-B65)/B65</f>
        <v/>
      </c>
    </row>
    <row r="78">
      <c r="A78" s="22" t="n">
        <v>35431</v>
      </c>
      <c r="B78" s="23">
        <f>VLOOKUP(A78,Database!$E:$AY,MATCH($B$4,Database!$E$1:$AY$1,0),FALSE)</f>
        <v/>
      </c>
      <c r="C78" s="24">
        <f>(Table13456789101112131415161734[[#This Row],[FRA]]-B77)/B77</f>
        <v/>
      </c>
      <c r="D78" s="25">
        <f>(Table13456789101112131415161734[[#This Row],[FRA]]-B66)/B66</f>
        <v/>
      </c>
    </row>
    <row r="79">
      <c r="A79" s="22" t="n">
        <v>35462</v>
      </c>
      <c r="B79" s="23">
        <f>VLOOKUP(A79,Database!$E:$AY,MATCH($B$4,Database!$E$1:$AY$1,0),FALSE)</f>
        <v/>
      </c>
      <c r="C79" s="24">
        <f>(Table13456789101112131415161734[[#This Row],[FRA]]-B78)/B78</f>
        <v/>
      </c>
      <c r="D79" s="25">
        <f>(Table13456789101112131415161734[[#This Row],[FRA]]-B67)/B67</f>
        <v/>
      </c>
    </row>
    <row r="80">
      <c r="A80" s="22" t="n">
        <v>35490</v>
      </c>
      <c r="B80" s="23">
        <f>VLOOKUP(A80,Database!$E:$AY,MATCH($B$4,Database!$E$1:$AY$1,0),FALSE)</f>
        <v/>
      </c>
      <c r="C80" s="24">
        <f>(Table13456789101112131415161734[[#This Row],[FRA]]-B79)/B79</f>
        <v/>
      </c>
      <c r="D80" s="25">
        <f>(Table13456789101112131415161734[[#This Row],[FRA]]-B68)/B68</f>
        <v/>
      </c>
    </row>
    <row r="81">
      <c r="A81" s="22" t="n">
        <v>35521</v>
      </c>
      <c r="B81" s="23">
        <f>VLOOKUP(A81,Database!$E:$AY,MATCH($B$4,Database!$E$1:$AY$1,0),FALSE)</f>
        <v/>
      </c>
      <c r="C81" s="24">
        <f>(Table13456789101112131415161734[[#This Row],[FRA]]-B80)/B80</f>
        <v/>
      </c>
      <c r="D81" s="25">
        <f>(Table13456789101112131415161734[[#This Row],[FRA]]-B69)/B69</f>
        <v/>
      </c>
    </row>
    <row r="82">
      <c r="A82" s="22" t="n">
        <v>35551</v>
      </c>
      <c r="B82" s="23">
        <f>VLOOKUP(A82,Database!$E:$AY,MATCH($B$4,Database!$E$1:$AY$1,0),FALSE)</f>
        <v/>
      </c>
      <c r="C82" s="24">
        <f>(Table13456789101112131415161734[[#This Row],[FRA]]-B81)/B81</f>
        <v/>
      </c>
      <c r="D82" s="25">
        <f>(Table13456789101112131415161734[[#This Row],[FRA]]-B70)/B70</f>
        <v/>
      </c>
    </row>
    <row r="83">
      <c r="A83" s="22" t="n">
        <v>35582</v>
      </c>
      <c r="B83" s="23">
        <f>VLOOKUP(A83,Database!$E:$AY,MATCH($B$4,Database!$E$1:$AY$1,0),FALSE)</f>
        <v/>
      </c>
      <c r="C83" s="24">
        <f>(Table13456789101112131415161734[[#This Row],[FRA]]-B82)/B82</f>
        <v/>
      </c>
      <c r="D83" s="25">
        <f>(Table13456789101112131415161734[[#This Row],[FRA]]-B71)/B71</f>
        <v/>
      </c>
    </row>
    <row r="84">
      <c r="A84" s="22" t="n">
        <v>35612</v>
      </c>
      <c r="B84" s="23">
        <f>VLOOKUP(A84,Database!$E:$AY,MATCH($B$4,Database!$E$1:$AY$1,0),FALSE)</f>
        <v/>
      </c>
      <c r="C84" s="24">
        <f>(Table13456789101112131415161734[[#This Row],[FRA]]-B83)/B83</f>
        <v/>
      </c>
      <c r="D84" s="25">
        <f>(Table13456789101112131415161734[[#This Row],[FRA]]-B72)/B72</f>
        <v/>
      </c>
    </row>
    <row r="85">
      <c r="A85" s="22" t="n">
        <v>35643</v>
      </c>
      <c r="B85" s="23">
        <f>VLOOKUP(A85,Database!$E:$AY,MATCH($B$4,Database!$E$1:$AY$1,0),FALSE)</f>
        <v/>
      </c>
      <c r="C85" s="24">
        <f>(Table13456789101112131415161734[[#This Row],[FRA]]-B84)/B84</f>
        <v/>
      </c>
      <c r="D85" s="25">
        <f>(Table13456789101112131415161734[[#This Row],[FRA]]-B73)/B73</f>
        <v/>
      </c>
    </row>
    <row r="86">
      <c r="A86" s="22" t="n">
        <v>35674</v>
      </c>
      <c r="B86" s="23">
        <f>VLOOKUP(A86,Database!$E:$AY,MATCH($B$4,Database!$E$1:$AY$1,0),FALSE)</f>
        <v/>
      </c>
      <c r="C86" s="24">
        <f>(Table13456789101112131415161734[[#This Row],[FRA]]-B85)/B85</f>
        <v/>
      </c>
      <c r="D86" s="25">
        <f>(Table13456789101112131415161734[[#This Row],[FRA]]-B74)/B74</f>
        <v/>
      </c>
    </row>
    <row r="87">
      <c r="A87" s="22" t="n">
        <v>35704</v>
      </c>
      <c r="B87" s="23">
        <f>VLOOKUP(A87,Database!$E:$AY,MATCH($B$4,Database!$E$1:$AY$1,0),FALSE)</f>
        <v/>
      </c>
      <c r="C87" s="24">
        <f>(Table13456789101112131415161734[[#This Row],[FRA]]-B86)/B86</f>
        <v/>
      </c>
      <c r="D87" s="25">
        <f>(Table13456789101112131415161734[[#This Row],[FRA]]-B75)/B75</f>
        <v/>
      </c>
    </row>
    <row r="88">
      <c r="A88" s="22" t="n">
        <v>35735</v>
      </c>
      <c r="B88" s="23">
        <f>VLOOKUP(A88,Database!$E:$AY,MATCH($B$4,Database!$E$1:$AY$1,0),FALSE)</f>
        <v/>
      </c>
      <c r="C88" s="24">
        <f>(Table13456789101112131415161734[[#This Row],[FRA]]-B87)/B87</f>
        <v/>
      </c>
      <c r="D88" s="25">
        <f>(Table13456789101112131415161734[[#This Row],[FRA]]-B76)/B76</f>
        <v/>
      </c>
    </row>
    <row r="89">
      <c r="A89" s="22" t="n">
        <v>35765</v>
      </c>
      <c r="B89" s="23">
        <f>VLOOKUP(A89,Database!$E:$AY,MATCH($B$4,Database!$E$1:$AY$1,0),FALSE)</f>
        <v/>
      </c>
      <c r="C89" s="24">
        <f>(Table13456789101112131415161734[[#This Row],[FRA]]-B88)/B88</f>
        <v/>
      </c>
      <c r="D89" s="25">
        <f>(Table13456789101112131415161734[[#This Row],[FRA]]-B77)/B77</f>
        <v/>
      </c>
    </row>
    <row r="90">
      <c r="A90" s="22" t="n">
        <v>35796</v>
      </c>
      <c r="B90" s="23">
        <f>VLOOKUP(A90,Database!$E:$AY,MATCH($B$4,Database!$E$1:$AY$1,0),FALSE)</f>
        <v/>
      </c>
      <c r="C90" s="24">
        <f>(Table13456789101112131415161734[[#This Row],[FRA]]-B89)/B89</f>
        <v/>
      </c>
      <c r="D90" s="25">
        <f>(Table13456789101112131415161734[[#This Row],[FRA]]-B78)/B78</f>
        <v/>
      </c>
    </row>
    <row r="91">
      <c r="A91" s="22" t="n">
        <v>35827</v>
      </c>
      <c r="B91" s="23">
        <f>VLOOKUP(A91,Database!$E:$AY,MATCH($B$4,Database!$E$1:$AY$1,0),FALSE)</f>
        <v/>
      </c>
      <c r="C91" s="24">
        <f>(Table13456789101112131415161734[[#This Row],[FRA]]-B90)/B90</f>
        <v/>
      </c>
      <c r="D91" s="25">
        <f>(Table13456789101112131415161734[[#This Row],[FRA]]-B79)/B79</f>
        <v/>
      </c>
    </row>
    <row r="92">
      <c r="A92" s="22" t="n">
        <v>35855</v>
      </c>
      <c r="B92" s="23">
        <f>VLOOKUP(A92,Database!$E:$AY,MATCH($B$4,Database!$E$1:$AY$1,0),FALSE)</f>
        <v/>
      </c>
      <c r="C92" s="24">
        <f>(Table13456789101112131415161734[[#This Row],[FRA]]-B91)/B91</f>
        <v/>
      </c>
      <c r="D92" s="25">
        <f>(Table13456789101112131415161734[[#This Row],[FRA]]-B80)/B80</f>
        <v/>
      </c>
    </row>
    <row r="93">
      <c r="A93" s="22" t="n">
        <v>35886</v>
      </c>
      <c r="B93" s="23">
        <f>VLOOKUP(A93,Database!$E:$AY,MATCH($B$4,Database!$E$1:$AY$1,0),FALSE)</f>
        <v/>
      </c>
      <c r="C93" s="24">
        <f>(Table13456789101112131415161734[[#This Row],[FRA]]-B92)/B92</f>
        <v/>
      </c>
      <c r="D93" s="25">
        <f>(Table13456789101112131415161734[[#This Row],[FRA]]-B81)/B81</f>
        <v/>
      </c>
    </row>
    <row r="94">
      <c r="A94" s="22" t="n">
        <v>35916</v>
      </c>
      <c r="B94" s="23">
        <f>VLOOKUP(A94,Database!$E:$AY,MATCH($B$4,Database!$E$1:$AY$1,0),FALSE)</f>
        <v/>
      </c>
      <c r="C94" s="24">
        <f>(Table13456789101112131415161734[[#This Row],[FRA]]-B93)/B93</f>
        <v/>
      </c>
      <c r="D94" s="25">
        <f>(Table13456789101112131415161734[[#This Row],[FRA]]-B82)/B82</f>
        <v/>
      </c>
    </row>
    <row r="95">
      <c r="A95" s="22" t="n">
        <v>35947</v>
      </c>
      <c r="B95" s="23">
        <f>VLOOKUP(A95,Database!$E:$AY,MATCH($B$4,Database!$E$1:$AY$1,0),FALSE)</f>
        <v/>
      </c>
      <c r="C95" s="24">
        <f>(Table13456789101112131415161734[[#This Row],[FRA]]-B94)/B94</f>
        <v/>
      </c>
      <c r="D95" s="25">
        <f>(Table13456789101112131415161734[[#This Row],[FRA]]-B83)/B83</f>
        <v/>
      </c>
    </row>
    <row r="96">
      <c r="A96" s="22" t="n">
        <v>35977</v>
      </c>
      <c r="B96" s="23">
        <f>VLOOKUP(A96,Database!$E:$AY,MATCH($B$4,Database!$E$1:$AY$1,0),FALSE)</f>
        <v/>
      </c>
      <c r="C96" s="24">
        <f>(Table13456789101112131415161734[[#This Row],[FRA]]-B95)/B95</f>
        <v/>
      </c>
      <c r="D96" s="25">
        <f>(Table13456789101112131415161734[[#This Row],[FRA]]-B84)/B84</f>
        <v/>
      </c>
    </row>
    <row r="97">
      <c r="A97" s="22" t="n">
        <v>36008</v>
      </c>
      <c r="B97" s="23">
        <f>VLOOKUP(A97,Database!$E:$AY,MATCH($B$4,Database!$E$1:$AY$1,0),FALSE)</f>
        <v/>
      </c>
      <c r="C97" s="24">
        <f>(Table13456789101112131415161734[[#This Row],[FRA]]-B96)/B96</f>
        <v/>
      </c>
      <c r="D97" s="25">
        <f>(Table13456789101112131415161734[[#This Row],[FRA]]-B85)/B85</f>
        <v/>
      </c>
    </row>
    <row r="98">
      <c r="A98" s="22" t="n">
        <v>36039</v>
      </c>
      <c r="B98" s="23">
        <f>VLOOKUP(A98,Database!$E:$AY,MATCH($B$4,Database!$E$1:$AY$1,0),FALSE)</f>
        <v/>
      </c>
      <c r="C98" s="24">
        <f>(Table13456789101112131415161734[[#This Row],[FRA]]-B97)/B97</f>
        <v/>
      </c>
      <c r="D98" s="25">
        <f>(Table13456789101112131415161734[[#This Row],[FRA]]-B86)/B86</f>
        <v/>
      </c>
    </row>
    <row r="99">
      <c r="A99" s="22" t="n">
        <v>36069</v>
      </c>
      <c r="B99" s="23">
        <f>VLOOKUP(A99,Database!$E:$AY,MATCH($B$4,Database!$E$1:$AY$1,0),FALSE)</f>
        <v/>
      </c>
      <c r="C99" s="24">
        <f>(Table13456789101112131415161734[[#This Row],[FRA]]-B98)/B98</f>
        <v/>
      </c>
      <c r="D99" s="25">
        <f>(Table13456789101112131415161734[[#This Row],[FRA]]-B87)/B87</f>
        <v/>
      </c>
    </row>
    <row r="100">
      <c r="A100" s="22" t="n">
        <v>36100</v>
      </c>
      <c r="B100" s="23">
        <f>VLOOKUP(A100,Database!$E:$AY,MATCH($B$4,Database!$E$1:$AY$1,0),FALSE)</f>
        <v/>
      </c>
      <c r="C100" s="24">
        <f>(Table13456789101112131415161734[[#This Row],[FRA]]-B99)/B99</f>
        <v/>
      </c>
      <c r="D100" s="25">
        <f>(Table13456789101112131415161734[[#This Row],[FRA]]-B88)/B88</f>
        <v/>
      </c>
    </row>
    <row r="101">
      <c r="A101" s="22" t="n">
        <v>36130</v>
      </c>
      <c r="B101" s="23">
        <f>VLOOKUP(A101,Database!$E:$AY,MATCH($B$4,Database!$E$1:$AY$1,0),FALSE)</f>
        <v/>
      </c>
      <c r="C101" s="24">
        <f>(Table13456789101112131415161734[[#This Row],[FRA]]-B100)/B100</f>
        <v/>
      </c>
      <c r="D101" s="25">
        <f>(Table13456789101112131415161734[[#This Row],[FRA]]-B89)/B89</f>
        <v/>
      </c>
    </row>
    <row r="102">
      <c r="A102" s="22" t="n">
        <v>36161</v>
      </c>
      <c r="B102" s="23">
        <f>VLOOKUP(A102,Database!$E:$AY,MATCH($B$4,Database!$E$1:$AY$1,0),FALSE)</f>
        <v/>
      </c>
      <c r="C102" s="24">
        <f>(Table13456789101112131415161734[[#This Row],[FRA]]-B101)/B101</f>
        <v/>
      </c>
      <c r="D102" s="25">
        <f>(Table13456789101112131415161734[[#This Row],[FRA]]-B90)/B90</f>
        <v/>
      </c>
    </row>
    <row r="103">
      <c r="A103" s="22" t="n">
        <v>36192</v>
      </c>
      <c r="B103" s="23">
        <f>VLOOKUP(A103,Database!$E:$AY,MATCH($B$4,Database!$E$1:$AY$1,0),FALSE)</f>
        <v/>
      </c>
      <c r="C103" s="24">
        <f>(Table13456789101112131415161734[[#This Row],[FRA]]-B102)/B102</f>
        <v/>
      </c>
      <c r="D103" s="25">
        <f>(Table13456789101112131415161734[[#This Row],[FRA]]-B91)/B91</f>
        <v/>
      </c>
    </row>
    <row r="104">
      <c r="A104" s="22" t="n">
        <v>36220</v>
      </c>
      <c r="B104" s="23">
        <f>VLOOKUP(A104,Database!$E:$AY,MATCH($B$4,Database!$E$1:$AY$1,0),FALSE)</f>
        <v/>
      </c>
      <c r="C104" s="24">
        <f>(Table13456789101112131415161734[[#This Row],[FRA]]-B103)/B103</f>
        <v/>
      </c>
      <c r="D104" s="25">
        <f>(Table13456789101112131415161734[[#This Row],[FRA]]-B92)/B92</f>
        <v/>
      </c>
    </row>
    <row r="105">
      <c r="A105" s="22" t="n">
        <v>36251</v>
      </c>
      <c r="B105" s="23">
        <f>VLOOKUP(A105,Database!$E:$AY,MATCH($B$4,Database!$E$1:$AY$1,0),FALSE)</f>
        <v/>
      </c>
      <c r="C105" s="24">
        <f>(Table13456789101112131415161734[[#This Row],[FRA]]-B104)/B104</f>
        <v/>
      </c>
      <c r="D105" s="25">
        <f>(Table13456789101112131415161734[[#This Row],[FRA]]-B93)/B93</f>
        <v/>
      </c>
    </row>
    <row r="106">
      <c r="A106" s="22" t="n">
        <v>36281</v>
      </c>
      <c r="B106" s="23">
        <f>VLOOKUP(A106,Database!$E:$AY,MATCH($B$4,Database!$E$1:$AY$1,0),FALSE)</f>
        <v/>
      </c>
      <c r="C106" s="24">
        <f>(Table13456789101112131415161734[[#This Row],[FRA]]-B105)/B105</f>
        <v/>
      </c>
      <c r="D106" s="25">
        <f>(Table13456789101112131415161734[[#This Row],[FRA]]-B94)/B94</f>
        <v/>
      </c>
    </row>
    <row r="107">
      <c r="A107" s="22" t="n">
        <v>36312</v>
      </c>
      <c r="B107" s="23">
        <f>VLOOKUP(A107,Database!$E:$AY,MATCH($B$4,Database!$E$1:$AY$1,0),FALSE)</f>
        <v/>
      </c>
      <c r="C107" s="24">
        <f>(Table13456789101112131415161734[[#This Row],[FRA]]-B106)/B106</f>
        <v/>
      </c>
      <c r="D107" s="25">
        <f>(Table13456789101112131415161734[[#This Row],[FRA]]-B95)/B95</f>
        <v/>
      </c>
    </row>
    <row r="108">
      <c r="A108" s="22" t="n">
        <v>36342</v>
      </c>
      <c r="B108" s="23">
        <f>VLOOKUP(A108,Database!$E:$AY,MATCH($B$4,Database!$E$1:$AY$1,0),FALSE)</f>
        <v/>
      </c>
      <c r="C108" s="24">
        <f>(Table13456789101112131415161734[[#This Row],[FRA]]-B107)/B107</f>
        <v/>
      </c>
      <c r="D108" s="25">
        <f>(Table13456789101112131415161734[[#This Row],[FRA]]-B96)/B96</f>
        <v/>
      </c>
    </row>
    <row r="109">
      <c r="A109" s="22" t="n">
        <v>36373</v>
      </c>
      <c r="B109" s="23">
        <f>VLOOKUP(A109,Database!$E:$AY,MATCH($B$4,Database!$E$1:$AY$1,0),FALSE)</f>
        <v/>
      </c>
      <c r="C109" s="24">
        <f>(Table13456789101112131415161734[[#This Row],[FRA]]-B108)/B108</f>
        <v/>
      </c>
      <c r="D109" s="25">
        <f>(Table13456789101112131415161734[[#This Row],[FRA]]-B97)/B97</f>
        <v/>
      </c>
    </row>
    <row r="110">
      <c r="A110" s="22" t="n">
        <v>36404</v>
      </c>
      <c r="B110" s="23">
        <f>VLOOKUP(A110,Database!$E:$AY,MATCH($B$4,Database!$E$1:$AY$1,0),FALSE)</f>
        <v/>
      </c>
      <c r="C110" s="24">
        <f>(Table13456789101112131415161734[[#This Row],[FRA]]-B109)/B109</f>
        <v/>
      </c>
      <c r="D110" s="25">
        <f>(Table13456789101112131415161734[[#This Row],[FRA]]-B98)/B98</f>
        <v/>
      </c>
    </row>
    <row r="111">
      <c r="A111" s="22" t="n">
        <v>36434</v>
      </c>
      <c r="B111" s="23">
        <f>VLOOKUP(A111,Database!$E:$AY,MATCH($B$4,Database!$E$1:$AY$1,0),FALSE)</f>
        <v/>
      </c>
      <c r="C111" s="24">
        <f>(Table13456789101112131415161734[[#This Row],[FRA]]-B110)/B110</f>
        <v/>
      </c>
      <c r="D111" s="25">
        <f>(Table13456789101112131415161734[[#This Row],[FRA]]-B99)/B99</f>
        <v/>
      </c>
    </row>
    <row r="112">
      <c r="A112" s="22" t="n">
        <v>36465</v>
      </c>
      <c r="B112" s="23">
        <f>VLOOKUP(A112,Database!$E:$AY,MATCH($B$4,Database!$E$1:$AY$1,0),FALSE)</f>
        <v/>
      </c>
      <c r="C112" s="24">
        <f>(Table13456789101112131415161734[[#This Row],[FRA]]-B111)/B111</f>
        <v/>
      </c>
      <c r="D112" s="25">
        <f>(Table13456789101112131415161734[[#This Row],[FRA]]-B100)/B100</f>
        <v/>
      </c>
    </row>
    <row r="113">
      <c r="A113" s="22" t="n">
        <v>36495</v>
      </c>
      <c r="B113" s="23">
        <f>VLOOKUP(A113,Database!$E:$AY,MATCH($B$4,Database!$E$1:$AY$1,0),FALSE)</f>
        <v/>
      </c>
      <c r="C113" s="24">
        <f>(Table13456789101112131415161734[[#This Row],[FRA]]-B112)/B112</f>
        <v/>
      </c>
      <c r="D113" s="25">
        <f>(Table13456789101112131415161734[[#This Row],[FRA]]-B101)/B101</f>
        <v/>
      </c>
    </row>
    <row r="114">
      <c r="A114" s="22" t="n">
        <v>36526</v>
      </c>
      <c r="B114" s="23">
        <f>VLOOKUP(A114,Database!$E:$AY,MATCH($B$4,Database!$E$1:$AY$1,0),FALSE)</f>
        <v/>
      </c>
      <c r="C114" s="24">
        <f>(Table13456789101112131415161734[[#This Row],[FRA]]-B113)/B113</f>
        <v/>
      </c>
      <c r="D114" s="25">
        <f>(Table13456789101112131415161734[[#This Row],[FRA]]-B102)/B102</f>
        <v/>
      </c>
    </row>
    <row r="115">
      <c r="A115" s="22" t="n">
        <v>36557</v>
      </c>
      <c r="B115" s="23">
        <f>VLOOKUP(A115,Database!$E:$AY,MATCH($B$4,Database!$E$1:$AY$1,0),FALSE)</f>
        <v/>
      </c>
      <c r="C115" s="24">
        <f>(Table13456789101112131415161734[[#This Row],[FRA]]-B114)/B114</f>
        <v/>
      </c>
      <c r="D115" s="25">
        <f>(Table13456789101112131415161734[[#This Row],[FRA]]-B103)/B103</f>
        <v/>
      </c>
    </row>
    <row r="116">
      <c r="A116" s="22" t="n">
        <v>36586</v>
      </c>
      <c r="B116" s="23">
        <f>VLOOKUP(A116,Database!$E:$AY,MATCH($B$4,Database!$E$1:$AY$1,0),FALSE)</f>
        <v/>
      </c>
      <c r="C116" s="24">
        <f>(Table13456789101112131415161734[[#This Row],[FRA]]-B115)/B115</f>
        <v/>
      </c>
      <c r="D116" s="25">
        <f>(Table13456789101112131415161734[[#This Row],[FRA]]-B104)/B104</f>
        <v/>
      </c>
    </row>
    <row r="117">
      <c r="A117" s="22" t="n">
        <v>36617</v>
      </c>
      <c r="B117" s="23">
        <f>VLOOKUP(A117,Database!$E:$AY,MATCH($B$4,Database!$E$1:$AY$1,0),FALSE)</f>
        <v/>
      </c>
      <c r="C117" s="24">
        <f>(Table13456789101112131415161734[[#This Row],[FRA]]-B116)/B116</f>
        <v/>
      </c>
      <c r="D117" s="25">
        <f>(Table13456789101112131415161734[[#This Row],[FRA]]-B105)/B105</f>
        <v/>
      </c>
    </row>
    <row r="118">
      <c r="A118" s="22" t="n">
        <v>36647</v>
      </c>
      <c r="B118" s="23">
        <f>VLOOKUP(A118,Database!$E:$AY,MATCH($B$4,Database!$E$1:$AY$1,0),FALSE)</f>
        <v/>
      </c>
      <c r="C118" s="24">
        <f>(Table13456789101112131415161734[[#This Row],[FRA]]-B117)/B117</f>
        <v/>
      </c>
      <c r="D118" s="25">
        <f>(Table13456789101112131415161734[[#This Row],[FRA]]-B106)/B106</f>
        <v/>
      </c>
    </row>
    <row r="119">
      <c r="A119" s="22" t="n">
        <v>36678</v>
      </c>
      <c r="B119" s="23">
        <f>VLOOKUP(A119,Database!$E:$AY,MATCH($B$4,Database!$E$1:$AY$1,0),FALSE)</f>
        <v/>
      </c>
      <c r="C119" s="24">
        <f>(Table13456789101112131415161734[[#This Row],[FRA]]-B118)/B118</f>
        <v/>
      </c>
      <c r="D119" s="25">
        <f>(Table13456789101112131415161734[[#This Row],[FRA]]-B107)/B107</f>
        <v/>
      </c>
    </row>
    <row r="120">
      <c r="A120" s="22" t="n">
        <v>36708</v>
      </c>
      <c r="B120" s="23">
        <f>VLOOKUP(A120,Database!$E:$AY,MATCH($B$4,Database!$E$1:$AY$1,0),FALSE)</f>
        <v/>
      </c>
      <c r="C120" s="24">
        <f>(Table13456789101112131415161734[[#This Row],[FRA]]-B119)/B119</f>
        <v/>
      </c>
      <c r="D120" s="25">
        <f>(Table13456789101112131415161734[[#This Row],[FRA]]-B108)/B108</f>
        <v/>
      </c>
    </row>
    <row r="121">
      <c r="A121" s="22" t="n">
        <v>36739</v>
      </c>
      <c r="B121" s="23">
        <f>VLOOKUP(A121,Database!$E:$AY,MATCH($B$4,Database!$E$1:$AY$1,0),FALSE)</f>
        <v/>
      </c>
      <c r="C121" s="24">
        <f>(Table13456789101112131415161734[[#This Row],[FRA]]-B120)/B120</f>
        <v/>
      </c>
      <c r="D121" s="25">
        <f>(Table13456789101112131415161734[[#This Row],[FRA]]-B109)/B109</f>
        <v/>
      </c>
    </row>
    <row r="122">
      <c r="A122" s="22" t="n">
        <v>36770</v>
      </c>
      <c r="B122" s="23">
        <f>VLOOKUP(A122,Database!$E:$AY,MATCH($B$4,Database!$E$1:$AY$1,0),FALSE)</f>
        <v/>
      </c>
      <c r="C122" s="24">
        <f>(Table13456789101112131415161734[[#This Row],[FRA]]-B121)/B121</f>
        <v/>
      </c>
      <c r="D122" s="25">
        <f>(Table13456789101112131415161734[[#This Row],[FRA]]-B110)/B110</f>
        <v/>
      </c>
    </row>
    <row r="123">
      <c r="A123" s="22" t="n">
        <v>36800</v>
      </c>
      <c r="B123" s="23">
        <f>VLOOKUP(A123,Database!$E:$AY,MATCH($B$4,Database!$E$1:$AY$1,0),FALSE)</f>
        <v/>
      </c>
      <c r="C123" s="24">
        <f>(Table13456789101112131415161734[[#This Row],[FRA]]-B122)/B122</f>
        <v/>
      </c>
      <c r="D123" s="25">
        <f>(Table13456789101112131415161734[[#This Row],[FRA]]-B111)/B111</f>
        <v/>
      </c>
    </row>
    <row r="124">
      <c r="A124" s="22" t="n">
        <v>36831</v>
      </c>
      <c r="B124" s="23">
        <f>VLOOKUP(A124,Database!$E:$AY,MATCH($B$4,Database!$E$1:$AY$1,0),FALSE)</f>
        <v/>
      </c>
      <c r="C124" s="24">
        <f>(Table13456789101112131415161734[[#This Row],[FRA]]-B123)/B123</f>
        <v/>
      </c>
      <c r="D124" s="25">
        <f>(Table13456789101112131415161734[[#This Row],[FRA]]-B112)/B112</f>
        <v/>
      </c>
    </row>
    <row r="125">
      <c r="A125" s="22" t="n">
        <v>36861</v>
      </c>
      <c r="B125" s="23">
        <f>VLOOKUP(A125,Database!$E:$AY,MATCH($B$4,Database!$E$1:$AY$1,0),FALSE)</f>
        <v/>
      </c>
      <c r="C125" s="24">
        <f>(Table13456789101112131415161734[[#This Row],[FRA]]-B124)/B124</f>
        <v/>
      </c>
      <c r="D125" s="25">
        <f>(Table13456789101112131415161734[[#This Row],[FRA]]-B113)/B113</f>
        <v/>
      </c>
    </row>
    <row r="126">
      <c r="A126" s="22" t="n">
        <v>36892</v>
      </c>
      <c r="B126" s="23">
        <f>VLOOKUP(A126,Database!$E:$AY,MATCH($B$4,Database!$E$1:$AY$1,0),FALSE)</f>
        <v/>
      </c>
      <c r="C126" s="24">
        <f>(Table13456789101112131415161734[[#This Row],[FRA]]-B125)/B125</f>
        <v/>
      </c>
      <c r="D126" s="25">
        <f>(Table13456789101112131415161734[[#This Row],[FRA]]-B114)/B114</f>
        <v/>
      </c>
    </row>
    <row r="127">
      <c r="A127" s="22" t="n">
        <v>36923</v>
      </c>
      <c r="B127" s="23">
        <f>VLOOKUP(A127,Database!$E:$AY,MATCH($B$4,Database!$E$1:$AY$1,0),FALSE)</f>
        <v/>
      </c>
      <c r="C127" s="24">
        <f>(Table13456789101112131415161734[[#This Row],[FRA]]-B126)/B126</f>
        <v/>
      </c>
      <c r="D127" s="25">
        <f>(Table13456789101112131415161734[[#This Row],[FRA]]-B115)/B115</f>
        <v/>
      </c>
    </row>
    <row r="128">
      <c r="A128" s="22" t="n">
        <v>36951</v>
      </c>
      <c r="B128" s="23">
        <f>VLOOKUP(A128,Database!$E:$AY,MATCH($B$4,Database!$E$1:$AY$1,0),FALSE)</f>
        <v/>
      </c>
      <c r="C128" s="24">
        <f>(Table13456789101112131415161734[[#This Row],[FRA]]-B127)/B127</f>
        <v/>
      </c>
      <c r="D128" s="25">
        <f>(Table13456789101112131415161734[[#This Row],[FRA]]-B116)/B116</f>
        <v/>
      </c>
    </row>
    <row r="129">
      <c r="A129" s="22" t="n">
        <v>36982</v>
      </c>
      <c r="B129" s="23">
        <f>VLOOKUP(A129,Database!$E:$AY,MATCH($B$4,Database!$E$1:$AY$1,0),FALSE)</f>
        <v/>
      </c>
      <c r="C129" s="24">
        <f>(Table13456789101112131415161734[[#This Row],[FRA]]-B128)/B128</f>
        <v/>
      </c>
      <c r="D129" s="25">
        <f>(Table13456789101112131415161734[[#This Row],[FRA]]-B117)/B117</f>
        <v/>
      </c>
    </row>
    <row r="130">
      <c r="A130" s="22" t="n">
        <v>37012</v>
      </c>
      <c r="B130" s="23">
        <f>VLOOKUP(A130,Database!$E:$AY,MATCH($B$4,Database!$E$1:$AY$1,0),FALSE)</f>
        <v/>
      </c>
      <c r="C130" s="24">
        <f>(Table13456789101112131415161734[[#This Row],[FRA]]-B129)/B129</f>
        <v/>
      </c>
      <c r="D130" s="25">
        <f>(Table13456789101112131415161734[[#This Row],[FRA]]-B118)/B118</f>
        <v/>
      </c>
    </row>
    <row r="131">
      <c r="A131" s="22" t="n">
        <v>37043</v>
      </c>
      <c r="B131" s="23">
        <f>VLOOKUP(A131,Database!$E:$AY,MATCH($B$4,Database!$E$1:$AY$1,0),FALSE)</f>
        <v/>
      </c>
      <c r="C131" s="24">
        <f>(Table13456789101112131415161734[[#This Row],[FRA]]-B130)/B130</f>
        <v/>
      </c>
      <c r="D131" s="25">
        <f>(Table13456789101112131415161734[[#This Row],[FRA]]-B119)/B119</f>
        <v/>
      </c>
    </row>
    <row r="132">
      <c r="A132" s="22" t="n">
        <v>37073</v>
      </c>
      <c r="B132" s="23">
        <f>VLOOKUP(A132,Database!$E:$AY,MATCH($B$4,Database!$E$1:$AY$1,0),FALSE)</f>
        <v/>
      </c>
      <c r="C132" s="24">
        <f>(Table13456789101112131415161734[[#This Row],[FRA]]-B131)/B131</f>
        <v/>
      </c>
      <c r="D132" s="25">
        <f>(Table13456789101112131415161734[[#This Row],[FRA]]-B120)/B120</f>
        <v/>
      </c>
    </row>
    <row r="133">
      <c r="A133" s="22" t="n">
        <v>37104</v>
      </c>
      <c r="B133" s="23">
        <f>VLOOKUP(A133,Database!$E:$AY,MATCH($B$4,Database!$E$1:$AY$1,0),FALSE)</f>
        <v/>
      </c>
      <c r="C133" s="24">
        <f>(Table13456789101112131415161734[[#This Row],[FRA]]-B132)/B132</f>
        <v/>
      </c>
      <c r="D133" s="25">
        <f>(Table13456789101112131415161734[[#This Row],[FRA]]-B121)/B121</f>
        <v/>
      </c>
    </row>
    <row r="134">
      <c r="A134" s="22" t="n">
        <v>37135</v>
      </c>
      <c r="B134" s="23">
        <f>VLOOKUP(A134,Database!$E:$AY,MATCH($B$4,Database!$E$1:$AY$1,0),FALSE)</f>
        <v/>
      </c>
      <c r="C134" s="24">
        <f>(Table13456789101112131415161734[[#This Row],[FRA]]-B133)/B133</f>
        <v/>
      </c>
      <c r="D134" s="25">
        <f>(Table13456789101112131415161734[[#This Row],[FRA]]-B122)/B122</f>
        <v/>
      </c>
    </row>
    <row r="135">
      <c r="A135" s="22" t="n">
        <v>37165</v>
      </c>
      <c r="B135" s="23">
        <f>VLOOKUP(A135,Database!$E:$AY,MATCH($B$4,Database!$E$1:$AY$1,0),FALSE)</f>
        <v/>
      </c>
      <c r="C135" s="24">
        <f>(Table13456789101112131415161734[[#This Row],[FRA]]-B134)/B134</f>
        <v/>
      </c>
      <c r="D135" s="25">
        <f>(Table13456789101112131415161734[[#This Row],[FRA]]-B123)/B123</f>
        <v/>
      </c>
    </row>
    <row r="136">
      <c r="A136" s="22" t="n">
        <v>37196</v>
      </c>
      <c r="B136" s="23">
        <f>VLOOKUP(A136,Database!$E:$AY,MATCH($B$4,Database!$E$1:$AY$1,0),FALSE)</f>
        <v/>
      </c>
      <c r="C136" s="24">
        <f>(Table13456789101112131415161734[[#This Row],[FRA]]-B135)/B135</f>
        <v/>
      </c>
      <c r="D136" s="25">
        <f>(Table13456789101112131415161734[[#This Row],[FRA]]-B124)/B124</f>
        <v/>
      </c>
    </row>
    <row r="137">
      <c r="A137" s="22" t="n">
        <v>37226</v>
      </c>
      <c r="B137" s="23">
        <f>VLOOKUP(A137,Database!$E:$AY,MATCH($B$4,Database!$E$1:$AY$1,0),FALSE)</f>
        <v/>
      </c>
      <c r="C137" s="24">
        <f>(Table13456789101112131415161734[[#This Row],[FRA]]-B136)/B136</f>
        <v/>
      </c>
      <c r="D137" s="25">
        <f>(Table13456789101112131415161734[[#This Row],[FRA]]-B125)/B125</f>
        <v/>
      </c>
    </row>
    <row r="138">
      <c r="A138" s="22" t="n">
        <v>37257</v>
      </c>
      <c r="B138" s="23">
        <f>VLOOKUP(A138,Database!$E:$AY,MATCH($B$4,Database!$E$1:$AY$1,0),FALSE)</f>
        <v/>
      </c>
      <c r="C138" s="24">
        <f>(Table13456789101112131415161734[[#This Row],[FRA]]-B137)/B137</f>
        <v/>
      </c>
      <c r="D138" s="25">
        <f>(Table13456789101112131415161734[[#This Row],[FRA]]-B126)/B126</f>
        <v/>
      </c>
    </row>
    <row r="139">
      <c r="A139" s="22" t="n">
        <v>37288</v>
      </c>
      <c r="B139" s="23">
        <f>VLOOKUP(A139,Database!$E:$AY,MATCH($B$4,Database!$E$1:$AY$1,0),FALSE)</f>
        <v/>
      </c>
      <c r="C139" s="24">
        <f>(Table13456789101112131415161734[[#This Row],[FRA]]-B138)/B138</f>
        <v/>
      </c>
      <c r="D139" s="25">
        <f>(Table13456789101112131415161734[[#This Row],[FRA]]-B127)/B127</f>
        <v/>
      </c>
    </row>
    <row r="140">
      <c r="A140" s="22" t="n">
        <v>37316</v>
      </c>
      <c r="B140" s="23">
        <f>VLOOKUP(A140,Database!$E:$AY,MATCH($B$4,Database!$E$1:$AY$1,0),FALSE)</f>
        <v/>
      </c>
      <c r="C140" s="24">
        <f>(Table13456789101112131415161734[[#This Row],[FRA]]-B139)/B139</f>
        <v/>
      </c>
      <c r="D140" s="25">
        <f>(Table13456789101112131415161734[[#This Row],[FRA]]-B128)/B128</f>
        <v/>
      </c>
    </row>
    <row r="141">
      <c r="A141" s="22" t="n">
        <v>37347</v>
      </c>
      <c r="B141" s="23">
        <f>VLOOKUP(A141,Database!$E:$AY,MATCH($B$4,Database!$E$1:$AY$1,0),FALSE)</f>
        <v/>
      </c>
      <c r="C141" s="24">
        <f>(Table13456789101112131415161734[[#This Row],[FRA]]-B140)/B140</f>
        <v/>
      </c>
      <c r="D141" s="25">
        <f>(Table13456789101112131415161734[[#This Row],[FRA]]-B129)/B129</f>
        <v/>
      </c>
    </row>
    <row r="142">
      <c r="A142" s="22" t="n">
        <v>37377</v>
      </c>
      <c r="B142" s="23">
        <f>VLOOKUP(A142,Database!$E:$AY,MATCH($B$4,Database!$E$1:$AY$1,0),FALSE)</f>
        <v/>
      </c>
      <c r="C142" s="24">
        <f>(Table13456789101112131415161734[[#This Row],[FRA]]-B141)/B141</f>
        <v/>
      </c>
      <c r="D142" s="25">
        <f>(Table13456789101112131415161734[[#This Row],[FRA]]-B130)/B130</f>
        <v/>
      </c>
    </row>
    <row r="143">
      <c r="A143" s="22" t="n">
        <v>37408</v>
      </c>
      <c r="B143" s="23">
        <f>VLOOKUP(A143,Database!$E:$AY,MATCH($B$4,Database!$E$1:$AY$1,0),FALSE)</f>
        <v/>
      </c>
      <c r="C143" s="24">
        <f>(Table13456789101112131415161734[[#This Row],[FRA]]-B142)/B142</f>
        <v/>
      </c>
      <c r="D143" s="25">
        <f>(Table13456789101112131415161734[[#This Row],[FRA]]-B131)/B131</f>
        <v/>
      </c>
    </row>
    <row r="144">
      <c r="A144" s="22" t="n">
        <v>37438</v>
      </c>
      <c r="B144" s="23">
        <f>VLOOKUP(A144,Database!$E:$AY,MATCH($B$4,Database!$E$1:$AY$1,0),FALSE)</f>
        <v/>
      </c>
      <c r="C144" s="24">
        <f>(Table13456789101112131415161734[[#This Row],[FRA]]-B143)/B143</f>
        <v/>
      </c>
      <c r="D144" s="25">
        <f>(Table13456789101112131415161734[[#This Row],[FRA]]-B132)/B132</f>
        <v/>
      </c>
    </row>
    <row r="145">
      <c r="A145" s="22" t="n">
        <v>37469</v>
      </c>
      <c r="B145" s="23">
        <f>VLOOKUP(A145,Database!$E:$AY,MATCH($B$4,Database!$E$1:$AY$1,0),FALSE)</f>
        <v/>
      </c>
      <c r="C145" s="24">
        <f>(Table13456789101112131415161734[[#This Row],[FRA]]-B144)/B144</f>
        <v/>
      </c>
      <c r="D145" s="25">
        <f>(Table13456789101112131415161734[[#This Row],[FRA]]-B133)/B133</f>
        <v/>
      </c>
    </row>
    <row r="146">
      <c r="A146" s="22" t="n">
        <v>37500</v>
      </c>
      <c r="B146" s="23">
        <f>VLOOKUP(A146,Database!$E:$AY,MATCH($B$4,Database!$E$1:$AY$1,0),FALSE)</f>
        <v/>
      </c>
      <c r="C146" s="24">
        <f>(Table13456789101112131415161734[[#This Row],[FRA]]-B145)/B145</f>
        <v/>
      </c>
      <c r="D146" s="25">
        <f>(Table13456789101112131415161734[[#This Row],[FRA]]-B134)/B134</f>
        <v/>
      </c>
    </row>
    <row r="147">
      <c r="A147" s="22" t="n">
        <v>37530</v>
      </c>
      <c r="B147" s="23">
        <f>VLOOKUP(A147,Database!$E:$AY,MATCH($B$4,Database!$E$1:$AY$1,0),FALSE)</f>
        <v/>
      </c>
      <c r="C147" s="24">
        <f>(Table13456789101112131415161734[[#This Row],[FRA]]-B146)/B146</f>
        <v/>
      </c>
      <c r="D147" s="25">
        <f>(Table13456789101112131415161734[[#This Row],[FRA]]-B135)/B135</f>
        <v/>
      </c>
    </row>
    <row r="148">
      <c r="A148" s="22" t="n">
        <v>37561</v>
      </c>
      <c r="B148" s="23">
        <f>VLOOKUP(A148,Database!$E:$AY,MATCH($B$4,Database!$E$1:$AY$1,0),FALSE)</f>
        <v/>
      </c>
      <c r="C148" s="24">
        <f>(Table13456789101112131415161734[[#This Row],[FRA]]-B147)/B147</f>
        <v/>
      </c>
      <c r="D148" s="25">
        <f>(Table13456789101112131415161734[[#This Row],[FRA]]-B136)/B136</f>
        <v/>
      </c>
    </row>
    <row r="149">
      <c r="A149" s="22" t="n">
        <v>37591</v>
      </c>
      <c r="B149" s="23">
        <f>VLOOKUP(A149,Database!$E:$AY,MATCH($B$4,Database!$E$1:$AY$1,0),FALSE)</f>
        <v/>
      </c>
      <c r="C149" s="24">
        <f>(Table13456789101112131415161734[[#This Row],[FRA]]-B148)/B148</f>
        <v/>
      </c>
      <c r="D149" s="25">
        <f>(Table13456789101112131415161734[[#This Row],[FRA]]-B137)/B137</f>
        <v/>
      </c>
    </row>
    <row r="150">
      <c r="A150" s="22" t="n">
        <v>37622</v>
      </c>
      <c r="B150" s="23">
        <f>VLOOKUP(A150,Database!$E:$AY,MATCH($B$4,Database!$E$1:$AY$1,0),FALSE)</f>
        <v/>
      </c>
      <c r="C150" s="24">
        <f>(Table13456789101112131415161734[[#This Row],[FRA]]-B149)/B149</f>
        <v/>
      </c>
      <c r="D150" s="25">
        <f>(Table13456789101112131415161734[[#This Row],[FRA]]-B138)/B138</f>
        <v/>
      </c>
    </row>
    <row r="151">
      <c r="A151" s="22" t="n">
        <v>37653</v>
      </c>
      <c r="B151" s="23">
        <f>VLOOKUP(A151,Database!$E:$AY,MATCH($B$4,Database!$E$1:$AY$1,0),FALSE)</f>
        <v/>
      </c>
      <c r="C151" s="24">
        <f>(Table13456789101112131415161734[[#This Row],[FRA]]-B150)/B150</f>
        <v/>
      </c>
      <c r="D151" s="25">
        <f>(Table13456789101112131415161734[[#This Row],[FRA]]-B139)/B139</f>
        <v/>
      </c>
    </row>
    <row r="152">
      <c r="A152" s="22" t="n">
        <v>37681</v>
      </c>
      <c r="B152" s="23">
        <f>VLOOKUP(A152,Database!$E:$AY,MATCH($B$4,Database!$E$1:$AY$1,0),FALSE)</f>
        <v/>
      </c>
      <c r="C152" s="24">
        <f>(Table13456789101112131415161734[[#This Row],[FRA]]-B151)/B151</f>
        <v/>
      </c>
      <c r="D152" s="25">
        <f>(Table13456789101112131415161734[[#This Row],[FRA]]-B140)/B140</f>
        <v/>
      </c>
    </row>
    <row r="153">
      <c r="A153" s="22" t="n">
        <v>37712</v>
      </c>
      <c r="B153" s="23">
        <f>VLOOKUP(A153,Database!$E:$AY,MATCH($B$4,Database!$E$1:$AY$1,0),FALSE)</f>
        <v/>
      </c>
      <c r="C153" s="24">
        <f>(Table13456789101112131415161734[[#This Row],[FRA]]-B152)/B152</f>
        <v/>
      </c>
      <c r="D153" s="25">
        <f>(Table13456789101112131415161734[[#This Row],[FRA]]-B141)/B141</f>
        <v/>
      </c>
    </row>
    <row r="154">
      <c r="A154" s="22" t="n">
        <v>37742</v>
      </c>
      <c r="B154" s="23">
        <f>VLOOKUP(A154,Database!$E:$AY,MATCH($B$4,Database!$E$1:$AY$1,0),FALSE)</f>
        <v/>
      </c>
      <c r="C154" s="24">
        <f>(Table13456789101112131415161734[[#This Row],[FRA]]-B153)/B153</f>
        <v/>
      </c>
      <c r="D154" s="25">
        <f>(Table13456789101112131415161734[[#This Row],[FRA]]-B142)/B142</f>
        <v/>
      </c>
    </row>
    <row r="155">
      <c r="A155" s="22" t="n">
        <v>37773</v>
      </c>
      <c r="B155" s="23">
        <f>VLOOKUP(A155,Database!$E:$AY,MATCH($B$4,Database!$E$1:$AY$1,0),FALSE)</f>
        <v/>
      </c>
      <c r="C155" s="24">
        <f>(Table13456789101112131415161734[[#This Row],[FRA]]-B154)/B154</f>
        <v/>
      </c>
      <c r="D155" s="25">
        <f>(Table13456789101112131415161734[[#This Row],[FRA]]-B143)/B143</f>
        <v/>
      </c>
    </row>
    <row r="156">
      <c r="A156" s="22" t="n">
        <v>37803</v>
      </c>
      <c r="B156" s="23">
        <f>VLOOKUP(A156,Database!$E:$AY,MATCH($B$4,Database!$E$1:$AY$1,0),FALSE)</f>
        <v/>
      </c>
      <c r="C156" s="24">
        <f>(Table13456789101112131415161734[[#This Row],[FRA]]-B155)/B155</f>
        <v/>
      </c>
      <c r="D156" s="25">
        <f>(Table13456789101112131415161734[[#This Row],[FRA]]-B144)/B144</f>
        <v/>
      </c>
    </row>
    <row r="157">
      <c r="A157" s="22" t="n">
        <v>37834</v>
      </c>
      <c r="B157" s="23">
        <f>VLOOKUP(A157,Database!$E:$AY,MATCH($B$4,Database!$E$1:$AY$1,0),FALSE)</f>
        <v/>
      </c>
      <c r="C157" s="24">
        <f>(Table13456789101112131415161734[[#This Row],[FRA]]-B156)/B156</f>
        <v/>
      </c>
      <c r="D157" s="25">
        <f>(Table13456789101112131415161734[[#This Row],[FRA]]-B145)/B145</f>
        <v/>
      </c>
    </row>
    <row r="158">
      <c r="A158" s="22" t="n">
        <v>37865</v>
      </c>
      <c r="B158" s="23">
        <f>VLOOKUP(A158,Database!$E:$AY,MATCH($B$4,Database!$E$1:$AY$1,0),FALSE)</f>
        <v/>
      </c>
      <c r="C158" s="24">
        <f>(Table13456789101112131415161734[[#This Row],[FRA]]-B157)/B157</f>
        <v/>
      </c>
      <c r="D158" s="25">
        <f>(Table13456789101112131415161734[[#This Row],[FRA]]-B146)/B146</f>
        <v/>
      </c>
    </row>
    <row r="159">
      <c r="A159" s="22" t="n">
        <v>37895</v>
      </c>
      <c r="B159" s="23">
        <f>VLOOKUP(A159,Database!$E:$AY,MATCH($B$4,Database!$E$1:$AY$1,0),FALSE)</f>
        <v/>
      </c>
      <c r="C159" s="24">
        <f>(Table13456789101112131415161734[[#This Row],[FRA]]-B158)/B158</f>
        <v/>
      </c>
      <c r="D159" s="25">
        <f>(Table13456789101112131415161734[[#This Row],[FRA]]-B147)/B147</f>
        <v/>
      </c>
    </row>
    <row r="160">
      <c r="A160" s="22" t="n">
        <v>37926</v>
      </c>
      <c r="B160" s="23">
        <f>VLOOKUP(A160,Database!$E:$AY,MATCH($B$4,Database!$E$1:$AY$1,0),FALSE)</f>
        <v/>
      </c>
      <c r="C160" s="24">
        <f>(Table13456789101112131415161734[[#This Row],[FRA]]-B159)/B159</f>
        <v/>
      </c>
      <c r="D160" s="25">
        <f>(Table13456789101112131415161734[[#This Row],[FRA]]-B148)/B148</f>
        <v/>
      </c>
    </row>
    <row r="161">
      <c r="A161" s="22" t="n">
        <v>37956</v>
      </c>
      <c r="B161" s="23">
        <f>VLOOKUP(A161,Database!$E:$AY,MATCH($B$4,Database!$E$1:$AY$1,0),FALSE)</f>
        <v/>
      </c>
      <c r="C161" s="24">
        <f>(Table13456789101112131415161734[[#This Row],[FRA]]-B160)/B160</f>
        <v/>
      </c>
      <c r="D161" s="25">
        <f>(Table13456789101112131415161734[[#This Row],[FRA]]-B149)/B149</f>
        <v/>
      </c>
    </row>
    <row r="162">
      <c r="A162" s="22" t="n">
        <v>37987</v>
      </c>
      <c r="B162" s="23">
        <f>VLOOKUP(A162,Database!$E:$AY,MATCH($B$4,Database!$E$1:$AY$1,0),FALSE)</f>
        <v/>
      </c>
      <c r="C162" s="24">
        <f>(Table13456789101112131415161734[[#This Row],[FRA]]-B161)/B161</f>
        <v/>
      </c>
      <c r="D162" s="25">
        <f>(Table13456789101112131415161734[[#This Row],[FRA]]-B150)/B150</f>
        <v/>
      </c>
    </row>
    <row r="163">
      <c r="A163" s="22" t="n">
        <v>38018</v>
      </c>
      <c r="B163" s="23">
        <f>VLOOKUP(A163,Database!$E:$AY,MATCH($B$4,Database!$E$1:$AY$1,0),FALSE)</f>
        <v/>
      </c>
      <c r="C163" s="24">
        <f>(Table13456789101112131415161734[[#This Row],[FRA]]-B162)/B162</f>
        <v/>
      </c>
      <c r="D163" s="25">
        <f>(Table13456789101112131415161734[[#This Row],[FRA]]-B151)/B151</f>
        <v/>
      </c>
    </row>
    <row r="164">
      <c r="A164" s="22" t="n">
        <v>38047</v>
      </c>
      <c r="B164" s="23">
        <f>VLOOKUP(A164,Database!$E:$AY,MATCH($B$4,Database!$E$1:$AY$1,0),FALSE)</f>
        <v/>
      </c>
      <c r="C164" s="24">
        <f>(Table13456789101112131415161734[[#This Row],[FRA]]-B163)/B163</f>
        <v/>
      </c>
      <c r="D164" s="25">
        <f>(Table13456789101112131415161734[[#This Row],[FRA]]-B152)/B152</f>
        <v/>
      </c>
    </row>
    <row r="165">
      <c r="A165" s="22" t="n">
        <v>38078</v>
      </c>
      <c r="B165" s="23">
        <f>VLOOKUP(A165,Database!$E:$AY,MATCH($B$4,Database!$E$1:$AY$1,0),FALSE)</f>
        <v/>
      </c>
      <c r="C165" s="24">
        <f>(Table13456789101112131415161734[[#This Row],[FRA]]-B164)/B164</f>
        <v/>
      </c>
      <c r="D165" s="25">
        <f>(Table13456789101112131415161734[[#This Row],[FRA]]-B153)/B153</f>
        <v/>
      </c>
    </row>
    <row r="166">
      <c r="A166" s="22" t="n">
        <v>38108</v>
      </c>
      <c r="B166" s="23">
        <f>VLOOKUP(A166,Database!$E:$AY,MATCH($B$4,Database!$E$1:$AY$1,0),FALSE)</f>
        <v/>
      </c>
      <c r="C166" s="24">
        <f>(Table13456789101112131415161734[[#This Row],[FRA]]-B165)/B165</f>
        <v/>
      </c>
      <c r="D166" s="25">
        <f>(Table13456789101112131415161734[[#This Row],[FRA]]-B154)/B154</f>
        <v/>
      </c>
    </row>
    <row r="167">
      <c r="A167" s="22" t="n">
        <v>38139</v>
      </c>
      <c r="B167" s="23">
        <f>VLOOKUP(A167,Database!$E:$AY,MATCH($B$4,Database!$E$1:$AY$1,0),FALSE)</f>
        <v/>
      </c>
      <c r="C167" s="24">
        <f>(Table13456789101112131415161734[[#This Row],[FRA]]-B166)/B166</f>
        <v/>
      </c>
      <c r="D167" s="25">
        <f>(Table13456789101112131415161734[[#This Row],[FRA]]-B155)/B155</f>
        <v/>
      </c>
    </row>
    <row r="168">
      <c r="A168" s="22" t="n">
        <v>38169</v>
      </c>
      <c r="B168" s="23">
        <f>VLOOKUP(A168,Database!$E:$AY,MATCH($B$4,Database!$E$1:$AY$1,0),FALSE)</f>
        <v/>
      </c>
      <c r="C168" s="24">
        <f>(Table13456789101112131415161734[[#This Row],[FRA]]-B167)/B167</f>
        <v/>
      </c>
      <c r="D168" s="25">
        <f>(Table13456789101112131415161734[[#This Row],[FRA]]-B156)/B156</f>
        <v/>
      </c>
    </row>
    <row r="169">
      <c r="A169" s="22" t="n">
        <v>38200</v>
      </c>
      <c r="B169" s="23">
        <f>VLOOKUP(A169,Database!$E:$AY,MATCH($B$4,Database!$E$1:$AY$1,0),FALSE)</f>
        <v/>
      </c>
      <c r="C169" s="24">
        <f>(Table13456789101112131415161734[[#This Row],[FRA]]-B168)/B168</f>
        <v/>
      </c>
      <c r="D169" s="25">
        <f>(Table13456789101112131415161734[[#This Row],[FRA]]-B157)/B157</f>
        <v/>
      </c>
    </row>
    <row r="170">
      <c r="A170" s="22" t="n">
        <v>38231</v>
      </c>
      <c r="B170" s="23">
        <f>VLOOKUP(A170,Database!$E:$AY,MATCH($B$4,Database!$E$1:$AY$1,0),FALSE)</f>
        <v/>
      </c>
      <c r="C170" s="24">
        <f>(Table13456789101112131415161734[[#This Row],[FRA]]-B169)/B169</f>
        <v/>
      </c>
      <c r="D170" s="25">
        <f>(Table13456789101112131415161734[[#This Row],[FRA]]-B158)/B158</f>
        <v/>
      </c>
    </row>
    <row r="171">
      <c r="A171" s="22" t="n">
        <v>38261</v>
      </c>
      <c r="B171" s="23">
        <f>VLOOKUP(A171,Database!$E:$AY,MATCH($B$4,Database!$E$1:$AY$1,0),FALSE)</f>
        <v/>
      </c>
      <c r="C171" s="24">
        <f>(Table13456789101112131415161734[[#This Row],[FRA]]-B170)/B170</f>
        <v/>
      </c>
      <c r="D171" s="25">
        <f>(Table13456789101112131415161734[[#This Row],[FRA]]-B159)/B159</f>
        <v/>
      </c>
    </row>
    <row r="172">
      <c r="A172" s="22" t="n">
        <v>38292</v>
      </c>
      <c r="B172" s="23">
        <f>VLOOKUP(A172,Database!$E:$AY,MATCH($B$4,Database!$E$1:$AY$1,0),FALSE)</f>
        <v/>
      </c>
      <c r="C172" s="24">
        <f>(Table13456789101112131415161734[[#This Row],[FRA]]-B171)/B171</f>
        <v/>
      </c>
      <c r="D172" s="25">
        <f>(Table13456789101112131415161734[[#This Row],[FRA]]-B160)/B160</f>
        <v/>
      </c>
    </row>
    <row r="173">
      <c r="A173" s="22" t="n">
        <v>38322</v>
      </c>
      <c r="B173" s="23">
        <f>VLOOKUP(A173,Database!$E:$AY,MATCH($B$4,Database!$E$1:$AY$1,0),FALSE)</f>
        <v/>
      </c>
      <c r="C173" s="24">
        <f>(Table13456789101112131415161734[[#This Row],[FRA]]-B172)/B172</f>
        <v/>
      </c>
      <c r="D173" s="25">
        <f>(Table13456789101112131415161734[[#This Row],[FRA]]-B161)/B161</f>
        <v/>
      </c>
    </row>
    <row r="174">
      <c r="A174" s="22" t="n">
        <v>38353</v>
      </c>
      <c r="B174" s="23">
        <f>VLOOKUP(A174,Database!$E:$AY,MATCH($B$4,Database!$E$1:$AY$1,0),FALSE)</f>
        <v/>
      </c>
      <c r="C174" s="24">
        <f>(Table13456789101112131415161734[[#This Row],[FRA]]-B173)/B173</f>
        <v/>
      </c>
      <c r="D174" s="25">
        <f>(Table13456789101112131415161734[[#This Row],[FRA]]-B162)/B162</f>
        <v/>
      </c>
    </row>
    <row r="175">
      <c r="A175" s="22" t="n">
        <v>38384</v>
      </c>
      <c r="B175" s="23">
        <f>VLOOKUP(A175,Database!$E:$AY,MATCH($B$4,Database!$E$1:$AY$1,0),FALSE)</f>
        <v/>
      </c>
      <c r="C175" s="24">
        <f>(Table13456789101112131415161734[[#This Row],[FRA]]-B174)/B174</f>
        <v/>
      </c>
      <c r="D175" s="25">
        <f>(Table13456789101112131415161734[[#This Row],[FRA]]-B163)/B163</f>
        <v/>
      </c>
    </row>
    <row r="176">
      <c r="A176" s="22" t="n">
        <v>38412</v>
      </c>
      <c r="B176" s="23">
        <f>VLOOKUP(A176,Database!$E:$AY,MATCH($B$4,Database!$E$1:$AY$1,0),FALSE)</f>
        <v/>
      </c>
      <c r="C176" s="24">
        <f>(Table13456789101112131415161734[[#This Row],[FRA]]-B175)/B175</f>
        <v/>
      </c>
      <c r="D176" s="25">
        <f>(Table13456789101112131415161734[[#This Row],[FRA]]-B164)/B164</f>
        <v/>
      </c>
    </row>
    <row r="177">
      <c r="A177" s="22" t="n">
        <v>38443</v>
      </c>
      <c r="B177" s="23">
        <f>VLOOKUP(A177,Database!$E:$AY,MATCH($B$4,Database!$E$1:$AY$1,0),FALSE)</f>
        <v/>
      </c>
      <c r="C177" s="24">
        <f>(Table13456789101112131415161734[[#This Row],[FRA]]-B176)/B176</f>
        <v/>
      </c>
      <c r="D177" s="25">
        <f>(Table13456789101112131415161734[[#This Row],[FRA]]-B165)/B165</f>
        <v/>
      </c>
    </row>
    <row r="178">
      <c r="A178" s="22" t="n">
        <v>38473</v>
      </c>
      <c r="B178" s="23">
        <f>VLOOKUP(A178,Database!$E:$AY,MATCH($B$4,Database!$E$1:$AY$1,0),FALSE)</f>
        <v/>
      </c>
      <c r="C178" s="24">
        <f>(Table13456789101112131415161734[[#This Row],[FRA]]-B177)/B177</f>
        <v/>
      </c>
      <c r="D178" s="25">
        <f>(Table13456789101112131415161734[[#This Row],[FRA]]-B166)/B166</f>
        <v/>
      </c>
    </row>
    <row r="179">
      <c r="A179" s="22" t="n">
        <v>38504</v>
      </c>
      <c r="B179" s="23">
        <f>VLOOKUP(A179,Database!$E:$AY,MATCH($B$4,Database!$E$1:$AY$1,0),FALSE)</f>
        <v/>
      </c>
      <c r="C179" s="24">
        <f>(Table13456789101112131415161734[[#This Row],[FRA]]-B178)/B178</f>
        <v/>
      </c>
      <c r="D179" s="25">
        <f>(Table13456789101112131415161734[[#This Row],[FRA]]-B167)/B167</f>
        <v/>
      </c>
    </row>
    <row r="180">
      <c r="A180" s="22" t="n">
        <v>38534</v>
      </c>
      <c r="B180" s="23">
        <f>VLOOKUP(A180,Database!$E:$AY,MATCH($B$4,Database!$E$1:$AY$1,0),FALSE)</f>
        <v/>
      </c>
      <c r="C180" s="24">
        <f>(Table13456789101112131415161734[[#This Row],[FRA]]-B179)/B179</f>
        <v/>
      </c>
      <c r="D180" s="25">
        <f>(Table13456789101112131415161734[[#This Row],[FRA]]-B168)/B168</f>
        <v/>
      </c>
    </row>
    <row r="181">
      <c r="A181" s="22" t="n">
        <v>38565</v>
      </c>
      <c r="B181" s="23">
        <f>VLOOKUP(A181,Database!$E:$AY,MATCH($B$4,Database!$E$1:$AY$1,0),FALSE)</f>
        <v/>
      </c>
      <c r="C181" s="24">
        <f>(Table13456789101112131415161734[[#This Row],[FRA]]-B180)/B180</f>
        <v/>
      </c>
      <c r="D181" s="25">
        <f>(Table13456789101112131415161734[[#This Row],[FRA]]-B169)/B169</f>
        <v/>
      </c>
    </row>
    <row r="182">
      <c r="A182" s="22" t="n">
        <v>38596</v>
      </c>
      <c r="B182" s="23">
        <f>VLOOKUP(A182,Database!$E:$AY,MATCH($B$4,Database!$E$1:$AY$1,0),FALSE)</f>
        <v/>
      </c>
      <c r="C182" s="24">
        <f>(Table13456789101112131415161734[[#This Row],[FRA]]-B181)/B181</f>
        <v/>
      </c>
      <c r="D182" s="25">
        <f>(Table13456789101112131415161734[[#This Row],[FRA]]-B170)/B170</f>
        <v/>
      </c>
    </row>
    <row r="183">
      <c r="A183" s="22" t="n">
        <v>38626</v>
      </c>
      <c r="B183" s="23">
        <f>VLOOKUP(A183,Database!$E:$AY,MATCH($B$4,Database!$E$1:$AY$1,0),FALSE)</f>
        <v/>
      </c>
      <c r="C183" s="24">
        <f>(Table13456789101112131415161734[[#This Row],[FRA]]-B182)/B182</f>
        <v/>
      </c>
      <c r="D183" s="25">
        <f>(Table13456789101112131415161734[[#This Row],[FRA]]-B171)/B171</f>
        <v/>
      </c>
    </row>
    <row r="184">
      <c r="A184" s="22" t="n">
        <v>38657</v>
      </c>
      <c r="B184" s="23">
        <f>VLOOKUP(A184,Database!$E:$AY,MATCH($B$4,Database!$E$1:$AY$1,0),FALSE)</f>
        <v/>
      </c>
      <c r="C184" s="24">
        <f>(Table13456789101112131415161734[[#This Row],[FRA]]-B183)/B183</f>
        <v/>
      </c>
      <c r="D184" s="25">
        <f>(Table13456789101112131415161734[[#This Row],[FRA]]-B172)/B172</f>
        <v/>
      </c>
    </row>
    <row r="185">
      <c r="A185" s="22" t="n">
        <v>38687</v>
      </c>
      <c r="B185" s="23">
        <f>VLOOKUP(A185,Database!$E:$AY,MATCH($B$4,Database!$E$1:$AY$1,0),FALSE)</f>
        <v/>
      </c>
      <c r="C185" s="24">
        <f>(Table13456789101112131415161734[[#This Row],[FRA]]-B184)/B184</f>
        <v/>
      </c>
      <c r="D185" s="25">
        <f>(Table13456789101112131415161734[[#This Row],[FRA]]-B173)/B173</f>
        <v/>
      </c>
    </row>
    <row r="186">
      <c r="A186" s="22" t="n">
        <v>38718</v>
      </c>
      <c r="B186" s="23">
        <f>VLOOKUP(A186,Database!$E:$AY,MATCH($B$4,Database!$E$1:$AY$1,0),FALSE)</f>
        <v/>
      </c>
      <c r="C186" s="24">
        <f>(Table13456789101112131415161734[[#This Row],[FRA]]-B185)/B185</f>
        <v/>
      </c>
      <c r="D186" s="25">
        <f>(Table13456789101112131415161734[[#This Row],[FRA]]-B174)/B174</f>
        <v/>
      </c>
    </row>
    <row r="187">
      <c r="A187" s="22" t="n">
        <v>38749</v>
      </c>
      <c r="B187" s="23">
        <f>VLOOKUP(A187,Database!$E:$AY,MATCH($B$4,Database!$E$1:$AY$1,0),FALSE)</f>
        <v/>
      </c>
      <c r="C187" s="24">
        <f>(Table13456789101112131415161734[[#This Row],[FRA]]-B186)/B186</f>
        <v/>
      </c>
      <c r="D187" s="25">
        <f>(Table13456789101112131415161734[[#This Row],[FRA]]-B175)/B175</f>
        <v/>
      </c>
    </row>
    <row r="188">
      <c r="A188" s="22" t="n">
        <v>38777</v>
      </c>
      <c r="B188" s="23">
        <f>VLOOKUP(A188,Database!$E:$AY,MATCH($B$4,Database!$E$1:$AY$1,0),FALSE)</f>
        <v/>
      </c>
      <c r="C188" s="24">
        <f>(Table13456789101112131415161734[[#This Row],[FRA]]-B187)/B187</f>
        <v/>
      </c>
      <c r="D188" s="25">
        <f>(Table13456789101112131415161734[[#This Row],[FRA]]-B176)/B176</f>
        <v/>
      </c>
    </row>
    <row r="189">
      <c r="A189" s="22" t="n">
        <v>38808</v>
      </c>
      <c r="B189" s="23">
        <f>VLOOKUP(A189,Database!$E:$AY,MATCH($B$4,Database!$E$1:$AY$1,0),FALSE)</f>
        <v/>
      </c>
      <c r="C189" s="24">
        <f>(Table13456789101112131415161734[[#This Row],[FRA]]-B188)/B188</f>
        <v/>
      </c>
      <c r="D189" s="25">
        <f>(Table13456789101112131415161734[[#This Row],[FRA]]-B177)/B177</f>
        <v/>
      </c>
    </row>
    <row r="190">
      <c r="A190" s="22" t="n">
        <v>38838</v>
      </c>
      <c r="B190" s="23">
        <f>VLOOKUP(A190,Database!$E:$AY,MATCH($B$4,Database!$E$1:$AY$1,0),FALSE)</f>
        <v/>
      </c>
      <c r="C190" s="24">
        <f>(Table13456789101112131415161734[[#This Row],[FRA]]-B189)/B189</f>
        <v/>
      </c>
      <c r="D190" s="25">
        <f>(Table13456789101112131415161734[[#This Row],[FRA]]-B178)/B178</f>
        <v/>
      </c>
    </row>
    <row r="191">
      <c r="A191" s="22" t="n">
        <v>38869</v>
      </c>
      <c r="B191" s="23">
        <f>VLOOKUP(A191,Database!$E:$AY,MATCH($B$4,Database!$E$1:$AY$1,0),FALSE)</f>
        <v/>
      </c>
      <c r="C191" s="24">
        <f>(Table13456789101112131415161734[[#This Row],[FRA]]-B190)/B190</f>
        <v/>
      </c>
      <c r="D191" s="25">
        <f>(Table13456789101112131415161734[[#This Row],[FRA]]-B179)/B179</f>
        <v/>
      </c>
    </row>
    <row r="192">
      <c r="A192" s="22" t="n">
        <v>38899</v>
      </c>
      <c r="B192" s="23">
        <f>VLOOKUP(A192,Database!$E:$AY,MATCH($B$4,Database!$E$1:$AY$1,0),FALSE)</f>
        <v/>
      </c>
      <c r="C192" s="24">
        <f>(Table13456789101112131415161734[[#This Row],[FRA]]-B191)/B191</f>
        <v/>
      </c>
      <c r="D192" s="25">
        <f>(Table13456789101112131415161734[[#This Row],[FRA]]-B180)/B180</f>
        <v/>
      </c>
    </row>
    <row r="193">
      <c r="A193" s="22" t="n">
        <v>38930</v>
      </c>
      <c r="B193" s="23">
        <f>VLOOKUP(A193,Database!$E:$AY,MATCH($B$4,Database!$E$1:$AY$1,0),FALSE)</f>
        <v/>
      </c>
      <c r="C193" s="24">
        <f>(Table13456789101112131415161734[[#This Row],[FRA]]-B192)/B192</f>
        <v/>
      </c>
      <c r="D193" s="25">
        <f>(Table13456789101112131415161734[[#This Row],[FRA]]-B181)/B181</f>
        <v/>
      </c>
    </row>
    <row r="194">
      <c r="A194" s="22" t="n">
        <v>38961</v>
      </c>
      <c r="B194" s="23">
        <f>VLOOKUP(A194,Database!$E:$AY,MATCH($B$4,Database!$E$1:$AY$1,0),FALSE)</f>
        <v/>
      </c>
      <c r="C194" s="24">
        <f>(Table13456789101112131415161734[[#This Row],[FRA]]-B193)/B193</f>
        <v/>
      </c>
      <c r="D194" s="25">
        <f>(Table13456789101112131415161734[[#This Row],[FRA]]-B182)/B182</f>
        <v/>
      </c>
    </row>
    <row r="195">
      <c r="A195" s="22" t="n">
        <v>38991</v>
      </c>
      <c r="B195" s="23">
        <f>VLOOKUP(A195,Database!$E:$AY,MATCH($B$4,Database!$E$1:$AY$1,0),FALSE)</f>
        <v/>
      </c>
      <c r="C195" s="24">
        <f>(Table13456789101112131415161734[[#This Row],[FRA]]-B194)/B194</f>
        <v/>
      </c>
      <c r="D195" s="25">
        <f>(Table13456789101112131415161734[[#This Row],[FRA]]-B183)/B183</f>
        <v/>
      </c>
    </row>
    <row r="196">
      <c r="A196" s="22" t="n">
        <v>39022</v>
      </c>
      <c r="B196" s="23">
        <f>VLOOKUP(A196,Database!$E:$AY,MATCH($B$4,Database!$E$1:$AY$1,0),FALSE)</f>
        <v/>
      </c>
      <c r="C196" s="24">
        <f>(Table13456789101112131415161734[[#This Row],[FRA]]-B195)/B195</f>
        <v/>
      </c>
      <c r="D196" s="25">
        <f>(Table13456789101112131415161734[[#This Row],[FRA]]-B184)/B184</f>
        <v/>
      </c>
    </row>
    <row r="197">
      <c r="A197" s="22" t="n">
        <v>39052</v>
      </c>
      <c r="B197" s="23">
        <f>VLOOKUP(A197,Database!$E:$AY,MATCH($B$4,Database!$E$1:$AY$1,0),FALSE)</f>
        <v/>
      </c>
      <c r="C197" s="24">
        <f>(Table13456789101112131415161734[[#This Row],[FRA]]-B196)/B196</f>
        <v/>
      </c>
      <c r="D197" s="25">
        <f>(Table13456789101112131415161734[[#This Row],[FRA]]-B185)/B185</f>
        <v/>
      </c>
    </row>
    <row r="198">
      <c r="A198" s="22" t="n">
        <v>39083</v>
      </c>
      <c r="B198" s="23">
        <f>VLOOKUP(A198,Database!$E:$AY,MATCH($B$4,Database!$E$1:$AY$1,0),FALSE)</f>
        <v/>
      </c>
      <c r="C198" s="24">
        <f>(Table13456789101112131415161734[[#This Row],[FRA]]-B197)/B197</f>
        <v/>
      </c>
      <c r="D198" s="25">
        <f>(Table13456789101112131415161734[[#This Row],[FRA]]-B186)/B186</f>
        <v/>
      </c>
    </row>
    <row r="199">
      <c r="A199" s="22" t="n">
        <v>39114</v>
      </c>
      <c r="B199" s="23">
        <f>VLOOKUP(A199,Database!$E:$AY,MATCH($B$4,Database!$E$1:$AY$1,0),FALSE)</f>
        <v/>
      </c>
      <c r="C199" s="24">
        <f>(Table13456789101112131415161734[[#This Row],[FRA]]-B198)/B198</f>
        <v/>
      </c>
      <c r="D199" s="25">
        <f>(Table13456789101112131415161734[[#This Row],[FRA]]-B187)/B187</f>
        <v/>
      </c>
    </row>
    <row r="200">
      <c r="A200" s="22" t="n">
        <v>39142</v>
      </c>
      <c r="B200" s="23">
        <f>VLOOKUP(A200,Database!$E:$AY,MATCH($B$4,Database!$E$1:$AY$1,0),FALSE)</f>
        <v/>
      </c>
      <c r="C200" s="24">
        <f>(Table13456789101112131415161734[[#This Row],[FRA]]-B199)/B199</f>
        <v/>
      </c>
      <c r="D200" s="25">
        <f>(Table13456789101112131415161734[[#This Row],[FRA]]-B188)/B188</f>
        <v/>
      </c>
    </row>
    <row r="201">
      <c r="A201" s="22" t="n">
        <v>39173</v>
      </c>
      <c r="B201" s="23">
        <f>VLOOKUP(A201,Database!$E:$AY,MATCH($B$4,Database!$E$1:$AY$1,0),FALSE)</f>
        <v/>
      </c>
      <c r="C201" s="24">
        <f>(Table13456789101112131415161734[[#This Row],[FRA]]-B200)/B200</f>
        <v/>
      </c>
      <c r="D201" s="25">
        <f>(Table13456789101112131415161734[[#This Row],[FRA]]-B189)/B189</f>
        <v/>
      </c>
    </row>
    <row r="202">
      <c r="A202" s="22" t="n">
        <v>39203</v>
      </c>
      <c r="B202" s="23">
        <f>VLOOKUP(A202,Database!$E:$AY,MATCH($B$4,Database!$E$1:$AY$1,0),FALSE)</f>
        <v/>
      </c>
      <c r="C202" s="24">
        <f>(Table13456789101112131415161734[[#This Row],[FRA]]-B201)/B201</f>
        <v/>
      </c>
      <c r="D202" s="25">
        <f>(Table13456789101112131415161734[[#This Row],[FRA]]-B190)/B190</f>
        <v/>
      </c>
    </row>
    <row r="203">
      <c r="A203" s="22" t="n">
        <v>39234</v>
      </c>
      <c r="B203" s="23">
        <f>VLOOKUP(A203,Database!$E:$AY,MATCH($B$4,Database!$E$1:$AY$1,0),FALSE)</f>
        <v/>
      </c>
      <c r="C203" s="24">
        <f>(Table13456789101112131415161734[[#This Row],[FRA]]-B202)/B202</f>
        <v/>
      </c>
      <c r="D203" s="25">
        <f>(Table13456789101112131415161734[[#This Row],[FRA]]-B191)/B191</f>
        <v/>
      </c>
    </row>
    <row r="204">
      <c r="A204" s="22" t="n">
        <v>39264</v>
      </c>
      <c r="B204" s="23">
        <f>VLOOKUP(A204,Database!$E:$AY,MATCH($B$4,Database!$E$1:$AY$1,0),FALSE)</f>
        <v/>
      </c>
      <c r="C204" s="24">
        <f>(Table13456789101112131415161734[[#This Row],[FRA]]-B203)/B203</f>
        <v/>
      </c>
      <c r="D204" s="25">
        <f>(Table13456789101112131415161734[[#This Row],[FRA]]-B192)/B192</f>
        <v/>
      </c>
    </row>
    <row r="205">
      <c r="A205" s="22" t="n">
        <v>39295</v>
      </c>
      <c r="B205" s="23">
        <f>VLOOKUP(A205,Database!$E:$AY,MATCH($B$4,Database!$E$1:$AY$1,0),FALSE)</f>
        <v/>
      </c>
      <c r="C205" s="24">
        <f>(Table13456789101112131415161734[[#This Row],[FRA]]-B204)/B204</f>
        <v/>
      </c>
      <c r="D205" s="25">
        <f>(Table13456789101112131415161734[[#This Row],[FRA]]-B193)/B193</f>
        <v/>
      </c>
    </row>
    <row r="206">
      <c r="A206" s="22" t="n">
        <v>39326</v>
      </c>
      <c r="B206" s="23">
        <f>VLOOKUP(A206,Database!$E:$AY,MATCH($B$4,Database!$E$1:$AY$1,0),FALSE)</f>
        <v/>
      </c>
      <c r="C206" s="24">
        <f>(Table13456789101112131415161734[[#This Row],[FRA]]-B205)/B205</f>
        <v/>
      </c>
      <c r="D206" s="25">
        <f>(Table13456789101112131415161734[[#This Row],[FRA]]-B194)/B194</f>
        <v/>
      </c>
    </row>
    <row r="207">
      <c r="A207" s="22" t="n">
        <v>39356</v>
      </c>
      <c r="B207" s="23">
        <f>VLOOKUP(A207,Database!$E:$AY,MATCH($B$4,Database!$E$1:$AY$1,0),FALSE)</f>
        <v/>
      </c>
      <c r="C207" s="24">
        <f>(Table13456789101112131415161734[[#This Row],[FRA]]-B206)/B206</f>
        <v/>
      </c>
      <c r="D207" s="25">
        <f>(Table13456789101112131415161734[[#This Row],[FRA]]-B195)/B195</f>
        <v/>
      </c>
    </row>
    <row r="208">
      <c r="A208" s="22" t="n">
        <v>39387</v>
      </c>
      <c r="B208" s="23">
        <f>VLOOKUP(A208,Database!$E:$AY,MATCH($B$4,Database!$E$1:$AY$1,0),FALSE)</f>
        <v/>
      </c>
      <c r="C208" s="24">
        <f>(Table13456789101112131415161734[[#This Row],[FRA]]-B207)/B207</f>
        <v/>
      </c>
      <c r="D208" s="25">
        <f>(Table13456789101112131415161734[[#This Row],[FRA]]-B196)/B196</f>
        <v/>
      </c>
    </row>
    <row r="209">
      <c r="A209" s="22" t="n">
        <v>39417</v>
      </c>
      <c r="B209" s="23">
        <f>VLOOKUP(A209,Database!$E:$AY,MATCH($B$4,Database!$E$1:$AY$1,0),FALSE)</f>
        <v/>
      </c>
      <c r="C209" s="24">
        <f>(Table13456789101112131415161734[[#This Row],[FRA]]-B208)/B208</f>
        <v/>
      </c>
      <c r="D209" s="25">
        <f>(Table13456789101112131415161734[[#This Row],[FRA]]-B197)/B197</f>
        <v/>
      </c>
    </row>
    <row r="210">
      <c r="A210" s="22" t="n">
        <v>39448</v>
      </c>
      <c r="B210" s="23">
        <f>VLOOKUP(A210,Database!$E:$AY,MATCH($B$4,Database!$E$1:$AY$1,0),FALSE)</f>
        <v/>
      </c>
      <c r="C210" s="24">
        <f>(Table13456789101112131415161734[[#This Row],[FRA]]-B209)/B209</f>
        <v/>
      </c>
      <c r="D210" s="25">
        <f>(Table13456789101112131415161734[[#This Row],[FRA]]-B198)/B198</f>
        <v/>
      </c>
    </row>
    <row r="211">
      <c r="A211" s="22" t="n">
        <v>39479</v>
      </c>
      <c r="B211" s="23">
        <f>VLOOKUP(A211,Database!$E:$AY,MATCH($B$4,Database!$E$1:$AY$1,0),FALSE)</f>
        <v/>
      </c>
      <c r="C211" s="24">
        <f>(Table13456789101112131415161734[[#This Row],[FRA]]-B210)/B210</f>
        <v/>
      </c>
      <c r="D211" s="25">
        <f>(Table13456789101112131415161734[[#This Row],[FRA]]-B199)/B199</f>
        <v/>
      </c>
    </row>
    <row r="212">
      <c r="A212" s="22" t="n">
        <v>39508</v>
      </c>
      <c r="B212" s="23">
        <f>VLOOKUP(A212,Database!$E:$AY,MATCH($B$4,Database!$E$1:$AY$1,0),FALSE)</f>
        <v/>
      </c>
      <c r="C212" s="24">
        <f>(Table13456789101112131415161734[[#This Row],[FRA]]-B211)/B211</f>
        <v/>
      </c>
      <c r="D212" s="25">
        <f>(Table13456789101112131415161734[[#This Row],[FRA]]-B200)/B200</f>
        <v/>
      </c>
    </row>
    <row r="213">
      <c r="A213" s="22" t="n">
        <v>39539</v>
      </c>
      <c r="B213" s="23">
        <f>VLOOKUP(A213,Database!$E:$AY,MATCH($B$4,Database!$E$1:$AY$1,0),FALSE)</f>
        <v/>
      </c>
      <c r="C213" s="24">
        <f>(Table13456789101112131415161734[[#This Row],[FRA]]-B212)/B212</f>
        <v/>
      </c>
      <c r="D213" s="25">
        <f>(Table13456789101112131415161734[[#This Row],[FRA]]-B201)/B201</f>
        <v/>
      </c>
    </row>
    <row r="214">
      <c r="A214" s="22" t="n">
        <v>39569</v>
      </c>
      <c r="B214" s="23">
        <f>VLOOKUP(A214,Database!$E:$AY,MATCH($B$4,Database!$E$1:$AY$1,0),FALSE)</f>
        <v/>
      </c>
      <c r="C214" s="24">
        <f>(Table13456789101112131415161734[[#This Row],[FRA]]-B213)/B213</f>
        <v/>
      </c>
      <c r="D214" s="25">
        <f>(Table13456789101112131415161734[[#This Row],[FRA]]-B202)/B202</f>
        <v/>
      </c>
    </row>
    <row r="215">
      <c r="A215" s="22" t="n">
        <v>39600</v>
      </c>
      <c r="B215" s="23">
        <f>VLOOKUP(A215,Database!$E:$AY,MATCH($B$4,Database!$E$1:$AY$1,0),FALSE)</f>
        <v/>
      </c>
      <c r="C215" s="24">
        <f>(Table13456789101112131415161734[[#This Row],[FRA]]-B214)/B214</f>
        <v/>
      </c>
      <c r="D215" s="25">
        <f>(Table13456789101112131415161734[[#This Row],[FRA]]-B203)/B203</f>
        <v/>
      </c>
    </row>
    <row r="216">
      <c r="A216" s="22" t="n">
        <v>39630</v>
      </c>
      <c r="B216" s="23">
        <f>VLOOKUP(A216,Database!$E:$AY,MATCH($B$4,Database!$E$1:$AY$1,0),FALSE)</f>
        <v/>
      </c>
      <c r="C216" s="24">
        <f>(Table13456789101112131415161734[[#This Row],[FRA]]-B215)/B215</f>
        <v/>
      </c>
      <c r="D216" s="25">
        <f>(Table13456789101112131415161734[[#This Row],[FRA]]-B204)/B204</f>
        <v/>
      </c>
    </row>
    <row r="217">
      <c r="A217" s="22" t="n">
        <v>39661</v>
      </c>
      <c r="B217" s="23">
        <f>VLOOKUP(A217,Database!$E:$AY,MATCH($B$4,Database!$E$1:$AY$1,0),FALSE)</f>
        <v/>
      </c>
      <c r="C217" s="24">
        <f>(Table13456789101112131415161734[[#This Row],[FRA]]-B216)/B216</f>
        <v/>
      </c>
      <c r="D217" s="25">
        <f>(Table13456789101112131415161734[[#This Row],[FRA]]-B205)/B205</f>
        <v/>
      </c>
    </row>
    <row r="218">
      <c r="A218" s="22" t="n">
        <v>39692</v>
      </c>
      <c r="B218" s="23">
        <f>VLOOKUP(A218,Database!$E:$AY,MATCH($B$4,Database!$E$1:$AY$1,0),FALSE)</f>
        <v/>
      </c>
      <c r="C218" s="24">
        <f>(Table13456789101112131415161734[[#This Row],[FRA]]-B217)/B217</f>
        <v/>
      </c>
      <c r="D218" s="25">
        <f>(Table13456789101112131415161734[[#This Row],[FRA]]-B206)/B206</f>
        <v/>
      </c>
    </row>
    <row r="219">
      <c r="A219" s="22" t="n">
        <v>39722</v>
      </c>
      <c r="B219" s="23">
        <f>VLOOKUP(A219,Database!$E:$AY,MATCH($B$4,Database!$E$1:$AY$1,0),FALSE)</f>
        <v/>
      </c>
      <c r="C219" s="24">
        <f>(Table13456789101112131415161734[[#This Row],[FRA]]-B218)/B218</f>
        <v/>
      </c>
      <c r="D219" s="25">
        <f>(Table13456789101112131415161734[[#This Row],[FRA]]-B207)/B207</f>
        <v/>
      </c>
    </row>
    <row r="220">
      <c r="A220" s="22" t="n">
        <v>39753</v>
      </c>
      <c r="B220" s="23">
        <f>VLOOKUP(A220,Database!$E:$AY,MATCH($B$4,Database!$E$1:$AY$1,0),FALSE)</f>
        <v/>
      </c>
      <c r="C220" s="24">
        <f>(Table13456789101112131415161734[[#This Row],[FRA]]-B219)/B219</f>
        <v/>
      </c>
      <c r="D220" s="25">
        <f>(Table13456789101112131415161734[[#This Row],[FRA]]-B208)/B208</f>
        <v/>
      </c>
    </row>
    <row r="221">
      <c r="A221" s="22" t="n">
        <v>39783</v>
      </c>
      <c r="B221" s="23">
        <f>VLOOKUP(A221,Database!$E:$AY,MATCH($B$4,Database!$E$1:$AY$1,0),FALSE)</f>
        <v/>
      </c>
      <c r="C221" s="24">
        <f>(Table13456789101112131415161734[[#This Row],[FRA]]-B220)/B220</f>
        <v/>
      </c>
      <c r="D221" s="25">
        <f>(Table13456789101112131415161734[[#This Row],[FRA]]-B209)/B209</f>
        <v/>
      </c>
    </row>
    <row r="222">
      <c r="A222" s="22" t="n">
        <v>39814</v>
      </c>
      <c r="B222" s="23">
        <f>VLOOKUP(A222,Database!$E:$AY,MATCH($B$4,Database!$E$1:$AY$1,0),FALSE)</f>
        <v/>
      </c>
      <c r="C222" s="24">
        <f>(Table13456789101112131415161734[[#This Row],[FRA]]-B221)/B221</f>
        <v/>
      </c>
      <c r="D222" s="25">
        <f>(Table13456789101112131415161734[[#This Row],[FRA]]-B210)/B210</f>
        <v/>
      </c>
    </row>
    <row r="223">
      <c r="A223" s="22" t="n">
        <v>39845</v>
      </c>
      <c r="B223" s="23">
        <f>VLOOKUP(A223,Database!$E:$AY,MATCH($B$4,Database!$E$1:$AY$1,0),FALSE)</f>
        <v/>
      </c>
      <c r="C223" s="24">
        <f>(Table13456789101112131415161734[[#This Row],[FRA]]-B222)/B222</f>
        <v/>
      </c>
      <c r="D223" s="25">
        <f>(Table13456789101112131415161734[[#This Row],[FRA]]-B211)/B211</f>
        <v/>
      </c>
    </row>
    <row r="224">
      <c r="A224" s="22" t="n">
        <v>39873</v>
      </c>
      <c r="B224" s="23">
        <f>VLOOKUP(A224,Database!$E:$AY,MATCH($B$4,Database!$E$1:$AY$1,0),FALSE)</f>
        <v/>
      </c>
      <c r="C224" s="24">
        <f>(Table13456789101112131415161734[[#This Row],[FRA]]-B223)/B223</f>
        <v/>
      </c>
      <c r="D224" s="25">
        <f>(Table13456789101112131415161734[[#This Row],[FRA]]-B212)/B212</f>
        <v/>
      </c>
    </row>
    <row r="225">
      <c r="A225" s="22" t="n">
        <v>39904</v>
      </c>
      <c r="B225" s="23">
        <f>VLOOKUP(A225,Database!$E:$AY,MATCH($B$4,Database!$E$1:$AY$1,0),FALSE)</f>
        <v/>
      </c>
      <c r="C225" s="24">
        <f>(Table13456789101112131415161734[[#This Row],[FRA]]-B224)/B224</f>
        <v/>
      </c>
      <c r="D225" s="25">
        <f>(Table13456789101112131415161734[[#This Row],[FRA]]-B213)/B213</f>
        <v/>
      </c>
    </row>
    <row r="226">
      <c r="A226" s="22" t="n">
        <v>39934</v>
      </c>
      <c r="B226" s="23">
        <f>VLOOKUP(A226,Database!$E:$AY,MATCH($B$4,Database!$E$1:$AY$1,0),FALSE)</f>
        <v/>
      </c>
      <c r="C226" s="24">
        <f>(Table13456789101112131415161734[[#This Row],[FRA]]-B225)/B225</f>
        <v/>
      </c>
      <c r="D226" s="25">
        <f>(Table13456789101112131415161734[[#This Row],[FRA]]-B214)/B214</f>
        <v/>
      </c>
    </row>
    <row r="227">
      <c r="A227" s="22" t="n">
        <v>39965</v>
      </c>
      <c r="B227" s="23">
        <f>VLOOKUP(A227,Database!$E:$AY,MATCH($B$4,Database!$E$1:$AY$1,0),FALSE)</f>
        <v/>
      </c>
      <c r="C227" s="24">
        <f>(Table13456789101112131415161734[[#This Row],[FRA]]-B226)/B226</f>
        <v/>
      </c>
      <c r="D227" s="25">
        <f>(Table13456789101112131415161734[[#This Row],[FRA]]-B215)/B215</f>
        <v/>
      </c>
    </row>
    <row r="228">
      <c r="A228" s="22" t="n">
        <v>39995</v>
      </c>
      <c r="B228" s="23">
        <f>VLOOKUP(A228,Database!$E:$AY,MATCH($B$4,Database!$E$1:$AY$1,0),FALSE)</f>
        <v/>
      </c>
      <c r="C228" s="24">
        <f>(Table13456789101112131415161734[[#This Row],[FRA]]-B227)/B227</f>
        <v/>
      </c>
      <c r="D228" s="25">
        <f>(Table13456789101112131415161734[[#This Row],[FRA]]-B216)/B216</f>
        <v/>
      </c>
    </row>
    <row r="229">
      <c r="A229" s="22" t="n">
        <v>40026</v>
      </c>
      <c r="B229" s="23">
        <f>VLOOKUP(A229,Database!$E:$AY,MATCH($B$4,Database!$E$1:$AY$1,0),FALSE)</f>
        <v/>
      </c>
      <c r="C229" s="24">
        <f>(Table13456789101112131415161734[[#This Row],[FRA]]-B228)/B228</f>
        <v/>
      </c>
      <c r="D229" s="25">
        <f>(Table13456789101112131415161734[[#This Row],[FRA]]-B217)/B217</f>
        <v/>
      </c>
    </row>
    <row r="230">
      <c r="A230" s="22" t="n">
        <v>40057</v>
      </c>
      <c r="B230" s="23">
        <f>VLOOKUP(A230,Database!$E:$AY,MATCH($B$4,Database!$E$1:$AY$1,0),FALSE)</f>
        <v/>
      </c>
      <c r="C230" s="24">
        <f>(Table13456789101112131415161734[[#This Row],[FRA]]-B229)/B229</f>
        <v/>
      </c>
      <c r="D230" s="25">
        <f>(Table13456789101112131415161734[[#This Row],[FRA]]-B218)/B218</f>
        <v/>
      </c>
    </row>
    <row r="231">
      <c r="A231" s="22" t="n">
        <v>40087</v>
      </c>
      <c r="B231" s="23">
        <f>VLOOKUP(A231,Database!$E:$AY,MATCH($B$4,Database!$E$1:$AY$1,0),FALSE)</f>
        <v/>
      </c>
      <c r="C231" s="24">
        <f>(Table13456789101112131415161734[[#This Row],[FRA]]-B230)/B230</f>
        <v/>
      </c>
      <c r="D231" s="25">
        <f>(Table13456789101112131415161734[[#This Row],[FRA]]-B219)/B219</f>
        <v/>
      </c>
    </row>
    <row r="232">
      <c r="A232" s="22" t="n">
        <v>40118</v>
      </c>
      <c r="B232" s="23">
        <f>VLOOKUP(A232,Database!$E:$AY,MATCH($B$4,Database!$E$1:$AY$1,0),FALSE)</f>
        <v/>
      </c>
      <c r="C232" s="24">
        <f>(Table13456789101112131415161734[[#This Row],[FRA]]-B231)/B231</f>
        <v/>
      </c>
      <c r="D232" s="25">
        <f>(Table13456789101112131415161734[[#This Row],[FRA]]-B220)/B220</f>
        <v/>
      </c>
    </row>
    <row r="233">
      <c r="A233" s="22" t="n">
        <v>40148</v>
      </c>
      <c r="B233" s="23">
        <f>VLOOKUP(A233,Database!$E:$AY,MATCH($B$4,Database!$E$1:$AY$1,0),FALSE)</f>
        <v/>
      </c>
      <c r="C233" s="24">
        <f>(Table13456789101112131415161734[[#This Row],[FRA]]-B232)/B232</f>
        <v/>
      </c>
      <c r="D233" s="25">
        <f>(Table13456789101112131415161734[[#This Row],[FRA]]-B221)/B221</f>
        <v/>
      </c>
    </row>
    <row r="234">
      <c r="A234" s="22" t="n">
        <v>40179</v>
      </c>
      <c r="B234" s="23">
        <f>VLOOKUP(A234,Database!$E:$AY,MATCH($B$4,Database!$E$1:$AY$1,0),FALSE)</f>
        <v/>
      </c>
      <c r="C234" s="24">
        <f>(Table13456789101112131415161734[[#This Row],[FRA]]-B233)/B233</f>
        <v/>
      </c>
      <c r="D234" s="25">
        <f>(Table13456789101112131415161734[[#This Row],[FRA]]-B222)/B222</f>
        <v/>
      </c>
    </row>
    <row r="235">
      <c r="A235" s="22" t="n">
        <v>40210</v>
      </c>
      <c r="B235" s="23">
        <f>VLOOKUP(A235,Database!$E:$AY,MATCH($B$4,Database!$E$1:$AY$1,0),FALSE)</f>
        <v/>
      </c>
      <c r="C235" s="24">
        <f>(Table13456789101112131415161734[[#This Row],[FRA]]-B234)/B234</f>
        <v/>
      </c>
      <c r="D235" s="25">
        <f>(Table13456789101112131415161734[[#This Row],[FRA]]-B223)/B223</f>
        <v/>
      </c>
    </row>
    <row r="236">
      <c r="A236" s="22" t="n">
        <v>40238</v>
      </c>
      <c r="B236" s="23">
        <f>VLOOKUP(A236,Database!$E:$AY,MATCH($B$4,Database!$E$1:$AY$1,0),FALSE)</f>
        <v/>
      </c>
      <c r="C236" s="24">
        <f>(Table13456789101112131415161734[[#This Row],[FRA]]-B235)/B235</f>
        <v/>
      </c>
      <c r="D236" s="25">
        <f>(Table13456789101112131415161734[[#This Row],[FRA]]-B224)/B224</f>
        <v/>
      </c>
    </row>
    <row r="237">
      <c r="A237" s="22" t="n">
        <v>40269</v>
      </c>
      <c r="B237" s="23">
        <f>VLOOKUP(A237,Database!$E:$AY,MATCH($B$4,Database!$E$1:$AY$1,0),FALSE)</f>
        <v/>
      </c>
      <c r="C237" s="24">
        <f>(Table13456789101112131415161734[[#This Row],[FRA]]-B236)/B236</f>
        <v/>
      </c>
      <c r="D237" s="25">
        <f>(Table13456789101112131415161734[[#This Row],[FRA]]-B225)/B225</f>
        <v/>
      </c>
    </row>
    <row r="238">
      <c r="A238" s="22" t="n">
        <v>40299</v>
      </c>
      <c r="B238" s="23">
        <f>VLOOKUP(A238,Database!$E:$AY,MATCH($B$4,Database!$E$1:$AY$1,0),FALSE)</f>
        <v/>
      </c>
      <c r="C238" s="24">
        <f>(Table13456789101112131415161734[[#This Row],[FRA]]-B237)/B237</f>
        <v/>
      </c>
      <c r="D238" s="25">
        <f>(Table13456789101112131415161734[[#This Row],[FRA]]-B226)/B226</f>
        <v/>
      </c>
    </row>
    <row r="239">
      <c r="A239" s="22" t="n">
        <v>40330</v>
      </c>
      <c r="B239" s="23">
        <f>VLOOKUP(A239,Database!$E:$AY,MATCH($B$4,Database!$E$1:$AY$1,0),FALSE)</f>
        <v/>
      </c>
      <c r="C239" s="24">
        <f>(Table13456789101112131415161734[[#This Row],[FRA]]-B238)/B238</f>
        <v/>
      </c>
      <c r="D239" s="25">
        <f>(Table13456789101112131415161734[[#This Row],[FRA]]-B227)/B227</f>
        <v/>
      </c>
    </row>
    <row r="240">
      <c r="A240" s="22" t="n">
        <v>40360</v>
      </c>
      <c r="B240" s="23">
        <f>VLOOKUP(A240,Database!$E:$AY,MATCH($B$4,Database!$E$1:$AY$1,0),FALSE)</f>
        <v/>
      </c>
      <c r="C240" s="24">
        <f>(Table13456789101112131415161734[[#This Row],[FRA]]-B239)/B239</f>
        <v/>
      </c>
      <c r="D240" s="25">
        <f>(Table13456789101112131415161734[[#This Row],[FRA]]-B228)/B228</f>
        <v/>
      </c>
    </row>
    <row r="241">
      <c r="A241" s="22" t="n">
        <v>40391</v>
      </c>
      <c r="B241" s="23">
        <f>VLOOKUP(A241,Database!$E:$AY,MATCH($B$4,Database!$E$1:$AY$1,0),FALSE)</f>
        <v/>
      </c>
      <c r="C241" s="24">
        <f>(Table13456789101112131415161734[[#This Row],[FRA]]-B240)/B240</f>
        <v/>
      </c>
      <c r="D241" s="25">
        <f>(Table13456789101112131415161734[[#This Row],[FRA]]-B229)/B229</f>
        <v/>
      </c>
    </row>
    <row r="242">
      <c r="A242" s="22" t="n">
        <v>40422</v>
      </c>
      <c r="B242" s="23">
        <f>VLOOKUP(A242,Database!$E:$AY,MATCH($B$4,Database!$E$1:$AY$1,0),FALSE)</f>
        <v/>
      </c>
      <c r="C242" s="24">
        <f>(Table13456789101112131415161734[[#This Row],[FRA]]-B241)/B241</f>
        <v/>
      </c>
      <c r="D242" s="25">
        <f>(Table13456789101112131415161734[[#This Row],[FRA]]-B230)/B230</f>
        <v/>
      </c>
    </row>
    <row r="243">
      <c r="A243" s="22" t="n">
        <v>40452</v>
      </c>
      <c r="B243" s="23">
        <f>VLOOKUP(A243,Database!$E:$AY,MATCH($B$4,Database!$E$1:$AY$1,0),FALSE)</f>
        <v/>
      </c>
      <c r="C243" s="24">
        <f>(Table13456789101112131415161734[[#This Row],[FRA]]-B242)/B242</f>
        <v/>
      </c>
      <c r="D243" s="25">
        <f>(Table13456789101112131415161734[[#This Row],[FRA]]-B231)/B231</f>
        <v/>
      </c>
    </row>
    <row r="244">
      <c r="A244" s="22" t="n">
        <v>40483</v>
      </c>
      <c r="B244" s="23">
        <f>VLOOKUP(A244,Database!$E:$AY,MATCH($B$4,Database!$E$1:$AY$1,0),FALSE)</f>
        <v/>
      </c>
      <c r="C244" s="24">
        <f>(Table13456789101112131415161734[[#This Row],[FRA]]-B243)/B243</f>
        <v/>
      </c>
      <c r="D244" s="25">
        <f>(Table13456789101112131415161734[[#This Row],[FRA]]-B232)/B232</f>
        <v/>
      </c>
    </row>
    <row r="245">
      <c r="A245" s="22" t="n">
        <v>40513</v>
      </c>
      <c r="B245" s="23">
        <f>VLOOKUP(A245,Database!$E:$AY,MATCH($B$4,Database!$E$1:$AY$1,0),FALSE)</f>
        <v/>
      </c>
      <c r="C245" s="24">
        <f>(Table13456789101112131415161734[[#This Row],[FRA]]-B244)/B244</f>
        <v/>
      </c>
      <c r="D245" s="25">
        <f>(Table13456789101112131415161734[[#This Row],[FRA]]-B233)/B233</f>
        <v/>
      </c>
    </row>
    <row r="246">
      <c r="A246" s="22" t="n">
        <v>40544</v>
      </c>
      <c r="B246" s="23">
        <f>VLOOKUP(A246,Database!$E:$AY,MATCH($B$4,Database!$E$1:$AY$1,0),FALSE)</f>
        <v/>
      </c>
      <c r="C246" s="24">
        <f>(Table13456789101112131415161734[[#This Row],[FRA]]-B245)/B245</f>
        <v/>
      </c>
      <c r="D246" s="25">
        <f>(Table13456789101112131415161734[[#This Row],[FRA]]-B234)/B234</f>
        <v/>
      </c>
    </row>
    <row r="247">
      <c r="A247" s="22" t="n">
        <v>40575</v>
      </c>
      <c r="B247" s="23">
        <f>VLOOKUP(A247,Database!$E:$AY,MATCH($B$4,Database!$E$1:$AY$1,0),FALSE)</f>
        <v/>
      </c>
      <c r="C247" s="24">
        <f>(Table13456789101112131415161734[[#This Row],[FRA]]-B246)/B246</f>
        <v/>
      </c>
      <c r="D247" s="25">
        <f>(Table13456789101112131415161734[[#This Row],[FRA]]-B235)/B235</f>
        <v/>
      </c>
    </row>
    <row r="248">
      <c r="A248" s="22" t="n">
        <v>40603</v>
      </c>
      <c r="B248" s="23">
        <f>VLOOKUP(A248,Database!$E:$AY,MATCH($B$4,Database!$E$1:$AY$1,0),FALSE)</f>
        <v/>
      </c>
      <c r="C248" s="24">
        <f>(Table13456789101112131415161734[[#This Row],[FRA]]-B247)/B247</f>
        <v/>
      </c>
      <c r="D248" s="25">
        <f>(Table13456789101112131415161734[[#This Row],[FRA]]-B236)/B236</f>
        <v/>
      </c>
    </row>
    <row r="249">
      <c r="A249" s="22" t="n">
        <v>40634</v>
      </c>
      <c r="B249" s="23">
        <f>VLOOKUP(A249,Database!$E:$AY,MATCH($B$4,Database!$E$1:$AY$1,0),FALSE)</f>
        <v/>
      </c>
      <c r="C249" s="24">
        <f>(Table13456789101112131415161734[[#This Row],[FRA]]-B248)/B248</f>
        <v/>
      </c>
      <c r="D249" s="25">
        <f>(Table13456789101112131415161734[[#This Row],[FRA]]-B237)/B237</f>
        <v/>
      </c>
    </row>
    <row r="250">
      <c r="A250" s="22" t="n">
        <v>40664</v>
      </c>
      <c r="B250" s="23">
        <f>VLOOKUP(A250,Database!$E:$AY,MATCH($B$4,Database!$E$1:$AY$1,0),FALSE)</f>
        <v/>
      </c>
      <c r="C250" s="24">
        <f>(Table13456789101112131415161734[[#This Row],[FRA]]-B249)/B249</f>
        <v/>
      </c>
      <c r="D250" s="25">
        <f>(Table13456789101112131415161734[[#This Row],[FRA]]-B238)/B238</f>
        <v/>
      </c>
    </row>
    <row r="251">
      <c r="A251" s="22" t="n">
        <v>40695</v>
      </c>
      <c r="B251" s="23">
        <f>VLOOKUP(A251,Database!$E:$AY,MATCH($B$4,Database!$E$1:$AY$1,0),FALSE)</f>
        <v/>
      </c>
      <c r="C251" s="24">
        <f>(Table13456789101112131415161734[[#This Row],[FRA]]-B250)/B250</f>
        <v/>
      </c>
      <c r="D251" s="25">
        <f>(Table13456789101112131415161734[[#This Row],[FRA]]-B239)/B239</f>
        <v/>
      </c>
    </row>
    <row r="252">
      <c r="A252" s="22" t="n">
        <v>40725</v>
      </c>
      <c r="B252" s="23">
        <f>VLOOKUP(A252,Database!$E:$AY,MATCH($B$4,Database!$E$1:$AY$1,0),FALSE)</f>
        <v/>
      </c>
      <c r="C252" s="24">
        <f>(Table13456789101112131415161734[[#This Row],[FRA]]-B251)/B251</f>
        <v/>
      </c>
      <c r="D252" s="25">
        <f>(Table13456789101112131415161734[[#This Row],[FRA]]-B240)/B240</f>
        <v/>
      </c>
    </row>
    <row r="253">
      <c r="A253" s="22" t="n">
        <v>40756</v>
      </c>
      <c r="B253" s="23">
        <f>VLOOKUP(A253,Database!$E:$AY,MATCH($B$4,Database!$E$1:$AY$1,0),FALSE)</f>
        <v/>
      </c>
      <c r="C253" s="24">
        <f>(Table13456789101112131415161734[[#This Row],[FRA]]-B252)/B252</f>
        <v/>
      </c>
      <c r="D253" s="25">
        <f>(Table13456789101112131415161734[[#This Row],[FRA]]-B241)/B241</f>
        <v/>
      </c>
    </row>
    <row r="254">
      <c r="A254" s="22" t="n">
        <v>40787</v>
      </c>
      <c r="B254" s="23">
        <f>VLOOKUP(A254,Database!$E:$AY,MATCH($B$4,Database!$E$1:$AY$1,0),FALSE)</f>
        <v/>
      </c>
      <c r="C254" s="24">
        <f>(Table13456789101112131415161734[[#This Row],[FRA]]-B253)/B253</f>
        <v/>
      </c>
      <c r="D254" s="25">
        <f>(Table13456789101112131415161734[[#This Row],[FRA]]-B242)/B242</f>
        <v/>
      </c>
    </row>
    <row r="255">
      <c r="A255" s="22" t="n">
        <v>40817</v>
      </c>
      <c r="B255" s="23">
        <f>VLOOKUP(A255,Database!$E:$AY,MATCH($B$4,Database!$E$1:$AY$1,0),FALSE)</f>
        <v/>
      </c>
      <c r="C255" s="24">
        <f>(Table13456789101112131415161734[[#This Row],[FRA]]-B254)/B254</f>
        <v/>
      </c>
      <c r="D255" s="25">
        <f>(Table13456789101112131415161734[[#This Row],[FRA]]-B243)/B243</f>
        <v/>
      </c>
    </row>
    <row r="256">
      <c r="A256" s="22" t="n">
        <v>40848</v>
      </c>
      <c r="B256" s="23">
        <f>VLOOKUP(A256,Database!$E:$AY,MATCH($B$4,Database!$E$1:$AY$1,0),FALSE)</f>
        <v/>
      </c>
      <c r="C256" s="24">
        <f>(Table13456789101112131415161734[[#This Row],[FRA]]-B255)/B255</f>
        <v/>
      </c>
      <c r="D256" s="25">
        <f>(Table13456789101112131415161734[[#This Row],[FRA]]-B244)/B244</f>
        <v/>
      </c>
    </row>
    <row r="257">
      <c r="A257" s="22" t="n">
        <v>40878</v>
      </c>
      <c r="B257" s="23">
        <f>VLOOKUP(A257,Database!$E:$AY,MATCH($B$4,Database!$E$1:$AY$1,0),FALSE)</f>
        <v/>
      </c>
      <c r="C257" s="24">
        <f>(Table13456789101112131415161734[[#This Row],[FRA]]-B256)/B256</f>
        <v/>
      </c>
      <c r="D257" s="25">
        <f>(Table13456789101112131415161734[[#This Row],[FRA]]-B245)/B245</f>
        <v/>
      </c>
    </row>
    <row r="258">
      <c r="A258" s="22" t="n">
        <v>40909</v>
      </c>
      <c r="B258" s="23">
        <f>VLOOKUP(A258,Database!$E:$AY,MATCH($B$4,Database!$E$1:$AY$1,0),FALSE)</f>
        <v/>
      </c>
      <c r="C258" s="24">
        <f>(Table13456789101112131415161734[[#This Row],[FRA]]-B257)/B257</f>
        <v/>
      </c>
      <c r="D258" s="25">
        <f>(Table13456789101112131415161734[[#This Row],[FRA]]-B246)/B246</f>
        <v/>
      </c>
    </row>
    <row r="259">
      <c r="A259" s="22" t="n">
        <v>40940</v>
      </c>
      <c r="B259" s="23">
        <f>VLOOKUP(A259,Database!$E:$AY,MATCH($B$4,Database!$E$1:$AY$1,0),FALSE)</f>
        <v/>
      </c>
      <c r="C259" s="24">
        <f>(Table13456789101112131415161734[[#This Row],[FRA]]-B258)/B258</f>
        <v/>
      </c>
      <c r="D259" s="25">
        <f>(Table13456789101112131415161734[[#This Row],[FRA]]-B247)/B247</f>
        <v/>
      </c>
    </row>
    <row r="260">
      <c r="A260" s="22" t="n">
        <v>40969</v>
      </c>
      <c r="B260" s="23">
        <f>VLOOKUP(A260,Database!$E:$AY,MATCH($B$4,Database!$E$1:$AY$1,0),FALSE)</f>
        <v/>
      </c>
      <c r="C260" s="24">
        <f>(Table13456789101112131415161734[[#This Row],[FRA]]-B259)/B259</f>
        <v/>
      </c>
      <c r="D260" s="25">
        <f>(Table13456789101112131415161734[[#This Row],[FRA]]-B248)/B248</f>
        <v/>
      </c>
    </row>
    <row r="261">
      <c r="A261" s="22" t="n">
        <v>41000</v>
      </c>
      <c r="B261" s="23">
        <f>VLOOKUP(A261,Database!$E:$AY,MATCH($B$4,Database!$E$1:$AY$1,0),FALSE)</f>
        <v/>
      </c>
      <c r="C261" s="24">
        <f>(Table13456789101112131415161734[[#This Row],[FRA]]-B260)/B260</f>
        <v/>
      </c>
      <c r="D261" s="25">
        <f>(Table13456789101112131415161734[[#This Row],[FRA]]-B249)/B249</f>
        <v/>
      </c>
    </row>
    <row r="262">
      <c r="A262" s="22" t="n">
        <v>41030</v>
      </c>
      <c r="B262" s="23">
        <f>VLOOKUP(A262,Database!$E:$AY,MATCH($B$4,Database!$E$1:$AY$1,0),FALSE)</f>
        <v/>
      </c>
      <c r="C262" s="24">
        <f>(Table13456789101112131415161734[[#This Row],[FRA]]-B261)/B261</f>
        <v/>
      </c>
      <c r="D262" s="25">
        <f>(Table13456789101112131415161734[[#This Row],[FRA]]-B250)/B250</f>
        <v/>
      </c>
    </row>
    <row r="263">
      <c r="A263" s="22" t="n">
        <v>41061</v>
      </c>
      <c r="B263" s="23">
        <f>VLOOKUP(A263,Database!$E:$AY,MATCH($B$4,Database!$E$1:$AY$1,0),FALSE)</f>
        <v/>
      </c>
      <c r="C263" s="24">
        <f>(Table13456789101112131415161734[[#This Row],[FRA]]-B262)/B262</f>
        <v/>
      </c>
      <c r="D263" s="25">
        <f>(Table13456789101112131415161734[[#This Row],[FRA]]-B251)/B251</f>
        <v/>
      </c>
    </row>
    <row r="264">
      <c r="A264" s="22" t="n">
        <v>41091</v>
      </c>
      <c r="B264" s="23">
        <f>VLOOKUP(A264,Database!$E:$AY,MATCH($B$4,Database!$E$1:$AY$1,0),FALSE)</f>
        <v/>
      </c>
      <c r="C264" s="24">
        <f>(Table13456789101112131415161734[[#This Row],[FRA]]-B263)/B263</f>
        <v/>
      </c>
      <c r="D264" s="25">
        <f>(Table13456789101112131415161734[[#This Row],[FRA]]-B252)/B252</f>
        <v/>
      </c>
    </row>
    <row r="265">
      <c r="A265" s="22" t="n">
        <v>41122</v>
      </c>
      <c r="B265" s="23">
        <f>VLOOKUP(A265,Database!$E:$AY,MATCH($B$4,Database!$E$1:$AY$1,0),FALSE)</f>
        <v/>
      </c>
      <c r="C265" s="24">
        <f>(Table13456789101112131415161734[[#This Row],[FRA]]-B264)/B264</f>
        <v/>
      </c>
      <c r="D265" s="25">
        <f>(Table13456789101112131415161734[[#This Row],[FRA]]-B253)/B253</f>
        <v/>
      </c>
    </row>
    <row r="266">
      <c r="A266" s="22" t="n">
        <v>41153</v>
      </c>
      <c r="B266" s="23">
        <f>VLOOKUP(A266,Database!$E:$AY,MATCH($B$4,Database!$E$1:$AY$1,0),FALSE)</f>
        <v/>
      </c>
      <c r="C266" s="24">
        <f>(Table13456789101112131415161734[[#This Row],[FRA]]-B265)/B265</f>
        <v/>
      </c>
      <c r="D266" s="25">
        <f>(Table13456789101112131415161734[[#This Row],[FRA]]-B254)/B254</f>
        <v/>
      </c>
    </row>
    <row r="267">
      <c r="A267" s="22" t="n">
        <v>41183</v>
      </c>
      <c r="B267" s="23">
        <f>VLOOKUP(A267,Database!$E:$AY,MATCH($B$4,Database!$E$1:$AY$1,0),FALSE)</f>
        <v/>
      </c>
      <c r="C267" s="24">
        <f>(Table13456789101112131415161734[[#This Row],[FRA]]-B266)/B266</f>
        <v/>
      </c>
      <c r="D267" s="25">
        <f>(Table13456789101112131415161734[[#This Row],[FRA]]-B255)/B255</f>
        <v/>
      </c>
    </row>
    <row r="268">
      <c r="A268" s="22" t="n">
        <v>41214</v>
      </c>
      <c r="B268" s="23">
        <f>VLOOKUP(A268,Database!$E:$AY,MATCH($B$4,Database!$E$1:$AY$1,0),FALSE)</f>
        <v/>
      </c>
      <c r="C268" s="24">
        <f>(Table13456789101112131415161734[[#This Row],[FRA]]-B267)/B267</f>
        <v/>
      </c>
      <c r="D268" s="25">
        <f>(Table13456789101112131415161734[[#This Row],[FRA]]-B256)/B256</f>
        <v/>
      </c>
    </row>
    <row r="269">
      <c r="A269" s="22" t="n">
        <v>41244</v>
      </c>
      <c r="B269" s="23">
        <f>VLOOKUP(A269,Database!$E:$AY,MATCH($B$4,Database!$E$1:$AY$1,0),FALSE)</f>
        <v/>
      </c>
      <c r="C269" s="24">
        <f>(Table13456789101112131415161734[[#This Row],[FRA]]-B268)/B268</f>
        <v/>
      </c>
      <c r="D269" s="25">
        <f>(Table13456789101112131415161734[[#This Row],[FRA]]-B257)/B257</f>
        <v/>
      </c>
    </row>
    <row r="270">
      <c r="A270" s="22" t="n">
        <v>41275</v>
      </c>
      <c r="B270" s="23">
        <f>VLOOKUP(A270,Database!$E:$AY,MATCH($B$4,Database!$E$1:$AY$1,0),FALSE)</f>
        <v/>
      </c>
      <c r="C270" s="24">
        <f>(Table13456789101112131415161734[[#This Row],[FRA]]-B269)/B269</f>
        <v/>
      </c>
      <c r="D270" s="25">
        <f>(Table13456789101112131415161734[[#This Row],[FRA]]-B258)/B258</f>
        <v/>
      </c>
    </row>
    <row r="271">
      <c r="A271" s="22" t="n">
        <v>41306</v>
      </c>
      <c r="B271" s="23">
        <f>VLOOKUP(A271,Database!$E:$AY,MATCH($B$4,Database!$E$1:$AY$1,0),FALSE)</f>
        <v/>
      </c>
      <c r="C271" s="24">
        <f>(Table13456789101112131415161734[[#This Row],[FRA]]-B270)/B270</f>
        <v/>
      </c>
      <c r="D271" s="25">
        <f>(Table13456789101112131415161734[[#This Row],[FRA]]-B259)/B259</f>
        <v/>
      </c>
    </row>
    <row r="272">
      <c r="A272" s="22" t="n">
        <v>41334</v>
      </c>
      <c r="B272" s="23">
        <f>VLOOKUP(A272,Database!$E:$AY,MATCH($B$4,Database!$E$1:$AY$1,0),FALSE)</f>
        <v/>
      </c>
      <c r="C272" s="24">
        <f>(Table13456789101112131415161734[[#This Row],[FRA]]-B271)/B271</f>
        <v/>
      </c>
      <c r="D272" s="25">
        <f>(Table13456789101112131415161734[[#This Row],[FRA]]-B260)/B260</f>
        <v/>
      </c>
    </row>
    <row r="273">
      <c r="A273" s="22" t="n">
        <v>41365</v>
      </c>
      <c r="B273" s="23">
        <f>VLOOKUP(A273,Database!$E:$AY,MATCH($B$4,Database!$E$1:$AY$1,0),FALSE)</f>
        <v/>
      </c>
      <c r="C273" s="24">
        <f>(Table13456789101112131415161734[[#This Row],[FRA]]-B272)/B272</f>
        <v/>
      </c>
      <c r="D273" s="25">
        <f>(Table13456789101112131415161734[[#This Row],[FRA]]-B261)/B261</f>
        <v/>
      </c>
    </row>
    <row r="274">
      <c r="A274" s="22" t="n">
        <v>41395</v>
      </c>
      <c r="B274" s="23">
        <f>VLOOKUP(A274,Database!$E:$AY,MATCH($B$4,Database!$E$1:$AY$1,0),FALSE)</f>
        <v/>
      </c>
      <c r="C274" s="24">
        <f>(Table13456789101112131415161734[[#This Row],[FRA]]-B273)/B273</f>
        <v/>
      </c>
      <c r="D274" s="25">
        <f>(Table13456789101112131415161734[[#This Row],[FRA]]-B262)/B262</f>
        <v/>
      </c>
    </row>
    <row r="275">
      <c r="A275" s="22" t="n">
        <v>41426</v>
      </c>
      <c r="B275" s="23">
        <f>VLOOKUP(A275,Database!$E:$AY,MATCH($B$4,Database!$E$1:$AY$1,0),FALSE)</f>
        <v/>
      </c>
      <c r="C275" s="24">
        <f>(Table13456789101112131415161734[[#This Row],[FRA]]-B274)/B274</f>
        <v/>
      </c>
      <c r="D275" s="25">
        <f>(Table13456789101112131415161734[[#This Row],[FRA]]-B263)/B263</f>
        <v/>
      </c>
    </row>
    <row r="276">
      <c r="A276" s="22" t="n">
        <v>41456</v>
      </c>
      <c r="B276" s="23">
        <f>VLOOKUP(A276,Database!$E:$AY,MATCH($B$4,Database!$E$1:$AY$1,0),FALSE)</f>
        <v/>
      </c>
      <c r="C276" s="24">
        <f>(Table13456789101112131415161734[[#This Row],[FRA]]-B275)/B275</f>
        <v/>
      </c>
      <c r="D276" s="25">
        <f>(Table13456789101112131415161734[[#This Row],[FRA]]-B264)/B264</f>
        <v/>
      </c>
    </row>
    <row r="277">
      <c r="A277" s="22" t="n">
        <v>41487</v>
      </c>
      <c r="B277" s="23">
        <f>VLOOKUP(A277,Database!$E:$AY,MATCH($B$4,Database!$E$1:$AY$1,0),FALSE)</f>
        <v/>
      </c>
      <c r="C277" s="24">
        <f>(Table13456789101112131415161734[[#This Row],[FRA]]-B276)/B276</f>
        <v/>
      </c>
      <c r="D277" s="25">
        <f>(Table13456789101112131415161734[[#This Row],[FRA]]-B265)/B265</f>
        <v/>
      </c>
    </row>
    <row r="278">
      <c r="A278" s="22" t="n">
        <v>41518</v>
      </c>
      <c r="B278" s="23">
        <f>VLOOKUP(A278,Database!$E:$AY,MATCH($B$4,Database!$E$1:$AY$1,0),FALSE)</f>
        <v/>
      </c>
      <c r="C278" s="24">
        <f>(Table13456789101112131415161734[[#This Row],[FRA]]-B277)/B277</f>
        <v/>
      </c>
      <c r="D278" s="25">
        <f>(Table13456789101112131415161734[[#This Row],[FRA]]-B266)/B266</f>
        <v/>
      </c>
    </row>
    <row r="279">
      <c r="A279" s="22" t="n">
        <v>41548</v>
      </c>
      <c r="B279" s="23">
        <f>VLOOKUP(A279,Database!$E:$AY,MATCH($B$4,Database!$E$1:$AY$1,0),FALSE)</f>
        <v/>
      </c>
      <c r="C279" s="24">
        <f>(Table13456789101112131415161734[[#This Row],[FRA]]-B278)/B278</f>
        <v/>
      </c>
      <c r="D279" s="25">
        <f>(Table13456789101112131415161734[[#This Row],[FRA]]-B267)/B267</f>
        <v/>
      </c>
    </row>
    <row r="280">
      <c r="A280" s="22" t="n">
        <v>41579</v>
      </c>
      <c r="B280" s="23">
        <f>VLOOKUP(A280,Database!$E:$AY,MATCH($B$4,Database!$E$1:$AY$1,0),FALSE)</f>
        <v/>
      </c>
      <c r="C280" s="24">
        <f>(Table13456789101112131415161734[[#This Row],[FRA]]-B279)/B279</f>
        <v/>
      </c>
      <c r="D280" s="25">
        <f>(Table13456789101112131415161734[[#This Row],[FRA]]-B268)/B268</f>
        <v/>
      </c>
    </row>
    <row r="281">
      <c r="A281" s="22" t="n">
        <v>41609</v>
      </c>
      <c r="B281" s="23">
        <f>VLOOKUP(A281,Database!$E:$AY,MATCH($B$4,Database!$E$1:$AY$1,0),FALSE)</f>
        <v/>
      </c>
      <c r="C281" s="24">
        <f>(Table13456789101112131415161734[[#This Row],[FRA]]-B280)/B280</f>
        <v/>
      </c>
      <c r="D281" s="25">
        <f>(Table13456789101112131415161734[[#This Row],[FRA]]-B269)/B269</f>
        <v/>
      </c>
    </row>
    <row r="282">
      <c r="A282" s="22" t="n">
        <v>41640</v>
      </c>
      <c r="B282" s="23">
        <f>VLOOKUP(A282,Database!$E:$AY,MATCH($B$4,Database!$E$1:$AY$1,0),FALSE)</f>
        <v/>
      </c>
      <c r="C282" s="24">
        <f>(Table13456789101112131415161734[[#This Row],[FRA]]-B281)/B281</f>
        <v/>
      </c>
      <c r="D282" s="25">
        <f>(Table13456789101112131415161734[[#This Row],[FRA]]-B270)/B270</f>
        <v/>
      </c>
    </row>
    <row r="283">
      <c r="A283" s="22" t="n">
        <v>41671</v>
      </c>
      <c r="B283" s="23">
        <f>VLOOKUP(A283,Database!$E:$AY,MATCH($B$4,Database!$E$1:$AY$1,0),FALSE)</f>
        <v/>
      </c>
      <c r="C283" s="24">
        <f>(Table13456789101112131415161734[[#This Row],[FRA]]-B282)/B282</f>
        <v/>
      </c>
      <c r="D283" s="25">
        <f>(Table13456789101112131415161734[[#This Row],[FRA]]-B271)/B271</f>
        <v/>
      </c>
    </row>
    <row r="284">
      <c r="A284" s="22" t="n">
        <v>41699</v>
      </c>
      <c r="B284" s="23">
        <f>VLOOKUP(A284,Database!$E:$AY,MATCH($B$4,Database!$E$1:$AY$1,0),FALSE)</f>
        <v/>
      </c>
      <c r="C284" s="24">
        <f>(Table13456789101112131415161734[[#This Row],[FRA]]-B283)/B283</f>
        <v/>
      </c>
      <c r="D284" s="25">
        <f>(Table13456789101112131415161734[[#This Row],[FRA]]-B272)/B272</f>
        <v/>
      </c>
    </row>
    <row r="285">
      <c r="A285" s="22" t="n">
        <v>41730</v>
      </c>
      <c r="B285" s="23">
        <f>VLOOKUP(A285,Database!$E:$AY,MATCH($B$4,Database!$E$1:$AY$1,0),FALSE)</f>
        <v/>
      </c>
      <c r="C285" s="24">
        <f>(Table13456789101112131415161734[[#This Row],[FRA]]-B284)/B284</f>
        <v/>
      </c>
      <c r="D285" s="25">
        <f>(Table13456789101112131415161734[[#This Row],[FRA]]-B273)/B273</f>
        <v/>
      </c>
    </row>
    <row r="286">
      <c r="A286" s="22" t="n">
        <v>41760</v>
      </c>
      <c r="B286" s="23">
        <f>VLOOKUP(A286,Database!$E:$AY,MATCH($B$4,Database!$E$1:$AY$1,0),FALSE)</f>
        <v/>
      </c>
      <c r="C286" s="24">
        <f>(Table13456789101112131415161734[[#This Row],[FRA]]-B285)/B285</f>
        <v/>
      </c>
      <c r="D286" s="25">
        <f>(Table13456789101112131415161734[[#This Row],[FRA]]-B274)/B274</f>
        <v/>
      </c>
    </row>
    <row r="287">
      <c r="A287" s="22" t="n">
        <v>41791</v>
      </c>
      <c r="B287" s="23">
        <f>VLOOKUP(A287,Database!$E:$AY,MATCH($B$4,Database!$E$1:$AY$1,0),FALSE)</f>
        <v/>
      </c>
      <c r="C287" s="24">
        <f>(Table13456789101112131415161734[[#This Row],[FRA]]-B286)/B286</f>
        <v/>
      </c>
      <c r="D287" s="25">
        <f>(Table13456789101112131415161734[[#This Row],[FRA]]-B275)/B275</f>
        <v/>
      </c>
    </row>
    <row r="288">
      <c r="A288" s="22" t="n">
        <v>41821</v>
      </c>
      <c r="B288" s="23">
        <f>VLOOKUP(A288,Database!$E:$AY,MATCH($B$4,Database!$E$1:$AY$1,0),FALSE)</f>
        <v/>
      </c>
      <c r="C288" s="24">
        <f>(Table13456789101112131415161734[[#This Row],[FRA]]-B287)/B287</f>
        <v/>
      </c>
      <c r="D288" s="25">
        <f>(Table13456789101112131415161734[[#This Row],[FRA]]-B276)/B276</f>
        <v/>
      </c>
    </row>
    <row r="289">
      <c r="A289" s="22" t="n">
        <v>41852</v>
      </c>
      <c r="B289" s="23">
        <f>VLOOKUP(A289,Database!$E:$AY,MATCH($B$4,Database!$E$1:$AY$1,0),FALSE)</f>
        <v/>
      </c>
      <c r="C289" s="24">
        <f>(Table13456789101112131415161734[[#This Row],[FRA]]-B288)/B288</f>
        <v/>
      </c>
      <c r="D289" s="25">
        <f>(Table13456789101112131415161734[[#This Row],[FRA]]-B277)/B277</f>
        <v/>
      </c>
    </row>
    <row r="290">
      <c r="A290" s="22" t="n">
        <v>41883</v>
      </c>
      <c r="B290" s="23">
        <f>VLOOKUP(A290,Database!$E:$AY,MATCH($B$4,Database!$E$1:$AY$1,0),FALSE)</f>
        <v/>
      </c>
      <c r="C290" s="24">
        <f>(Table13456789101112131415161734[[#This Row],[FRA]]-B289)/B289</f>
        <v/>
      </c>
      <c r="D290" s="25">
        <f>(Table13456789101112131415161734[[#This Row],[FRA]]-B278)/B278</f>
        <v/>
      </c>
    </row>
    <row r="291">
      <c r="A291" s="22" t="n">
        <v>41913</v>
      </c>
      <c r="B291" s="23">
        <f>VLOOKUP(A291,Database!$E:$AY,MATCH($B$4,Database!$E$1:$AY$1,0),FALSE)</f>
        <v/>
      </c>
      <c r="C291" s="24">
        <f>(Table13456789101112131415161734[[#This Row],[FRA]]-B290)/B290</f>
        <v/>
      </c>
      <c r="D291" s="25">
        <f>(Table13456789101112131415161734[[#This Row],[FRA]]-B279)/B279</f>
        <v/>
      </c>
    </row>
    <row r="292">
      <c r="A292" s="22" t="n">
        <v>41944</v>
      </c>
      <c r="B292" s="23">
        <f>VLOOKUP(A292,Database!$E:$AY,MATCH($B$4,Database!$E$1:$AY$1,0),FALSE)</f>
        <v/>
      </c>
      <c r="C292" s="24">
        <f>(Table13456789101112131415161734[[#This Row],[FRA]]-B291)/B291</f>
        <v/>
      </c>
      <c r="D292" s="25">
        <f>(Table13456789101112131415161734[[#This Row],[FRA]]-B280)/B280</f>
        <v/>
      </c>
    </row>
    <row r="293">
      <c r="A293" s="22" t="n">
        <v>41974</v>
      </c>
      <c r="B293" s="23">
        <f>VLOOKUP(A293,Database!$E:$AY,MATCH($B$4,Database!$E$1:$AY$1,0),FALSE)</f>
        <v/>
      </c>
      <c r="C293" s="24">
        <f>(Table13456789101112131415161734[[#This Row],[FRA]]-B292)/B292</f>
        <v/>
      </c>
      <c r="D293" s="25">
        <f>(Table13456789101112131415161734[[#This Row],[FRA]]-B281)/B281</f>
        <v/>
      </c>
    </row>
    <row r="294">
      <c r="A294" s="22" t="n">
        <v>42005</v>
      </c>
      <c r="B294" s="23">
        <f>VLOOKUP(A294,Database!$E:$AY,MATCH($B$4,Database!$E$1:$AY$1,0),FALSE)</f>
        <v/>
      </c>
      <c r="C294" s="24">
        <f>(Table13456789101112131415161734[[#This Row],[FRA]]-B293)/B293</f>
        <v/>
      </c>
      <c r="D294" s="25">
        <f>(Table13456789101112131415161734[[#This Row],[FRA]]-B282)/B282</f>
        <v/>
      </c>
    </row>
    <row r="295">
      <c r="A295" s="22" t="n">
        <v>42036</v>
      </c>
      <c r="B295" s="23">
        <f>VLOOKUP(A295,Database!$E:$AY,MATCH($B$4,Database!$E$1:$AY$1,0),FALSE)</f>
        <v/>
      </c>
      <c r="C295" s="24">
        <f>(Table13456789101112131415161734[[#This Row],[FRA]]-B294)/B294</f>
        <v/>
      </c>
      <c r="D295" s="25">
        <f>(Table13456789101112131415161734[[#This Row],[FRA]]-B283)/B283</f>
        <v/>
      </c>
    </row>
    <row r="296">
      <c r="A296" s="22" t="n">
        <v>42064</v>
      </c>
      <c r="B296" s="23">
        <f>VLOOKUP(A296,Database!$E:$AY,MATCH($B$4,Database!$E$1:$AY$1,0),FALSE)</f>
        <v/>
      </c>
      <c r="C296" s="24">
        <f>(Table13456789101112131415161734[[#This Row],[FRA]]-B295)/B295</f>
        <v/>
      </c>
      <c r="D296" s="25">
        <f>(Table13456789101112131415161734[[#This Row],[FRA]]-B284)/B284</f>
        <v/>
      </c>
    </row>
    <row r="297">
      <c r="A297" s="22" t="n">
        <v>42095</v>
      </c>
      <c r="B297" s="23">
        <f>VLOOKUP(A297,Database!$E:$AY,MATCH($B$4,Database!$E$1:$AY$1,0),FALSE)</f>
        <v/>
      </c>
      <c r="C297" s="24">
        <f>(Table13456789101112131415161734[[#This Row],[FRA]]-B296)/B296</f>
        <v/>
      </c>
      <c r="D297" s="25">
        <f>(Table13456789101112131415161734[[#This Row],[FRA]]-B285)/B285</f>
        <v/>
      </c>
    </row>
    <row r="298">
      <c r="A298" s="22" t="n">
        <v>42125</v>
      </c>
      <c r="B298" s="23">
        <f>VLOOKUP(A298,Database!$E:$AY,MATCH($B$4,Database!$E$1:$AY$1,0),FALSE)</f>
        <v/>
      </c>
      <c r="C298" s="24">
        <f>(Table13456789101112131415161734[[#This Row],[FRA]]-B297)/B297</f>
        <v/>
      </c>
      <c r="D298" s="25">
        <f>(Table13456789101112131415161734[[#This Row],[FRA]]-B286)/B286</f>
        <v/>
      </c>
    </row>
    <row r="299">
      <c r="A299" s="22" t="n">
        <v>42156</v>
      </c>
      <c r="B299" s="23">
        <f>VLOOKUP(A299,Database!$E:$AY,MATCH($B$4,Database!$E$1:$AY$1,0),FALSE)</f>
        <v/>
      </c>
      <c r="C299" s="24">
        <f>(Table13456789101112131415161734[[#This Row],[FRA]]-B298)/B298</f>
        <v/>
      </c>
      <c r="D299" s="25">
        <f>(Table13456789101112131415161734[[#This Row],[FRA]]-B287)/B287</f>
        <v/>
      </c>
    </row>
    <row r="300">
      <c r="A300" s="22" t="n">
        <v>42186</v>
      </c>
      <c r="B300" s="23">
        <f>VLOOKUP(A300,Database!$E:$AY,MATCH($B$4,Database!$E$1:$AY$1,0),FALSE)</f>
        <v/>
      </c>
      <c r="C300" s="24">
        <f>(Table13456789101112131415161734[[#This Row],[FRA]]-B299)/B299</f>
        <v/>
      </c>
      <c r="D300" s="25">
        <f>(Table13456789101112131415161734[[#This Row],[FRA]]-B288)/B288</f>
        <v/>
      </c>
    </row>
    <row r="301">
      <c r="A301" s="22" t="n">
        <v>42217</v>
      </c>
      <c r="B301" s="23">
        <f>VLOOKUP(A301,Database!$E:$AY,MATCH($B$4,Database!$E$1:$AY$1,0),FALSE)</f>
        <v/>
      </c>
      <c r="C301" s="24">
        <f>(Table13456789101112131415161734[[#This Row],[FRA]]-B300)/B300</f>
        <v/>
      </c>
      <c r="D301" s="25">
        <f>(Table13456789101112131415161734[[#This Row],[FRA]]-B289)/B289</f>
        <v/>
      </c>
    </row>
    <row r="302">
      <c r="A302" s="22" t="n">
        <v>42248</v>
      </c>
      <c r="B302" s="23">
        <f>VLOOKUP(A302,Database!$E:$AY,MATCH($B$4,Database!$E$1:$AY$1,0),FALSE)</f>
        <v/>
      </c>
      <c r="C302" s="24">
        <f>(Table13456789101112131415161734[[#This Row],[FRA]]-B301)/B301</f>
        <v/>
      </c>
      <c r="D302" s="25">
        <f>(Table13456789101112131415161734[[#This Row],[FRA]]-B290)/B290</f>
        <v/>
      </c>
    </row>
    <row r="303">
      <c r="A303" s="22" t="n">
        <v>42278</v>
      </c>
      <c r="B303" s="23">
        <f>VLOOKUP(A303,Database!$E:$AY,MATCH($B$4,Database!$E$1:$AY$1,0),FALSE)</f>
        <v/>
      </c>
      <c r="C303" s="24">
        <f>(Table13456789101112131415161734[[#This Row],[FRA]]-B302)/B302</f>
        <v/>
      </c>
      <c r="D303" s="25">
        <f>(Table13456789101112131415161734[[#This Row],[FRA]]-B291)/B291</f>
        <v/>
      </c>
    </row>
    <row r="304">
      <c r="A304" s="22" t="n">
        <v>42309</v>
      </c>
      <c r="B304" s="23">
        <f>VLOOKUP(A304,Database!$E:$AY,MATCH($B$4,Database!$E$1:$AY$1,0),FALSE)</f>
        <v/>
      </c>
      <c r="C304" s="24">
        <f>(Table13456789101112131415161734[[#This Row],[FRA]]-B303)/B303</f>
        <v/>
      </c>
      <c r="D304" s="25">
        <f>(Table13456789101112131415161734[[#This Row],[FRA]]-B292)/B292</f>
        <v/>
      </c>
    </row>
    <row r="305">
      <c r="A305" s="22" t="n">
        <v>42339</v>
      </c>
      <c r="B305" s="23">
        <f>VLOOKUP(A305,Database!$E:$AY,MATCH($B$4,Database!$E$1:$AY$1,0),FALSE)</f>
        <v/>
      </c>
      <c r="C305" s="24">
        <f>(Table13456789101112131415161734[[#This Row],[FRA]]-B304)/B304</f>
        <v/>
      </c>
      <c r="D305" s="25">
        <f>(Table13456789101112131415161734[[#This Row],[FRA]]-B293)/B293</f>
        <v/>
      </c>
    </row>
    <row r="306" customFormat="1" s="100">
      <c r="A306" s="22" t="n">
        <v>42370</v>
      </c>
      <c r="B306" s="23">
        <f>VLOOKUP(A306,Database!$E:$AY,MATCH($B$4,Database!$E$1:$AY$1,0),FALSE)</f>
        <v/>
      </c>
      <c r="C306" s="24">
        <f>(Table13456789101112131415161734[[#This Row],[FRA]]-B305)/B305</f>
        <v/>
      </c>
      <c r="D306" s="25">
        <f>(Table13456789101112131415161734[[#This Row],[FRA]]-B294)/B294</f>
        <v/>
      </c>
    </row>
    <row r="307" customFormat="1" s="100">
      <c r="A307" s="22" t="n">
        <v>42401</v>
      </c>
      <c r="B307" s="23">
        <f>VLOOKUP(A307,Database!$E:$AY,MATCH($B$4,Database!$E$1:$AY$1,0),FALSE)</f>
        <v/>
      </c>
      <c r="C307" s="24">
        <f>(Table13456789101112131415161734[[#This Row],[FRA]]-B306)/B306</f>
        <v/>
      </c>
      <c r="D307" s="25">
        <f>(Table13456789101112131415161734[[#This Row],[FRA]]-B295)/B295</f>
        <v/>
      </c>
    </row>
    <row r="308" customFormat="1" s="100">
      <c r="A308" s="22" t="n">
        <v>42430</v>
      </c>
      <c r="B308" s="23">
        <f>VLOOKUP(A308,Database!$E:$AY,MATCH($B$4,Database!$E$1:$AY$1,0),FALSE)</f>
        <v/>
      </c>
      <c r="C308" s="24">
        <f>(Table13456789101112131415161734[[#This Row],[FRA]]-B307)/B307</f>
        <v/>
      </c>
      <c r="D308" s="25">
        <f>(Table13456789101112131415161734[[#This Row],[FRA]]-B296)/B296</f>
        <v/>
      </c>
    </row>
    <row r="309" customFormat="1" s="100">
      <c r="A309" s="22" t="n">
        <v>42461</v>
      </c>
      <c r="B309" s="23">
        <f>VLOOKUP(A309,Database!$E:$AY,MATCH($B$4,Database!$E$1:$AY$1,0),FALSE)</f>
        <v/>
      </c>
      <c r="C309" s="24">
        <f>(Table13456789101112131415161734[[#This Row],[FRA]]-B308)/B308</f>
        <v/>
      </c>
      <c r="D309" s="25">
        <f>(Table13456789101112131415161734[[#This Row],[FRA]]-B297)/B297</f>
        <v/>
      </c>
    </row>
    <row r="310" customFormat="1" s="100">
      <c r="A310" s="22" t="n">
        <v>42491</v>
      </c>
      <c r="B310" s="23">
        <f>VLOOKUP(A310,Database!$E:$AY,MATCH($B$4,Database!$E$1:$AY$1,0),FALSE)</f>
        <v/>
      </c>
      <c r="C310" s="24">
        <f>(Table13456789101112131415161734[[#This Row],[FRA]]-B309)/B309</f>
        <v/>
      </c>
      <c r="D310" s="25">
        <f>(Table13456789101112131415161734[[#This Row],[FRA]]-B298)/B298</f>
        <v/>
      </c>
    </row>
    <row r="311" customFormat="1" s="100">
      <c r="A311" s="22" t="n">
        <v>42522</v>
      </c>
      <c r="B311" s="23">
        <f>VLOOKUP(A311,Database!$E:$AY,MATCH($B$4,Database!$E$1:$AY$1,0),FALSE)</f>
        <v/>
      </c>
      <c r="C311" s="24">
        <f>(Table13456789101112131415161734[[#This Row],[FRA]]-B310)/B310</f>
        <v/>
      </c>
      <c r="D311" s="25">
        <f>(Table13456789101112131415161734[[#This Row],[FRA]]-B299)/B299</f>
        <v/>
      </c>
    </row>
    <row r="312" customFormat="1" s="100">
      <c r="A312" s="22" t="n">
        <v>42552</v>
      </c>
      <c r="B312" s="23">
        <f>VLOOKUP(A312,Database!$E:$AY,MATCH($B$4,Database!$E$1:$AY$1,0),FALSE)</f>
        <v/>
      </c>
      <c r="C312" s="24">
        <f>(Table13456789101112131415161734[[#This Row],[FRA]]-B311)/B311</f>
        <v/>
      </c>
      <c r="D312" s="25">
        <f>(Table13456789101112131415161734[[#This Row],[FRA]]-B300)/B300</f>
        <v/>
      </c>
    </row>
    <row r="313" customFormat="1" s="100">
      <c r="A313" s="22" t="n">
        <v>42583</v>
      </c>
      <c r="B313" s="23">
        <f>VLOOKUP(A313,Database!$E:$AY,MATCH($B$4,Database!$E$1:$AY$1,0),FALSE)</f>
        <v/>
      </c>
      <c r="C313" s="24">
        <f>(Table13456789101112131415161734[[#This Row],[FRA]]-B312)/B312</f>
        <v/>
      </c>
      <c r="D313" s="25">
        <f>(Table13456789101112131415161734[[#This Row],[FRA]]-B301)/B301</f>
        <v/>
      </c>
    </row>
    <row r="314" customFormat="1" s="100">
      <c r="A314" s="22" t="n">
        <v>42614</v>
      </c>
      <c r="B314" s="23">
        <f>VLOOKUP(A314,Database!$E:$AY,MATCH($B$4,Database!$E$1:$AY$1,0),FALSE)</f>
        <v/>
      </c>
      <c r="C314" s="24">
        <f>(Table13456789101112131415161734[[#This Row],[FRA]]-B313)/B313</f>
        <v/>
      </c>
      <c r="D314" s="25">
        <f>(Table13456789101112131415161734[[#This Row],[FRA]]-B302)/B302</f>
        <v/>
      </c>
    </row>
    <row r="315" customFormat="1" s="100">
      <c r="A315" s="22" t="n">
        <v>42644</v>
      </c>
      <c r="B315" s="23">
        <f>VLOOKUP(A315,Database!$E:$AY,MATCH($B$4,Database!$E$1:$AY$1,0),FALSE)</f>
        <v/>
      </c>
      <c r="C315" s="24">
        <f>(Table13456789101112131415161734[[#This Row],[FRA]]-B314)/B314</f>
        <v/>
      </c>
      <c r="D315" s="25">
        <f>(Table13456789101112131415161734[[#This Row],[FRA]]-B303)/B303</f>
        <v/>
      </c>
    </row>
    <row r="316" customFormat="1" s="100">
      <c r="A316" s="22" t="n">
        <v>42675</v>
      </c>
      <c r="B316" s="23">
        <f>VLOOKUP(A316,Database!$E:$AY,MATCH($B$4,Database!$E$1:$AY$1,0),FALSE)</f>
        <v/>
      </c>
      <c r="C316" s="24">
        <f>(Table13456789101112131415161734[[#This Row],[FRA]]-B315)/B315</f>
        <v/>
      </c>
      <c r="D316" s="25">
        <f>(Table13456789101112131415161734[[#This Row],[FRA]]-B304)/B304</f>
        <v/>
      </c>
    </row>
    <row r="317" customFormat="1" s="100">
      <c r="A317" s="22" t="n">
        <v>42705</v>
      </c>
      <c r="B317" s="23">
        <f>VLOOKUP(A317,Database!$E:$AY,MATCH($B$4,Database!$E$1:$AY$1,0),FALSE)</f>
        <v/>
      </c>
      <c r="C317" s="24">
        <f>(Table13456789101112131415161734[[#This Row],[FRA]]-B316)/B316</f>
        <v/>
      </c>
      <c r="D317" s="25">
        <f>(Table13456789101112131415161734[[#This Row],[FRA]]-B305)/B305</f>
        <v/>
      </c>
    </row>
    <row r="318" customFormat="1" s="100">
      <c r="A318" s="22" t="n">
        <v>42736</v>
      </c>
      <c r="B318" s="23">
        <f>VLOOKUP(A318,Database!$E:$AY,MATCH($B$4,Database!$E$1:$AY$1,0),FALSE)</f>
        <v/>
      </c>
      <c r="C318" s="24">
        <f>(Table13456789101112131415161734[[#This Row],[FRA]]-B317)/B317</f>
        <v/>
      </c>
      <c r="D318" s="25">
        <f>(Table13456789101112131415161734[[#This Row],[FRA]]-B306)/B306</f>
        <v/>
      </c>
    </row>
    <row r="319" customFormat="1" s="100">
      <c r="A319" s="22" t="n">
        <v>42767</v>
      </c>
      <c r="B319" s="23">
        <f>VLOOKUP(A319,Database!$E:$AY,MATCH($B$4,Database!$E$1:$AY$1,0),FALSE)</f>
        <v/>
      </c>
      <c r="C319" s="24">
        <f>(Table13456789101112131415161734[[#This Row],[FRA]]-B318)/B318</f>
        <v/>
      </c>
      <c r="D319" s="25">
        <f>(Table13456789101112131415161734[[#This Row],[FRA]]-B307)/B307</f>
        <v/>
      </c>
    </row>
    <row r="320" customFormat="1" s="100">
      <c r="A320" s="22" t="n">
        <v>42795</v>
      </c>
      <c r="B320" s="23">
        <f>VLOOKUP(A320,Database!$E:$AY,MATCH($B$4,Database!$E$1:$AY$1,0),FALSE)</f>
        <v/>
      </c>
      <c r="C320" s="24">
        <f>(Table13456789101112131415161734[[#This Row],[FRA]]-B319)/B319</f>
        <v/>
      </c>
      <c r="D320" s="25">
        <f>(Table13456789101112131415161734[[#This Row],[FRA]]-B308)/B308</f>
        <v/>
      </c>
    </row>
    <row r="321" customFormat="1" s="100">
      <c r="A321" s="22" t="n">
        <v>42826</v>
      </c>
      <c r="B321" s="23">
        <f>VLOOKUP(A321,Database!$E:$AY,MATCH($B$4,Database!$E$1:$AY$1,0),FALSE)</f>
        <v/>
      </c>
      <c r="C321" s="24">
        <f>(Table13456789101112131415161734[[#This Row],[FRA]]-B320)/B320</f>
        <v/>
      </c>
      <c r="D321" s="25">
        <f>(Table13456789101112131415161734[[#This Row],[FRA]]-B309)/B309</f>
        <v/>
      </c>
    </row>
    <row r="322" customFormat="1" s="100">
      <c r="A322" s="22" t="n">
        <v>42856</v>
      </c>
      <c r="B322" s="23">
        <f>VLOOKUP(A322,Database!$E:$AY,MATCH($B$4,Database!$E$1:$AY$1,0),FALSE)</f>
        <v/>
      </c>
      <c r="C322" s="24">
        <f>(Table13456789101112131415161734[[#This Row],[FRA]]-B321)/B321</f>
        <v/>
      </c>
      <c r="D322" s="25">
        <f>(Table13456789101112131415161734[[#This Row],[FRA]]-B310)/B310</f>
        <v/>
      </c>
    </row>
    <row r="323" customFormat="1" s="100">
      <c r="A323" s="22" t="n">
        <v>42887</v>
      </c>
      <c r="B323" s="23">
        <f>VLOOKUP(A323,Database!$E:$AY,MATCH($B$4,Database!$E$1:$AY$1,0),FALSE)</f>
        <v/>
      </c>
      <c r="C323" s="24">
        <f>(Table13456789101112131415161734[[#This Row],[FRA]]-B322)/B322</f>
        <v/>
      </c>
      <c r="D323" s="25">
        <f>(Table13456789101112131415161734[[#This Row],[FRA]]-B311)/B311</f>
        <v/>
      </c>
    </row>
    <row r="324" customFormat="1" s="100">
      <c r="A324" s="22" t="n">
        <v>42917</v>
      </c>
      <c r="B324" s="23">
        <f>VLOOKUP(A324,Database!$E:$AY,MATCH($B$4,Database!$E$1:$AY$1,0),FALSE)</f>
        <v/>
      </c>
      <c r="C324" s="24">
        <f>(Table13456789101112131415161734[[#This Row],[FRA]]-B323)/B323</f>
        <v/>
      </c>
      <c r="D324" s="25">
        <f>(Table13456789101112131415161734[[#This Row],[FRA]]-B312)/B312</f>
        <v/>
      </c>
    </row>
    <row r="325" customFormat="1" s="100">
      <c r="A325" s="22" t="n">
        <v>42948</v>
      </c>
      <c r="B325" s="23">
        <f>VLOOKUP(A325,Database!$E:$AY,MATCH($B$4,Database!$E$1:$AY$1,0),FALSE)</f>
        <v/>
      </c>
      <c r="C325" s="24">
        <f>(Table13456789101112131415161734[[#This Row],[FRA]]-B324)/B324</f>
        <v/>
      </c>
      <c r="D325" s="25">
        <f>(Table13456789101112131415161734[[#This Row],[FRA]]-B313)/B313</f>
        <v/>
      </c>
    </row>
    <row r="326" customFormat="1" s="100">
      <c r="A326" s="22" t="n">
        <v>42979</v>
      </c>
      <c r="B326" s="23">
        <f>VLOOKUP(A326,Database!$E:$AY,MATCH($B$4,Database!$E$1:$AY$1,0),FALSE)</f>
        <v/>
      </c>
      <c r="C326" s="24">
        <f>(Table13456789101112131415161734[[#This Row],[FRA]]-B325)/B325</f>
        <v/>
      </c>
      <c r="D326" s="25">
        <f>(Table13456789101112131415161734[[#This Row],[FRA]]-B314)/B314</f>
        <v/>
      </c>
    </row>
    <row r="327" customFormat="1" s="100">
      <c r="A327" s="22" t="n">
        <v>43009</v>
      </c>
      <c r="B327" s="23">
        <f>VLOOKUP(A327,Database!$E:$AY,MATCH($B$4,Database!$E$1:$AY$1,0),FALSE)</f>
        <v/>
      </c>
      <c r="C327" s="24">
        <f>(Table13456789101112131415161734[[#This Row],[FRA]]-B326)/B326</f>
        <v/>
      </c>
      <c r="D327" s="25">
        <f>(Table13456789101112131415161734[[#This Row],[FRA]]-B315)/B315</f>
        <v/>
      </c>
    </row>
    <row r="328" customFormat="1" s="100">
      <c r="A328" s="22" t="n">
        <v>43040</v>
      </c>
      <c r="B328" s="23">
        <f>VLOOKUP(A328,Database!$E:$AY,MATCH($B$4,Database!$E$1:$AY$1,0),FALSE)</f>
        <v/>
      </c>
      <c r="C328" s="24">
        <f>(Table13456789101112131415161734[[#This Row],[FRA]]-B327)/B327</f>
        <v/>
      </c>
      <c r="D328" s="25">
        <f>(Table13456789101112131415161734[[#This Row],[FRA]]-B316)/B316</f>
        <v/>
      </c>
    </row>
    <row r="329" customFormat="1" s="100">
      <c r="A329" s="22" t="n">
        <v>43070</v>
      </c>
      <c r="B329" s="23">
        <f>VLOOKUP(A329,Database!$E:$AY,MATCH($B$4,Database!$E$1:$AY$1,0),FALSE)</f>
        <v/>
      </c>
      <c r="C329" s="24">
        <f>(Table13456789101112131415161734[[#This Row],[FRA]]-B328)/B328</f>
        <v/>
      </c>
      <c r="D329" s="25">
        <f>(Table13456789101112131415161734[[#This Row],[FRA]]-B317)/B317</f>
        <v/>
      </c>
    </row>
    <row r="330" customFormat="1" s="100">
      <c r="A330" s="22" t="n">
        <v>43101</v>
      </c>
      <c r="B330" s="23">
        <f>VLOOKUP(A330,Database!$E:$AY,MATCH($B$4,Database!$E$1:$AY$1,0),FALSE)</f>
        <v/>
      </c>
      <c r="C330" s="24">
        <f>(Table13456789101112131415161734[[#This Row],[FRA]]-B329)/B329</f>
        <v/>
      </c>
      <c r="D330" s="25">
        <f>(Table13456789101112131415161734[[#This Row],[FRA]]-B318)/B318</f>
        <v/>
      </c>
    </row>
    <row r="331" customFormat="1" s="100">
      <c r="A331" s="22" t="n">
        <v>43132</v>
      </c>
      <c r="B331" s="23">
        <f>VLOOKUP(A331,Database!$E:$AY,MATCH($B$4,Database!$E$1:$AY$1,0),FALSE)</f>
        <v/>
      </c>
      <c r="C331" s="24">
        <f>(Table13456789101112131415161734[[#This Row],[FRA]]-B330)/B330</f>
        <v/>
      </c>
      <c r="D331" s="25">
        <f>(Table13456789101112131415161734[[#This Row],[FRA]]-B319)/B319</f>
        <v/>
      </c>
    </row>
    <row r="332" customFormat="1" s="100">
      <c r="A332" s="22" t="n">
        <v>43160</v>
      </c>
      <c r="B332" s="23">
        <f>VLOOKUP(A332,Database!$E:$AY,MATCH($B$4,Database!$E$1:$AY$1,0),FALSE)</f>
        <v/>
      </c>
      <c r="C332" s="24">
        <f>(Table13456789101112131415161734[[#This Row],[FRA]]-B331)/B331</f>
        <v/>
      </c>
      <c r="D332" s="25">
        <f>(Table13456789101112131415161734[[#This Row],[FRA]]-B320)/B320</f>
        <v/>
      </c>
    </row>
    <row r="333" customFormat="1" s="100">
      <c r="A333" s="22" t="n">
        <v>43191</v>
      </c>
      <c r="B333" s="23">
        <f>VLOOKUP(A333,Database!$E:$AY,MATCH($B$4,Database!$E$1:$AY$1,0),FALSE)</f>
        <v/>
      </c>
      <c r="C333" s="24">
        <f>(Table13456789101112131415161734[[#This Row],[FRA]]-B332)/B332</f>
        <v/>
      </c>
      <c r="D333" s="25">
        <f>(Table13456789101112131415161734[[#This Row],[FRA]]-B321)/B321</f>
        <v/>
      </c>
    </row>
    <row r="334" customFormat="1" s="100">
      <c r="A334" s="22" t="n">
        <v>43221</v>
      </c>
      <c r="B334" s="23">
        <f>VLOOKUP(A334,Database!$E:$AY,MATCH($B$4,Database!$E$1:$AY$1,0),FALSE)</f>
        <v/>
      </c>
      <c r="C334" s="24">
        <f>(Table13456789101112131415161734[[#This Row],[FRA]]-B333)/B333</f>
        <v/>
      </c>
      <c r="D334" s="25">
        <f>(Table13456789101112131415161734[[#This Row],[FRA]]-B322)/B322</f>
        <v/>
      </c>
    </row>
    <row r="335" customFormat="1" s="100">
      <c r="A335" s="22" t="n">
        <v>43252</v>
      </c>
      <c r="B335" s="23">
        <f>VLOOKUP(A335,Database!$E:$AY,MATCH($B$4,Database!$E$1:$AY$1,0),FALSE)</f>
        <v/>
      </c>
      <c r="C335" s="24">
        <f>(Table13456789101112131415161734[[#This Row],[FRA]]-B334)/B334</f>
        <v/>
      </c>
      <c r="D335" s="25">
        <f>(Table13456789101112131415161734[[#This Row],[FRA]]-B323)/B323</f>
        <v/>
      </c>
    </row>
    <row r="336" customFormat="1" s="100">
      <c r="A336" s="22" t="n">
        <v>43282</v>
      </c>
      <c r="B336" s="23">
        <f>VLOOKUP(A336,Database!$E:$AY,MATCH($B$4,Database!$E$1:$AY$1,0),FALSE)</f>
        <v/>
      </c>
      <c r="C336" s="24">
        <f>(Table13456789101112131415161734[[#This Row],[FRA]]-B335)/B335</f>
        <v/>
      </c>
      <c r="D336" s="25">
        <f>(Table13456789101112131415161734[[#This Row],[FRA]]-B324)/B324</f>
        <v/>
      </c>
    </row>
    <row r="337" customFormat="1" s="100">
      <c r="A337" s="22" t="n">
        <v>43313</v>
      </c>
      <c r="B337" s="23">
        <f>VLOOKUP(A337,Database!$E:$AY,MATCH($B$4,Database!$E$1:$AY$1,0),FALSE)</f>
        <v/>
      </c>
      <c r="C337" s="24">
        <f>(Table13456789101112131415161734[[#This Row],[FRA]]-B336)/B336</f>
        <v/>
      </c>
      <c r="D337" s="25">
        <f>(Table13456789101112131415161734[[#This Row],[FRA]]-B325)/B325</f>
        <v/>
      </c>
    </row>
    <row r="338" customFormat="1" s="100">
      <c r="A338" s="22" t="n">
        <v>43344</v>
      </c>
      <c r="B338" s="23">
        <f>VLOOKUP(A338,Database!$E:$AY,MATCH($B$4,Database!$E$1:$AY$1,0),FALSE)</f>
        <v/>
      </c>
      <c r="C338" s="24">
        <f>(Table13456789101112131415161734[[#This Row],[FRA]]-B337)/B337</f>
        <v/>
      </c>
      <c r="D338" s="25">
        <f>(Table13456789101112131415161734[[#This Row],[FRA]]-B326)/B326</f>
        <v/>
      </c>
    </row>
    <row r="339" customFormat="1" s="100">
      <c r="A339" s="22" t="n">
        <v>43374</v>
      </c>
      <c r="B339" s="23">
        <f>VLOOKUP(A339,Database!$E:$AY,MATCH($B$4,Database!$E$1:$AY$1,0),FALSE)</f>
        <v/>
      </c>
      <c r="C339" s="24">
        <f>(Table13456789101112131415161734[[#This Row],[FRA]]-B338)/B338</f>
        <v/>
      </c>
      <c r="D339" s="25">
        <f>(Table13456789101112131415161734[[#This Row],[FRA]]-B327)/B327</f>
        <v/>
      </c>
    </row>
    <row r="340" customFormat="1" s="100">
      <c r="A340" s="22" t="n">
        <v>43405</v>
      </c>
      <c r="B340" s="23">
        <f>VLOOKUP(A340,Database!$E:$AY,MATCH($B$4,Database!$E$1:$AY$1,0),FALSE)</f>
        <v/>
      </c>
      <c r="C340" s="24">
        <f>(Table13456789101112131415161734[[#This Row],[FRA]]-B339)/B339</f>
        <v/>
      </c>
      <c r="D340" s="25">
        <f>(Table13456789101112131415161734[[#This Row],[FRA]]-B328)/B328</f>
        <v/>
      </c>
    </row>
    <row r="341" customFormat="1" s="100">
      <c r="A341" s="22" t="n">
        <v>43435</v>
      </c>
      <c r="B341" s="23">
        <f>VLOOKUP(A341,Database!$E:$AY,MATCH($B$4,Database!$E$1:$AY$1,0),FALSE)</f>
        <v/>
      </c>
      <c r="C341" s="24">
        <f>(Table13456789101112131415161734[[#This Row],[FRA]]-B340)/B340</f>
        <v/>
      </c>
      <c r="D341" s="25">
        <f>(Table13456789101112131415161734[[#This Row],[FRA]]-B329)/B329</f>
        <v/>
      </c>
    </row>
    <row r="342" customFormat="1" s="100">
      <c r="A342" s="22" t="n">
        <v>43466</v>
      </c>
      <c r="B342" s="23">
        <f>VLOOKUP(A342,Database!$E:$AY,MATCH($B$4,Database!$E$1:$AY$1,0),FALSE)</f>
        <v/>
      </c>
      <c r="C342" s="24">
        <f>(Table13456789101112131415161734[[#This Row],[FRA]]-B341)/B341</f>
        <v/>
      </c>
      <c r="D342" s="25">
        <f>(Table13456789101112131415161734[[#This Row],[FRA]]-B330)/B330</f>
        <v/>
      </c>
    </row>
    <row r="343" customFormat="1" s="100">
      <c r="A343" s="22" t="n">
        <v>43497</v>
      </c>
      <c r="B343" s="23">
        <f>VLOOKUP(A343,Database!$E:$AY,MATCH($B$4,Database!$E$1:$AY$1,0),FALSE)</f>
        <v/>
      </c>
      <c r="C343" s="24">
        <f>(Table13456789101112131415161734[[#This Row],[FRA]]-B342)/B342</f>
        <v/>
      </c>
      <c r="D343" s="25">
        <f>(Table13456789101112131415161734[[#This Row],[FRA]]-B331)/B331</f>
        <v/>
      </c>
    </row>
    <row r="344" customFormat="1" s="100">
      <c r="A344" s="22" t="n">
        <v>43525</v>
      </c>
      <c r="B344" s="23">
        <f>VLOOKUP(A344,Database!$E:$AY,MATCH($B$4,Database!$E$1:$AY$1,0),FALSE)</f>
        <v/>
      </c>
      <c r="C344" s="24">
        <f>(Table13456789101112131415161734[[#This Row],[FRA]]-B343)/B343</f>
        <v/>
      </c>
      <c r="D344" s="25">
        <f>(Table13456789101112131415161734[[#This Row],[FRA]]-B332)/B332</f>
        <v/>
      </c>
    </row>
    <row r="345" customFormat="1" s="100">
      <c r="A345" s="22" t="n">
        <v>43556</v>
      </c>
      <c r="B345" s="23">
        <f>VLOOKUP(A345,Database!$E:$AY,MATCH($B$4,Database!$E$1:$AY$1,0),FALSE)</f>
        <v/>
      </c>
      <c r="C345" s="24">
        <f>(Table13456789101112131415161734[[#This Row],[FRA]]-B344)/B344</f>
        <v/>
      </c>
      <c r="D345" s="25">
        <f>(Table13456789101112131415161734[[#This Row],[FRA]]-B333)/B333</f>
        <v/>
      </c>
    </row>
    <row r="346" customFormat="1" s="100">
      <c r="A346" s="22" t="n">
        <v>43586</v>
      </c>
      <c r="B346" s="23">
        <f>VLOOKUP(A346,Database!$E:$AY,MATCH($B$4,Database!$E$1:$AY$1,0),FALSE)</f>
        <v/>
      </c>
      <c r="C346" s="24">
        <f>(Table13456789101112131415161734[[#This Row],[FRA]]-B345)/B345</f>
        <v/>
      </c>
      <c r="D346" s="25">
        <f>(Table13456789101112131415161734[[#This Row],[FRA]]-B334)/B334</f>
        <v/>
      </c>
    </row>
    <row r="347" customFormat="1" s="100">
      <c r="A347" s="22" t="n">
        <v>43617</v>
      </c>
      <c r="B347" s="23">
        <f>VLOOKUP(A347,Database!$E:$AY,MATCH($B$4,Database!$E$1:$AY$1,0),FALSE)</f>
        <v/>
      </c>
      <c r="C347" s="24">
        <f>(Table13456789101112131415161734[[#This Row],[FRA]]-B346)/B346</f>
        <v/>
      </c>
      <c r="D347" s="25">
        <f>(Table13456789101112131415161734[[#This Row],[FRA]]-B335)/B335</f>
        <v/>
      </c>
    </row>
    <row r="348" customFormat="1" s="100">
      <c r="A348" s="22" t="n">
        <v>43647</v>
      </c>
      <c r="B348" s="23">
        <f>VLOOKUP(A348,Database!$E:$AY,MATCH($B$4,Database!$E$1:$AY$1,0),FALSE)</f>
        <v/>
      </c>
      <c r="C348" s="24">
        <f>(Table13456789101112131415161734[[#This Row],[FRA]]-B347)/B347</f>
        <v/>
      </c>
      <c r="D348" s="25">
        <f>(Table13456789101112131415161734[[#This Row],[FRA]]-B336)/B336</f>
        <v/>
      </c>
    </row>
    <row r="349" customFormat="1" s="100">
      <c r="A349" s="22" t="n">
        <v>43678</v>
      </c>
      <c r="B349" s="23">
        <f>VLOOKUP(A349,Database!$E:$AY,MATCH($B$4,Database!$E$1:$AY$1,0),FALSE)</f>
        <v/>
      </c>
      <c r="C349" s="24">
        <f>(Table13456789101112131415161734[[#This Row],[FRA]]-B348)/B348</f>
        <v/>
      </c>
      <c r="D349" s="25">
        <f>(Table13456789101112131415161734[[#This Row],[FRA]]-B337)/B337</f>
        <v/>
      </c>
    </row>
    <row r="350" customFormat="1" s="100">
      <c r="A350" s="22" t="n">
        <v>43709</v>
      </c>
      <c r="B350" s="23">
        <f>VLOOKUP(A350,Database!$E:$AY,MATCH($B$4,Database!$E$1:$AY$1,0),FALSE)</f>
        <v/>
      </c>
      <c r="C350" s="24">
        <f>(Table13456789101112131415161734[[#This Row],[FRA]]-B349)/B349</f>
        <v/>
      </c>
      <c r="D350" s="25">
        <f>(Table13456789101112131415161734[[#This Row],[FRA]]-B338)/B338</f>
        <v/>
      </c>
    </row>
    <row r="351" customFormat="1" s="100">
      <c r="A351" s="22" t="n">
        <v>43739</v>
      </c>
      <c r="B351" s="23">
        <f>VLOOKUP(A351,Database!$E:$AY,MATCH($B$4,Database!$E$1:$AY$1,0),FALSE)</f>
        <v/>
      </c>
      <c r="C351" s="24">
        <f>(Table13456789101112131415161734[[#This Row],[FRA]]-B350)/B350</f>
        <v/>
      </c>
      <c r="D351" s="25">
        <f>(Table13456789101112131415161734[[#This Row],[FRA]]-B339)/B339</f>
        <v/>
      </c>
    </row>
    <row r="352" customFormat="1" s="100">
      <c r="A352" s="16" t="n"/>
      <c r="C352" s="19" t="n"/>
      <c r="D352" s="19" t="n"/>
    </row>
    <row r="353" customFormat="1" s="100">
      <c r="A353" s="16" t="n"/>
      <c r="C353" s="19" t="n"/>
      <c r="D353" s="19" t="n"/>
    </row>
    <row r="354" customFormat="1" s="100">
      <c r="A354" s="16" t="n"/>
      <c r="C354" s="19" t="n"/>
      <c r="D354" s="19" t="n"/>
    </row>
    <row r="355" customFormat="1" s="100">
      <c r="A355" s="16" t="n"/>
      <c r="C355" s="19" t="n"/>
      <c r="D355" s="19" t="n"/>
    </row>
    <row r="356" customFormat="1" s="100">
      <c r="A356" s="16" t="n"/>
      <c r="C356" s="19" t="n"/>
      <c r="D356" s="19" t="n"/>
    </row>
    <row r="357" customFormat="1" s="100">
      <c r="A357" s="16" t="n"/>
      <c r="C357" s="19" t="n"/>
      <c r="D357" s="19" t="n"/>
    </row>
    <row r="358" customFormat="1" s="100">
      <c r="A358" s="16" t="n"/>
      <c r="C358" s="19" t="n"/>
      <c r="D358" s="19" t="n"/>
    </row>
    <row r="359" customFormat="1" s="100">
      <c r="A359" s="16" t="n"/>
      <c r="C359" s="19" t="n"/>
      <c r="D359" s="19" t="n"/>
    </row>
    <row r="360" customFormat="1" s="100">
      <c r="A360" s="16" t="n"/>
      <c r="C360" s="19" t="n"/>
      <c r="D360" s="19" t="n"/>
    </row>
    <row r="361" customFormat="1" s="100">
      <c r="A361" s="16" t="n"/>
      <c r="C361" s="19" t="n"/>
      <c r="D361" s="19" t="n"/>
    </row>
    <row r="362" customFormat="1" s="100">
      <c r="A362" s="16" t="n"/>
      <c r="C362" s="19" t="n"/>
      <c r="D362" s="19" t="n"/>
    </row>
    <row r="363" customFormat="1" s="100">
      <c r="A363" s="16" t="n"/>
      <c r="C363" s="19" t="n"/>
      <c r="D363" s="19" t="n"/>
    </row>
    <row r="364" customFormat="1" s="100">
      <c r="A364" s="16" t="n"/>
      <c r="C364" s="19" t="n"/>
      <c r="D364" s="19" t="n"/>
    </row>
    <row r="365" customFormat="1" s="100">
      <c r="A365" s="16" t="n"/>
      <c r="C365" s="19" t="n"/>
      <c r="D365" s="19" t="n"/>
    </row>
    <row r="366" customFormat="1" s="100">
      <c r="A366" s="16" t="n"/>
      <c r="C366" s="19" t="n"/>
      <c r="D366" s="19" t="n"/>
    </row>
    <row r="367" customFormat="1" s="100">
      <c r="A367" s="16" t="n"/>
      <c r="C367" s="19" t="n"/>
      <c r="D367" s="19" t="n"/>
    </row>
    <row r="368" customFormat="1" s="100">
      <c r="A368" s="16" t="n"/>
      <c r="C368" s="19" t="n"/>
      <c r="D368" s="19" t="n"/>
    </row>
    <row r="369" customFormat="1" s="100">
      <c r="A369" s="16" t="n"/>
      <c r="C369" s="19" t="n"/>
      <c r="D369" s="19" t="n"/>
    </row>
    <row r="370" customFormat="1" s="100">
      <c r="A370" s="16" t="n"/>
      <c r="C370" s="19" t="n"/>
      <c r="D370" s="19" t="n"/>
    </row>
    <row r="371" customFormat="1" s="100">
      <c r="A371" s="16" t="n"/>
      <c r="C371" s="19" t="n"/>
      <c r="D371" s="19" t="n"/>
    </row>
    <row r="372" customFormat="1" s="100">
      <c r="A372" s="16" t="n"/>
      <c r="C372" s="19" t="n"/>
      <c r="D372" s="19" t="n"/>
    </row>
    <row r="373" customFormat="1" s="100">
      <c r="A373" s="16" t="n"/>
      <c r="C373" s="19" t="n"/>
      <c r="D373" s="19" t="n"/>
    </row>
    <row r="374" customFormat="1" s="100">
      <c r="A374" s="16" t="n"/>
      <c r="C374" s="19" t="n"/>
      <c r="D374" s="19" t="n"/>
    </row>
    <row r="375" customFormat="1" s="100">
      <c r="A375" s="16" t="n"/>
      <c r="C375" s="19" t="n"/>
      <c r="D375" s="19" t="n"/>
    </row>
    <row r="376" customFormat="1" s="100">
      <c r="A376" s="16" t="n"/>
      <c r="C376" s="19" t="n"/>
      <c r="D376" s="19" t="n"/>
    </row>
    <row r="377" customFormat="1" s="100">
      <c r="A377" s="16" t="n"/>
      <c r="C377" s="19" t="n"/>
      <c r="D377" s="19" t="n"/>
    </row>
    <row r="378" customFormat="1" s="100">
      <c r="A378" s="16" t="n"/>
      <c r="C378" s="19" t="n"/>
      <c r="D378" s="19" t="n"/>
    </row>
    <row r="379" customFormat="1" s="100">
      <c r="A379" s="16" t="n"/>
      <c r="C379" s="19" t="n"/>
      <c r="D379" s="19" t="n"/>
    </row>
    <row r="380" customFormat="1" s="100">
      <c r="A380" s="16" t="n"/>
      <c r="C380" s="19" t="n"/>
      <c r="D380" s="19" t="n"/>
    </row>
    <row r="381" customFormat="1" s="100">
      <c r="A381" s="16" t="n"/>
      <c r="C381" s="19" t="n"/>
      <c r="D381" s="19" t="n"/>
    </row>
    <row r="382" customFormat="1" s="100">
      <c r="A382" s="16" t="n"/>
      <c r="C382" s="19" t="n"/>
      <c r="D382" s="19" t="n"/>
    </row>
    <row r="383" customFormat="1" s="100">
      <c r="A383" s="16" t="n"/>
      <c r="C383" s="19" t="n"/>
      <c r="D383" s="19" t="n"/>
    </row>
    <row r="384" customFormat="1" s="100">
      <c r="A384" s="16" t="n"/>
      <c r="C384" s="19" t="n"/>
      <c r="D384" s="19" t="n"/>
    </row>
    <row r="385" customFormat="1" s="100">
      <c r="A385" s="16" t="n"/>
      <c r="C385" s="19" t="n"/>
      <c r="D385" s="19" t="n"/>
    </row>
    <row r="386" customFormat="1" s="100">
      <c r="A386" s="16" t="n"/>
      <c r="C386" s="19" t="n"/>
      <c r="D386" s="19" t="n"/>
    </row>
    <row r="387" customFormat="1" s="100">
      <c r="A387" s="16" t="n"/>
      <c r="C387" s="19" t="n"/>
      <c r="D387" s="19" t="n"/>
    </row>
    <row r="388" customFormat="1" s="100">
      <c r="A388" s="16" t="n"/>
      <c r="C388" s="19" t="n"/>
      <c r="D388" s="19" t="n"/>
    </row>
    <row r="389" customFormat="1" s="100">
      <c r="A389" s="16" t="n"/>
      <c r="C389" s="19" t="n"/>
      <c r="D389" s="19" t="n"/>
    </row>
    <row r="390" customFormat="1" s="100">
      <c r="A390" s="16" t="n"/>
      <c r="C390" s="19" t="n"/>
      <c r="D390" s="19" t="n"/>
    </row>
    <row r="391" customFormat="1" s="100">
      <c r="A391" s="16" t="n"/>
      <c r="C391" s="19" t="n"/>
      <c r="D391" s="19" t="n"/>
    </row>
    <row r="392" customFormat="1" s="100">
      <c r="A392" s="16" t="n"/>
      <c r="C392" s="19" t="n"/>
      <c r="D392" s="19" t="n"/>
    </row>
    <row r="393" customFormat="1" s="100">
      <c r="A393" s="16" t="n"/>
      <c r="C393" s="19" t="n"/>
      <c r="D393" s="19" t="n"/>
    </row>
    <row r="394" customFormat="1" s="100">
      <c r="A394" s="16" t="n"/>
      <c r="C394" s="19" t="n"/>
      <c r="D394" s="19" t="n"/>
    </row>
    <row r="395" customFormat="1" s="100">
      <c r="A395" s="16" t="n"/>
      <c r="C395" s="19" t="n"/>
      <c r="D395" s="19" t="n"/>
    </row>
    <row r="396" customFormat="1" s="100">
      <c r="A396" s="16" t="n"/>
      <c r="C396" s="19" t="n"/>
      <c r="D396" s="19" t="n"/>
    </row>
    <row r="397" customFormat="1" s="100">
      <c r="A397" s="16" t="n"/>
      <c r="C397" s="19" t="n"/>
      <c r="D397" s="19" t="n"/>
    </row>
    <row r="398" customFormat="1" s="100">
      <c r="A398" s="16" t="n"/>
      <c r="C398" s="19" t="n"/>
      <c r="D398" s="19" t="n"/>
    </row>
    <row r="399" customFormat="1" s="100">
      <c r="A399" s="16" t="n"/>
      <c r="C399" s="19" t="n"/>
      <c r="D399" s="19" t="n"/>
    </row>
    <row r="400" customFormat="1" s="100">
      <c r="A400" s="16" t="n"/>
      <c r="C400" s="19" t="n"/>
      <c r="D400" s="19" t="n"/>
    </row>
    <row r="401" customFormat="1" s="100">
      <c r="A401" s="16" t="n"/>
      <c r="C401" s="19" t="n"/>
      <c r="D401" s="19" t="n"/>
    </row>
    <row r="402" customFormat="1" s="100">
      <c r="A402" s="16" t="n"/>
      <c r="C402" s="19" t="n"/>
      <c r="D402" s="19" t="n"/>
    </row>
    <row r="403" customFormat="1" s="100">
      <c r="A403" s="16" t="n"/>
      <c r="C403" s="19" t="n"/>
      <c r="D403" s="19" t="n"/>
    </row>
    <row r="404" customFormat="1" s="100">
      <c r="A404" s="16" t="n"/>
      <c r="C404" s="19" t="n"/>
      <c r="D404" s="19" t="n"/>
    </row>
    <row r="405" customFormat="1" s="100">
      <c r="A405" s="16" t="n"/>
      <c r="C405" s="19" t="n"/>
      <c r="D405" s="19" t="n"/>
    </row>
    <row r="406" customFormat="1" s="100">
      <c r="A406" s="16" t="n"/>
      <c r="C406" s="19" t="n"/>
      <c r="D406" s="19" t="n"/>
    </row>
    <row r="407" customFormat="1" s="100">
      <c r="A407" s="16" t="n"/>
      <c r="C407" s="19" t="n"/>
      <c r="D407" s="19" t="n"/>
    </row>
    <row r="408" customFormat="1" s="100">
      <c r="A408" s="16" t="n"/>
      <c r="C408" s="19" t="n"/>
      <c r="D408" s="19" t="n"/>
    </row>
    <row r="409" customFormat="1" s="100">
      <c r="A409" s="16" t="n"/>
      <c r="C409" s="19" t="n"/>
      <c r="D409" s="19" t="n"/>
    </row>
    <row r="410" customFormat="1" s="100">
      <c r="A410" s="16" t="n"/>
      <c r="C410" s="19" t="n"/>
      <c r="D410" s="19" t="n"/>
    </row>
    <row r="411" customFormat="1" s="100">
      <c r="A411" s="16" t="n"/>
      <c r="C411" s="19" t="n"/>
      <c r="D411" s="19" t="n"/>
    </row>
    <row r="412" customFormat="1" s="100">
      <c r="A412" s="16" t="n"/>
      <c r="C412" s="19" t="n"/>
      <c r="D412" s="19" t="n"/>
    </row>
    <row r="413" customFormat="1" s="100">
      <c r="A413" s="16" t="n"/>
      <c r="C413" s="19" t="n"/>
      <c r="D413" s="19" t="n"/>
    </row>
    <row r="414" customFormat="1" s="100">
      <c r="A414" s="16" t="n"/>
      <c r="C414" s="19" t="n"/>
      <c r="D414" s="19" t="n"/>
    </row>
    <row r="415" customFormat="1" s="100">
      <c r="A415" s="16" t="n"/>
      <c r="C415" s="19" t="n"/>
      <c r="D415" s="19" t="n"/>
    </row>
    <row r="416" customFormat="1" s="100">
      <c r="A416" s="16" t="n"/>
      <c r="C416" s="19" t="n"/>
      <c r="D416" s="19" t="n"/>
    </row>
    <row r="417" customFormat="1" s="100">
      <c r="A417" s="16" t="n"/>
      <c r="C417" s="19" t="n"/>
      <c r="D417" s="19" t="n"/>
    </row>
    <row r="418" customFormat="1" s="100">
      <c r="A418" s="16" t="n"/>
      <c r="C418" s="19" t="n"/>
      <c r="D418" s="19" t="n"/>
    </row>
    <row r="419" customFormat="1" s="100">
      <c r="A419" s="16" t="n"/>
      <c r="C419" s="19" t="n"/>
      <c r="D419" s="19" t="n"/>
    </row>
    <row r="420" customFormat="1" s="100">
      <c r="A420" s="16" t="n"/>
      <c r="C420" s="19" t="n"/>
      <c r="D420" s="19" t="n"/>
    </row>
    <row r="421" customFormat="1" s="100">
      <c r="A421" s="16" t="n"/>
      <c r="C421" s="19" t="n"/>
      <c r="D421" s="19" t="n"/>
    </row>
    <row r="422" customFormat="1" s="100">
      <c r="A422" s="16" t="n"/>
      <c r="C422" s="19" t="n"/>
      <c r="D422" s="19" t="n"/>
    </row>
    <row r="423" customFormat="1" s="100">
      <c r="A423" s="16" t="n"/>
      <c r="C423" s="19" t="n"/>
      <c r="D423" s="19" t="n"/>
    </row>
    <row r="424" customFormat="1" s="100">
      <c r="A424" s="16" t="n"/>
      <c r="C424" s="19" t="n"/>
      <c r="D424" s="19" t="n"/>
    </row>
    <row r="425" customFormat="1" s="100">
      <c r="A425" s="16" t="n"/>
      <c r="C425" s="19" t="n"/>
      <c r="D425" s="19" t="n"/>
    </row>
    <row r="426" customFormat="1" s="100">
      <c r="A426" s="16" t="n"/>
      <c r="C426" s="19" t="n"/>
      <c r="D426" s="19" t="n"/>
    </row>
    <row r="427" customFormat="1" s="100">
      <c r="A427" s="16" t="n"/>
      <c r="C427" s="19" t="n"/>
      <c r="D427" s="19" t="n"/>
    </row>
    <row r="428" customFormat="1" s="100">
      <c r="A428" s="16" t="n"/>
      <c r="C428" s="19" t="n"/>
      <c r="D428" s="19" t="n"/>
    </row>
    <row r="429" customFormat="1" s="100">
      <c r="A429" s="16" t="n"/>
      <c r="C429" s="19" t="n"/>
      <c r="D429" s="19" t="n"/>
    </row>
    <row r="430" customFormat="1" s="100">
      <c r="A430" s="16" t="n"/>
      <c r="C430" s="19" t="n"/>
      <c r="D430" s="19" t="n"/>
    </row>
    <row r="431" customFormat="1" s="100">
      <c r="A431" s="16" t="n"/>
      <c r="C431" s="19" t="n"/>
      <c r="D431" s="19" t="n"/>
    </row>
    <row r="432" customFormat="1" s="100">
      <c r="A432" s="16" t="n"/>
      <c r="C432" s="19" t="n"/>
      <c r="D432" s="19" t="n"/>
    </row>
    <row r="433" customFormat="1" s="100">
      <c r="A433" s="16" t="n"/>
      <c r="C433" s="19" t="n"/>
      <c r="D433" s="19" t="n"/>
    </row>
    <row r="434" customFormat="1" s="100">
      <c r="A434" s="16" t="n"/>
      <c r="C434" s="19" t="n"/>
      <c r="D434" s="19" t="n"/>
    </row>
    <row r="435" customFormat="1" s="100">
      <c r="A435" s="16" t="n"/>
      <c r="C435" s="19" t="n"/>
      <c r="D435" s="19" t="n"/>
    </row>
    <row r="436" customFormat="1" s="100">
      <c r="A436" s="16" t="n"/>
      <c r="C436" s="19" t="n"/>
      <c r="D436" s="19" t="n"/>
    </row>
    <row r="437" customFormat="1" s="100">
      <c r="A437" s="16" t="n"/>
      <c r="C437" s="19" t="n"/>
      <c r="D437" s="19" t="n"/>
    </row>
    <row r="438" customFormat="1" s="100">
      <c r="A438" s="16" t="n"/>
      <c r="C438" s="19" t="n"/>
      <c r="D438" s="19" t="n"/>
    </row>
    <row r="439" customFormat="1" s="100">
      <c r="A439" s="16" t="n"/>
      <c r="C439" s="19" t="n"/>
      <c r="D439" s="19" t="n"/>
    </row>
    <row r="440" customFormat="1" s="100">
      <c r="A440" s="16" t="n"/>
      <c r="C440" s="19" t="n"/>
      <c r="D440" s="19" t="n"/>
    </row>
    <row r="441" customFormat="1" s="100">
      <c r="A441" s="16" t="n"/>
      <c r="C441" s="19" t="n"/>
      <c r="D441" s="19" t="n"/>
    </row>
    <row r="442" customFormat="1" s="100">
      <c r="A442" s="16" t="n"/>
      <c r="C442" s="19" t="n"/>
      <c r="D442" s="19" t="n"/>
    </row>
    <row r="443" customFormat="1" s="100">
      <c r="A443" s="16" t="n"/>
      <c r="C443" s="19" t="n"/>
      <c r="D443" s="19" t="n"/>
    </row>
    <row r="444" customFormat="1" s="100">
      <c r="A444" s="16" t="n"/>
      <c r="C444" s="19" t="n"/>
      <c r="D444" s="19" t="n"/>
    </row>
    <row r="445" customFormat="1" s="100">
      <c r="A445" s="16" t="n"/>
      <c r="C445" s="19" t="n"/>
      <c r="D445" s="19" t="n"/>
    </row>
    <row r="446" customFormat="1" s="100">
      <c r="A446" s="16" t="n"/>
      <c r="C446" s="19" t="n"/>
      <c r="D446" s="19" t="n"/>
    </row>
    <row r="447" customFormat="1" s="100">
      <c r="A447" s="16" t="n"/>
      <c r="C447" s="19" t="n"/>
      <c r="D447" s="19" t="n"/>
    </row>
    <row r="448" customFormat="1" s="100">
      <c r="A448" s="16" t="n"/>
      <c r="C448" s="19" t="n"/>
      <c r="D448" s="19" t="n"/>
    </row>
    <row r="449" customFormat="1" s="100">
      <c r="A449" s="16" t="n"/>
      <c r="C449" s="19" t="n"/>
      <c r="D449" s="19" t="n"/>
    </row>
    <row r="450" customFormat="1" s="100">
      <c r="A450" s="16" t="n"/>
      <c r="C450" s="19" t="n"/>
      <c r="D450" s="19" t="n"/>
    </row>
    <row r="451" customFormat="1" s="100">
      <c r="A451" s="16" t="n"/>
      <c r="C451" s="19" t="n"/>
      <c r="D451" s="19" t="n"/>
    </row>
    <row r="452" customFormat="1" s="100">
      <c r="A452" s="16" t="n"/>
      <c r="C452" s="19" t="n"/>
      <c r="D452" s="19" t="n"/>
    </row>
    <row r="453" customFormat="1" s="100">
      <c r="A453" s="16" t="n"/>
      <c r="C453" s="19" t="n"/>
      <c r="D453" s="19" t="n"/>
    </row>
    <row r="454" customFormat="1" s="100">
      <c r="A454" s="16" t="n"/>
      <c r="C454" s="19" t="n"/>
      <c r="D454" s="19" t="n"/>
    </row>
    <row r="455" customFormat="1" s="100">
      <c r="A455" s="16" t="n"/>
      <c r="C455" s="19" t="n"/>
      <c r="D455" s="19" t="n"/>
    </row>
    <row r="456" customFormat="1" s="100">
      <c r="A456" s="16" t="n"/>
      <c r="C456" s="19" t="n"/>
      <c r="D456" s="19" t="n"/>
    </row>
    <row r="457" customFormat="1" s="100">
      <c r="A457" s="16" t="n"/>
      <c r="C457" s="19" t="n"/>
      <c r="D457" s="19" t="n"/>
    </row>
    <row r="458" customFormat="1" s="100">
      <c r="A458" s="16" t="n"/>
      <c r="C458" s="19" t="n"/>
      <c r="D458" s="19" t="n"/>
    </row>
    <row r="459" customFormat="1" s="100">
      <c r="A459" s="16" t="n"/>
      <c r="C459" s="19" t="n"/>
      <c r="D459" s="19" t="n"/>
    </row>
    <row r="460" customFormat="1" s="100">
      <c r="A460" s="16" t="n"/>
      <c r="C460" s="19" t="n"/>
      <c r="D460" s="19" t="n"/>
    </row>
    <row r="461" customFormat="1" s="100">
      <c r="A461" s="16" t="n"/>
      <c r="C461" s="19" t="n"/>
      <c r="D461" s="19" t="n"/>
    </row>
    <row r="462" customFormat="1" s="100">
      <c r="A462" s="16" t="n"/>
      <c r="C462" s="19" t="n"/>
      <c r="D462" s="19" t="n"/>
    </row>
    <row r="463" customFormat="1" s="100">
      <c r="A463" s="16" t="n"/>
      <c r="C463" s="19" t="n"/>
      <c r="D463" s="19" t="n"/>
    </row>
    <row r="464" customFormat="1" s="100">
      <c r="A464" s="16" t="n"/>
      <c r="C464" s="19" t="n"/>
      <c r="D464" s="19" t="n"/>
    </row>
    <row r="465" customFormat="1" s="100">
      <c r="A465" s="16" t="n"/>
      <c r="C465" s="19" t="n"/>
      <c r="D465" s="19" t="n"/>
    </row>
    <row r="466" customFormat="1" s="100">
      <c r="A466" s="16" t="n"/>
      <c r="C466" s="19" t="n"/>
      <c r="D466" s="19" t="n"/>
    </row>
    <row r="467" customFormat="1" s="100">
      <c r="A467" s="16" t="n"/>
      <c r="C467" s="19" t="n"/>
      <c r="D467" s="19" t="n"/>
    </row>
    <row r="468" customFormat="1" s="100">
      <c r="A468" s="16" t="n"/>
      <c r="C468" s="19" t="n"/>
      <c r="D468" s="19" t="n"/>
    </row>
    <row r="469" customFormat="1" s="100">
      <c r="A469" s="16" t="n"/>
      <c r="C469" s="19" t="n"/>
      <c r="D469" s="19" t="n"/>
    </row>
    <row r="470" customFormat="1" s="100">
      <c r="A470" s="16" t="n"/>
      <c r="C470" s="19" t="n"/>
      <c r="D470" s="19" t="n"/>
    </row>
    <row r="471" customFormat="1" s="100">
      <c r="A471" s="16" t="n"/>
      <c r="C471" s="19" t="n"/>
      <c r="D471" s="19" t="n"/>
    </row>
    <row r="472" customFormat="1" s="100">
      <c r="A472" s="16" t="n"/>
      <c r="C472" s="19" t="n"/>
      <c r="D472" s="19" t="n"/>
    </row>
    <row r="473" customFormat="1" s="100">
      <c r="A473" s="16" t="n"/>
      <c r="C473" s="19" t="n"/>
      <c r="D473" s="19" t="n"/>
    </row>
    <row r="474" customFormat="1" s="100">
      <c r="A474" s="16" t="n"/>
      <c r="C474" s="19" t="n"/>
      <c r="D474" s="19" t="n"/>
    </row>
    <row r="475" customFormat="1" s="100">
      <c r="A475" s="16" t="n"/>
      <c r="C475" s="19" t="n"/>
      <c r="D475" s="19" t="n"/>
    </row>
    <row r="476" customFormat="1" s="100">
      <c r="A476" s="16" t="n"/>
      <c r="C476" s="19" t="n"/>
      <c r="D476" s="19" t="n"/>
    </row>
    <row r="477" customFormat="1" s="100">
      <c r="A477" s="16" t="n"/>
      <c r="C477" s="19" t="n"/>
      <c r="D477" s="19" t="n"/>
    </row>
    <row r="478" customFormat="1" s="100">
      <c r="A478" s="16" t="n"/>
      <c r="C478" s="19" t="n"/>
      <c r="D478" s="19" t="n"/>
    </row>
    <row r="479" customFormat="1" s="100">
      <c r="A479" s="16" t="n"/>
      <c r="C479" s="19" t="n"/>
      <c r="D479" s="19" t="n"/>
    </row>
    <row r="480" customFormat="1" s="100">
      <c r="A480" s="16" t="n"/>
      <c r="C480" s="19" t="n"/>
      <c r="D480" s="19" t="n"/>
    </row>
    <row r="481" customFormat="1" s="100">
      <c r="A481" s="16" t="n"/>
      <c r="C481" s="19" t="n"/>
      <c r="D481" s="19" t="n"/>
    </row>
    <row r="482" customFormat="1" s="100">
      <c r="A482" s="16" t="n"/>
      <c r="C482" s="19" t="n"/>
      <c r="D482" s="19" t="n"/>
    </row>
    <row r="483" customFormat="1" s="100">
      <c r="A483" s="16" t="n"/>
      <c r="C483" s="19" t="n"/>
      <c r="D483" s="19" t="n"/>
    </row>
    <row r="484" customFormat="1" s="100">
      <c r="A484" s="16" t="n"/>
      <c r="C484" s="19" t="n"/>
      <c r="D484" s="19" t="n"/>
    </row>
    <row r="485" customFormat="1" s="100">
      <c r="A485" s="16" t="n"/>
      <c r="C485" s="19" t="n"/>
      <c r="D485" s="19" t="n"/>
    </row>
    <row r="486" customFormat="1" s="100">
      <c r="A486" s="16" t="n"/>
      <c r="C486" s="19" t="n"/>
      <c r="D486" s="19" t="n"/>
    </row>
    <row r="487" customFormat="1" s="100">
      <c r="A487" s="16" t="n"/>
      <c r="C487" s="19" t="n"/>
      <c r="D487" s="19" t="n"/>
    </row>
    <row r="488" customFormat="1" s="100">
      <c r="A488" s="16" t="n"/>
      <c r="C488" s="19" t="n"/>
      <c r="D488" s="19" t="n"/>
    </row>
    <row r="489" customFormat="1" s="100">
      <c r="A489" s="16" t="n"/>
      <c r="C489" s="19" t="n"/>
      <c r="D489" s="19" t="n"/>
    </row>
    <row r="490" customFormat="1" s="100">
      <c r="A490" s="16" t="n"/>
      <c r="C490" s="19" t="n"/>
      <c r="D490" s="19" t="n"/>
    </row>
    <row r="491" customFormat="1" s="100">
      <c r="A491" s="16" t="n"/>
      <c r="C491" s="19" t="n"/>
      <c r="D491" s="19" t="n"/>
    </row>
    <row r="492" customFormat="1" s="100">
      <c r="A492" s="16" t="n"/>
      <c r="C492" s="19" t="n"/>
      <c r="D492" s="19" t="n"/>
    </row>
    <row r="493" customFormat="1" s="100">
      <c r="A493" s="16" t="n"/>
      <c r="C493" s="19" t="n"/>
      <c r="D493" s="19" t="n"/>
    </row>
    <row r="494" customFormat="1" s="100">
      <c r="A494" s="16" t="n"/>
      <c r="C494" s="19" t="n"/>
      <c r="D494" s="19" t="n"/>
    </row>
    <row r="495" customFormat="1" s="100">
      <c r="A495" s="16" t="n"/>
      <c r="C495" s="19" t="n"/>
      <c r="D495" s="19" t="n"/>
    </row>
    <row r="496" customFormat="1" s="100">
      <c r="A496" s="16" t="n"/>
      <c r="C496" s="19" t="n"/>
      <c r="D496" s="19" t="n"/>
    </row>
    <row r="497" customFormat="1" s="100">
      <c r="A497" s="16" t="n"/>
      <c r="C497" s="19" t="n"/>
      <c r="D497" s="19" t="n"/>
    </row>
    <row r="498" customFormat="1" s="100">
      <c r="A498" s="16" t="n"/>
      <c r="C498" s="19" t="n"/>
      <c r="D498" s="19" t="n"/>
    </row>
    <row r="499" customFormat="1" s="100">
      <c r="A499" s="16" t="n"/>
      <c r="C499" s="19" t="n"/>
      <c r="D499" s="19" t="n"/>
    </row>
    <row r="500" customFormat="1" s="100">
      <c r="A500" s="16" t="n"/>
      <c r="C500" s="19" t="n"/>
      <c r="D500" s="19" t="n"/>
    </row>
    <row r="501" customFormat="1" s="100">
      <c r="A501" s="16" t="n"/>
      <c r="C501" s="19" t="n"/>
      <c r="D501" s="19" t="n"/>
    </row>
    <row r="502" customFormat="1" s="100">
      <c r="A502" s="16" t="n"/>
      <c r="C502" s="19" t="n"/>
      <c r="D502" s="19" t="n"/>
    </row>
    <row r="503" customFormat="1" s="100">
      <c r="A503" s="16" t="n"/>
      <c r="C503" s="19" t="n"/>
      <c r="D503" s="19" t="n"/>
    </row>
    <row r="504" customFormat="1" s="100">
      <c r="A504" s="16" t="n"/>
      <c r="C504" s="19" t="n"/>
      <c r="D504" s="19" t="n"/>
    </row>
    <row r="505" customFormat="1" s="100">
      <c r="A505" s="16" t="n"/>
      <c r="C505" s="19" t="n"/>
      <c r="D505" s="19" t="n"/>
    </row>
    <row r="506" customFormat="1" s="100">
      <c r="A506" s="16" t="n"/>
      <c r="C506" s="19" t="n"/>
      <c r="D506" s="19" t="n"/>
    </row>
    <row r="507" customFormat="1" s="100">
      <c r="A507" s="16" t="n"/>
      <c r="C507" s="19" t="n"/>
      <c r="D507" s="19" t="n"/>
    </row>
    <row r="508" customFormat="1" s="100">
      <c r="A508" s="16" t="n"/>
      <c r="C508" s="19" t="n"/>
      <c r="D508" s="19" t="n"/>
    </row>
    <row r="509" customFormat="1" s="100">
      <c r="A509" s="16" t="n"/>
      <c r="C509" s="19" t="n"/>
      <c r="D509" s="19" t="n"/>
    </row>
    <row r="510" customFormat="1" s="100">
      <c r="A510" s="16" t="n"/>
      <c r="C510" s="19" t="n"/>
      <c r="D510" s="19" t="n"/>
    </row>
    <row r="511" customFormat="1" s="100">
      <c r="A511" s="16" t="n"/>
      <c r="C511" s="19" t="n"/>
      <c r="D511" s="19" t="n"/>
    </row>
    <row r="512" customFormat="1" s="100">
      <c r="A512" s="16" t="n"/>
      <c r="C512" s="19" t="n"/>
      <c r="D512" s="19" t="n"/>
    </row>
    <row r="513" customFormat="1" s="100">
      <c r="A513" s="16" t="n"/>
      <c r="C513" s="19" t="n"/>
      <c r="D513" s="19" t="n"/>
    </row>
    <row r="514" customFormat="1" s="100">
      <c r="A514" s="16" t="n"/>
      <c r="C514" s="19" t="n"/>
      <c r="D514" s="19" t="n"/>
    </row>
    <row r="515" customFormat="1" s="100">
      <c r="A515" s="16" t="n"/>
      <c r="C515" s="19" t="n"/>
      <c r="D515" s="19" t="n"/>
    </row>
    <row r="516" customFormat="1" s="100">
      <c r="A516" s="16" t="n"/>
      <c r="C516" s="19" t="n"/>
      <c r="D516" s="19" t="n"/>
    </row>
    <row r="517" customFormat="1" s="100">
      <c r="A517" s="16" t="n"/>
      <c r="C517" s="19" t="n"/>
      <c r="D517" s="19" t="n"/>
    </row>
    <row r="518" customFormat="1" s="100">
      <c r="A518" s="16" t="n"/>
      <c r="C518" s="19" t="n"/>
      <c r="D518" s="19" t="n"/>
    </row>
    <row r="519" customFormat="1" s="100">
      <c r="A519" s="16" t="n"/>
      <c r="C519" s="19" t="n"/>
      <c r="D519" s="19" t="n"/>
    </row>
    <row r="520" customFormat="1" s="100">
      <c r="A520" s="16" t="n"/>
      <c r="C520" s="19" t="n"/>
      <c r="D520" s="19" t="n"/>
    </row>
    <row r="521" customFormat="1" s="100">
      <c r="A521" s="16" t="n"/>
      <c r="C521" s="19" t="n"/>
      <c r="D521" s="19" t="n"/>
    </row>
    <row r="522" customFormat="1" s="100">
      <c r="A522" s="16" t="n"/>
      <c r="C522" s="19" t="n"/>
      <c r="D522" s="19" t="n"/>
    </row>
    <row r="523" customFormat="1" s="100">
      <c r="A523" s="16" t="n"/>
      <c r="C523" s="19" t="n"/>
      <c r="D523" s="19" t="n"/>
    </row>
    <row r="524" customFormat="1" s="100">
      <c r="A524" s="16" t="n"/>
      <c r="C524" s="19" t="n"/>
      <c r="D524" s="19" t="n"/>
    </row>
    <row r="525" customFormat="1" s="100">
      <c r="A525" s="16" t="n"/>
      <c r="C525" s="19" t="n"/>
      <c r="D525" s="19" t="n"/>
    </row>
    <row r="526" customFormat="1" s="100">
      <c r="A526" s="16" t="n"/>
      <c r="C526" s="19" t="n"/>
      <c r="D526" s="19" t="n"/>
    </row>
    <row r="527" customFormat="1" s="100">
      <c r="A527" s="16" t="n"/>
      <c r="C527" s="19" t="n"/>
      <c r="D527" s="19" t="n"/>
    </row>
    <row r="528" customFormat="1" s="100">
      <c r="A528" s="16" t="n"/>
      <c r="C528" s="19" t="n"/>
      <c r="D528" s="19" t="n"/>
    </row>
    <row r="529" customFormat="1" s="100">
      <c r="A529" s="16" t="n"/>
      <c r="C529" s="19" t="n"/>
      <c r="D529" s="19" t="n"/>
    </row>
    <row r="530" customFormat="1" s="100">
      <c r="A530" s="16" t="n"/>
      <c r="C530" s="19" t="n"/>
      <c r="D530" s="19" t="n"/>
    </row>
    <row r="531" customFormat="1" s="100">
      <c r="A531" s="16" t="n"/>
      <c r="C531" s="19" t="n"/>
      <c r="D531" s="19" t="n"/>
    </row>
    <row r="532" customFormat="1" s="100">
      <c r="A532" s="16" t="n"/>
      <c r="C532" s="19" t="n"/>
      <c r="D532" s="19" t="n"/>
    </row>
    <row r="533" customFormat="1" s="100">
      <c r="A533" s="16" t="n"/>
      <c r="C533" s="19" t="n"/>
      <c r="D533" s="19" t="n"/>
    </row>
    <row r="534" customFormat="1" s="100">
      <c r="A534" s="16" t="n"/>
      <c r="C534" s="19" t="n"/>
      <c r="D534" s="19" t="n"/>
    </row>
    <row r="535" customFormat="1" s="100">
      <c r="A535" s="16" t="n"/>
      <c r="C535" s="19" t="n"/>
      <c r="D535" s="19" t="n"/>
    </row>
    <row r="536" customFormat="1" s="100">
      <c r="A536" s="16" t="n"/>
      <c r="C536" s="19" t="n"/>
      <c r="D536" s="19" t="n"/>
    </row>
    <row r="537" customFormat="1" s="100">
      <c r="A537" s="16" t="n"/>
      <c r="C537" s="19" t="n"/>
      <c r="D537" s="19" t="n"/>
    </row>
    <row r="538" customFormat="1" s="100">
      <c r="A538" s="16" t="n"/>
      <c r="C538" s="19" t="n"/>
      <c r="D538" s="19" t="n"/>
    </row>
    <row r="539" customFormat="1" s="100">
      <c r="A539" s="16" t="n"/>
      <c r="C539" s="19" t="n"/>
      <c r="D539" s="19" t="n"/>
    </row>
    <row r="540" customFormat="1" s="100">
      <c r="A540" s="16" t="n"/>
      <c r="C540" s="19" t="n"/>
      <c r="D540" s="19" t="n"/>
    </row>
    <row r="541" customFormat="1" s="100">
      <c r="A541" s="16" t="n"/>
      <c r="C541" s="19" t="n"/>
      <c r="D541" s="19" t="n"/>
    </row>
    <row r="542" customFormat="1" s="100">
      <c r="A542" s="16" t="n"/>
      <c r="C542" s="19" t="n"/>
      <c r="D542" s="19" t="n"/>
    </row>
    <row r="543" customFormat="1" s="100">
      <c r="A543" s="16" t="n"/>
      <c r="C543" s="19" t="n"/>
      <c r="D543" s="19" t="n"/>
    </row>
    <row r="544" customFormat="1" s="100">
      <c r="A544" s="16" t="n"/>
      <c r="C544" s="19" t="n"/>
      <c r="D544" s="19" t="n"/>
    </row>
    <row r="545" customFormat="1" s="100">
      <c r="A545" s="16" t="n"/>
      <c r="C545" s="19" t="n"/>
      <c r="D545" s="19" t="n"/>
    </row>
    <row r="546" customFormat="1" s="100">
      <c r="A546" s="16" t="n"/>
      <c r="C546" s="19" t="n"/>
      <c r="D546" s="19" t="n"/>
    </row>
    <row r="547" customFormat="1" s="100">
      <c r="A547" s="16" t="n"/>
      <c r="C547" s="19" t="n"/>
      <c r="D547" s="19" t="n"/>
    </row>
    <row r="548" customFormat="1" s="100">
      <c r="A548" s="16" t="n"/>
      <c r="C548" s="19" t="n"/>
      <c r="D548" s="19" t="n"/>
    </row>
    <row r="549" customFormat="1" s="100">
      <c r="A549" s="16" t="n"/>
      <c r="C549" s="19" t="n"/>
      <c r="D549" s="19" t="n"/>
    </row>
    <row r="550" customFormat="1" s="100">
      <c r="A550" s="16" t="n"/>
      <c r="C550" s="19" t="n"/>
      <c r="D550" s="19" t="n"/>
    </row>
    <row r="551" customFormat="1" s="100">
      <c r="A551" s="16" t="n"/>
      <c r="C551" s="19" t="n"/>
      <c r="D551" s="19" t="n"/>
    </row>
    <row r="552" customFormat="1" s="100">
      <c r="A552" s="16" t="n"/>
      <c r="C552" s="19" t="n"/>
      <c r="D552" s="19" t="n"/>
    </row>
    <row r="553" customFormat="1" s="100">
      <c r="A553" s="16" t="n"/>
      <c r="C553" s="19" t="n"/>
      <c r="D553" s="19" t="n"/>
    </row>
    <row r="554" customFormat="1" s="100">
      <c r="A554" s="16" t="n"/>
      <c r="C554" s="19" t="n"/>
      <c r="D554" s="19" t="n"/>
    </row>
    <row r="555" customFormat="1" s="100">
      <c r="A555" s="16" t="n"/>
      <c r="C555" s="19" t="n"/>
      <c r="D555" s="19" t="n"/>
    </row>
    <row r="556" customFormat="1" s="100">
      <c r="A556" s="16" t="n"/>
      <c r="C556" s="19" t="n"/>
      <c r="D556" s="19" t="n"/>
    </row>
    <row r="557" customFormat="1" s="100">
      <c r="A557" s="16" t="n"/>
      <c r="C557" s="19" t="n"/>
      <c r="D557" s="19" t="n"/>
    </row>
    <row r="558" customFormat="1" s="100">
      <c r="A558" s="16" t="n"/>
      <c r="C558" s="19" t="n"/>
      <c r="D558" s="19" t="n"/>
    </row>
    <row r="559" customFormat="1" s="100">
      <c r="A559" s="16" t="n"/>
      <c r="C559" s="19" t="n"/>
      <c r="D559" s="19" t="n"/>
    </row>
    <row r="560" customFormat="1" s="100">
      <c r="A560" s="16" t="n"/>
      <c r="C560" s="19" t="n"/>
      <c r="D560" s="19" t="n"/>
    </row>
    <row r="561" customFormat="1" s="100">
      <c r="A561" s="16" t="n"/>
      <c r="C561" s="19" t="n"/>
      <c r="D561" s="19" t="n"/>
    </row>
    <row r="562" customFormat="1" s="100">
      <c r="A562" s="16" t="n"/>
      <c r="C562" s="19" t="n"/>
      <c r="D562" s="19" t="n"/>
    </row>
    <row r="563" customFormat="1" s="100">
      <c r="A563" s="16" t="n"/>
      <c r="C563" s="19" t="n"/>
      <c r="D563" s="19" t="n"/>
    </row>
    <row r="564" customFormat="1" s="100">
      <c r="A564" s="16" t="n"/>
      <c r="C564" s="19" t="n"/>
      <c r="D564" s="19" t="n"/>
    </row>
    <row r="565" customFormat="1" s="100">
      <c r="A565" s="16" t="n"/>
      <c r="C565" s="19" t="n"/>
      <c r="D565" s="19" t="n"/>
    </row>
    <row r="566" customFormat="1" s="100">
      <c r="A566" s="16" t="n"/>
      <c r="C566" s="19" t="n"/>
      <c r="D566" s="19" t="n"/>
    </row>
    <row r="567" customFormat="1" s="100">
      <c r="A567" s="16" t="n"/>
      <c r="C567" s="19" t="n"/>
      <c r="D567" s="19" t="n"/>
    </row>
    <row r="568" customFormat="1" s="100">
      <c r="A568" s="16" t="n"/>
      <c r="C568" s="19" t="n"/>
      <c r="D568" s="19" t="n"/>
    </row>
    <row r="569" customFormat="1" s="100">
      <c r="A569" s="16" t="n"/>
      <c r="C569" s="19" t="n"/>
      <c r="D569" s="19" t="n"/>
    </row>
    <row r="570" customFormat="1" s="100">
      <c r="A570" s="16" t="n"/>
      <c r="C570" s="19" t="n"/>
      <c r="D570" s="19" t="n"/>
    </row>
    <row r="571" customFormat="1" s="100">
      <c r="A571" s="16" t="n"/>
      <c r="C571" s="19" t="n"/>
      <c r="D571" s="19" t="n"/>
    </row>
    <row r="572" customFormat="1" s="100">
      <c r="A572" s="16" t="n"/>
      <c r="C572" s="19" t="n"/>
      <c r="D572" s="19" t="n"/>
    </row>
    <row r="573" customFormat="1" s="100">
      <c r="A573" s="16" t="n"/>
      <c r="C573" s="19" t="n"/>
      <c r="D573" s="19" t="n"/>
    </row>
    <row r="574" customFormat="1" s="100">
      <c r="A574" s="16" t="n"/>
      <c r="C574" s="19" t="n"/>
      <c r="D574" s="19" t="n"/>
    </row>
    <row r="575" customFormat="1" s="100">
      <c r="A575" s="16" t="n"/>
      <c r="C575" s="19" t="n"/>
      <c r="D575" s="19" t="n"/>
    </row>
    <row r="576" customFormat="1" s="100">
      <c r="A576" s="16" t="n"/>
      <c r="C576" s="19" t="n"/>
      <c r="D576" s="19" t="n"/>
    </row>
    <row r="577" customFormat="1" s="100">
      <c r="A577" s="16" t="n"/>
      <c r="C577" s="19" t="n"/>
      <c r="D577" s="19" t="n"/>
    </row>
    <row r="578" customFormat="1" s="100">
      <c r="A578" s="16" t="n"/>
      <c r="C578" s="19" t="n"/>
      <c r="D578" s="19" t="n"/>
    </row>
    <row r="579" customFormat="1" s="100">
      <c r="A579" s="16" t="n"/>
      <c r="C579" s="19" t="n"/>
      <c r="D579" s="19" t="n"/>
    </row>
    <row r="580" customFormat="1" s="100">
      <c r="A580" s="16" t="n"/>
      <c r="C580" s="19" t="n"/>
      <c r="D580" s="19" t="n"/>
    </row>
    <row r="581" customFormat="1" s="100">
      <c r="A581" s="16" t="n"/>
      <c r="C581" s="19" t="n"/>
      <c r="D581" s="19" t="n"/>
    </row>
    <row r="582" customFormat="1" s="100">
      <c r="A582" s="16" t="n"/>
      <c r="C582" s="19" t="n"/>
      <c r="D582" s="19" t="n"/>
    </row>
    <row r="583" customFormat="1" s="100">
      <c r="A583" s="16" t="n"/>
      <c r="C583" s="19" t="n"/>
      <c r="D583" s="19" t="n"/>
    </row>
    <row r="584" customFormat="1" s="100">
      <c r="A584" s="16" t="n"/>
      <c r="C584" s="19" t="n"/>
      <c r="D584" s="19" t="n"/>
    </row>
    <row r="585" customFormat="1" s="100">
      <c r="A585" s="16" t="n"/>
      <c r="C585" s="19" t="n"/>
      <c r="D585" s="19" t="n"/>
    </row>
    <row r="586" customFormat="1" s="100">
      <c r="A586" s="16" t="n"/>
      <c r="C586" s="19" t="n"/>
      <c r="D586" s="19" t="n"/>
    </row>
    <row r="587" customFormat="1" s="100">
      <c r="A587" s="16" t="n"/>
      <c r="C587" s="19" t="n"/>
      <c r="D587" s="19" t="n"/>
    </row>
    <row r="588" customFormat="1" s="100">
      <c r="A588" s="16" t="n"/>
      <c r="C588" s="19" t="n"/>
      <c r="D588" s="19" t="n"/>
    </row>
    <row r="589" customFormat="1" s="100">
      <c r="A589" s="16" t="n"/>
      <c r="C589" s="19" t="n"/>
      <c r="D589" s="19" t="n"/>
    </row>
    <row r="590" customFormat="1" s="100">
      <c r="A590" s="16" t="n"/>
      <c r="C590" s="19" t="n"/>
      <c r="D590" s="19" t="n"/>
    </row>
    <row r="591" customFormat="1" s="100">
      <c r="A591" s="16" t="n"/>
      <c r="C591" s="19" t="n"/>
      <c r="D591" s="19" t="n"/>
    </row>
    <row r="592" customFormat="1" s="100">
      <c r="A592" s="16" t="n"/>
      <c r="C592" s="19" t="n"/>
      <c r="D592" s="19" t="n"/>
    </row>
    <row r="593" customFormat="1" s="100">
      <c r="A593" s="16" t="n"/>
      <c r="C593" s="19" t="n"/>
      <c r="D593" s="19" t="n"/>
    </row>
    <row r="594" customFormat="1" s="100">
      <c r="A594" s="16" t="n"/>
      <c r="C594" s="19" t="n"/>
      <c r="D594" s="19" t="n"/>
    </row>
    <row r="595" customFormat="1" s="100">
      <c r="A595" s="16" t="n"/>
      <c r="C595" s="19" t="n"/>
      <c r="D595" s="19" t="n"/>
    </row>
    <row r="596" customFormat="1" s="100">
      <c r="A596" s="16" t="n"/>
      <c r="C596" s="19" t="n"/>
      <c r="D596" s="19" t="n"/>
    </row>
    <row r="597" customFormat="1" s="100">
      <c r="A597" s="16" t="n"/>
      <c r="C597" s="19" t="n"/>
      <c r="D597" s="19" t="n"/>
    </row>
    <row r="598" customFormat="1" s="100">
      <c r="A598" s="16" t="n"/>
      <c r="C598" s="19" t="n"/>
      <c r="D598" s="19" t="n"/>
    </row>
    <row r="599" customFormat="1" s="100">
      <c r="A599" s="16" t="n"/>
      <c r="C599" s="19" t="n"/>
      <c r="D599" s="19" t="n"/>
    </row>
    <row r="600" customFormat="1" s="100">
      <c r="A600" s="16" t="n"/>
      <c r="C600" s="19" t="n"/>
      <c r="D600" s="19" t="n"/>
    </row>
    <row r="601" customFormat="1" s="100">
      <c r="A601" s="16" t="n"/>
      <c r="C601" s="19" t="n"/>
      <c r="D601" s="19" t="n"/>
    </row>
    <row r="602" customFormat="1" s="100">
      <c r="A602" s="16" t="n"/>
      <c r="C602" s="19" t="n"/>
      <c r="D602" s="19" t="n"/>
    </row>
    <row r="603" customFormat="1" s="100">
      <c r="A603" s="16" t="n"/>
      <c r="C603" s="19" t="n"/>
      <c r="D603" s="19" t="n"/>
    </row>
    <row r="604" customFormat="1" s="100">
      <c r="A604" s="16" t="n"/>
      <c r="C604" s="19" t="n"/>
      <c r="D604" s="19" t="n"/>
    </row>
    <row r="605" customFormat="1" s="100">
      <c r="A605" s="16" t="n"/>
      <c r="C605" s="19" t="n"/>
      <c r="D605" s="19" t="n"/>
    </row>
    <row r="606" customFormat="1" s="100">
      <c r="A606" s="16" t="n"/>
      <c r="C606" s="19" t="n"/>
      <c r="D606" s="19" t="n"/>
    </row>
    <row r="607" customFormat="1" s="100">
      <c r="A607" s="16" t="n"/>
      <c r="C607" s="19" t="n"/>
      <c r="D607" s="19" t="n"/>
    </row>
    <row r="608" customFormat="1" s="100">
      <c r="A608" s="16" t="n"/>
      <c r="C608" s="19" t="n"/>
      <c r="D608" s="19" t="n"/>
    </row>
    <row r="609" customFormat="1" s="100">
      <c r="A609" s="16" t="n"/>
      <c r="C609" s="19" t="n"/>
      <c r="D609" s="19" t="n"/>
    </row>
    <row r="610" customFormat="1" s="100">
      <c r="A610" s="16" t="n"/>
      <c r="C610" s="19" t="n"/>
      <c r="D610" s="19" t="n"/>
    </row>
    <row r="611" customFormat="1" s="100">
      <c r="A611" s="16" t="n"/>
      <c r="C611" s="19" t="n"/>
      <c r="D611" s="19" t="n"/>
    </row>
    <row r="612" customFormat="1" s="100">
      <c r="A612" s="16" t="n"/>
      <c r="C612" s="19" t="n"/>
      <c r="D612" s="19" t="n"/>
    </row>
    <row r="613" customFormat="1" s="100">
      <c r="A613" s="16" t="n"/>
      <c r="C613" s="19" t="n"/>
      <c r="D613" s="19" t="n"/>
    </row>
    <row r="614" customFormat="1" s="100">
      <c r="A614" s="16" t="n"/>
      <c r="C614" s="19" t="n"/>
      <c r="D614" s="19" t="n"/>
    </row>
    <row r="615" customFormat="1" s="100">
      <c r="A615" s="16" t="n"/>
      <c r="C615" s="19" t="n"/>
      <c r="D615" s="19" t="n"/>
    </row>
    <row r="616" customFormat="1" s="100">
      <c r="A616" s="16" t="n"/>
      <c r="C616" s="19" t="n"/>
      <c r="D616" s="19" t="n"/>
    </row>
    <row r="617" customFormat="1" s="100">
      <c r="A617" s="16" t="n"/>
      <c r="C617" s="19" t="n"/>
      <c r="D617" s="19" t="n"/>
    </row>
    <row r="618" customFormat="1" s="100">
      <c r="A618" s="16" t="n"/>
      <c r="C618" s="19" t="n"/>
      <c r="D618" s="19" t="n"/>
    </row>
    <row r="619" customFormat="1" s="100">
      <c r="A619" s="16" t="n"/>
      <c r="C619" s="19" t="n"/>
      <c r="D619" s="19" t="n"/>
    </row>
    <row r="620" customFormat="1" s="100">
      <c r="A620" s="16" t="n"/>
      <c r="C620" s="19" t="n"/>
      <c r="D620" s="19" t="n"/>
    </row>
    <row r="621" customFormat="1" s="100">
      <c r="A621" s="16" t="n"/>
      <c r="C621" s="19" t="n"/>
      <c r="D621" s="19" t="n"/>
    </row>
    <row r="622" customFormat="1" s="100">
      <c r="A622" s="16" t="n"/>
      <c r="C622" s="19" t="n"/>
      <c r="D622" s="19" t="n"/>
    </row>
    <row r="623" customFormat="1" s="100">
      <c r="A623" s="16" t="n"/>
      <c r="C623" s="19" t="n"/>
      <c r="D623" s="19" t="n"/>
    </row>
    <row r="624" customFormat="1" s="100">
      <c r="A624" s="16" t="n"/>
      <c r="C624" s="19" t="n"/>
      <c r="D624" s="19" t="n"/>
    </row>
    <row r="625" customFormat="1" s="100">
      <c r="A625" s="16" t="n"/>
      <c r="C625" s="19" t="n"/>
      <c r="D625" s="19" t="n"/>
    </row>
    <row r="626" customFormat="1" s="100">
      <c r="A626" s="16" t="n"/>
      <c r="C626" s="19" t="n"/>
      <c r="D626" s="19" t="n"/>
    </row>
    <row r="627" customFormat="1" s="100">
      <c r="A627" s="16" t="n"/>
      <c r="C627" s="19" t="n"/>
      <c r="D627" s="19" t="n"/>
    </row>
    <row r="628" customFormat="1" s="100">
      <c r="A628" s="16" t="n"/>
      <c r="C628" s="19" t="n"/>
      <c r="D628" s="19" t="n"/>
    </row>
    <row r="629" customFormat="1" s="100">
      <c r="A629" s="16" t="n"/>
      <c r="C629" s="19" t="n"/>
      <c r="D629" s="19" t="n"/>
    </row>
    <row r="630" customFormat="1" s="100">
      <c r="A630" s="16" t="n"/>
      <c r="C630" s="19" t="n"/>
      <c r="D630" s="19" t="n"/>
    </row>
    <row r="631" customFormat="1" s="100">
      <c r="A631" s="16" t="n"/>
      <c r="C631" s="19" t="n"/>
      <c r="D631" s="19" t="n"/>
    </row>
    <row r="632" customFormat="1" s="100">
      <c r="A632" s="16" t="n"/>
      <c r="C632" s="19" t="n"/>
      <c r="D632" s="19" t="n"/>
    </row>
    <row r="633" customFormat="1" s="100">
      <c r="A633" s="16" t="n"/>
      <c r="C633" s="19" t="n"/>
      <c r="D633" s="19" t="n"/>
    </row>
    <row r="634" customFormat="1" s="100">
      <c r="A634" s="16" t="n"/>
      <c r="C634" s="19" t="n"/>
      <c r="D634" s="19" t="n"/>
    </row>
    <row r="635" customFormat="1" s="100">
      <c r="A635" s="16" t="n"/>
      <c r="C635" s="19" t="n"/>
      <c r="D635" s="19" t="n"/>
    </row>
    <row r="636" customFormat="1" s="100">
      <c r="A636" s="16" t="n"/>
      <c r="C636" s="19" t="n"/>
      <c r="D636" s="19" t="n"/>
    </row>
    <row r="637" customFormat="1" s="100">
      <c r="A637" s="16" t="n"/>
      <c r="C637" s="19" t="n"/>
      <c r="D637" s="19" t="n"/>
    </row>
    <row r="638" customFormat="1" s="100">
      <c r="A638" s="16" t="n"/>
      <c r="C638" s="19" t="n"/>
      <c r="D638" s="19" t="n"/>
    </row>
    <row r="639" customFormat="1" s="100">
      <c r="A639" s="16" t="n"/>
      <c r="C639" s="19" t="n"/>
      <c r="D639" s="19" t="n"/>
    </row>
    <row r="640" customFormat="1" s="100">
      <c r="A640" s="16" t="n"/>
      <c r="C640" s="19" t="n"/>
      <c r="D640" s="19" t="n"/>
    </row>
    <row r="641" customFormat="1" s="100">
      <c r="A641" s="16" t="n"/>
      <c r="C641" s="19" t="n"/>
      <c r="D641" s="19" t="n"/>
    </row>
    <row r="642" customFormat="1" s="100">
      <c r="A642" s="16" t="n"/>
      <c r="C642" s="19" t="n"/>
      <c r="D642" s="19" t="n"/>
    </row>
    <row r="643" customFormat="1" s="100">
      <c r="A643" s="16" t="n"/>
      <c r="C643" s="19" t="n"/>
      <c r="D643" s="19" t="n"/>
    </row>
    <row r="644" customFormat="1" s="100">
      <c r="A644" s="16" t="n"/>
      <c r="C644" s="19" t="n"/>
      <c r="D644" s="19" t="n"/>
    </row>
    <row r="645" customFormat="1" s="100">
      <c r="A645" s="16" t="n"/>
      <c r="C645" s="19" t="n"/>
      <c r="D645" s="19" t="n"/>
    </row>
    <row r="646" customFormat="1" s="100">
      <c r="A646" s="16" t="n"/>
      <c r="C646" s="19" t="n"/>
      <c r="D646" s="19" t="n"/>
    </row>
    <row r="647" customFormat="1" s="100">
      <c r="A647" s="16" t="n"/>
      <c r="C647" s="19" t="n"/>
      <c r="D647" s="19" t="n"/>
    </row>
    <row r="648" customFormat="1" s="100">
      <c r="A648" s="16" t="n"/>
      <c r="C648" s="19" t="n"/>
      <c r="D648" s="19" t="n"/>
    </row>
    <row r="649" customFormat="1" s="100">
      <c r="A649" s="16" t="n"/>
      <c r="C649" s="19" t="n"/>
      <c r="D649" s="19" t="n"/>
    </row>
    <row r="650" customFormat="1" s="100">
      <c r="A650" s="16" t="n"/>
      <c r="C650" s="19" t="n"/>
      <c r="D650" s="19" t="n"/>
    </row>
    <row r="651" customFormat="1" s="100">
      <c r="A651" s="16" t="n"/>
      <c r="C651" s="19" t="n"/>
      <c r="D651" s="19" t="n"/>
    </row>
    <row r="652" customFormat="1" s="100">
      <c r="A652" s="16" t="n"/>
      <c r="C652" s="19" t="n"/>
      <c r="D652" s="19" t="n"/>
    </row>
    <row r="653" customFormat="1" s="100">
      <c r="A653" s="16" t="n"/>
      <c r="C653" s="19" t="n"/>
      <c r="D653" s="19" t="n"/>
    </row>
    <row r="654" customFormat="1" s="100">
      <c r="A654" s="16" t="n"/>
      <c r="C654" s="19" t="n"/>
      <c r="D654" s="19" t="n"/>
    </row>
    <row r="655" customFormat="1" s="100">
      <c r="A655" s="16" t="n"/>
      <c r="C655" s="19" t="n"/>
      <c r="D655" s="19" t="n"/>
    </row>
    <row r="656" customFormat="1" s="100">
      <c r="A656" s="16" t="n"/>
      <c r="C656" s="19" t="n"/>
      <c r="D656" s="19" t="n"/>
    </row>
    <row r="657" customFormat="1" s="100">
      <c r="A657" s="16" t="n"/>
      <c r="C657" s="19" t="n"/>
      <c r="D657" s="19" t="n"/>
    </row>
    <row r="658" customFormat="1" s="100">
      <c r="A658" s="16" t="n"/>
      <c r="C658" s="19" t="n"/>
      <c r="D658" s="19" t="n"/>
    </row>
    <row r="659" customFormat="1" s="100">
      <c r="A659" s="16" t="n"/>
      <c r="C659" s="19" t="n"/>
      <c r="D659" s="19" t="n"/>
    </row>
    <row r="660" customFormat="1" s="100">
      <c r="A660" s="16" t="n"/>
      <c r="C660" s="19" t="n"/>
      <c r="D660" s="19" t="n"/>
    </row>
    <row r="661" customFormat="1" s="100">
      <c r="A661" s="16" t="n"/>
      <c r="C661" s="19" t="n"/>
      <c r="D661" s="19" t="n"/>
    </row>
    <row r="662" customFormat="1" s="100">
      <c r="A662" s="16" t="n"/>
      <c r="C662" s="19" t="n"/>
      <c r="D662" s="19" t="n"/>
    </row>
    <row r="663" customFormat="1" s="100">
      <c r="A663" s="16" t="n"/>
      <c r="C663" s="19" t="n"/>
      <c r="D663" s="19" t="n"/>
    </row>
    <row r="664" customFormat="1" s="100">
      <c r="A664" s="16" t="n"/>
      <c r="C664" s="19" t="n"/>
      <c r="D664" s="19" t="n"/>
    </row>
    <row r="665" customFormat="1" s="100">
      <c r="A665" s="16" t="n"/>
      <c r="C665" s="19" t="n"/>
      <c r="D665" s="19" t="n"/>
    </row>
    <row r="666" customFormat="1" s="100">
      <c r="A666" s="16" t="n"/>
      <c r="C666" s="19" t="n"/>
      <c r="D666" s="19" t="n"/>
    </row>
    <row r="667" customFormat="1" s="100">
      <c r="A667" s="16" t="n"/>
      <c r="C667" s="19" t="n"/>
      <c r="D667" s="19" t="n"/>
    </row>
    <row r="668" customFormat="1" s="100">
      <c r="A668" s="16" t="n"/>
      <c r="C668" s="19" t="n"/>
      <c r="D668" s="19" t="n"/>
    </row>
    <row r="669" customFormat="1" s="100">
      <c r="A669" s="16" t="n"/>
      <c r="C669" s="19" t="n"/>
      <c r="D669" s="19" t="n"/>
    </row>
    <row r="670" customFormat="1" s="100">
      <c r="A670" s="16" t="n"/>
      <c r="C670" s="19" t="n"/>
      <c r="D670" s="19" t="n"/>
    </row>
    <row r="671" customFormat="1" s="100">
      <c r="A671" s="16" t="n"/>
      <c r="C671" s="19" t="n"/>
      <c r="D671" s="19" t="n"/>
    </row>
    <row r="672" customFormat="1" s="100">
      <c r="A672" s="16" t="n"/>
      <c r="C672" s="19" t="n"/>
      <c r="D672" s="19" t="n"/>
    </row>
    <row r="673" customFormat="1" s="100">
      <c r="A673" s="16" t="n"/>
      <c r="C673" s="19" t="n"/>
      <c r="D673" s="19" t="n"/>
    </row>
    <row r="674" customFormat="1" s="100">
      <c r="A674" s="16" t="n"/>
      <c r="C674" s="19" t="n"/>
      <c r="D674" s="19" t="n"/>
    </row>
    <row r="675" customFormat="1" s="100">
      <c r="A675" s="16" t="n"/>
      <c r="C675" s="19" t="n"/>
      <c r="D675" s="19" t="n"/>
    </row>
    <row r="676" customFormat="1" s="100">
      <c r="A676" s="16" t="n"/>
      <c r="C676" s="19" t="n"/>
      <c r="D676" s="19" t="n"/>
    </row>
    <row r="677" customFormat="1" s="100">
      <c r="A677" s="16" t="n"/>
      <c r="C677" s="19" t="n"/>
      <c r="D677" s="19" t="n"/>
    </row>
    <row r="678" customFormat="1" s="100">
      <c r="A678" s="16" t="n"/>
      <c r="C678" s="19" t="n"/>
      <c r="D678" s="19" t="n"/>
    </row>
    <row r="679" customFormat="1" s="100">
      <c r="A679" s="16" t="n"/>
      <c r="C679" s="19" t="n"/>
      <c r="D679" s="19" t="n"/>
    </row>
    <row r="680" customFormat="1" s="100">
      <c r="A680" s="16" t="n"/>
      <c r="C680" s="19" t="n"/>
      <c r="D680" s="19" t="n"/>
    </row>
    <row r="681" customFormat="1" s="100">
      <c r="A681" s="16" t="n"/>
      <c r="C681" s="19" t="n"/>
      <c r="D681" s="19" t="n"/>
    </row>
    <row r="682" customFormat="1" s="100">
      <c r="A682" s="16" t="n"/>
      <c r="C682" s="19" t="n"/>
      <c r="D682" s="19" t="n"/>
    </row>
    <row r="683" customFormat="1" s="100">
      <c r="A683" s="16" t="n"/>
      <c r="C683" s="19" t="n"/>
      <c r="D683" s="19" t="n"/>
    </row>
    <row r="684" customFormat="1" s="100">
      <c r="A684" s="16" t="n"/>
      <c r="C684" s="19" t="n"/>
      <c r="D684" s="19" t="n"/>
    </row>
    <row r="685" customFormat="1" s="100">
      <c r="A685" s="16" t="n"/>
      <c r="C685" s="19" t="n"/>
      <c r="D685" s="19" t="n"/>
    </row>
    <row r="686" customFormat="1" s="100">
      <c r="A686" s="16" t="n"/>
      <c r="C686" s="19" t="n"/>
      <c r="D686" s="19" t="n"/>
    </row>
    <row r="687" customFormat="1" s="100">
      <c r="A687" s="16" t="n"/>
      <c r="C687" s="19" t="n"/>
      <c r="D687" s="19" t="n"/>
    </row>
    <row r="688" customFormat="1" s="100">
      <c r="A688" s="16" t="n"/>
      <c r="C688" s="19" t="n"/>
      <c r="D688" s="19" t="n"/>
    </row>
    <row r="689" customFormat="1" s="100">
      <c r="A689" s="16" t="n"/>
      <c r="C689" s="19" t="n"/>
      <c r="D689" s="19" t="n"/>
    </row>
    <row r="690" customFormat="1" s="100">
      <c r="A690" s="16" t="n"/>
      <c r="C690" s="19" t="n"/>
      <c r="D690" s="19" t="n"/>
    </row>
    <row r="691" customFormat="1" s="100">
      <c r="A691" s="16" t="n"/>
      <c r="C691" s="19" t="n"/>
      <c r="D691" s="19" t="n"/>
    </row>
    <row r="692" customFormat="1" s="100">
      <c r="A692" s="16" t="n"/>
      <c r="C692" s="19" t="n"/>
      <c r="D692" s="19" t="n"/>
    </row>
    <row r="693" customFormat="1" s="100">
      <c r="A693" s="16" t="n"/>
      <c r="C693" s="19" t="n"/>
      <c r="D693" s="19" t="n"/>
    </row>
    <row r="694" customFormat="1" s="100">
      <c r="A694" s="16" t="n"/>
      <c r="C694" s="19" t="n"/>
      <c r="D694" s="19" t="n"/>
    </row>
    <row r="695" customFormat="1" s="100">
      <c r="A695" s="16" t="n"/>
      <c r="C695" s="19" t="n"/>
      <c r="D695" s="19" t="n"/>
    </row>
    <row r="696" customFormat="1" s="100">
      <c r="A696" s="16" t="n"/>
      <c r="C696" s="19" t="n"/>
      <c r="D696" s="19" t="n"/>
    </row>
    <row r="697" customFormat="1" s="100">
      <c r="A697" s="16" t="n"/>
      <c r="C697" s="19" t="n"/>
      <c r="D697" s="19" t="n"/>
    </row>
    <row r="698" customFormat="1" s="100">
      <c r="A698" s="16" t="n"/>
      <c r="C698" s="19" t="n"/>
      <c r="D698" s="19" t="n"/>
    </row>
    <row r="699" customFormat="1" s="100">
      <c r="A699" s="16" t="n"/>
      <c r="C699" s="19" t="n"/>
      <c r="D699" s="19" t="n"/>
    </row>
    <row r="700" customFormat="1" s="100">
      <c r="A700" s="16" t="n"/>
      <c r="C700" s="19" t="n"/>
      <c r="D700" s="19" t="n"/>
    </row>
    <row r="701" customFormat="1" s="100">
      <c r="A701" s="16" t="n"/>
      <c r="C701" s="19" t="n"/>
      <c r="D701" s="19" t="n"/>
    </row>
    <row r="702" customFormat="1" s="100">
      <c r="A702" s="16" t="n"/>
      <c r="C702" s="19" t="n"/>
      <c r="D702" s="19" t="n"/>
    </row>
    <row r="703" customFormat="1" s="100">
      <c r="A703" s="16" t="n"/>
      <c r="C703" s="19" t="n"/>
      <c r="D703" s="19" t="n"/>
    </row>
    <row r="704" customFormat="1" s="100">
      <c r="A704" s="16" t="n"/>
      <c r="C704" s="19" t="n"/>
      <c r="D704" s="19" t="n"/>
    </row>
    <row r="705" customFormat="1" s="100">
      <c r="A705" s="16" t="n"/>
      <c r="C705" s="19" t="n"/>
      <c r="D705" s="19" t="n"/>
    </row>
    <row r="706" customFormat="1" s="100">
      <c r="A706" s="16" t="n"/>
      <c r="C706" s="19" t="n"/>
      <c r="D706" s="19" t="n"/>
    </row>
    <row r="707" customFormat="1" s="100">
      <c r="A707" s="16" t="n"/>
      <c r="C707" s="19" t="n"/>
      <c r="D707" s="19" t="n"/>
    </row>
    <row r="708" customFormat="1" s="100">
      <c r="A708" s="16" t="n"/>
      <c r="C708" s="19" t="n"/>
      <c r="D708" s="19" t="n"/>
    </row>
    <row r="709" customFormat="1" s="100">
      <c r="A709" s="16" t="n"/>
      <c r="C709" s="19" t="n"/>
      <c r="D709" s="19" t="n"/>
    </row>
    <row r="710" customFormat="1" s="100">
      <c r="A710" s="16" t="n"/>
      <c r="C710" s="19" t="n"/>
      <c r="D710" s="19" t="n"/>
    </row>
    <row r="711" customFormat="1" s="100">
      <c r="A711" s="16" t="n"/>
      <c r="C711" s="19" t="n"/>
      <c r="D711" s="19" t="n"/>
    </row>
    <row r="712" customFormat="1" s="100">
      <c r="A712" s="16" t="n"/>
      <c r="C712" s="19" t="n"/>
      <c r="D712" s="19" t="n"/>
    </row>
    <row r="713" customFormat="1" s="100">
      <c r="A713" s="16" t="n"/>
      <c r="C713" s="19" t="n"/>
      <c r="D713" s="19" t="n"/>
    </row>
    <row r="714" customFormat="1" s="100">
      <c r="A714" s="16" t="n"/>
      <c r="C714" s="19" t="n"/>
      <c r="D714" s="19" t="n"/>
    </row>
    <row r="715" customFormat="1" s="100">
      <c r="A715" s="16" t="n"/>
      <c r="C715" s="19" t="n"/>
      <c r="D715" s="19" t="n"/>
    </row>
    <row r="716" customFormat="1" s="100">
      <c r="A716" s="16" t="n"/>
      <c r="C716" s="19" t="n"/>
      <c r="D716" s="19" t="n"/>
    </row>
    <row r="717" customFormat="1" s="100">
      <c r="A717" s="16" t="n"/>
      <c r="C717" s="19" t="n"/>
      <c r="D717" s="19" t="n"/>
    </row>
    <row r="718" customFormat="1" s="100">
      <c r="A718" s="16" t="n"/>
      <c r="C718" s="19" t="n"/>
      <c r="D718" s="19" t="n"/>
    </row>
    <row r="719" customFormat="1" s="100">
      <c r="A719" s="16" t="n"/>
      <c r="C719" s="19" t="n"/>
      <c r="D719" s="19" t="n"/>
    </row>
    <row r="720" customFormat="1" s="100">
      <c r="A720" s="16" t="n"/>
      <c r="C720" s="19" t="n"/>
      <c r="D720" s="19" t="n"/>
    </row>
    <row r="721" customFormat="1" s="100">
      <c r="A721" s="16" t="n"/>
      <c r="C721" s="19" t="n"/>
      <c r="D721" s="19" t="n"/>
    </row>
    <row r="722" customFormat="1" s="100">
      <c r="A722" s="16" t="n"/>
      <c r="C722" s="19" t="n"/>
      <c r="D722" s="19" t="n"/>
    </row>
    <row r="723" customFormat="1" s="100">
      <c r="A723" s="16" t="n"/>
      <c r="C723" s="19" t="n"/>
      <c r="D723" s="19" t="n"/>
    </row>
    <row r="724" customFormat="1" s="100">
      <c r="A724" s="16" t="n"/>
      <c r="C724" s="19" t="n"/>
      <c r="D724" s="19" t="n"/>
    </row>
    <row r="725" customFormat="1" s="100">
      <c r="A725" s="16" t="n"/>
      <c r="C725" s="19" t="n"/>
      <c r="D725" s="19" t="n"/>
    </row>
    <row r="726" customFormat="1" s="100">
      <c r="A726" s="16" t="n"/>
      <c r="C726" s="19" t="n"/>
      <c r="D726" s="19" t="n"/>
    </row>
    <row r="727" customFormat="1" s="100">
      <c r="A727" s="16" t="n"/>
      <c r="C727" s="19" t="n"/>
      <c r="D727" s="19" t="n"/>
    </row>
    <row r="728" customFormat="1" s="100">
      <c r="A728" s="16" t="n"/>
      <c r="C728" s="19" t="n"/>
      <c r="D728" s="19" t="n"/>
    </row>
    <row r="729" customFormat="1" s="100">
      <c r="A729" s="16" t="n"/>
      <c r="C729" s="19" t="n"/>
      <c r="D729" s="19" t="n"/>
    </row>
    <row r="730" customFormat="1" s="100">
      <c r="A730" s="16" t="n"/>
      <c r="C730" s="19" t="n"/>
      <c r="D730" s="19" t="n"/>
    </row>
    <row r="731" customFormat="1" s="100">
      <c r="A731" s="16" t="n"/>
      <c r="C731" s="19" t="n"/>
      <c r="D731" s="19" t="n"/>
    </row>
    <row r="732" customFormat="1" s="100">
      <c r="A732" s="16" t="n"/>
      <c r="C732" s="19" t="n"/>
      <c r="D732" s="19" t="n"/>
    </row>
    <row r="733" customFormat="1" s="100">
      <c r="A733" s="16" t="n"/>
      <c r="C733" s="19" t="n"/>
      <c r="D733" s="19" t="n"/>
    </row>
    <row r="734" customFormat="1" s="100">
      <c r="A734" s="16" t="n"/>
      <c r="C734" s="19" t="n"/>
      <c r="D734" s="19" t="n"/>
    </row>
    <row r="735" customFormat="1" s="100">
      <c r="A735" s="16" t="n"/>
      <c r="C735" s="19" t="n"/>
      <c r="D735" s="19" t="n"/>
    </row>
    <row r="736" customFormat="1" s="100">
      <c r="A736" s="16" t="n"/>
      <c r="C736" s="19" t="n"/>
      <c r="D736" s="19" t="n"/>
    </row>
    <row r="737" customFormat="1" s="100">
      <c r="A737" s="16" t="n"/>
      <c r="C737" s="19" t="n"/>
      <c r="D737" s="19" t="n"/>
    </row>
    <row r="738" customFormat="1" s="100">
      <c r="A738" s="16" t="n"/>
      <c r="C738" s="19" t="n"/>
      <c r="D738" s="19" t="n"/>
    </row>
    <row r="739" customFormat="1" s="100">
      <c r="A739" s="16" t="n"/>
      <c r="C739" s="19" t="n"/>
      <c r="D739" s="19" t="n"/>
    </row>
    <row r="740" customFormat="1" s="100">
      <c r="A740" s="16" t="n"/>
      <c r="C740" s="19" t="n"/>
      <c r="D740" s="19" t="n"/>
    </row>
    <row r="741" customFormat="1" s="100">
      <c r="A741" s="16" t="n"/>
      <c r="C741" s="19" t="n"/>
      <c r="D741" s="19" t="n"/>
    </row>
    <row r="742" customFormat="1" s="100">
      <c r="A742" s="16" t="n"/>
      <c r="C742" s="19" t="n"/>
      <c r="D742" s="19" t="n"/>
    </row>
    <row r="743" customFormat="1" s="100">
      <c r="A743" s="16" t="n"/>
      <c r="C743" s="19" t="n"/>
      <c r="D743" s="19" t="n"/>
    </row>
    <row r="744" customFormat="1" s="100">
      <c r="A744" s="16" t="n"/>
      <c r="C744" s="19" t="n"/>
      <c r="D744" s="19" t="n"/>
    </row>
    <row r="745" customFormat="1" s="100">
      <c r="A745" s="16" t="n"/>
      <c r="C745" s="19" t="n"/>
      <c r="D745" s="19" t="n"/>
    </row>
    <row r="746" customFormat="1" s="100">
      <c r="A746" s="16" t="n"/>
      <c r="C746" s="19" t="n"/>
      <c r="D746" s="19" t="n"/>
    </row>
    <row r="747" customFormat="1" s="100">
      <c r="A747" s="16" t="n"/>
      <c r="C747" s="19" t="n"/>
      <c r="D747" s="19" t="n"/>
    </row>
    <row r="748" customFormat="1" s="100">
      <c r="A748" s="16" t="n"/>
      <c r="C748" s="19" t="n"/>
      <c r="D748" s="19" t="n"/>
    </row>
    <row r="749" customFormat="1" s="100">
      <c r="A749" s="16" t="n"/>
      <c r="C749" s="19" t="n"/>
      <c r="D749" s="19" t="n"/>
    </row>
    <row r="750" customFormat="1" s="100">
      <c r="A750" s="16" t="n"/>
      <c r="C750" s="19" t="n"/>
      <c r="D750" s="19" t="n"/>
    </row>
    <row r="751" customFormat="1" s="100">
      <c r="A751" s="16" t="n"/>
      <c r="C751" s="19" t="n"/>
      <c r="D751" s="19" t="n"/>
    </row>
    <row r="752" customFormat="1" s="100">
      <c r="A752" s="16" t="n"/>
      <c r="C752" s="19" t="n"/>
      <c r="D752" s="19" t="n"/>
    </row>
    <row r="753" customFormat="1" s="100">
      <c r="A753" s="16" t="n"/>
      <c r="C753" s="19" t="n"/>
      <c r="D753" s="19" t="n"/>
    </row>
    <row r="754" customFormat="1" s="100">
      <c r="A754" s="16" t="n"/>
      <c r="C754" s="19" t="n"/>
      <c r="D754" s="19" t="n"/>
    </row>
    <row r="755" customFormat="1" s="100">
      <c r="A755" s="16" t="n"/>
      <c r="C755" s="19" t="n"/>
      <c r="D755" s="19" t="n"/>
    </row>
    <row r="756" customFormat="1" s="100">
      <c r="A756" s="16" t="n"/>
      <c r="C756" s="19" t="n"/>
      <c r="D756" s="19" t="n"/>
    </row>
    <row r="757" customFormat="1" s="100">
      <c r="A757" s="16" t="n"/>
      <c r="C757" s="19" t="n"/>
      <c r="D757" s="19" t="n"/>
    </row>
    <row r="758" customFormat="1" s="100">
      <c r="A758" s="16" t="n"/>
      <c r="C758" s="19" t="n"/>
      <c r="D758" s="19" t="n"/>
    </row>
    <row r="759" customFormat="1" s="100">
      <c r="A759" s="16" t="n"/>
      <c r="C759" s="19" t="n"/>
      <c r="D759" s="19" t="n"/>
    </row>
    <row r="760" customFormat="1" s="100">
      <c r="A760" s="16" t="n"/>
      <c r="C760" s="19" t="n"/>
      <c r="D760" s="19" t="n"/>
    </row>
    <row r="761" customFormat="1" s="100">
      <c r="A761" s="16" t="n"/>
      <c r="C761" s="19" t="n"/>
      <c r="D761" s="19" t="n"/>
    </row>
    <row r="762" customFormat="1" s="100">
      <c r="A762" s="16" t="n"/>
      <c r="C762" s="19" t="n"/>
      <c r="D762" s="19" t="n"/>
    </row>
    <row r="763" customFormat="1" s="100">
      <c r="A763" s="16" t="n"/>
      <c r="C763" s="19" t="n"/>
      <c r="D763" s="19" t="n"/>
    </row>
    <row r="764" customFormat="1" s="100">
      <c r="A764" s="16" t="n"/>
      <c r="C764" s="19" t="n"/>
      <c r="D764" s="19" t="n"/>
    </row>
    <row r="765" customFormat="1" s="100">
      <c r="A765" s="16" t="n"/>
      <c r="C765" s="19" t="n"/>
      <c r="D765" s="19" t="n"/>
    </row>
    <row r="766" customFormat="1" s="100">
      <c r="A766" s="16" t="n"/>
      <c r="C766" s="19" t="n"/>
      <c r="D766" s="19" t="n"/>
    </row>
    <row r="767" customFormat="1" s="100">
      <c r="A767" s="16" t="n"/>
      <c r="C767" s="19" t="n"/>
      <c r="D767" s="19" t="n"/>
    </row>
    <row r="768" customFormat="1" s="100">
      <c r="A768" s="16" t="n"/>
      <c r="C768" s="19" t="n"/>
      <c r="D768" s="19" t="n"/>
    </row>
    <row r="769" customFormat="1" s="100">
      <c r="A769" s="16" t="n"/>
      <c r="C769" s="19" t="n"/>
      <c r="D769" s="19" t="n"/>
    </row>
    <row r="770" customFormat="1" s="100">
      <c r="A770" s="16" t="n"/>
      <c r="C770" s="19" t="n"/>
      <c r="D770" s="19" t="n"/>
    </row>
    <row r="771" customFormat="1" s="100">
      <c r="A771" s="16" t="n"/>
      <c r="C771" s="19" t="n"/>
      <c r="D771" s="19" t="n"/>
    </row>
    <row r="772" customFormat="1" s="100">
      <c r="A772" s="16" t="n"/>
      <c r="C772" s="19" t="n"/>
      <c r="D772" s="19" t="n"/>
    </row>
    <row r="773" customFormat="1" s="100">
      <c r="A773" s="16" t="n"/>
      <c r="C773" s="19" t="n"/>
      <c r="D773" s="19" t="n"/>
    </row>
    <row r="774" customFormat="1" s="100">
      <c r="A774" s="16" t="n"/>
      <c r="C774" s="19" t="n"/>
      <c r="D774" s="19" t="n"/>
    </row>
    <row r="775" customFormat="1" s="100">
      <c r="A775" s="16" t="n"/>
      <c r="C775" s="19" t="n"/>
      <c r="D775" s="19" t="n"/>
    </row>
    <row r="776" customFormat="1" s="100">
      <c r="A776" s="16" t="n"/>
      <c r="C776" s="19" t="n"/>
      <c r="D776" s="19" t="n"/>
    </row>
    <row r="777" customFormat="1" s="100">
      <c r="A777" s="16" t="n"/>
      <c r="C777" s="19" t="n"/>
      <c r="D777" s="19" t="n"/>
    </row>
    <row r="778" customFormat="1" s="100">
      <c r="A778" s="16" t="n"/>
      <c r="C778" s="19" t="n"/>
      <c r="D778" s="19" t="n"/>
    </row>
    <row r="779" customFormat="1" s="100">
      <c r="A779" s="16" t="n"/>
      <c r="C779" s="19" t="n"/>
      <c r="D779" s="19" t="n"/>
    </row>
    <row r="780" customFormat="1" s="100">
      <c r="A780" s="16" t="n"/>
      <c r="C780" s="19" t="n"/>
      <c r="D780" s="19" t="n"/>
    </row>
    <row r="781" customFormat="1" s="100">
      <c r="A781" s="16" t="n"/>
      <c r="C781" s="19" t="n"/>
      <c r="D781" s="19" t="n"/>
    </row>
    <row r="782" customFormat="1" s="100">
      <c r="A782" s="16" t="n"/>
      <c r="C782" s="19" t="n"/>
      <c r="D782" s="19" t="n"/>
    </row>
    <row r="783" customFormat="1" s="100">
      <c r="A783" s="16" t="n"/>
      <c r="C783" s="19" t="n"/>
      <c r="D783" s="19" t="n"/>
    </row>
    <row r="784" customFormat="1" s="100">
      <c r="A784" s="16" t="n"/>
      <c r="C784" s="19" t="n"/>
      <c r="D784" s="19" t="n"/>
    </row>
    <row r="785" customFormat="1" s="100">
      <c r="A785" s="16" t="n"/>
      <c r="C785" s="19" t="n"/>
      <c r="D785" s="19" t="n"/>
    </row>
    <row r="786" customFormat="1" s="100">
      <c r="A786" s="16" t="n"/>
      <c r="C786" s="19" t="n"/>
      <c r="D786" s="19" t="n"/>
    </row>
    <row r="787" customFormat="1" s="100">
      <c r="A787" s="16" t="n"/>
      <c r="C787" s="19" t="n"/>
      <c r="D787" s="19" t="n"/>
    </row>
    <row r="788" customFormat="1" s="100">
      <c r="A788" s="16" t="n"/>
      <c r="C788" s="19" t="n"/>
      <c r="D788" s="19" t="n"/>
    </row>
    <row r="789" customFormat="1" s="100">
      <c r="A789" s="16" t="n"/>
      <c r="C789" s="19" t="n"/>
      <c r="D789" s="19" t="n"/>
    </row>
    <row r="790" customFormat="1" s="100">
      <c r="A790" s="16" t="n"/>
      <c r="C790" s="19" t="n"/>
      <c r="D790" s="19" t="n"/>
    </row>
    <row r="791" customFormat="1" s="100">
      <c r="A791" s="16" t="n"/>
      <c r="C791" s="19" t="n"/>
      <c r="D791" s="19" t="n"/>
    </row>
    <row r="792" customFormat="1" s="100">
      <c r="A792" s="16" t="n"/>
      <c r="C792" s="19" t="n"/>
      <c r="D792" s="19" t="n"/>
    </row>
    <row r="793" customFormat="1" s="100">
      <c r="A793" s="16" t="n"/>
      <c r="C793" s="19" t="n"/>
      <c r="D793" s="19" t="n"/>
    </row>
    <row r="794" customFormat="1" s="100">
      <c r="A794" s="16" t="n"/>
      <c r="C794" s="19" t="n"/>
      <c r="D794" s="19" t="n"/>
    </row>
    <row r="795" customFormat="1" s="100">
      <c r="A795" s="16" t="n"/>
      <c r="C795" s="19" t="n"/>
      <c r="D795" s="19" t="n"/>
    </row>
    <row r="796" customFormat="1" s="100">
      <c r="A796" s="16" t="n"/>
      <c r="C796" s="19" t="n"/>
      <c r="D796" s="19" t="n"/>
    </row>
    <row r="797" customFormat="1" s="100">
      <c r="A797" s="16" t="n"/>
      <c r="C797" s="19" t="n"/>
      <c r="D797" s="19" t="n"/>
    </row>
    <row r="798" customFormat="1" s="100">
      <c r="A798" s="16" t="n"/>
      <c r="C798" s="19" t="n"/>
      <c r="D798" s="19" t="n"/>
    </row>
    <row r="799" customFormat="1" s="100">
      <c r="A799" s="16" t="n"/>
      <c r="C799" s="19" t="n"/>
      <c r="D799" s="19" t="n"/>
    </row>
    <row r="800" customFormat="1" s="100">
      <c r="A800" s="16" t="n"/>
      <c r="C800" s="19" t="n"/>
      <c r="D800" s="19" t="n"/>
    </row>
    <row r="801" customFormat="1" s="100">
      <c r="A801" s="16" t="n"/>
      <c r="C801" s="19" t="n"/>
      <c r="D801" s="19" t="n"/>
    </row>
    <row r="802" customFormat="1" s="100">
      <c r="A802" s="16" t="n"/>
      <c r="C802" s="19" t="n"/>
      <c r="D802" s="19" t="n"/>
    </row>
    <row r="803" customFormat="1" s="100">
      <c r="A803" s="16" t="n"/>
      <c r="C803" s="19" t="n"/>
      <c r="D803" s="19" t="n"/>
    </row>
    <row r="804" customFormat="1" s="100">
      <c r="A804" s="16" t="n"/>
      <c r="C804" s="19" t="n"/>
      <c r="D804" s="19" t="n"/>
    </row>
    <row r="805" customFormat="1" s="100">
      <c r="A805" s="16" t="n"/>
      <c r="C805" s="19" t="n"/>
      <c r="D805" s="19" t="n"/>
    </row>
    <row r="806" customFormat="1" s="100">
      <c r="A806" s="16" t="n"/>
      <c r="C806" s="19" t="n"/>
      <c r="D806" s="19" t="n"/>
    </row>
    <row r="807" customFormat="1" s="100">
      <c r="A807" s="16" t="n"/>
      <c r="C807" s="19" t="n"/>
      <c r="D807" s="19" t="n"/>
    </row>
    <row r="808" customFormat="1" s="100">
      <c r="A808" s="16" t="n"/>
      <c r="C808" s="19" t="n"/>
      <c r="D808" s="19" t="n"/>
    </row>
    <row r="809" customFormat="1" s="100">
      <c r="A809" s="16" t="n"/>
      <c r="C809" s="19" t="n"/>
      <c r="D809" s="19" t="n"/>
    </row>
    <row r="810" customFormat="1" s="100">
      <c r="A810" s="16" t="n"/>
      <c r="C810" s="19" t="n"/>
      <c r="D810" s="19" t="n"/>
    </row>
    <row r="811" customFormat="1" s="100">
      <c r="A811" s="16" t="n"/>
      <c r="C811" s="19" t="n"/>
      <c r="D811" s="19" t="n"/>
    </row>
    <row r="812" customFormat="1" s="100">
      <c r="A812" s="16" t="n"/>
      <c r="C812" s="19" t="n"/>
      <c r="D812" s="19" t="n"/>
    </row>
    <row r="813" customFormat="1" s="100">
      <c r="A813" s="16" t="n"/>
      <c r="C813" s="19" t="n"/>
      <c r="D813" s="19" t="n"/>
    </row>
    <row r="814" customFormat="1" s="100">
      <c r="A814" s="16" t="n"/>
      <c r="C814" s="19" t="n"/>
      <c r="D814" s="19" t="n"/>
    </row>
    <row r="815" customFormat="1" s="100">
      <c r="A815" s="16" t="n"/>
      <c r="C815" s="19" t="n"/>
      <c r="D815" s="19" t="n"/>
    </row>
    <row r="816" customFormat="1" s="100">
      <c r="A816" s="16" t="n"/>
      <c r="C816" s="19" t="n"/>
      <c r="D816" s="19" t="n"/>
    </row>
    <row r="817" customFormat="1" s="100">
      <c r="A817" s="16" t="n"/>
      <c r="C817" s="19" t="n"/>
      <c r="D817" s="19" t="n"/>
    </row>
    <row r="818" customFormat="1" s="100">
      <c r="A818" s="16" t="n"/>
      <c r="C818" s="19" t="n"/>
      <c r="D818" s="19" t="n"/>
    </row>
    <row r="819" customFormat="1" s="100">
      <c r="A819" s="16" t="n"/>
      <c r="C819" s="19" t="n"/>
      <c r="D819" s="19" t="n"/>
    </row>
    <row r="820" customFormat="1" s="100">
      <c r="A820" s="16" t="n"/>
      <c r="C820" s="19" t="n"/>
      <c r="D820" s="19" t="n"/>
    </row>
    <row r="821" customFormat="1" s="100">
      <c r="A821" s="16" t="n"/>
      <c r="C821" s="19" t="n"/>
      <c r="D821" s="19" t="n"/>
    </row>
    <row r="822" customFormat="1" s="100">
      <c r="A822" s="16" t="n"/>
      <c r="C822" s="19" t="n"/>
      <c r="D822" s="19" t="n"/>
    </row>
    <row r="823" customFormat="1" s="100">
      <c r="A823" s="16" t="n"/>
      <c r="C823" s="19" t="n"/>
      <c r="D823" s="19" t="n"/>
    </row>
    <row r="824" customFormat="1" s="100">
      <c r="A824" s="16" t="n"/>
      <c r="C824" s="19" t="n"/>
      <c r="D824" s="19" t="n"/>
    </row>
    <row r="825" customFormat="1" s="100">
      <c r="A825" s="16" t="n"/>
      <c r="C825" s="19" t="n"/>
      <c r="D825" s="19" t="n"/>
    </row>
    <row r="826" customFormat="1" s="100">
      <c r="A826" s="16" t="n"/>
      <c r="C826" s="19" t="n"/>
      <c r="D826" s="19" t="n"/>
    </row>
    <row r="827" customFormat="1" s="100">
      <c r="A827" s="16" t="n"/>
      <c r="C827" s="19" t="n"/>
      <c r="D827" s="19" t="n"/>
    </row>
    <row r="828" customFormat="1" s="100">
      <c r="A828" s="16" t="n"/>
      <c r="C828" s="19" t="n"/>
      <c r="D828" s="19" t="n"/>
    </row>
    <row r="829" customFormat="1" s="100">
      <c r="A829" s="16" t="n"/>
      <c r="C829" s="19" t="n"/>
      <c r="D829" s="19" t="n"/>
    </row>
    <row r="830" customFormat="1" s="100">
      <c r="A830" s="16" t="n"/>
      <c r="C830" s="19" t="n"/>
      <c r="D830" s="19" t="n"/>
    </row>
    <row r="831" customFormat="1" s="100">
      <c r="A831" s="16" t="n"/>
      <c r="C831" s="19" t="n"/>
      <c r="D831" s="19" t="n"/>
    </row>
    <row r="832" customFormat="1" s="100">
      <c r="A832" s="16" t="n"/>
      <c r="C832" s="19" t="n"/>
      <c r="D832" s="19" t="n"/>
    </row>
    <row r="833" customFormat="1" s="100">
      <c r="A833" s="16" t="n"/>
      <c r="C833" s="19" t="n"/>
      <c r="D833" s="19" t="n"/>
    </row>
    <row r="834" customFormat="1" s="100">
      <c r="A834" s="16" t="n"/>
      <c r="C834" s="19" t="n"/>
      <c r="D834" s="19" t="n"/>
    </row>
    <row r="835" customFormat="1" s="100">
      <c r="A835" s="16" t="n"/>
      <c r="C835" s="19" t="n"/>
      <c r="D835" s="19" t="n"/>
    </row>
    <row r="836" customFormat="1" s="100">
      <c r="A836" s="16" t="n"/>
      <c r="C836" s="19" t="n"/>
      <c r="D836" s="19" t="n"/>
    </row>
    <row r="837" customFormat="1" s="100">
      <c r="A837" s="16" t="n"/>
      <c r="C837" s="19" t="n"/>
      <c r="D837" s="19" t="n"/>
    </row>
    <row r="838" customFormat="1" s="100">
      <c r="A838" s="16" t="n"/>
      <c r="C838" s="19" t="n"/>
      <c r="D838" s="19" t="n"/>
    </row>
    <row r="839" customFormat="1" s="100">
      <c r="A839" s="16" t="n"/>
      <c r="C839" s="19" t="n"/>
      <c r="D839" s="19" t="n"/>
    </row>
    <row r="840" customFormat="1" s="100">
      <c r="A840" s="16" t="n"/>
      <c r="C840" s="19" t="n"/>
      <c r="D840" s="19" t="n"/>
    </row>
    <row r="841" customFormat="1" s="100">
      <c r="A841" s="16" t="n"/>
      <c r="C841" s="19" t="n"/>
      <c r="D841" s="19" t="n"/>
    </row>
    <row r="842" customFormat="1" s="100">
      <c r="A842" s="16" t="n"/>
      <c r="C842" s="19" t="n"/>
      <c r="D842" s="19" t="n"/>
    </row>
    <row r="843" customFormat="1" s="100">
      <c r="A843" s="16" t="n"/>
      <c r="C843" s="19" t="n"/>
      <c r="D843" s="19" t="n"/>
    </row>
    <row r="844" customFormat="1" s="100">
      <c r="A844" s="16" t="n"/>
      <c r="C844" s="19" t="n"/>
      <c r="D844" s="19" t="n"/>
    </row>
    <row r="845" customFormat="1" s="100">
      <c r="A845" s="16" t="n"/>
      <c r="C845" s="19" t="n"/>
      <c r="D845" s="19" t="n"/>
    </row>
    <row r="846" customFormat="1" s="100">
      <c r="A846" s="16" t="n"/>
      <c r="C846" s="19" t="n"/>
      <c r="D846" s="19" t="n"/>
    </row>
    <row r="847" customFormat="1" s="100">
      <c r="A847" s="16" t="n"/>
      <c r="C847" s="19" t="n"/>
      <c r="D847" s="19" t="n"/>
    </row>
    <row r="848" customFormat="1" s="100">
      <c r="A848" s="16" t="n"/>
      <c r="C848" s="19" t="n"/>
      <c r="D848" s="19" t="n"/>
    </row>
    <row r="849" customFormat="1" s="100">
      <c r="A849" s="16" t="n"/>
      <c r="C849" s="19" t="n"/>
      <c r="D849" s="19" t="n"/>
    </row>
    <row r="850" customFormat="1" s="100">
      <c r="A850" s="16" t="n"/>
      <c r="C850" s="19" t="n"/>
      <c r="D850" s="19" t="n"/>
    </row>
    <row r="851" customFormat="1" s="100">
      <c r="A851" s="16" t="n"/>
      <c r="C851" s="19" t="n"/>
      <c r="D851" s="19" t="n"/>
    </row>
    <row r="852" customFormat="1" s="100">
      <c r="A852" s="16" t="n"/>
      <c r="C852" s="19" t="n"/>
      <c r="D852" s="19" t="n"/>
    </row>
    <row r="853" customFormat="1" s="100">
      <c r="A853" s="16" t="n"/>
      <c r="C853" s="19" t="n"/>
      <c r="D853" s="19" t="n"/>
    </row>
    <row r="854" customFormat="1" s="100">
      <c r="A854" s="16" t="n"/>
      <c r="C854" s="19" t="n"/>
      <c r="D854" s="19" t="n"/>
    </row>
    <row r="855" customFormat="1" s="100">
      <c r="A855" s="16" t="n"/>
      <c r="C855" s="19" t="n"/>
      <c r="D855" s="19" t="n"/>
    </row>
    <row r="856" customFormat="1" s="100">
      <c r="A856" s="16" t="n"/>
      <c r="C856" s="19" t="n"/>
      <c r="D856" s="19" t="n"/>
    </row>
    <row r="857" customFormat="1" s="100">
      <c r="A857" s="16" t="n"/>
      <c r="C857" s="19" t="n"/>
      <c r="D857" s="19" t="n"/>
    </row>
    <row r="858" customFormat="1" s="100">
      <c r="A858" s="16" t="n"/>
      <c r="C858" s="19" t="n"/>
      <c r="D858" s="19" t="n"/>
    </row>
    <row r="859" customFormat="1" s="100">
      <c r="A859" s="16" t="n"/>
      <c r="C859" s="19" t="n"/>
      <c r="D859" s="19" t="n"/>
    </row>
    <row r="860" customFormat="1" s="100">
      <c r="A860" s="16" t="n"/>
      <c r="C860" s="19" t="n"/>
      <c r="D860" s="19" t="n"/>
    </row>
    <row r="861" customFormat="1" s="100">
      <c r="A861" s="16" t="n"/>
      <c r="C861" s="19" t="n"/>
      <c r="D861" s="19" t="n"/>
    </row>
    <row r="862" customFormat="1" s="100">
      <c r="A862" s="16" t="n"/>
      <c r="C862" s="19" t="n"/>
      <c r="D862" s="19" t="n"/>
    </row>
    <row r="863" customFormat="1" s="100">
      <c r="A863" s="16" t="n"/>
      <c r="C863" s="19" t="n"/>
      <c r="D863" s="19" t="n"/>
    </row>
    <row r="864" customFormat="1" s="100">
      <c r="A864" s="16" t="n"/>
      <c r="C864" s="19" t="n"/>
      <c r="D864" s="19" t="n"/>
    </row>
    <row r="865" customFormat="1" s="100">
      <c r="A865" s="16" t="n"/>
      <c r="C865" s="19" t="n"/>
      <c r="D865" s="19" t="n"/>
    </row>
    <row r="866" customFormat="1" s="100">
      <c r="A866" s="16" t="n"/>
      <c r="C866" s="19" t="n"/>
      <c r="D866" s="19" t="n"/>
    </row>
    <row r="867" customFormat="1" s="100">
      <c r="A867" s="16" t="n"/>
      <c r="C867" s="19" t="n"/>
      <c r="D867" s="19" t="n"/>
    </row>
    <row r="868" customFormat="1" s="100">
      <c r="A868" s="16" t="n"/>
      <c r="C868" s="19" t="n"/>
      <c r="D868" s="19" t="n"/>
    </row>
    <row r="869" customFormat="1" s="100">
      <c r="A869" s="16" t="n"/>
      <c r="C869" s="19" t="n"/>
      <c r="D869" s="19" t="n"/>
    </row>
    <row r="870" customFormat="1" s="100">
      <c r="A870" s="16" t="n"/>
      <c r="C870" s="19" t="n"/>
      <c r="D870" s="19" t="n"/>
    </row>
    <row r="871" customFormat="1" s="100">
      <c r="A871" s="16" t="n"/>
      <c r="C871" s="19" t="n"/>
      <c r="D871" s="19" t="n"/>
    </row>
    <row r="872" customFormat="1" s="100">
      <c r="A872" s="16" t="n"/>
      <c r="C872" s="19" t="n"/>
      <c r="D872" s="19" t="n"/>
    </row>
    <row r="873" customFormat="1" s="100">
      <c r="A873" s="16" t="n"/>
      <c r="C873" s="19" t="n"/>
      <c r="D873" s="19" t="n"/>
    </row>
    <row r="874" customFormat="1" s="100">
      <c r="A874" s="16" t="n"/>
      <c r="C874" s="19" t="n"/>
      <c r="D874" s="19" t="n"/>
    </row>
    <row r="875" customFormat="1" s="100">
      <c r="A875" s="16" t="n"/>
      <c r="C875" s="19" t="n"/>
      <c r="D875" s="19" t="n"/>
    </row>
    <row r="876" customFormat="1" s="100">
      <c r="A876" s="16" t="n"/>
      <c r="C876" s="19" t="n"/>
      <c r="D876" s="19" t="n"/>
    </row>
    <row r="877" customFormat="1" s="100">
      <c r="A877" s="16" t="n"/>
      <c r="C877" s="19" t="n"/>
      <c r="D877" s="19" t="n"/>
    </row>
    <row r="878" customFormat="1" s="100">
      <c r="A878" s="16" t="n"/>
      <c r="C878" s="19" t="n"/>
      <c r="D878" s="19" t="n"/>
    </row>
    <row r="879" customFormat="1" s="100">
      <c r="A879" s="16" t="n"/>
      <c r="C879" s="19" t="n"/>
      <c r="D879" s="19" t="n"/>
    </row>
    <row r="880" customFormat="1" s="100">
      <c r="A880" s="16" t="n"/>
      <c r="C880" s="19" t="n"/>
      <c r="D880" s="19" t="n"/>
    </row>
    <row r="881" customFormat="1" s="100">
      <c r="A881" s="16" t="n"/>
      <c r="C881" s="19" t="n"/>
      <c r="D881" s="19" t="n"/>
    </row>
    <row r="882" customFormat="1" s="100">
      <c r="A882" s="16" t="n"/>
      <c r="C882" s="19" t="n"/>
      <c r="D882" s="19" t="n"/>
    </row>
    <row r="883" customFormat="1" s="100">
      <c r="A883" s="16" t="n"/>
      <c r="C883" s="19" t="n"/>
      <c r="D883" s="19" t="n"/>
    </row>
    <row r="884" customFormat="1" s="100">
      <c r="A884" s="16" t="n"/>
      <c r="C884" s="19" t="n"/>
      <c r="D884" s="19" t="n"/>
    </row>
    <row r="885" customFormat="1" s="100">
      <c r="A885" s="16" t="n"/>
      <c r="C885" s="19" t="n"/>
      <c r="D885" s="19" t="n"/>
    </row>
    <row r="886" customFormat="1" s="100">
      <c r="A886" s="16" t="n"/>
      <c r="C886" s="19" t="n"/>
      <c r="D886" s="19" t="n"/>
    </row>
    <row r="887" customFormat="1" s="100">
      <c r="A887" s="16" t="n"/>
      <c r="C887" s="19" t="n"/>
      <c r="D887" s="19" t="n"/>
    </row>
    <row r="888" customFormat="1" s="100">
      <c r="A888" s="16" t="n"/>
      <c r="C888" s="19" t="n"/>
      <c r="D888" s="19" t="n"/>
    </row>
    <row r="889" customFormat="1" s="100">
      <c r="A889" s="16" t="n"/>
      <c r="C889" s="19" t="n"/>
      <c r="D889" s="19" t="n"/>
    </row>
    <row r="890" customFormat="1" s="100">
      <c r="A890" s="16" t="n"/>
      <c r="C890" s="19" t="n"/>
      <c r="D890" s="19" t="n"/>
    </row>
    <row r="891" customFormat="1" s="100">
      <c r="A891" s="16" t="n"/>
      <c r="C891" s="19" t="n"/>
      <c r="D891" s="19" t="n"/>
    </row>
    <row r="892" customFormat="1" s="100">
      <c r="A892" s="16" t="n"/>
      <c r="C892" s="19" t="n"/>
      <c r="D892" s="19" t="n"/>
    </row>
    <row r="893" customFormat="1" s="100">
      <c r="A893" s="16" t="n"/>
      <c r="C893" s="19" t="n"/>
      <c r="D893" s="19" t="n"/>
    </row>
    <row r="894" customFormat="1" s="100">
      <c r="A894" s="16" t="n"/>
      <c r="C894" s="19" t="n"/>
      <c r="D894" s="19" t="n"/>
    </row>
    <row r="895" customFormat="1" s="100">
      <c r="A895" s="16" t="n"/>
      <c r="C895" s="19" t="n"/>
      <c r="D895" s="19" t="n"/>
    </row>
    <row r="896" customFormat="1" s="100">
      <c r="A896" s="16" t="n"/>
      <c r="C896" s="19" t="n"/>
      <c r="D896" s="19" t="n"/>
    </row>
    <row r="897" customFormat="1" s="100">
      <c r="A897" s="16" t="n"/>
      <c r="C897" s="19" t="n"/>
      <c r="D897" s="19" t="n"/>
    </row>
    <row r="898" customFormat="1" s="100">
      <c r="A898" s="16" t="n"/>
      <c r="C898" s="19" t="n"/>
      <c r="D898" s="19" t="n"/>
    </row>
    <row r="899" customFormat="1" s="100">
      <c r="A899" s="16" t="n"/>
      <c r="C899" s="19" t="n"/>
      <c r="D899" s="19" t="n"/>
    </row>
    <row r="900" customFormat="1" s="100">
      <c r="A900" s="16" t="n"/>
      <c r="C900" s="19" t="n"/>
      <c r="D900" s="19" t="n"/>
    </row>
    <row r="901" customFormat="1" s="100">
      <c r="A901" s="16" t="n"/>
      <c r="C901" s="19" t="n"/>
      <c r="D901" s="19" t="n"/>
    </row>
    <row r="902" customFormat="1" s="100">
      <c r="A902" s="16" t="n"/>
      <c r="C902" s="19" t="n"/>
      <c r="D902" s="19" t="n"/>
    </row>
    <row r="903" customFormat="1" s="100">
      <c r="A903" s="16" t="n"/>
      <c r="C903" s="19" t="n"/>
      <c r="D903" s="19" t="n"/>
    </row>
    <row r="904" customFormat="1" s="100">
      <c r="A904" s="16" t="n"/>
      <c r="C904" s="19" t="n"/>
      <c r="D904" s="19" t="n"/>
    </row>
    <row r="905" customFormat="1" s="100">
      <c r="A905" s="16" t="n"/>
      <c r="C905" s="19" t="n"/>
      <c r="D905" s="19" t="n"/>
    </row>
    <row r="906" customFormat="1" s="100">
      <c r="A906" s="16" t="n"/>
      <c r="C906" s="19" t="n"/>
      <c r="D906" s="19" t="n"/>
    </row>
    <row r="907" customFormat="1" s="100">
      <c r="A907" s="16" t="n"/>
      <c r="C907" s="19" t="n"/>
      <c r="D907" s="19" t="n"/>
    </row>
    <row r="908" customFormat="1" s="100">
      <c r="A908" s="16" t="n"/>
      <c r="C908" s="19" t="n"/>
      <c r="D908" s="19" t="n"/>
    </row>
    <row r="909" customFormat="1" s="100">
      <c r="A909" s="16" t="n"/>
      <c r="C909" s="19" t="n"/>
      <c r="D909" s="19" t="n"/>
    </row>
    <row r="910" customFormat="1" s="100">
      <c r="A910" s="16" t="n"/>
      <c r="C910" s="19" t="n"/>
      <c r="D910" s="19" t="n"/>
    </row>
    <row r="911" customFormat="1" s="100">
      <c r="A911" s="16" t="n"/>
      <c r="C911" s="19" t="n"/>
      <c r="D911" s="19" t="n"/>
    </row>
    <row r="912" customFormat="1" s="100">
      <c r="A912" s="16" t="n"/>
      <c r="C912" s="19" t="n"/>
      <c r="D912" s="19" t="n"/>
    </row>
    <row r="913" customFormat="1" s="100">
      <c r="A913" s="16" t="n"/>
      <c r="C913" s="19" t="n"/>
      <c r="D913" s="19" t="n"/>
    </row>
    <row r="914" customFormat="1" s="100">
      <c r="A914" s="16" t="n"/>
      <c r="C914" s="19" t="n"/>
      <c r="D914" s="19" t="n"/>
    </row>
    <row r="915" customFormat="1" s="100">
      <c r="A915" s="16" t="n"/>
      <c r="C915" s="19" t="n"/>
      <c r="D915" s="19" t="n"/>
    </row>
    <row r="916" customFormat="1" s="100">
      <c r="A916" s="16" t="n"/>
      <c r="C916" s="19" t="n"/>
      <c r="D916" s="19" t="n"/>
    </row>
    <row r="917" customFormat="1" s="100">
      <c r="A917" s="16" t="n"/>
      <c r="C917" s="19" t="n"/>
      <c r="D917" s="19" t="n"/>
    </row>
    <row r="918" customFormat="1" s="100">
      <c r="A918" s="16" t="n"/>
      <c r="C918" s="19" t="n"/>
      <c r="D918" s="19" t="n"/>
    </row>
    <row r="919" customFormat="1" s="100">
      <c r="A919" s="16" t="n"/>
      <c r="C919" s="19" t="n"/>
      <c r="D919" s="19" t="n"/>
    </row>
    <row r="920" customFormat="1" s="100">
      <c r="A920" s="16" t="n"/>
      <c r="C920" s="19" t="n"/>
      <c r="D920" s="19" t="n"/>
    </row>
    <row r="921" customFormat="1" s="100">
      <c r="A921" s="16" t="n"/>
      <c r="C921" s="19" t="n"/>
      <c r="D921" s="19" t="n"/>
    </row>
    <row r="922" customFormat="1" s="100">
      <c r="A922" s="16" t="n"/>
      <c r="C922" s="19" t="n"/>
      <c r="D922" s="19" t="n"/>
    </row>
    <row r="923" customFormat="1" s="100">
      <c r="A923" s="16" t="n"/>
      <c r="C923" s="19" t="n"/>
      <c r="D923" s="19" t="n"/>
    </row>
    <row r="924" customFormat="1" s="100">
      <c r="A924" s="16" t="n"/>
      <c r="C924" s="19" t="n"/>
      <c r="D924" s="19" t="n"/>
    </row>
    <row r="925" customFormat="1" s="100">
      <c r="A925" s="16" t="n"/>
      <c r="C925" s="19" t="n"/>
      <c r="D925" s="19" t="n"/>
    </row>
    <row r="926" customFormat="1" s="100">
      <c r="A926" s="16" t="n"/>
      <c r="C926" s="19" t="n"/>
      <c r="D926" s="19" t="n"/>
    </row>
    <row r="927" customFormat="1" s="100">
      <c r="A927" s="16" t="n"/>
      <c r="C927" s="19" t="n"/>
      <c r="D927" s="19" t="n"/>
    </row>
    <row r="928" customFormat="1" s="100">
      <c r="A928" s="16" t="n"/>
      <c r="C928" s="19" t="n"/>
      <c r="D928" s="19" t="n"/>
    </row>
    <row r="929" customFormat="1" s="100">
      <c r="A929" s="16" t="n"/>
      <c r="C929" s="19" t="n"/>
      <c r="D929" s="19" t="n"/>
    </row>
    <row r="930" customFormat="1" s="100">
      <c r="A930" s="16" t="n"/>
      <c r="C930" s="19" t="n"/>
      <c r="D930" s="19" t="n"/>
    </row>
    <row r="931" customFormat="1" s="100">
      <c r="A931" s="16" t="n"/>
      <c r="C931" s="19" t="n"/>
      <c r="D931" s="19" t="n"/>
    </row>
    <row r="932" customFormat="1" s="100">
      <c r="A932" s="16" t="n"/>
      <c r="C932" s="19" t="n"/>
      <c r="D932" s="19" t="n"/>
    </row>
    <row r="933" customFormat="1" s="100">
      <c r="A933" s="16" t="n"/>
      <c r="C933" s="19" t="n"/>
      <c r="D933" s="19" t="n"/>
    </row>
    <row r="934" customFormat="1" s="100">
      <c r="A934" s="16" t="n"/>
      <c r="C934" s="19" t="n"/>
      <c r="D934" s="19" t="n"/>
    </row>
    <row r="935" customFormat="1" s="100">
      <c r="A935" s="16" t="n"/>
      <c r="C935" s="19" t="n"/>
      <c r="D935" s="19" t="n"/>
    </row>
    <row r="936" customFormat="1" s="100">
      <c r="A936" s="16" t="n"/>
      <c r="C936" s="19" t="n"/>
      <c r="D936" s="19" t="n"/>
    </row>
    <row r="937" customFormat="1" s="100">
      <c r="A937" s="16" t="n"/>
      <c r="C937" s="19" t="n"/>
      <c r="D937" s="19" t="n"/>
    </row>
    <row r="938" customFormat="1" s="100">
      <c r="A938" s="16" t="n"/>
      <c r="C938" s="19" t="n"/>
      <c r="D938" s="19" t="n"/>
    </row>
    <row r="939" customFormat="1" s="100">
      <c r="A939" s="16" t="n"/>
      <c r="C939" s="19" t="n"/>
      <c r="D939" s="19" t="n"/>
    </row>
    <row r="940" customFormat="1" s="100">
      <c r="A940" s="16" t="n"/>
      <c r="C940" s="19" t="n"/>
      <c r="D940" s="19" t="n"/>
    </row>
    <row r="941" customFormat="1" s="100">
      <c r="A941" s="16" t="n"/>
      <c r="C941" s="19" t="n"/>
      <c r="D941" s="19" t="n"/>
    </row>
    <row r="942" customFormat="1" s="100">
      <c r="A942" s="16" t="n"/>
      <c r="C942" s="19" t="n"/>
      <c r="D942" s="19" t="n"/>
    </row>
    <row r="943" customFormat="1" s="100">
      <c r="A943" s="16" t="n"/>
      <c r="C943" s="19" t="n"/>
      <c r="D943" s="19" t="n"/>
    </row>
    <row r="944" customFormat="1" s="100">
      <c r="A944" s="16" t="n"/>
      <c r="C944" s="19" t="n"/>
      <c r="D944" s="19" t="n"/>
    </row>
    <row r="945" customFormat="1" s="100">
      <c r="A945" s="16" t="n"/>
      <c r="C945" s="19" t="n"/>
      <c r="D945" s="19" t="n"/>
    </row>
    <row r="946" customFormat="1" s="100">
      <c r="A946" s="16" t="n"/>
      <c r="C946" s="19" t="n"/>
      <c r="D946" s="19" t="n"/>
    </row>
    <row r="947" customFormat="1" s="100">
      <c r="A947" s="16" t="n"/>
      <c r="C947" s="19" t="n"/>
      <c r="D947" s="19" t="n"/>
    </row>
    <row r="948" customFormat="1" s="100">
      <c r="A948" s="16" t="n"/>
      <c r="C948" s="19" t="n"/>
      <c r="D948" s="19" t="n"/>
    </row>
    <row r="949" customFormat="1" s="100">
      <c r="A949" s="16" t="n"/>
      <c r="C949" s="19" t="n"/>
      <c r="D949" s="19" t="n"/>
    </row>
    <row r="950" customFormat="1" s="100">
      <c r="A950" s="16" t="n"/>
      <c r="C950" s="19" t="n"/>
      <c r="D950" s="19" t="n"/>
    </row>
    <row r="951" customFormat="1" s="100">
      <c r="A951" s="16" t="n"/>
      <c r="C951" s="19" t="n"/>
      <c r="D951" s="19" t="n"/>
    </row>
    <row r="952" customFormat="1" s="100">
      <c r="A952" s="16" t="n"/>
      <c r="C952" s="19" t="n"/>
      <c r="D952" s="19" t="n"/>
    </row>
    <row r="953" customFormat="1" s="100">
      <c r="A953" s="16" t="n"/>
      <c r="C953" s="19" t="n"/>
      <c r="D953" s="19" t="n"/>
    </row>
    <row r="954" customFormat="1" s="100">
      <c r="A954" s="16" t="n"/>
      <c r="C954" s="19" t="n"/>
      <c r="D954" s="19" t="n"/>
    </row>
    <row r="955" customFormat="1" s="100">
      <c r="A955" s="16" t="n"/>
      <c r="C955" s="19" t="n"/>
      <c r="D955" s="19" t="n"/>
    </row>
    <row r="956" customFormat="1" s="100">
      <c r="A956" s="16" t="n"/>
      <c r="C956" s="19" t="n"/>
      <c r="D956" s="19" t="n"/>
    </row>
    <row r="957" customFormat="1" s="100">
      <c r="A957" s="16" t="n"/>
      <c r="C957" s="19" t="n"/>
      <c r="D957" s="19" t="n"/>
    </row>
    <row r="958" customFormat="1" s="100">
      <c r="A958" s="16" t="n"/>
      <c r="C958" s="19" t="n"/>
      <c r="D958" s="19" t="n"/>
    </row>
    <row r="959" customFormat="1" s="100">
      <c r="A959" s="16" t="n"/>
      <c r="C959" s="19" t="n"/>
      <c r="D959" s="19" t="n"/>
    </row>
    <row r="960" customFormat="1" s="100">
      <c r="A960" s="16" t="n"/>
      <c r="C960" s="19" t="n"/>
      <c r="D960" s="19" t="n"/>
    </row>
    <row r="961" customFormat="1" s="100">
      <c r="A961" s="16" t="n"/>
      <c r="C961" s="19" t="n"/>
      <c r="D961" s="19" t="n"/>
    </row>
    <row r="962" customFormat="1" s="100">
      <c r="A962" s="16" t="n"/>
      <c r="C962" s="19" t="n"/>
      <c r="D962" s="19" t="n"/>
    </row>
    <row r="963" customFormat="1" s="100">
      <c r="A963" s="16" t="n"/>
      <c r="C963" s="19" t="n"/>
      <c r="D963" s="19" t="n"/>
    </row>
    <row r="964" customFormat="1" s="100">
      <c r="A964" s="16" t="n"/>
      <c r="C964" s="19" t="n"/>
      <c r="D964" s="19" t="n"/>
    </row>
    <row r="965" customFormat="1" s="100">
      <c r="A965" s="16" t="n"/>
      <c r="C965" s="19" t="n"/>
      <c r="D965" s="19" t="n"/>
    </row>
    <row r="966" customFormat="1" s="100">
      <c r="A966" s="16" t="n"/>
      <c r="C966" s="19" t="n"/>
      <c r="D966" s="19" t="n"/>
    </row>
    <row r="967" customFormat="1" s="100">
      <c r="A967" s="16" t="n"/>
      <c r="C967" s="19" t="n"/>
      <c r="D967" s="19" t="n"/>
    </row>
    <row r="968" customFormat="1" s="100">
      <c r="A968" s="16" t="n"/>
      <c r="C968" s="19" t="n"/>
      <c r="D968" s="19" t="n"/>
    </row>
    <row r="969" customFormat="1" s="100">
      <c r="A969" s="16" t="n"/>
      <c r="C969" s="19" t="n"/>
      <c r="D969" s="19" t="n"/>
    </row>
    <row r="970" customFormat="1" s="100">
      <c r="A970" s="16" t="n"/>
      <c r="C970" s="19" t="n"/>
      <c r="D970" s="19" t="n"/>
    </row>
    <row r="971" customFormat="1" s="100">
      <c r="A971" s="16" t="n"/>
      <c r="C971" s="19" t="n"/>
      <c r="D971" s="19" t="n"/>
    </row>
    <row r="972" customFormat="1" s="100">
      <c r="A972" s="16" t="n"/>
      <c r="C972" s="19" t="n"/>
      <c r="D972" s="19" t="n"/>
    </row>
    <row r="973" customFormat="1" s="100">
      <c r="A973" s="16" t="n"/>
      <c r="C973" s="19" t="n"/>
      <c r="D973" s="19" t="n"/>
    </row>
    <row r="974" customFormat="1" s="100">
      <c r="A974" s="16" t="n"/>
      <c r="C974" s="19" t="n"/>
      <c r="D974" s="19" t="n"/>
    </row>
    <row r="975" customFormat="1" s="100">
      <c r="A975" s="16" t="n"/>
      <c r="C975" s="19" t="n"/>
      <c r="D975" s="19" t="n"/>
    </row>
    <row r="976" customFormat="1" s="100">
      <c r="A976" s="16" t="n"/>
      <c r="C976" s="19" t="n"/>
      <c r="D976" s="19" t="n"/>
    </row>
    <row r="977" customFormat="1" s="100">
      <c r="A977" s="16" t="n"/>
      <c r="C977" s="19" t="n"/>
      <c r="D977" s="19" t="n"/>
    </row>
    <row r="978" customFormat="1" s="100">
      <c r="A978" s="16" t="n"/>
      <c r="C978" s="19" t="n"/>
      <c r="D978" s="19" t="n"/>
    </row>
    <row r="979" customFormat="1" s="100">
      <c r="A979" s="16" t="n"/>
      <c r="C979" s="19" t="n"/>
      <c r="D979" s="19" t="n"/>
    </row>
    <row r="980" customFormat="1" s="100">
      <c r="A980" s="16" t="n"/>
      <c r="C980" s="19" t="n"/>
      <c r="D980" s="19" t="n"/>
    </row>
    <row r="981" customFormat="1" s="100">
      <c r="A981" s="16" t="n"/>
      <c r="C981" s="19" t="n"/>
      <c r="D981" s="19" t="n"/>
    </row>
    <row r="982" customFormat="1" s="100">
      <c r="A982" s="16" t="n"/>
      <c r="C982" s="19" t="n"/>
      <c r="D982" s="19" t="n"/>
    </row>
    <row r="983" customFormat="1" s="100">
      <c r="A983" s="16" t="n"/>
      <c r="C983" s="19" t="n"/>
      <c r="D983" s="19" t="n"/>
    </row>
    <row r="984" customFormat="1" s="100">
      <c r="A984" s="16" t="n"/>
      <c r="C984" s="19" t="n"/>
      <c r="D984" s="19" t="n"/>
    </row>
    <row r="985" customFormat="1" s="100">
      <c r="A985" s="16" t="n"/>
      <c r="C985" s="19" t="n"/>
      <c r="D985" s="19" t="n"/>
    </row>
    <row r="986" customFormat="1" s="100">
      <c r="A986" s="16" t="n"/>
      <c r="C986" s="19" t="n"/>
      <c r="D986" s="19" t="n"/>
    </row>
    <row r="987" customFormat="1" s="100">
      <c r="A987" s="16" t="n"/>
      <c r="C987" s="19" t="n"/>
      <c r="D987" s="19" t="n"/>
    </row>
    <row r="988" customFormat="1" s="100">
      <c r="A988" s="16" t="n"/>
      <c r="C988" s="19" t="n"/>
      <c r="D988" s="19" t="n"/>
    </row>
    <row r="989" customFormat="1" s="100">
      <c r="A989" s="16" t="n"/>
      <c r="C989" s="19" t="n"/>
      <c r="D989" s="19" t="n"/>
    </row>
    <row r="990" customFormat="1" s="100">
      <c r="A990" s="16" t="n"/>
      <c r="C990" s="19" t="n"/>
      <c r="D990" s="19" t="n"/>
    </row>
    <row r="991" customFormat="1" s="100">
      <c r="A991" s="16" t="n"/>
      <c r="C991" s="19" t="n"/>
      <c r="D991" s="19" t="n"/>
    </row>
    <row r="992" customFormat="1" s="100">
      <c r="A992" s="16" t="n"/>
      <c r="C992" s="19" t="n"/>
      <c r="D992" s="19" t="n"/>
    </row>
    <row r="993" customFormat="1" s="100">
      <c r="A993" s="16" t="n"/>
      <c r="C993" s="19" t="n"/>
      <c r="D993" s="19" t="n"/>
    </row>
    <row r="994" customFormat="1" s="100">
      <c r="A994" s="16" t="n"/>
      <c r="C994" s="19" t="n"/>
      <c r="D994" s="19" t="n"/>
    </row>
    <row r="995" customFormat="1" s="100">
      <c r="A995" s="16" t="n"/>
      <c r="C995" s="19" t="n"/>
      <c r="D995" s="19" t="n"/>
    </row>
    <row r="996" customFormat="1" s="100">
      <c r="A996" s="16" t="n"/>
      <c r="C996" s="19" t="n"/>
      <c r="D996" s="19" t="n"/>
    </row>
    <row r="997" customFormat="1" s="100">
      <c r="A997" s="16" t="n"/>
      <c r="C997" s="19" t="n"/>
      <c r="D997" s="19" t="n"/>
    </row>
    <row r="998" customFormat="1" s="100">
      <c r="A998" s="16" t="n"/>
      <c r="C998" s="19" t="n"/>
      <c r="D998" s="19" t="n"/>
    </row>
    <row r="999" customFormat="1" s="100">
      <c r="A999" s="16" t="n"/>
      <c r="C999" s="19" t="n"/>
      <c r="D999" s="19" t="n"/>
    </row>
    <row r="1000" customFormat="1" s="100">
      <c r="A1000" s="16" t="n"/>
      <c r="C1000" s="19" t="n"/>
      <c r="D1000" s="19" t="n"/>
    </row>
    <row r="1001" customFormat="1" s="100">
      <c r="A1001" s="16" t="n"/>
      <c r="C1001" s="19" t="n"/>
      <c r="D1001" s="19" t="n"/>
    </row>
  </sheetData>
  <conditionalFormatting sqref="C234:C351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4:D35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9.xml><?xml version="1.0" encoding="utf-8"?>
<worksheet xmlns="http://schemas.openxmlformats.org/spreadsheetml/2006/main">
  <sheetPr codeName="Sheet8">
    <outlinePr summaryBelow="1" summaryRight="1"/>
    <pageSetUpPr/>
  </sheetPr>
  <dimension ref="A1:D363"/>
  <sheetViews>
    <sheetView zoomScale="150" zoomScaleNormal="150" workbookViewId="0">
      <pane ySplit="7" topLeftCell="A310" activePane="bottomLeft" state="frozen"/>
      <selection pane="bottomLeft" activeCell="A1" sqref="A1"/>
    </sheetView>
  </sheetViews>
  <sheetFormatPr baseColWidth="10" defaultColWidth="9.1640625" defaultRowHeight="15"/>
  <cols>
    <col width="11.33203125" customWidth="1" style="45" min="1" max="1"/>
    <col width="23.1640625" customWidth="1" style="21" min="2" max="2"/>
    <col width="15.6640625" customWidth="1" style="72" min="3" max="3"/>
    <col width="10.6640625" bestFit="1" customWidth="1" style="100" min="4" max="4"/>
    <col width="9.1640625" customWidth="1" style="100" min="5" max="6"/>
    <col width="9.1640625" customWidth="1" style="100" min="7" max="16384"/>
  </cols>
  <sheetData>
    <row r="1">
      <c r="A1" s="94" t="inlineStr">
        <is>
          <t>https://www.investing.com/economic-calendar/chinese-industrial-production-462</t>
        </is>
      </c>
    </row>
    <row r="6" ht="16" customHeight="1" s="95" thickBot="1"/>
    <row r="7" ht="44.25" customHeight="1" s="95" thickBot="1">
      <c r="A7" s="50" t="inlineStr">
        <is>
          <t>Date</t>
        </is>
      </c>
      <c r="B7" s="49" t="inlineStr">
        <is>
          <t>China Industrial Production YoY</t>
        </is>
      </c>
      <c r="C7" s="51" t="inlineStr">
        <is>
          <t>HSBC China PMI</t>
        </is>
      </c>
    </row>
    <row r="8">
      <c r="A8" s="80" t="n">
        <v>32932</v>
      </c>
      <c r="B8" s="81" t="n">
        <v>0.05</v>
      </c>
      <c r="D8" s="45">
        <f>EOMONTH(Table3[[#This Row],[Date]],-1)-1</f>
        <v/>
      </c>
    </row>
    <row r="9">
      <c r="A9" s="82" t="n">
        <v>32963</v>
      </c>
      <c r="B9" s="83" t="n">
        <v>0.008</v>
      </c>
    </row>
    <row r="10">
      <c r="A10" s="84" t="n">
        <v>32993</v>
      </c>
      <c r="B10" s="85" t="n">
        <v>0.017</v>
      </c>
    </row>
    <row r="11">
      <c r="A11" s="82" t="n">
        <v>33024</v>
      </c>
      <c r="B11" s="83" t="n">
        <v>0.033</v>
      </c>
    </row>
    <row r="12">
      <c r="A12" s="84" t="n">
        <v>33054</v>
      </c>
      <c r="B12" s="85" t="n">
        <v>0.05</v>
      </c>
    </row>
    <row r="13">
      <c r="A13" s="82" t="n">
        <v>33085</v>
      </c>
      <c r="B13" s="83" t="n">
        <v>0.025</v>
      </c>
    </row>
    <row r="14">
      <c r="A14" s="84" t="n">
        <v>33116</v>
      </c>
      <c r="B14" s="85" t="n">
        <v>0.042</v>
      </c>
    </row>
    <row r="15">
      <c r="A15" s="82" t="n">
        <v>33146</v>
      </c>
      <c r="B15" s="83" t="n">
        <v>0.067</v>
      </c>
    </row>
    <row r="16">
      <c r="A16" s="84" t="n">
        <v>33177</v>
      </c>
      <c r="B16" s="85" t="n">
        <v>0.109</v>
      </c>
    </row>
    <row r="17">
      <c r="A17" s="82" t="n">
        <v>33207</v>
      </c>
      <c r="B17" s="83" t="n">
        <v>0.126</v>
      </c>
    </row>
    <row r="18">
      <c r="A18" s="84" t="n">
        <v>33238</v>
      </c>
      <c r="B18" s="85" t="n">
        <v>0.126</v>
      </c>
    </row>
    <row r="19">
      <c r="A19" s="82" t="n">
        <v>33269</v>
      </c>
      <c r="B19" s="83" t="n">
        <v>0.235</v>
      </c>
    </row>
    <row r="20">
      <c r="A20" s="84" t="n">
        <v>33297</v>
      </c>
      <c r="B20" s="85" t="n">
        <v>0.092</v>
      </c>
    </row>
    <row r="21">
      <c r="A21" s="82" t="n">
        <v>33328</v>
      </c>
      <c r="B21" s="83" t="n">
        <v>0.109</v>
      </c>
    </row>
    <row r="22">
      <c r="A22" s="84" t="n">
        <v>33358</v>
      </c>
      <c r="B22" s="85" t="n">
        <v>0.109</v>
      </c>
    </row>
    <row r="23">
      <c r="A23" s="82" t="n">
        <v>33389</v>
      </c>
      <c r="B23" s="83" t="n">
        <v>0.109</v>
      </c>
    </row>
    <row r="24">
      <c r="A24" s="84" t="n">
        <v>33419</v>
      </c>
      <c r="B24" s="85" t="n">
        <v>0.092</v>
      </c>
    </row>
    <row r="25">
      <c r="A25" s="82" t="n">
        <v>33450</v>
      </c>
      <c r="B25" s="83" t="n">
        <v>0.109</v>
      </c>
    </row>
    <row r="26">
      <c r="A26" s="84" t="n">
        <v>33481</v>
      </c>
      <c r="B26" s="85" t="n">
        <v>0.118</v>
      </c>
    </row>
    <row r="27">
      <c r="A27" s="82" t="n">
        <v>33511</v>
      </c>
      <c r="B27" s="83" t="n">
        <v>0.126</v>
      </c>
    </row>
    <row r="28">
      <c r="A28" s="84" t="n">
        <v>33542</v>
      </c>
      <c r="B28" s="85" t="n">
        <v>0.118</v>
      </c>
    </row>
    <row r="29">
      <c r="A29" s="82" t="n">
        <v>33572</v>
      </c>
      <c r="B29" s="83" t="n">
        <v>0.076</v>
      </c>
    </row>
    <row r="30">
      <c r="A30" s="84" t="n">
        <v>33603</v>
      </c>
      <c r="B30" s="85" t="n">
        <v>0.05</v>
      </c>
    </row>
    <row r="31">
      <c r="A31" s="82" t="n">
        <v>33634</v>
      </c>
      <c r="B31" s="83" t="n">
        <v>0.109</v>
      </c>
    </row>
    <row r="32">
      <c r="A32" s="84" t="n">
        <v>33663</v>
      </c>
      <c r="B32" s="85" t="n">
        <v>0.185</v>
      </c>
    </row>
    <row r="33">
      <c r="A33" s="82" t="n">
        <v>33694</v>
      </c>
      <c r="B33" s="83" t="n">
        <v>0.168</v>
      </c>
    </row>
    <row r="34">
      <c r="A34" s="84" t="n">
        <v>33724</v>
      </c>
      <c r="B34" s="85" t="n">
        <v>0.151</v>
      </c>
    </row>
    <row r="35">
      <c r="A35" s="82" t="n">
        <v>33755</v>
      </c>
      <c r="B35" s="83" t="n">
        <v>0.143</v>
      </c>
    </row>
    <row r="36">
      <c r="A36" s="84" t="n">
        <v>33785</v>
      </c>
      <c r="B36" s="85" t="n">
        <v>0.168</v>
      </c>
    </row>
    <row r="37">
      <c r="A37" s="82" t="n">
        <v>33816</v>
      </c>
      <c r="B37" s="83" t="n">
        <v>0.193</v>
      </c>
    </row>
    <row r="38">
      <c r="A38" s="84" t="n">
        <v>33847</v>
      </c>
      <c r="B38" s="85" t="n">
        <v>0.176</v>
      </c>
    </row>
    <row r="39">
      <c r="A39" s="82" t="n">
        <v>33877</v>
      </c>
      <c r="B39" s="83" t="n">
        <v>0.176</v>
      </c>
    </row>
    <row r="40">
      <c r="A40" s="84" t="n">
        <v>33908</v>
      </c>
      <c r="B40" s="85" t="n">
        <v>0.185</v>
      </c>
    </row>
    <row r="41">
      <c r="A41" s="82" t="n">
        <v>33938</v>
      </c>
      <c r="B41" s="83" t="n">
        <v>0.218</v>
      </c>
    </row>
    <row r="42">
      <c r="A42" s="84" t="n">
        <v>33969</v>
      </c>
      <c r="B42" s="85" t="n">
        <v>0.269</v>
      </c>
    </row>
    <row r="43">
      <c r="A43" s="82" t="n">
        <v>34000</v>
      </c>
      <c r="B43" s="83" t="n">
        <v>0.08400000000000001</v>
      </c>
    </row>
    <row r="44">
      <c r="A44" s="84" t="n">
        <v>34028</v>
      </c>
      <c r="B44" s="85" t="n">
        <v>0.277</v>
      </c>
    </row>
    <row r="45">
      <c r="A45" s="82" t="n">
        <v>34059</v>
      </c>
      <c r="B45" s="83" t="n">
        <v>0.218</v>
      </c>
    </row>
    <row r="46">
      <c r="A46" s="84" t="n">
        <v>34089</v>
      </c>
      <c r="B46" s="85" t="n">
        <v>0.21</v>
      </c>
    </row>
    <row r="47">
      <c r="A47" s="82" t="n">
        <v>34120</v>
      </c>
      <c r="B47" s="83" t="n">
        <v>0.227</v>
      </c>
    </row>
    <row r="48">
      <c r="A48" s="84" t="n">
        <v>34150</v>
      </c>
      <c r="B48" s="85" t="n">
        <v>0.252</v>
      </c>
    </row>
    <row r="49">
      <c r="A49" s="82" t="n">
        <v>34181</v>
      </c>
      <c r="B49" s="83" t="n">
        <v>0.21</v>
      </c>
    </row>
    <row r="50">
      <c r="A50" s="84" t="n">
        <v>34212</v>
      </c>
      <c r="B50" s="85" t="n">
        <v>0.193</v>
      </c>
    </row>
    <row r="51">
      <c r="A51" s="82" t="n">
        <v>34242</v>
      </c>
      <c r="B51" s="83" t="n">
        <v>0.16</v>
      </c>
    </row>
    <row r="52">
      <c r="A52" s="84" t="n">
        <v>34273</v>
      </c>
      <c r="B52" s="85" t="n">
        <v>0.134</v>
      </c>
    </row>
    <row r="53">
      <c r="A53" s="82" t="n">
        <v>34303</v>
      </c>
      <c r="B53" s="83" t="n">
        <v>0.16</v>
      </c>
    </row>
    <row r="54">
      <c r="A54" s="84" t="n">
        <v>34334</v>
      </c>
      <c r="B54" s="85" t="n">
        <v>0.252</v>
      </c>
    </row>
    <row r="55">
      <c r="A55" s="82" t="n">
        <v>34365</v>
      </c>
      <c r="B55" s="83" t="n">
        <v>0.277</v>
      </c>
    </row>
    <row r="56">
      <c r="A56" s="84" t="n">
        <v>34393</v>
      </c>
      <c r="B56" s="85" t="n">
        <v>0.034</v>
      </c>
    </row>
    <row r="57">
      <c r="A57" s="82" t="n">
        <v>34424</v>
      </c>
      <c r="B57" s="83" t="n">
        <v>0.16</v>
      </c>
    </row>
    <row r="58">
      <c r="A58" s="84" t="n">
        <v>34454</v>
      </c>
      <c r="B58" s="85" t="n">
        <v>0.168</v>
      </c>
    </row>
    <row r="59">
      <c r="A59" s="82" t="n">
        <v>34485</v>
      </c>
      <c r="B59" s="83" t="n">
        <v>0.176</v>
      </c>
    </row>
    <row r="60">
      <c r="A60" s="84" t="n">
        <v>34515</v>
      </c>
      <c r="B60" s="85" t="n">
        <v>0.151</v>
      </c>
    </row>
    <row r="61">
      <c r="A61" s="82" t="n">
        <v>34546</v>
      </c>
      <c r="B61" s="83" t="n">
        <v>0.151</v>
      </c>
    </row>
    <row r="62">
      <c r="A62" s="84" t="n">
        <v>34577</v>
      </c>
      <c r="B62" s="85" t="n">
        <v>0.294</v>
      </c>
    </row>
    <row r="63">
      <c r="A63" s="82" t="n">
        <v>34607</v>
      </c>
      <c r="B63" s="83" t="n">
        <v>0.218</v>
      </c>
    </row>
    <row r="64">
      <c r="A64" s="84" t="n">
        <v>34638</v>
      </c>
      <c r="B64" s="85" t="n">
        <v>0.244</v>
      </c>
    </row>
    <row r="65">
      <c r="A65" s="82" t="n">
        <v>34668</v>
      </c>
      <c r="B65" s="83" t="n">
        <v>0.235</v>
      </c>
    </row>
    <row r="66">
      <c r="A66" s="84" t="n">
        <v>34699</v>
      </c>
      <c r="B66" s="85" t="n">
        <v>0.185</v>
      </c>
    </row>
    <row r="67">
      <c r="A67" s="82" t="n">
        <v>34730</v>
      </c>
      <c r="B67" s="83" t="n">
        <v>0.114</v>
      </c>
    </row>
    <row r="68">
      <c r="A68" s="84" t="n">
        <v>34758</v>
      </c>
      <c r="B68" s="85" t="n">
        <v>0.155</v>
      </c>
    </row>
    <row r="69">
      <c r="A69" s="82" t="n">
        <v>34789</v>
      </c>
      <c r="B69" s="83" t="n">
        <v>0.164</v>
      </c>
    </row>
    <row r="70">
      <c r="A70" s="84" t="n">
        <v>34819</v>
      </c>
      <c r="B70" s="85" t="n">
        <v>0.154</v>
      </c>
    </row>
    <row r="71">
      <c r="A71" s="82" t="n">
        <v>34850</v>
      </c>
      <c r="B71" s="83" t="n">
        <v>0.131</v>
      </c>
    </row>
    <row r="72">
      <c r="A72" s="84" t="n">
        <v>34880</v>
      </c>
      <c r="B72" s="85" t="n">
        <v>0.139</v>
      </c>
    </row>
    <row r="73">
      <c r="A73" s="82" t="n">
        <v>34911</v>
      </c>
      <c r="B73" s="83" t="n">
        <v>0.136</v>
      </c>
    </row>
    <row r="74">
      <c r="A74" s="84" t="n">
        <v>34942</v>
      </c>
      <c r="B74" s="85" t="n">
        <v>0.118</v>
      </c>
    </row>
    <row r="75">
      <c r="A75" s="82" t="n">
        <v>34972</v>
      </c>
      <c r="B75" s="83" t="n">
        <v>0.114</v>
      </c>
    </row>
    <row r="76">
      <c r="A76" s="84" t="n">
        <v>35003</v>
      </c>
      <c r="B76" s="85" t="n">
        <v>0.129</v>
      </c>
    </row>
    <row r="77">
      <c r="A77" s="82" t="n">
        <v>35033</v>
      </c>
      <c r="B77" s="83" t="n">
        <v>0.121</v>
      </c>
    </row>
    <row r="78">
      <c r="A78" s="84" t="n">
        <v>35064</v>
      </c>
      <c r="B78" s="85" t="n">
        <v>0.149</v>
      </c>
    </row>
    <row r="79">
      <c r="A79" s="82" t="n">
        <v>35095</v>
      </c>
      <c r="B79" s="83" t="n">
        <v>0.169</v>
      </c>
    </row>
    <row r="80">
      <c r="A80" s="84" t="n">
        <v>35124</v>
      </c>
      <c r="B80" s="85" t="n">
        <v>0.122</v>
      </c>
    </row>
    <row r="81">
      <c r="A81" s="82" t="n">
        <v>35155</v>
      </c>
      <c r="B81" s="83" t="n">
        <v>0.122</v>
      </c>
    </row>
    <row r="82">
      <c r="A82" s="84" t="n">
        <v>35185</v>
      </c>
      <c r="B82" s="85" t="n">
        <v>0.137</v>
      </c>
    </row>
    <row r="83">
      <c r="A83" s="82" t="n">
        <v>35216</v>
      </c>
      <c r="B83" s="83" t="n">
        <v>0.131</v>
      </c>
    </row>
    <row r="84">
      <c r="A84" s="84" t="n">
        <v>35246</v>
      </c>
      <c r="B84" s="85" t="n">
        <v>0.138</v>
      </c>
    </row>
    <row r="85">
      <c r="A85" s="82" t="n">
        <v>35277</v>
      </c>
      <c r="B85" s="83" t="n">
        <v>0.122</v>
      </c>
    </row>
    <row r="86">
      <c r="A86" s="84" t="n">
        <v>35308</v>
      </c>
      <c r="B86" s="85" t="n">
        <v>0.106</v>
      </c>
    </row>
    <row r="87">
      <c r="A87" s="82" t="n">
        <v>35338</v>
      </c>
      <c r="B87" s="83" t="n">
        <v>0.137</v>
      </c>
    </row>
    <row r="88">
      <c r="A88" s="84" t="n">
        <v>35369</v>
      </c>
      <c r="B88" s="85" t="n">
        <v>0.133</v>
      </c>
    </row>
    <row r="89">
      <c r="A89" s="82" t="n">
        <v>35399</v>
      </c>
      <c r="B89" s="83" t="n">
        <v>0.134</v>
      </c>
    </row>
    <row r="90">
      <c r="A90" s="84" t="n">
        <v>35430</v>
      </c>
      <c r="B90" s="85" t="n">
        <v>0.14</v>
      </c>
    </row>
    <row r="91">
      <c r="A91" s="82" t="n">
        <v>35461</v>
      </c>
      <c r="B91" s="83" t="n">
        <v>0.103</v>
      </c>
    </row>
    <row r="92">
      <c r="A92" s="84" t="n">
        <v>35489</v>
      </c>
      <c r="B92" s="85" t="n">
        <v>0.104</v>
      </c>
    </row>
    <row r="93">
      <c r="A93" s="82" t="n">
        <v>35520</v>
      </c>
      <c r="B93" s="83" t="n">
        <v>0.135</v>
      </c>
    </row>
    <row r="94">
      <c r="A94" s="84" t="n">
        <v>35550</v>
      </c>
      <c r="B94" s="85" t="n">
        <v>0.119</v>
      </c>
    </row>
    <row r="95">
      <c r="A95" s="82" t="n">
        <v>35581</v>
      </c>
      <c r="B95" s="83" t="n">
        <v>0.119</v>
      </c>
    </row>
    <row r="96">
      <c r="A96" s="84" t="n">
        <v>35611</v>
      </c>
      <c r="B96" s="85" t="n">
        <v>0.121</v>
      </c>
    </row>
    <row r="97">
      <c r="A97" s="82" t="n">
        <v>35642</v>
      </c>
      <c r="B97" s="83" t="n">
        <v>0.08400000000000001</v>
      </c>
    </row>
    <row r="98">
      <c r="A98" s="84" t="n">
        <v>35673</v>
      </c>
      <c r="B98" s="85" t="n">
        <v>0.109</v>
      </c>
    </row>
    <row r="99">
      <c r="A99" s="82" t="n">
        <v>35703</v>
      </c>
      <c r="B99" s="83" t="n">
        <v>0.111</v>
      </c>
    </row>
    <row r="100">
      <c r="A100" s="84" t="n">
        <v>35734</v>
      </c>
      <c r="B100" s="85" t="n">
        <v>0.118</v>
      </c>
    </row>
    <row r="101">
      <c r="A101" s="82" t="n">
        <v>35764</v>
      </c>
      <c r="B101" s="83" t="n">
        <v>0.116</v>
      </c>
    </row>
    <row r="102">
      <c r="A102" s="84" t="n">
        <v>35795</v>
      </c>
      <c r="B102" s="85" t="n">
        <v>0.092</v>
      </c>
    </row>
    <row r="103">
      <c r="A103" s="82" t="n">
        <v>35826</v>
      </c>
      <c r="B103" s="83" t="n">
        <v>0.018</v>
      </c>
    </row>
    <row r="104">
      <c r="A104" s="84" t="n">
        <v>35854</v>
      </c>
      <c r="B104" s="85" t="n">
        <v>0.095</v>
      </c>
    </row>
    <row r="105">
      <c r="A105" s="82" t="n">
        <v>35885</v>
      </c>
      <c r="B105" s="83" t="n">
        <v>0.09</v>
      </c>
    </row>
    <row r="106">
      <c r="A106" s="84" t="n">
        <v>35915</v>
      </c>
      <c r="B106" s="85" t="n">
        <v>0.07199999999999999</v>
      </c>
    </row>
    <row r="107">
      <c r="A107" s="82" t="n">
        <v>35946</v>
      </c>
      <c r="B107" s="83" t="n">
        <v>0.08</v>
      </c>
    </row>
    <row r="108">
      <c r="A108" s="84" t="n">
        <v>35976</v>
      </c>
      <c r="B108" s="85" t="n">
        <v>0.079</v>
      </c>
    </row>
    <row r="109">
      <c r="A109" s="82" t="n">
        <v>36007</v>
      </c>
      <c r="B109" s="83" t="n">
        <v>0.076</v>
      </c>
    </row>
    <row r="110">
      <c r="A110" s="84" t="n">
        <v>36038</v>
      </c>
      <c r="B110" s="85" t="n">
        <v>0.079</v>
      </c>
    </row>
    <row r="111">
      <c r="A111" s="82" t="n">
        <v>36068</v>
      </c>
      <c r="B111" s="83" t="n">
        <v>0.102</v>
      </c>
    </row>
    <row r="112">
      <c r="A112" s="84" t="n">
        <v>36099</v>
      </c>
      <c r="B112" s="85" t="n">
        <v>0.106</v>
      </c>
    </row>
    <row r="113">
      <c r="A113" s="82" t="n">
        <v>36129</v>
      </c>
      <c r="B113" s="83" t="n">
        <v>0.11</v>
      </c>
    </row>
    <row r="114">
      <c r="A114" s="84" t="n">
        <v>36160</v>
      </c>
      <c r="B114" s="85" t="n">
        <v>0.115</v>
      </c>
    </row>
    <row r="115">
      <c r="A115" s="82" t="n">
        <v>36191</v>
      </c>
      <c r="B115" s="83" t="n">
        <v>0.179</v>
      </c>
    </row>
    <row r="116">
      <c r="A116" s="84" t="n">
        <v>36219</v>
      </c>
      <c r="B116" s="85" t="n">
        <v>0.021</v>
      </c>
    </row>
    <row r="117">
      <c r="A117" s="82" t="n">
        <v>36250</v>
      </c>
      <c r="B117" s="83" t="n">
        <v>0.09</v>
      </c>
    </row>
    <row r="118">
      <c r="A118" s="84" t="n">
        <v>36280</v>
      </c>
      <c r="B118" s="85" t="n">
        <v>0.091</v>
      </c>
    </row>
    <row r="119">
      <c r="A119" s="82" t="n">
        <v>36311</v>
      </c>
      <c r="B119" s="83" t="n">
        <v>0.089</v>
      </c>
    </row>
    <row r="120">
      <c r="A120" s="84" t="n">
        <v>36341</v>
      </c>
      <c r="B120" s="85" t="n">
        <v>0.091</v>
      </c>
    </row>
    <row r="121">
      <c r="A121" s="82" t="n">
        <v>36372</v>
      </c>
      <c r="B121" s="83" t="n">
        <v>0.093</v>
      </c>
    </row>
    <row r="122">
      <c r="A122" s="84" t="n">
        <v>36403</v>
      </c>
      <c r="B122" s="85" t="n">
        <v>0.095</v>
      </c>
    </row>
    <row r="123">
      <c r="A123" s="82" t="n">
        <v>36433</v>
      </c>
      <c r="B123" s="83" t="n">
        <v>0.082</v>
      </c>
    </row>
    <row r="124">
      <c r="A124" s="84" t="n">
        <v>36464</v>
      </c>
      <c r="B124" s="85" t="n">
        <v>0.07000000000000001</v>
      </c>
    </row>
    <row r="125">
      <c r="A125" s="82" t="n">
        <v>36494</v>
      </c>
      <c r="B125" s="83" t="n">
        <v>0.076</v>
      </c>
    </row>
    <row r="126">
      <c r="A126" s="84" t="n">
        <v>36525</v>
      </c>
      <c r="B126" s="85" t="n">
        <v>0.074</v>
      </c>
    </row>
    <row r="127">
      <c r="A127" s="82" t="n">
        <v>36556</v>
      </c>
      <c r="B127" s="83" t="n">
        <v>0.089</v>
      </c>
    </row>
    <row r="128">
      <c r="A128" s="84" t="n">
        <v>36585</v>
      </c>
      <c r="B128" s="85" t="n">
        <v>0.12</v>
      </c>
    </row>
    <row r="129">
      <c r="A129" s="82" t="n">
        <v>36616</v>
      </c>
      <c r="B129" s="83" t="n">
        <v>0.119</v>
      </c>
    </row>
    <row r="130">
      <c r="A130" s="84" t="n">
        <v>36646</v>
      </c>
      <c r="B130" s="85" t="n">
        <v>0.114</v>
      </c>
    </row>
    <row r="131">
      <c r="A131" s="82" t="n">
        <v>36677</v>
      </c>
      <c r="B131" s="83" t="n">
        <v>0.115</v>
      </c>
    </row>
    <row r="132">
      <c r="A132" s="84" t="n">
        <v>36707</v>
      </c>
      <c r="B132" s="85" t="n">
        <v>0.122</v>
      </c>
    </row>
    <row r="133">
      <c r="A133" s="82" t="n">
        <v>36738</v>
      </c>
      <c r="B133" s="83" t="n">
        <v>0.128</v>
      </c>
    </row>
    <row r="134">
      <c r="A134" s="84" t="n">
        <v>36769</v>
      </c>
      <c r="B134" s="85" t="n">
        <v>0.128</v>
      </c>
    </row>
    <row r="135">
      <c r="A135" s="82" t="n">
        <v>36799</v>
      </c>
      <c r="B135" s="83" t="n">
        <v>0.12</v>
      </c>
    </row>
    <row r="136">
      <c r="A136" s="84" t="n">
        <v>36830</v>
      </c>
      <c r="B136" s="85" t="n">
        <v>0.114</v>
      </c>
    </row>
    <row r="137">
      <c r="A137" s="82" t="n">
        <v>36860</v>
      </c>
      <c r="B137" s="83" t="n">
        <v>0.106</v>
      </c>
    </row>
    <row r="138">
      <c r="A138" s="84" t="n">
        <v>36891</v>
      </c>
      <c r="B138" s="85" t="n">
        <v>0.104</v>
      </c>
    </row>
    <row r="139">
      <c r="A139" s="82" t="n">
        <v>36922</v>
      </c>
      <c r="B139" s="83" t="n">
        <v>0.023</v>
      </c>
    </row>
    <row r="140">
      <c r="A140" s="84" t="n">
        <v>36950</v>
      </c>
      <c r="B140" s="85" t="n">
        <v>0.19</v>
      </c>
    </row>
    <row r="141">
      <c r="A141" s="82" t="n">
        <v>36981</v>
      </c>
      <c r="B141" s="83" t="n">
        <v>0.121</v>
      </c>
    </row>
    <row r="142">
      <c r="A142" s="84" t="n">
        <v>37011</v>
      </c>
      <c r="B142" s="85" t="n">
        <v>0.115</v>
      </c>
    </row>
    <row r="143">
      <c r="A143" s="82" t="n">
        <v>37042</v>
      </c>
      <c r="B143" s="83" t="n">
        <v>0.102</v>
      </c>
    </row>
    <row r="144">
      <c r="A144" s="84" t="n">
        <v>37072</v>
      </c>
      <c r="B144" s="85" t="n">
        <v>0.101</v>
      </c>
    </row>
    <row r="145">
      <c r="A145" s="82" t="n">
        <v>37103</v>
      </c>
      <c r="B145" s="83" t="n">
        <v>0.081</v>
      </c>
    </row>
    <row r="146">
      <c r="A146" s="84" t="n">
        <v>37134</v>
      </c>
      <c r="B146" s="85" t="n">
        <v>0.081</v>
      </c>
    </row>
    <row r="147">
      <c r="A147" s="82" t="n">
        <v>37164</v>
      </c>
      <c r="B147" s="83" t="n">
        <v>0.095</v>
      </c>
    </row>
    <row r="148">
      <c r="A148" s="84" t="n">
        <v>37195</v>
      </c>
      <c r="B148" s="85" t="n">
        <v>0.08799999999999999</v>
      </c>
    </row>
    <row r="149">
      <c r="A149" s="82" t="n">
        <v>37225</v>
      </c>
      <c r="B149" s="83" t="n">
        <v>0.079</v>
      </c>
    </row>
    <row r="150">
      <c r="A150" s="84" t="n">
        <v>37256</v>
      </c>
      <c r="B150" s="85" t="n">
        <v>0.08699999999999999</v>
      </c>
    </row>
    <row r="151">
      <c r="A151" s="82" t="n">
        <v>37287</v>
      </c>
      <c r="B151" s="83" t="n">
        <v>0.186</v>
      </c>
    </row>
    <row r="152">
      <c r="A152" s="84" t="n">
        <v>37315</v>
      </c>
      <c r="B152" s="85" t="n">
        <v>0.027</v>
      </c>
    </row>
    <row r="153">
      <c r="A153" s="82" t="n">
        <v>37346</v>
      </c>
      <c r="B153" s="83" t="n">
        <v>0.109</v>
      </c>
    </row>
    <row r="154">
      <c r="A154" s="84" t="n">
        <v>37376</v>
      </c>
      <c r="B154" s="85" t="n">
        <v>0.121</v>
      </c>
    </row>
    <row r="155">
      <c r="A155" s="82" t="n">
        <v>37407</v>
      </c>
      <c r="B155" s="83" t="n">
        <v>0.129</v>
      </c>
    </row>
    <row r="156">
      <c r="A156" s="84" t="n">
        <v>37437</v>
      </c>
      <c r="B156" s="85" t="n">
        <v>0.124</v>
      </c>
    </row>
    <row r="157">
      <c r="A157" s="82" t="n">
        <v>37468</v>
      </c>
      <c r="B157" s="83" t="n">
        <v>0.128</v>
      </c>
    </row>
    <row r="158">
      <c r="A158" s="84" t="n">
        <v>37499</v>
      </c>
      <c r="B158" s="85" t="n">
        <v>0.127</v>
      </c>
    </row>
    <row r="159">
      <c r="A159" s="82" t="n">
        <v>37529</v>
      </c>
      <c r="B159" s="83" t="n">
        <v>0.138</v>
      </c>
    </row>
    <row r="160">
      <c r="A160" s="86" t="n">
        <v>37560</v>
      </c>
      <c r="B160" s="87" t="n">
        <v>0.142</v>
      </c>
    </row>
    <row r="161">
      <c r="A161" s="46" t="n">
        <v>37590</v>
      </c>
      <c r="B161" s="24" t="n">
        <v>0.145</v>
      </c>
      <c r="C161" s="23" t="n"/>
    </row>
    <row r="162">
      <c r="A162" s="47" t="n">
        <v>37621</v>
      </c>
      <c r="B162" s="48" t="n">
        <v>0.149</v>
      </c>
      <c r="C162" s="23" t="n"/>
    </row>
    <row r="163">
      <c r="A163" s="46" t="n">
        <v>37652</v>
      </c>
      <c r="B163" s="24" t="n">
        <v>0.148</v>
      </c>
      <c r="C163" s="23" t="n"/>
    </row>
    <row r="164">
      <c r="A164" s="47" t="n">
        <v>37680</v>
      </c>
      <c r="B164" s="48" t="n">
        <v>0.198</v>
      </c>
      <c r="C164" s="23" t="n"/>
    </row>
    <row r="165">
      <c r="A165" s="46" t="n">
        <v>37711</v>
      </c>
      <c r="B165" s="24" t="n">
        <v>0.169</v>
      </c>
      <c r="C165" s="23" t="n"/>
    </row>
    <row r="166">
      <c r="A166" s="47" t="n">
        <v>37741</v>
      </c>
      <c r="B166" s="48" t="n">
        <v>0.149</v>
      </c>
      <c r="C166" s="23" t="n"/>
    </row>
    <row r="167">
      <c r="A167" s="46" t="n">
        <v>37772</v>
      </c>
      <c r="B167" s="24" t="n">
        <v>0.137</v>
      </c>
      <c r="C167" s="23" t="n"/>
    </row>
    <row r="168">
      <c r="A168" s="47" t="n">
        <v>37802</v>
      </c>
      <c r="B168" s="48" t="n">
        <v>0.169</v>
      </c>
      <c r="C168" s="23" t="n"/>
    </row>
    <row r="169">
      <c r="A169" s="46" t="n">
        <v>37833</v>
      </c>
      <c r="B169" s="24" t="n">
        <v>0.165</v>
      </c>
      <c r="C169" s="23" t="n"/>
    </row>
    <row r="170">
      <c r="A170" s="47" t="n">
        <v>37864</v>
      </c>
      <c r="B170" s="48" t="n">
        <v>0.171</v>
      </c>
      <c r="C170" s="23" t="n"/>
    </row>
    <row r="171">
      <c r="A171" s="46" t="n">
        <v>37894</v>
      </c>
      <c r="B171" s="24" t="n">
        <v>0.163</v>
      </c>
      <c r="C171" s="23" t="n"/>
    </row>
    <row r="172">
      <c r="A172" s="47" t="n">
        <v>37925</v>
      </c>
      <c r="B172" s="48" t="n">
        <v>0.172</v>
      </c>
      <c r="C172" s="23" t="n"/>
    </row>
    <row r="173">
      <c r="A173" s="46" t="n">
        <v>37955</v>
      </c>
      <c r="B173" s="24" t="n">
        <v>0.179</v>
      </c>
      <c r="C173" s="23" t="n"/>
    </row>
    <row r="174">
      <c r="A174" s="47" t="n">
        <v>37986</v>
      </c>
      <c r="B174" s="48" t="n">
        <v>0.181</v>
      </c>
      <c r="C174" s="23" t="n"/>
    </row>
    <row r="175">
      <c r="A175" s="46" t="n">
        <v>38017</v>
      </c>
      <c r="B175" s="24" t="n">
        <v>0.07199999999999999</v>
      </c>
      <c r="C175" s="23" t="n"/>
    </row>
    <row r="176">
      <c r="A176" s="47" t="n">
        <v>38046</v>
      </c>
      <c r="B176" s="48" t="n">
        <v>0.232</v>
      </c>
      <c r="C176" s="23" t="n"/>
    </row>
    <row r="177">
      <c r="A177" s="46" t="n">
        <v>38077</v>
      </c>
      <c r="B177" s="24" t="n">
        <v>0.194</v>
      </c>
      <c r="C177" s="23" t="n"/>
    </row>
    <row r="178">
      <c r="A178" s="47" t="n">
        <v>38107</v>
      </c>
      <c r="B178" s="48" t="n">
        <v>0.191</v>
      </c>
      <c r="C178" s="23" t="n"/>
    </row>
    <row r="179">
      <c r="A179" s="46" t="n">
        <v>38138</v>
      </c>
      <c r="B179" s="24" t="n">
        <v>0.175</v>
      </c>
      <c r="C179" s="23" t="n"/>
    </row>
    <row r="180">
      <c r="A180" s="47" t="n">
        <v>38168</v>
      </c>
      <c r="B180" s="48" t="n">
        <v>0.162</v>
      </c>
      <c r="C180" s="23" t="n"/>
    </row>
    <row r="181">
      <c r="A181" s="46" t="n">
        <v>38199</v>
      </c>
      <c r="B181" s="24" t="n">
        <v>0.155</v>
      </c>
      <c r="C181" s="23" t="n"/>
    </row>
    <row r="182">
      <c r="A182" s="47" t="n">
        <v>38230</v>
      </c>
      <c r="B182" s="48" t="n">
        <v>0.159</v>
      </c>
      <c r="C182" s="23" t="n"/>
    </row>
    <row r="183">
      <c r="A183" s="46" t="n">
        <v>38260</v>
      </c>
      <c r="B183" s="24" t="n">
        <v>0.161</v>
      </c>
      <c r="C183" s="23" t="n"/>
    </row>
    <row r="184">
      <c r="A184" s="47" t="n">
        <v>38291</v>
      </c>
      <c r="B184" s="48" t="n">
        <v>0.157</v>
      </c>
      <c r="C184" s="23" t="n"/>
    </row>
    <row r="185">
      <c r="A185" s="46" t="n">
        <v>38321</v>
      </c>
      <c r="B185" s="24" t="n">
        <v>0.148</v>
      </c>
      <c r="C185" s="23" t="n"/>
    </row>
    <row r="186">
      <c r="A186" s="47" t="n">
        <v>38352</v>
      </c>
      <c r="B186" s="48" t="n">
        <v>0.144</v>
      </c>
      <c r="C186" s="23" t="n"/>
    </row>
    <row r="187">
      <c r="A187" s="46" t="n">
        <v>38383</v>
      </c>
      <c r="B187" s="24" t="n">
        <v>0.209</v>
      </c>
      <c r="C187" s="23" t="n">
        <v>52.1</v>
      </c>
    </row>
    <row r="188">
      <c r="A188" s="46" t="n">
        <v>38411</v>
      </c>
      <c r="B188" s="48" t="n">
        <v>0.076</v>
      </c>
      <c r="C188" s="23" t="n">
        <v>52.9</v>
      </c>
    </row>
    <row r="189">
      <c r="A189" s="47" t="n">
        <v>38442</v>
      </c>
      <c r="B189" s="48" t="n">
        <v>0.151</v>
      </c>
      <c r="C189" s="23" t="n">
        <v>55.2</v>
      </c>
    </row>
    <row r="190">
      <c r="A190" s="46" t="n">
        <v>38472</v>
      </c>
      <c r="B190" s="24" t="n">
        <v>0.16</v>
      </c>
      <c r="C190" s="23" t="n">
        <v>54.4</v>
      </c>
    </row>
    <row r="191">
      <c r="A191" s="47" t="n">
        <v>38503</v>
      </c>
      <c r="B191" s="48" t="n">
        <v>0.166</v>
      </c>
      <c r="C191" s="23" t="n">
        <v>53.3</v>
      </c>
    </row>
    <row r="192">
      <c r="A192" s="46" t="n">
        <v>38533</v>
      </c>
      <c r="B192" s="24" t="n">
        <v>0.168</v>
      </c>
      <c r="C192" s="23" t="n">
        <v>51</v>
      </c>
    </row>
    <row r="193">
      <c r="A193" s="47" t="n">
        <v>38564</v>
      </c>
      <c r="B193" s="48" t="n">
        <v>0.161</v>
      </c>
      <c r="C193" s="23" t="n">
        <v>51.5</v>
      </c>
    </row>
    <row r="194">
      <c r="A194" s="46" t="n">
        <v>38595</v>
      </c>
      <c r="B194" s="24" t="n">
        <v>0.16</v>
      </c>
      <c r="C194" s="23" t="n">
        <v>50.6</v>
      </c>
    </row>
    <row r="195">
      <c r="A195" s="47" t="n">
        <v>38625</v>
      </c>
      <c r="B195" s="48" t="n">
        <v>0.165</v>
      </c>
      <c r="C195" s="23" t="n">
        <v>50.9</v>
      </c>
    </row>
    <row r="196">
      <c r="A196" s="46" t="n">
        <v>38656</v>
      </c>
      <c r="B196" s="24" t="n">
        <v>0.161</v>
      </c>
      <c r="C196" s="23" t="n">
        <v>50.1</v>
      </c>
    </row>
    <row r="197">
      <c r="A197" s="47" t="n">
        <v>38686</v>
      </c>
      <c r="B197" s="48" t="n">
        <v>0.166</v>
      </c>
      <c r="C197" s="23" t="n">
        <v>49.8</v>
      </c>
    </row>
    <row r="198">
      <c r="A198" s="46" t="n">
        <v>38717</v>
      </c>
      <c r="B198" s="24" t="n">
        <v>0.165</v>
      </c>
      <c r="C198" s="23" t="n">
        <v>50.1</v>
      </c>
    </row>
    <row r="199">
      <c r="A199" s="46" t="n">
        <v>38776</v>
      </c>
      <c r="B199" s="24" t="n">
        <v>0.201</v>
      </c>
      <c r="C199" s="23" t="n">
        <v>50.7</v>
      </c>
    </row>
    <row r="200">
      <c r="A200" s="47" t="n">
        <v>38807</v>
      </c>
      <c r="B200" s="48" t="n">
        <v>0.178</v>
      </c>
      <c r="C200" s="23" t="n">
        <v>51</v>
      </c>
    </row>
    <row r="201">
      <c r="A201" s="46" t="n">
        <v>38837</v>
      </c>
      <c r="B201" s="24" t="n">
        <v>0.166</v>
      </c>
      <c r="C201" s="23" t="n">
        <v>52.7</v>
      </c>
    </row>
    <row r="202">
      <c r="A202" s="47" t="n">
        <v>38868</v>
      </c>
      <c r="B202" s="48" t="n">
        <v>0.179</v>
      </c>
      <c r="C202" s="23" t="n">
        <v>52.8</v>
      </c>
    </row>
    <row r="203">
      <c r="A203" s="46" t="n">
        <v>38898</v>
      </c>
      <c r="B203" s="24" t="n">
        <v>0.195</v>
      </c>
      <c r="C203" s="23" t="n">
        <v>52.9</v>
      </c>
    </row>
    <row r="204">
      <c r="A204" s="47" t="n">
        <v>38929</v>
      </c>
      <c r="B204" s="48" t="n">
        <v>0.167</v>
      </c>
      <c r="C204" s="23" t="n">
        <v>53</v>
      </c>
    </row>
    <row r="205">
      <c r="A205" s="46" t="n">
        <v>38960</v>
      </c>
      <c r="B205" s="24" t="n">
        <v>0.157</v>
      </c>
      <c r="C205" s="23" t="n">
        <v>52.6</v>
      </c>
    </row>
    <row r="206">
      <c r="A206" s="47" t="n">
        <v>38990</v>
      </c>
      <c r="B206" s="48" t="n">
        <v>0.161</v>
      </c>
      <c r="C206" s="23" t="n">
        <v>52.4</v>
      </c>
    </row>
    <row r="207">
      <c r="A207" s="46" t="n">
        <v>39021</v>
      </c>
      <c r="B207" s="24" t="n">
        <v>0.147</v>
      </c>
      <c r="C207" s="23" t="n">
        <v>52.1</v>
      </c>
    </row>
    <row r="208">
      <c r="A208" s="47" t="n">
        <v>39051</v>
      </c>
      <c r="B208" s="48" t="n">
        <v>0.149</v>
      </c>
      <c r="C208" s="23" t="n">
        <v>53</v>
      </c>
    </row>
    <row r="209">
      <c r="A209" s="46" t="n">
        <v>39082</v>
      </c>
      <c r="B209" s="24" t="n">
        <v>0.147</v>
      </c>
      <c r="C209" s="23" t="n">
        <v>52.4</v>
      </c>
    </row>
    <row r="210">
      <c r="A210" s="47" t="n">
        <v>39141</v>
      </c>
      <c r="B210" s="48" t="n">
        <v>0.126</v>
      </c>
      <c r="C210" s="23" t="n">
        <v>53</v>
      </c>
    </row>
    <row r="211">
      <c r="A211" s="47" t="n">
        <v>39172</v>
      </c>
      <c r="B211" s="48" t="n">
        <v>0.176</v>
      </c>
      <c r="C211" s="23" t="n">
        <v>52.3</v>
      </c>
    </row>
    <row r="212">
      <c r="A212" s="46" t="n">
        <v>39202</v>
      </c>
      <c r="B212" s="24" t="n">
        <v>0.174</v>
      </c>
      <c r="C212" s="23" t="n">
        <v>53.3</v>
      </c>
    </row>
    <row r="213">
      <c r="A213" s="47" t="n">
        <v>39233</v>
      </c>
      <c r="B213" s="48" t="n">
        <v>0.181</v>
      </c>
      <c r="C213" s="23" t="n">
        <v>54.1</v>
      </c>
    </row>
    <row r="214">
      <c r="A214" s="46" t="n">
        <v>39263</v>
      </c>
      <c r="B214" s="24" t="n">
        <v>0.194</v>
      </c>
      <c r="C214" s="23" t="n">
        <v>55</v>
      </c>
    </row>
    <row r="215">
      <c r="A215" s="47" t="n">
        <v>39294</v>
      </c>
      <c r="B215" s="48" t="n">
        <v>0.18</v>
      </c>
      <c r="C215" s="23" t="n">
        <v>53.2</v>
      </c>
    </row>
    <row r="216">
      <c r="A216" s="46" t="n">
        <v>39325</v>
      </c>
      <c r="B216" s="24" t="n">
        <v>0.175</v>
      </c>
      <c r="C216" s="23" t="n">
        <v>53.4</v>
      </c>
    </row>
    <row r="217">
      <c r="A217" s="47" t="n">
        <v>39355</v>
      </c>
      <c r="B217" s="48" t="n">
        <v>0.189</v>
      </c>
      <c r="C217" s="23" t="n">
        <v>55</v>
      </c>
    </row>
    <row r="218">
      <c r="A218" s="46" t="n">
        <v>39386</v>
      </c>
      <c r="B218" s="24" t="n">
        <v>0.179</v>
      </c>
      <c r="C218" s="23" t="n">
        <v>55.2</v>
      </c>
    </row>
    <row r="219">
      <c r="A219" s="47" t="n">
        <v>39416</v>
      </c>
      <c r="B219" s="48" t="n">
        <v>0.173</v>
      </c>
      <c r="C219" s="23" t="n">
        <v>52.8</v>
      </c>
    </row>
    <row r="220">
      <c r="A220" s="46" t="n">
        <v>39447</v>
      </c>
      <c r="B220" s="24" t="n">
        <v>0.174</v>
      </c>
      <c r="C220" s="23" t="n">
        <v>53.3</v>
      </c>
    </row>
    <row r="221">
      <c r="A221" s="47" t="n">
        <v>39507</v>
      </c>
      <c r="B221" s="48" t="n">
        <v>0.154</v>
      </c>
      <c r="C221" s="23" t="n">
        <v>52.8</v>
      </c>
    </row>
    <row r="222">
      <c r="A222" s="46" t="n">
        <v>39538</v>
      </c>
      <c r="B222" s="24" t="n">
        <v>0.178</v>
      </c>
      <c r="C222" s="23" t="n">
        <v>54.4</v>
      </c>
    </row>
    <row r="223">
      <c r="A223" s="47" t="n">
        <v>39568</v>
      </c>
      <c r="B223" s="48" t="n">
        <v>0.157</v>
      </c>
      <c r="C223" s="23" t="n">
        <v>55.4</v>
      </c>
    </row>
    <row r="224">
      <c r="A224" s="46" t="n">
        <v>39599</v>
      </c>
      <c r="B224" s="24" t="n">
        <v>0.16</v>
      </c>
      <c r="C224" s="23" t="n">
        <v>54.7</v>
      </c>
    </row>
    <row r="225">
      <c r="A225" s="47" t="n">
        <v>39629</v>
      </c>
      <c r="B225" s="48" t="n">
        <v>0.16</v>
      </c>
      <c r="C225" s="23" t="n">
        <v>53.3</v>
      </c>
    </row>
    <row r="226">
      <c r="A226" s="46" t="n">
        <v>39660</v>
      </c>
      <c r="B226" s="24" t="n">
        <v>0.147</v>
      </c>
      <c r="C226" s="23" t="n">
        <v>53.3</v>
      </c>
    </row>
    <row r="227">
      <c r="A227" s="47" t="n">
        <v>39691</v>
      </c>
      <c r="B227" s="48" t="n">
        <v>0.128</v>
      </c>
      <c r="C227" s="23" t="n">
        <v>49.2</v>
      </c>
    </row>
    <row r="228">
      <c r="A228" s="46" t="n">
        <v>39721</v>
      </c>
      <c r="B228" s="24" t="n">
        <v>0.114</v>
      </c>
      <c r="C228" s="23" t="n">
        <v>47.7</v>
      </c>
    </row>
    <row r="229">
      <c r="A229" s="47" t="n">
        <v>39752</v>
      </c>
      <c r="B229" s="48" t="n">
        <v>0.082</v>
      </c>
      <c r="C229" s="23" t="n">
        <v>45.2</v>
      </c>
    </row>
    <row r="230">
      <c r="A230" s="46" t="n">
        <v>39782</v>
      </c>
      <c r="B230" s="24" t="n">
        <v>0.054</v>
      </c>
      <c r="C230" s="23" t="n">
        <v>40.9</v>
      </c>
    </row>
    <row r="231">
      <c r="A231" s="47" t="n">
        <v>39813</v>
      </c>
      <c r="B231" s="48" t="n">
        <v>0.057</v>
      </c>
      <c r="C231" s="23" t="n">
        <v>41.2</v>
      </c>
    </row>
    <row r="232">
      <c r="A232" s="46" t="n">
        <v>39872</v>
      </c>
      <c r="B232" s="24" t="n">
        <v>0.11</v>
      </c>
      <c r="C232" s="23" t="n">
        <v>45.1</v>
      </c>
    </row>
    <row r="233">
      <c r="A233" s="46" t="n">
        <v>39903</v>
      </c>
      <c r="B233" s="24" t="n">
        <v>0.083</v>
      </c>
      <c r="C233" s="23" t="n">
        <v>44.8</v>
      </c>
    </row>
    <row r="234">
      <c r="A234" s="47" t="n">
        <v>39933</v>
      </c>
      <c r="B234" s="48" t="n">
        <v>0.073</v>
      </c>
      <c r="C234" s="23" t="n">
        <v>50.1</v>
      </c>
    </row>
    <row r="235">
      <c r="A235" s="46" t="n">
        <v>39964</v>
      </c>
      <c r="B235" s="24" t="n">
        <v>0.089</v>
      </c>
      <c r="C235" s="23" t="n">
        <v>51.2</v>
      </c>
    </row>
    <row r="236">
      <c r="A236" s="47" t="n">
        <v>39994</v>
      </c>
      <c r="B236" s="48" t="n">
        <v>0.107</v>
      </c>
      <c r="C236" s="23" t="n">
        <v>51.8</v>
      </c>
    </row>
    <row r="237">
      <c r="A237" s="46" t="n">
        <v>40025</v>
      </c>
      <c r="B237" s="24" t="n">
        <v>0.108</v>
      </c>
      <c r="C237" s="23" t="n">
        <v>52.8</v>
      </c>
    </row>
    <row r="238">
      <c r="A238" s="47" t="n">
        <v>40056</v>
      </c>
      <c r="B238" s="48" t="n">
        <v>0.123</v>
      </c>
      <c r="C238" s="23" t="n">
        <v>55.1</v>
      </c>
    </row>
    <row r="239">
      <c r="A239" s="46" t="n">
        <v>40086</v>
      </c>
      <c r="B239" s="24" t="n">
        <v>0.139</v>
      </c>
      <c r="C239" s="23" t="n">
        <v>55</v>
      </c>
    </row>
    <row r="240">
      <c r="A240" s="47" t="n">
        <v>40117</v>
      </c>
      <c r="B240" s="48" t="n">
        <v>0.161</v>
      </c>
      <c r="C240" s="23" t="n">
        <v>55.4</v>
      </c>
    </row>
    <row r="241">
      <c r="A241" s="46" t="n">
        <v>40147</v>
      </c>
      <c r="B241" s="24" t="n">
        <v>0.192</v>
      </c>
      <c r="C241" s="23" t="n">
        <v>55.7</v>
      </c>
    </row>
    <row r="242">
      <c r="A242" s="47" t="n">
        <v>40178</v>
      </c>
      <c r="B242" s="48" t="n">
        <v>0.185</v>
      </c>
      <c r="C242" s="23" t="n">
        <v>56.1</v>
      </c>
    </row>
    <row r="243">
      <c r="A243" s="47" t="n">
        <v>40237</v>
      </c>
      <c r="B243" s="48" t="n">
        <v>0.128</v>
      </c>
      <c r="C243" s="23" t="n">
        <v>55.8</v>
      </c>
    </row>
    <row r="244">
      <c r="A244" s="46" t="n">
        <v>40268</v>
      </c>
      <c r="B244" s="24" t="n">
        <v>0.181</v>
      </c>
      <c r="C244" s="23" t="n">
        <v>57</v>
      </c>
    </row>
    <row r="245">
      <c r="A245" s="47" t="n">
        <v>40298</v>
      </c>
      <c r="B245" s="48" t="n">
        <v>0.178</v>
      </c>
      <c r="C245" s="23" t="n">
        <v>55.4</v>
      </c>
    </row>
    <row r="246">
      <c r="A246" s="46" t="n">
        <v>40329</v>
      </c>
      <c r="B246" s="24" t="n">
        <v>0.165</v>
      </c>
      <c r="C246" s="23" t="n">
        <v>52.7</v>
      </c>
    </row>
    <row r="247">
      <c r="A247" s="47" t="n">
        <v>40359</v>
      </c>
      <c r="B247" s="48" t="n">
        <v>0.137</v>
      </c>
      <c r="C247" s="23" t="n">
        <v>50.4</v>
      </c>
    </row>
    <row r="248">
      <c r="A248" s="46" t="n">
        <v>40390</v>
      </c>
      <c r="B248" s="24" t="n">
        <v>0.134</v>
      </c>
      <c r="C248" s="23" t="n">
        <v>49.4</v>
      </c>
    </row>
    <row r="249">
      <c r="A249" s="47" t="n">
        <v>40421</v>
      </c>
      <c r="B249" s="48" t="n">
        <v>0.139</v>
      </c>
      <c r="C249" s="23" t="n">
        <v>51.9</v>
      </c>
    </row>
    <row r="250">
      <c r="A250" s="46" t="n">
        <v>40451</v>
      </c>
      <c r="B250" s="24" t="n">
        <v>0.133</v>
      </c>
      <c r="C250" s="23" t="n">
        <v>52.9</v>
      </c>
    </row>
    <row r="251">
      <c r="A251" s="47" t="n">
        <v>40482</v>
      </c>
      <c r="B251" s="48" t="n">
        <v>0.131</v>
      </c>
      <c r="C251" s="23" t="n">
        <v>54.8</v>
      </c>
    </row>
    <row r="252">
      <c r="A252" s="46" t="n">
        <v>40512</v>
      </c>
      <c r="B252" s="24" t="n">
        <v>0.133</v>
      </c>
      <c r="C252" s="23" t="n">
        <v>55.3</v>
      </c>
    </row>
    <row r="253">
      <c r="A253" s="47" t="n">
        <v>40543</v>
      </c>
      <c r="B253" s="48" t="n">
        <v>0.135</v>
      </c>
      <c r="C253" s="23" t="n">
        <v>54.4</v>
      </c>
    </row>
    <row r="254">
      <c r="A254" s="46" t="n">
        <v>40602</v>
      </c>
      <c r="B254" s="24" t="n">
        <v>0.141</v>
      </c>
      <c r="C254" s="23" t="n">
        <v>51.7</v>
      </c>
    </row>
    <row r="255">
      <c r="A255" s="46" t="n">
        <v>40633</v>
      </c>
      <c r="B255" s="24" t="n">
        <v>0.148</v>
      </c>
      <c r="C255" s="23" t="n">
        <v>51.8</v>
      </c>
    </row>
    <row r="256">
      <c r="A256" s="47" t="n">
        <v>40663</v>
      </c>
      <c r="B256" s="48" t="n">
        <v>0.134</v>
      </c>
      <c r="C256" s="23" t="n">
        <v>51.8</v>
      </c>
    </row>
    <row r="257">
      <c r="A257" s="46" t="n">
        <v>40694</v>
      </c>
      <c r="B257" s="24" t="n">
        <v>0.133</v>
      </c>
      <c r="C257" s="23" t="n">
        <v>51.6</v>
      </c>
    </row>
    <row r="258">
      <c r="A258" s="47" t="n">
        <v>40724</v>
      </c>
      <c r="B258" s="48" t="n">
        <v>0.151</v>
      </c>
      <c r="C258" s="23" t="n">
        <v>50.1</v>
      </c>
    </row>
    <row r="259">
      <c r="A259" s="46" t="n">
        <v>40755</v>
      </c>
      <c r="B259" s="24" t="n">
        <v>0.14</v>
      </c>
      <c r="C259" s="23" t="n">
        <v>49.3</v>
      </c>
    </row>
    <row r="260">
      <c r="A260" s="47" t="n">
        <v>40786</v>
      </c>
      <c r="B260" s="48" t="n">
        <v>0.135</v>
      </c>
      <c r="C260" s="23" t="n">
        <v>49.9</v>
      </c>
    </row>
    <row r="261">
      <c r="A261" s="46" t="n">
        <v>40816</v>
      </c>
      <c r="B261" s="24" t="n">
        <v>0.138</v>
      </c>
      <c r="C261" s="23" t="n">
        <v>49.9</v>
      </c>
    </row>
    <row r="262">
      <c r="A262" s="47" t="n">
        <v>40847</v>
      </c>
      <c r="B262" s="48" t="n">
        <v>0.132</v>
      </c>
      <c r="C262" s="23" t="n">
        <v>51</v>
      </c>
    </row>
    <row r="263">
      <c r="A263" s="46" t="n">
        <v>40877</v>
      </c>
      <c r="B263" s="24" t="n">
        <v>0.124</v>
      </c>
      <c r="C263" s="23" t="n">
        <v>47.7</v>
      </c>
    </row>
    <row r="264">
      <c r="A264" s="47" t="n">
        <v>40908</v>
      </c>
      <c r="B264" s="48" t="n">
        <v>0.128</v>
      </c>
      <c r="C264" s="23" t="n">
        <v>48.7</v>
      </c>
    </row>
    <row r="265">
      <c r="A265" s="46" t="n">
        <v>40968</v>
      </c>
      <c r="B265" s="24" t="n">
        <v>0.114</v>
      </c>
      <c r="C265" s="23" t="n">
        <v>49.6</v>
      </c>
    </row>
    <row r="266">
      <c r="A266" s="47" t="n">
        <v>40999</v>
      </c>
      <c r="B266" s="48" t="n">
        <v>0.119</v>
      </c>
      <c r="C266" s="23" t="n">
        <v>48.3</v>
      </c>
    </row>
    <row r="267">
      <c r="A267" s="46" t="n">
        <v>41029</v>
      </c>
      <c r="B267" s="24" t="n">
        <v>0.093</v>
      </c>
      <c r="C267" s="23" t="n">
        <v>49.3</v>
      </c>
    </row>
    <row r="268">
      <c r="A268" s="47" t="n">
        <v>41060</v>
      </c>
      <c r="B268" s="48" t="n">
        <v>0.096</v>
      </c>
      <c r="C268" s="23" t="n">
        <v>48.4</v>
      </c>
    </row>
    <row r="269">
      <c r="A269" s="46" t="n">
        <v>41090</v>
      </c>
      <c r="B269" s="24" t="n">
        <v>0.095</v>
      </c>
      <c r="C269" s="23" t="n">
        <v>48.2</v>
      </c>
    </row>
    <row r="270">
      <c r="A270" s="47" t="n">
        <v>41121</v>
      </c>
      <c r="B270" s="48" t="n">
        <v>0.092</v>
      </c>
      <c r="C270" s="23" t="n">
        <v>49.3</v>
      </c>
    </row>
    <row r="271">
      <c r="A271" s="46" t="n">
        <v>41152</v>
      </c>
      <c r="B271" s="24" t="n">
        <v>0.089</v>
      </c>
      <c r="C271" s="23" t="n">
        <v>47.7</v>
      </c>
    </row>
    <row r="272">
      <c r="A272" s="47" t="n">
        <v>41182</v>
      </c>
      <c r="B272" s="48" t="n">
        <v>0.092</v>
      </c>
      <c r="C272" s="23" t="n">
        <v>47.9</v>
      </c>
    </row>
    <row r="273">
      <c r="A273" s="46" t="n">
        <v>41213</v>
      </c>
      <c r="B273" s="24" t="n">
        <v>0.096</v>
      </c>
      <c r="C273" s="23" t="n">
        <v>49.5</v>
      </c>
    </row>
    <row r="274">
      <c r="A274" s="47" t="n">
        <v>41243</v>
      </c>
      <c r="B274" s="48" t="n">
        <v>0.101</v>
      </c>
      <c r="C274" s="23" t="n">
        <v>50.5</v>
      </c>
    </row>
    <row r="275">
      <c r="A275" s="46" t="n">
        <v>41274</v>
      </c>
      <c r="B275" s="24" t="n">
        <v>0.103</v>
      </c>
      <c r="C275" s="23" t="n">
        <v>51.5</v>
      </c>
    </row>
    <row r="276">
      <c r="A276" s="47" t="n">
        <v>41333</v>
      </c>
      <c r="B276" s="48" t="n">
        <v>0.099</v>
      </c>
      <c r="C276" s="23" t="n">
        <v>50.4</v>
      </c>
    </row>
    <row r="277">
      <c r="A277" s="46" t="n">
        <v>41364</v>
      </c>
      <c r="B277" s="24" t="n">
        <v>0.089</v>
      </c>
      <c r="C277" s="23" t="n">
        <v>51.6</v>
      </c>
    </row>
    <row r="278">
      <c r="A278" s="47" t="n">
        <v>41394</v>
      </c>
      <c r="B278" s="48" t="n">
        <v>0.093</v>
      </c>
      <c r="C278" s="23" t="n">
        <v>50.4</v>
      </c>
    </row>
    <row r="279">
      <c r="A279" s="46" t="n">
        <v>41425</v>
      </c>
      <c r="B279" s="24" t="n">
        <v>0.092</v>
      </c>
      <c r="C279" s="23" t="n">
        <v>49.2</v>
      </c>
    </row>
    <row r="280">
      <c r="A280" s="47" t="n">
        <v>41455</v>
      </c>
      <c r="B280" s="48" t="n">
        <v>0.089</v>
      </c>
      <c r="C280" s="23" t="n">
        <v>48.2</v>
      </c>
    </row>
    <row r="281">
      <c r="A281" s="46" t="n">
        <v>41486</v>
      </c>
      <c r="B281" s="24" t="n">
        <v>0.097</v>
      </c>
      <c r="C281" s="23" t="n">
        <v>47.7</v>
      </c>
    </row>
    <row r="282">
      <c r="A282" s="47" t="n">
        <v>41517</v>
      </c>
      <c r="B282" s="48" t="n">
        <v>0.104</v>
      </c>
      <c r="C282" s="23" t="n">
        <v>50.1</v>
      </c>
    </row>
    <row r="283">
      <c r="A283" s="46" t="n">
        <v>41547</v>
      </c>
      <c r="B283" s="24" t="n">
        <v>0.102</v>
      </c>
      <c r="C283" s="23" t="n">
        <v>50.2</v>
      </c>
    </row>
    <row r="284">
      <c r="A284" s="47" t="n">
        <v>41578</v>
      </c>
      <c r="B284" s="48" t="n">
        <v>0.103</v>
      </c>
      <c r="C284" s="23" t="n">
        <v>50.9</v>
      </c>
    </row>
    <row r="285">
      <c r="A285" s="46" t="n">
        <v>41608</v>
      </c>
      <c r="B285" s="24" t="n">
        <v>0.1</v>
      </c>
      <c r="C285" s="23" t="n">
        <v>50.8</v>
      </c>
    </row>
    <row r="286">
      <c r="A286" s="47" t="n">
        <v>41639</v>
      </c>
      <c r="B286" s="48" t="n">
        <v>0.097</v>
      </c>
      <c r="C286" s="23" t="n">
        <v>50.5</v>
      </c>
    </row>
    <row r="287">
      <c r="A287" s="46" t="n">
        <v>41698</v>
      </c>
      <c r="B287" s="24" t="n">
        <v>0.08599999999999999</v>
      </c>
      <c r="C287" s="23" t="n">
        <v>48.5</v>
      </c>
    </row>
    <row r="288">
      <c r="A288" s="47" t="n">
        <v>41729</v>
      </c>
      <c r="B288" s="48" t="n">
        <v>0.08799999999999999</v>
      </c>
      <c r="C288" s="23" t="n">
        <v>48</v>
      </c>
    </row>
    <row r="289">
      <c r="A289" s="46" t="n">
        <v>41759</v>
      </c>
      <c r="B289" s="24" t="n">
        <v>0.08699999999999999</v>
      </c>
      <c r="C289" s="23" t="n">
        <v>48.1</v>
      </c>
    </row>
    <row r="290">
      <c r="A290" s="47" t="n">
        <v>41790</v>
      </c>
      <c r="B290" s="48" t="n">
        <v>0.08799999999999999</v>
      </c>
      <c r="C290" s="23" t="n">
        <v>49.4</v>
      </c>
    </row>
    <row r="291">
      <c r="A291" s="46" t="n">
        <v>41820</v>
      </c>
      <c r="B291" s="24" t="n">
        <v>0.092</v>
      </c>
      <c r="C291" s="23" t="n">
        <v>50.7</v>
      </c>
    </row>
    <row r="292">
      <c r="A292" s="47" t="n">
        <v>41851</v>
      </c>
      <c r="B292" s="48" t="n">
        <v>0.09</v>
      </c>
      <c r="C292" s="23" t="n">
        <v>51.7</v>
      </c>
    </row>
    <row r="293">
      <c r="A293" s="46" t="n">
        <v>41882</v>
      </c>
      <c r="B293" s="24" t="n">
        <v>0.06900000000000001</v>
      </c>
      <c r="C293" s="23" t="n">
        <v>50.2</v>
      </c>
    </row>
    <row r="294">
      <c r="A294" s="47" t="n">
        <v>41912</v>
      </c>
      <c r="B294" s="48" t="n">
        <v>0.08</v>
      </c>
      <c r="C294" s="23" t="n">
        <v>51.1</v>
      </c>
    </row>
    <row r="295">
      <c r="A295" s="46" t="n">
        <v>41943</v>
      </c>
      <c r="B295" s="24" t="n">
        <v>0.077</v>
      </c>
      <c r="C295" s="23" t="n">
        <v>50.8</v>
      </c>
    </row>
    <row r="296">
      <c r="A296" s="47" t="n">
        <v>41973</v>
      </c>
      <c r="B296" s="48" t="n">
        <v>0.07199999999999999</v>
      </c>
      <c r="C296" s="23" t="n">
        <v>50.3</v>
      </c>
    </row>
    <row r="297">
      <c r="A297" s="46" t="n">
        <v>42004</v>
      </c>
      <c r="B297" s="24" t="n">
        <v>0.079</v>
      </c>
      <c r="C297" s="23" t="n">
        <v>50.1</v>
      </c>
    </row>
    <row r="298">
      <c r="A298" s="47" t="n">
        <v>42063</v>
      </c>
      <c r="B298" s="48" t="n">
        <v>0.068</v>
      </c>
      <c r="C298" s="23" t="n">
        <v>49.9</v>
      </c>
    </row>
    <row r="299">
      <c r="A299" s="46" t="n">
        <v>42094</v>
      </c>
      <c r="B299" s="24" t="n">
        <v>0.056</v>
      </c>
      <c r="C299" s="23" t="n">
        <v>50.1</v>
      </c>
    </row>
    <row r="300">
      <c r="A300" s="47" t="n">
        <v>42124</v>
      </c>
      <c r="B300" s="48" t="n">
        <v>0.059</v>
      </c>
      <c r="C300" s="23" t="n">
        <v>50.1</v>
      </c>
    </row>
    <row r="301">
      <c r="A301" s="46" t="n">
        <v>42155</v>
      </c>
      <c r="B301" s="24" t="n">
        <v>0.061</v>
      </c>
      <c r="C301" s="23" t="n">
        <v>50.2</v>
      </c>
    </row>
    <row r="302">
      <c r="A302" s="47" t="n">
        <v>42185</v>
      </c>
      <c r="B302" s="48" t="n">
        <v>0.068</v>
      </c>
      <c r="C302" s="23" t="n">
        <v>50.2</v>
      </c>
    </row>
    <row r="303">
      <c r="A303" s="46" t="n">
        <v>42216</v>
      </c>
      <c r="B303" s="24" t="n">
        <v>0.06</v>
      </c>
      <c r="C303" s="23" t="n">
        <v>50</v>
      </c>
    </row>
    <row r="304">
      <c r="A304" s="47" t="n">
        <v>42247</v>
      </c>
      <c r="B304" s="48" t="n">
        <v>0.061</v>
      </c>
      <c r="C304" s="23" t="n">
        <v>47.3</v>
      </c>
    </row>
    <row r="305">
      <c r="A305" s="46" t="n">
        <v>42277</v>
      </c>
      <c r="B305" s="24" t="n">
        <v>0.057</v>
      </c>
      <c r="C305" s="23" t="n">
        <v>47.2</v>
      </c>
    </row>
    <row r="306">
      <c r="A306" s="47" t="n">
        <v>42308</v>
      </c>
      <c r="B306" s="48" t="n">
        <v>0.056</v>
      </c>
      <c r="C306" s="23" t="n">
        <v>48.3</v>
      </c>
    </row>
    <row r="307">
      <c r="A307" s="46" t="n">
        <v>42338</v>
      </c>
      <c r="B307" s="24" t="n">
        <v>0.062</v>
      </c>
      <c r="C307" s="23" t="n">
        <v>48.6</v>
      </c>
    </row>
    <row r="308">
      <c r="A308" s="47" t="n">
        <v>42369</v>
      </c>
      <c r="B308" s="48" t="n">
        <v>0.059</v>
      </c>
      <c r="C308" s="23" t="n">
        <v>48.2</v>
      </c>
    </row>
    <row r="309">
      <c r="A309" s="46" t="n">
        <v>42400</v>
      </c>
      <c r="B309" s="24" t="n">
        <v>0.054</v>
      </c>
      <c r="C309" s="23" t="n">
        <v>48.4</v>
      </c>
    </row>
    <row r="310">
      <c r="A310" s="47" t="n">
        <v>42460</v>
      </c>
      <c r="B310" s="48" t="n">
        <v>0.068</v>
      </c>
      <c r="C310" s="23" t="n">
        <v>49.7</v>
      </c>
    </row>
    <row r="311">
      <c r="A311" s="46" t="n">
        <v>42490</v>
      </c>
      <c r="B311" s="24" t="n">
        <v>0.06</v>
      </c>
      <c r="C311" s="23" t="n">
        <v>49.4</v>
      </c>
    </row>
    <row r="312">
      <c r="A312" s="47" t="n">
        <v>42521</v>
      </c>
      <c r="B312" s="48" t="n">
        <v>0.06</v>
      </c>
      <c r="C312" s="23" t="n">
        <v>49.2</v>
      </c>
    </row>
    <row r="313">
      <c r="A313" s="46" t="n">
        <v>42551</v>
      </c>
      <c r="B313" s="24" t="n">
        <v>0.062</v>
      </c>
      <c r="C313" s="23" t="n">
        <v>48.6</v>
      </c>
    </row>
    <row r="314">
      <c r="A314" s="47" t="n">
        <v>42582</v>
      </c>
      <c r="B314" s="48" t="n">
        <v>0.06</v>
      </c>
      <c r="C314" s="23" t="n">
        <v>50.6</v>
      </c>
    </row>
    <row r="315">
      <c r="A315" s="46" t="n">
        <v>42613</v>
      </c>
      <c r="B315" s="24" t="n">
        <v>0.063</v>
      </c>
      <c r="C315" s="23" t="n">
        <v>50</v>
      </c>
    </row>
    <row r="316">
      <c r="A316" s="47" t="n">
        <v>42643</v>
      </c>
      <c r="B316" s="48" t="n">
        <v>0.061</v>
      </c>
      <c r="C316" s="23" t="n">
        <v>50.1</v>
      </c>
    </row>
    <row r="317">
      <c r="A317" s="46" t="n">
        <v>42674</v>
      </c>
      <c r="B317" s="24" t="n">
        <v>0.061</v>
      </c>
      <c r="C317" s="23" t="n">
        <v>51.2</v>
      </c>
    </row>
    <row r="318">
      <c r="A318" s="47" t="n">
        <v>42704</v>
      </c>
      <c r="B318" s="48" t="n">
        <v>0.062</v>
      </c>
      <c r="C318" s="23" t="n">
        <v>50.9</v>
      </c>
    </row>
    <row r="319">
      <c r="A319" s="46" t="n">
        <v>42735</v>
      </c>
      <c r="B319" s="24" t="n">
        <v>0.06</v>
      </c>
      <c r="C319" s="23" t="n">
        <v>51.9</v>
      </c>
    </row>
    <row r="320">
      <c r="A320" s="47" t="n">
        <v>42766</v>
      </c>
      <c r="B320" s="48" t="n">
        <v>0.063</v>
      </c>
      <c r="C320" s="23" t="n">
        <v>51</v>
      </c>
    </row>
    <row r="321">
      <c r="A321" s="46" t="n">
        <v>42825</v>
      </c>
      <c r="B321" s="24" t="n">
        <v>0.076</v>
      </c>
      <c r="C321" s="23" t="n">
        <v>51.2</v>
      </c>
    </row>
    <row r="322">
      <c r="A322" s="47" t="n">
        <v>42855</v>
      </c>
      <c r="B322" s="48" t="n">
        <v>0.065</v>
      </c>
      <c r="C322" s="23" t="n">
        <v>50.3</v>
      </c>
    </row>
    <row r="323">
      <c r="A323" s="46" t="n">
        <v>42886</v>
      </c>
      <c r="B323" s="24" t="n">
        <v>0.065</v>
      </c>
      <c r="C323" s="23" t="n">
        <v>49.6</v>
      </c>
    </row>
    <row r="324">
      <c r="A324" s="47" t="n">
        <v>42916</v>
      </c>
      <c r="B324" s="48" t="n">
        <v>0.076</v>
      </c>
      <c r="C324" s="23" t="n">
        <v>50.4</v>
      </c>
    </row>
    <row r="325">
      <c r="A325" s="46" t="n">
        <v>42947</v>
      </c>
      <c r="B325" s="24" t="n">
        <v>0.064</v>
      </c>
      <c r="C325" s="23" t="n">
        <v>51.1</v>
      </c>
    </row>
    <row r="326">
      <c r="A326" s="47" t="n">
        <v>42978</v>
      </c>
      <c r="B326" s="48" t="n">
        <v>0.06</v>
      </c>
      <c r="C326" s="23" t="n">
        <v>51.6</v>
      </c>
    </row>
    <row r="327">
      <c r="A327" s="46" t="n">
        <v>43008</v>
      </c>
      <c r="B327" s="24" t="n">
        <v>0.066</v>
      </c>
      <c r="C327" s="23" t="n">
        <v>51</v>
      </c>
    </row>
    <row r="328">
      <c r="A328" s="47" t="n">
        <v>43039</v>
      </c>
      <c r="B328" s="48" t="n">
        <v>0.062</v>
      </c>
      <c r="C328" s="23" t="n">
        <v>51</v>
      </c>
    </row>
    <row r="329">
      <c r="A329" s="46" t="n">
        <v>43069</v>
      </c>
      <c r="B329" s="24" t="n">
        <v>0.061</v>
      </c>
      <c r="C329" s="23" t="n">
        <v>50.8</v>
      </c>
    </row>
    <row r="330">
      <c r="A330" s="47" t="n">
        <v>43100</v>
      </c>
      <c r="B330" s="48" t="n">
        <v>0.062</v>
      </c>
      <c r="C330" s="23" t="n">
        <v>51.5</v>
      </c>
    </row>
    <row r="331">
      <c r="A331" s="46" t="n">
        <v>43159</v>
      </c>
      <c r="B331" s="24" t="n">
        <v>0.07199999999999999</v>
      </c>
      <c r="C331" s="23" t="n">
        <v>51.5</v>
      </c>
    </row>
    <row r="332">
      <c r="A332" s="47" t="n">
        <v>43190</v>
      </c>
      <c r="B332" s="48" t="n">
        <v>0.06</v>
      </c>
      <c r="C332" s="23" t="n">
        <v>51</v>
      </c>
    </row>
    <row r="333">
      <c r="A333" s="46" t="n">
        <v>43220</v>
      </c>
      <c r="B333" s="24" t="n">
        <v>0.07000000000000001</v>
      </c>
      <c r="C333" s="23" t="n">
        <v>51.1</v>
      </c>
    </row>
    <row r="334">
      <c r="A334" s="47" t="n">
        <v>43251</v>
      </c>
      <c r="B334" s="48" t="n">
        <v>0.068</v>
      </c>
      <c r="C334" s="23" t="n">
        <v>51.1</v>
      </c>
    </row>
    <row r="335">
      <c r="A335" s="46" t="n">
        <v>43281</v>
      </c>
      <c r="B335" s="24" t="n">
        <v>0.06</v>
      </c>
      <c r="C335" s="23" t="n">
        <v>51</v>
      </c>
    </row>
    <row r="336">
      <c r="A336" s="47" t="n">
        <v>43312</v>
      </c>
      <c r="B336" s="48" t="n">
        <v>0.06</v>
      </c>
      <c r="C336" s="23" t="n">
        <v>50.8</v>
      </c>
    </row>
    <row r="337">
      <c r="A337" s="46" t="n">
        <v>43343</v>
      </c>
      <c r="B337" s="24" t="n">
        <v>0.061</v>
      </c>
      <c r="C337" s="23" t="n">
        <v>50.6</v>
      </c>
    </row>
    <row r="338">
      <c r="A338" s="47" t="n">
        <v>43373</v>
      </c>
      <c r="B338" s="48" t="n">
        <v>0.058</v>
      </c>
      <c r="C338" s="23" t="n">
        <v>50</v>
      </c>
    </row>
    <row r="339">
      <c r="A339" s="46" t="n">
        <v>43404</v>
      </c>
      <c r="B339" s="24" t="n">
        <v>0.059</v>
      </c>
      <c r="C339" s="23" t="n">
        <v>50.1</v>
      </c>
    </row>
    <row r="340">
      <c r="A340" s="47" t="n">
        <v>43434</v>
      </c>
      <c r="B340" s="48" t="n">
        <v>0.054</v>
      </c>
      <c r="C340" s="23" t="n">
        <v>50.2</v>
      </c>
    </row>
    <row r="341">
      <c r="A341" s="46" t="n">
        <v>43465</v>
      </c>
      <c r="B341" s="24" t="n">
        <v>0.057</v>
      </c>
      <c r="C341" s="23" t="n">
        <v>49.7</v>
      </c>
    </row>
    <row r="342">
      <c r="A342" s="47" t="n">
        <v>43496</v>
      </c>
      <c r="B342" s="48" t="n">
        <v>0.053</v>
      </c>
      <c r="C342" s="23" t="n">
        <v>48.3</v>
      </c>
    </row>
    <row r="343">
      <c r="A343" s="46" t="n">
        <v>43524</v>
      </c>
      <c r="B343" s="24" t="n">
        <v>0.08500000000000001</v>
      </c>
      <c r="C343" s="23" t="n">
        <v>49.9</v>
      </c>
    </row>
    <row r="344">
      <c r="A344" s="47" t="n">
        <v>43555</v>
      </c>
      <c r="B344" s="48" t="n">
        <v>0.054</v>
      </c>
      <c r="C344" s="23" t="n">
        <v>50.8</v>
      </c>
    </row>
    <row r="345">
      <c r="A345" s="47" t="n">
        <v>43585</v>
      </c>
      <c r="B345" s="48" t="n">
        <v>0.054</v>
      </c>
      <c r="C345" s="23" t="n">
        <v>50.2</v>
      </c>
    </row>
    <row r="346">
      <c r="A346" s="46" t="n">
        <v>43616</v>
      </c>
      <c r="B346" s="24" t="n">
        <v>0.05</v>
      </c>
      <c r="C346" s="23" t="n">
        <v>50.2</v>
      </c>
    </row>
    <row r="347">
      <c r="A347" s="46" t="n">
        <v>43646</v>
      </c>
      <c r="B347" s="24" t="n">
        <v>0.063</v>
      </c>
      <c r="C347" s="23" t="n">
        <v>49.4</v>
      </c>
    </row>
    <row r="348">
      <c r="A348" s="47" t="n">
        <v>43677</v>
      </c>
      <c r="B348" s="48" t="n">
        <v>0.048</v>
      </c>
      <c r="C348" s="23" t="n">
        <v>49.9</v>
      </c>
    </row>
    <row r="349">
      <c r="A349" s="46" t="n">
        <v>43708</v>
      </c>
      <c r="B349" s="24" t="n">
        <v>0.044</v>
      </c>
      <c r="C349" s="23" t="n">
        <v>50.4</v>
      </c>
    </row>
    <row r="350">
      <c r="A350" s="47" t="n">
        <v>43738</v>
      </c>
      <c r="B350" s="48" t="n">
        <v>0.058</v>
      </c>
      <c r="C350" s="23" t="n">
        <v>51.4</v>
      </c>
    </row>
    <row r="351">
      <c r="A351" s="46" t="n">
        <v>43769</v>
      </c>
      <c r="B351" s="24" t="n">
        <v>0.047</v>
      </c>
      <c r="C351" s="23" t="n">
        <v>51.7</v>
      </c>
    </row>
    <row r="352">
      <c r="A352" s="46" t="n">
        <v>43799</v>
      </c>
      <c r="B352" s="24" t="n">
        <v>0.062</v>
      </c>
      <c r="C352" s="23" t="n">
        <v>51.8</v>
      </c>
    </row>
    <row r="353">
      <c r="A353" s="46" t="n">
        <v>43830</v>
      </c>
      <c r="B353" s="24" t="n">
        <v>0.06900000000000001</v>
      </c>
      <c r="C353" s="23" t="n">
        <v>51.5</v>
      </c>
    </row>
    <row r="354">
      <c r="A354" s="46" t="n">
        <v>43890</v>
      </c>
      <c r="B354" s="24" t="n">
        <v>-0.135</v>
      </c>
      <c r="C354" s="23" t="n">
        <v>51.1</v>
      </c>
    </row>
    <row r="355">
      <c r="A355" s="46" t="n">
        <v>43921</v>
      </c>
      <c r="B355" s="24" t="n">
        <v>-0.011</v>
      </c>
      <c r="C355" s="23" t="n">
        <v>40.3</v>
      </c>
    </row>
    <row r="356">
      <c r="A356" s="46" t="n">
        <v>43951</v>
      </c>
      <c r="B356" s="24" t="n">
        <v>0.039</v>
      </c>
      <c r="C356" s="23" t="n">
        <v>50.1</v>
      </c>
    </row>
    <row r="357">
      <c r="A357" s="46" t="n">
        <v>43982</v>
      </c>
      <c r="B357" s="24" t="n">
        <v>0.044</v>
      </c>
      <c r="C357" s="23" t="n">
        <v>49.4</v>
      </c>
    </row>
    <row r="358">
      <c r="A358" s="46" t="n">
        <v>44012</v>
      </c>
      <c r="B358" s="24" t="n">
        <v>0.048</v>
      </c>
      <c r="C358" s="23" t="n">
        <v>50.7</v>
      </c>
    </row>
    <row r="359">
      <c r="A359" s="46" t="n">
        <v>44043</v>
      </c>
      <c r="B359" s="24" t="n">
        <v>0.048</v>
      </c>
      <c r="C359" s="23" t="n">
        <v>51.2</v>
      </c>
    </row>
    <row r="360">
      <c r="A360" s="46" t="n">
        <v>44074</v>
      </c>
      <c r="B360" s="24" t="n">
        <v>0.056</v>
      </c>
      <c r="C360" s="23" t="n">
        <v>52.8</v>
      </c>
    </row>
    <row r="361">
      <c r="A361" s="46" t="n">
        <v>44104</v>
      </c>
      <c r="B361" s="24" t="n">
        <v>0.06900000000000001</v>
      </c>
      <c r="C361" s="23" t="n">
        <v>53.1</v>
      </c>
    </row>
    <row r="362">
      <c r="A362" s="46" t="n">
        <v>44135</v>
      </c>
      <c r="B362" s="24" t="n">
        <v>0.06900000000000001</v>
      </c>
      <c r="C362" s="23" t="n">
        <v>53</v>
      </c>
    </row>
    <row r="363">
      <c r="A363" s="46" t="n">
        <v>44165</v>
      </c>
      <c r="B363" s="24" t="n">
        <v>0.07000000000000001</v>
      </c>
      <c r="C363" s="23" t="n">
        <v>53.6</v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2018-12-14T12:31:30Z</dcterms:created>
  <dcterms:modified xmlns:dcterms="http://purl.org/dc/terms/" xmlns:xsi="http://www.w3.org/2001/XMLSchema-instance" xsi:type="dcterms:W3CDTF">2021-12-21T16:42:20Z</dcterms:modified>
  <cp:lastModifiedBy>Mark Mukherjee</cp:lastModifiedBy>
</cp:coreProperties>
</file>