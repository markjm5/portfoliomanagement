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World'!$H$2:$H$396</f>
              <numCache>
                <formatCode>0.00</formatCode>
                <ptCount val="395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87.74671052614468</v>
                </pt>
                <pt idx="341">
                  <v>88.24013157863963</v>
                </pt>
                <pt idx="342">
                  <v>87.25328947364972</v>
                </pt>
                <pt idx="343">
                  <v>87.9111842105838</v>
                </pt>
                <pt idx="344">
                  <v>88.1578947368313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87.41776315808886</v>
                </pt>
                <pt idx="355">
                  <v>86.67763157934641</v>
                </pt>
                <pt idx="356">
                  <v>86.4309210522765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80.59210526332294</v>
                </pt>
                <pt idx="367">
                  <v>85.93749999978155</v>
                </pt>
                <pt idx="368">
                  <v>82.4835526314944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87.0888157892106</v>
                </pt>
                <pt idx="379">
                  <v>85.77302631616485</v>
                </pt>
                <pt idx="380">
                  <v>86.8421052629631</v>
                </pt>
                <pt idx="381">
                  <v>86.10197368422068</v>
                </pt>
                <pt idx="382">
                  <v>87.74671052614468</v>
                </pt>
                <pt idx="383">
                  <v>86.8421052629631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88.32236842127043</v>
                </pt>
                <pt idx="388">
                  <v>87.41776315808886</v>
                </pt>
                <pt idx="389">
                  <v>85.69078947353407</v>
                </pt>
                <pt idx="390">
                  <v>86.01973684241233</v>
                </pt>
                <pt idx="391">
                  <v>87.99342105239216</v>
                </pt>
                <pt idx="392">
                  <v>86.4309210522765</v>
                </pt>
                <pt idx="393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World'!$I$2:$I$396</f>
              <numCache>
                <formatCode>0.00</formatCode>
                <ptCount val="395"/>
                <pt idx="0">
                  <v>88.96370023419203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90.12490241998438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88.8368462138954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84.84582357533178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91.49102263856362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96.07728337236533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98.82903981264637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106.9184231069477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92.42779078844652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100.0292740046838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98.42896174863388</v>
                </pt>
                <pt idx="265">
                  <v>99.32669789227167</v>
                </pt>
                <pt idx="266">
                  <v>98.21428571428572</v>
                </pt>
                <pt idx="267">
                  <v>98.53629976580797</v>
                </pt>
                <pt idx="268">
                  <v>97.23848555815769</v>
                </pt>
                <pt idx="269">
                  <v>96.4383294301327</v>
                </pt>
                <pt idx="270">
                  <v>97.09211553473848</v>
                </pt>
                <pt idx="271">
                  <v>99.25839188134269</v>
                </pt>
                <pt idx="272">
                  <v>97.0335675253708</v>
                </pt>
                <pt idx="273">
                  <v>95.59914129586261</v>
                </pt>
                <pt idx="274">
                  <v>95.58938329430131</v>
                </pt>
                <pt idx="275">
                  <v>96.44808743169399</v>
                </pt>
                <pt idx="276">
                  <v>96.31147540983606</v>
                </pt>
                <pt idx="277">
                  <v>97.22872755659641</v>
                </pt>
                <pt idx="278">
                  <v>97.49219359875097</v>
                </pt>
                <pt idx="279">
                  <v>98.94613583138174</v>
                </pt>
                <pt idx="280">
                  <v>98.67291178766588</v>
                </pt>
                <pt idx="281">
                  <v>97.45316159250585</v>
                </pt>
                <pt idx="282">
                  <v>96.71155347384855</v>
                </pt>
                <pt idx="283">
                  <v>95.99921935987508</v>
                </pt>
                <pt idx="284">
                  <v>96.65300546448087</v>
                </pt>
                <pt idx="285">
                  <v>96.52615144418422</v>
                </pt>
                <pt idx="286">
                  <v>98.27283372365339</v>
                </pt>
                <pt idx="287">
                  <v>97.05308352849336</v>
                </pt>
                <pt idx="288">
                  <v>95.63817330210773</v>
                </pt>
                <pt idx="289">
                  <v>96.96526151444185</v>
                </pt>
                <pt idx="290">
                  <v>96.45784543325526</v>
                </pt>
                <pt idx="291">
                  <v>96.69203747072599</v>
                </pt>
                <pt idx="292">
                  <v>94.8575331772053</v>
                </pt>
                <pt idx="293">
                  <v>96.71155347384855</v>
                </pt>
                <pt idx="294">
                  <v>97.70686963309913</v>
                </pt>
                <pt idx="295">
                  <v>95.9406713505074</v>
                </pt>
                <pt idx="296">
                  <v>96.75058548009368</v>
                </pt>
                <pt idx="297">
                  <v>95.22833723653396</v>
                </pt>
                <pt idx="298">
                  <v>94.43793911007026</v>
                </pt>
                <pt idx="299">
                  <v>97.23848555815769</v>
                </pt>
                <pt idx="300">
                  <v>97.0823575331772</v>
                </pt>
                <pt idx="301">
                  <v>97.59953161592505</v>
                </pt>
                <pt idx="302">
                  <v>97.52146760343481</v>
                </pt>
                <pt idx="303">
                  <v>96.85792349726776</v>
                </pt>
                <pt idx="304">
                  <v>97.86299765807962</v>
                </pt>
                <pt idx="305">
                  <v>97.78493364558938</v>
                </pt>
                <pt idx="306">
                  <v>96.7896174863388</v>
                </pt>
                <pt idx="307">
                  <v>97.66783762685402</v>
                </pt>
                <pt idx="308">
                  <v>98.711943793911</v>
                </pt>
                <pt idx="309">
                  <v>98.83879781420765</v>
                </pt>
                <pt idx="310">
                  <v>96.95550351288055</v>
                </pt>
                <pt idx="311">
                  <v>97.28727556596409</v>
                </pt>
                <pt idx="312">
                  <v>99.00468384074941</v>
                </pt>
                <pt idx="313">
                  <v>98.38992974238876</v>
                </pt>
                <pt idx="314">
                  <v>97.63856362217018</v>
                </pt>
                <pt idx="315">
                  <v>98.69242779078844</v>
                </pt>
                <pt idx="316">
                  <v>97.19945355191257</v>
                </pt>
                <pt idx="317">
                  <v>96.90671350507417</v>
                </pt>
                <pt idx="318">
                  <v>96.7408274785324</v>
                </pt>
                <pt idx="319">
                  <v>98.6143637782982</v>
                </pt>
                <pt idx="320">
                  <v>97.47267759562841</v>
                </pt>
                <pt idx="321">
                  <v>97.17993754879001</v>
                </pt>
                <pt idx="322">
                  <v>99.79508196721311</v>
                </pt>
                <pt idx="323">
                  <v>98.32162373145979</v>
                </pt>
                <pt idx="324">
                  <v>98.6631537861046</v>
                </pt>
                <pt idx="325">
                  <v>97.66783762685402</v>
                </pt>
                <pt idx="326">
                  <v>98.955893832943</v>
                </pt>
                <pt idx="327">
                  <v>98.60460577673692</v>
                </pt>
                <pt idx="328">
                  <v>100.7903981264637</v>
                </pt>
                <pt idx="329">
                  <v>99.56088992974239</v>
                </pt>
                <pt idx="330">
                  <v>100.0975800156128</v>
                </pt>
                <pt idx="331">
                  <v>100.3805620608899</v>
                </pt>
                <pt idx="332">
                  <v>101.0831381733021</v>
                </pt>
                <pt idx="333">
                  <v>101.6100702576112</v>
                </pt>
                <pt idx="334">
                  <v>101.9418423106948</v>
                </pt>
                <pt idx="335">
                  <v>103.1128024980484</v>
                </pt>
                <pt idx="336">
                  <v>99.32669789227167</v>
                </pt>
                <pt idx="337">
                  <v>100.7806401249024</v>
                </pt>
                <pt idx="338">
                  <v>101.7661982825917</v>
                </pt>
                <pt idx="339">
                  <v>100.7611241217799</v>
                </pt>
                <pt idx="340">
                  <v>99.71701795472286</v>
                </pt>
                <pt idx="341">
                  <v>101.4149102263856</v>
                </pt>
                <pt idx="342">
                  <v>101.1904761904762</v>
                </pt>
                <pt idx="343">
                  <v>101.5027322404372</v>
                </pt>
                <pt idx="344">
                  <v>100.419594067135</v>
                </pt>
                <pt idx="345">
                  <v>101.4832162373146</v>
                </pt>
                <pt idx="346">
                  <v>100.3903200624512</v>
                </pt>
                <pt idx="347">
                  <v>101.7564402810304</v>
                </pt>
                <pt idx="348">
                  <v>102.0589383294301</v>
                </pt>
                <pt idx="349">
                  <v>102.1467603434817</v>
                </pt>
                <pt idx="350">
                  <v>101.951600312256</v>
                </pt>
                <pt idx="351">
                  <v>102.2736143637783</v>
                </pt>
                <pt idx="352">
                  <v>103.6690085870414</v>
                </pt>
                <pt idx="353">
                  <v>101.1514441842311</v>
                </pt>
                <pt idx="354">
                  <v>101.5905542544887</v>
                </pt>
                <pt idx="355">
                  <v>100.4391100702576</v>
                </pt>
                <pt idx="356">
                  <v>101.3661202185792</v>
                </pt>
                <pt idx="357">
                  <v>101.1807181889149</v>
                </pt>
                <pt idx="358">
                  <v>100.7513661202186</v>
                </pt>
                <pt idx="359">
                  <v>98.78024980483997</v>
                </pt>
                <pt idx="360">
                  <v>98.82903981264637</v>
                </pt>
                <pt idx="361">
                  <v>100.9660421545667</v>
                </pt>
                <pt idx="362">
                  <v>83.68462138953942</v>
                </pt>
                <pt idx="363">
                  <v>66.51053864168618</v>
                </pt>
                <pt idx="364">
                  <v>79.37158469945355</v>
                </pt>
                <pt idx="365">
                  <v>89.20765027322405</v>
                </pt>
                <pt idx="366">
                  <v>92.61319281811085</v>
                </pt>
                <pt idx="367">
                  <v>92.99375487900078</v>
                </pt>
                <pt idx="368">
                  <v>94.68188914910226</v>
                </pt>
                <pt idx="369">
                  <v>97.16042154566743</v>
                </pt>
                <pt idx="370">
                  <v>96.05776736924277</v>
                </pt>
                <pt idx="371">
                  <v>95.55035128805621</v>
                </pt>
                <pt idx="372">
                  <v>98.27283372365339</v>
                </pt>
                <pt idx="373">
                  <v>94.00858704137393</v>
                </pt>
                <pt idx="374">
                  <v>95.6967213114754</v>
                </pt>
                <pt idx="375">
                  <v>95.85284933645589</v>
                </pt>
                <pt idx="376">
                  <v>95.65768930523029</v>
                </pt>
                <pt idx="377">
                  <v>95.47228727556596</v>
                </pt>
                <pt idx="378">
                  <v>96.10655737704917</v>
                </pt>
                <pt idx="379">
                  <v>95.96994535519124</v>
                </pt>
                <pt idx="380">
                  <v>94.89656518345042</v>
                </pt>
                <pt idx="381">
                  <v>96.56518345042934</v>
                </pt>
                <pt idx="382">
                  <v>95.56986729117877</v>
                </pt>
                <pt idx="383">
                  <v>95.49180327868852</v>
                </pt>
                <pt idx="384">
                  <v>97.17017954722873</v>
                </pt>
                <pt idx="385">
                  <v>95.84309133489461</v>
                </pt>
                <pt idx="386">
                  <v>95.42349726775956</v>
                </pt>
                <pt idx="387">
                  <v>95.10148321623731</v>
                </pt>
                <pt idx="388">
                  <v>95.24785323965651</v>
                </pt>
                <pt idx="389">
                  <v>96.46760343481654</v>
                </pt>
                <pt idx="390">
                  <v>94.82825917252147</v>
                </pt>
                <pt idx="391">
                  <v>97.21896955503512</v>
                </pt>
                <pt idx="392">
                  <v>96.37978142076501</v>
                </pt>
                <pt idx="393">
                  <v>93.9207650273224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World'!$J$2:$J$407</f>
              <numCache>
                <formatCode>0.00</formatCode>
                <ptCount val="406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  <pt idx="393">
                  <v>128.5904255319096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World'!$K$2:$K$396</f>
              <numCache>
                <formatCode>0.00</formatCode>
                <ptCount val="395"/>
                <pt idx="0">
                  <v>85.34874193481622</v>
                </pt>
                <pt idx="1">
                  <v>83.21382973118841</v>
                </pt>
                <pt idx="2">
                  <v>84.08121063919538</v>
                </pt>
                <pt idx="3">
                  <v>85.2246422495669</v>
                </pt>
                <pt idx="4">
                  <v>84.32565339468019</v>
                </pt>
                <pt idx="5">
                  <v>86.52926938902941</v>
                </pt>
                <pt idx="6">
                  <v>83.95054259531608</v>
                </pt>
                <pt idx="7">
                  <v>82.85828926700685</v>
                </pt>
                <pt idx="8">
                  <v>85.73885123388825</v>
                </pt>
                <pt idx="9">
                  <v>82.3101842992327</v>
                </pt>
                <pt idx="10">
                  <v>84.97834533741391</v>
                </pt>
                <pt idx="11">
                  <v>84.56367185292171</v>
                </pt>
                <pt idx="12">
                  <v>84.65069603312355</v>
                </pt>
                <pt idx="13">
                  <v>83.30605453260587</v>
                </pt>
                <pt idx="14">
                  <v>80.40636034642758</v>
                </pt>
                <pt idx="15">
                  <v>86.40469853777657</v>
                </pt>
                <pt idx="16">
                  <v>82.15079631749592</v>
                </pt>
                <pt idx="17">
                  <v>84.7259224210334</v>
                </pt>
                <pt idx="18">
                  <v>82.65184570552724</v>
                </pt>
                <pt idx="19">
                  <v>82.46007354082937</v>
                </pt>
                <pt idx="20">
                  <v>84.5226422817164</v>
                </pt>
                <pt idx="21">
                  <v>85.02991767051054</v>
                </pt>
                <pt idx="22">
                  <v>84.78165643660232</v>
                </pt>
                <pt idx="23">
                  <v>85.63316006951274</v>
                </pt>
                <pt idx="24">
                  <v>84.30124433610041</v>
                </pt>
                <pt idx="25">
                  <v>84.56414418041749</v>
                </pt>
                <pt idx="26">
                  <v>83.4956380604585</v>
                </pt>
                <pt idx="27">
                  <v>83.45083519321588</v>
                </pt>
                <pt idx="28">
                  <v>82.62409548942202</v>
                </pt>
                <pt idx="29">
                  <v>81.65618448665495</v>
                </pt>
                <pt idx="30">
                  <v>80.79478596106377</v>
                </pt>
                <pt idx="31">
                  <v>80.44904307866143</v>
                </pt>
                <pt idx="32">
                  <v>79.95536620004057</v>
                </pt>
                <pt idx="33">
                  <v>79.36278487875047</v>
                </pt>
                <pt idx="34">
                  <v>78.00179211455445</v>
                </pt>
                <pt idx="35">
                  <v>76.72955974842768</v>
                </pt>
                <pt idx="36">
                  <v>77.86569283830391</v>
                </pt>
                <pt idx="37">
                  <v>76.68898356664639</v>
                </pt>
                <pt idx="38">
                  <v>76.88679245283018</v>
                </pt>
                <pt idx="39">
                  <v>76.47426793777191</v>
                </pt>
                <pt idx="40">
                  <v>77.08967336173666</v>
                </pt>
                <pt idx="41">
                  <v>76.50385473769188</v>
                </pt>
                <pt idx="42">
                  <v>77.23760735795517</v>
                </pt>
                <pt idx="43">
                  <v>76.0634340972363</v>
                </pt>
                <pt idx="44">
                  <v>78.21650774342891</v>
                </pt>
                <pt idx="45">
                  <v>78.78541962562836</v>
                </pt>
                <pt idx="46">
                  <v>79.14891458713734</v>
                </pt>
                <pt idx="47">
                  <v>79.36109420422781</v>
                </pt>
                <pt idx="48">
                  <v>79.12693582172403</v>
                </pt>
                <pt idx="49">
                  <v>81.34087374058858</v>
                </pt>
                <pt idx="50">
                  <v>81.32650300968193</v>
                </pt>
                <pt idx="51">
                  <v>82.59704470128604</v>
                </pt>
                <pt idx="52">
                  <v>82.01545276270259</v>
                </pt>
                <pt idx="53">
                  <v>83.33417867059467</v>
                </pt>
                <pt idx="54">
                  <v>84.40775681327629</v>
                </pt>
                <pt idx="55">
                  <v>84.50412524500688</v>
                </pt>
                <pt idx="56">
                  <v>84.55061878677216</v>
                </pt>
                <pt idx="57">
                  <v>85.39172922147269</v>
                </pt>
                <pt idx="58">
                  <v>86.73158855751674</v>
                </pt>
                <pt idx="59">
                  <v>89.01399878271454</v>
                </pt>
                <pt idx="60">
                  <v>88.61330898762427</v>
                </pt>
                <pt idx="61">
                  <v>87.71387029119046</v>
                </pt>
                <pt idx="62">
                  <v>87.57777101493993</v>
                </pt>
                <pt idx="63">
                  <v>87.97169811363021</v>
                </pt>
                <pt idx="64">
                  <v>88.67501859755754</v>
                </pt>
                <pt idx="65">
                  <v>88.05707716265412</v>
                </pt>
                <pt idx="66">
                  <v>87.66399540122518</v>
                </pt>
                <pt idx="67">
                  <v>87.26330560613488</v>
                </pt>
                <pt idx="68">
                  <v>87.70541692026779</v>
                </pt>
                <pt idx="69">
                  <v>87.07056874267373</v>
                </pt>
                <pt idx="70">
                  <v>87.51521606859065</v>
                </pt>
                <pt idx="71">
                  <v>88.26756610522193</v>
                </pt>
                <pt idx="72">
                  <v>85.41878000960865</v>
                </pt>
                <pt idx="73">
                  <v>85.50162304769393</v>
                </pt>
                <pt idx="74">
                  <v>85.72648272116837</v>
                </pt>
                <pt idx="75">
                  <v>85.12206667991028</v>
                </pt>
                <pt idx="76">
                  <v>86.19987150889858</v>
                </pt>
                <pt idx="77">
                  <v>87.30641779970018</v>
                </pt>
                <pt idx="78">
                  <v>86.29962128882914</v>
                </pt>
                <pt idx="79">
                  <v>86.87952255373526</v>
                </pt>
                <pt idx="80">
                  <v>87.2159667279536</v>
                </pt>
                <pt idx="81">
                  <v>87.30050043971619</v>
                </pt>
                <pt idx="82">
                  <v>88.52032190409369</v>
                </pt>
                <pt idx="83">
                  <v>87.21765740163093</v>
                </pt>
                <pt idx="84">
                  <v>89.56431324854601</v>
                </pt>
                <pt idx="85">
                  <v>88.84155001014405</v>
                </pt>
                <pt idx="86">
                  <v>92.40633664691396</v>
                </pt>
                <pt idx="87">
                  <v>91.88814499194112</v>
                </pt>
                <pt idx="88">
                  <v>91.32176912152566</v>
                </pt>
                <pt idx="89">
                  <v>92.21275444619147</v>
                </pt>
                <pt idx="90">
                  <v>93.16122269532923</v>
                </pt>
                <pt idx="91">
                  <v>94.80455805747165</v>
                </pt>
                <pt idx="92">
                  <v>94.46642320957598</v>
                </pt>
                <pt idx="93">
                  <v>95.24751470886589</v>
                </pt>
                <pt idx="94">
                  <v>94.35145736147742</v>
                </pt>
                <pt idx="95">
                  <v>94.5230607967866</v>
                </pt>
                <pt idx="96">
                  <v>95.85700277284664</v>
                </pt>
                <pt idx="97">
                  <v>97.93315074093798</v>
                </pt>
                <pt idx="98">
                  <v>96.91451951009896</v>
                </pt>
                <pt idx="99">
                  <v>97.51386352863439</v>
                </pt>
                <pt idx="100">
                  <v>97.88412118738869</v>
                </pt>
                <pt idx="101">
                  <v>97.72266179752485</v>
                </pt>
                <pt idx="102">
                  <v>97.56035707039968</v>
                </pt>
                <pt idx="103">
                  <v>97.6076959494263</v>
                </pt>
                <pt idx="104">
                  <v>97.8088861838101</v>
                </pt>
                <pt idx="105">
                  <v>98.9128964628277</v>
                </pt>
                <pt idx="106">
                  <v>98.47163048595613</v>
                </pt>
                <pt idx="107">
                  <v>99.20622844432609</v>
                </pt>
                <pt idx="108">
                  <v>100</v>
                </pt>
                <pt idx="109">
                  <v>98.39977683142287</v>
                </pt>
                <pt idx="110">
                  <v>97.3261986878959</v>
                </pt>
                <pt idx="111">
                  <v>98.97037938729964</v>
                </pt>
                <pt idx="112">
                  <v>98.91036045188903</v>
                </pt>
                <pt idx="113">
                  <v>99.88587948916278</v>
                </pt>
                <pt idx="114">
                  <v>101.2510989379748</v>
                </pt>
                <pt idx="115">
                  <v>100.2206329888585</v>
                </pt>
                <pt idx="116">
                  <v>101.3601474269347</v>
                </pt>
                <pt idx="117">
                  <v>101.7954960438223</v>
                </pt>
                <pt idx="118">
                  <v>102.4269628732163</v>
                </pt>
                <pt idx="119">
                  <v>103.1302833571437</v>
                </pt>
                <pt idx="120">
                  <v>103.5368905122179</v>
                </pt>
                <pt idx="121">
                  <v>103.9536417127375</v>
                </pt>
                <pt idx="122">
                  <v>104.9063366473366</v>
                </pt>
                <pt idx="123">
                  <v>104.5605937649343</v>
                </pt>
                <pt idx="124">
                  <v>105.4828565631974</v>
                </pt>
                <pt idx="125">
                  <v>104.5369243258436</v>
                </pt>
                <pt idx="126">
                  <v>105.3653547033148</v>
                </pt>
                <pt idx="127">
                  <v>104.4109690941931</v>
                </pt>
                <pt idx="128">
                  <v>104.5453776967663</v>
                </pt>
                <pt idx="129">
                  <v>103.4075539323674</v>
                </pt>
                <pt idx="130">
                  <v>105.9807601272796</v>
                </pt>
                <pt idx="131">
                  <v>106.8751268009907</v>
                </pt>
                <pt idx="132">
                  <v>104.3534861705665</v>
                </pt>
                <pt idx="133">
                  <v>104.144687901676</v>
                </pt>
                <pt idx="134">
                  <v>103.6171975385192</v>
                </pt>
                <pt idx="135">
                  <v>102.6619665921361</v>
                </pt>
                <pt idx="136">
                  <v>104.0508554808841</v>
                </pt>
                <pt idx="137">
                  <v>104.3687022387345</v>
                </pt>
                <pt idx="138">
                  <v>102.8115912628773</v>
                </pt>
                <pt idx="139">
                  <v>105.9249678773303</v>
                </pt>
                <pt idx="140">
                  <v>103.8682626628683</v>
                </pt>
                <pt idx="141">
                  <v>103.0584297017651</v>
                </pt>
                <pt idx="142">
                  <v>101.3068911879241</v>
                </pt>
                <pt idx="143">
                  <v>101.3094271997081</v>
                </pt>
                <pt idx="144">
                  <v>102.3551092178377</v>
                </pt>
                <pt idx="145">
                  <v>102.9138770545919</v>
                </pt>
                <pt idx="146">
                  <v>102.6535132212135</v>
                </pt>
                <pt idx="147">
                  <v>103.5377358494793</v>
                </pt>
                <pt idx="148">
                  <v>102.6492865357521</v>
                </pt>
                <pt idx="149">
                  <v>102.6442145130295</v>
                </pt>
                <pt idx="150">
                  <v>103.1294380198823</v>
                </pt>
                <pt idx="151">
                  <v>103.8344491783323</v>
                </pt>
                <pt idx="152">
                  <v>104.0922769999267</v>
                </pt>
                <pt idx="153">
                  <v>104.7144451211368</v>
                </pt>
                <pt idx="154">
                  <v>104.3560221815052</v>
                </pt>
                <pt idx="155">
                  <v>103.7076486102658</v>
                </pt>
                <pt idx="156">
                  <v>104.5039561777237</v>
                </pt>
                <pt idx="157">
                  <v>104.846317711926</v>
                </pt>
                <pt idx="158">
                  <v>104.517481571369</v>
                </pt>
                <pt idx="159">
                  <v>104.7871441129314</v>
                </pt>
                <pt idx="160">
                  <v>103.9071481709722</v>
                </pt>
                <pt idx="161">
                  <v>104.2638804352359</v>
                </pt>
                <pt idx="162">
                  <v>104.5732738213183</v>
                </pt>
                <pt idx="163">
                  <v>104.7372692229661</v>
                </pt>
                <pt idx="164">
                  <v>104.1345438562307</v>
                </pt>
                <pt idx="165">
                  <v>105.8742476501037</v>
                </pt>
                <pt idx="166">
                  <v>105.1007641844751</v>
                </pt>
                <pt idx="167">
                  <v>104.5631297758729</v>
                </pt>
                <pt idx="168">
                  <v>104.6214580376062</v>
                </pt>
                <pt idx="169">
                  <v>105.3315412187789</v>
                </pt>
                <pt idx="170">
                  <v>106.5090958276977</v>
                </pt>
                <pt idx="171">
                  <v>106.1785690134634</v>
                </pt>
                <pt idx="172">
                  <v>106.7998917965668</v>
                </pt>
                <pt idx="173">
                  <v>106.9486711300466</v>
                </pt>
                <pt idx="174">
                  <v>107.1439440052918</v>
                </pt>
                <pt idx="175">
                  <v>105.7322310138692</v>
                </pt>
                <pt idx="176">
                  <v>107.4102251978089</v>
                </pt>
                <pt idx="177">
                  <v>106.4786636913618</v>
                </pt>
                <pt idx="178">
                  <v>107.2504564824677</v>
                </pt>
                <pt idx="179">
                  <v>105.0542706435551</v>
                </pt>
                <pt idx="180">
                  <v>105.4608777977841</v>
                </pt>
                <pt idx="181">
                  <v>105.9325759109916</v>
                </pt>
                <pt idx="182">
                  <v>106.6908433084522</v>
                </pt>
                <pt idx="183">
                  <v>107.7204639211526</v>
                </pt>
                <pt idx="184">
                  <v>106.8607560692387</v>
                </pt>
                <pt idx="185">
                  <v>107.3806383987342</v>
                </pt>
                <pt idx="186">
                  <v>107.5184283495074</v>
                </pt>
                <pt idx="187">
                  <v>108.3130452424427</v>
                </pt>
                <pt idx="188">
                  <v>107.8802326364938</v>
                </pt>
                <pt idx="189">
                  <v>107.3595049705823</v>
                </pt>
                <pt idx="190">
                  <v>108.7255697575009</v>
                </pt>
                <pt idx="191">
                  <v>109.5886589576148</v>
                </pt>
                <pt idx="192">
                  <v>110.3274836006008</v>
                </pt>
                <pt idx="193">
                  <v>110.1423547708009</v>
                </pt>
                <pt idx="194">
                  <v>110.7163386757231</v>
                </pt>
                <pt idx="195">
                  <v>110.0282342599637</v>
                </pt>
                <pt idx="196">
                  <v>111.4002164060211</v>
                </pt>
                <pt idx="197">
                  <v>111.7738554138207</v>
                </pt>
                <pt idx="198">
                  <v>111.5202542776876</v>
                </pt>
                <pt idx="199">
                  <v>111.2581997697865</v>
                </pt>
                <pt idx="200">
                  <v>112.0722594171964</v>
                </pt>
                <pt idx="201">
                  <v>111.8803678909966</v>
                </pt>
                <pt idx="202">
                  <v>113.3225130179099</v>
                </pt>
                <pt idx="203">
                  <v>114.7097112329805</v>
                </pt>
                <pt idx="204">
                  <v>113.9243930482293</v>
                </pt>
                <pt idx="205">
                  <v>113.3165956587712</v>
                </pt>
                <pt idx="206">
                  <v>114.7054845475192</v>
                </pt>
                <pt idx="207">
                  <v>112.5710083185399</v>
                </pt>
                <pt idx="208">
                  <v>115.2109961452627</v>
                </pt>
                <pt idx="209">
                  <v>115.1036383308255</v>
                </pt>
                <pt idx="210">
                  <v>113.0367890717635</v>
                </pt>
                <pt idx="211">
                  <v>113.1652803135074</v>
                </pt>
                <pt idx="212">
                  <v>113.5955569085176</v>
                </pt>
                <pt idx="213">
                  <v>113.8094271992854</v>
                </pt>
                <pt idx="214">
                  <v>112.9598633936622</v>
                </pt>
                <pt idx="215">
                  <v>112.7400757420651</v>
                </pt>
                <pt idx="216">
                  <v>113.0951173326514</v>
                </pt>
                <pt idx="217">
                  <v>113.0004395754435</v>
                </pt>
                <pt idx="218">
                  <v>110.9386623382588</v>
                </pt>
                <pt idx="219">
                  <v>111.6233854058182</v>
                </pt>
                <pt idx="220">
                  <v>108.7636099274983</v>
                </pt>
                <pt idx="221">
                  <v>105.3357679042402</v>
                </pt>
                <pt idx="222">
                  <v>106.916548319188</v>
                </pt>
                <pt idx="223">
                  <v>104.0956583489721</v>
                </pt>
                <pt idx="224">
                  <v>103.5757760194766</v>
                </pt>
                <pt idx="225">
                  <v>97.39889768053582</v>
                </pt>
                <pt idx="226">
                  <v>95.05900453086608</v>
                </pt>
                <pt idx="227">
                  <v>90.10532900534817</v>
                </pt>
                <pt idx="228">
                  <v>89.28197064975429</v>
                </pt>
                <pt idx="229">
                  <v>89.02667883994386</v>
                </pt>
                <pt idx="230">
                  <v>86.70115642118076</v>
                </pt>
                <pt idx="231">
                  <v>87.44674376141205</v>
                </pt>
                <pt idx="232">
                  <v>86.88713058739658</v>
                </pt>
                <pt idx="233">
                  <v>87.7087982684678</v>
                </pt>
                <pt idx="234">
                  <v>88.54314600676832</v>
                </pt>
                <pt idx="235">
                  <v>88.93284641915196</v>
                </pt>
                <pt idx="236">
                  <v>89.82383174381776</v>
                </pt>
                <pt idx="237">
                  <v>89.58967336215933</v>
                </pt>
                <pt idx="238">
                  <v>89.21857036614368</v>
                </pt>
                <pt idx="239">
                  <v>88.72827483572281</v>
                </pt>
                <pt idx="240">
                  <v>87.95817271913955</v>
                </pt>
                <pt idx="241">
                  <v>87.96155406818488</v>
                </pt>
                <pt idx="242">
                  <v>89.89737607371903</v>
                </pt>
                <pt idx="243">
                  <v>90.2033881116014</v>
                </pt>
                <pt idx="244">
                  <v>89.79931696746578</v>
                </pt>
                <pt idx="245">
                  <v>89.87624264556705</v>
                </pt>
                <pt idx="246">
                  <v>88.86268343829602</v>
                </pt>
                <pt idx="247">
                  <v>88.10103469263542</v>
                </pt>
                <pt idx="248">
                  <v>88.63866910123757</v>
                </pt>
                <pt idx="249">
                  <v>89.18222086982371</v>
                </pt>
                <pt idx="250">
                  <v>91.31838777332567</v>
                </pt>
                <pt idx="251">
                  <v>89.06979103266383</v>
                </pt>
                <pt idx="252">
                  <v>89.47977953593809</v>
                </pt>
                <pt idx="253">
                  <v>89.84158382376975</v>
                </pt>
                <pt idx="254">
                  <v>89.11205788896778</v>
                </pt>
                <pt idx="255">
                  <v>88.69023466572551</v>
                </pt>
                <pt idx="256">
                  <v>87.96239940460089</v>
                </pt>
                <pt idx="257">
                  <v>88.29799824155789</v>
                </pt>
                <pt idx="258">
                  <v>88.48481774503506</v>
                </pt>
                <pt idx="259">
                  <v>88.40535605599513</v>
                </pt>
                <pt idx="260">
                  <v>87.20244133346296</v>
                </pt>
                <pt idx="261">
                  <v>85.93189964185883</v>
                </pt>
                <pt idx="262">
                  <v>85.47288158503527</v>
                </pt>
                <pt idx="263">
                  <v>86.48475011862897</v>
                </pt>
                <pt idx="264">
                  <v>85.11783999444894</v>
                </pt>
                <pt idx="265">
                  <v>84.08314735902594</v>
                </pt>
                <pt idx="266">
                  <v>82.77202948564053</v>
                </pt>
                <pt idx="267">
                  <v>82.1101305199105</v>
                </pt>
                <pt idx="268">
                  <v>82.52603638316877</v>
                </pt>
                <pt idx="269">
                  <v>82.57929262217939</v>
                </pt>
                <pt idx="270">
                  <v>81.95796983823065</v>
                </pt>
                <pt idx="271">
                  <v>83.58017177222109</v>
                </pt>
                <pt idx="272">
                  <v>80.94863731642096</v>
                </pt>
                <pt idx="273">
                  <v>81.35778048327923</v>
                </pt>
                <pt idx="274">
                  <v>79.4354838713904</v>
                </pt>
                <pt idx="275">
                  <v>79.76854669656342</v>
                </pt>
                <pt idx="276">
                  <v>80.42621897598679</v>
                </pt>
                <pt idx="277">
                  <v>79.97734496545388</v>
                </pt>
                <pt idx="278">
                  <v>80.65023331304523</v>
                </pt>
                <pt idx="279">
                  <v>79.78291742747007</v>
                </pt>
                <pt idx="280">
                  <v>80.25799688887761</v>
                </pt>
                <pt idx="281">
                  <v>81.00442956637022</v>
                </pt>
                <pt idx="282">
                  <v>81.01372827455421</v>
                </pt>
                <pt idx="283">
                  <v>81.70014201663622</v>
                </pt>
                <pt idx="284">
                  <v>81.43217014959649</v>
                </pt>
                <pt idx="285">
                  <v>80.81253804017041</v>
                </pt>
                <pt idx="286">
                  <v>81.51585852409774</v>
                </pt>
                <pt idx="287">
                  <v>81.72381145572687</v>
                </pt>
                <pt idx="288">
                  <v>81.61814431581232</v>
                </pt>
                <pt idx="289">
                  <v>82.09491445174251</v>
                </pt>
                <pt idx="290">
                  <v>81.55897071766303</v>
                </pt>
                <pt idx="291">
                  <v>82.4355853114222</v>
                </pt>
                <pt idx="292">
                  <v>82.10590383444918</v>
                </pt>
                <pt idx="293">
                  <v>81.69506999391356</v>
                </pt>
                <pt idx="294">
                  <v>81.61560830487365</v>
                </pt>
                <pt idx="295">
                  <v>82.01460742544126</v>
                </pt>
                <pt idx="296">
                  <v>82.2191790088704</v>
                </pt>
                <pt idx="297">
                  <v>81.84300399013209</v>
                </pt>
                <pt idx="298">
                  <v>81.50994116495909</v>
                </pt>
                <pt idx="299">
                  <v>81.70267802842024</v>
                </pt>
                <pt idx="300">
                  <v>81.8742814637294</v>
                </pt>
                <pt idx="301">
                  <v>82.93687022370437</v>
                </pt>
                <pt idx="302">
                  <v>83.54973963588512</v>
                </pt>
                <pt idx="303">
                  <v>84.32744978697504</v>
                </pt>
                <pt idx="304">
                  <v>85.32156624061676</v>
                </pt>
                <pt idx="305">
                  <v>85.4830256304806</v>
                </pt>
                <pt idx="306">
                  <v>86.28271454698384</v>
                </pt>
                <pt idx="307">
                  <v>84.35365523784968</v>
                </pt>
                <pt idx="308">
                  <v>85.53459119496854</v>
                </pt>
                <pt idx="309">
                  <v>85.00879150633439</v>
                </pt>
                <pt idx="310">
                  <v>84.94454588461711</v>
                </pt>
                <pt idx="311">
                  <v>84.7873131802146</v>
                </pt>
                <pt idx="312">
                  <v>86.09251369446135</v>
                </pt>
                <pt idx="313">
                  <v>85.758605532027</v>
                </pt>
                <pt idx="314">
                  <v>86.5270169740876</v>
                </pt>
                <pt idx="315">
                  <v>86.69185771299676</v>
                </pt>
                <pt idx="316">
                  <v>84.82958003651856</v>
                </pt>
                <pt idx="317">
                  <v>85.0916345435743</v>
                </pt>
                <pt idx="318">
                  <v>85.21082707797953</v>
                </pt>
                <pt idx="319">
                  <v>86.34442415607177</v>
                </pt>
                <pt idx="320">
                  <v>86.14238858442663</v>
                </pt>
                <pt idx="321">
                  <v>86.37147494420775</v>
                </pt>
                <pt idx="322">
                  <v>87.25654290973489</v>
                </pt>
                <pt idx="323">
                  <v>87.28443903428686</v>
                </pt>
                <pt idx="324">
                  <v>88.1128694126034</v>
                </pt>
                <pt idx="325">
                  <v>87.48140258320936</v>
                </pt>
                <pt idx="326">
                  <v>87.31487117062284</v>
                </pt>
                <pt idx="327">
                  <v>87.32416987880683</v>
                </pt>
                <pt idx="328">
                  <v>88.32589436695521</v>
                </pt>
                <pt idx="329">
                  <v>88.33096638967785</v>
                </pt>
                <pt idx="330">
                  <v>88.11202407534208</v>
                </pt>
                <pt idx="331">
                  <v>88.45523094596041</v>
                </pt>
                <pt idx="332">
                  <v>89.03259619908252</v>
                </pt>
                <pt idx="333">
                  <v>89.94725096368431</v>
                </pt>
                <pt idx="334">
                  <v>90.97095421640066</v>
                </pt>
                <pt idx="335">
                  <v>92.47734496503122</v>
                </pt>
                <pt idx="336">
                  <v>89.06640968446384</v>
                </pt>
                <pt idx="337">
                  <v>90.07658754353486</v>
                </pt>
                <pt idx="338">
                  <v>91.05717860268591</v>
                </pt>
                <pt idx="339">
                  <v>89.02076147995987</v>
                </pt>
                <pt idx="340">
                  <v>89.32423750605824</v>
                </pt>
                <pt idx="341">
                  <v>88.36477987421384</v>
                </pt>
                <pt idx="342">
                  <v>88.44424156325375</v>
                </pt>
                <pt idx="343">
                  <v>89.11290322622911</v>
                </pt>
                <pt idx="344">
                  <v>89.01991614269853</v>
                </pt>
                <pt idx="345">
                  <v>89.80861567564978</v>
                </pt>
                <pt idx="346">
                  <v>88.41127341597911</v>
                </pt>
                <pt idx="347">
                  <v>88.14668289713937</v>
                </pt>
                <pt idx="348">
                  <v>90.75032122838755</v>
                </pt>
                <pt idx="349">
                  <v>90.14167850166812</v>
                </pt>
                <pt idx="350">
                  <v>89.87117062284439</v>
                </pt>
                <pt idx="351">
                  <v>90.0377020354309</v>
                </pt>
                <pt idx="352">
                  <v>90.26425238427333</v>
                </pt>
                <pt idx="353">
                  <v>89.66321769121525</v>
                </pt>
                <pt idx="354">
                  <v>89.00300940000788</v>
                </pt>
                <pt idx="355">
                  <v>89.64800162304726</v>
                </pt>
                <pt idx="356">
                  <v>89.21265300615968</v>
                </pt>
                <pt idx="357">
                  <v>88.92946507095196</v>
                </pt>
                <pt idx="358">
                  <v>89.74183404383918</v>
                </pt>
                <pt idx="359">
                  <v>88.7688510175041</v>
                </pt>
                <pt idx="360">
                  <v>89.30648542610626</v>
                </pt>
                <pt idx="361">
                  <v>89.09937783173845</v>
                </pt>
                <pt idx="362">
                  <v>77.32974910422443</v>
                </pt>
                <pt idx="363">
                  <v>59.32660444971371</v>
                </pt>
                <pt idx="364">
                  <v>68.56106715400351</v>
                </pt>
                <pt idx="365">
                  <v>76.23419219612947</v>
                </pt>
                <pt idx="366">
                  <v>82.25214715614504</v>
                </pt>
                <pt idx="367">
                  <v>84.68164604030002</v>
                </pt>
                <pt idx="368">
                  <v>86.18296476620793</v>
                </pt>
                <pt idx="369">
                  <v>87.32332454154549</v>
                </pt>
                <pt idx="370">
                  <v>86.35964022423975</v>
                </pt>
                <pt idx="371">
                  <v>87.44420775047338</v>
                </pt>
                <pt idx="372">
                  <v>87.24639886428957</v>
                </pt>
                <pt idx="373">
                  <v>87.13227835260702</v>
                </pt>
                <pt idx="374">
                  <v>88.05115980267013</v>
                </pt>
                <pt idx="375">
                  <v>87.76036383295575</v>
                </pt>
                <pt idx="376">
                  <v>86.17282072076262</v>
                </pt>
                <pt idx="377">
                  <v>85.01809021451838</v>
                </pt>
                <pt idx="378">
                  <v>85.36975045690471</v>
                </pt>
                <pt idx="379">
                  <v>85.71718401298438</v>
                </pt>
                <pt idx="380">
                  <v>86.86007980010595</v>
                </pt>
                <pt idx="381">
                  <v>87.21089470523094</v>
                </pt>
                <pt idx="382">
                  <v>89.15686075621041</v>
                </pt>
                <pt idx="383">
                  <v>89.09853249447713</v>
                </pt>
                <pt idx="384">
                  <v>88.81788057105339</v>
                </pt>
                <pt idx="385">
                  <v>89.78410089929781</v>
                </pt>
                <pt idx="386">
                  <v>87.95056468547824</v>
                </pt>
                <pt idx="387">
                  <v>89.97683776275895</v>
                </pt>
                <pt idx="388">
                  <v>89.92189085007101</v>
                </pt>
                <pt idx="389">
                  <v>90.93206870914204</v>
                </pt>
                <pt idx="390">
                  <v>89.90075742191902</v>
                </pt>
                <pt idx="391">
                  <v>90.18479069438808</v>
                </pt>
                <pt idx="392">
                  <v>89.95401366092965</v>
                </pt>
                <pt idx="393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World'!$L$2:$L$407</f>
              <numCache>
                <formatCode>0.00</formatCode>
                <ptCount val="406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  <pt idx="393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World'!$M$2:$M$396</f>
              <numCache>
                <formatCode>0.00</formatCode>
                <ptCount val="395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  <pt idx="393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World'!$O$2:$O$407</f>
              <numCache>
                <formatCode>0.00</formatCode>
                <ptCount val="406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  <pt idx="393">
                  <v>119.8137379157596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World'!$A$2:$A$407</f>
              <numCache>
                <formatCode>mmm\-yy</formatCode>
                <ptCount val="40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World'!$Q$2:$Q$396</f>
              <numCache>
                <formatCode>0.00</formatCode>
                <ptCount val="39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World'!$A$2:$A$402</f>
              <numCache>
                <formatCode>mmm\-yy</formatCode>
                <ptCount val="401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World'!$L$2:$L$402</f>
              <numCache>
                <formatCode>0.00</formatCode>
                <ptCount val="401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  <pt idx="393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World'!$A$2:$A$402</f>
              <numCache>
                <formatCode>mmm\-yy</formatCode>
                <ptCount val="401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World'!$O$2:$O$402</f>
              <numCache>
                <formatCode>0.00</formatCode>
                <ptCount val="401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  <pt idx="393">
                  <v>119.8137379157596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World'!$A$2:$A$396</f>
              <numCache>
                <formatCode>mmm\-yy</formatCode>
                <ptCount val="39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World'!$J$2:$J$396</f>
              <numCache>
                <formatCode>0.00</formatCode>
                <ptCount val="39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  <pt idx="393">
                  <v>128.5904255319096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World'!$A$2:$A$396</f>
              <numCache>
                <formatCode>mmm\-yy</formatCode>
                <ptCount val="39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</numCache>
            </numRef>
          </cat>
          <val>
            <numRef>
              <f>'IP World'!$L$2:$L$396</f>
              <numCache>
                <formatCode>0.00</formatCode>
                <ptCount val="39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  <pt idx="393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World'!$M$2:$M$396</f>
              <numCache>
                <formatCode>0.00</formatCode>
                <ptCount val="395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  <pt idx="393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World'!$O$2:$O$396</f>
              <numCache>
                <formatCode>0.00</formatCode>
                <ptCount val="39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  <pt idx="393">
                  <v>119.8137379157596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World'!$Q$2:$Q$396</f>
              <numCache>
                <formatCode>0.00</formatCode>
                <ptCount val="39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-0.002094761561462396</v>
                </pt>
                <pt idx="379">
                  <v>0.00518344070210738</v>
                </pt>
                <pt idx="380">
                  <v>-0.0006862215904432551</v>
                </pt>
                <pt idx="381">
                  <v>0.003825175863282746</v>
                </pt>
                <pt idx="382">
                  <v>-0.0006249230825997737</v>
                </pt>
                <pt idx="383">
                  <v>-0.002194803875547463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0.0374689472084262</v>
                </pt>
                <pt idx="379">
                  <v>0.03581554518922738</v>
                </pt>
                <pt idx="380">
                  <v>0.03546813173767272</v>
                </pt>
                <pt idx="381">
                  <v>0.04970565789673272</v>
                </pt>
                <pt idx="382">
                  <v>0.03341745575992157</v>
                </pt>
                <pt idx="383">
                  <v>0.02507331235147513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103.071648101</v>
                </pt>
                <pt idx="379">
                  <v>103.605913877</v>
                </pt>
                <pt idx="380">
                  <v>103.534817262</v>
                </pt>
                <pt idx="381">
                  <v>103.930856146</v>
                </pt>
                <pt idx="382">
                  <v>103.865907355</v>
                </pt>
                <pt idx="383">
                  <v>103.637942059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  <pt idx="88">
                  <v>44866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-0.002094761561462396</v>
                </pt>
                <pt idx="84">
                  <v>0.00518344070210738</v>
                </pt>
                <pt idx="85">
                  <v>-0.0006862215904432551</v>
                </pt>
                <pt idx="86">
                  <v>0.003825175863282746</v>
                </pt>
                <pt idx="87">
                  <v>-0.0006249230825997737</v>
                </pt>
                <pt idx="88">
                  <v>-0.002194803875547463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China!$B$8:$B$387</f>
              <numCache>
                <formatCode>0.0%</formatCode>
                <ptCount val="380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</v>
                </pt>
                <pt idx="377">
                  <v>0.05</v>
                </pt>
                <pt idx="378">
                  <v>0.022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harts/chart9.xml><?xml version="1.0" encoding="utf-8"?>
<chartSpace xmlns="http://schemas.openxmlformats.org/drawingml/2006/chart">
  <chart>
    <title>
      <tx>
        <strRef>
          <f>Table3[[#Headers],[China Industrial Production YoY]]</f>
          <strCache>
            <ptCount val="1"/>
            <pt idx="0">
              <v>China Industrial Production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1"/>
          <order val="0"/>
          <tx>
            <strRef>
              <f>China!$C$7</f>
              <strCache>
                <ptCount val="1"/>
                <pt idx="0">
                  <v>HSBC China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China!$C$8:$C$387</f>
              <numCache>
                <formatCode>0.00</formatCode>
                <ptCount val="380"/>
                <pt idx="178">
                  <v>52.1</v>
                </pt>
                <pt idx="179">
                  <v>52.9</v>
                </pt>
                <pt idx="180">
                  <v>55.2</v>
                </pt>
                <pt idx="181">
                  <v>54.4</v>
                </pt>
                <pt idx="182">
                  <v>53.3</v>
                </pt>
                <pt idx="183">
                  <v>51</v>
                </pt>
                <pt idx="184">
                  <v>51.5</v>
                </pt>
                <pt idx="185">
                  <v>50.6</v>
                </pt>
                <pt idx="186">
                  <v>50.9</v>
                </pt>
                <pt idx="187">
                  <v>50.1</v>
                </pt>
                <pt idx="188">
                  <v>49.8</v>
                </pt>
                <pt idx="189">
                  <v>50.1</v>
                </pt>
                <pt idx="190">
                  <v>50.7</v>
                </pt>
                <pt idx="191">
                  <v>51</v>
                </pt>
                <pt idx="192">
                  <v>52.7</v>
                </pt>
                <pt idx="193">
                  <v>52.8</v>
                </pt>
                <pt idx="194">
                  <v>52.9</v>
                </pt>
                <pt idx="195">
                  <v>53</v>
                </pt>
                <pt idx="196">
                  <v>52.6</v>
                </pt>
                <pt idx="197">
                  <v>52.4</v>
                </pt>
                <pt idx="198">
                  <v>52.1</v>
                </pt>
                <pt idx="199">
                  <v>53</v>
                </pt>
                <pt idx="200">
                  <v>52.4</v>
                </pt>
                <pt idx="201">
                  <v>53</v>
                </pt>
                <pt idx="202">
                  <v>52.3</v>
                </pt>
                <pt idx="203">
                  <v>53.3</v>
                </pt>
                <pt idx="204">
                  <v>54.1</v>
                </pt>
                <pt idx="205">
                  <v>55</v>
                </pt>
                <pt idx="206">
                  <v>53.2</v>
                </pt>
                <pt idx="207">
                  <v>53.4</v>
                </pt>
                <pt idx="208">
                  <v>55</v>
                </pt>
                <pt idx="209">
                  <v>55.2</v>
                </pt>
                <pt idx="210">
                  <v>52.8</v>
                </pt>
                <pt idx="211">
                  <v>53.3</v>
                </pt>
                <pt idx="212">
                  <v>52.8</v>
                </pt>
                <pt idx="213">
                  <v>54.4</v>
                </pt>
                <pt idx="214">
                  <v>55.4</v>
                </pt>
                <pt idx="215">
                  <v>54.7</v>
                </pt>
                <pt idx="216">
                  <v>53.3</v>
                </pt>
                <pt idx="217">
                  <v>53.3</v>
                </pt>
                <pt idx="218">
                  <v>49.2</v>
                </pt>
                <pt idx="219">
                  <v>47.7</v>
                </pt>
                <pt idx="220">
                  <v>45.2</v>
                </pt>
                <pt idx="221">
                  <v>40.9</v>
                </pt>
                <pt idx="222">
                  <v>41.2</v>
                </pt>
                <pt idx="223">
                  <v>45.1</v>
                </pt>
                <pt idx="224">
                  <v>44.8</v>
                </pt>
                <pt idx="225">
                  <v>50.1</v>
                </pt>
                <pt idx="226">
                  <v>51.2</v>
                </pt>
                <pt idx="227">
                  <v>51.8</v>
                </pt>
                <pt idx="228">
                  <v>52.8</v>
                </pt>
                <pt idx="229">
                  <v>55.1</v>
                </pt>
                <pt idx="230">
                  <v>55</v>
                </pt>
                <pt idx="231">
                  <v>55.4</v>
                </pt>
                <pt idx="232">
                  <v>55.7</v>
                </pt>
                <pt idx="233">
                  <v>56.1</v>
                </pt>
                <pt idx="234">
                  <v>55.8</v>
                </pt>
                <pt idx="235">
                  <v>57</v>
                </pt>
                <pt idx="236">
                  <v>55.4</v>
                </pt>
                <pt idx="237">
                  <v>52.7</v>
                </pt>
                <pt idx="238">
                  <v>50.4</v>
                </pt>
                <pt idx="239">
                  <v>49.4</v>
                </pt>
                <pt idx="240">
                  <v>51.9</v>
                </pt>
                <pt idx="241">
                  <v>52.9</v>
                </pt>
                <pt idx="242">
                  <v>54.8</v>
                </pt>
                <pt idx="243">
                  <v>55.3</v>
                </pt>
                <pt idx="244">
                  <v>54.4</v>
                </pt>
                <pt idx="245">
                  <v>51.7</v>
                </pt>
                <pt idx="246">
                  <v>51.8</v>
                </pt>
                <pt idx="247">
                  <v>51.8</v>
                </pt>
                <pt idx="248">
                  <v>51.6</v>
                </pt>
                <pt idx="249">
                  <v>50.1</v>
                </pt>
                <pt idx="250">
                  <v>49.3</v>
                </pt>
                <pt idx="251">
                  <v>49.9</v>
                </pt>
                <pt idx="252">
                  <v>49.9</v>
                </pt>
                <pt idx="253">
                  <v>51</v>
                </pt>
                <pt idx="254">
                  <v>47.7</v>
                </pt>
                <pt idx="255">
                  <v>48.7</v>
                </pt>
                <pt idx="256">
                  <v>49.6</v>
                </pt>
                <pt idx="257">
                  <v>48.3</v>
                </pt>
                <pt idx="258">
                  <v>49.3</v>
                </pt>
                <pt idx="259">
                  <v>48.4</v>
                </pt>
                <pt idx="260">
                  <v>48.2</v>
                </pt>
                <pt idx="261">
                  <v>49.3</v>
                </pt>
                <pt idx="262">
                  <v>47.7</v>
                </pt>
                <pt idx="263">
                  <v>47.9</v>
                </pt>
                <pt idx="264">
                  <v>49.5</v>
                </pt>
                <pt idx="265">
                  <v>50.5</v>
                </pt>
                <pt idx="266">
                  <v>51.5</v>
                </pt>
                <pt idx="267">
                  <v>50.4</v>
                </pt>
                <pt idx="268">
                  <v>51.6</v>
                </pt>
                <pt idx="269">
                  <v>50.4</v>
                </pt>
                <pt idx="270">
                  <v>49.2</v>
                </pt>
                <pt idx="271">
                  <v>48.2</v>
                </pt>
                <pt idx="272">
                  <v>47.7</v>
                </pt>
                <pt idx="273">
                  <v>50.1</v>
                </pt>
                <pt idx="274">
                  <v>50.2</v>
                </pt>
                <pt idx="275">
                  <v>50.9</v>
                </pt>
                <pt idx="276">
                  <v>50.8</v>
                </pt>
                <pt idx="277">
                  <v>50.5</v>
                </pt>
                <pt idx="278">
                  <v>48.5</v>
                </pt>
                <pt idx="279">
                  <v>48</v>
                </pt>
                <pt idx="280">
                  <v>48.1</v>
                </pt>
                <pt idx="281">
                  <v>49.4</v>
                </pt>
                <pt idx="282">
                  <v>50.7</v>
                </pt>
                <pt idx="283">
                  <v>51.7</v>
                </pt>
                <pt idx="284">
                  <v>50.2</v>
                </pt>
                <pt idx="285">
                  <v>51.1</v>
                </pt>
                <pt idx="286">
                  <v>50.8</v>
                </pt>
                <pt idx="287">
                  <v>50.3</v>
                </pt>
                <pt idx="288">
                  <v>50.1</v>
                </pt>
                <pt idx="289">
                  <v>49.9</v>
                </pt>
                <pt idx="290">
                  <v>50.1</v>
                </pt>
                <pt idx="291">
                  <v>50.1</v>
                </pt>
                <pt idx="292">
                  <v>50.2</v>
                </pt>
                <pt idx="293">
                  <v>50.2</v>
                </pt>
                <pt idx="294">
                  <v>50</v>
                </pt>
                <pt idx="295">
                  <v>47.3</v>
                </pt>
                <pt idx="296">
                  <v>47.2</v>
                </pt>
                <pt idx="297">
                  <v>48.3</v>
                </pt>
                <pt idx="298">
                  <v>48.6</v>
                </pt>
                <pt idx="299">
                  <v>48.2</v>
                </pt>
                <pt idx="300">
                  <v>48.4</v>
                </pt>
                <pt idx="301">
                  <v>49.7</v>
                </pt>
                <pt idx="302">
                  <v>49.4</v>
                </pt>
                <pt idx="303">
                  <v>49.2</v>
                </pt>
                <pt idx="304">
                  <v>48.6</v>
                </pt>
                <pt idx="305">
                  <v>50.6</v>
                </pt>
                <pt idx="306">
                  <v>50</v>
                </pt>
                <pt idx="307">
                  <v>50.1</v>
                </pt>
                <pt idx="308">
                  <v>51.2</v>
                </pt>
                <pt idx="309">
                  <v>50.9</v>
                </pt>
                <pt idx="310">
                  <v>51.9</v>
                </pt>
                <pt idx="311">
                  <v>51</v>
                </pt>
                <pt idx="312">
                  <v>51.2</v>
                </pt>
                <pt idx="313">
                  <v>50.3</v>
                </pt>
                <pt idx="314">
                  <v>49.6</v>
                </pt>
                <pt idx="315">
                  <v>50.4</v>
                </pt>
                <pt idx="316">
                  <v>51.1</v>
                </pt>
                <pt idx="317">
                  <v>51.6</v>
                </pt>
                <pt idx="318">
                  <v>51</v>
                </pt>
                <pt idx="319">
                  <v>51</v>
                </pt>
                <pt idx="320">
                  <v>50.8</v>
                </pt>
                <pt idx="321">
                  <v>51.5</v>
                </pt>
                <pt idx="322">
                  <v>51.5</v>
                </pt>
                <pt idx="323">
                  <v>51</v>
                </pt>
                <pt idx="324">
                  <v>51.1</v>
                </pt>
                <pt idx="325">
                  <v>51.1</v>
                </pt>
                <pt idx="326">
                  <v>51</v>
                </pt>
                <pt idx="327">
                  <v>50.8</v>
                </pt>
                <pt idx="328">
                  <v>50.6</v>
                </pt>
                <pt idx="329">
                  <v>50</v>
                </pt>
                <pt idx="330">
                  <v>50.1</v>
                </pt>
                <pt idx="331">
                  <v>50.2</v>
                </pt>
                <pt idx="332">
                  <v>49.7</v>
                </pt>
                <pt idx="333">
                  <v>48.3</v>
                </pt>
                <pt idx="334">
                  <v>49.9</v>
                </pt>
                <pt idx="335">
                  <v>50.8</v>
                </pt>
                <pt idx="336">
                  <v>50.2</v>
                </pt>
                <pt idx="337">
                  <v>50.2</v>
                </pt>
                <pt idx="338">
                  <v>49.4</v>
                </pt>
                <pt idx="339">
                  <v>49.9</v>
                </pt>
                <pt idx="340">
                  <v>50.4</v>
                </pt>
                <pt idx="341">
                  <v>51.4</v>
                </pt>
                <pt idx="342">
                  <v>51.7</v>
                </pt>
                <pt idx="343">
                  <v>51.8</v>
                </pt>
                <pt idx="344">
                  <v>51.5</v>
                </pt>
                <pt idx="345">
                  <v>51.1</v>
                </pt>
                <pt idx="346">
                  <v>40.3</v>
                </pt>
                <pt idx="347">
                  <v>50.1</v>
                </pt>
                <pt idx="348">
                  <v>49.4</v>
                </pt>
                <pt idx="349">
                  <v>50.7</v>
                </pt>
                <pt idx="350">
                  <v>51.2</v>
                </pt>
                <pt idx="351">
                  <v>52.8</v>
                </pt>
                <pt idx="352">
                  <v>53.1</v>
                </pt>
                <pt idx="353">
                  <v>53</v>
                </pt>
                <pt idx="354">
                  <v>53.6</v>
                </pt>
                <pt idx="355">
                  <v>49.9</v>
                </pt>
                <pt idx="356">
                  <v>51.5</v>
                </pt>
                <pt idx="357">
                  <v>50.9</v>
                </pt>
                <pt idx="358">
                  <v>50.6</v>
                </pt>
                <pt idx="359">
                  <v>51.9</v>
                </pt>
                <pt idx="360">
                  <v>52</v>
                </pt>
                <pt idx="361">
                  <v>51.3</v>
                </pt>
                <pt idx="362">
                  <v>50.3</v>
                </pt>
                <pt idx="363">
                  <v>49.2</v>
                </pt>
                <pt idx="364">
                  <v>50</v>
                </pt>
                <pt idx="365">
                  <v>50.6</v>
                </pt>
                <pt idx="366">
                  <v>49.9</v>
                </pt>
                <pt idx="367">
                  <v>50.9</v>
                </pt>
                <pt idx="368">
                  <v>#N/A</v>
                </pt>
                <pt idx="369">
                  <v>50.4</v>
                </pt>
                <pt idx="370">
                  <v>48.1</v>
                </pt>
                <pt idx="371">
                  <v>#N/A</v>
                </pt>
                <pt idx="372">
                  <v>48.1</v>
                </pt>
                <pt idx="373">
                  <v>51.7</v>
                </pt>
                <pt idx="374">
                  <v>50.4</v>
                </pt>
                <pt idx="375">
                  <v>49.5</v>
                </pt>
                <pt idx="376">
                  <v>48.1</v>
                </pt>
                <pt idx="377">
                  <v>49.2</v>
                </pt>
                <pt idx="378">
                  <v>49.4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13407"/>
        <axId val="1028810079"/>
      </lineChart>
      <lineChart>
        <grouping val="standard"/>
        <varyColors val="0"/>
        <ser>
          <idx val="2"/>
          <order val="1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China!$B$8:$B$387</f>
              <numCache>
                <formatCode>0.0%</formatCode>
                <ptCount val="380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</v>
                </pt>
                <pt idx="377">
                  <v>0.05</v>
                </pt>
                <pt idx="378">
                  <v>0.022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08415"/>
        <axId val="1028817151"/>
      </lineChart>
      <dateAx>
        <axId val="1028813407"/>
        <scaling>
          <orientation val="minMax"/>
          <min val="38412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0079"/>
        <crosses val="autoZero"/>
        <lblOffset val="100"/>
        <baseTimeUnit val="months"/>
      </dateAx>
      <valAx>
        <axId val="1028810079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3407"/>
        <crosses val="autoZero"/>
        <crossBetween val="between"/>
      </valAx>
      <dateAx>
        <axId val="1028808415"/>
        <scaling>
          <orientation val="minMax"/>
        </scaling>
        <delete val="1"/>
        <axPos val="b"/>
        <numFmt formatCode="m/d/yyyy" sourceLinked="1"/>
        <majorTickMark val="out"/>
        <minorTickMark val="none"/>
        <tickLblPos val="nextTo"/>
        <crossAx val="1028817151"/>
        <crosses val="autoZero"/>
        <lblOffset val="100"/>
        <baseTimeUnit val="months"/>
        <majorUnit val="1"/>
        <minorUnit val="1"/>
      </dateAx>
      <valAx>
        <axId val="1028817151"/>
        <scaling>
          <orientation val="minMax"/>
          <min val="-0.2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0841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span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592666</colOff>
      <row>323</row>
      <rowOff>11906</rowOff>
    </from>
    <to>
      <col>20</col>
      <colOff>130968</colOff>
      <row>362</row>
      <rowOff>29370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568721</colOff>
      <row>362</row>
      <rowOff>142883</rowOff>
    </from>
    <to>
      <col>20</col>
      <colOff>142875</colOff>
      <row>400</row>
      <rowOff>154781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5" headerRowCount="1" totalsRowShown="0" headerRowDxfId="31" dataDxfId="29" headerRowBorderDxfId="30">
  <autoFilter ref="A1:Q395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8" headerRowCount="1" totalsRowShown="0" headerRowDxfId="11" dataDxfId="10">
  <autoFilter ref="A4:D38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6" headerRowCount="1" totalsRowShown="0" headerRowDxfId="5" dataDxfId="3" headerRowBorderDxfId="4">
  <autoFilter ref="A7:C386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data'!$A$1:$C$507,3,FALSE)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tabSelected="1" zoomScale="150" zoomScaleNormal="150" workbookViewId="0">
      <selection activeCell="T12" sqref="T12"/>
    </sheetView>
  </sheetViews>
  <sheetFormatPr baseColWidth="8" defaultColWidth="9.1796875" defaultRowHeight="14.5"/>
  <cols>
    <col width="9.1796875" customWidth="1" style="86" min="1" max="1"/>
    <col width="12.81640625" customWidth="1" style="86" min="2" max="10"/>
    <col width="9.1796875" customWidth="1" style="86" min="11" max="14"/>
    <col width="19.1796875" customWidth="1" style="86" min="15" max="16"/>
    <col width="9.1796875" customWidth="1" style="86" min="17" max="63"/>
    <col width="9.1796875" customWidth="1" style="86" min="64" max="16384"/>
  </cols>
  <sheetData>
    <row r="1">
      <c r="B1" s="87" t="n"/>
    </row>
    <row r="2" ht="16" customHeight="1" thickBot="1">
      <c r="B2" s="88" t="n"/>
      <c r="C2" s="88" t="n"/>
      <c r="D2" s="88" t="n"/>
      <c r="E2" s="88" t="n"/>
      <c r="F2" s="88" t="n"/>
      <c r="G2" s="88" t="n"/>
      <c r="H2" s="88" t="n"/>
      <c r="I2" s="88" t="n"/>
      <c r="J2" s="88" t="n"/>
    </row>
    <row r="3" ht="16" customHeight="1" thickBot="1">
      <c r="B3" s="89" t="inlineStr">
        <is>
          <t>Global Industrial Production</t>
        </is>
      </c>
      <c r="C3" s="90" t="n"/>
      <c r="D3" s="90" t="n"/>
      <c r="E3" s="90" t="n"/>
      <c r="F3" s="90" t="n"/>
      <c r="G3" s="90" t="n"/>
      <c r="H3" s="90" t="n"/>
      <c r="I3" s="90" t="n"/>
      <c r="J3" s="91" t="n"/>
    </row>
    <row r="5">
      <c r="B5" s="92" t="inlineStr">
        <is>
          <t>Definition</t>
        </is>
      </c>
      <c r="C5" s="93" t="n"/>
      <c r="D5" s="93" t="n"/>
      <c r="E5" s="93" t="n"/>
      <c r="F5" s="93" t="n"/>
      <c r="G5" s="93" t="n"/>
      <c r="H5" s="93" t="n"/>
      <c r="I5" s="93" t="n"/>
      <c r="J5" s="94" t="n"/>
    </row>
    <row r="7" ht="63" customHeight="1">
      <c r="B7" s="95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>
      <c r="B8" s="96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2" t="inlineStr">
        <is>
          <t>Process / TO DO LIST</t>
        </is>
      </c>
      <c r="C10" s="93" t="n"/>
      <c r="D10" s="93" t="n"/>
      <c r="E10" s="93" t="n"/>
      <c r="F10" s="93" t="n"/>
      <c r="G10" s="93" t="n"/>
      <c r="H10" s="93" t="n"/>
      <c r="I10" s="93" t="n"/>
      <c r="J10" s="94" t="n"/>
    </row>
    <row r="12">
      <c r="B12" s="92" t="inlineStr">
        <is>
          <t>TO DO LIST</t>
        </is>
      </c>
      <c r="C12" s="93" t="n"/>
      <c r="D12" s="93" t="n"/>
      <c r="E12" s="93" t="n"/>
      <c r="F12" s="94" t="n"/>
      <c r="G12" s="92" t="inlineStr">
        <is>
          <t>Comments</t>
        </is>
      </c>
      <c r="H12" s="93" t="n"/>
      <c r="I12" s="93" t="n"/>
      <c r="J12" s="94" t="n"/>
      <c r="O12" s="92" t="inlineStr">
        <is>
          <t xml:space="preserve">Ticker </t>
        </is>
      </c>
      <c r="P12" s="92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>
      <c r="B16" s="86" t="inlineStr">
        <is>
          <t>Monthly</t>
        </is>
      </c>
      <c r="G16" s="85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>
      <c r="B17" s="86" t="inlineStr">
        <is>
          <t>Unclik latest data available</t>
        </is>
      </c>
      <c r="G17" s="85" t="n"/>
      <c r="O17" s="62" t="inlineStr">
        <is>
          <t>AIA</t>
        </is>
      </c>
      <c r="P17" s="62" t="inlineStr">
        <is>
          <t>Anguilla</t>
        </is>
      </c>
    </row>
    <row r="18" ht="15.75" customHeight="1">
      <c r="B18" s="86" t="inlineStr">
        <is>
          <t>Table</t>
        </is>
      </c>
      <c r="G18" s="98" t="n"/>
      <c r="O18" s="62" t="inlineStr">
        <is>
          <t>ALB</t>
        </is>
      </c>
      <c r="P18" s="62" t="inlineStr">
        <is>
          <t>Albania</t>
        </is>
      </c>
    </row>
    <row r="19" ht="15.75" customHeight="1">
      <c r="B19" s="86" t="inlineStr">
        <is>
          <t>Download</t>
        </is>
      </c>
      <c r="G19" s="85" t="n"/>
      <c r="O19" s="62" t="inlineStr">
        <is>
          <t>AND</t>
        </is>
      </c>
      <c r="P19" s="62" t="inlineStr">
        <is>
          <t>Andorra</t>
        </is>
      </c>
    </row>
    <row r="20" ht="15.75" customHeight="1">
      <c r="G20" s="85" t="n"/>
      <c r="O20" s="62" t="inlineStr">
        <is>
          <t>ANT</t>
        </is>
      </c>
      <c r="P20" s="62" t="inlineStr">
        <is>
          <t>Netherlands Antilles</t>
        </is>
      </c>
    </row>
    <row r="21" ht="31.5" customHeight="1">
      <c r="B21" s="99" t="inlineStr">
        <is>
          <t>https://www.investing.com/economic-calendar/chinese-industrial-production-462</t>
        </is>
      </c>
      <c r="G21" s="85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>
      <c r="G22" s="85" t="n"/>
      <c r="O22" s="62" t="inlineStr">
        <is>
          <t>ARG</t>
        </is>
      </c>
      <c r="P22" s="62" t="inlineStr">
        <is>
          <t>Argentina</t>
        </is>
      </c>
    </row>
    <row r="23" ht="15.75" customHeight="1">
      <c r="B23" s="96" t="inlineStr">
        <is>
          <t>https://tradingeconomics.com/country-list/industrial-production</t>
        </is>
      </c>
      <c r="G23" s="85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>
      <c r="G24" s="85" t="n"/>
      <c r="O24" s="62" t="inlineStr">
        <is>
          <t>ASM</t>
        </is>
      </c>
      <c r="P24" s="62" t="inlineStr">
        <is>
          <t>American Samoa</t>
        </is>
      </c>
    </row>
    <row r="25" ht="15.75" customHeight="1">
      <c r="B25" s="10" t="inlineStr">
        <is>
          <t>https://www.theglobaleconomy.com/rankings/Capital_investment/</t>
        </is>
      </c>
      <c r="G25" s="85" t="n"/>
      <c r="O25" s="62" t="inlineStr">
        <is>
          <t>ATG</t>
        </is>
      </c>
      <c r="P25" s="62" t="inlineStr">
        <is>
          <t>Antigua and Barbuda</t>
        </is>
      </c>
    </row>
    <row r="26" ht="15.75" customHeight="1">
      <c r="G26" s="85" t="n"/>
      <c r="O26" s="62" t="inlineStr">
        <is>
          <t>AUS</t>
        </is>
      </c>
      <c r="P26" s="62" t="inlineStr">
        <is>
          <t>Australia</t>
        </is>
      </c>
    </row>
    <row r="27" ht="15.75" customHeight="1">
      <c r="B27" s="86" t="n"/>
      <c r="G27" s="85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>
      <c r="B31" s="97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6" min="1" max="2"/>
    <col width="9.1796875" customWidth="1" style="86" min="3" max="47"/>
    <col width="9.1796875" customWidth="1" style="86" min="48" max="16384"/>
  </cols>
  <sheetData>
    <row r="1" ht="20" customHeight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6.78</v>
      </c>
      <c r="C2" t="inlineStr">
        <is>
          <t>Sep-22</t>
        </is>
      </c>
      <c r="D2" t="n">
        <v>5.04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3.5</v>
      </c>
      <c r="C5" t="inlineStr">
        <is>
          <t>Oct-22</t>
        </is>
      </c>
      <c r="D5" t="n">
        <v>4.3</v>
      </c>
      <c r="E5" t="inlineStr">
        <is>
          <t>%</t>
        </is>
      </c>
    </row>
    <row r="6">
      <c r="A6" t="inlineStr">
        <is>
          <t>Armenia</t>
        </is>
      </c>
      <c r="B6" t="n">
        <v>-2.3</v>
      </c>
      <c r="C6" t="inlineStr">
        <is>
          <t>Nov-22</t>
        </is>
      </c>
      <c r="D6" t="n">
        <v>9.699999999999999</v>
      </c>
      <c r="E6" t="inlineStr">
        <is>
          <t>%</t>
        </is>
      </c>
    </row>
    <row r="7">
      <c r="A7" t="inlineStr">
        <is>
          <t>Australia</t>
        </is>
      </c>
      <c r="B7" t="n">
        <v>0.49</v>
      </c>
      <c r="C7" t="inlineStr">
        <is>
          <t>Sep-22</t>
        </is>
      </c>
      <c r="D7" t="n">
        <v>0.4</v>
      </c>
      <c r="E7" t="inlineStr">
        <is>
          <t>%</t>
        </is>
      </c>
    </row>
    <row r="8">
      <c r="A8" t="inlineStr">
        <is>
          <t>Austria</t>
        </is>
      </c>
      <c r="B8" t="n">
        <v>3.9</v>
      </c>
      <c r="C8" t="inlineStr">
        <is>
          <t>Oct-22</t>
        </is>
      </c>
      <c r="D8" t="n">
        <v>5.9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-5.6</v>
      </c>
      <c r="C10" t="inlineStr">
        <is>
          <t>Nov-22</t>
        </is>
      </c>
      <c r="D10" t="n">
        <v>-5.9</v>
      </c>
      <c r="E10" t="inlineStr">
        <is>
          <t>%</t>
        </is>
      </c>
    </row>
    <row r="11">
      <c r="A11" t="inlineStr">
        <is>
          <t>Belgium</t>
        </is>
      </c>
      <c r="B11" t="n">
        <v>-2.8</v>
      </c>
      <c r="C11" t="inlineStr">
        <is>
          <t>Oct-22</t>
        </is>
      </c>
      <c r="D11" t="n">
        <v>1.3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-1.2</v>
      </c>
      <c r="C13" t="inlineStr">
        <is>
          <t>Nov-22</t>
        </is>
      </c>
      <c r="D13" t="n">
        <v>-3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1.7</v>
      </c>
      <c r="C15" t="inlineStr">
        <is>
          <t>Oct-22</t>
        </is>
      </c>
      <c r="D15" t="n">
        <v>0.4</v>
      </c>
      <c r="E15" t="inlineStr">
        <is>
          <t>%</t>
        </is>
      </c>
    </row>
    <row r="16">
      <c r="A16" t="inlineStr">
        <is>
          <t>Bulgaria</t>
        </is>
      </c>
      <c r="B16" t="n">
        <v>5.7</v>
      </c>
      <c r="C16" t="inlineStr">
        <is>
          <t>Oct-22</t>
        </is>
      </c>
      <c r="D16" t="n">
        <v>10.7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1.58</v>
      </c>
      <c r="C20" t="inlineStr">
        <is>
          <t>Oct-22</t>
        </is>
      </c>
      <c r="D20" t="n">
        <v>3.8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-5</v>
      </c>
      <c r="C22" t="inlineStr">
        <is>
          <t>Nov-22</t>
        </is>
      </c>
      <c r="D22" t="n">
        <v>-4.3</v>
      </c>
      <c r="E22" t="inlineStr">
        <is>
          <t>%</t>
        </is>
      </c>
    </row>
    <row r="23">
      <c r="A23" t="inlineStr">
        <is>
          <t>China</t>
        </is>
      </c>
      <c r="B23" t="n">
        <v>2.2</v>
      </c>
      <c r="C23" t="inlineStr">
        <is>
          <t>Nov-22</t>
        </is>
      </c>
      <c r="D23" t="n">
        <v>5</v>
      </c>
      <c r="E23" t="inlineStr">
        <is>
          <t>%</t>
        </is>
      </c>
    </row>
    <row r="24">
      <c r="A24" t="inlineStr">
        <is>
          <t>Colombia</t>
        </is>
      </c>
      <c r="B24" t="n">
        <v>5.3</v>
      </c>
      <c r="C24" t="inlineStr">
        <is>
          <t>Oct-22</t>
        </is>
      </c>
      <c r="D24" t="n">
        <v>6.9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2.2</v>
      </c>
      <c r="C26" t="inlineStr">
        <is>
          <t>Oct-22</t>
        </is>
      </c>
      <c r="D26" t="n">
        <v>2.5</v>
      </c>
      <c r="E26" t="inlineStr">
        <is>
          <t>%</t>
        </is>
      </c>
    </row>
    <row r="27">
      <c r="A27" t="inlineStr">
        <is>
          <t>Croatia</t>
        </is>
      </c>
      <c r="B27" t="n">
        <v>-2</v>
      </c>
      <c r="C27" t="inlineStr">
        <is>
          <t>Nov-22</t>
        </is>
      </c>
      <c r="D27" t="n">
        <v>-0.3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-1.04</v>
      </c>
      <c r="C29" t="inlineStr">
        <is>
          <t>Oct-22</t>
        </is>
      </c>
      <c r="D29" t="n">
        <v>-1.27</v>
      </c>
      <c r="E29" t="inlineStr">
        <is>
          <t>%</t>
        </is>
      </c>
    </row>
    <row r="30">
      <c r="A30" t="inlineStr">
        <is>
          <t>Czech Republic</t>
        </is>
      </c>
      <c r="B30" t="n">
        <v>3.1</v>
      </c>
      <c r="C30" t="inlineStr">
        <is>
          <t>Oct-22</t>
        </is>
      </c>
      <c r="D30" t="n">
        <v>8.300000000000001</v>
      </c>
      <c r="E30" t="inlineStr">
        <is>
          <t>%</t>
        </is>
      </c>
    </row>
    <row r="31">
      <c r="A31" t="inlineStr">
        <is>
          <t>Denmark</t>
        </is>
      </c>
      <c r="B31" t="n">
        <v>11.1</v>
      </c>
      <c r="C31" t="inlineStr">
        <is>
          <t>Oct-22</t>
        </is>
      </c>
      <c r="D31" t="n">
        <v>19.6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-5.8</v>
      </c>
      <c r="C33" t="inlineStr">
        <is>
          <t>Oct-22</t>
        </is>
      </c>
      <c r="D33" t="n">
        <v>-7.8</v>
      </c>
      <c r="E33" t="inlineStr">
        <is>
          <t>%</t>
        </is>
      </c>
    </row>
    <row r="34">
      <c r="A34" t="inlineStr">
        <is>
          <t>Euro Area</t>
        </is>
      </c>
      <c r="B34" t="n">
        <v>3.4</v>
      </c>
      <c r="C34" t="inlineStr">
        <is>
          <t>Oct-22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3.7</v>
      </c>
      <c r="C35" t="inlineStr">
        <is>
          <t>Oct-22</t>
        </is>
      </c>
      <c r="D35" t="n">
        <v>5.8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-0.6</v>
      </c>
      <c r="C37" t="inlineStr">
        <is>
          <t>Oct-22</t>
        </is>
      </c>
      <c r="D37" t="n">
        <v>4</v>
      </c>
      <c r="E37" t="inlineStr">
        <is>
          <t>%</t>
        </is>
      </c>
    </row>
    <row r="38">
      <c r="A38" t="inlineStr">
        <is>
          <t>France</t>
        </is>
      </c>
      <c r="B38" t="n">
        <v>-2.74</v>
      </c>
      <c r="C38" t="inlineStr">
        <is>
          <t>Oct-22</t>
        </is>
      </c>
      <c r="D38" t="n">
        <v>1.56</v>
      </c>
      <c r="E38" t="inlineStr">
        <is>
          <t>%</t>
        </is>
      </c>
    </row>
    <row r="39">
      <c r="A39" t="inlineStr">
        <is>
          <t>Georgia</t>
        </is>
      </c>
      <c r="B39" t="n">
        <v>17.6</v>
      </c>
      <c r="C39" t="inlineStr">
        <is>
          <t>Sep-22</t>
        </is>
      </c>
      <c r="D39" t="n">
        <v>23.1</v>
      </c>
      <c r="E39" t="inlineStr">
        <is>
          <t>%</t>
        </is>
      </c>
    </row>
    <row r="40">
      <c r="A40" t="inlineStr">
        <is>
          <t>Germany</t>
        </is>
      </c>
      <c r="B40" t="n">
        <v>0</v>
      </c>
      <c r="C40" t="inlineStr">
        <is>
          <t>Oct-22</t>
        </is>
      </c>
      <c r="D40" t="n">
        <v>2.6</v>
      </c>
      <c r="E40" t="inlineStr">
        <is>
          <t>%</t>
        </is>
      </c>
    </row>
    <row r="41">
      <c r="A41" t="inlineStr">
        <is>
          <t>Greece</t>
        </is>
      </c>
      <c r="B41" t="n">
        <v>-2.5</v>
      </c>
      <c r="C41" t="inlineStr">
        <is>
          <t>Oct-22</t>
        </is>
      </c>
      <c r="D41" t="n">
        <v>-1.2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-0.6</v>
      </c>
      <c r="C43" t="inlineStr">
        <is>
          <t>Sep-22</t>
        </is>
      </c>
      <c r="D43" t="n">
        <v>2.7</v>
      </c>
      <c r="E43" t="inlineStr">
        <is>
          <t>%</t>
        </is>
      </c>
    </row>
    <row r="44">
      <c r="A44" t="inlineStr">
        <is>
          <t>Hungary</t>
        </is>
      </c>
      <c r="B44" t="n">
        <v>5.9</v>
      </c>
      <c r="C44" t="inlineStr">
        <is>
          <t>Oct-22</t>
        </is>
      </c>
      <c r="D44" t="n">
        <v>11.3</v>
      </c>
      <c r="E44" t="inlineStr">
        <is>
          <t>%</t>
        </is>
      </c>
    </row>
    <row r="45">
      <c r="A45" t="inlineStr">
        <is>
          <t>India</t>
        </is>
      </c>
      <c r="B45" t="n">
        <v>-4</v>
      </c>
      <c r="C45" t="inlineStr">
        <is>
          <t>Oct-22</t>
        </is>
      </c>
      <c r="D45" t="n">
        <v>3.5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55.7</v>
      </c>
      <c r="C49" t="inlineStr">
        <is>
          <t>Oct-22</t>
        </is>
      </c>
      <c r="D49" t="n">
        <v>26.3</v>
      </c>
      <c r="E49" t="inlineStr">
        <is>
          <t>%</t>
        </is>
      </c>
    </row>
    <row r="50">
      <c r="A50" t="inlineStr">
        <is>
          <t>Israel</t>
        </is>
      </c>
      <c r="B50" t="n">
        <v>-7.66</v>
      </c>
      <c r="C50" t="inlineStr">
        <is>
          <t>Oct-22</t>
        </is>
      </c>
      <c r="D50" t="n">
        <v>37.3</v>
      </c>
      <c r="E50" t="inlineStr">
        <is>
          <t>%</t>
        </is>
      </c>
    </row>
    <row r="51">
      <c r="A51" t="inlineStr">
        <is>
          <t>Italy</t>
        </is>
      </c>
      <c r="B51" t="n">
        <v>-1.6</v>
      </c>
      <c r="C51" t="inlineStr">
        <is>
          <t>Oct-22</t>
        </is>
      </c>
      <c r="D51" t="n">
        <v>-0.5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-1.3</v>
      </c>
      <c r="C53" t="inlineStr">
        <is>
          <t>Nov-22</t>
        </is>
      </c>
      <c r="D53" t="n">
        <v>3.02</v>
      </c>
      <c r="E53" t="inlineStr">
        <is>
          <t>%</t>
        </is>
      </c>
    </row>
    <row r="54">
      <c r="A54" t="inlineStr">
        <is>
          <t>Jordan</t>
        </is>
      </c>
      <c r="B54" t="n">
        <v>5.08</v>
      </c>
      <c r="C54" t="inlineStr">
        <is>
          <t>Oct-22</t>
        </is>
      </c>
      <c r="D54" t="n">
        <v>2.63</v>
      </c>
      <c r="E54" t="inlineStr">
        <is>
          <t>%</t>
        </is>
      </c>
    </row>
    <row r="55">
      <c r="A55" t="inlineStr">
        <is>
          <t>Kazakhstan</t>
        </is>
      </c>
      <c r="B55" t="n">
        <v>1.1</v>
      </c>
      <c r="C55" t="inlineStr">
        <is>
          <t>Nov-22</t>
        </is>
      </c>
      <c r="D55" t="n">
        <v>-5.3</v>
      </c>
      <c r="E55" t="inlineStr">
        <is>
          <t>%</t>
        </is>
      </c>
    </row>
    <row r="56">
      <c r="A56" t="inlineStr">
        <is>
          <t>Kosovo</t>
        </is>
      </c>
      <c r="B56" t="n">
        <v>0.03</v>
      </c>
      <c r="C56" t="inlineStr">
        <is>
          <t>Sep-22</t>
        </is>
      </c>
      <c r="D56" t="n">
        <v>0.12</v>
      </c>
      <c r="E56" t="inlineStr">
        <is>
          <t>%</t>
        </is>
      </c>
    </row>
    <row r="57">
      <c r="A57" t="inlineStr">
        <is>
          <t>Kyrgyzstan</t>
        </is>
      </c>
      <c r="B57" t="n">
        <v>11.4</v>
      </c>
      <c r="C57" t="inlineStr">
        <is>
          <t>Nov-22</t>
        </is>
      </c>
      <c r="D57" t="n">
        <v>-0.5</v>
      </c>
      <c r="E57" t="inlineStr">
        <is>
          <t>%</t>
        </is>
      </c>
    </row>
    <row r="58">
      <c r="A58" t="inlineStr">
        <is>
          <t>Latvia</t>
        </is>
      </c>
      <c r="B58" t="n">
        <v>-2.7</v>
      </c>
      <c r="C58" t="inlineStr">
        <is>
          <t>Oct-22</t>
        </is>
      </c>
      <c r="D58" t="n">
        <v>-3.8</v>
      </c>
      <c r="E58" t="inlineStr">
        <is>
          <t>%</t>
        </is>
      </c>
    </row>
    <row r="59">
      <c r="A59" t="inlineStr">
        <is>
          <t>Lithuania</t>
        </is>
      </c>
      <c r="B59" t="n">
        <v>-0.2</v>
      </c>
      <c r="C59" t="inlineStr">
        <is>
          <t>Nov-22</t>
        </is>
      </c>
      <c r="D59" t="n">
        <v>-0.6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-3.7</v>
      </c>
      <c r="C62" t="inlineStr">
        <is>
          <t>Nov-22</t>
        </is>
      </c>
      <c r="D62" t="n">
        <v>-5.3</v>
      </c>
      <c r="E62" t="inlineStr">
        <is>
          <t>%</t>
        </is>
      </c>
    </row>
    <row r="63">
      <c r="A63" t="inlineStr">
        <is>
          <t>Malaysia</t>
        </is>
      </c>
      <c r="B63" t="n">
        <v>4.6</v>
      </c>
      <c r="C63" t="inlineStr">
        <is>
          <t>Oct-22</t>
        </is>
      </c>
      <c r="D63" t="n">
        <v>10.8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7.2</v>
      </c>
      <c r="C65" t="inlineStr">
        <is>
          <t>Oct-22</t>
        </is>
      </c>
      <c r="D65" t="n">
        <v>13.2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7.4</v>
      </c>
      <c r="C67" t="inlineStr">
        <is>
          <t>Sep-22</t>
        </is>
      </c>
      <c r="D67" t="n">
        <v>13</v>
      </c>
      <c r="E67" t="inlineStr">
        <is>
          <t>%</t>
        </is>
      </c>
    </row>
    <row r="68">
      <c r="A68" t="inlineStr">
        <is>
          <t>Mexico</t>
        </is>
      </c>
      <c r="B68" t="n">
        <v>3.1</v>
      </c>
      <c r="C68" t="inlineStr">
        <is>
          <t>Oct-22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-13.9</v>
      </c>
      <c r="C69" t="inlineStr">
        <is>
          <t>Oct-22</t>
        </is>
      </c>
      <c r="D69" t="n">
        <v>-13.4</v>
      </c>
      <c r="E69" t="inlineStr">
        <is>
          <t>%</t>
        </is>
      </c>
    </row>
    <row r="70">
      <c r="A70" t="inlineStr">
        <is>
          <t>Mongolia</t>
        </is>
      </c>
      <c r="B70" t="n">
        <v>25.2</v>
      </c>
      <c r="C70" t="inlineStr">
        <is>
          <t>Nov-22</t>
        </is>
      </c>
      <c r="D70" t="n">
        <v>14</v>
      </c>
      <c r="E70" t="inlineStr">
        <is>
          <t>%</t>
        </is>
      </c>
    </row>
    <row r="71">
      <c r="A71" t="inlineStr">
        <is>
          <t>Montenegro</t>
        </is>
      </c>
      <c r="B71" t="n">
        <v>-13.8</v>
      </c>
      <c r="C71" t="inlineStr">
        <is>
          <t>Oct-22</t>
        </is>
      </c>
      <c r="D71" t="n">
        <v>-12.5</v>
      </c>
      <c r="E71" t="inlineStr">
        <is>
          <t>%</t>
        </is>
      </c>
    </row>
    <row r="72">
      <c r="A72" t="inlineStr">
        <is>
          <t>Morocco</t>
        </is>
      </c>
      <c r="B72" t="n">
        <v>3.1</v>
      </c>
      <c r="C72" t="inlineStr">
        <is>
          <t>Sep-22</t>
        </is>
      </c>
      <c r="D72" t="n">
        <v>1.8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3.5</v>
      </c>
      <c r="C78" t="inlineStr">
        <is>
          <t>Oct-22</t>
        </is>
      </c>
      <c r="D78" t="n">
        <v>0.9</v>
      </c>
      <c r="E78" t="inlineStr">
        <is>
          <t>%</t>
        </is>
      </c>
    </row>
    <row r="79">
      <c r="A79" t="inlineStr">
        <is>
          <t>Pakistan</t>
        </is>
      </c>
      <c r="B79" t="n">
        <v>-7.75</v>
      </c>
      <c r="C79" t="inlineStr">
        <is>
          <t>Oct-22</t>
        </is>
      </c>
      <c r="D79" t="n">
        <v>1.16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-0.34</v>
      </c>
      <c r="C82" t="inlineStr">
        <is>
          <t>Oct-22</t>
        </is>
      </c>
      <c r="D82" t="n">
        <v>-0.2</v>
      </c>
      <c r="E82" t="inlineStr">
        <is>
          <t>%</t>
        </is>
      </c>
    </row>
    <row r="83">
      <c r="A83" t="inlineStr">
        <is>
          <t>Philippines</t>
        </is>
      </c>
      <c r="B83" t="n">
        <v>12.7</v>
      </c>
      <c r="C83" t="inlineStr">
        <is>
          <t>Oct-22</t>
        </is>
      </c>
      <c r="D83" t="n">
        <v>12</v>
      </c>
      <c r="E83" t="inlineStr">
        <is>
          <t>%</t>
        </is>
      </c>
    </row>
    <row r="84">
      <c r="A84" t="inlineStr">
        <is>
          <t>Poland</t>
        </is>
      </c>
      <c r="B84" t="n">
        <v>4.6</v>
      </c>
      <c r="C84" t="inlineStr">
        <is>
          <t>Nov-22</t>
        </is>
      </c>
      <c r="D84" t="n">
        <v>6.6</v>
      </c>
      <c r="E84" t="inlineStr">
        <is>
          <t>%</t>
        </is>
      </c>
    </row>
    <row r="85">
      <c r="A85" t="inlineStr">
        <is>
          <t>Portugal</t>
        </is>
      </c>
      <c r="B85" t="n">
        <v>-2</v>
      </c>
      <c r="C85" t="inlineStr">
        <is>
          <t>Oct-22</t>
        </is>
      </c>
      <c r="D85" t="n">
        <v>0.3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0.7</v>
      </c>
      <c r="C87" t="inlineStr">
        <is>
          <t>Oct-22</t>
        </is>
      </c>
      <c r="D87" t="n">
        <v>1.6</v>
      </c>
      <c r="E87" t="inlineStr">
        <is>
          <t>%</t>
        </is>
      </c>
    </row>
    <row r="88">
      <c r="A88" t="inlineStr">
        <is>
          <t>Russia</t>
        </is>
      </c>
      <c r="B88" t="n">
        <v>-1.8</v>
      </c>
      <c r="C88" t="inlineStr">
        <is>
          <t>Nov-22</t>
        </is>
      </c>
      <c r="D88" t="n">
        <v>-2.6</v>
      </c>
      <c r="E88" t="inlineStr">
        <is>
          <t>%</t>
        </is>
      </c>
    </row>
    <row r="89">
      <c r="A89" t="inlineStr">
        <is>
          <t>Rwanda</t>
        </is>
      </c>
      <c r="B89" t="n">
        <v>9.4</v>
      </c>
      <c r="C89" t="inlineStr">
        <is>
          <t>Oct-22</t>
        </is>
      </c>
      <c r="D89" t="n">
        <v>6.4</v>
      </c>
      <c r="E89" t="inlineStr">
        <is>
          <t>%</t>
        </is>
      </c>
    </row>
    <row r="90">
      <c r="A90" t="inlineStr">
        <is>
          <t>Saudi Arabia</t>
        </is>
      </c>
      <c r="B90" t="n">
        <v>14.1</v>
      </c>
      <c r="C90" t="inlineStr">
        <is>
          <t>Oct-22</t>
        </is>
      </c>
      <c r="D90" t="n">
        <v>15.7</v>
      </c>
      <c r="E90" t="inlineStr">
        <is>
          <t>%</t>
        </is>
      </c>
    </row>
    <row r="91">
      <c r="A91" t="inlineStr">
        <is>
          <t>Senegal</t>
        </is>
      </c>
      <c r="B91" t="n">
        <v>0.9</v>
      </c>
      <c r="C91" t="inlineStr">
        <is>
          <t>Oct-22</t>
        </is>
      </c>
      <c r="D91" t="n">
        <v>1.1</v>
      </c>
      <c r="E91" t="inlineStr">
        <is>
          <t>%</t>
        </is>
      </c>
    </row>
    <row r="92">
      <c r="A92" t="inlineStr">
        <is>
          <t>Serbia</t>
        </is>
      </c>
      <c r="B92" t="n">
        <v>0.4</v>
      </c>
      <c r="C92" t="inlineStr">
        <is>
          <t>Nov-22</t>
        </is>
      </c>
      <c r="D92" t="n">
        <v>-0.1</v>
      </c>
      <c r="E92" t="inlineStr">
        <is>
          <t>%</t>
        </is>
      </c>
    </row>
    <row r="93">
      <c r="A93" t="inlineStr">
        <is>
          <t>Seychelles</t>
        </is>
      </c>
      <c r="B93" t="n">
        <v>26.4</v>
      </c>
      <c r="C93" t="inlineStr">
        <is>
          <t>Oct-22</t>
        </is>
      </c>
      <c r="D93" t="n">
        <v>22.9</v>
      </c>
      <c r="E93" t="inlineStr">
        <is>
          <t>%</t>
        </is>
      </c>
    </row>
    <row r="94">
      <c r="A94" t="inlineStr">
        <is>
          <t>Singapore</t>
        </is>
      </c>
      <c r="B94" t="n">
        <v>-3.2</v>
      </c>
      <c r="C94" t="inlineStr">
        <is>
          <t>Nov-22</t>
        </is>
      </c>
      <c r="D94" t="n">
        <v>-0.9</v>
      </c>
      <c r="E94" t="inlineStr">
        <is>
          <t>%</t>
        </is>
      </c>
    </row>
    <row r="95">
      <c r="A95" t="inlineStr">
        <is>
          <t>Slovakia</t>
        </is>
      </c>
      <c r="B95" t="n">
        <v>-2.6</v>
      </c>
      <c r="C95" t="inlineStr">
        <is>
          <t>Oct-22</t>
        </is>
      </c>
      <c r="D95" t="n">
        <v>-1.9</v>
      </c>
      <c r="E95" t="inlineStr">
        <is>
          <t>%</t>
        </is>
      </c>
    </row>
    <row r="96">
      <c r="A96" t="inlineStr">
        <is>
          <t>Slovenia</t>
        </is>
      </c>
      <c r="B96" t="n">
        <v>0.1</v>
      </c>
      <c r="C96" t="inlineStr">
        <is>
          <t>Oct-22</t>
        </is>
      </c>
      <c r="D96" t="n">
        <v>1.1</v>
      </c>
      <c r="E96" t="inlineStr">
        <is>
          <t>%</t>
        </is>
      </c>
    </row>
    <row r="97">
      <c r="A97" t="inlineStr">
        <is>
          <t>South Africa</t>
        </is>
      </c>
      <c r="B97" t="n">
        <v>1</v>
      </c>
      <c r="C97" t="inlineStr">
        <is>
          <t>Oct-22</t>
        </is>
      </c>
      <c r="D97" t="n">
        <v>2.9</v>
      </c>
      <c r="E97" t="inlineStr">
        <is>
          <t>%</t>
        </is>
      </c>
    </row>
    <row r="98">
      <c r="A98" t="inlineStr">
        <is>
          <t>South Korea</t>
        </is>
      </c>
      <c r="B98" t="n">
        <v>-3.7</v>
      </c>
      <c r="C98" t="inlineStr">
        <is>
          <t>Nov-22</t>
        </is>
      </c>
      <c r="D98" t="n">
        <v>-1.2</v>
      </c>
      <c r="E98" t="inlineStr">
        <is>
          <t>%</t>
        </is>
      </c>
    </row>
    <row r="99">
      <c r="A99" t="inlineStr">
        <is>
          <t>Spain</t>
        </is>
      </c>
      <c r="B99" t="n">
        <v>2.5</v>
      </c>
      <c r="C99" t="inlineStr">
        <is>
          <t>Oct-22</t>
        </is>
      </c>
      <c r="D99" t="n">
        <v>3.6</v>
      </c>
      <c r="E99" t="inlineStr">
        <is>
          <t>%</t>
        </is>
      </c>
    </row>
    <row r="100">
      <c r="A100" t="inlineStr">
        <is>
          <t>Sri Lanka</t>
        </is>
      </c>
      <c r="B100" t="n">
        <v>-21.81</v>
      </c>
      <c r="C100" t="inlineStr">
        <is>
          <t>Oct-22</t>
        </is>
      </c>
      <c r="D100" t="n">
        <v>-9.119999999999999</v>
      </c>
      <c r="E100" t="inlineStr">
        <is>
          <t>%</t>
        </is>
      </c>
    </row>
    <row r="101">
      <c r="A101" t="inlineStr">
        <is>
          <t>Sweden</t>
        </is>
      </c>
      <c r="B101" t="n">
        <v>3.1</v>
      </c>
      <c r="C101" t="inlineStr">
        <is>
          <t>Oct-22</t>
        </is>
      </c>
      <c r="D101" t="n">
        <v>4.3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-4.93</v>
      </c>
      <c r="C103" t="inlineStr">
        <is>
          <t>Nov-22</t>
        </is>
      </c>
      <c r="D103" t="n">
        <v>-4.27</v>
      </c>
      <c r="E103" t="inlineStr">
        <is>
          <t>%</t>
        </is>
      </c>
    </row>
    <row r="104">
      <c r="A104" t="inlineStr">
        <is>
          <t>Tajikistan</t>
        </is>
      </c>
      <c r="B104" t="n">
        <v>15.9</v>
      </c>
      <c r="C104" t="inlineStr">
        <is>
          <t>Oct-22</t>
        </is>
      </c>
      <c r="D104" t="n">
        <v>18</v>
      </c>
      <c r="E104" t="inlineStr">
        <is>
          <t>%</t>
        </is>
      </c>
    </row>
    <row r="105">
      <c r="A105" t="inlineStr">
        <is>
          <t>Thailand</t>
        </is>
      </c>
      <c r="B105" t="n">
        <v>-5.6</v>
      </c>
      <c r="C105" t="inlineStr">
        <is>
          <t>Nov-22</t>
        </is>
      </c>
      <c r="D105" t="n">
        <v>-3.96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2.5</v>
      </c>
      <c r="C109" t="inlineStr">
        <is>
          <t>Oct-22</t>
        </is>
      </c>
      <c r="D109" t="n">
        <v>0.4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-2.4</v>
      </c>
      <c r="C111" t="inlineStr">
        <is>
          <t>Oct-22</t>
        </is>
      </c>
      <c r="D111" t="n">
        <v>-3.1</v>
      </c>
      <c r="E111" t="inlineStr">
        <is>
          <t>%</t>
        </is>
      </c>
    </row>
    <row r="112">
      <c r="A112" t="inlineStr">
        <is>
          <t>United States</t>
        </is>
      </c>
      <c r="B112" t="n">
        <v>2.51</v>
      </c>
      <c r="C112" t="inlineStr">
        <is>
          <t>Nov-22</t>
        </is>
      </c>
      <c r="D112" t="n">
        <v>3.34</v>
      </c>
      <c r="E112" t="inlineStr">
        <is>
          <t>%</t>
        </is>
      </c>
    </row>
    <row r="113">
      <c r="A113" t="inlineStr">
        <is>
          <t>Uruguay</t>
        </is>
      </c>
      <c r="B113" t="n">
        <v>-4.2</v>
      </c>
      <c r="C113" t="inlineStr">
        <is>
          <t>Oct-22</t>
        </is>
      </c>
      <c r="D113" t="n">
        <v>2.7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0.2</v>
      </c>
      <c r="C116" t="inlineStr">
        <is>
          <t>Dec-22</t>
        </is>
      </c>
      <c r="D116" t="n">
        <v>5.3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8" defaultColWidth="9.1796875" defaultRowHeight="14.5"/>
  <cols>
    <col width="11.1796875" customWidth="1" style="86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6" min="46" max="92"/>
    <col width="9.1796875" customWidth="1" style="86" min="93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5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5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5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5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5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5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5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5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5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5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5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5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5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5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5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5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5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5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5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5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5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5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5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5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5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5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5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5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5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5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5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5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5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5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5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5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5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5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5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5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5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5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5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5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5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5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5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5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5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5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5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5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5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5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5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5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5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5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5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5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5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5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5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5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5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5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5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5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5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5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5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5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5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5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5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5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5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5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5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5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5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5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5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5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5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5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5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5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5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5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5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5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5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5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5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5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5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5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5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5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5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5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5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5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5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5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5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5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5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5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5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5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5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5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5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5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5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5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5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5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5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5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5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5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5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5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5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5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5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5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5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5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5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5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5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5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5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5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5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5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5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5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5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5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5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5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5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5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5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5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5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5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5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5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5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5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5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5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5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5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5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5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5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5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5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5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5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5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5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5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5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5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5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5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5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5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5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5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5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5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5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5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5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5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5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5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5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5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5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5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5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5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5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5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5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5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5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5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5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5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5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5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5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5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5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5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5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5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5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5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5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5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5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5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5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5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5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5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5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5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5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5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5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5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5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5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5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5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5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5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5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5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5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5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5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5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5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5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5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5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5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5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5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5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5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5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5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5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5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5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5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5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5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5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5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5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5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5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5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5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5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5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5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5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5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5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5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5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5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5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5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5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5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5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5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5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5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5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5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5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5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5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5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5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5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5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5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5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5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5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5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5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5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5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5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5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5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5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5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5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5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5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5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5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5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5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5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5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5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5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5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5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5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5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5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5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5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5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5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5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5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5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5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5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5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5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5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5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5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5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5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5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5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5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5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5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5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5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5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5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5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5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5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5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5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5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5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5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5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5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5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5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5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5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5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5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5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5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5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5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5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5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5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5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5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5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5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5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5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5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5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5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5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5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5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5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5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5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5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5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5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5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5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5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5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5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5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5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5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5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5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5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5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5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5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5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5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5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5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5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5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5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5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5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5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5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5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5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5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5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5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5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5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5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5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5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5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5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5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5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5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5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5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5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5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5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5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5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5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5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5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5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5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5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5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5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5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5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5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5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5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5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5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5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5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27.469519995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5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26.939987073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5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27.866669679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5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28.296915169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5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28.760256472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5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28.8926397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5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29.322885199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5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29.322885199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5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29.554555841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5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29.918609721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5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29.98480134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5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30.050992958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5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30.448142643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5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30.613621676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5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30.878388132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5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30.580525871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5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31.143154589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5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31.110058784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5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31.871262348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5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31.871262348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5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32.202220424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5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31.838166544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5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32.500082685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5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32.897232379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5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33.228190444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5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33.360573673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5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33.261286249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5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32.963423988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5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32.731753336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5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32.963423988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5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32.698657532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5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32.698657532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5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32.500082685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5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32.566274303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5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32.136028805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5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31.871262348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5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31.705783316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5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31.937453967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5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32.069837195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5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32.930328183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5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32.698657532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5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33.029615607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5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32.996519793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5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32.996519793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5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33.625340129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5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34.154873051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5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34.386543703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5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34.651310159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5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34.849884997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5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35.114651453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5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35.114651453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5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35.511801147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5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35.412513724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5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35.942046636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5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36.239908907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5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36.239908907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5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37.133495699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5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36.868729243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5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37.265878928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5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37.232783123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5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37.398262156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5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37.696124417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5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38.027082492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5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37.762316036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5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37.861603459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5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38.093274111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5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38.5235196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5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38.5235196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5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38.655902828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5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38.5235196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5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38.722094447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5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39.847351891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5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39.516393816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5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39.847351891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5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40.145214153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5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39.97973512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5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40.277597381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5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40.012830924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5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40.641651261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5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40.641651261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5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40.939513531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5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41.071896759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5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41.270471597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5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40.906417717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5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41.007083474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5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40.397765743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5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36.315336928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5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41.372674114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5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43.078763766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5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43.078763766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5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44.236467467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5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44.236467467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5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43.749013277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5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43.992740367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5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43.992740367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5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44.602058107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5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45.516034699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5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45.272307608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5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45.333239379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5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45.759761799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5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45.637898249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5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45.211375838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5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44.419262787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5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44.419262787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5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45.333239379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5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45.394171158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5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45.333239379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5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44.480194557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5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44.541126328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5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44.967648748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5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44.967648748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5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45.211375838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5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45.455102929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5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46.003488889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5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45.942557119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5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45.942557119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5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46.4300113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5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47.343987901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5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47.343987901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5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47.526783221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5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46.79560194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5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47.892373861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5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48.136100961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5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47.709578541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5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48.440759822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5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49.111009332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5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49.415668202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5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49.415668202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5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49.537531743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5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48.928214012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5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49.476599973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5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49.476599973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5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49.232872882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5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48.928214012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5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49.232872882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5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48.684486922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5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48.928214012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5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50.207781254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5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49.781258843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5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49.781258843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5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50.695235444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5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50.024985933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5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50.634303664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5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51.426416715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5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51.365484945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5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51.670143815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5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52.645052186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5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52.523188636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5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35.949746288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5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45.211375838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5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54.777664258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5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54.777664258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5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53.193438147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5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55.569777309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5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56.727481001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5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56.66654923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5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56.30095859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5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55.691640859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5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55.691640859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5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57.519594052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5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58.860093073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5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58.128911792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5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58.372638882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5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58.372638882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5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57.641457602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5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59.591274353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5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58.189843562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5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58.311707112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5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59.956864994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5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60.627114495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5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60.505250954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5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61.358295776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5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60.627114495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5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60.748978045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5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60.444319175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5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60.444319175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5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61.114568685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5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61.662954646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5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61.297364005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5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61.906681736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5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61.723886416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5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62.759726567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5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63.186248978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5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63.003453657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5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61.906681736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5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63.125317207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5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63.490907848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5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63.490907848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5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65.31886105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5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65.19699749999999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5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65.92817878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5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65.86724701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5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66.476564741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5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65.806315231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5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66.964018931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5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67.39054134200001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5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68.060790852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5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67.51240489200001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5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68.42638149299999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5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68.42638149299999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5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69.584085184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5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70.19340291499999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5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70.558993555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5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71.960424347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5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71.472970156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5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72.20415143699999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5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72.630673848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5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71.10737951599999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5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75.12887655999999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5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73.727445769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5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74.82421769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5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74.82421769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5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73.666513999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5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74.82421769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5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75.18980833000001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5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73.17905980800001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5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76.347512022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5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76.652170892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5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75.06794479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5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76.28658025199999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5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77.32242040200001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5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75.981921382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5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78.11453345300001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5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78.11453345300001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5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74.45862705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5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74.5804906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5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71.655765477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5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70.437130006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5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69.645016954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5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69.40128986400001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5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68.365449713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5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68.548245033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5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66.598428291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5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68.24358617199999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5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67.451473112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5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67.451473112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5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67.938927302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5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70.010607595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5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68.791972133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5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72.32601498699999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5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72.508810307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5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72.630673848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5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73.42278690800001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5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74.33676350899999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5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74.33676350899999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5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74.519558829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5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75.616330741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5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75.616330741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5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78.29732877399999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5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75.79912607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5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77.748942813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5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77.50521572300001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5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78.29732877399999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5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77.444283943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5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77.931738133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5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75.920989611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5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75.25074011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5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78.053601683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5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75.860057841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5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75.860057841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5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76.28658025199999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5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75.37260365100001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5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76.713102662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5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74.64142237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5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76.408443801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5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76.22564848099999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5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77.38335217300001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5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80.003418426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5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78.601987644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5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77.13962508199999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5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77.07869330299999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5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77.07869330299999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5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78.419192323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5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79.576896015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5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80.064350205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5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80.24714552499999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5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79.39410069500001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5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79.576896015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5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80.673667936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5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79.27223714500001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5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81.587644537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5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82.19696226799999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5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84.02491547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5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84.02491547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5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82.806279999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5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82.075098727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5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82.440689358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5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82.31882581799999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5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81.831513802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5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81.58772577400001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5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82.156564499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5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82.156564499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5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80.124997627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5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80.531311003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5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81.262675077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5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81.262675077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5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79.718684251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5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79.393633554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5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78.906057498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5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80.206260297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5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79.88120960000001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5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80.612573673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5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79.068582847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5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78.987320177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5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79.96247227800001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5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80.368785655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5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79.393633554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5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79.393633554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5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80.45004832399999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5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79.88120960000001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5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79.88120960000001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5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81.425200425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5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80.04373494799999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5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79.393633554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5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80.45004832399999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5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80.368785655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5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80.124997627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5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80.28752297600001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5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77.930905397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5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77.930905397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5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78.499744122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5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79.068582847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5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78.581006801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5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78.906057498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5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79.068582847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5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78.74353214999999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5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79.55615890200001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5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79.068582847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5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79.718684251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5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79.718684251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5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78.499744122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5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78.499744122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5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79.312370875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5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78.581006801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5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80.531311003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5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80.93762438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5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81.262675077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5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81.018887049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5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80.856361701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5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79.55615890200001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5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81.668988453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5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79.718684251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5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81.10014972800001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5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81.10014972800001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5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80.93762438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5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81.262675077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5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80.04373494799999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5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80.04373494799999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5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80.668157346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5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82.044747062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5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82.41183765300001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5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81.494111176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5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82.320065005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5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81.127020585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5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81.31056588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5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81.31056588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5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81.494111176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5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82.320065005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5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83.237791483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5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82.41183765300001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5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82.778928244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5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81.952974415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5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81.67765647100001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5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83.788427369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5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81.218793233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5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81.861201767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5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81.952974415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5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81.952974415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5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82.687155596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5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83.421336778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5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82.228292358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5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82.778928244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5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80.576384699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5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82.50361030099999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5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83.421336778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5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82.595382949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5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83.32956412999999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5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83.788427369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5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82.778928244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5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82.778928244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5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83.97197266400001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5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84.522608551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5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84.522608551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5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85.715652971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5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85.62388032299999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5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86.908697391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5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87.00047003900001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5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85.715652971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5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86.816924744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5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87.36756063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5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86.725152096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5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86.725152096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5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88.46883240299999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5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86.449834153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5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88.744150346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5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89.84542211900001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5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89.38655888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5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89.203013584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5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89.29478623200001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5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90.946693891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5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89.937194766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5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91.130239187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5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90.120740062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5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90.120740062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5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90.02896741399999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5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90.85492124300001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5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91.864420368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5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92.13973831200001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5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91.17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5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5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5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5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5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91.55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5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5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5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5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91.52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5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5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5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5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92.36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5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91.29000000000001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5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91.27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5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5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5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5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5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5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91.04000000000001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5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5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5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5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91.16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5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5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5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5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5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5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5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5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5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5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5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5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5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5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86.56999999999999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5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5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5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5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5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5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5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5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5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5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5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5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89.64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5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5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5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5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91.37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5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5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5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5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5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5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5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5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5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5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93.66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5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5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5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5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5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5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93.76000000000001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5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5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5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5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92.90000000000001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5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5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5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5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5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94.48999999999999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5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5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5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5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5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5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5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98.45999999999999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5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96.64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5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5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5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101.28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5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98.92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5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5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5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5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5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5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5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101.82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5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5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5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5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5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5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5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5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102.17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5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5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5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5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5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5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5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104.98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5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5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105.84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5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5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5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106.35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5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107.09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5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5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56.304692058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5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5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5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5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5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59.504958747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5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109.27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5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5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110.26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5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111.25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5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5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5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5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110.12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5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5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5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5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5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110.51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5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5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59.804983749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5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5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5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5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5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5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61.205100425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5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5" t="n">
        <v>37438</v>
      </c>
      <c r="B1004" t="n">
        <v>73.725975679</v>
      </c>
      <c r="C1004" t="n">
        <v>74.09382551500001</v>
      </c>
      <c r="D1004" t="n">
        <v>87.971373521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5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110.57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5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109.19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5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5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63.80531711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5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5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5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5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109.12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5" t="n">
        <v>37712</v>
      </c>
      <c r="B1013" t="n">
        <v>76.59731952</v>
      </c>
      <c r="C1013" t="n">
        <v>76.993583868</v>
      </c>
      <c r="D1013" t="n">
        <v>87.200660611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109.17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64.205350446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5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5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5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5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68.405700475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5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5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68.005667139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5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102.808567381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5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5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5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5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5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5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5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5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5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70.80590049200001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5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5" t="n">
        <v>38261</v>
      </c>
      <c r="B1031" t="n">
        <v>83.268971389</v>
      </c>
      <c r="C1031" t="n">
        <v>84.39296725299999</v>
      </c>
      <c r="D1031" t="n">
        <v>96.559317369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108.490959087</v>
      </c>
      <c r="AS1031" t="n">
        <v>50.595783685</v>
      </c>
      <c r="AT1031" t="n">
        <v>93.82631173</v>
      </c>
      <c r="AU1031" t="n">
        <v/>
      </c>
    </row>
    <row r="1032">
      <c r="A1032" s="105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5" t="n">
        <v>38322</v>
      </c>
      <c r="B1033" t="n">
        <v>81.91775076099999</v>
      </c>
      <c r="C1033" t="n">
        <v>83.793017249</v>
      </c>
      <c r="D1033" t="n">
        <v>97.10982659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109.88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5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111.65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5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5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5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110.77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5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5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5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109.18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5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5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5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5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5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5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110.29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5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109.55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5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5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5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5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5" t="n">
        <v>38899</v>
      </c>
      <c r="B1052" t="n">
        <v>91.883002913</v>
      </c>
      <c r="C1052" t="n">
        <v>88.092658945</v>
      </c>
      <c r="D1052" t="n">
        <v>100.743187448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119.109925827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5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5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112.04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5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87.00725060400001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5" t="n">
        <v>39022</v>
      </c>
      <c r="B1056" t="n">
        <v>93.572028671</v>
      </c>
      <c r="C1056" t="n">
        <v>90.89242563099999</v>
      </c>
      <c r="D1056" t="n">
        <v>101.624002202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110.47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5" t="n">
        <v>39052</v>
      </c>
      <c r="B1057" t="n">
        <v>94.078736435</v>
      </c>
      <c r="C1057" t="n">
        <v>94.892092326</v>
      </c>
      <c r="D1057" t="n">
        <v>102.284613267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5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5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5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5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111.04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5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5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5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113.43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5" t="n">
        <v>39295</v>
      </c>
      <c r="B1065" t="n">
        <v>96.612275157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114.11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5" t="n">
        <v>39326</v>
      </c>
      <c r="B1066" t="n">
        <v>95.598859628</v>
      </c>
      <c r="C1066" t="n">
        <v>96.99191734</v>
      </c>
      <c r="D1066" t="n">
        <v>107.018992568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5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5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5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97.608134011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5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5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5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123.41028419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94.207850654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5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95.307942329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5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5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5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110.42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91.30760896699999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5" t="n">
        <v>39661</v>
      </c>
      <c r="B1077" t="n">
        <v>98.639106024</v>
      </c>
      <c r="C1077" t="n">
        <v>100.591617365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5" t="n">
        <v>39692</v>
      </c>
      <c r="B1078" t="n">
        <v>98.13239835</v>
      </c>
      <c r="C1078" t="n">
        <v>100.7916007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5" t="n">
        <v>39722</v>
      </c>
      <c r="B1079" t="n">
        <v>94.332090272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5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5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5" t="n">
        <v>39814</v>
      </c>
      <c r="B1082" t="n">
        <v>90.531782275</v>
      </c>
      <c r="C1082" t="n">
        <v>88.092658945</v>
      </c>
      <c r="D1082" t="n">
        <v>94.24717864</v>
      </c>
      <c r="E1082" t="n">
        <v>88.645733288</v>
      </c>
      <c r="F1082" t="n">
        <v/>
      </c>
      <c r="G1082" t="n">
        <v/>
      </c>
      <c r="H1082" t="n">
        <v>87.621191283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5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86.734193557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94.72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5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86.24703308700001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5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85.85951053300001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5" t="n">
        <v>39934</v>
      </c>
      <c r="B1086" t="n">
        <v>85.29580233599999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86.374600044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97.408117343</v>
      </c>
      <c r="R1086" t="n">
        <v>94.06999999999999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72.50604217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5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88.292389926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74.106175515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5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84.396809498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94.92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5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89.139741575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73.606133844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5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89.614495722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5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90.169207683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5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88.237564315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97.26000000000001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5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87.595213614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5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87.14301528199999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78.70655888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5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88.700224101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5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82.167243614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5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89.973446032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5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88.009510858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5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90.773937926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5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91.46414983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99.94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5" t="n">
        <v>40391</v>
      </c>
      <c r="B1101" t="n">
        <v>93.579882666</v>
      </c>
      <c r="C1101" t="n">
        <v>96.091992334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93.013728681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5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90.19710307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100.09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5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94.3</v>
      </c>
      <c r="G1103" t="n">
        <v/>
      </c>
      <c r="H1103" t="n">
        <v>90.14144133400001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99.90000000000001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104.19131739</v>
      </c>
      <c r="AS1103" t="n">
        <v>72.293975502</v>
      </c>
      <c r="AT1103" t="n">
        <v>91.834416612</v>
      </c>
      <c r="AU1103" t="n">
        <v/>
      </c>
    </row>
    <row r="1104">
      <c r="A1104" s="105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94.2</v>
      </c>
      <c r="G1104" t="n">
        <v/>
      </c>
      <c r="H1104" t="n">
        <v>91.065718577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5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94.90000000000001</v>
      </c>
      <c r="G1105" t="n">
        <v/>
      </c>
      <c r="H1105" t="n">
        <v>91.291325915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5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96.3</v>
      </c>
      <c r="G1106" t="n">
        <v/>
      </c>
      <c r="H1106" t="n">
        <v>94.387606713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103.74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5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97.90000000000001</v>
      </c>
      <c r="G1107" t="n">
        <v/>
      </c>
      <c r="H1107" t="n">
        <v>89.76985612999999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104.09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91.147540984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93.407783982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5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94.09999999999999</v>
      </c>
      <c r="G1108" t="n">
        <v/>
      </c>
      <c r="H1108" t="n">
        <v>92.817234955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95.10792566000001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5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95.3</v>
      </c>
      <c r="G1109" t="n">
        <v/>
      </c>
      <c r="H1109" t="n">
        <v>92.54297409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5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97.8</v>
      </c>
      <c r="G1110" t="n">
        <v/>
      </c>
      <c r="H1110" t="n">
        <v>92.29532079499999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5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95.09999999999999</v>
      </c>
      <c r="G1111" t="n">
        <v/>
      </c>
      <c r="H1111" t="n">
        <v>91.690558853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5" t="n">
        <v>40725</v>
      </c>
      <c r="B1112" t="n">
        <v>96.061863845</v>
      </c>
      <c r="C1112" t="n">
        <v>101.191567369</v>
      </c>
      <c r="D1112" t="n">
        <v>113.294797688</v>
      </c>
      <c r="E1112" t="n">
        <v>94.466396817</v>
      </c>
      <c r="F1112" t="n">
        <v>97.40000000000001</v>
      </c>
      <c r="G1112" t="n">
        <v/>
      </c>
      <c r="H1112" t="n">
        <v>87.02586508500001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102.61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93.302107728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5" t="n">
        <v>40756</v>
      </c>
      <c r="B1113" t="n">
        <v>96.70534044199999</v>
      </c>
      <c r="C1113" t="n">
        <v>104.791267394</v>
      </c>
      <c r="D1113" t="n">
        <v>112.30388109</v>
      </c>
      <c r="E1113" t="n">
        <v>95.46535612300001</v>
      </c>
      <c r="F1113" t="n">
        <v>95.5</v>
      </c>
      <c r="G1113" t="n">
        <v/>
      </c>
      <c r="H1113" t="n">
        <v>91.98765917199999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85.607133928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92.60771731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5" t="n">
        <v>40787</v>
      </c>
      <c r="B1114" t="n">
        <v>96.70534044199999</v>
      </c>
      <c r="C1114" t="n">
        <v>101.991500708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93.885027912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101.05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5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97</v>
      </c>
      <c r="G1115" t="n">
        <v/>
      </c>
      <c r="H1115" t="n">
        <v>93.67853789599999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97.708142345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5" t="n">
        <v>40848</v>
      </c>
      <c r="B1116" t="n">
        <v>97.80844318600001</v>
      </c>
      <c r="C1116" t="n">
        <v>99.791684026</v>
      </c>
      <c r="D1116" t="n">
        <v>109.881640517</v>
      </c>
      <c r="E1116" t="n">
        <v>95.225648695</v>
      </c>
      <c r="F1116" t="n">
        <v>97.40000000000001</v>
      </c>
      <c r="G1116" t="n">
        <v/>
      </c>
      <c r="H1116" t="n">
        <v>93.644807743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90.207517293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5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97.8</v>
      </c>
      <c r="G1117" t="n">
        <v/>
      </c>
      <c r="H1117" t="n">
        <v>96.615463972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5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98.3</v>
      </c>
      <c r="G1118" t="n">
        <v/>
      </c>
      <c r="H1118" t="n">
        <v>94.67054607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100.87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94.30785898800001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5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97.7</v>
      </c>
      <c r="G1119" t="n">
        <v/>
      </c>
      <c r="H1119" t="n">
        <v>93.56802652499999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101.79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5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96.40000000000001</v>
      </c>
      <c r="G1120" t="n">
        <v/>
      </c>
      <c r="H1120" t="n">
        <v>95.398241918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94.14519906300001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5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99.59999999999999</v>
      </c>
      <c r="G1121" t="n">
        <v/>
      </c>
      <c r="H1121" t="n">
        <v>96.67200658599999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100.98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5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96.11697413500001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5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98.8</v>
      </c>
      <c r="G1123" t="n">
        <v/>
      </c>
      <c r="H1123" t="n">
        <v>95.21572867099999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98.83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5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97.7</v>
      </c>
      <c r="G1124" t="n">
        <v/>
      </c>
      <c r="H1124" t="n">
        <v>92.74638515700001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97.236533958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5" t="n">
        <v>41122</v>
      </c>
      <c r="B1125" t="n">
        <v>100.658125223</v>
      </c>
      <c r="C1125" t="n">
        <v>100.991584035</v>
      </c>
      <c r="D1125" t="n">
        <v>112.744288467</v>
      </c>
      <c r="E1125" t="n">
        <v>93.168338287</v>
      </c>
      <c r="F1125" t="n">
        <v>99.3</v>
      </c>
      <c r="G1125" t="n">
        <v/>
      </c>
      <c r="H1125" t="n">
        <v>97.145814681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105.408784065</v>
      </c>
      <c r="R1125" t="n">
        <v>101.72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98.735362998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5" t="n">
        <v>41153</v>
      </c>
      <c r="B1126" t="n">
        <v>99.003471151</v>
      </c>
      <c r="C1126" t="n">
        <v>101.091575702</v>
      </c>
      <c r="D1126" t="n">
        <v>110.872557115</v>
      </c>
      <c r="E1126" t="n">
        <v>92.85505994</v>
      </c>
      <c r="F1126" t="n">
        <v>98.7</v>
      </c>
      <c r="G1126" t="n">
        <v/>
      </c>
      <c r="H1126" t="n">
        <v>96.55932204200001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99.44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5" t="n">
        <v>41183</v>
      </c>
      <c r="B1127" t="n">
        <v>100.382349604</v>
      </c>
      <c r="C1127" t="n">
        <v>96.791934005</v>
      </c>
      <c r="D1127" t="n">
        <v>112.30388109</v>
      </c>
      <c r="E1127" t="n">
        <v>92.831784777</v>
      </c>
      <c r="F1127" t="n">
        <v>98.8</v>
      </c>
      <c r="G1127" t="n">
        <v/>
      </c>
      <c r="H1127" t="n">
        <v>96.82288412600001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97.97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5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97.248124914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97.95999999999999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5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98.90000000000001</v>
      </c>
      <c r="G1129" t="n">
        <v/>
      </c>
      <c r="H1129" t="n">
        <v>96.43529844299999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98.84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85.807150596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92.307692308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5" t="n">
        <v>41275</v>
      </c>
      <c r="B1130" t="n">
        <v>97.62459272700001</v>
      </c>
      <c r="C1130" t="n">
        <v>96.291975669</v>
      </c>
      <c r="D1130" t="n">
        <v>112.524084778</v>
      </c>
      <c r="E1130" t="n">
        <v>94.095599389</v>
      </c>
      <c r="F1130" t="n">
        <v>98.2</v>
      </c>
      <c r="G1130" t="n">
        <v/>
      </c>
      <c r="H1130" t="n">
        <v>100.52175977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5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100.2</v>
      </c>
      <c r="G1131" t="n">
        <v/>
      </c>
      <c r="H1131" t="n">
        <v>99.158851321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99.64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95.550351288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5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100.1</v>
      </c>
      <c r="G1132" t="n">
        <v/>
      </c>
      <c r="H1132" t="n">
        <v>99.953998977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93.770491803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5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98.59999999999999</v>
      </c>
      <c r="G1133" t="n">
        <v/>
      </c>
      <c r="H1133" t="n">
        <v>96.413901655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101.408450704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5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99.8</v>
      </c>
      <c r="G1134" t="n">
        <v/>
      </c>
      <c r="H1134" t="n">
        <v>96.554389965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101.12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84.807067256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5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100.4</v>
      </c>
      <c r="G1135" t="n">
        <v/>
      </c>
      <c r="H1135" t="n">
        <v>98.337414232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99.87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5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100.763449628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99.11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94.707259953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5" t="n">
        <v>41487</v>
      </c>
      <c r="B1137" t="n">
        <v>99.73887298699999</v>
      </c>
      <c r="C1137" t="n">
        <v>99.691692359</v>
      </c>
      <c r="D1137" t="n">
        <v>113.184695844</v>
      </c>
      <c r="E1137" t="n">
        <v>95.744658083</v>
      </c>
      <c r="F1137" t="n">
        <v>101.4</v>
      </c>
      <c r="G1137" t="n">
        <v/>
      </c>
      <c r="H1137" t="n">
        <v>100.294044275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98.38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90.491803279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5" t="n">
        <v>41518</v>
      </c>
      <c r="B1138" t="n">
        <v>100.933900942</v>
      </c>
      <c r="C1138" t="n">
        <v>98.491792351</v>
      </c>
      <c r="D1138" t="n">
        <v>113.845306909</v>
      </c>
      <c r="E1138" t="n">
        <v>96.533338327</v>
      </c>
      <c r="F1138" t="n">
        <v>101.6</v>
      </c>
      <c r="G1138" t="n">
        <v/>
      </c>
      <c r="H1138" t="n">
        <v>99.16049909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99.05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92.365339578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5" t="n">
        <v>41548</v>
      </c>
      <c r="B1139" t="n">
        <v>100.198499125</v>
      </c>
      <c r="C1139" t="n">
        <v>100.7916007</v>
      </c>
      <c r="D1139" t="n">
        <v>112.524084778</v>
      </c>
      <c r="E1139" t="n">
        <v>97.87714459199999</v>
      </c>
      <c r="F1139" t="n">
        <v>98.7</v>
      </c>
      <c r="G1139" t="n">
        <v/>
      </c>
      <c r="H1139" t="n">
        <v>99.89616029699999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98.92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89.20743395300001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5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101.3</v>
      </c>
      <c r="G1140" t="n">
        <v/>
      </c>
      <c r="H1140" t="n">
        <v>100.857424255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100.71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5" t="n">
        <v>41609</v>
      </c>
      <c r="B1141" t="n">
        <v>99.463097299</v>
      </c>
      <c r="C1141" t="n">
        <v>102.191484043</v>
      </c>
      <c r="D1141" t="n">
        <v>109.110927608</v>
      </c>
      <c r="E1141" t="n">
        <v>96.697869654</v>
      </c>
      <c r="F1141" t="n">
        <v>102.5</v>
      </c>
      <c r="G1141" t="n">
        <v/>
      </c>
      <c r="H1141" t="n">
        <v>98.69043629799999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99.45999999999999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5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100.7</v>
      </c>
      <c r="G1142" t="n">
        <v/>
      </c>
      <c r="H1142" t="n">
        <v>99.19100250300001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98.01000000000001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90.107508959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5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100.8</v>
      </c>
      <c r="G1143" t="n">
        <v/>
      </c>
      <c r="H1143" t="n">
        <v>100.521737433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99.203747073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5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98.70652996699999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98.84999999999999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94.30785898800001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5" t="n">
        <v>41730</v>
      </c>
      <c r="B1145" t="n">
        <v>99.09539638</v>
      </c>
      <c r="C1145" t="n">
        <v>104.091325723</v>
      </c>
      <c r="D1145" t="n">
        <v>110.21194605</v>
      </c>
      <c r="E1145" t="n">
        <v>100.463898082</v>
      </c>
      <c r="F1145" t="n">
        <v>101.5</v>
      </c>
      <c r="G1145" t="n">
        <v/>
      </c>
      <c r="H1145" t="n">
        <v>100.583677863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5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99.8</v>
      </c>
      <c r="G1146" t="n">
        <v/>
      </c>
      <c r="H1146" t="n">
        <v>101.232073089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5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104.8</v>
      </c>
      <c r="G1147" t="n">
        <v/>
      </c>
      <c r="H1147" t="n">
        <v>100.871416786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5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100.4</v>
      </c>
      <c r="G1148" t="n">
        <v/>
      </c>
      <c r="H1148" t="n">
        <v>98.811815942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100.13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5" t="n">
        <v>41852</v>
      </c>
      <c r="B1149" t="n">
        <v>97.256891809</v>
      </c>
      <c r="C1149" t="n">
        <v>98.191817349</v>
      </c>
      <c r="D1149" t="n">
        <v>109.110927608</v>
      </c>
      <c r="E1149" t="n">
        <v>99.307898306</v>
      </c>
      <c r="F1149" t="n">
        <v>101.6</v>
      </c>
      <c r="G1149" t="n">
        <v/>
      </c>
      <c r="H1149" t="n">
        <v>97.880523005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98.31999999999999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95.831381733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5" t="n">
        <v>41883</v>
      </c>
      <c r="B1150" t="n">
        <v>98.54384501299999</v>
      </c>
      <c r="C1150" t="n">
        <v>102.491459045</v>
      </c>
      <c r="D1150" t="n">
        <v>109.221029452</v>
      </c>
      <c r="E1150" t="n">
        <v>101.212983796</v>
      </c>
      <c r="F1150" t="n">
        <v>101.3</v>
      </c>
      <c r="G1150" t="n">
        <v/>
      </c>
      <c r="H1150" t="n">
        <v>98.109069631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93.907825652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99.608300692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5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103.8</v>
      </c>
      <c r="G1151" t="n">
        <v/>
      </c>
      <c r="H1151" t="n">
        <v>99.03894875100001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97.79859484799999</v>
      </c>
      <c r="AC1151" t="n">
        <v>97.69185901199999</v>
      </c>
      <c r="AD1151" t="n">
        <v>100.591617365</v>
      </c>
      <c r="AE1151" t="n">
        <v>97.98</v>
      </c>
      <c r="AF1151" t="n">
        <v>100.208350696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5" t="n">
        <v>41944</v>
      </c>
      <c r="B1152" t="n">
        <v>97.348817039</v>
      </c>
      <c r="C1152" t="n">
        <v>99.19173402200001</v>
      </c>
      <c r="D1152" t="n">
        <v>108.450316543</v>
      </c>
      <c r="E1152" t="n">
        <v>101.658154734</v>
      </c>
      <c r="F1152" t="n">
        <v>103.7</v>
      </c>
      <c r="G1152" t="n">
        <v/>
      </c>
      <c r="H1152" t="n">
        <v>97.978520688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96.78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5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103</v>
      </c>
      <c r="G1153" t="n">
        <v/>
      </c>
      <c r="H1153" t="n">
        <v>99.627262105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93.80781731800001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5" t="n">
        <v>42005</v>
      </c>
      <c r="B1154" t="n">
        <v>100.591617365</v>
      </c>
      <c r="C1154" t="n">
        <v>101.291559037</v>
      </c>
      <c r="D1154" t="n">
        <v>105.917974126</v>
      </c>
      <c r="E1154" t="n">
        <v>101.386343632</v>
      </c>
      <c r="F1154" t="n">
        <v>103.5</v>
      </c>
      <c r="G1154" t="n">
        <v/>
      </c>
      <c r="H1154" t="n">
        <v>102.817657757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5" t="n">
        <v>42036</v>
      </c>
      <c r="B1155" t="n">
        <v>99.491709024</v>
      </c>
      <c r="C1155" t="n">
        <v>97.191900675</v>
      </c>
      <c r="D1155" t="n">
        <v>105.147261217</v>
      </c>
      <c r="E1155" t="n">
        <v>100.746142877</v>
      </c>
      <c r="F1155" t="n">
        <v>98.5</v>
      </c>
      <c r="G1155" t="n">
        <v/>
      </c>
      <c r="H1155" t="n">
        <v>100.559421476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100.02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5" t="n">
        <v>42064</v>
      </c>
      <c r="B1156" t="n">
        <v>100.191650696</v>
      </c>
      <c r="C1156" t="n">
        <v>100.291642363</v>
      </c>
      <c r="D1156" t="n">
        <v>104.486650151</v>
      </c>
      <c r="E1156" t="n">
        <v>100.143128878</v>
      </c>
      <c r="F1156" t="n">
        <v>97.90000000000001</v>
      </c>
      <c r="G1156" t="n">
        <v/>
      </c>
      <c r="H1156" t="n">
        <v>98.46035629799999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5" t="n">
        <v>42095</v>
      </c>
      <c r="B1157" t="n">
        <v>99.991667361</v>
      </c>
      <c r="C1157" t="n">
        <v>101.591534039</v>
      </c>
      <c r="D1157" t="n">
        <v>102.504816956</v>
      </c>
      <c r="E1157" t="n">
        <v>99.27606216300001</v>
      </c>
      <c r="F1157" t="n">
        <v>100.6</v>
      </c>
      <c r="G1157" t="n">
        <v/>
      </c>
      <c r="H1157" t="n">
        <v>100.695754714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99.26000000000001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5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101.1</v>
      </c>
      <c r="G1158" t="n">
        <v/>
      </c>
      <c r="H1158" t="n">
        <v>100.753067435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100.29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5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96.59999999999999</v>
      </c>
      <c r="G1159" t="n">
        <v/>
      </c>
      <c r="H1159" t="n">
        <v>103.19130143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100.21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5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100.7</v>
      </c>
      <c r="G1160" t="n">
        <v/>
      </c>
      <c r="H1160" t="n">
        <v>99.309269386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99.19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101.30844237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5" t="n">
        <v>42217</v>
      </c>
      <c r="B1161" t="n">
        <v>99.891675694</v>
      </c>
      <c r="C1161" t="n">
        <v>98.191817349</v>
      </c>
      <c r="D1161" t="n">
        <v>99.31186347400001</v>
      </c>
      <c r="E1161" t="n">
        <v>101.706577775</v>
      </c>
      <c r="F1161" t="n">
        <v>99.7</v>
      </c>
      <c r="G1161" t="n">
        <v/>
      </c>
      <c r="H1161" t="n">
        <v>94.89048899700001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100.09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5" t="n">
        <v>42248</v>
      </c>
      <c r="B1162" t="n">
        <v>99.791684026</v>
      </c>
      <c r="C1162" t="n">
        <v>100.991584035</v>
      </c>
      <c r="D1162" t="n">
        <v>96.99972474499999</v>
      </c>
      <c r="E1162" t="n">
        <v>99.55001351</v>
      </c>
      <c r="F1162" t="n">
        <v>100.5</v>
      </c>
      <c r="G1162" t="n">
        <v/>
      </c>
      <c r="H1162" t="n">
        <v>100.059974577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101.16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101.408450704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5" t="n">
        <v>42278</v>
      </c>
      <c r="B1163" t="n">
        <v>100.591617365</v>
      </c>
      <c r="C1163" t="n">
        <v>101.691525706</v>
      </c>
      <c r="D1163" t="n">
        <v>96.779521057</v>
      </c>
      <c r="E1163" t="n">
        <v>99.32662544900001</v>
      </c>
      <c r="F1163" t="n">
        <v>101.3</v>
      </c>
      <c r="G1163" t="n">
        <v/>
      </c>
      <c r="H1163" t="n">
        <v>100.398282759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102.208517376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100.208350696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5" t="n">
        <v>42309</v>
      </c>
      <c r="B1164" t="n">
        <v>101.091575702</v>
      </c>
      <c r="C1164" t="n">
        <v>101.091575702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97.921916404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99.36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5" t="n">
        <v>42339</v>
      </c>
      <c r="B1165" t="n">
        <v>98.89175901999999</v>
      </c>
      <c r="C1165" t="n">
        <v>99.791684026</v>
      </c>
      <c r="D1165" t="n">
        <v>93.696669419</v>
      </c>
      <c r="E1165" t="n">
        <v>100.090692878</v>
      </c>
      <c r="F1165" t="n">
        <v>98.8</v>
      </c>
      <c r="G1165" t="n">
        <v/>
      </c>
      <c r="H1165" t="n">
        <v>98.652469876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5" t="n">
        <v>42370</v>
      </c>
      <c r="B1166" t="n">
        <v>102.29147571</v>
      </c>
      <c r="C1166" t="n">
        <v>104.991250729</v>
      </c>
      <c r="D1166" t="n">
        <v>94.687586017</v>
      </c>
      <c r="E1166" t="n">
        <v>100.697987367</v>
      </c>
      <c r="F1166" t="n">
        <v>99.7</v>
      </c>
      <c r="G1166" t="n">
        <v/>
      </c>
      <c r="H1166" t="n">
        <v>99.07520506900001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101.46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99.80831736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5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103.2</v>
      </c>
      <c r="G1167" t="n">
        <v/>
      </c>
      <c r="H1167" t="n">
        <v>99.428260253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100.83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5" t="n">
        <v>42430</v>
      </c>
      <c r="B1168" t="n">
        <v>102.491459045</v>
      </c>
      <c r="C1168" t="n">
        <v>103.691359053</v>
      </c>
      <c r="D1168" t="n">
        <v>94.026974952</v>
      </c>
      <c r="E1168" t="n">
        <v>98.756785245</v>
      </c>
      <c r="F1168" t="n">
        <v>101.8</v>
      </c>
      <c r="G1168" t="n">
        <v/>
      </c>
      <c r="H1168" t="n">
        <v>101.798635134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100.06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96.50804233700001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5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100.9</v>
      </c>
      <c r="G1169" t="n">
        <v/>
      </c>
      <c r="H1169" t="n">
        <v>97.88367039400001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104.508709059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5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99.90000000000001</v>
      </c>
      <c r="G1170" t="n">
        <v/>
      </c>
      <c r="H1170" t="n">
        <v>98.74044238899999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99.61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5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98.2</v>
      </c>
      <c r="G1171" t="n">
        <v/>
      </c>
      <c r="H1171" t="n">
        <v>98.505617972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5" t="n">
        <v>42552</v>
      </c>
      <c r="B1172" t="n">
        <v>100.691609033</v>
      </c>
      <c r="C1172" t="n">
        <v>107.791017415</v>
      </c>
      <c r="D1172" t="n">
        <v>93.916873108</v>
      </c>
      <c r="E1172" t="n">
        <v>100.257364449</v>
      </c>
      <c r="F1172" t="n">
        <v>98.90000000000001</v>
      </c>
      <c r="G1172" t="n">
        <v/>
      </c>
      <c r="H1172" t="n">
        <v>97.582783792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99.14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101.708475706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97.892271663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5" t="n">
        <v>42583</v>
      </c>
      <c r="B1173" t="n">
        <v>103.091409049</v>
      </c>
      <c r="C1173" t="n">
        <v>105.791184068</v>
      </c>
      <c r="D1173" t="n">
        <v>92.04514175600001</v>
      </c>
      <c r="E1173" t="n">
        <v>100.66427851</v>
      </c>
      <c r="F1173" t="n">
        <v>101.5</v>
      </c>
      <c r="G1173" t="n">
        <v/>
      </c>
      <c r="H1173" t="n">
        <v>97.239703365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101.06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101.208434036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5" t="n">
        <v>42614</v>
      </c>
      <c r="B1174" t="n">
        <v>102.791434047</v>
      </c>
      <c r="C1174" t="n">
        <v>102.991417382</v>
      </c>
      <c r="D1174" t="n">
        <v>93.03605835400001</v>
      </c>
      <c r="E1174" t="n">
        <v>101.849706653</v>
      </c>
      <c r="F1174" t="n">
        <v>100</v>
      </c>
      <c r="G1174" t="n">
        <v/>
      </c>
      <c r="H1174" t="n">
        <v>97.86378233000001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99.89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96.393442623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108.00900075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5" t="n">
        <v>42644</v>
      </c>
      <c r="B1175" t="n">
        <v>103.391384051</v>
      </c>
      <c r="C1175" t="n">
        <v>103.291392384</v>
      </c>
      <c r="D1175" t="n">
        <v>91.82493806799999</v>
      </c>
      <c r="E1175" t="n">
        <v>101.307422102</v>
      </c>
      <c r="F1175" t="n">
        <v>99.40000000000001</v>
      </c>
      <c r="G1175" t="n">
        <v/>
      </c>
      <c r="H1175" t="n">
        <v>96.353030279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99.59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100.108342362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98.008167347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108.309025752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5" t="n">
        <v>42675</v>
      </c>
      <c r="B1176" t="n">
        <v>104.59128406</v>
      </c>
      <c r="C1176" t="n">
        <v>103.991334055</v>
      </c>
      <c r="D1176" t="n">
        <v>92.705752821</v>
      </c>
      <c r="E1176" t="n">
        <v>102.579530163</v>
      </c>
      <c r="F1176" t="n">
        <v>99.40000000000001</v>
      </c>
      <c r="G1176" t="n">
        <v/>
      </c>
      <c r="H1176" t="n">
        <v>99.00035311400001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102.27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102.30852571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5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102</v>
      </c>
      <c r="G1177" t="n">
        <v/>
      </c>
      <c r="H1177" t="n">
        <v>97.88126656599999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100.76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5" t="n">
        <v>42736</v>
      </c>
      <c r="B1178" t="n">
        <v>102.391467378</v>
      </c>
      <c r="C1178" t="n">
        <v>102.891425715</v>
      </c>
      <c r="D1178" t="n">
        <v>94.907789705</v>
      </c>
      <c r="E1178" t="n">
        <v>103.534079387</v>
      </c>
      <c r="F1178" t="n">
        <v>105.4</v>
      </c>
      <c r="G1178" t="n">
        <v/>
      </c>
      <c r="H1178" t="n">
        <v>98.00043994000001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101.11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5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93.856075265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100.09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5" t="n">
        <v>42795</v>
      </c>
      <c r="B1180" t="n">
        <v>105.691192401</v>
      </c>
      <c r="C1180" t="n">
        <v>105.891175735</v>
      </c>
      <c r="D1180" t="n">
        <v>94.357280484</v>
      </c>
      <c r="E1180" t="n">
        <v>103.363127326</v>
      </c>
      <c r="F1180" t="n">
        <v>103.9</v>
      </c>
      <c r="G1180" t="n">
        <v/>
      </c>
      <c r="H1180" t="n">
        <v>90.571684784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101.41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104.908742395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5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101.4</v>
      </c>
      <c r="G1181" t="n">
        <v/>
      </c>
      <c r="H1181" t="n">
        <v>96.502975507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101.05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105.808817401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113.309442454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5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103.5</v>
      </c>
      <c r="G1182" t="n">
        <v/>
      </c>
      <c r="H1182" t="n">
        <v>96.82013581299999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103.29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114.009500792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5" t="n">
        <v>42887</v>
      </c>
      <c r="B1183" t="n">
        <v>107.191067411</v>
      </c>
      <c r="C1183" t="n">
        <v>107.791017415</v>
      </c>
      <c r="D1183" t="n">
        <v>95.568400771</v>
      </c>
      <c r="E1183" t="n">
        <v>105.566241917</v>
      </c>
      <c r="F1183" t="n">
        <v>103.2</v>
      </c>
      <c r="G1183" t="n">
        <v/>
      </c>
      <c r="H1183" t="n">
        <v>97.316834955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102.03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106.408867406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113.409450788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5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109.2</v>
      </c>
      <c r="G1184" t="n">
        <v/>
      </c>
      <c r="H1184" t="n">
        <v>99.29179488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102.58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5" t="n">
        <v>42948</v>
      </c>
      <c r="B1185" t="n">
        <v>109.590867428</v>
      </c>
      <c r="C1185" t="n">
        <v>110.190817432</v>
      </c>
      <c r="D1185" t="n">
        <v>95.898706303</v>
      </c>
      <c r="E1185" t="n">
        <v>104.886981693</v>
      </c>
      <c r="F1185" t="n">
        <v>109.4</v>
      </c>
      <c r="G1185" t="n">
        <v/>
      </c>
      <c r="H1185" t="n">
        <v>100.785158814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102.87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106.908909076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5" t="n">
        <v>42979</v>
      </c>
      <c r="B1186" t="n">
        <v>109.390884093</v>
      </c>
      <c r="C1186" t="n">
        <v>107.891009083</v>
      </c>
      <c r="D1186" t="n">
        <v>96.33911368</v>
      </c>
      <c r="E1186" t="n">
        <v>105.332687693</v>
      </c>
      <c r="F1186" t="n">
        <v>107.3</v>
      </c>
      <c r="G1186" t="n">
        <v/>
      </c>
      <c r="H1186" t="n">
        <v>100.067984293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103.59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104.208684057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120.110009167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5" t="n">
        <v>43009</v>
      </c>
      <c r="B1187" t="n">
        <v>108.990917424</v>
      </c>
      <c r="C1187" t="n">
        <v>106.891092409</v>
      </c>
      <c r="D1187" t="n">
        <v>97.10982659</v>
      </c>
      <c r="E1187" t="n">
        <v>104.646739203</v>
      </c>
      <c r="F1187" t="n">
        <v>106.7</v>
      </c>
      <c r="G1187" t="n">
        <v/>
      </c>
      <c r="H1187" t="n">
        <v>100.305598311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104.13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99.953161593</v>
      </c>
      <c r="AC1187" t="n">
        <v>105.691192401</v>
      </c>
      <c r="AD1187" t="n">
        <v>103.191400717</v>
      </c>
      <c r="AE1187" t="n">
        <v>105.8</v>
      </c>
      <c r="AF1187" t="n">
        <v>101.908492374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118.909909159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5" t="n">
        <v>43040</v>
      </c>
      <c r="B1188" t="n">
        <v>111.690692442</v>
      </c>
      <c r="C1188" t="n">
        <v>108.390967419</v>
      </c>
      <c r="D1188" t="n">
        <v>97.55023396599999</v>
      </c>
      <c r="E1188" t="n">
        <v>105.794445529</v>
      </c>
      <c r="F1188" t="n">
        <v>108.6</v>
      </c>
      <c r="G1188" t="n">
        <v/>
      </c>
      <c r="H1188" t="n">
        <v>100.896354002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104.47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5" t="n">
        <v>43070</v>
      </c>
      <c r="B1189" t="n">
        <v>112.490625781</v>
      </c>
      <c r="C1189" t="n">
        <v>107.491042413</v>
      </c>
      <c r="D1189" t="n">
        <v>100.52298376</v>
      </c>
      <c r="E1189" t="n">
        <v>106.223297101</v>
      </c>
      <c r="F1189" t="n">
        <v>115.7</v>
      </c>
      <c r="G1189" t="n">
        <v/>
      </c>
      <c r="H1189" t="n">
        <v>99.37599547400001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105.67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5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105.853569795</v>
      </c>
      <c r="F1190" t="n">
        <v>110.6</v>
      </c>
      <c r="G1190" t="n">
        <v/>
      </c>
      <c r="H1190" t="n">
        <v>100.596948962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101.79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104.008667389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123.210267522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5" t="n">
        <v>43132</v>
      </c>
      <c r="B1191" t="n">
        <v>111.590700775</v>
      </c>
      <c r="C1191" t="n">
        <v>106.191150737</v>
      </c>
      <c r="D1191" t="n">
        <v>97.55023396599999</v>
      </c>
      <c r="E1191" t="n">
        <v>107.321777794</v>
      </c>
      <c r="F1191" t="n">
        <v>111.4</v>
      </c>
      <c r="G1191" t="n">
        <v/>
      </c>
      <c r="H1191" t="n">
        <v>103.494938768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103.28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119.809984165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5" t="n">
        <v>43160</v>
      </c>
      <c r="B1192" t="n">
        <v>109.790850762</v>
      </c>
      <c r="C1192" t="n">
        <v>109.89084243</v>
      </c>
      <c r="D1192" t="n">
        <v>98.76135425299999</v>
      </c>
      <c r="E1192" t="n">
        <v>108.526468141</v>
      </c>
      <c r="F1192" t="n">
        <v>110.5</v>
      </c>
      <c r="G1192" t="n">
        <v/>
      </c>
      <c r="H1192" t="n">
        <v>101.664358281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104.29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5" t="n">
        <v>43191</v>
      </c>
      <c r="B1193" t="n">
        <v>111.590700775</v>
      </c>
      <c r="C1193" t="n">
        <v>110.190817432</v>
      </c>
      <c r="D1193" t="n">
        <v>98.98155794100001</v>
      </c>
      <c r="E1193" t="n">
        <v>108.679495651</v>
      </c>
      <c r="F1193" t="n">
        <v>111</v>
      </c>
      <c r="G1193" t="n">
        <v/>
      </c>
      <c r="H1193" t="n">
        <v>100.372434197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103.26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108.809067422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101.077283372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120.710059172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5" t="n">
        <v>43221</v>
      </c>
      <c r="B1194" t="n">
        <v>114.79043413</v>
      </c>
      <c r="C1194" t="n">
        <v>110.390800767</v>
      </c>
      <c r="D1194" t="n">
        <v>88.191577209</v>
      </c>
      <c r="E1194" t="n">
        <v>108.349362876</v>
      </c>
      <c r="F1194" t="n">
        <v>112.6</v>
      </c>
      <c r="G1194" t="n">
        <v/>
      </c>
      <c r="H1194" t="n">
        <v>100.915982978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102.19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101.408450704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5" t="n">
        <v>43252</v>
      </c>
      <c r="B1195" t="n">
        <v>113.190567453</v>
      </c>
      <c r="C1195" t="n">
        <v>106.291142405</v>
      </c>
      <c r="D1195" t="n">
        <v>99.20176162999999</v>
      </c>
      <c r="E1195" t="n">
        <v>109.0941681</v>
      </c>
      <c r="F1195" t="n">
        <v>112.5</v>
      </c>
      <c r="G1195" t="n">
        <v/>
      </c>
      <c r="H1195" t="n">
        <v>102.307674789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103.93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122.010167514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5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110.266487243</v>
      </c>
      <c r="F1196" t="n">
        <v>110.9</v>
      </c>
      <c r="G1196" t="n">
        <v/>
      </c>
      <c r="H1196" t="n">
        <v>101.24314028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106.908909076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101.826697892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5" t="n">
        <v>43313</v>
      </c>
      <c r="B1197" t="n">
        <v>113.090575785</v>
      </c>
      <c r="C1197" t="n">
        <v>112.290642446</v>
      </c>
      <c r="D1197" t="n">
        <v>97.99064134299999</v>
      </c>
      <c r="E1197" t="n">
        <v>110.547126855</v>
      </c>
      <c r="F1197" t="n">
        <v>111.5</v>
      </c>
      <c r="G1197" t="n">
        <v/>
      </c>
      <c r="H1197" t="n">
        <v>100.412222277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104.02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111.609300775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122.210184182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5" t="n">
        <v>43344</v>
      </c>
      <c r="B1198" t="n">
        <v>114.390467461</v>
      </c>
      <c r="C1198" t="n">
        <v>106.49112574</v>
      </c>
      <c r="D1198" t="n">
        <v>95.348197082</v>
      </c>
      <c r="E1198" t="n">
        <v>110.176061896</v>
      </c>
      <c r="F1198" t="n">
        <v>110.4</v>
      </c>
      <c r="G1198" t="n">
        <v/>
      </c>
      <c r="H1198" t="n">
        <v>99.75798073999999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102.91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108.609050754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100.608899297</v>
      </c>
      <c r="AC1198" t="n">
        <v>107.191067411</v>
      </c>
      <c r="AD1198" t="n">
        <v>103.291392384</v>
      </c>
      <c r="AE1198" t="n">
        <v>106.1</v>
      </c>
      <c r="AF1198" t="n">
        <v>100.30835903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5" t="n">
        <v>43374</v>
      </c>
      <c r="B1199" t="n">
        <v>116.290309141</v>
      </c>
      <c r="C1199" t="n">
        <v>106.591117407</v>
      </c>
      <c r="D1199" t="n">
        <v>96.559317369</v>
      </c>
      <c r="E1199" t="n">
        <v>110.359052835</v>
      </c>
      <c r="F1199" t="n">
        <v>115.8</v>
      </c>
      <c r="G1199" t="n">
        <v/>
      </c>
      <c r="H1199" t="n">
        <v>99.93764349999999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104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111.109259105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104.408700725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123.010250854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5" t="n">
        <v>43405</v>
      </c>
      <c r="B1200" t="n">
        <v>115.390384135</v>
      </c>
      <c r="C1200" t="n">
        <v>112.390634114</v>
      </c>
      <c r="D1200" t="n">
        <v>96.449215524</v>
      </c>
      <c r="E1200" t="n">
        <v>109.392999794</v>
      </c>
      <c r="F1200" t="n">
        <v>115.1</v>
      </c>
      <c r="G1200" t="n">
        <v/>
      </c>
      <c r="H1200" t="n">
        <v>103.90324723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102.88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5" t="n">
        <v>43435</v>
      </c>
      <c r="B1201" t="n">
        <v>118.790100825</v>
      </c>
      <c r="C1201" t="n">
        <v>107.191067411</v>
      </c>
      <c r="D1201" t="n">
        <v>96.669419213</v>
      </c>
      <c r="E1201" t="n">
        <v>108.653277651</v>
      </c>
      <c r="F1201" t="n">
        <v>116.9</v>
      </c>
      <c r="G1201" t="n">
        <v/>
      </c>
      <c r="H1201" t="n">
        <v>102.516009496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104.28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116.109675806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5" t="n">
        <v>43466</v>
      </c>
      <c r="B1202" t="n">
        <v>117.990167486</v>
      </c>
      <c r="C1202" t="n">
        <v>112.090659112</v>
      </c>
      <c r="D1202" t="n">
        <v>96.008808148</v>
      </c>
      <c r="E1202" t="n">
        <v>107.505838856</v>
      </c>
      <c r="F1202" t="n">
        <v>115.8</v>
      </c>
      <c r="G1202" t="n">
        <v/>
      </c>
      <c r="H1202" t="n">
        <v>99.78929618399999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113.509459122</v>
      </c>
      <c r="R1202" t="n">
        <v>104.59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114.409534128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101.408450704</v>
      </c>
      <c r="AG1202" t="n">
        <v>117.1</v>
      </c>
      <c r="AH1202" t="n">
        <v/>
      </c>
      <c r="AI1202" t="n">
        <v>103.991334055</v>
      </c>
      <c r="AJ1202" t="n">
        <v>98.44840962000001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127.310609217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5" t="n">
        <v>43497</v>
      </c>
      <c r="B1203" t="n">
        <v>117.390217482</v>
      </c>
      <c r="C1203" t="n">
        <v>111.79068411</v>
      </c>
      <c r="D1203" t="n">
        <v>96.229011836</v>
      </c>
      <c r="E1203" t="n">
        <v>107.151093264</v>
      </c>
      <c r="F1203" t="n">
        <v>114.8</v>
      </c>
      <c r="G1203" t="n">
        <v/>
      </c>
      <c r="H1203" t="n">
        <v>99.521110292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5" t="n">
        <v>43525</v>
      </c>
      <c r="B1204" t="n">
        <v>116.590284143</v>
      </c>
      <c r="C1204" t="n">
        <v>110.690775769</v>
      </c>
      <c r="D1204" t="n">
        <v>95.898706303</v>
      </c>
      <c r="E1204" t="n">
        <v>108.826637488</v>
      </c>
      <c r="F1204" t="n">
        <v>114.6</v>
      </c>
      <c r="G1204" t="n">
        <v/>
      </c>
      <c r="H1204" t="n">
        <v>99.516058578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104.48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5" t="n">
        <v>43556</v>
      </c>
      <c r="B1205" t="n">
        <v>114.390467461</v>
      </c>
      <c r="C1205" t="n">
        <v>116.990250812</v>
      </c>
      <c r="D1205" t="n">
        <v>96.229011836</v>
      </c>
      <c r="E1205" t="n">
        <v>111.055970079</v>
      </c>
      <c r="F1205" t="n">
        <v>115.7</v>
      </c>
      <c r="G1205" t="n">
        <v/>
      </c>
      <c r="H1205" t="n">
        <v>101.610960276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104.81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5" t="n">
        <v>43586</v>
      </c>
      <c r="B1206" t="n">
        <v>114.490459128</v>
      </c>
      <c r="C1206" t="n">
        <v>112.590617449</v>
      </c>
      <c r="D1206" t="n">
        <v>96.118909992</v>
      </c>
      <c r="E1206" t="n">
        <v>111.160307018</v>
      </c>
      <c r="F1206" t="n">
        <v>116.4</v>
      </c>
      <c r="G1206" t="n">
        <v/>
      </c>
      <c r="H1206" t="n">
        <v>101.853946568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106.24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118.709892491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5" t="n">
        <v>43617</v>
      </c>
      <c r="B1207" t="n">
        <v>115.590367469</v>
      </c>
      <c r="C1207" t="n">
        <v>116.790267478</v>
      </c>
      <c r="D1207" t="n">
        <v>95.348197082</v>
      </c>
      <c r="E1207" t="n">
        <v>110.269965141</v>
      </c>
      <c r="F1207" t="n">
        <v>119.4</v>
      </c>
      <c r="G1207" t="n">
        <v/>
      </c>
      <c r="H1207" t="n">
        <v>100.213217844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5" t="n">
        <v>43647</v>
      </c>
      <c r="B1208" t="n">
        <v>114.990417465</v>
      </c>
      <c r="C1208" t="n">
        <v>109.190900758</v>
      </c>
      <c r="D1208" t="n">
        <v>94.577484173</v>
      </c>
      <c r="E1208" t="n">
        <v>108.403939121</v>
      </c>
      <c r="F1208" t="n">
        <v>118.6</v>
      </c>
      <c r="G1208" t="n">
        <v/>
      </c>
      <c r="H1208" t="n">
        <v>100.996355325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104.11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106.323185012</v>
      </c>
      <c r="AC1208" t="n">
        <v>106.291142405</v>
      </c>
      <c r="AD1208" t="n">
        <v>101.791517374</v>
      </c>
      <c r="AE1208" t="n">
        <v>108.6</v>
      </c>
      <c r="AF1208" t="n">
        <v>97.908159013</v>
      </c>
      <c r="AG1208" t="n">
        <v>114.9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5" t="n">
        <v>43678</v>
      </c>
      <c r="B1209" t="n">
        <v>113.890509124</v>
      </c>
      <c r="C1209" t="n">
        <v>117.390217482</v>
      </c>
      <c r="D1209" t="n">
        <v>95.678502615</v>
      </c>
      <c r="E1209" t="n">
        <v>108.656755549</v>
      </c>
      <c r="F1209" t="n">
        <v>119.2</v>
      </c>
      <c r="G1209" t="n">
        <v/>
      </c>
      <c r="H1209" t="n">
        <v>102.275004537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102.93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115.2096008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105.199063232</v>
      </c>
      <c r="AC1209" t="n">
        <v>105.391217399</v>
      </c>
      <c r="AD1209" t="n">
        <v>100.491625698</v>
      </c>
      <c r="AE1209" t="n">
        <v>106.6</v>
      </c>
      <c r="AF1209" t="n">
        <v>101.108425702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123.210267522</v>
      </c>
      <c r="AR1209" t="n">
        <v>112.890592451</v>
      </c>
      <c r="AS1209" t="n">
        <v>111.690692442</v>
      </c>
      <c r="AT1209" t="n">
        <v>102.042581617</v>
      </c>
      <c r="AU1209" t="n">
        <v/>
      </c>
    </row>
    <row r="1210">
      <c r="A1210" s="105" t="n">
        <v>43709</v>
      </c>
      <c r="B1210" t="n">
        <v>115.090409133</v>
      </c>
      <c r="C1210" t="n">
        <v>114.990417465</v>
      </c>
      <c r="D1210" t="n">
        <v>95.678502615</v>
      </c>
      <c r="E1210" t="n">
        <v>108.279537386</v>
      </c>
      <c r="F1210" t="n">
        <v>121.6</v>
      </c>
      <c r="G1210" t="n">
        <v/>
      </c>
      <c r="H1210" t="n">
        <v>100.701580973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103.88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118.509875823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104.449648712</v>
      </c>
      <c r="AC1210" t="n">
        <v>105.091242396</v>
      </c>
      <c r="AD1210" t="n">
        <v>102.491459045</v>
      </c>
      <c r="AE1210" t="n">
        <v>108</v>
      </c>
      <c r="AF1210" t="n">
        <v>98.708225685</v>
      </c>
      <c r="AG1210" t="n">
        <v>120.4</v>
      </c>
      <c r="AH1210" t="n">
        <v/>
      </c>
      <c r="AI1210" t="n">
        <v>103.091409049</v>
      </c>
      <c r="AJ1210" t="n">
        <v>93.677269201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124.910409201</v>
      </c>
      <c r="AR1210" t="n">
        <v>112.490625781</v>
      </c>
      <c r="AS1210" t="n">
        <v>115.890342471</v>
      </c>
      <c r="AT1210" t="n">
        <v>101.715755337</v>
      </c>
      <c r="AU1210" t="n">
        <v/>
      </c>
    </row>
    <row r="1211">
      <c r="A1211" s="105" t="n">
        <v>43739</v>
      </c>
      <c r="B1211" t="n">
        <v>114.590450796</v>
      </c>
      <c r="C1211" t="n">
        <v>111.79068411</v>
      </c>
      <c r="D1211" t="n">
        <v>97.660335811</v>
      </c>
      <c r="E1211" t="n">
        <v>108.672272325</v>
      </c>
      <c r="F1211" t="n">
        <v>120.2</v>
      </c>
      <c r="G1211" t="n">
        <v/>
      </c>
      <c r="H1211" t="n">
        <v>97.690851327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103.69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117.709809151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108.290398126</v>
      </c>
      <c r="AC1211" t="n">
        <v>104.19131739</v>
      </c>
      <c r="AD1211" t="n">
        <v>98.291809016</v>
      </c>
      <c r="AE1211" t="n">
        <v>106.9</v>
      </c>
      <c r="AF1211" t="n">
        <v>97.408117343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126.210517543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5" t="n">
        <v>43770</v>
      </c>
      <c r="B1212" t="n">
        <v>113.990500792</v>
      </c>
      <c r="C1212" t="n">
        <v>115.090409133</v>
      </c>
      <c r="D1212" t="n">
        <v>95.568400771</v>
      </c>
      <c r="E1212" t="n">
        <v>107.709429651</v>
      </c>
      <c r="F1212" t="n">
        <v>117.6</v>
      </c>
      <c r="G1212" t="n">
        <v/>
      </c>
      <c r="H1212" t="n">
        <v>100.542829128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103.25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115.909659138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96.408034003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5" t="n">
        <v>43800</v>
      </c>
      <c r="B1213" t="n">
        <v>115.090409133</v>
      </c>
      <c r="C1213" t="n">
        <v>118.290142488</v>
      </c>
      <c r="D1213" t="n">
        <v>94.797687861</v>
      </c>
      <c r="E1213" t="n">
        <v>107.174903488</v>
      </c>
      <c r="F1213" t="n">
        <v>115.6</v>
      </c>
      <c r="G1213" t="n">
        <v/>
      </c>
      <c r="H1213" t="n">
        <v>104.212478125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101.23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112.509375781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123.210267522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5" t="n">
        <v>43831</v>
      </c>
      <c r="B1214" t="n">
        <v>118.290142488</v>
      </c>
      <c r="C1214" t="n">
        <v>112.390634114</v>
      </c>
      <c r="D1214" t="n">
        <v>95.898706303</v>
      </c>
      <c r="E1214" t="n">
        <v>107.897503672</v>
      </c>
      <c r="F1214" t="n">
        <v>119.7</v>
      </c>
      <c r="G1214" t="n">
        <v/>
      </c>
      <c r="H1214" t="n">
        <v>102.372661775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101.28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98.564778898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5" t="n">
        <v>43862</v>
      </c>
      <c r="B1215" t="n">
        <v>116.490292476</v>
      </c>
      <c r="C1215" t="n">
        <v>114.190484126</v>
      </c>
      <c r="D1215" t="n">
        <v>96.33911368</v>
      </c>
      <c r="E1215" t="n">
        <v>108.769118406</v>
      </c>
      <c r="F1215" t="n">
        <v>116.6</v>
      </c>
      <c r="G1215" t="n">
        <v/>
      </c>
      <c r="H1215" t="n">
        <v>101.485338824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103.47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116.009667472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5" t="n">
        <v>43891</v>
      </c>
      <c r="B1216" t="n">
        <v>105.591200733</v>
      </c>
      <c r="C1216" t="n">
        <v>107.391050746</v>
      </c>
      <c r="D1216" t="n">
        <v>88.631984586</v>
      </c>
      <c r="E1216" t="n">
        <v>102.07577002</v>
      </c>
      <c r="F1216" t="n">
        <v>111.5</v>
      </c>
      <c r="G1216" t="n">
        <v/>
      </c>
      <c r="H1216" t="n">
        <v>100.27592309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85.76000000000001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109.990834097</v>
      </c>
      <c r="AS1216" t="n">
        <v>112.890592451</v>
      </c>
      <c r="AT1216" t="n">
        <v>97.05094480699999</v>
      </c>
      <c r="AU1216" t="n">
        <v/>
      </c>
    </row>
    <row r="1217">
      <c r="A1217" s="105" t="n">
        <v>43922</v>
      </c>
      <c r="B1217" t="n">
        <v>89.89250895799999</v>
      </c>
      <c r="C1217" t="n">
        <v>94.892092326</v>
      </c>
      <c r="D1217" t="n">
        <v>71.235893201</v>
      </c>
      <c r="E1217" t="n">
        <v>88.644930696</v>
      </c>
      <c r="F1217" t="n">
        <v>107.2</v>
      </c>
      <c r="G1217" t="n">
        <v/>
      </c>
      <c r="H1217" t="n">
        <v>97.04885217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68.16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99.297423888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5" t="n">
        <v>43952</v>
      </c>
      <c r="B1218" t="n">
        <v>98.491792351</v>
      </c>
      <c r="C1218" t="n">
        <v>107.291059078</v>
      </c>
      <c r="D1218" t="n">
        <v>76.851087256</v>
      </c>
      <c r="E1218" t="n">
        <v>92.631671879</v>
      </c>
      <c r="F1218" t="n">
        <v>103.2</v>
      </c>
      <c r="G1218" t="n">
        <v/>
      </c>
      <c r="H1218" t="n">
        <v>97.224918996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106.708892408</v>
      </c>
      <c r="R1218" t="n">
        <v>81.34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103.419203747</v>
      </c>
      <c r="AC1218" t="n">
        <v>84.49295892000001</v>
      </c>
      <c r="AD1218" t="n">
        <v>78.293475544</v>
      </c>
      <c r="AE1218" t="n">
        <v>96.3</v>
      </c>
      <c r="AF1218" t="n">
        <v>78.506542212</v>
      </c>
      <c r="AG1218" t="n">
        <v>109</v>
      </c>
      <c r="AH1218" t="n">
        <v/>
      </c>
      <c r="AI1218" t="n">
        <v>94.192150654</v>
      </c>
      <c r="AJ1218" t="n">
        <v>100.659425912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5" t="n">
        <v>43983</v>
      </c>
      <c r="B1219" t="n">
        <v>104.791267394</v>
      </c>
      <c r="C1219" t="n">
        <v>103.891342388</v>
      </c>
      <c r="D1219" t="n">
        <v>84.448114506</v>
      </c>
      <c r="E1219" t="n">
        <v>96.572130266</v>
      </c>
      <c r="F1219" t="n">
        <v>108.6</v>
      </c>
      <c r="G1219" t="n">
        <v/>
      </c>
      <c r="H1219" t="n">
        <v>96.139480541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115.109592466</v>
      </c>
      <c r="P1219" t="n">
        <v/>
      </c>
      <c r="Q1219" t="n">
        <v>107.108925744</v>
      </c>
      <c r="R1219" t="n">
        <v>91.42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101.408450704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108.665105386</v>
      </c>
      <c r="AC1219" t="n">
        <v>91.592367303</v>
      </c>
      <c r="AD1219" t="n">
        <v>82.093158903</v>
      </c>
      <c r="AE1219" t="n">
        <v>103.6</v>
      </c>
      <c r="AF1219" t="n">
        <v>85.507125594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5" t="n">
        <v>44013</v>
      </c>
      <c r="B1220" t="n">
        <v>110.490792434</v>
      </c>
      <c r="C1220" t="n">
        <v>109.390884093</v>
      </c>
      <c r="D1220" t="n">
        <v>92.04514175600001</v>
      </c>
      <c r="E1220" t="n">
        <v>99.238340347</v>
      </c>
      <c r="F1220" t="n">
        <v>111.8</v>
      </c>
      <c r="G1220" t="n">
        <v/>
      </c>
      <c r="H1220" t="n">
        <v>97.432855183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116.609717476</v>
      </c>
      <c r="P1220" t="n">
        <v/>
      </c>
      <c r="Q1220" t="n">
        <v>108.909075756</v>
      </c>
      <c r="R1220" t="n">
        <v>94.91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108.409034086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90.50754229499999</v>
      </c>
      <c r="AG1220" t="n">
        <v>114.8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5" t="n">
        <v>44044</v>
      </c>
      <c r="B1221" t="n">
        <v>110.990750771</v>
      </c>
      <c r="C1221" t="n">
        <v>110.190817432</v>
      </c>
      <c r="D1221" t="n">
        <v>94.907789705</v>
      </c>
      <c r="E1221" t="n">
        <v>98.896168694</v>
      </c>
      <c r="F1221" t="n">
        <v>113.6</v>
      </c>
      <c r="G1221" t="n">
        <v/>
      </c>
      <c r="H1221" t="n">
        <v>97.826695904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115.409617468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108.758782201</v>
      </c>
      <c r="AC1221" t="n">
        <v>104.491292392</v>
      </c>
      <c r="AD1221" t="n">
        <v>89.89250895799999</v>
      </c>
      <c r="AE1221" t="n">
        <v>106.3</v>
      </c>
      <c r="AF1221" t="n">
        <v>90.80756729700001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120.41003417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5" t="n">
        <v>44075</v>
      </c>
      <c r="B1222" t="n">
        <v>114.190484126</v>
      </c>
      <c r="C1222" t="n">
        <v>110.090825765</v>
      </c>
      <c r="D1222" t="n">
        <v>97.55023396599999</v>
      </c>
      <c r="E1222" t="n">
        <v>100.288398</v>
      </c>
      <c r="F1222" t="n">
        <v>116.4</v>
      </c>
      <c r="G1222" t="n">
        <v/>
      </c>
      <c r="H1222" t="n">
        <v>99.846850442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107.908992416</v>
      </c>
      <c r="R1222" t="n">
        <v>97.03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117.309775815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110.070257611</v>
      </c>
      <c r="AC1222" t="n">
        <v>100.291642363</v>
      </c>
      <c r="AD1222" t="n">
        <v>91.992333972</v>
      </c>
      <c r="AE1222" t="n">
        <v>109.6</v>
      </c>
      <c r="AF1222" t="n">
        <v>93.407783982</v>
      </c>
      <c r="AG1222" t="n">
        <v>116.9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121.110092508</v>
      </c>
      <c r="AR1222" t="n">
        <v>110.090825765</v>
      </c>
      <c r="AS1222" t="n">
        <v>125.589534205</v>
      </c>
      <c r="AT1222" t="n">
        <v>95.26262200399999</v>
      </c>
      <c r="AU1222" t="n">
        <v/>
      </c>
    </row>
    <row r="1223">
      <c r="A1223" s="105" t="n">
        <v>44105</v>
      </c>
      <c r="B1223" t="n">
        <v>115.1904008</v>
      </c>
      <c r="C1223" t="n">
        <v>117.290225815</v>
      </c>
      <c r="D1223" t="n">
        <v>98.87145609700001</v>
      </c>
      <c r="E1223" t="n">
        <v>100.537469</v>
      </c>
      <c r="F1223" t="n">
        <v>113.2</v>
      </c>
      <c r="G1223" t="n">
        <v/>
      </c>
      <c r="H1223" t="n">
        <v>101.372772249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121.810150846</v>
      </c>
      <c r="P1223" t="n">
        <v/>
      </c>
      <c r="Q1223" t="n">
        <v>109.709142429</v>
      </c>
      <c r="R1223" t="n">
        <v>99.56999999999999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120.210017501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108.758782201</v>
      </c>
      <c r="AC1223" t="n">
        <v>102.191484043</v>
      </c>
      <c r="AD1223" t="n">
        <v>93.69219231700001</v>
      </c>
      <c r="AE1223" t="n">
        <v>109</v>
      </c>
      <c r="AF1223" t="n">
        <v>94.507875656</v>
      </c>
      <c r="AG1223" t="n">
        <v>118.5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125.410450871</v>
      </c>
      <c r="AR1223" t="n">
        <v>110.190817432</v>
      </c>
      <c r="AS1223" t="n">
        <v>125.889509208</v>
      </c>
      <c r="AT1223" t="n">
        <v>96.01017762399999</v>
      </c>
      <c r="AU1223" t="n">
        <v/>
      </c>
    </row>
    <row r="1224">
      <c r="A1224" s="105" t="n">
        <v>44136</v>
      </c>
      <c r="B1224" t="n">
        <v>114.890425798</v>
      </c>
      <c r="C1224" t="n">
        <v>115.790350804</v>
      </c>
      <c r="D1224" t="n">
        <v>99.42196531800001</v>
      </c>
      <c r="E1224" t="n">
        <v>102.688950183</v>
      </c>
      <c r="F1224" t="n">
        <v>116.6</v>
      </c>
      <c r="G1224" t="n">
        <v/>
      </c>
      <c r="H1224" t="n">
        <v>99.64135083399999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120.710059172</v>
      </c>
      <c r="P1224" t="n">
        <v/>
      </c>
      <c r="Q1224" t="n">
        <v>110.309192433</v>
      </c>
      <c r="R1224" t="n">
        <v>98.44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117.909825819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110.590784101</v>
      </c>
      <c r="AS1224" t="n">
        <v>127.189400883</v>
      </c>
      <c r="AT1224" t="n">
        <v>96.301009384</v>
      </c>
      <c r="AU1224" t="n">
        <v/>
      </c>
    </row>
    <row r="1225">
      <c r="A1225" s="105" t="n">
        <v>44166</v>
      </c>
      <c r="B1225" t="n">
        <v>113.090575785</v>
      </c>
      <c r="C1225" t="n">
        <v>113.69052579</v>
      </c>
      <c r="D1225" t="n">
        <v>99.642169006</v>
      </c>
      <c r="E1225" t="n">
        <v>104.144851775</v>
      </c>
      <c r="F1225" t="n">
        <v>116.7</v>
      </c>
      <c r="G1225" t="n">
        <v/>
      </c>
      <c r="H1225" t="n">
        <v>99.566728205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120.710059172</v>
      </c>
      <c r="P1225" t="n">
        <v/>
      </c>
      <c r="Q1225" t="n">
        <v>108.209017418</v>
      </c>
      <c r="R1225" t="n">
        <v>97.92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116.009667472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108.852459016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5" t="n">
        <v>44197</v>
      </c>
      <c r="B1226" t="n">
        <v>113.790517457</v>
      </c>
      <c r="C1226" t="n">
        <v>120.289975835</v>
      </c>
      <c r="D1226" t="n">
        <v>100.52298376</v>
      </c>
      <c r="E1226" t="n">
        <v>104.666001407</v>
      </c>
      <c r="F1226" t="n">
        <v>119.4</v>
      </c>
      <c r="G1226" t="n">
        <v/>
      </c>
      <c r="H1226" t="n">
        <v>101.231496499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110.609217435</v>
      </c>
      <c r="R1226" t="n">
        <v>100.71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114.909575798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5" t="n">
        <v>44228</v>
      </c>
      <c r="B1227" t="n">
        <v>116.290309141</v>
      </c>
      <c r="C1227" t="n">
        <v>118.290142488</v>
      </c>
      <c r="D1227" t="n">
        <v>98.54115056400001</v>
      </c>
      <c r="E1227" t="n">
        <v>103.533276795</v>
      </c>
      <c r="F1227" t="n">
        <v>116.7</v>
      </c>
      <c r="G1227" t="n">
        <v/>
      </c>
      <c r="H1227" t="n">
        <v>102.427084002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121.010084174</v>
      </c>
      <c r="P1227" t="n">
        <v/>
      </c>
      <c r="Q1227" t="n">
        <v>113.009417451</v>
      </c>
      <c r="R1227" t="n">
        <v>96.34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119.609967497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126.710559213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5" t="n">
        <v>44256</v>
      </c>
      <c r="B1228" t="n">
        <v>119.190067494</v>
      </c>
      <c r="C1228" t="n">
        <v>122.789767519</v>
      </c>
      <c r="D1228" t="n">
        <v>96.118909992</v>
      </c>
      <c r="E1228" t="n">
        <v>104.12987006</v>
      </c>
      <c r="F1228" t="n">
        <v>124.2</v>
      </c>
      <c r="G1228" t="n">
        <v/>
      </c>
      <c r="H1228" t="n">
        <v>102.085612418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98.06999999999999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120.010000833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103.335919317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5" t="n">
        <v>44287</v>
      </c>
      <c r="B1229" t="n">
        <v>119.590034164</v>
      </c>
      <c r="C1229" t="n">
        <v>128.489292559</v>
      </c>
      <c r="D1229" t="n">
        <v>94.467382329</v>
      </c>
      <c r="E1229" t="n">
        <v>102.684669693</v>
      </c>
      <c r="F1229" t="n">
        <v>126.9</v>
      </c>
      <c r="G1229" t="n">
        <v/>
      </c>
      <c r="H1229" t="n">
        <v>102.312363157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98.23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117.109759147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109.789227166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114.490459128</v>
      </c>
      <c r="AS1229" t="n">
        <v>130.889092576</v>
      </c>
      <c r="AT1229" t="n">
        <v>98.19126708100001</v>
      </c>
      <c r="AU1229" t="n">
        <v/>
      </c>
    </row>
    <row r="1230">
      <c r="A1230" s="105" t="n">
        <v>44317</v>
      </c>
      <c r="B1230" t="n">
        <v>118.790100825</v>
      </c>
      <c r="C1230" t="n">
        <v>128.389300892</v>
      </c>
      <c r="D1230" t="n">
        <v>95.568400771</v>
      </c>
      <c r="E1230" t="n">
        <v>102.713562999</v>
      </c>
      <c r="F1230" t="n">
        <v>122.5</v>
      </c>
      <c r="G1230" t="n">
        <v/>
      </c>
      <c r="H1230" t="n">
        <v>100.415584229</v>
      </c>
      <c r="I1230" t="n">
        <v>119.690025831</v>
      </c>
      <c r="J1230" t="n">
        <v>111.581403099</v>
      </c>
      <c r="K1230" t="n">
        <v>97.00808400699999</v>
      </c>
      <c r="L1230" t="n">
        <v>111.3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98.03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120.510042504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107.259953162</v>
      </c>
      <c r="AC1230" t="n">
        <v>102.791434047</v>
      </c>
      <c r="AD1230" t="n">
        <v>92.592283976</v>
      </c>
      <c r="AE1230" t="n">
        <v>112.7</v>
      </c>
      <c r="AF1230" t="n">
        <v>95.207933994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127.010584215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5" t="n">
        <v>44348</v>
      </c>
      <c r="B1231" t="n">
        <v>118.490125823</v>
      </c>
      <c r="C1231" t="n">
        <v>139.588367636</v>
      </c>
      <c r="D1231" t="n">
        <v>95.238095238</v>
      </c>
      <c r="E1231" t="n">
        <v>104.734489244</v>
      </c>
      <c r="F1231" t="n">
        <v>122.2</v>
      </c>
      <c r="G1231" t="n">
        <v/>
      </c>
      <c r="H1231" t="n">
        <v>102.275539332</v>
      </c>
      <c r="I1231" t="n">
        <v>122.189817515</v>
      </c>
      <c r="J1231" t="n">
        <v>112.281286452</v>
      </c>
      <c r="K1231" t="n">
        <v>96.308025669</v>
      </c>
      <c r="L1231" t="n">
        <v>107.1</v>
      </c>
      <c r="M1231" t="n">
        <v>104.091325723</v>
      </c>
      <c r="N1231" t="n">
        <v>100.573083811</v>
      </c>
      <c r="O1231" t="n">
        <v>127.310609217</v>
      </c>
      <c r="P1231" t="n">
        <v/>
      </c>
      <c r="Q1231" t="n">
        <v>111.309275773</v>
      </c>
      <c r="R1231" t="n">
        <v>97.84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119.709975831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112.224824356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5" t="n">
        <v>44378</v>
      </c>
      <c r="B1232" t="n">
        <v>119.590034164</v>
      </c>
      <c r="C1232" t="n">
        <v>133.188900925</v>
      </c>
      <c r="D1232" t="n">
        <v>93.586567575</v>
      </c>
      <c r="E1232" t="n">
        <v>104.96456557</v>
      </c>
      <c r="F1232" t="n">
        <v>123.8</v>
      </c>
      <c r="G1232" t="n">
        <v/>
      </c>
      <c r="H1232" t="n">
        <v>102.844289103</v>
      </c>
      <c r="I1232" t="n">
        <v>120.789934172</v>
      </c>
      <c r="J1232" t="n">
        <v>113.381103149</v>
      </c>
      <c r="K1232" t="n">
        <v>97.508125677</v>
      </c>
      <c r="L1232" t="n">
        <v>115.8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113.409450788</v>
      </c>
      <c r="R1232" t="n">
        <v>98.48999999999999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119.209934161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93.80781731800001</v>
      </c>
      <c r="AG1232" t="n">
        <v>125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5" t="n">
        <v>44409</v>
      </c>
      <c r="B1233" t="n">
        <v>119.790017499</v>
      </c>
      <c r="C1233" t="n">
        <v>131.08907591</v>
      </c>
      <c r="D1233" t="n">
        <v>93.586567575</v>
      </c>
      <c r="E1233" t="n">
        <v>105.280786754</v>
      </c>
      <c r="F1233" t="n">
        <v>123.5</v>
      </c>
      <c r="G1233" t="n">
        <v/>
      </c>
      <c r="H1233" t="n">
        <v>101.784048342</v>
      </c>
      <c r="I1233" t="n">
        <v>119.390050829</v>
      </c>
      <c r="J1233" t="n">
        <v>110.381603066</v>
      </c>
      <c r="K1233" t="n">
        <v>92.907742312</v>
      </c>
      <c r="L1233" t="n">
        <v>119.6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98.34999999999999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115.909659138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110.819672131</v>
      </c>
      <c r="AC1233" t="n">
        <v>104.291309058</v>
      </c>
      <c r="AD1233" t="n">
        <v>95.792017332</v>
      </c>
      <c r="AE1233" t="n">
        <v>115.7</v>
      </c>
      <c r="AF1233" t="n">
        <v>95.70797566500001</v>
      </c>
      <c r="AG1233" t="n">
        <v>122.3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127.61063422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5" t="n">
        <v>44440</v>
      </c>
      <c r="B1234" t="n">
        <v>120.389967503</v>
      </c>
      <c r="C1234" t="n">
        <v>129.489209233</v>
      </c>
      <c r="D1234" t="n">
        <v>93.36636388700001</v>
      </c>
      <c r="E1234" t="n">
        <v>105.51059555</v>
      </c>
      <c r="F1234" t="n">
        <v>123.9</v>
      </c>
      <c r="G1234" t="n">
        <v/>
      </c>
      <c r="H1234" t="n">
        <v>99.41044404100001</v>
      </c>
      <c r="I1234" t="n">
        <v>116.590284143</v>
      </c>
      <c r="J1234" t="n">
        <v>107.282119647</v>
      </c>
      <c r="K1234" t="n">
        <v>92.70772564400001</v>
      </c>
      <c r="L1234" t="n">
        <v>110.5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114.809567464</v>
      </c>
      <c r="R1234" t="n">
        <v>97.25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115.109592466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112.693208431</v>
      </c>
      <c r="AC1234" t="n">
        <v>105.591200733</v>
      </c>
      <c r="AD1234" t="n">
        <v>90.092492292</v>
      </c>
      <c r="AE1234" t="n">
        <v>112.8</v>
      </c>
      <c r="AF1234" t="n">
        <v>94.80790065799999</v>
      </c>
      <c r="AG1234" t="n">
        <v>124.5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129.010750896</v>
      </c>
      <c r="AR1234" t="n">
        <v>112.490625781</v>
      </c>
      <c r="AS1234" t="n">
        <v>137.588534289</v>
      </c>
      <c r="AT1234" t="n">
        <v>99.009522683</v>
      </c>
      <c r="AU1234" t="n">
        <v/>
      </c>
    </row>
    <row r="1235">
      <c r="A1235" s="105" t="n">
        <v>44470</v>
      </c>
      <c r="B1235" t="n">
        <v>121.189900842</v>
      </c>
      <c r="C1235" t="n">
        <v>132.188984251</v>
      </c>
      <c r="D1235" t="n">
        <v>92.81585466600001</v>
      </c>
      <c r="E1235" t="n">
        <v>106.612554142</v>
      </c>
      <c r="F1235" t="n">
        <v>117.9</v>
      </c>
      <c r="G1235" t="n">
        <v/>
      </c>
      <c r="H1235" t="n">
        <v>103.155045361</v>
      </c>
      <c r="I1235" t="n">
        <v>120.989917507</v>
      </c>
      <c r="J1235" t="n">
        <v>108.081986336</v>
      </c>
      <c r="K1235" t="n">
        <v>95.907992333</v>
      </c>
      <c r="L1235" t="n">
        <v>118</v>
      </c>
      <c r="M1235" t="n">
        <v>101.791517374</v>
      </c>
      <c r="N1235" t="n">
        <v>103.167085973</v>
      </c>
      <c r="O1235" t="n">
        <v>125.010417535</v>
      </c>
      <c r="P1235" t="n">
        <v/>
      </c>
      <c r="Q1235" t="n">
        <v>115.2096008</v>
      </c>
      <c r="R1235" t="n">
        <v>98.95999999999999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117.409784149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114.941451991</v>
      </c>
      <c r="AC1235" t="n">
        <v>104.691275727</v>
      </c>
      <c r="AD1235" t="n">
        <v>92.192317307</v>
      </c>
      <c r="AE1235" t="n">
        <v>113.2</v>
      </c>
      <c r="AF1235" t="n">
        <v>95.40795066299999</v>
      </c>
      <c r="AG1235" t="n">
        <v>123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129.810817568</v>
      </c>
      <c r="AR1235" t="n">
        <v>114.890425798</v>
      </c>
      <c r="AS1235" t="n">
        <v>138.188484293</v>
      </c>
      <c r="AT1235" t="n">
        <v>100.507212043</v>
      </c>
      <c r="AU1235" t="n">
        <v/>
      </c>
    </row>
    <row r="1236">
      <c r="A1236" s="105" t="n">
        <v>44501</v>
      </c>
      <c r="B1236" t="n">
        <v>124.389634197</v>
      </c>
      <c r="C1236" t="n">
        <v>125.389550871</v>
      </c>
      <c r="D1236" t="n">
        <v>92.92595651000001</v>
      </c>
      <c r="E1236" t="n">
        <v>105.95202106</v>
      </c>
      <c r="F1236" t="n">
        <v>127.1</v>
      </c>
      <c r="G1236" t="n">
        <v/>
      </c>
      <c r="H1236" t="n">
        <v>102.170977609</v>
      </c>
      <c r="I1236" t="n">
        <v>123.389717524</v>
      </c>
      <c r="J1236" t="n">
        <v>114.580903183</v>
      </c>
      <c r="K1236" t="n">
        <v>96.608050671</v>
      </c>
      <c r="L1236" t="n">
        <v>120</v>
      </c>
      <c r="M1236" t="n">
        <v>104.491292392</v>
      </c>
      <c r="N1236" t="n">
        <v>105.469087891</v>
      </c>
      <c r="O1236" t="n">
        <v>128.61071756</v>
      </c>
      <c r="P1236" t="n">
        <v/>
      </c>
      <c r="Q1236" t="n">
        <v>116.009667472</v>
      </c>
      <c r="R1236" t="n">
        <v>97.94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120.510042504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110.725995316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122.7</v>
      </c>
      <c r="AH1236" t="n">
        <v/>
      </c>
      <c r="AI1236" t="n">
        <v>104.091325723</v>
      </c>
      <c r="AJ1236" t="n">
        <v>101.124903026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134.111175931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5" t="n">
        <v>44531</v>
      </c>
      <c r="B1237" t="n">
        <v>124.489625865</v>
      </c>
      <c r="C1237" t="n">
        <v>128.08932589</v>
      </c>
      <c r="D1237" t="n">
        <v>95.348197082</v>
      </c>
      <c r="E1237" t="n">
        <v>106.201627121</v>
      </c>
      <c r="F1237" t="n">
        <v>126.2</v>
      </c>
      <c r="G1237" t="n">
        <v/>
      </c>
      <c r="H1237" t="n">
        <v>101.134042179</v>
      </c>
      <c r="I1237" t="n">
        <v>118.490125823</v>
      </c>
      <c r="J1237" t="n">
        <v>110.381603066</v>
      </c>
      <c r="K1237" t="n">
        <v>97.80815067899999</v>
      </c>
      <c r="L1237" t="n">
        <v>120.1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119.809984165</v>
      </c>
      <c r="R1237" t="n">
        <v>97.86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121.41011751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97.108092341</v>
      </c>
      <c r="AG1237" t="n">
        <v>126.6</v>
      </c>
      <c r="AH1237" t="n">
        <v/>
      </c>
      <c r="AI1237" t="n">
        <v>106.09115907</v>
      </c>
      <c r="AJ1237" t="n">
        <v>103.91776571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5" t="n">
        <v>44562</v>
      </c>
      <c r="B1238" t="n">
        <v>127.089409216</v>
      </c>
      <c r="C1238" t="n">
        <v>128.989250896</v>
      </c>
      <c r="D1238" t="n">
        <v>93.586567575</v>
      </c>
      <c r="E1238" t="n">
        <v>105.929816019</v>
      </c>
      <c r="F1238" t="n">
        <v>126.7</v>
      </c>
      <c r="G1238" t="n">
        <v/>
      </c>
      <c r="H1238" t="n">
        <v>99.813124895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116.20968414</v>
      </c>
      <c r="R1238" t="n">
        <v>99.58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122.710225852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5" t="n">
        <v>44593</v>
      </c>
      <c r="B1239" t="n">
        <v>126.289475877</v>
      </c>
      <c r="C1239" t="n">
        <v>128.08932589</v>
      </c>
      <c r="D1239" t="n">
        <v>94.24717864</v>
      </c>
      <c r="E1239" t="n">
        <v>106.686660121</v>
      </c>
      <c r="F1239" t="n">
        <v>130</v>
      </c>
      <c r="G1239" t="n">
        <v/>
      </c>
      <c r="H1239" t="n">
        <v>99.181146568</v>
      </c>
      <c r="I1239" t="n">
        <v>130.378270288</v>
      </c>
      <c r="J1239" t="n">
        <v>110.381603066</v>
      </c>
      <c r="K1239" t="n">
        <v>98.208184015</v>
      </c>
      <c r="L1239" t="n">
        <v>122.7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116.609717476</v>
      </c>
      <c r="R1239" t="n">
        <v>98.22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125.310442537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5" t="n">
        <v>44621</v>
      </c>
      <c r="B1240" t="n">
        <v>127.789350887</v>
      </c>
      <c r="C1240" t="n">
        <v>127.889342555</v>
      </c>
      <c r="D1240" t="n">
        <v>94.797687861</v>
      </c>
      <c r="E1240" t="n">
        <v>107.814569182</v>
      </c>
      <c r="F1240" t="n">
        <v>129.4</v>
      </c>
      <c r="G1240" t="n">
        <v/>
      </c>
      <c r="H1240" t="n">
        <v>102.365534814</v>
      </c>
      <c r="I1240" t="n">
        <v>125.3</v>
      </c>
      <c r="J1240" t="n">
        <v>112.781203133</v>
      </c>
      <c r="K1240" t="n">
        <v>93.50779231600001</v>
      </c>
      <c r="L1240" t="n">
        <v>127.1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115.109592466</v>
      </c>
      <c r="R1240" t="n">
        <v>97.79000000000001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124.910409201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131.010917576</v>
      </c>
      <c r="AR1240" t="n">
        <v>115.890342471</v>
      </c>
      <c r="AS1240" t="n">
        <v>144.387967669</v>
      </c>
      <c r="AT1240" t="n">
        <v>102.700101356</v>
      </c>
      <c r="AU1240" t="n">
        <v/>
      </c>
    </row>
    <row r="1241">
      <c r="A1241" s="105" t="n">
        <v>44652</v>
      </c>
      <c r="B1241" t="n">
        <v>128.689275894</v>
      </c>
      <c r="C1241" t="n">
        <v>126.18948421</v>
      </c>
      <c r="D1241" t="n">
        <v>94.907789705</v>
      </c>
      <c r="E1241" t="n">
        <v>109.256826712</v>
      </c>
      <c r="F1241" t="n">
        <v>127.5</v>
      </c>
      <c r="G1241" t="n">
        <v/>
      </c>
      <c r="H1241" t="n">
        <v>99.15847167299999</v>
      </c>
      <c r="I1241" t="n">
        <v/>
      </c>
      <c r="J1241" t="n">
        <v>111.381436427</v>
      </c>
      <c r="K1241" t="n">
        <v>94.907908992</v>
      </c>
      <c r="L1241" t="n">
        <v>127.9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119.009917493</v>
      </c>
      <c r="R1241" t="n">
        <v>97.45999999999999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121.49882904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125.8</v>
      </c>
      <c r="AH1241" t="n">
        <v/>
      </c>
      <c r="AI1241" t="n">
        <v>109.290892426</v>
      </c>
      <c r="AJ1241" t="n">
        <v>106.477889837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5" t="n">
        <v>44682</v>
      </c>
      <c r="B1242" t="n">
        <v>129.389217565</v>
      </c>
      <c r="C1242" t="n">
        <v>126.989417549</v>
      </c>
      <c r="D1242" t="n">
        <v>95.238095238</v>
      </c>
      <c r="E1242" t="n">
        <v>108.712401917</v>
      </c>
      <c r="F1242" t="n">
        <v>129</v>
      </c>
      <c r="G1242" t="n">
        <v/>
      </c>
      <c r="H1242" t="n">
        <v>100.682889551</v>
      </c>
      <c r="I1242" t="n">
        <v/>
      </c>
      <c r="J1242" t="n">
        <v>113.481086486</v>
      </c>
      <c r="K1242" t="n">
        <v>95.507958997</v>
      </c>
      <c r="L1242" t="n">
        <v>131.3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119.009917493</v>
      </c>
      <c r="R1242" t="n">
        <v>97.61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124.610384199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125.620608899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126.1</v>
      </c>
      <c r="AH1242" t="n">
        <v/>
      </c>
      <c r="AI1242" t="n">
        <v>107.391050746</v>
      </c>
      <c r="AJ1242" t="n">
        <v>107.292474787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114.490459128</v>
      </c>
      <c r="AS1242" t="n">
        <v>144.887926006</v>
      </c>
      <c r="AT1242" t="n">
        <v>103.288011858</v>
      </c>
      <c r="AU1242" t="n">
        <v/>
      </c>
    </row>
    <row r="1243">
      <c r="A1243" s="105" t="n">
        <v>44713</v>
      </c>
      <c r="B1243" t="n">
        <v>128.789267561</v>
      </c>
      <c r="C1243" t="n">
        <v>123.989667528</v>
      </c>
      <c r="D1243" t="n">
        <v>94.907789705</v>
      </c>
      <c r="E1243" t="n">
        <v>109.289197916</v>
      </c>
      <c r="F1243" t="n">
        <v>134</v>
      </c>
      <c r="G1243" t="n">
        <v/>
      </c>
      <c r="H1243" t="n">
        <v>100.532276778</v>
      </c>
      <c r="I1243" t="n">
        <v/>
      </c>
      <c r="J1243" t="n">
        <v>115.480753208</v>
      </c>
      <c r="K1243" t="n">
        <v>96.808067339</v>
      </c>
      <c r="L1243" t="n">
        <v>133.2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120.310025835</v>
      </c>
      <c r="R1243" t="n">
        <v>98.86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125.310442537</v>
      </c>
      <c r="X1243" t="n">
        <v>125.166519424</v>
      </c>
      <c r="Y1243" t="n">
        <v/>
      </c>
      <c r="Z1243" t="n">
        <v>157.57373771</v>
      </c>
      <c r="AA1243" t="n">
        <v/>
      </c>
      <c r="AB1243" t="n">
        <v>127.587822014</v>
      </c>
      <c r="AC1243" t="n">
        <v>104.19131739</v>
      </c>
      <c r="AD1243" t="n">
        <v>96.49195900300001</v>
      </c>
      <c r="AE1243" t="n">
        <v>119.7</v>
      </c>
      <c r="AF1243" t="n">
        <v>93.50779231600001</v>
      </c>
      <c r="AG1243" t="n">
        <v>123.2</v>
      </c>
      <c r="AH1243" t="n">
        <v/>
      </c>
      <c r="AI1243" t="n">
        <v>106.291142405</v>
      </c>
      <c r="AJ1243" t="n">
        <v>105.546935609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131.310942579</v>
      </c>
      <c r="AR1243" t="n">
        <v>116.490292476</v>
      </c>
      <c r="AS1243" t="n">
        <v>146.887759353</v>
      </c>
      <c r="AT1243" t="n">
        <v>103.071648101</v>
      </c>
      <c r="AU1243" t="n">
        <v/>
      </c>
    </row>
    <row r="1244">
      <c r="A1244" s="105" t="n">
        <v>44743</v>
      </c>
      <c r="B1244" t="n">
        <v>123.489709191</v>
      </c>
      <c r="C1244" t="n">
        <v>126.089492542</v>
      </c>
      <c r="D1244" t="n">
        <v>95.348197082</v>
      </c>
      <c r="E1244" t="n">
        <v>109.78439708</v>
      </c>
      <c r="F1244" t="n">
        <v>123.8</v>
      </c>
      <c r="G1244" t="n">
        <v/>
      </c>
      <c r="H1244" t="n">
        <v>98.423500627</v>
      </c>
      <c r="I1244" t="n">
        <v/>
      </c>
      <c r="J1244" t="n">
        <v>114.780869855</v>
      </c>
      <c r="K1244" t="n">
        <v>96.20801733499999</v>
      </c>
      <c r="L1244" t="n">
        <v>130.1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117.209767481</v>
      </c>
      <c r="R1244" t="n">
        <v>97.18000000000001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126.010500875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124.964871194</v>
      </c>
      <c r="AC1244" t="n">
        <v>104.59128406</v>
      </c>
      <c r="AD1244" t="n">
        <v>97.191900675</v>
      </c>
      <c r="AE1244" t="n">
        <v>118.2</v>
      </c>
      <c r="AF1244" t="n">
        <v>93.907825652</v>
      </c>
      <c r="AG1244" t="n">
        <v>121.4</v>
      </c>
      <c r="AH1244" t="n">
        <v/>
      </c>
      <c r="AI1244" t="n">
        <v>106.591117407</v>
      </c>
      <c r="AJ1244" t="n">
        <v>107.874321179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131.910992583</v>
      </c>
      <c r="AR1244" t="n">
        <v>125.589534205</v>
      </c>
      <c r="AS1244" t="n">
        <v>137.888509291</v>
      </c>
      <c r="AT1244" t="n">
        <v>103.605913877</v>
      </c>
      <c r="AU1244" t="n">
        <v/>
      </c>
    </row>
    <row r="1245">
      <c r="A1245" s="105" t="n">
        <v>44774</v>
      </c>
      <c r="B1245" t="n">
        <v>128.789267561</v>
      </c>
      <c r="C1245" t="n">
        <v>121.789850846</v>
      </c>
      <c r="D1245" t="n">
        <v>94.687586017</v>
      </c>
      <c r="E1245" t="n">
        <v>109.303377039</v>
      </c>
      <c r="F1245" t="n">
        <v>130.1</v>
      </c>
      <c r="G1245" t="n">
        <v/>
      </c>
      <c r="H1245" t="n">
        <v>96.52439325100001</v>
      </c>
      <c r="I1245" t="n">
        <v/>
      </c>
      <c r="J1245" t="n">
        <v>115.980669888</v>
      </c>
      <c r="K1245" t="n">
        <v>95.807983999</v>
      </c>
      <c r="L1245" t="n">
        <v>131.6</v>
      </c>
      <c r="M1245" t="n">
        <v>105.991167403</v>
      </c>
      <c r="N1245" t="n">
        <v>106.685088904</v>
      </c>
      <c r="O1245" t="n">
        <v>123.510292524</v>
      </c>
      <c r="P1245" t="n">
        <v/>
      </c>
      <c r="Q1245" t="n">
        <v>117.909825819</v>
      </c>
      <c r="R1245" t="n">
        <v>99.63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126.410534211</v>
      </c>
      <c r="X1245" t="n">
        <v>118.469498122</v>
      </c>
      <c r="Y1245" t="n">
        <v/>
      </c>
      <c r="Z1245" t="n">
        <v>148.175304116</v>
      </c>
      <c r="AA1245" t="n">
        <v/>
      </c>
      <c r="AB1245" t="n">
        <v>130.117096019</v>
      </c>
      <c r="AC1245" t="n">
        <v>106.991084076</v>
      </c>
      <c r="AD1245" t="n">
        <v>99.691692359</v>
      </c>
      <c r="AE1245" t="n">
        <v>116.6</v>
      </c>
      <c r="AF1245" t="n">
        <v>94.10784232</v>
      </c>
      <c r="AG1245" t="n">
        <v>121.8</v>
      </c>
      <c r="AH1245" t="n">
        <v/>
      </c>
      <c r="AI1245" t="n">
        <v>104.891259062</v>
      </c>
      <c r="AJ1245" t="n">
        <v>111.249030256</v>
      </c>
      <c r="AK1245" t="n">
        <v/>
      </c>
      <c r="AL1245" t="n">
        <v>107.808939091</v>
      </c>
      <c r="AM1245" t="n">
        <v>152.3</v>
      </c>
      <c r="AN1245" t="n">
        <v>100.99915834</v>
      </c>
      <c r="AO1245" t="n">
        <v/>
      </c>
      <c r="AP1245" t="n">
        <v>106.817802967</v>
      </c>
      <c r="AQ1245" t="n">
        <v>132.911075923</v>
      </c>
      <c r="AR1245" t="n">
        <v>116.69027581</v>
      </c>
      <c r="AS1245" t="n">
        <v>141.288225981</v>
      </c>
      <c r="AT1245" t="n">
        <v>103.534817262</v>
      </c>
      <c r="AU1245" t="n">
        <v/>
      </c>
    </row>
    <row r="1246">
      <c r="A1246" s="105" t="n">
        <v>44805</v>
      </c>
      <c r="B1246" t="n">
        <v>126.789434214</v>
      </c>
      <c r="C1246" t="n">
        <v>131.08907591</v>
      </c>
      <c r="D1246" t="n">
        <v>94.026974952</v>
      </c>
      <c r="E1246" t="n">
        <v>109.351265019</v>
      </c>
      <c r="F1246" t="n">
        <v>138</v>
      </c>
      <c r="G1246" t="n">
        <v/>
      </c>
      <c r="H1246" t="n">
        <v>98.453152319</v>
      </c>
      <c r="I1246" t="n">
        <v/>
      </c>
      <c r="J1246" t="n">
        <v>115.980669888</v>
      </c>
      <c r="K1246" t="n">
        <v>97.108092341</v>
      </c>
      <c r="L1246" t="n">
        <v>134.7</v>
      </c>
      <c r="M1246" t="n">
        <v>106.991084076</v>
      </c>
      <c r="N1246" t="n">
        <v>106.412088677</v>
      </c>
      <c r="O1246" t="n">
        <v>118.909909159</v>
      </c>
      <c r="P1246" t="n">
        <v/>
      </c>
      <c r="Q1246" t="n">
        <v>119.409950829</v>
      </c>
      <c r="R1246" t="n">
        <v>98.77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128.210684224</v>
      </c>
      <c r="X1246" t="n">
        <v>121.087491985</v>
      </c>
      <c r="Y1246" t="n">
        <v/>
      </c>
      <c r="Z1246" t="n">
        <v>165.872354608</v>
      </c>
      <c r="AA1246" t="n">
        <v/>
      </c>
      <c r="AB1246" t="n">
        <v>131.053864169</v>
      </c>
      <c r="AC1246" t="n">
        <v>105.091242396</v>
      </c>
      <c r="AD1246" t="n">
        <v>98.391800683</v>
      </c>
      <c r="AE1246" t="n">
        <v>114.4</v>
      </c>
      <c r="AF1246" t="n">
        <v>95.907992333</v>
      </c>
      <c r="AG1246" t="n">
        <v>120.6</v>
      </c>
      <c r="AH1246" t="n">
        <v/>
      </c>
      <c r="AI1246" t="n">
        <v>106.791100742</v>
      </c>
      <c r="AJ1246" t="n">
        <v>108.456167572</v>
      </c>
      <c r="AK1246" t="n">
        <v/>
      </c>
      <c r="AL1246" t="n">
        <v/>
      </c>
      <c r="AM1246" t="n">
        <v>152</v>
      </c>
      <c r="AN1246" t="n">
        <v>98.829176424</v>
      </c>
      <c r="AO1246" t="n">
        <v/>
      </c>
      <c r="AP1246" t="n">
        <v>105.917652942</v>
      </c>
      <c r="AQ1246" t="n">
        <v>130.61088424</v>
      </c>
      <c r="AR1246" t="n">
        <v>118.690109158</v>
      </c>
      <c r="AS1246" t="n">
        <v>138.988417632</v>
      </c>
      <c r="AT1246" t="n">
        <v>103.930856146</v>
      </c>
      <c r="AU1246" t="n">
        <v/>
      </c>
    </row>
    <row r="1247">
      <c r="A1247" s="105" t="n">
        <v>44835</v>
      </c>
      <c r="B1247" t="n">
        <v/>
      </c>
      <c r="C1247" t="n">
        <v>128.489292559</v>
      </c>
      <c r="D1247" t="n">
        <v/>
      </c>
      <c r="E1247" t="n">
        <v/>
      </c>
      <c r="F1247" t="n">
        <v/>
      </c>
      <c r="G1247" t="n">
        <v/>
      </c>
      <c r="H1247" t="n">
        <v>99.59152018100001</v>
      </c>
      <c r="I1247" t="n">
        <v/>
      </c>
      <c r="J1247" t="n">
        <v>111.681386436</v>
      </c>
      <c r="K1247" t="n">
        <v>96.708059005</v>
      </c>
      <c r="L1247" t="n">
        <v>131.5</v>
      </c>
      <c r="M1247" t="n">
        <v/>
      </c>
      <c r="N1247" t="n">
        <v/>
      </c>
      <c r="O1247" t="n">
        <v>117.809817485</v>
      </c>
      <c r="P1247" t="n">
        <v/>
      </c>
      <c r="Q1247" t="n">
        <v/>
      </c>
      <c r="R1247" t="n">
        <v>96.25</v>
      </c>
      <c r="S1247" t="n">
        <v/>
      </c>
      <c r="T1247" t="n">
        <v/>
      </c>
      <c r="U1247" t="n">
        <v/>
      </c>
      <c r="V1247" t="n">
        <v/>
      </c>
      <c r="W1247" t="n">
        <v>123.710309192</v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>110.4</v>
      </c>
      <c r="AF1247" t="n">
        <v>91.707642304</v>
      </c>
      <c r="AG1247" t="n">
        <v>120.6</v>
      </c>
      <c r="AH1247" t="n">
        <v/>
      </c>
      <c r="AI1247" t="n">
        <v>105.091242396</v>
      </c>
      <c r="AJ1247" t="n">
        <v>107.176105508</v>
      </c>
      <c r="AK1247" t="n">
        <v/>
      </c>
      <c r="AL1247" t="n">
        <v/>
      </c>
      <c r="AM1247" t="n">
        <v>151.2</v>
      </c>
      <c r="AN1247" t="n">
        <v>97.03919134</v>
      </c>
      <c r="AO1247" t="n">
        <v/>
      </c>
      <c r="AP1247" t="n">
        <v/>
      </c>
      <c r="AQ1247" t="n">
        <v>130.210850904</v>
      </c>
      <c r="AR1247" t="n">
        <v>117.09024248</v>
      </c>
      <c r="AS1247" t="n">
        <v/>
      </c>
      <c r="AT1247" t="n">
        <v>103.865907355</v>
      </c>
      <c r="AU1247" t="n">
        <v/>
      </c>
    </row>
    <row r="1248">
      <c r="A1248" s="105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>103.637942059</v>
      </c>
      <c r="AU1248" t="n">
        <v/>
      </c>
    </row>
    <row r="1249">
      <c r="A1249" s="105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5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8" defaultColWidth="10.90625" defaultRowHeight="14.5"/>
  <cols>
    <col width="21.1796875" customWidth="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23315</v>
      </c>
      <c r="C2" t="n">
        <v>21.1043148117692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42.8355494597785</v>
      </c>
      <c r="D3" t="inlineStr">
        <is>
          <t>CHN</t>
        </is>
      </c>
    </row>
    <row r="4">
      <c r="A4" t="inlineStr">
        <is>
          <t>Euro Area</t>
        </is>
      </c>
      <c r="B4" t="n">
        <v>14563</v>
      </c>
    </row>
    <row r="5">
      <c r="A5" t="inlineStr">
        <is>
          <t>Japan</t>
        </is>
      </c>
      <c r="B5" t="n">
        <v>4941</v>
      </c>
      <c r="C5" t="n">
        <v>25.2767237457511</v>
      </c>
      <c r="D5" t="inlineStr">
        <is>
          <t>JPN</t>
        </is>
      </c>
    </row>
    <row r="6">
      <c r="A6" t="inlineStr">
        <is>
          <t>Germany</t>
        </is>
      </c>
      <c r="B6" t="n">
        <v>4260</v>
      </c>
      <c r="C6" t="n">
        <v>23.2903172069133</v>
      </c>
      <c r="D6" t="inlineStr">
        <is>
          <t>DEU</t>
        </is>
      </c>
    </row>
    <row r="7">
      <c r="A7" t="inlineStr">
        <is>
          <t>India</t>
        </is>
      </c>
      <c r="B7" t="n">
        <v>3176</v>
      </c>
      <c r="C7" t="n">
        <v>31.1842772143242</v>
      </c>
      <c r="D7" t="inlineStr">
        <is>
          <t>IND</t>
        </is>
      </c>
    </row>
    <row r="8">
      <c r="A8" t="inlineStr">
        <is>
          <t>United Kingdom</t>
        </is>
      </c>
      <c r="B8" t="n">
        <v>3131</v>
      </c>
      <c r="C8" t="n">
        <v>18.0920756440749</v>
      </c>
      <c r="D8" t="inlineStr">
        <is>
          <t>GBR</t>
        </is>
      </c>
    </row>
    <row r="9">
      <c r="A9" t="inlineStr">
        <is>
          <t>France</t>
        </is>
      </c>
      <c r="B9" t="n">
        <v>2958</v>
      </c>
      <c r="C9" t="n">
        <v>25.0266907116324</v>
      </c>
      <c r="D9" t="inlineStr">
        <is>
          <t>FRA</t>
        </is>
      </c>
    </row>
    <row r="10">
      <c r="A10" t="inlineStr">
        <is>
          <t>Italy</t>
        </is>
      </c>
      <c r="B10" t="n">
        <v>2108</v>
      </c>
      <c r="C10" t="n">
        <v>20.0451457489642</v>
      </c>
      <c r="D10" t="inlineStr">
        <is>
          <t>ITA</t>
        </is>
      </c>
    </row>
    <row r="11">
      <c r="A11" t="inlineStr">
        <is>
          <t>Canada</t>
        </is>
      </c>
      <c r="B11" t="n">
        <v>1988</v>
      </c>
      <c r="C11" t="n">
        <v>23.7401273660529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32.0899829991244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22.4219382755098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18.919750156211</v>
      </c>
      <c r="D14" t="inlineStr">
        <is>
          <t>BRA</t>
        </is>
      </c>
    </row>
    <row r="15">
      <c r="A15" t="inlineStr">
        <is>
          <t>Australia</t>
        </is>
      </c>
      <c r="B15" t="n">
        <v>1553</v>
      </c>
      <c r="C15" t="n">
        <v>22.7622897118321</v>
      </c>
      <c r="D15" t="inlineStr">
        <is>
          <t>AUS</t>
        </is>
      </c>
    </row>
    <row r="16">
      <c r="A16" t="inlineStr">
        <is>
          <t>Spain</t>
        </is>
      </c>
      <c r="B16" t="n">
        <v>1427</v>
      </c>
      <c r="C16" t="n">
        <v>20.8413363141157</v>
      </c>
      <c r="D16" t="inlineStr">
        <is>
          <t>ESP</t>
        </is>
      </c>
    </row>
    <row r="17">
      <c r="A17" t="inlineStr">
        <is>
          <t>Mexico</t>
        </is>
      </c>
      <c r="B17" t="n">
        <v>1273</v>
      </c>
      <c r="C17" t="n">
        <v>20.5642915720598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1013</v>
      </c>
      <c r="C19" t="n">
        <v>21.4538112654083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819</v>
      </c>
    </row>
    <row r="22">
      <c r="A22" t="inlineStr">
        <is>
          <t>Switzerland</t>
        </is>
      </c>
      <c r="B22" t="n">
        <v>801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679</v>
      </c>
    </row>
    <row r="25">
      <c r="A25" t="inlineStr">
        <is>
          <t>Sweden</t>
        </is>
      </c>
      <c r="B25" t="n">
        <v>636</v>
      </c>
    </row>
    <row r="26">
      <c r="A26" t="inlineStr">
        <is>
          <t>Belgium</t>
        </is>
      </c>
      <c r="B26" t="n">
        <v>594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504</v>
      </c>
    </row>
    <row r="29">
      <c r="A29" t="inlineStr">
        <is>
          <t>Israel</t>
        </is>
      </c>
      <c r="B29" t="n">
        <v>489</v>
      </c>
    </row>
    <row r="30">
      <c r="A30" t="inlineStr">
        <is>
          <t>Argentina</t>
        </is>
      </c>
      <c r="B30" t="n">
        <v>487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480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419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United Arab Emirates</t>
        </is>
      </c>
      <c r="B36" t="n">
        <v>415</v>
      </c>
    </row>
    <row r="37">
      <c r="A37" t="inlineStr">
        <is>
          <t>Egypt</t>
        </is>
      </c>
      <c r="B37" t="n">
        <v>404</v>
      </c>
    </row>
    <row r="38">
      <c r="A38" t="inlineStr">
        <is>
          <t>Denmark</t>
        </is>
      </c>
      <c r="B38" t="n">
        <v>398</v>
      </c>
    </row>
    <row r="39">
      <c r="A39" t="inlineStr">
        <is>
          <t>Singapore</t>
        </is>
      </c>
      <c r="B39" t="n">
        <v>397</v>
      </c>
    </row>
    <row r="40">
      <c r="A40" t="inlineStr">
        <is>
          <t>Philippines</t>
        </is>
      </c>
      <c r="B40" t="n">
        <v>394</v>
      </c>
    </row>
    <row r="41">
      <c r="A41" t="inlineStr">
        <is>
          <t>Malaysia</t>
        </is>
      </c>
      <c r="B41" t="n">
        <v>373</v>
      </c>
    </row>
    <row r="42">
      <c r="A42" t="inlineStr">
        <is>
          <t>Hong Kong</t>
        </is>
      </c>
      <c r="B42" t="n">
        <v>368</v>
      </c>
    </row>
    <row r="43">
      <c r="A43" t="inlineStr">
        <is>
          <t>Vietnam</t>
        </is>
      </c>
      <c r="B43" t="n">
        <v>366</v>
      </c>
    </row>
    <row r="44">
      <c r="A44" t="inlineStr">
        <is>
          <t>Pakistan</t>
        </is>
      </c>
      <c r="B44" t="n">
        <v>348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297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254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215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197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163</v>
      </c>
    </row>
    <row r="61">
      <c r="A61" t="inlineStr">
        <is>
          <t>Morocco</t>
        </is>
      </c>
      <c r="B61" t="n">
        <v>143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Puerto Rico</t>
        </is>
      </c>
      <c r="B65" t="n">
        <v>107</v>
      </c>
    </row>
    <row r="66">
      <c r="A66" t="inlineStr">
        <is>
          <t>Cuba</t>
        </is>
      </c>
      <c r="B66" t="n">
        <v>107</v>
      </c>
    </row>
    <row r="67">
      <c r="A67" t="inlineStr">
        <is>
          <t>Ecuador</t>
        </is>
      </c>
      <c r="B67" t="n">
        <v>106</v>
      </c>
    </row>
    <row r="68">
      <c r="A68" t="inlineStr">
        <is>
          <t>Kuwait</t>
        </is>
      </c>
      <c r="B68" t="n">
        <v>106</v>
      </c>
    </row>
    <row r="69">
      <c r="A69" t="inlineStr">
        <is>
          <t>Venezuela</t>
        </is>
      </c>
      <c r="B69" t="n">
        <v>106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Sri Lanka</t>
        </is>
      </c>
      <c r="B71" t="n">
        <v>89</v>
      </c>
    </row>
    <row r="72">
      <c r="A72" t="inlineStr">
        <is>
          <t>Oman</t>
        </is>
      </c>
      <c r="B72" t="n">
        <v>88</v>
      </c>
    </row>
    <row r="73">
      <c r="A73" t="inlineStr">
        <is>
          <t>Luxembourg</t>
        </is>
      </c>
      <c r="B73" t="n">
        <v>86</v>
      </c>
    </row>
    <row r="74">
      <c r="A74" t="inlineStr">
        <is>
          <t>Guatemala</t>
        </is>
      </c>
      <c r="B74" t="n">
        <v>86</v>
      </c>
    </row>
    <row r="75">
      <c r="A75" t="inlineStr">
        <is>
          <t>Bulgaria</t>
        </is>
      </c>
      <c r="B75" t="n">
        <v>84</v>
      </c>
    </row>
    <row r="76">
      <c r="A76" t="inlineStr">
        <is>
          <t>Ghana</t>
        </is>
      </c>
      <c r="B76" t="n">
        <v>78</v>
      </c>
    </row>
    <row r="77">
      <c r="A77" t="inlineStr">
        <is>
          <t>Ivory Coast</t>
        </is>
      </c>
      <c r="B77" t="n">
        <v>70</v>
      </c>
    </row>
    <row r="78">
      <c r="A78" t="inlineStr">
        <is>
          <t>Croatia</t>
        </is>
      </c>
      <c r="B78" t="n">
        <v>69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Angola</t>
        </is>
      </c>
      <c r="B82" t="n">
        <v>67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Jordan</t>
        </is>
      </c>
      <c r="B94" t="n">
        <v>46</v>
      </c>
    </row>
    <row r="95">
      <c r="A95" t="inlineStr">
        <is>
          <t>Cameroon</t>
        </is>
      </c>
      <c r="B95" t="n">
        <v>45</v>
      </c>
    </row>
    <row r="96">
      <c r="A96" t="inlineStr">
        <is>
          <t>Turkmenistan</t>
        </is>
      </c>
      <c r="B96" t="n">
        <v>45</v>
      </c>
    </row>
    <row r="97">
      <c r="A97" t="inlineStr">
        <is>
          <t>Libya</t>
        </is>
      </c>
      <c r="B97" t="n">
        <v>43</v>
      </c>
    </row>
    <row r="98">
      <c r="A98" t="inlineStr">
        <is>
          <t>Uganda</t>
        </is>
      </c>
      <c r="B98" t="n">
        <v>41</v>
      </c>
    </row>
    <row r="99">
      <c r="A99" t="inlineStr">
        <is>
          <t>Latvia</t>
        </is>
      </c>
      <c r="B99" t="n">
        <v>40</v>
      </c>
    </row>
    <row r="100">
      <c r="A100" t="inlineStr">
        <is>
          <t>Paraguay</t>
        </is>
      </c>
      <c r="B100" t="n">
        <v>40</v>
      </c>
    </row>
    <row r="101">
      <c r="A101" t="inlineStr">
        <is>
          <t>Bolivia</t>
        </is>
      </c>
      <c r="B101" t="n">
        <v>40</v>
      </c>
    </row>
    <row r="102">
      <c r="A102" t="inlineStr">
        <is>
          <t>Bahrain</t>
        </is>
      </c>
      <c r="B102" t="n">
        <v>39</v>
      </c>
    </row>
    <row r="103">
      <c r="A103" t="inlineStr">
        <is>
          <t>Estonia</t>
        </is>
      </c>
      <c r="B103" t="n">
        <v>37</v>
      </c>
    </row>
    <row r="104">
      <c r="A104" t="inlineStr">
        <is>
          <t>Nepal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Zimbabwe</t>
        </is>
      </c>
      <c r="B111" t="n">
        <v>28</v>
      </c>
    </row>
    <row r="112">
      <c r="A112" t="inlineStr">
        <is>
          <t>Papua New Guinea</t>
        </is>
      </c>
      <c r="B112" t="n">
        <v>27</v>
      </c>
    </row>
    <row r="113">
      <c r="A113" t="inlineStr">
        <is>
          <t>Cambodia</t>
        </is>
      </c>
      <c r="B113" t="n">
        <v>27</v>
      </c>
    </row>
    <row r="114">
      <c r="A114" t="inlineStr">
        <is>
          <t>Iceland</t>
        </is>
      </c>
      <c r="B114" t="n">
        <v>26</v>
      </c>
    </row>
    <row r="115">
      <c r="A115" t="inlineStr">
        <is>
          <t>Trinidadand Tobago</t>
        </is>
      </c>
      <c r="B115" t="n">
        <v>24</v>
      </c>
    </row>
    <row r="116">
      <c r="A116" t="inlineStr">
        <is>
          <t>Bosniaand Herzegovina</t>
        </is>
      </c>
      <c r="B116" t="n">
        <v>23</v>
      </c>
    </row>
    <row r="117">
      <c r="A117" t="inlineStr">
        <is>
          <t>Lebanon</t>
        </is>
      </c>
      <c r="B117" t="n">
        <v>23</v>
      </c>
    </row>
    <row r="118">
      <c r="A118" t="inlineStr">
        <is>
          <t>Zambia</t>
        </is>
      </c>
      <c r="B118" t="n">
        <v>22</v>
      </c>
    </row>
    <row r="119">
      <c r="A119" t="inlineStr">
        <is>
          <t>Yemen</t>
        </is>
      </c>
      <c r="B119" t="n">
        <v>21</v>
      </c>
    </row>
    <row r="120">
      <c r="A120" t="inlineStr">
        <is>
          <t>Haiti</t>
        </is>
      </c>
      <c r="B120" t="n">
        <v>21</v>
      </c>
    </row>
    <row r="121">
      <c r="A121" t="inlineStr">
        <is>
          <t>Gabon</t>
        </is>
      </c>
      <c r="B121" t="n">
        <v>20</v>
      </c>
    </row>
    <row r="122">
      <c r="A122" t="inlineStr">
        <is>
          <t>Burkina Faso</t>
        </is>
      </c>
      <c r="B122" t="n">
        <v>20</v>
      </c>
    </row>
    <row r="123">
      <c r="A123" t="inlineStr">
        <is>
          <t>Georgia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Laos</t>
        </is>
      </c>
      <c r="B125" t="n">
        <v>19</v>
      </c>
    </row>
    <row r="126">
      <c r="A126" t="inlineStr">
        <is>
          <t>Palestine</t>
        </is>
      </c>
      <c r="B126" t="n">
        <v>18</v>
      </c>
    </row>
    <row r="127">
      <c r="A127" t="inlineStr">
        <is>
          <t>Botswana</t>
        </is>
      </c>
      <c r="B127" t="n">
        <v>18</v>
      </c>
    </row>
    <row r="128">
      <c r="A128" t="inlineStr">
        <is>
          <t>Albania</t>
        </is>
      </c>
      <c r="B128" t="n">
        <v>18</v>
      </c>
    </row>
    <row r="129">
      <c r="A129" t="inlineStr">
        <is>
          <t>Benin</t>
        </is>
      </c>
      <c r="B129" t="n">
        <v>17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Mozambique</t>
        </is>
      </c>
      <c r="B131" t="n">
        <v>16</v>
      </c>
    </row>
    <row r="132">
      <c r="A132" t="inlineStr">
        <is>
          <t>Guinea</t>
        </is>
      </c>
      <c r="B132" t="n">
        <v>16</v>
      </c>
    </row>
    <row r="133">
      <c r="A133" t="inlineStr">
        <is>
          <t>Afghanistan</t>
        </is>
      </c>
      <c r="B133" t="n">
        <v>15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Jamaica</t>
        </is>
      </c>
      <c r="B136" t="n">
        <v>15</v>
      </c>
    </row>
    <row r="137">
      <c r="A137" t="inlineStr">
        <is>
          <t>Moldova</t>
        </is>
      </c>
      <c r="B137" t="n">
        <v>14</v>
      </c>
    </row>
    <row r="138">
      <c r="A138" t="inlineStr">
        <is>
          <t>Macedonia</t>
        </is>
      </c>
      <c r="B138" t="n">
        <v>14</v>
      </c>
    </row>
    <row r="139">
      <c r="A139" t="inlineStr">
        <is>
          <t>Madagascar</t>
        </is>
      </c>
      <c r="B139" t="n">
        <v>14</v>
      </c>
    </row>
    <row r="140">
      <c r="A140" t="inlineStr">
        <is>
          <t>Nicaragua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Mauritius</t>
        </is>
      </c>
      <c r="B145" t="n">
        <v>12</v>
      </c>
    </row>
    <row r="146">
      <c r="A146" t="inlineStr">
        <is>
          <t>Namibia</t>
        </is>
      </c>
      <c r="B146" t="n">
        <v>12</v>
      </c>
    </row>
    <row r="147">
      <c r="A147" t="inlineStr">
        <is>
          <t>Chad</t>
        </is>
      </c>
      <c r="B147" t="n">
        <v>12</v>
      </c>
    </row>
    <row r="148">
      <c r="A148" t="inlineStr">
        <is>
          <t>Equatorial Guinea</t>
        </is>
      </c>
      <c r="B148" t="n">
        <v>12</v>
      </c>
    </row>
    <row r="149">
      <c r="A149" t="inlineStr">
        <is>
          <t>Bahamas</t>
        </is>
      </c>
      <c r="B149" t="n">
        <v>11</v>
      </c>
    </row>
    <row r="150">
      <c r="A150" t="inlineStr">
        <is>
          <t>Rwanda</t>
        </is>
      </c>
      <c r="B150" t="n">
        <v>11</v>
      </c>
    </row>
    <row r="151">
      <c r="A151" t="inlineStr">
        <is>
          <t>Mauritania</t>
        </is>
      </c>
      <c r="B151" t="n">
        <v>10</v>
      </c>
    </row>
    <row r="152">
      <c r="A152" t="inlineStr">
        <is>
          <t>Monaco</t>
        </is>
      </c>
      <c r="B152" t="n">
        <v>9</v>
      </c>
    </row>
    <row r="153">
      <c r="A153" t="inlineStr">
        <is>
          <t>Kyrgyzstan</t>
        </is>
      </c>
      <c r="B153" t="n">
        <v>9</v>
      </c>
    </row>
    <row r="154">
      <c r="A154" t="inlineStr">
        <is>
          <t>Kosovo</t>
        </is>
      </c>
      <c r="B154" t="n">
        <v>9</v>
      </c>
    </row>
    <row r="155">
      <c r="A155" t="inlineStr">
        <is>
          <t>New Caledonia</t>
        </is>
      </c>
      <c r="B155" t="n">
        <v>9</v>
      </c>
    </row>
    <row r="156">
      <c r="A156" t="inlineStr">
        <is>
          <t>Tajikistan</t>
        </is>
      </c>
      <c r="B156" t="n">
        <v>9</v>
      </c>
    </row>
    <row r="157">
      <c r="A157" t="inlineStr">
        <is>
          <t>Togo</t>
        </is>
      </c>
      <c r="B157" t="n">
        <v>8</v>
      </c>
    </row>
    <row r="158">
      <c r="A158" t="inlineStr">
        <is>
          <t>Somalia</t>
        </is>
      </c>
      <c r="B158" t="n">
        <v>8</v>
      </c>
    </row>
    <row r="159">
      <c r="A159" t="inlineStr">
        <is>
          <t>Guyana</t>
        </is>
      </c>
      <c r="B159" t="n">
        <v>8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Swaziland</t>
        </is>
      </c>
      <c r="B164" t="n">
        <v>5</v>
      </c>
    </row>
    <row r="165">
      <c r="A165" t="inlineStr">
        <is>
          <t>Sierra Leone</t>
        </is>
      </c>
      <c r="B165" t="n">
        <v>4</v>
      </c>
    </row>
    <row r="166">
      <c r="A166" t="inlineStr">
        <is>
          <t>Liberia</t>
        </is>
      </c>
      <c r="B166" t="n">
        <v>4</v>
      </c>
    </row>
    <row r="167">
      <c r="A167" t="inlineStr">
        <is>
          <t>Fiji</t>
        </is>
      </c>
      <c r="B167" t="n">
        <v>4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Bhutan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Suriname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9"/>
  <sheetViews>
    <sheetView zoomScale="120" zoomScaleNormal="120" workbookViewId="0">
      <pane ySplit="1" topLeftCell="A370" activePane="bottomLeft" state="frozen"/>
      <selection activeCell="H30" sqref="H30:H31"/>
      <selection pane="bottomLeft" activeCell="H30" sqref="H30:H31"/>
    </sheetView>
  </sheetViews>
  <sheetFormatPr baseColWidth="8" defaultColWidth="10.90625" defaultRowHeight="14.5"/>
  <cols>
    <col width="20.1796875" customWidth="1" min="1" max="1"/>
    <col width="19.6328125" customWidth="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5" t="n">
        <v>122</v>
      </c>
      <c r="B2" t="n">
        <v>48.1</v>
      </c>
      <c r="C2" t="n">
        <v>0.006999999999999999</v>
      </c>
    </row>
    <row r="3">
      <c r="A3" s="105" t="n">
        <v>153</v>
      </c>
      <c r="B3" t="n">
        <v>51.7</v>
      </c>
      <c r="C3" t="n">
        <v>0.039</v>
      </c>
    </row>
    <row r="4">
      <c r="A4" s="105" t="n">
        <v>183</v>
      </c>
      <c r="B4" t="n">
        <v>50.4</v>
      </c>
      <c r="C4" t="n">
        <v>0.038</v>
      </c>
    </row>
    <row r="5">
      <c r="A5" s="105" t="n">
        <v>214</v>
      </c>
      <c r="B5" t="n">
        <v>49.5</v>
      </c>
      <c r="C5" t="n">
        <v>0.042</v>
      </c>
    </row>
    <row r="6">
      <c r="A6" s="105" t="n">
        <v>245</v>
      </c>
      <c r="B6" t="n">
        <v>48.1</v>
      </c>
      <c r="C6" t="n">
        <v>0.063</v>
      </c>
    </row>
    <row r="7">
      <c r="A7" s="105" t="n">
        <v>275</v>
      </c>
      <c r="B7" t="n">
        <v>49.2</v>
      </c>
      <c r="C7" t="n">
        <v>0.05</v>
      </c>
    </row>
    <row r="8">
      <c r="A8" s="105" t="n">
        <v>306</v>
      </c>
      <c r="B8" t="n">
        <v>49.4</v>
      </c>
      <c r="C8" t="n">
        <v>0.022</v>
      </c>
    </row>
    <row r="9">
      <c r="A9" s="105" t="n">
        <v>32963</v>
      </c>
      <c r="C9" t="n">
        <v>0.05</v>
      </c>
    </row>
    <row r="10">
      <c r="A10" s="105" t="n">
        <v>32993</v>
      </c>
      <c r="C10" t="n">
        <v>0.008</v>
      </c>
    </row>
    <row r="11">
      <c r="A11" s="105" t="n">
        <v>33024</v>
      </c>
      <c r="C11" t="n">
        <v>0.017</v>
      </c>
    </row>
    <row r="12">
      <c r="A12" s="105" t="n">
        <v>33054</v>
      </c>
      <c r="C12" t="n">
        <v>0.033</v>
      </c>
    </row>
    <row r="13">
      <c r="A13" s="105" t="n">
        <v>33085</v>
      </c>
      <c r="C13" t="n">
        <v>0.05</v>
      </c>
    </row>
    <row r="14">
      <c r="A14" s="105" t="n">
        <v>33116</v>
      </c>
      <c r="C14" t="n">
        <v>0.025</v>
      </c>
    </row>
    <row r="15">
      <c r="A15" s="105" t="n">
        <v>33146</v>
      </c>
      <c r="C15" t="n">
        <v>0.042</v>
      </c>
    </row>
    <row r="16">
      <c r="A16" s="105" t="n">
        <v>33177</v>
      </c>
      <c r="C16" t="n">
        <v>0.067</v>
      </c>
    </row>
    <row r="17">
      <c r="A17" s="105" t="n">
        <v>33207</v>
      </c>
      <c r="C17" t="n">
        <v>0.109</v>
      </c>
    </row>
    <row r="18">
      <c r="A18" s="105" t="n">
        <v>33238</v>
      </c>
      <c r="C18" t="n">
        <v>0.126</v>
      </c>
    </row>
    <row r="19">
      <c r="A19" s="105" t="n">
        <v>33269</v>
      </c>
      <c r="C19" t="n">
        <v>0.126</v>
      </c>
    </row>
    <row r="20">
      <c r="A20" s="105" t="n">
        <v>33297</v>
      </c>
      <c r="C20" t="n">
        <v>0.235</v>
      </c>
    </row>
    <row r="21">
      <c r="A21" s="105" t="n">
        <v>33328</v>
      </c>
      <c r="C21" t="n">
        <v>0.092</v>
      </c>
    </row>
    <row r="22">
      <c r="A22" s="105" t="n">
        <v>33358</v>
      </c>
      <c r="C22" t="n">
        <v>0.109</v>
      </c>
    </row>
    <row r="23">
      <c r="A23" s="105" t="n">
        <v>33389</v>
      </c>
      <c r="C23" t="n">
        <v>0.109</v>
      </c>
    </row>
    <row r="24">
      <c r="A24" s="105" t="n">
        <v>33419</v>
      </c>
      <c r="C24" t="n">
        <v>0.109</v>
      </c>
    </row>
    <row r="25">
      <c r="A25" s="105" t="n">
        <v>33450</v>
      </c>
      <c r="C25" t="n">
        <v>0.092</v>
      </c>
    </row>
    <row r="26">
      <c r="A26" s="105" t="n">
        <v>33481</v>
      </c>
      <c r="C26" t="n">
        <v>0.109</v>
      </c>
    </row>
    <row r="27">
      <c r="A27" s="105" t="n">
        <v>33511</v>
      </c>
      <c r="C27" t="n">
        <v>0.118</v>
      </c>
    </row>
    <row r="28">
      <c r="A28" s="105" t="n">
        <v>33542</v>
      </c>
      <c r="C28" t="n">
        <v>0.126</v>
      </c>
    </row>
    <row r="29">
      <c r="A29" s="105" t="n">
        <v>33572</v>
      </c>
      <c r="C29" t="n">
        <v>0.118</v>
      </c>
    </row>
    <row r="30">
      <c r="A30" s="105" t="n">
        <v>33603</v>
      </c>
      <c r="C30" t="n">
        <v>0.076</v>
      </c>
    </row>
    <row r="31">
      <c r="A31" s="105" t="n">
        <v>33634</v>
      </c>
      <c r="C31" t="n">
        <v>0.05</v>
      </c>
    </row>
    <row r="32">
      <c r="A32" s="105" t="n">
        <v>33663</v>
      </c>
      <c r="C32" t="n">
        <v>0.109</v>
      </c>
    </row>
    <row r="33">
      <c r="A33" s="105" t="n">
        <v>33694</v>
      </c>
      <c r="C33" t="n">
        <v>0.185</v>
      </c>
    </row>
    <row r="34">
      <c r="A34" s="105" t="n">
        <v>33724</v>
      </c>
      <c r="C34" t="n">
        <v>0.168</v>
      </c>
    </row>
    <row r="35">
      <c r="A35" s="105" t="n">
        <v>33755</v>
      </c>
      <c r="C35" t="n">
        <v>0.151</v>
      </c>
    </row>
    <row r="36">
      <c r="A36" s="105" t="n">
        <v>33785</v>
      </c>
      <c r="C36" t="n">
        <v>0.143</v>
      </c>
    </row>
    <row r="37">
      <c r="A37" s="105" t="n">
        <v>33816</v>
      </c>
      <c r="C37" t="n">
        <v>0.168</v>
      </c>
    </row>
    <row r="38">
      <c r="A38" s="105" t="n">
        <v>33847</v>
      </c>
      <c r="C38" t="n">
        <v>0.193</v>
      </c>
    </row>
    <row r="39">
      <c r="A39" s="105" t="n">
        <v>33877</v>
      </c>
      <c r="C39" t="n">
        <v>0.176</v>
      </c>
    </row>
    <row r="40">
      <c r="A40" s="105" t="n">
        <v>33908</v>
      </c>
      <c r="C40" t="n">
        <v>0.176</v>
      </c>
    </row>
    <row r="41">
      <c r="A41" s="105" t="n">
        <v>33938</v>
      </c>
      <c r="C41" t="n">
        <v>0.185</v>
      </c>
    </row>
    <row r="42">
      <c r="A42" s="105" t="n">
        <v>33969</v>
      </c>
      <c r="C42" t="n">
        <v>0.218</v>
      </c>
    </row>
    <row r="43">
      <c r="A43" s="105" t="n">
        <v>34000</v>
      </c>
      <c r="C43" t="n">
        <v>0.269</v>
      </c>
    </row>
    <row r="44">
      <c r="A44" s="105" t="n">
        <v>34028</v>
      </c>
      <c r="C44" t="n">
        <v>0.08400000000000001</v>
      </c>
    </row>
    <row r="45">
      <c r="A45" s="105" t="n">
        <v>34059</v>
      </c>
      <c r="C45" t="n">
        <v>0.277</v>
      </c>
    </row>
    <row r="46">
      <c r="A46" s="105" t="n">
        <v>34089</v>
      </c>
      <c r="C46" t="n">
        <v>0.218</v>
      </c>
    </row>
    <row r="47">
      <c r="A47" s="105" t="n">
        <v>34120</v>
      </c>
      <c r="C47" t="n">
        <v>0.21</v>
      </c>
    </row>
    <row r="48">
      <c r="A48" s="105" t="n">
        <v>34150</v>
      </c>
      <c r="C48" t="n">
        <v>0.227</v>
      </c>
    </row>
    <row r="49">
      <c r="A49" s="105" t="n">
        <v>34181</v>
      </c>
      <c r="C49" t="n">
        <v>0.252</v>
      </c>
    </row>
    <row r="50">
      <c r="A50" s="105" t="n">
        <v>34212</v>
      </c>
      <c r="C50" t="n">
        <v>0.21</v>
      </c>
    </row>
    <row r="51">
      <c r="A51" s="105" t="n">
        <v>34242</v>
      </c>
      <c r="C51" t="n">
        <v>0.193</v>
      </c>
    </row>
    <row r="52">
      <c r="A52" s="105" t="n">
        <v>34273</v>
      </c>
      <c r="C52" t="n">
        <v>0.16</v>
      </c>
    </row>
    <row r="53">
      <c r="A53" s="105" t="n">
        <v>34303</v>
      </c>
      <c r="C53" t="n">
        <v>0.134</v>
      </c>
    </row>
    <row r="54">
      <c r="A54" s="105" t="n">
        <v>34334</v>
      </c>
      <c r="C54" t="n">
        <v>0.16</v>
      </c>
    </row>
    <row r="55">
      <c r="A55" s="105" t="n">
        <v>34365</v>
      </c>
      <c r="C55" t="n">
        <v>0.252</v>
      </c>
    </row>
    <row r="56">
      <c r="A56" s="105" t="n">
        <v>34393</v>
      </c>
      <c r="C56" t="n">
        <v>0.277</v>
      </c>
    </row>
    <row r="57">
      <c r="A57" s="105" t="n">
        <v>34424</v>
      </c>
      <c r="C57" t="n">
        <v>0.034</v>
      </c>
    </row>
    <row r="58">
      <c r="A58" s="105" t="n">
        <v>34454</v>
      </c>
      <c r="C58" t="n">
        <v>0.16</v>
      </c>
    </row>
    <row r="59">
      <c r="A59" s="105" t="n">
        <v>34485</v>
      </c>
      <c r="C59" t="n">
        <v>0.168</v>
      </c>
    </row>
    <row r="60">
      <c r="A60" s="105" t="n">
        <v>34515</v>
      </c>
      <c r="C60" t="n">
        <v>0.176</v>
      </c>
    </row>
    <row r="61">
      <c r="A61" s="105" t="n">
        <v>34546</v>
      </c>
      <c r="C61" t="n">
        <v>0.151</v>
      </c>
    </row>
    <row r="62">
      <c r="A62" s="105" t="n">
        <v>34577</v>
      </c>
      <c r="C62" t="n">
        <v>0.151</v>
      </c>
    </row>
    <row r="63">
      <c r="A63" s="105" t="n">
        <v>34607</v>
      </c>
      <c r="C63" t="n">
        <v>0.294</v>
      </c>
    </row>
    <row r="64">
      <c r="A64" s="105" t="n">
        <v>34638</v>
      </c>
      <c r="C64" t="n">
        <v>0.218</v>
      </c>
    </row>
    <row r="65">
      <c r="A65" s="105" t="n">
        <v>34668</v>
      </c>
      <c r="C65" t="n">
        <v>0.244</v>
      </c>
    </row>
    <row r="66">
      <c r="A66" s="105" t="n">
        <v>34699</v>
      </c>
      <c r="C66" t="n">
        <v>0.235</v>
      </c>
    </row>
    <row r="67">
      <c r="A67" s="105" t="n">
        <v>34730</v>
      </c>
      <c r="C67" t="n">
        <v>0.185</v>
      </c>
    </row>
    <row r="68">
      <c r="A68" s="105" t="n">
        <v>34758</v>
      </c>
      <c r="C68" t="n">
        <v>0.114</v>
      </c>
    </row>
    <row r="69">
      <c r="A69" s="105" t="n">
        <v>34789</v>
      </c>
      <c r="C69" t="n">
        <v>0.155</v>
      </c>
    </row>
    <row r="70">
      <c r="A70" s="105" t="n">
        <v>34819</v>
      </c>
      <c r="C70" t="n">
        <v>0.164</v>
      </c>
    </row>
    <row r="71">
      <c r="A71" s="105" t="n">
        <v>34850</v>
      </c>
      <c r="C71" t="n">
        <v>0.154</v>
      </c>
    </row>
    <row r="72">
      <c r="A72" s="105" t="n">
        <v>34880</v>
      </c>
      <c r="C72" t="n">
        <v>0.131</v>
      </c>
    </row>
    <row r="73">
      <c r="A73" s="105" t="n">
        <v>34911</v>
      </c>
      <c r="C73" t="n">
        <v>0.139</v>
      </c>
    </row>
    <row r="74">
      <c r="A74" s="105" t="n">
        <v>34942</v>
      </c>
      <c r="C74" t="n">
        <v>0.136</v>
      </c>
    </row>
    <row r="75">
      <c r="A75" s="105" t="n">
        <v>34972</v>
      </c>
      <c r="C75" t="n">
        <v>0.118</v>
      </c>
    </row>
    <row r="76">
      <c r="A76" s="105" t="n">
        <v>35003</v>
      </c>
      <c r="C76" t="n">
        <v>0.114</v>
      </c>
    </row>
    <row r="77">
      <c r="A77" s="105" t="n">
        <v>35033</v>
      </c>
      <c r="C77" t="n">
        <v>0.129</v>
      </c>
    </row>
    <row r="78">
      <c r="A78" s="105" t="n">
        <v>35064</v>
      </c>
      <c r="C78" t="n">
        <v>0.121</v>
      </c>
    </row>
    <row r="79">
      <c r="A79" s="105" t="n">
        <v>35095</v>
      </c>
      <c r="C79" t="n">
        <v>0.149</v>
      </c>
    </row>
    <row r="80">
      <c r="A80" s="105" t="n">
        <v>35124</v>
      </c>
      <c r="C80" t="n">
        <v>0.169</v>
      </c>
    </row>
    <row r="81">
      <c r="A81" s="105" t="n">
        <v>35155</v>
      </c>
      <c r="C81" t="n">
        <v>0.122</v>
      </c>
    </row>
    <row r="82">
      <c r="A82" s="105" t="n">
        <v>35185</v>
      </c>
      <c r="C82" t="n">
        <v>0.122</v>
      </c>
    </row>
    <row r="83">
      <c r="A83" s="105" t="n">
        <v>35216</v>
      </c>
      <c r="C83" t="n">
        <v>0.137</v>
      </c>
    </row>
    <row r="84">
      <c r="A84" s="105" t="n">
        <v>35246</v>
      </c>
      <c r="C84" t="n">
        <v>0.131</v>
      </c>
    </row>
    <row r="85">
      <c r="A85" s="105" t="n">
        <v>35277</v>
      </c>
      <c r="C85" t="n">
        <v>0.138</v>
      </c>
    </row>
    <row r="86">
      <c r="A86" s="105" t="n">
        <v>35308</v>
      </c>
      <c r="C86" t="n">
        <v>0.122</v>
      </c>
    </row>
    <row r="87">
      <c r="A87" s="105" t="n">
        <v>35338</v>
      </c>
      <c r="C87" t="n">
        <v>0.106</v>
      </c>
    </row>
    <row r="88">
      <c r="A88" s="105" t="n">
        <v>35369</v>
      </c>
      <c r="C88" t="n">
        <v>0.137</v>
      </c>
    </row>
    <row r="89">
      <c r="A89" s="105" t="n">
        <v>35399</v>
      </c>
      <c r="C89" t="n">
        <v>0.133</v>
      </c>
    </row>
    <row r="90">
      <c r="A90" s="105" t="n">
        <v>35430</v>
      </c>
      <c r="C90" t="n">
        <v>0.134</v>
      </c>
    </row>
    <row r="91">
      <c r="A91" s="105" t="n">
        <v>35461</v>
      </c>
      <c r="C91" t="n">
        <v>0.14</v>
      </c>
    </row>
    <row r="92">
      <c r="A92" s="105" t="n">
        <v>35489</v>
      </c>
      <c r="C92" t="n">
        <v>0.103</v>
      </c>
    </row>
    <row r="93">
      <c r="A93" s="105" t="n">
        <v>35520</v>
      </c>
      <c r="C93" t="n">
        <v>0.104</v>
      </c>
    </row>
    <row r="94">
      <c r="A94" s="105" t="n">
        <v>35550</v>
      </c>
      <c r="C94" t="n">
        <v>0.135</v>
      </c>
    </row>
    <row r="95">
      <c r="A95" s="105" t="n">
        <v>35581</v>
      </c>
      <c r="C95" t="n">
        <v>0.119</v>
      </c>
    </row>
    <row r="96">
      <c r="A96" s="105" t="n">
        <v>35611</v>
      </c>
      <c r="C96" t="n">
        <v>0.119</v>
      </c>
    </row>
    <row r="97">
      <c r="A97" s="105" t="n">
        <v>35642</v>
      </c>
      <c r="C97" t="n">
        <v>0.121</v>
      </c>
    </row>
    <row r="98">
      <c r="A98" s="105" t="n">
        <v>35673</v>
      </c>
      <c r="C98" t="n">
        <v>0.08400000000000001</v>
      </c>
    </row>
    <row r="99">
      <c r="A99" s="105" t="n">
        <v>35703</v>
      </c>
      <c r="C99" t="n">
        <v>0.109</v>
      </c>
    </row>
    <row r="100">
      <c r="A100" s="105" t="n">
        <v>35734</v>
      </c>
      <c r="C100" t="n">
        <v>0.111</v>
      </c>
    </row>
    <row r="101">
      <c r="A101" s="105" t="n">
        <v>35764</v>
      </c>
      <c r="C101" t="n">
        <v>0.118</v>
      </c>
    </row>
    <row r="102">
      <c r="A102" s="105" t="n">
        <v>35795</v>
      </c>
      <c r="C102" t="n">
        <v>0.116</v>
      </c>
    </row>
    <row r="103">
      <c r="A103" s="105" t="n">
        <v>35826</v>
      </c>
      <c r="C103" t="n">
        <v>0.092</v>
      </c>
    </row>
    <row r="104">
      <c r="A104" s="105" t="n">
        <v>35854</v>
      </c>
      <c r="C104" t="n">
        <v>0.018</v>
      </c>
    </row>
    <row r="105">
      <c r="A105" s="105" t="n">
        <v>35885</v>
      </c>
      <c r="C105" t="n">
        <v>0.095</v>
      </c>
    </row>
    <row r="106">
      <c r="A106" s="105" t="n">
        <v>35915</v>
      </c>
      <c r="C106" t="n">
        <v>0.09</v>
      </c>
    </row>
    <row r="107">
      <c r="A107" s="105" t="n">
        <v>35946</v>
      </c>
      <c r="C107" t="n">
        <v>0.07199999999999999</v>
      </c>
    </row>
    <row r="108">
      <c r="A108" s="105" t="n">
        <v>35976</v>
      </c>
      <c r="C108" t="n">
        <v>0.08</v>
      </c>
    </row>
    <row r="109">
      <c r="A109" s="105" t="n">
        <v>36007</v>
      </c>
      <c r="C109" t="n">
        <v>0.079</v>
      </c>
    </row>
    <row r="110">
      <c r="A110" s="105" t="n">
        <v>36038</v>
      </c>
      <c r="C110" t="n">
        <v>0.076</v>
      </c>
    </row>
    <row r="111">
      <c r="A111" s="105" t="n">
        <v>36068</v>
      </c>
      <c r="C111" t="n">
        <v>0.079</v>
      </c>
    </row>
    <row r="112">
      <c r="A112" s="105" t="n">
        <v>36099</v>
      </c>
      <c r="C112" t="n">
        <v>0.102</v>
      </c>
    </row>
    <row r="113">
      <c r="A113" s="105" t="n">
        <v>36129</v>
      </c>
      <c r="C113" t="n">
        <v>0.106</v>
      </c>
    </row>
    <row r="114">
      <c r="A114" s="105" t="n">
        <v>36160</v>
      </c>
      <c r="C114" t="n">
        <v>0.11</v>
      </c>
    </row>
    <row r="115">
      <c r="A115" s="105" t="n">
        <v>36191</v>
      </c>
      <c r="C115" t="n">
        <v>0.115</v>
      </c>
    </row>
    <row r="116">
      <c r="A116" s="105" t="n">
        <v>36219</v>
      </c>
      <c r="C116" t="n">
        <v>0.179</v>
      </c>
    </row>
    <row r="117">
      <c r="A117" s="105" t="n">
        <v>36250</v>
      </c>
      <c r="C117" t="n">
        <v>0.021</v>
      </c>
    </row>
    <row r="118">
      <c r="A118" s="105" t="n">
        <v>36280</v>
      </c>
      <c r="C118" t="n">
        <v>0.09</v>
      </c>
    </row>
    <row r="119">
      <c r="A119" s="105" t="n">
        <v>36311</v>
      </c>
      <c r="C119" t="n">
        <v>0.091</v>
      </c>
    </row>
    <row r="120">
      <c r="A120" s="105" t="n">
        <v>36341</v>
      </c>
      <c r="C120" t="n">
        <v>0.089</v>
      </c>
    </row>
    <row r="121">
      <c r="A121" s="105" t="n">
        <v>36372</v>
      </c>
      <c r="C121" t="n">
        <v>0.091</v>
      </c>
    </row>
    <row r="122">
      <c r="A122" s="105" t="n">
        <v>36403</v>
      </c>
      <c r="C122" t="n">
        <v>0.093</v>
      </c>
    </row>
    <row r="123">
      <c r="A123" s="105" t="n">
        <v>36433</v>
      </c>
      <c r="C123" t="n">
        <v>0.095</v>
      </c>
    </row>
    <row r="124">
      <c r="A124" s="105" t="n">
        <v>36464</v>
      </c>
      <c r="C124" t="n">
        <v>0.082</v>
      </c>
    </row>
    <row r="125">
      <c r="A125" s="105" t="n">
        <v>36494</v>
      </c>
      <c r="C125" t="n">
        <v>0.07000000000000001</v>
      </c>
    </row>
    <row r="126">
      <c r="A126" s="105" t="n">
        <v>36525</v>
      </c>
      <c r="C126" t="n">
        <v>0.076</v>
      </c>
    </row>
    <row r="127">
      <c r="A127" s="105" t="n">
        <v>36556</v>
      </c>
      <c r="C127" t="n">
        <v>0.074</v>
      </c>
    </row>
    <row r="128">
      <c r="A128" s="105" t="n">
        <v>36585</v>
      </c>
      <c r="C128" t="n">
        <v>0.089</v>
      </c>
    </row>
    <row r="129">
      <c r="A129" s="105" t="n">
        <v>36616</v>
      </c>
      <c r="C129" t="n">
        <v>0.12</v>
      </c>
    </row>
    <row r="130">
      <c r="A130" s="105" t="n">
        <v>36646</v>
      </c>
      <c r="C130" t="n">
        <v>0.119</v>
      </c>
    </row>
    <row r="131">
      <c r="A131" s="105" t="n">
        <v>36677</v>
      </c>
      <c r="C131" t="n">
        <v>0.114</v>
      </c>
    </row>
    <row r="132">
      <c r="A132" s="105" t="n">
        <v>36707</v>
      </c>
      <c r="C132" t="n">
        <v>0.115</v>
      </c>
    </row>
    <row r="133">
      <c r="A133" s="105" t="n">
        <v>36738</v>
      </c>
      <c r="C133" t="n">
        <v>0.122</v>
      </c>
    </row>
    <row r="134">
      <c r="A134" s="105" t="n">
        <v>36769</v>
      </c>
      <c r="C134" t="n">
        <v>0.128</v>
      </c>
    </row>
    <row r="135">
      <c r="A135" s="105" t="n">
        <v>36799</v>
      </c>
      <c r="C135" t="n">
        <v>0.128</v>
      </c>
    </row>
    <row r="136">
      <c r="A136" s="105" t="n">
        <v>36830</v>
      </c>
      <c r="C136" t="n">
        <v>0.12</v>
      </c>
    </row>
    <row r="137">
      <c r="A137" s="105" t="n">
        <v>36860</v>
      </c>
      <c r="C137" t="n">
        <v>0.114</v>
      </c>
    </row>
    <row r="138">
      <c r="A138" s="105" t="n">
        <v>36891</v>
      </c>
      <c r="C138" t="n">
        <v>0.106</v>
      </c>
    </row>
    <row r="139">
      <c r="A139" s="105" t="n">
        <v>36922</v>
      </c>
      <c r="C139" t="n">
        <v>0.104</v>
      </c>
    </row>
    <row r="140">
      <c r="A140" s="105" t="n">
        <v>36950</v>
      </c>
      <c r="C140" t="n">
        <v>0.023</v>
      </c>
    </row>
    <row r="141">
      <c r="A141" s="105" t="n">
        <v>36981</v>
      </c>
      <c r="C141" t="n">
        <v>0.19</v>
      </c>
    </row>
    <row r="142">
      <c r="A142" s="105" t="n">
        <v>37011</v>
      </c>
      <c r="C142" t="n">
        <v>0.121</v>
      </c>
    </row>
    <row r="143">
      <c r="A143" s="105" t="n">
        <v>37042</v>
      </c>
      <c r="C143" t="n">
        <v>0.115</v>
      </c>
    </row>
    <row r="144">
      <c r="A144" s="105" t="n">
        <v>37072</v>
      </c>
      <c r="C144" t="n">
        <v>0.102</v>
      </c>
    </row>
    <row r="145">
      <c r="A145" s="105" t="n">
        <v>37103</v>
      </c>
      <c r="C145" t="n">
        <v>0.101</v>
      </c>
    </row>
    <row r="146">
      <c r="A146" s="105" t="n">
        <v>37134</v>
      </c>
      <c r="C146" t="n">
        <v>0.081</v>
      </c>
    </row>
    <row r="147">
      <c r="A147" s="105" t="n">
        <v>37164</v>
      </c>
      <c r="C147" t="n">
        <v>0.081</v>
      </c>
    </row>
    <row r="148">
      <c r="A148" s="105" t="n">
        <v>37195</v>
      </c>
      <c r="C148" t="n">
        <v>0.095</v>
      </c>
    </row>
    <row r="149">
      <c r="A149" s="105" t="n">
        <v>37225</v>
      </c>
      <c r="C149" t="n">
        <v>0.08799999999999999</v>
      </c>
    </row>
    <row r="150">
      <c r="A150" s="105" t="n">
        <v>37256</v>
      </c>
      <c r="C150" t="n">
        <v>0.079</v>
      </c>
    </row>
    <row r="151">
      <c r="A151" s="105" t="n">
        <v>37287</v>
      </c>
      <c r="C151" t="n">
        <v>0.08699999999999999</v>
      </c>
    </row>
    <row r="152">
      <c r="A152" s="105" t="n">
        <v>37315</v>
      </c>
      <c r="C152" t="n">
        <v>0.186</v>
      </c>
    </row>
    <row r="153">
      <c r="A153" s="105" t="n">
        <v>37346</v>
      </c>
      <c r="C153" t="n">
        <v>0.027</v>
      </c>
    </row>
    <row r="154">
      <c r="A154" s="105" t="n">
        <v>37376</v>
      </c>
      <c r="C154" t="n">
        <v>0.109</v>
      </c>
    </row>
    <row r="155">
      <c r="A155" s="105" t="n">
        <v>37407</v>
      </c>
      <c r="C155" t="n">
        <v>0.121</v>
      </c>
    </row>
    <row r="156">
      <c r="A156" s="105" t="n">
        <v>37437</v>
      </c>
      <c r="C156" t="n">
        <v>0.129</v>
      </c>
    </row>
    <row r="157">
      <c r="A157" s="105" t="n">
        <v>37468</v>
      </c>
      <c r="C157" t="n">
        <v>0.124</v>
      </c>
    </row>
    <row r="158">
      <c r="A158" s="105" t="n">
        <v>37499</v>
      </c>
      <c r="C158" t="n">
        <v>0.128</v>
      </c>
    </row>
    <row r="159">
      <c r="A159" s="105" t="n">
        <v>37529</v>
      </c>
      <c r="C159" t="n">
        <v>0.127</v>
      </c>
    </row>
    <row r="160">
      <c r="A160" s="105" t="n">
        <v>37560</v>
      </c>
      <c r="C160" t="n">
        <v>0.138</v>
      </c>
    </row>
    <row r="161">
      <c r="A161" s="105" t="n">
        <v>37590</v>
      </c>
      <c r="C161" t="n">
        <v>0.142</v>
      </c>
    </row>
    <row r="162">
      <c r="A162" s="105" t="n">
        <v>37621</v>
      </c>
      <c r="C162" t="n">
        <v>0.145</v>
      </c>
    </row>
    <row r="163">
      <c r="A163" s="105" t="n">
        <v>37652</v>
      </c>
      <c r="C163" t="n">
        <v>0.149</v>
      </c>
    </row>
    <row r="164">
      <c r="A164" s="105" t="n">
        <v>37680</v>
      </c>
      <c r="C164" t="n">
        <v>0.148</v>
      </c>
    </row>
    <row r="165">
      <c r="A165" s="105" t="n">
        <v>37711</v>
      </c>
      <c r="C165" t="n">
        <v>0.198</v>
      </c>
    </row>
    <row r="166">
      <c r="A166" s="105" t="n">
        <v>37741</v>
      </c>
      <c r="C166" t="n">
        <v>0.169</v>
      </c>
    </row>
    <row r="167">
      <c r="A167" s="105" t="n">
        <v>37772</v>
      </c>
      <c r="C167" t="n">
        <v>0.149</v>
      </c>
    </row>
    <row r="168">
      <c r="A168" s="105" t="n">
        <v>37802</v>
      </c>
      <c r="C168" t="n">
        <v>0.137</v>
      </c>
    </row>
    <row r="169">
      <c r="A169" s="105" t="n">
        <v>37833</v>
      </c>
      <c r="C169" t="n">
        <v>0.169</v>
      </c>
    </row>
    <row r="170">
      <c r="A170" s="105" t="n">
        <v>37864</v>
      </c>
      <c r="C170" t="n">
        <v>0.165</v>
      </c>
    </row>
    <row r="171">
      <c r="A171" s="105" t="n">
        <v>37894</v>
      </c>
      <c r="C171" t="n">
        <v>0.171</v>
      </c>
    </row>
    <row r="172">
      <c r="A172" s="105" t="n">
        <v>37925</v>
      </c>
      <c r="C172" t="n">
        <v>0.163</v>
      </c>
    </row>
    <row r="173">
      <c r="A173" s="105" t="n">
        <v>37955</v>
      </c>
      <c r="C173" t="n">
        <v>0.172</v>
      </c>
    </row>
    <row r="174">
      <c r="A174" s="105" t="n">
        <v>37986</v>
      </c>
      <c r="C174" t="n">
        <v>0.179</v>
      </c>
    </row>
    <row r="175">
      <c r="A175" s="105" t="n">
        <v>38017</v>
      </c>
      <c r="C175" t="n">
        <v>0.181</v>
      </c>
    </row>
    <row r="176">
      <c r="A176" s="105" t="n">
        <v>38046</v>
      </c>
      <c r="C176" t="n">
        <v>0.07199999999999999</v>
      </c>
    </row>
    <row r="177">
      <c r="A177" s="105" t="n">
        <v>38077</v>
      </c>
      <c r="C177" t="n">
        <v>0.232</v>
      </c>
    </row>
    <row r="178">
      <c r="A178" s="105" t="n">
        <v>38107</v>
      </c>
      <c r="C178" t="n">
        <v>0.194</v>
      </c>
    </row>
    <row r="179">
      <c r="A179" s="105" t="n">
        <v>38138</v>
      </c>
      <c r="C179" t="n">
        <v>0.191</v>
      </c>
    </row>
    <row r="180">
      <c r="A180" s="105" t="n">
        <v>38168</v>
      </c>
      <c r="C180" t="n">
        <v>0.175</v>
      </c>
    </row>
    <row r="181">
      <c r="A181" s="105" t="n">
        <v>38199</v>
      </c>
      <c r="C181" t="n">
        <v>0.162</v>
      </c>
    </row>
    <row r="182">
      <c r="A182" s="105" t="n">
        <v>38230</v>
      </c>
      <c r="C182" t="n">
        <v>0.155</v>
      </c>
    </row>
    <row r="183">
      <c r="A183" s="105" t="n">
        <v>38260</v>
      </c>
      <c r="C183" t="n">
        <v>0.159</v>
      </c>
    </row>
    <row r="184">
      <c r="A184" s="105" t="n">
        <v>38291</v>
      </c>
      <c r="C184" t="n">
        <v>0.161</v>
      </c>
    </row>
    <row r="185">
      <c r="A185" s="105" t="n">
        <v>38321</v>
      </c>
      <c r="C185" t="n">
        <v>0.157</v>
      </c>
    </row>
    <row r="186">
      <c r="A186" s="105" t="n">
        <v>38352</v>
      </c>
      <c r="C186" t="n">
        <v>0.148</v>
      </c>
    </row>
    <row r="187">
      <c r="A187" s="105" t="n">
        <v>38383</v>
      </c>
      <c r="B187" t="n">
        <v>52.1</v>
      </c>
      <c r="C187" t="n">
        <v>0.144</v>
      </c>
    </row>
    <row r="188">
      <c r="A188" s="105" t="n">
        <v>38411</v>
      </c>
      <c r="B188" t="n">
        <v>52.9</v>
      </c>
      <c r="C188" t="n">
        <v>0.209</v>
      </c>
    </row>
    <row r="189">
      <c r="A189" s="105" t="n">
        <v>38442</v>
      </c>
      <c r="B189" t="n">
        <v>55.2</v>
      </c>
      <c r="C189" t="n">
        <v>0.076</v>
      </c>
    </row>
    <row r="190">
      <c r="A190" s="105" t="n">
        <v>38472</v>
      </c>
      <c r="B190" t="n">
        <v>54.4</v>
      </c>
      <c r="C190" t="n">
        <v>0.151</v>
      </c>
    </row>
    <row r="191">
      <c r="A191" s="105" t="n">
        <v>38503</v>
      </c>
      <c r="B191" t="n">
        <v>53.3</v>
      </c>
      <c r="C191" t="n">
        <v>0.16</v>
      </c>
    </row>
    <row r="192">
      <c r="A192" s="105" t="n">
        <v>38533</v>
      </c>
      <c r="B192" t="n">
        <v>51</v>
      </c>
      <c r="C192" t="n">
        <v>0.166</v>
      </c>
    </row>
    <row r="193">
      <c r="A193" s="105" t="n">
        <v>38564</v>
      </c>
      <c r="B193" t="n">
        <v>51.5</v>
      </c>
      <c r="C193" t="n">
        <v>0.168</v>
      </c>
    </row>
    <row r="194">
      <c r="A194" s="105" t="n">
        <v>38595</v>
      </c>
      <c r="B194" t="n">
        <v>50.6</v>
      </c>
      <c r="C194" t="n">
        <v>0.161</v>
      </c>
    </row>
    <row r="195">
      <c r="A195" s="105" t="n">
        <v>38625</v>
      </c>
      <c r="B195" t="n">
        <v>50.9</v>
      </c>
      <c r="C195" t="n">
        <v>0.16</v>
      </c>
    </row>
    <row r="196">
      <c r="A196" s="105" t="n">
        <v>38656</v>
      </c>
      <c r="B196" t="n">
        <v>50.1</v>
      </c>
      <c r="C196" t="n">
        <v>0.165</v>
      </c>
    </row>
    <row r="197">
      <c r="A197" s="105" t="n">
        <v>38686</v>
      </c>
      <c r="B197" t="n">
        <v>49.8</v>
      </c>
      <c r="C197" t="n">
        <v>0.161</v>
      </c>
    </row>
    <row r="198">
      <c r="A198" s="105" t="n">
        <v>38717</v>
      </c>
      <c r="B198" t="n">
        <v>50.1</v>
      </c>
      <c r="C198" t="n">
        <v>0.166</v>
      </c>
    </row>
    <row r="199">
      <c r="A199" s="105" t="n">
        <v>38776</v>
      </c>
      <c r="B199" t="n">
        <v>50.7</v>
      </c>
      <c r="C199" t="n">
        <v>0.165</v>
      </c>
    </row>
    <row r="200">
      <c r="A200" s="105" t="n">
        <v>38807</v>
      </c>
      <c r="B200" t="n">
        <v>51</v>
      </c>
      <c r="C200" t="n">
        <v>0.201</v>
      </c>
    </row>
    <row r="201">
      <c r="A201" s="105" t="n">
        <v>38837</v>
      </c>
      <c r="B201" t="n">
        <v>52.7</v>
      </c>
      <c r="C201" t="n">
        <v>0.178</v>
      </c>
    </row>
    <row r="202">
      <c r="A202" s="105" t="n">
        <v>38868</v>
      </c>
      <c r="B202" t="n">
        <v>52.8</v>
      </c>
      <c r="C202" t="n">
        <v>0.166</v>
      </c>
    </row>
    <row r="203">
      <c r="A203" s="105" t="n">
        <v>38898</v>
      </c>
      <c r="B203" t="n">
        <v>52.9</v>
      </c>
      <c r="C203" t="n">
        <v>0.179</v>
      </c>
    </row>
    <row r="204">
      <c r="A204" s="105" t="n">
        <v>38929</v>
      </c>
      <c r="B204" t="n">
        <v>53</v>
      </c>
      <c r="C204" t="n">
        <v>0.195</v>
      </c>
    </row>
    <row r="205">
      <c r="A205" s="105" t="n">
        <v>38960</v>
      </c>
      <c r="B205" t="n">
        <v>52.6</v>
      </c>
      <c r="C205" t="n">
        <v>0.167</v>
      </c>
    </row>
    <row r="206">
      <c r="A206" s="105" t="n">
        <v>38990</v>
      </c>
      <c r="B206" t="n">
        <v>52.4</v>
      </c>
      <c r="C206" t="n">
        <v>0.157</v>
      </c>
    </row>
    <row r="207">
      <c r="A207" s="105" t="n">
        <v>39021</v>
      </c>
      <c r="B207" t="n">
        <v>52.1</v>
      </c>
      <c r="C207" t="n">
        <v>0.161</v>
      </c>
    </row>
    <row r="208">
      <c r="A208" s="105" t="n">
        <v>39051</v>
      </c>
      <c r="B208" t="n">
        <v>53</v>
      </c>
      <c r="C208" t="n">
        <v>0.147</v>
      </c>
    </row>
    <row r="209">
      <c r="A209" s="105" t="n">
        <v>39082</v>
      </c>
      <c r="B209" t="n">
        <v>52.4</v>
      </c>
      <c r="C209" t="n">
        <v>0.149</v>
      </c>
    </row>
    <row r="210">
      <c r="A210" s="105" t="n">
        <v>39141</v>
      </c>
      <c r="B210" t="n">
        <v>53</v>
      </c>
      <c r="C210" t="n">
        <v>0.147</v>
      </c>
    </row>
    <row r="211">
      <c r="A211" s="105" t="n">
        <v>39172</v>
      </c>
      <c r="B211" t="n">
        <v>52.3</v>
      </c>
      <c r="C211" t="n">
        <v>0.126</v>
      </c>
    </row>
    <row r="212">
      <c r="A212" s="105" t="n">
        <v>39202</v>
      </c>
      <c r="B212" t="n">
        <v>53.3</v>
      </c>
      <c r="C212" t="n">
        <v>0.176</v>
      </c>
    </row>
    <row r="213">
      <c r="A213" s="105" t="n">
        <v>39233</v>
      </c>
      <c r="B213" t="n">
        <v>54.1</v>
      </c>
      <c r="C213" t="n">
        <v>0.174</v>
      </c>
    </row>
    <row r="214">
      <c r="A214" s="105" t="n">
        <v>39263</v>
      </c>
      <c r="B214" t="n">
        <v>55</v>
      </c>
      <c r="C214" t="n">
        <v>0.181</v>
      </c>
    </row>
    <row r="215">
      <c r="A215" s="105" t="n">
        <v>39294</v>
      </c>
      <c r="B215" t="n">
        <v>53.2</v>
      </c>
      <c r="C215" t="n">
        <v>0.194</v>
      </c>
    </row>
    <row r="216">
      <c r="A216" s="105" t="n">
        <v>39325</v>
      </c>
      <c r="B216" t="n">
        <v>53.4</v>
      </c>
      <c r="C216" t="n">
        <v>0.18</v>
      </c>
    </row>
    <row r="217">
      <c r="A217" s="105" t="n">
        <v>39355</v>
      </c>
      <c r="B217" t="n">
        <v>55</v>
      </c>
      <c r="C217" t="n">
        <v>0.175</v>
      </c>
    </row>
    <row r="218">
      <c r="A218" s="105" t="n">
        <v>39386</v>
      </c>
      <c r="B218" t="n">
        <v>55.2</v>
      </c>
      <c r="C218" t="n">
        <v>0.189</v>
      </c>
    </row>
    <row r="219">
      <c r="A219" s="105" t="n">
        <v>39416</v>
      </c>
      <c r="B219" t="n">
        <v>52.8</v>
      </c>
      <c r="C219" t="n">
        <v>0.179</v>
      </c>
    </row>
    <row r="220">
      <c r="A220" s="105" t="n">
        <v>39447</v>
      </c>
      <c r="B220" t="n">
        <v>53.3</v>
      </c>
      <c r="C220" t="n">
        <v>0.173</v>
      </c>
    </row>
    <row r="221">
      <c r="A221" s="105" t="n">
        <v>39507</v>
      </c>
      <c r="B221" t="n">
        <v>52.8</v>
      </c>
      <c r="C221" t="n">
        <v>0.174</v>
      </c>
    </row>
    <row r="222">
      <c r="A222" s="105" t="n">
        <v>39538</v>
      </c>
      <c r="B222" t="n">
        <v>54.4</v>
      </c>
      <c r="C222" t="n">
        <v>0.154</v>
      </c>
    </row>
    <row r="223">
      <c r="A223" s="105" t="n">
        <v>39568</v>
      </c>
      <c r="B223" t="n">
        <v>55.4</v>
      </c>
      <c r="C223" t="n">
        <v>0.178</v>
      </c>
    </row>
    <row r="224">
      <c r="A224" s="105" t="n">
        <v>39599</v>
      </c>
      <c r="B224" t="n">
        <v>54.7</v>
      </c>
      <c r="C224" t="n">
        <v>0.157</v>
      </c>
    </row>
    <row r="225">
      <c r="A225" s="105" t="n">
        <v>39629</v>
      </c>
      <c r="B225" t="n">
        <v>53.3</v>
      </c>
      <c r="C225" t="n">
        <v>0.16</v>
      </c>
    </row>
    <row r="226">
      <c r="A226" s="105" t="n">
        <v>39660</v>
      </c>
      <c r="B226" t="n">
        <v>53.3</v>
      </c>
      <c r="C226" t="n">
        <v>0.16</v>
      </c>
    </row>
    <row r="227">
      <c r="A227" s="105" t="n">
        <v>39691</v>
      </c>
      <c r="B227" t="n">
        <v>49.2</v>
      </c>
      <c r="C227" t="n">
        <v>0.147</v>
      </c>
    </row>
    <row r="228">
      <c r="A228" s="105" t="n">
        <v>39721</v>
      </c>
      <c r="B228" t="n">
        <v>47.7</v>
      </c>
      <c r="C228" t="n">
        <v>0.128</v>
      </c>
    </row>
    <row r="229">
      <c r="A229" s="105" t="n">
        <v>39752</v>
      </c>
      <c r="B229" t="n">
        <v>45.2</v>
      </c>
      <c r="C229" t="n">
        <v>0.114</v>
      </c>
    </row>
    <row r="230">
      <c r="A230" s="105" t="n">
        <v>39782</v>
      </c>
      <c r="B230" t="n">
        <v>40.9</v>
      </c>
      <c r="C230" t="n">
        <v>0.082</v>
      </c>
    </row>
    <row r="231">
      <c r="A231" s="105" t="n">
        <v>39813</v>
      </c>
      <c r="B231" t="n">
        <v>41.2</v>
      </c>
      <c r="C231" t="n">
        <v>0.054</v>
      </c>
    </row>
    <row r="232">
      <c r="A232" s="105" t="n">
        <v>39872</v>
      </c>
      <c r="B232" t="n">
        <v>45.1</v>
      </c>
      <c r="C232" t="n">
        <v>0.057</v>
      </c>
    </row>
    <row r="233">
      <c r="A233" s="105" t="n">
        <v>39903</v>
      </c>
      <c r="B233" t="n">
        <v>44.8</v>
      </c>
      <c r="C233" t="n">
        <v>0.11</v>
      </c>
    </row>
    <row r="234">
      <c r="A234" s="105" t="n">
        <v>39933</v>
      </c>
      <c r="B234" t="n">
        <v>50.1</v>
      </c>
      <c r="C234" t="n">
        <v>0.083</v>
      </c>
    </row>
    <row r="235">
      <c r="A235" s="105" t="n">
        <v>39964</v>
      </c>
      <c r="B235" t="n">
        <v>51.2</v>
      </c>
      <c r="C235" t="n">
        <v>0.073</v>
      </c>
    </row>
    <row r="236">
      <c r="A236" s="105" t="n">
        <v>39994</v>
      </c>
      <c r="B236" t="n">
        <v>51.8</v>
      </c>
      <c r="C236" t="n">
        <v>0.089</v>
      </c>
    </row>
    <row r="237">
      <c r="A237" s="105" t="n">
        <v>40025</v>
      </c>
      <c r="B237" t="n">
        <v>52.8</v>
      </c>
      <c r="C237" t="n">
        <v>0.107</v>
      </c>
    </row>
    <row r="238">
      <c r="A238" s="105" t="n">
        <v>40056</v>
      </c>
      <c r="B238" t="n">
        <v>55.1</v>
      </c>
      <c r="C238" t="n">
        <v>0.108</v>
      </c>
    </row>
    <row r="239">
      <c r="A239" s="105" t="n">
        <v>40086</v>
      </c>
      <c r="B239" t="n">
        <v>55</v>
      </c>
      <c r="C239" t="n">
        <v>0.123</v>
      </c>
    </row>
    <row r="240">
      <c r="A240" s="105" t="n">
        <v>40117</v>
      </c>
      <c r="B240" t="n">
        <v>55.4</v>
      </c>
      <c r="C240" t="n">
        <v>0.139</v>
      </c>
    </row>
    <row r="241">
      <c r="A241" s="105" t="n">
        <v>40147</v>
      </c>
      <c r="B241" t="n">
        <v>55.7</v>
      </c>
      <c r="C241" t="n">
        <v>0.161</v>
      </c>
    </row>
    <row r="242">
      <c r="A242" s="105" t="n">
        <v>40178</v>
      </c>
      <c r="B242" t="n">
        <v>56.1</v>
      </c>
      <c r="C242" t="n">
        <v>0.192</v>
      </c>
    </row>
    <row r="243">
      <c r="A243" s="105" t="n">
        <v>40237</v>
      </c>
      <c r="B243" t="n">
        <v>55.8</v>
      </c>
      <c r="C243" t="n">
        <v>0.185</v>
      </c>
    </row>
    <row r="244">
      <c r="A244" s="105" t="n">
        <v>40268</v>
      </c>
      <c r="B244" t="n">
        <v>57</v>
      </c>
      <c r="C244" t="n">
        <v>0.128</v>
      </c>
    </row>
    <row r="245">
      <c r="A245" s="105" t="n">
        <v>40298</v>
      </c>
      <c r="B245" t="n">
        <v>55.4</v>
      </c>
      <c r="C245" t="n">
        <v>0.181</v>
      </c>
    </row>
    <row r="246">
      <c r="A246" s="105" t="n">
        <v>40329</v>
      </c>
      <c r="B246" t="n">
        <v>52.7</v>
      </c>
      <c r="C246" t="n">
        <v>0.178</v>
      </c>
    </row>
    <row r="247">
      <c r="A247" s="105" t="n">
        <v>40359</v>
      </c>
      <c r="B247" t="n">
        <v>50.4</v>
      </c>
      <c r="C247" t="n">
        <v>0.165</v>
      </c>
    </row>
    <row r="248">
      <c r="A248" s="105" t="n">
        <v>40390</v>
      </c>
      <c r="B248" t="n">
        <v>49.4</v>
      </c>
      <c r="C248" t="n">
        <v>0.137</v>
      </c>
    </row>
    <row r="249">
      <c r="A249" s="105" t="n">
        <v>40421</v>
      </c>
      <c r="B249" t="n">
        <v>51.9</v>
      </c>
      <c r="C249" t="n">
        <v>0.134</v>
      </c>
    </row>
    <row r="250">
      <c r="A250" s="105" t="n">
        <v>40451</v>
      </c>
      <c r="B250" t="n">
        <v>52.9</v>
      </c>
      <c r="C250" t="n">
        <v>0.139</v>
      </c>
    </row>
    <row r="251">
      <c r="A251" s="105" t="n">
        <v>40482</v>
      </c>
      <c r="B251" t="n">
        <v>54.8</v>
      </c>
      <c r="C251" t="n">
        <v>0.133</v>
      </c>
    </row>
    <row r="252">
      <c r="A252" s="105" t="n">
        <v>40512</v>
      </c>
      <c r="B252" t="n">
        <v>55.3</v>
      </c>
      <c r="C252" t="n">
        <v>0.131</v>
      </c>
    </row>
    <row r="253">
      <c r="A253" s="105" t="n">
        <v>40543</v>
      </c>
      <c r="B253" t="n">
        <v>54.4</v>
      </c>
      <c r="C253" t="n">
        <v>0.133</v>
      </c>
    </row>
    <row r="254">
      <c r="A254" s="105" t="n">
        <v>40602</v>
      </c>
      <c r="B254" t="n">
        <v>51.7</v>
      </c>
      <c r="C254" t="n">
        <v>0.135</v>
      </c>
    </row>
    <row r="255">
      <c r="A255" s="105" t="n">
        <v>40633</v>
      </c>
      <c r="B255" t="n">
        <v>51.8</v>
      </c>
      <c r="C255" t="n">
        <v>0.141</v>
      </c>
    </row>
    <row r="256">
      <c r="A256" s="105" t="n">
        <v>40663</v>
      </c>
      <c r="B256" t="n">
        <v>51.8</v>
      </c>
      <c r="C256" t="n">
        <v>0.148</v>
      </c>
    </row>
    <row r="257">
      <c r="A257" s="105" t="n">
        <v>40694</v>
      </c>
      <c r="B257" t="n">
        <v>51.6</v>
      </c>
      <c r="C257" t="n">
        <v>0.134</v>
      </c>
    </row>
    <row r="258">
      <c r="A258" s="105" t="n">
        <v>40724</v>
      </c>
      <c r="B258" t="n">
        <v>50.1</v>
      </c>
      <c r="C258" t="n">
        <v>0.133</v>
      </c>
    </row>
    <row r="259">
      <c r="A259" s="105" t="n">
        <v>40755</v>
      </c>
      <c r="B259" t="n">
        <v>49.3</v>
      </c>
      <c r="C259" t="n">
        <v>0.151</v>
      </c>
    </row>
    <row r="260">
      <c r="A260" s="105" t="n">
        <v>40786</v>
      </c>
      <c r="B260" t="n">
        <v>49.9</v>
      </c>
      <c r="C260" t="n">
        <v>0.14</v>
      </c>
    </row>
    <row r="261">
      <c r="A261" s="105" t="n">
        <v>40816</v>
      </c>
      <c r="B261" t="n">
        <v>49.9</v>
      </c>
      <c r="C261" t="n">
        <v>0.135</v>
      </c>
    </row>
    <row r="262">
      <c r="A262" s="105" t="n">
        <v>40847</v>
      </c>
      <c r="B262" t="n">
        <v>51</v>
      </c>
      <c r="C262" t="n">
        <v>0.138</v>
      </c>
    </row>
    <row r="263">
      <c r="A263" s="105" t="n">
        <v>40877</v>
      </c>
      <c r="B263" t="n">
        <v>47.7</v>
      </c>
      <c r="C263" t="n">
        <v>0.132</v>
      </c>
    </row>
    <row r="264">
      <c r="A264" s="105" t="n">
        <v>40908</v>
      </c>
      <c r="B264" t="n">
        <v>48.7</v>
      </c>
      <c r="C264" t="n">
        <v>0.124</v>
      </c>
    </row>
    <row r="265">
      <c r="A265" s="105" t="n">
        <v>40968</v>
      </c>
      <c r="B265" t="n">
        <v>49.6</v>
      </c>
      <c r="C265" t="n">
        <v>0.128</v>
      </c>
    </row>
    <row r="266">
      <c r="A266" s="105" t="n">
        <v>40999</v>
      </c>
      <c r="B266" t="n">
        <v>48.3</v>
      </c>
      <c r="C266" t="n">
        <v>0.114</v>
      </c>
    </row>
    <row r="267">
      <c r="A267" s="105" t="n">
        <v>41029</v>
      </c>
      <c r="B267" t="n">
        <v>49.3</v>
      </c>
      <c r="C267" t="n">
        <v>0.119</v>
      </c>
    </row>
    <row r="268">
      <c r="A268" s="105" t="n">
        <v>41060</v>
      </c>
      <c r="B268" t="n">
        <v>48.4</v>
      </c>
      <c r="C268" t="n">
        <v>0.093</v>
      </c>
    </row>
    <row r="269">
      <c r="A269" s="105" t="n">
        <v>41090</v>
      </c>
      <c r="B269" t="n">
        <v>48.2</v>
      </c>
      <c r="C269" t="n">
        <v>0.096</v>
      </c>
    </row>
    <row r="270">
      <c r="A270" s="105" t="n">
        <v>41121</v>
      </c>
      <c r="B270" t="n">
        <v>49.3</v>
      </c>
      <c r="C270" t="n">
        <v>0.095</v>
      </c>
    </row>
    <row r="271">
      <c r="A271" s="105" t="n">
        <v>41152</v>
      </c>
      <c r="B271" t="n">
        <v>47.7</v>
      </c>
      <c r="C271" t="n">
        <v>0.092</v>
      </c>
    </row>
    <row r="272">
      <c r="A272" s="105" t="n">
        <v>41182</v>
      </c>
      <c r="B272" t="n">
        <v>47.9</v>
      </c>
      <c r="C272" t="n">
        <v>0.089</v>
      </c>
    </row>
    <row r="273">
      <c r="A273" s="105" t="n">
        <v>41213</v>
      </c>
      <c r="B273" t="n">
        <v>49.5</v>
      </c>
      <c r="C273" t="n">
        <v>0.092</v>
      </c>
    </row>
    <row r="274">
      <c r="A274" s="105" t="n">
        <v>41243</v>
      </c>
      <c r="B274" t="n">
        <v>50.5</v>
      </c>
      <c r="C274" t="n">
        <v>0.096</v>
      </c>
    </row>
    <row r="275">
      <c r="A275" s="105" t="n">
        <v>41274</v>
      </c>
      <c r="B275" t="n">
        <v>51.5</v>
      </c>
      <c r="C275" t="n">
        <v>0.101</v>
      </c>
    </row>
    <row r="276">
      <c r="A276" s="105" t="n">
        <v>41333</v>
      </c>
      <c r="B276" t="n">
        <v>50.4</v>
      </c>
      <c r="C276" t="n">
        <v>0.103</v>
      </c>
    </row>
    <row r="277">
      <c r="A277" s="105" t="n">
        <v>41364</v>
      </c>
      <c r="B277" t="n">
        <v>51.6</v>
      </c>
      <c r="C277" t="n">
        <v>0.099</v>
      </c>
    </row>
    <row r="278">
      <c r="A278" s="105" t="n">
        <v>41394</v>
      </c>
      <c r="B278" t="n">
        <v>50.4</v>
      </c>
      <c r="C278" t="n">
        <v>0.089</v>
      </c>
    </row>
    <row r="279">
      <c r="A279" s="105" t="n">
        <v>41425</v>
      </c>
      <c r="B279" t="n">
        <v>49.2</v>
      </c>
      <c r="C279" t="n">
        <v>0.093</v>
      </c>
    </row>
    <row r="280">
      <c r="A280" s="105" t="n">
        <v>41455</v>
      </c>
      <c r="B280" t="n">
        <v>48.2</v>
      </c>
      <c r="C280" t="n">
        <v>0.092</v>
      </c>
    </row>
    <row r="281">
      <c r="A281" s="105" t="n">
        <v>41486</v>
      </c>
      <c r="B281" t="n">
        <v>47.7</v>
      </c>
      <c r="C281" t="n">
        <v>0.089</v>
      </c>
    </row>
    <row r="282">
      <c r="A282" s="105" t="n">
        <v>41517</v>
      </c>
      <c r="B282" t="n">
        <v>50.1</v>
      </c>
      <c r="C282" t="n">
        <v>0.097</v>
      </c>
    </row>
    <row r="283">
      <c r="A283" s="105" t="n">
        <v>41547</v>
      </c>
      <c r="B283" t="n">
        <v>50.2</v>
      </c>
      <c r="C283" t="n">
        <v>0.104</v>
      </c>
    </row>
    <row r="284">
      <c r="A284" s="105" t="n">
        <v>41578</v>
      </c>
      <c r="B284" t="n">
        <v>50.9</v>
      </c>
      <c r="C284" t="n">
        <v>0.102</v>
      </c>
    </row>
    <row r="285">
      <c r="A285" s="105" t="n">
        <v>41608</v>
      </c>
      <c r="B285" t="n">
        <v>50.8</v>
      </c>
      <c r="C285" t="n">
        <v>0.103</v>
      </c>
    </row>
    <row r="286">
      <c r="A286" s="105" t="n">
        <v>41639</v>
      </c>
      <c r="B286" t="n">
        <v>50.5</v>
      </c>
      <c r="C286" t="n">
        <v>0.1</v>
      </c>
    </row>
    <row r="287">
      <c r="A287" s="105" t="n">
        <v>41698</v>
      </c>
      <c r="B287" t="n">
        <v>48.5</v>
      </c>
      <c r="C287" t="n">
        <v>0.097</v>
      </c>
    </row>
    <row r="288">
      <c r="A288" s="105" t="n">
        <v>41729</v>
      </c>
      <c r="B288" t="n">
        <v>48</v>
      </c>
      <c r="C288" t="n">
        <v>0.08599999999999999</v>
      </c>
    </row>
    <row r="289">
      <c r="A289" s="105" t="n">
        <v>41759</v>
      </c>
      <c r="B289" t="n">
        <v>48.1</v>
      </c>
      <c r="C289" t="n">
        <v>0.08799999999999999</v>
      </c>
    </row>
    <row r="290">
      <c r="A290" s="105" t="n">
        <v>41790</v>
      </c>
      <c r="B290" t="n">
        <v>49.4</v>
      </c>
      <c r="C290" t="n">
        <v>0.08699999999999999</v>
      </c>
    </row>
    <row r="291">
      <c r="A291" s="105" t="n">
        <v>41820</v>
      </c>
      <c r="B291" t="n">
        <v>50.7</v>
      </c>
      <c r="C291" t="n">
        <v>0.08799999999999999</v>
      </c>
    </row>
    <row r="292">
      <c r="A292" s="105" t="n">
        <v>41851</v>
      </c>
      <c r="B292" t="n">
        <v>51.7</v>
      </c>
      <c r="C292" t="n">
        <v>0.092</v>
      </c>
    </row>
    <row r="293">
      <c r="A293" s="105" t="n">
        <v>41882</v>
      </c>
      <c r="B293" t="n">
        <v>50.2</v>
      </c>
      <c r="C293" t="n">
        <v>0.09</v>
      </c>
    </row>
    <row r="294">
      <c r="A294" s="105" t="n">
        <v>41912</v>
      </c>
      <c r="B294" t="n">
        <v>51.1</v>
      </c>
      <c r="C294" t="n">
        <v>0.06900000000000001</v>
      </c>
    </row>
    <row r="295">
      <c r="A295" s="105" t="n">
        <v>41943</v>
      </c>
      <c r="B295" t="n">
        <v>50.8</v>
      </c>
      <c r="C295" t="n">
        <v>0.08</v>
      </c>
    </row>
    <row r="296">
      <c r="A296" s="105" t="n">
        <v>41973</v>
      </c>
      <c r="B296" t="n">
        <v>50.3</v>
      </c>
      <c r="C296" t="n">
        <v>0.077</v>
      </c>
    </row>
    <row r="297">
      <c r="A297" s="105" t="n">
        <v>42004</v>
      </c>
      <c r="B297" t="n">
        <v>50.1</v>
      </c>
      <c r="C297" t="n">
        <v>0.07199999999999999</v>
      </c>
    </row>
    <row r="298">
      <c r="A298" s="105" t="n">
        <v>42063</v>
      </c>
      <c r="B298" t="n">
        <v>49.9</v>
      </c>
      <c r="C298" t="n">
        <v>0.079</v>
      </c>
    </row>
    <row r="299">
      <c r="A299" s="105" t="n">
        <v>42094</v>
      </c>
      <c r="B299" t="n">
        <v>50.1</v>
      </c>
      <c r="C299" t="n">
        <v>0.068</v>
      </c>
    </row>
    <row r="300">
      <c r="A300" s="105" t="n">
        <v>42124</v>
      </c>
      <c r="B300" t="n">
        <v>50.1</v>
      </c>
      <c r="C300" t="n">
        <v>0.056</v>
      </c>
    </row>
    <row r="301">
      <c r="A301" s="105" t="n">
        <v>42155</v>
      </c>
      <c r="B301" t="n">
        <v>50.2</v>
      </c>
      <c r="C301" t="n">
        <v>0.059</v>
      </c>
    </row>
    <row r="302">
      <c r="A302" s="105" t="n">
        <v>42185</v>
      </c>
      <c r="B302" t="n">
        <v>50.2</v>
      </c>
      <c r="C302" t="n">
        <v>0.061</v>
      </c>
    </row>
    <row r="303">
      <c r="A303" s="105" t="n">
        <v>42216</v>
      </c>
      <c r="B303" t="n">
        <v>50</v>
      </c>
      <c r="C303" t="n">
        <v>0.068</v>
      </c>
    </row>
    <row r="304">
      <c r="A304" s="105" t="n">
        <v>42247</v>
      </c>
      <c r="B304" t="n">
        <v>47.3</v>
      </c>
      <c r="C304" t="n">
        <v>0.06</v>
      </c>
    </row>
    <row r="305">
      <c r="A305" s="105" t="n">
        <v>42277</v>
      </c>
      <c r="B305" t="n">
        <v>47.2</v>
      </c>
      <c r="C305" t="n">
        <v>0.061</v>
      </c>
    </row>
    <row r="306">
      <c r="A306" s="105" t="n">
        <v>42308</v>
      </c>
      <c r="B306" t="n">
        <v>48.3</v>
      </c>
      <c r="C306" t="n">
        <v>0.057</v>
      </c>
    </row>
    <row r="307">
      <c r="A307" s="105" t="n">
        <v>42338</v>
      </c>
      <c r="B307" t="n">
        <v>48.6</v>
      </c>
      <c r="C307" t="n">
        <v>0.056</v>
      </c>
    </row>
    <row r="308">
      <c r="A308" s="105" t="n">
        <v>42369</v>
      </c>
      <c r="B308" t="n">
        <v>48.2</v>
      </c>
      <c r="C308" t="n">
        <v>0.062</v>
      </c>
    </row>
    <row r="309">
      <c r="A309" s="105" t="n">
        <v>42400</v>
      </c>
      <c r="B309" t="n">
        <v>48.4</v>
      </c>
      <c r="C309" t="n">
        <v>0.059</v>
      </c>
    </row>
    <row r="310">
      <c r="A310" s="105" t="n">
        <v>42460</v>
      </c>
      <c r="B310" t="n">
        <v>49.7</v>
      </c>
      <c r="C310" t="n">
        <v>0.054</v>
      </c>
    </row>
    <row r="311">
      <c r="A311" s="105" t="n">
        <v>42490</v>
      </c>
      <c r="B311" t="n">
        <v>49.4</v>
      </c>
      <c r="C311" t="n">
        <v>0.068</v>
      </c>
    </row>
    <row r="312">
      <c r="A312" s="105" t="n">
        <v>42521</v>
      </c>
      <c r="B312" t="n">
        <v>49.2</v>
      </c>
      <c r="C312" t="n">
        <v>0.06</v>
      </c>
    </row>
    <row r="313">
      <c r="A313" s="105" t="n">
        <v>42551</v>
      </c>
      <c r="B313" t="n">
        <v>48.6</v>
      </c>
      <c r="C313" t="n">
        <v>0.06</v>
      </c>
    </row>
    <row r="314">
      <c r="A314" s="105" t="n">
        <v>42582</v>
      </c>
      <c r="B314" t="n">
        <v>50.6</v>
      </c>
      <c r="C314" t="n">
        <v>0.062</v>
      </c>
    </row>
    <row r="315">
      <c r="A315" s="105" t="n">
        <v>42613</v>
      </c>
      <c r="B315" t="n">
        <v>50</v>
      </c>
      <c r="C315" t="n">
        <v>0.06</v>
      </c>
    </row>
    <row r="316">
      <c r="A316" s="105" t="n">
        <v>42643</v>
      </c>
      <c r="B316" t="n">
        <v>50.1</v>
      </c>
      <c r="C316" t="n">
        <v>0.063</v>
      </c>
    </row>
    <row r="317">
      <c r="A317" s="105" t="n">
        <v>42674</v>
      </c>
      <c r="B317" t="n">
        <v>51.2</v>
      </c>
      <c r="C317" t="n">
        <v>0.061</v>
      </c>
    </row>
    <row r="318">
      <c r="A318" s="105" t="n">
        <v>42704</v>
      </c>
      <c r="B318" t="n">
        <v>50.9</v>
      </c>
      <c r="C318" t="n">
        <v>0.061</v>
      </c>
    </row>
    <row r="319">
      <c r="A319" s="105" t="n">
        <v>42735</v>
      </c>
      <c r="B319" t="n">
        <v>51.9</v>
      </c>
      <c r="C319" t="n">
        <v>0.062</v>
      </c>
    </row>
    <row r="320">
      <c r="A320" s="105" t="n">
        <v>42766</v>
      </c>
      <c r="B320" t="n">
        <v>51</v>
      </c>
      <c r="C320" t="n">
        <v>0.06</v>
      </c>
    </row>
    <row r="321">
      <c r="A321" s="105" t="n">
        <v>42825</v>
      </c>
      <c r="B321" t="n">
        <v>51.2</v>
      </c>
      <c r="C321" t="n">
        <v>0.063</v>
      </c>
    </row>
    <row r="322">
      <c r="A322" s="105" t="n">
        <v>42855</v>
      </c>
      <c r="B322" t="n">
        <v>50.3</v>
      </c>
      <c r="C322" t="n">
        <v>0.076</v>
      </c>
    </row>
    <row r="323">
      <c r="A323" s="105" t="n">
        <v>42886</v>
      </c>
      <c r="B323" t="n">
        <v>49.6</v>
      </c>
      <c r="C323" t="n">
        <v>0.065</v>
      </c>
    </row>
    <row r="324">
      <c r="A324" s="105" t="n">
        <v>42916</v>
      </c>
      <c r="B324" t="n">
        <v>50.4</v>
      </c>
      <c r="C324" t="n">
        <v>0.065</v>
      </c>
    </row>
    <row r="325">
      <c r="A325" s="105" t="n">
        <v>42947</v>
      </c>
      <c r="B325" t="n">
        <v>51.1</v>
      </c>
      <c r="C325" t="n">
        <v>0.076</v>
      </c>
    </row>
    <row r="326">
      <c r="A326" s="105" t="n">
        <v>42978</v>
      </c>
      <c r="B326" t="n">
        <v>51.6</v>
      </c>
      <c r="C326" t="n">
        <v>0.064</v>
      </c>
    </row>
    <row r="327">
      <c r="A327" s="105" t="n">
        <v>43008</v>
      </c>
      <c r="B327" t="n">
        <v>51</v>
      </c>
      <c r="C327" t="n">
        <v>0.06</v>
      </c>
    </row>
    <row r="328">
      <c r="A328" s="105" t="n">
        <v>43039</v>
      </c>
      <c r="B328" t="n">
        <v>51</v>
      </c>
      <c r="C328" t="n">
        <v>0.066</v>
      </c>
    </row>
    <row r="329">
      <c r="A329" s="105" t="n">
        <v>43069</v>
      </c>
      <c r="B329" t="n">
        <v>50.8</v>
      </c>
      <c r="C329" t="n">
        <v>0.062</v>
      </c>
    </row>
    <row r="330">
      <c r="A330" s="105" t="n">
        <v>43100</v>
      </c>
      <c r="B330" t="n">
        <v>51.5</v>
      </c>
      <c r="C330" t="n">
        <v>0.061</v>
      </c>
    </row>
    <row r="331">
      <c r="A331" s="105" t="n">
        <v>43159</v>
      </c>
      <c r="B331" t="n">
        <v>51.5</v>
      </c>
      <c r="C331" t="n">
        <v>0.062</v>
      </c>
    </row>
    <row r="332">
      <c r="A332" s="105" t="n">
        <v>43190</v>
      </c>
      <c r="B332" t="n">
        <v>51</v>
      </c>
      <c r="C332" t="n">
        <v>0.07199999999999999</v>
      </c>
    </row>
    <row r="333">
      <c r="A333" s="105" t="n">
        <v>43220</v>
      </c>
      <c r="B333" t="n">
        <v>51.1</v>
      </c>
      <c r="C333" t="n">
        <v>0.06</v>
      </c>
    </row>
    <row r="334">
      <c r="A334" s="105" t="n">
        <v>43251</v>
      </c>
      <c r="B334" t="n">
        <v>51.1</v>
      </c>
      <c r="C334" t="n">
        <v>0.07000000000000001</v>
      </c>
    </row>
    <row r="335">
      <c r="A335" s="105" t="n">
        <v>43281</v>
      </c>
      <c r="B335" t="n">
        <v>51</v>
      </c>
      <c r="C335" t="n">
        <v>0.068</v>
      </c>
    </row>
    <row r="336">
      <c r="A336" s="105" t="n">
        <v>43312</v>
      </c>
      <c r="B336" t="n">
        <v>50.8</v>
      </c>
      <c r="C336" t="n">
        <v>0.06</v>
      </c>
    </row>
    <row r="337">
      <c r="A337" s="105" t="n">
        <v>43343</v>
      </c>
      <c r="B337" t="n">
        <v>50.6</v>
      </c>
      <c r="C337" t="n">
        <v>0.06</v>
      </c>
    </row>
    <row r="338">
      <c r="A338" s="105" t="n">
        <v>43373</v>
      </c>
      <c r="B338" t="n">
        <v>50</v>
      </c>
      <c r="C338" t="n">
        <v>0.061</v>
      </c>
    </row>
    <row r="339">
      <c r="A339" s="105" t="n">
        <v>43404</v>
      </c>
      <c r="B339" t="n">
        <v>50.1</v>
      </c>
      <c r="C339" t="n">
        <v>0.058</v>
      </c>
    </row>
    <row r="340">
      <c r="A340" s="105" t="n">
        <v>43434</v>
      </c>
      <c r="B340" t="n">
        <v>50.2</v>
      </c>
      <c r="C340" t="n">
        <v>0.059</v>
      </c>
    </row>
    <row r="341">
      <c r="A341" s="105" t="n">
        <v>43465</v>
      </c>
      <c r="B341" t="n">
        <v>49.7</v>
      </c>
      <c r="C341" t="n">
        <v>0.054</v>
      </c>
    </row>
    <row r="342">
      <c r="A342" s="105" t="n">
        <v>43496</v>
      </c>
      <c r="B342" t="n">
        <v>48.3</v>
      </c>
      <c r="C342" t="n">
        <v>0.057</v>
      </c>
    </row>
    <row r="343">
      <c r="A343" s="105" t="n">
        <v>43524</v>
      </c>
      <c r="B343" t="n">
        <v>49.9</v>
      </c>
      <c r="C343" t="n">
        <v>0.053</v>
      </c>
    </row>
    <row r="344">
      <c r="A344" s="105" t="n">
        <v>43555</v>
      </c>
      <c r="B344" t="n">
        <v>50.8</v>
      </c>
      <c r="C344" t="n">
        <v>0.08500000000000001</v>
      </c>
    </row>
    <row r="345">
      <c r="A345" s="105" t="n">
        <v>43585</v>
      </c>
      <c r="B345" t="n">
        <v>50.2</v>
      </c>
      <c r="C345" t="n">
        <v>0.054</v>
      </c>
    </row>
    <row r="346">
      <c r="A346" s="105" t="n">
        <v>43616</v>
      </c>
      <c r="B346" t="n">
        <v>50.2</v>
      </c>
      <c r="C346" t="n">
        <v>0.054</v>
      </c>
    </row>
    <row r="347">
      <c r="A347" s="105" t="n">
        <v>43646</v>
      </c>
      <c r="B347" t="n">
        <v>49.4</v>
      </c>
      <c r="C347" t="n">
        <v>0.05</v>
      </c>
    </row>
    <row r="348">
      <c r="A348" s="105" t="n">
        <v>43677</v>
      </c>
      <c r="B348" t="n">
        <v>49.9</v>
      </c>
      <c r="C348" t="n">
        <v>0.063</v>
      </c>
    </row>
    <row r="349">
      <c r="A349" s="105" t="n">
        <v>43708</v>
      </c>
      <c r="B349" t="n">
        <v>50.4</v>
      </c>
      <c r="C349" t="n">
        <v>0.048</v>
      </c>
    </row>
    <row r="350">
      <c r="A350" s="105" t="n">
        <v>43738</v>
      </c>
      <c r="B350" t="n">
        <v>51.4</v>
      </c>
      <c r="C350" t="n">
        <v>0.044</v>
      </c>
    </row>
    <row r="351">
      <c r="A351" s="105" t="n">
        <v>43769</v>
      </c>
      <c r="B351" t="n">
        <v>51.7</v>
      </c>
      <c r="C351" t="n">
        <v>0.058</v>
      </c>
    </row>
    <row r="352">
      <c r="A352" s="105" t="n">
        <v>43799</v>
      </c>
      <c r="B352" t="n">
        <v>51.8</v>
      </c>
      <c r="C352" t="n">
        <v>0.047</v>
      </c>
    </row>
    <row r="353">
      <c r="A353" s="105" t="n">
        <v>43830</v>
      </c>
      <c r="B353" t="n">
        <v>51.5</v>
      </c>
      <c r="C353" t="n">
        <v>0.062</v>
      </c>
    </row>
    <row r="354">
      <c r="A354" s="105" t="n">
        <v>43890</v>
      </c>
      <c r="B354" t="n">
        <v>51.1</v>
      </c>
      <c r="C354" t="n">
        <v>0.06900000000000001</v>
      </c>
    </row>
    <row r="355">
      <c r="A355" s="105" t="n">
        <v>43921</v>
      </c>
      <c r="B355" t="n">
        <v>40.3</v>
      </c>
      <c r="C355" t="n">
        <v>-0.135</v>
      </c>
    </row>
    <row r="356">
      <c r="A356" s="105" t="n">
        <v>43951</v>
      </c>
      <c r="B356" t="n">
        <v>50.1</v>
      </c>
      <c r="C356" t="n">
        <v>-0.011</v>
      </c>
    </row>
    <row r="357" ht="16" customHeight="1">
      <c r="A357" s="105" t="n">
        <v>43982</v>
      </c>
      <c r="B357" t="n">
        <v>49.4</v>
      </c>
      <c r="C357" t="n">
        <v>0.039</v>
      </c>
    </row>
    <row r="358" ht="16" customHeight="1">
      <c r="A358" s="105" t="n">
        <v>44012</v>
      </c>
      <c r="B358" t="n">
        <v>50.7</v>
      </c>
      <c r="C358" t="n">
        <v>0.044</v>
      </c>
    </row>
    <row r="359" ht="16" customHeight="1">
      <c r="A359" s="105" t="n">
        <v>44043</v>
      </c>
      <c r="B359" t="n">
        <v>51.2</v>
      </c>
      <c r="C359" t="n">
        <v>0.048</v>
      </c>
    </row>
    <row r="360" ht="16" customHeight="1">
      <c r="A360" s="105" t="n">
        <v>44074</v>
      </c>
      <c r="B360" t="n">
        <v>52.8</v>
      </c>
      <c r="C360" t="n">
        <v>0.048</v>
      </c>
    </row>
    <row r="361" ht="16" customHeight="1">
      <c r="A361" s="105" t="n">
        <v>44104</v>
      </c>
      <c r="B361" t="n">
        <v>53.1</v>
      </c>
      <c r="C361" t="n">
        <v>0.056</v>
      </c>
    </row>
    <row r="362" ht="16" customHeight="1">
      <c r="A362" s="105" t="n">
        <v>44135</v>
      </c>
      <c r="B362" t="n">
        <v>53</v>
      </c>
      <c r="C362" t="n">
        <v>0.06900000000000001</v>
      </c>
    </row>
    <row r="363" ht="16" customHeight="1">
      <c r="A363" s="105" t="n">
        <v>44165</v>
      </c>
      <c r="B363" t="n">
        <v>53.6</v>
      </c>
      <c r="C363" t="n">
        <v>0.06900000000000001</v>
      </c>
    </row>
    <row r="364" ht="16" customHeight="1">
      <c r="A364" s="105" t="n">
        <v>44196</v>
      </c>
      <c r="B364" t="n">
        <v>49.9</v>
      </c>
      <c r="C364" t="n">
        <v>0.07000000000000001</v>
      </c>
    </row>
    <row r="365" ht="16" customHeight="1">
      <c r="A365" s="105" t="n">
        <v>44227</v>
      </c>
      <c r="B365" t="n">
        <v>51.5</v>
      </c>
      <c r="C365" t="n">
        <v>0.038</v>
      </c>
    </row>
    <row r="366" ht="16" customHeight="1">
      <c r="A366" s="105" t="n">
        <v>44255</v>
      </c>
      <c r="B366" t="n">
        <v>50.9</v>
      </c>
      <c r="C366" t="n">
        <v>0.351</v>
      </c>
    </row>
    <row r="367" ht="16" customHeight="1">
      <c r="A367" s="105" t="n">
        <v>44286</v>
      </c>
      <c r="B367" t="n">
        <v>50.6</v>
      </c>
      <c r="C367" t="n">
        <v>0.141</v>
      </c>
    </row>
    <row r="368">
      <c r="A368" s="105" t="n">
        <v>44316</v>
      </c>
      <c r="B368" t="n">
        <v>51.9</v>
      </c>
      <c r="C368" t="n">
        <v>0.098</v>
      </c>
    </row>
    <row r="369">
      <c r="A369" s="105" t="n">
        <v>44347</v>
      </c>
      <c r="B369" t="n">
        <v>52</v>
      </c>
      <c r="C369" t="n">
        <v>0.08799999999999999</v>
      </c>
    </row>
    <row r="370">
      <c r="A370" s="105" t="n">
        <v>44377</v>
      </c>
      <c r="B370" t="n">
        <v>51.3</v>
      </c>
      <c r="C370" t="n">
        <v>0.083</v>
      </c>
    </row>
    <row r="371">
      <c r="A371" s="105" t="n">
        <v>44408</v>
      </c>
      <c r="B371" t="n">
        <v>50.3</v>
      </c>
      <c r="C371" t="n">
        <v>0.064</v>
      </c>
    </row>
    <row r="372">
      <c r="A372" s="105" t="n">
        <v>44439</v>
      </c>
      <c r="B372" t="n">
        <v>49.2</v>
      </c>
      <c r="C372" t="n">
        <v>0.053</v>
      </c>
    </row>
    <row r="373">
      <c r="A373" s="105" t="n">
        <v>44468</v>
      </c>
      <c r="B373" t="n">
        <v>50</v>
      </c>
    </row>
    <row r="374">
      <c r="A374" s="105" t="n">
        <v>44469</v>
      </c>
      <c r="B374" t="n">
        <v>50</v>
      </c>
      <c r="C374" t="n">
        <v>0.031</v>
      </c>
    </row>
    <row r="375">
      <c r="A375" s="105" t="n">
        <v>44500</v>
      </c>
      <c r="B375" t="n">
        <v>50.6</v>
      </c>
      <c r="C375" t="n">
        <v>0.035</v>
      </c>
    </row>
    <row r="376">
      <c r="A376" s="105" t="n">
        <v>44530</v>
      </c>
      <c r="B376" t="n">
        <v>49.9</v>
      </c>
      <c r="C376" t="n">
        <v>0.038</v>
      </c>
    </row>
    <row r="377">
      <c r="A377" s="105" t="n">
        <v>44561</v>
      </c>
      <c r="B377" t="n">
        <v>50.9</v>
      </c>
      <c r="C377" t="n">
        <v>0.043</v>
      </c>
    </row>
    <row r="378">
      <c r="A378" s="105" t="n">
        <v>44590</v>
      </c>
      <c r="B378" t="n">
        <v>49.1</v>
      </c>
      <c r="C378" t="n">
        <v>0.075</v>
      </c>
    </row>
    <row r="379">
      <c r="A379" s="105" t="n">
        <v>44620</v>
      </c>
      <c r="B379" t="n">
        <v>50.4</v>
      </c>
      <c r="C379" t="n">
        <v>0.075</v>
      </c>
    </row>
    <row r="380">
      <c r="A380" s="105" t="n">
        <v>44651</v>
      </c>
      <c r="B380" t="n">
        <v>48.1</v>
      </c>
      <c r="C380" t="n">
        <v>0.05</v>
      </c>
    </row>
    <row r="381">
      <c r="A381" s="105" t="n">
        <v>44680</v>
      </c>
      <c r="B381" t="n">
        <v>46</v>
      </c>
      <c r="C381" t="n">
        <v>-0.029</v>
      </c>
    </row>
    <row r="382">
      <c r="A382" s="105" t="n">
        <v>44712</v>
      </c>
      <c r="B382" t="n">
        <v>48.1</v>
      </c>
      <c r="C382" t="n">
        <v>0.006999999999999999</v>
      </c>
    </row>
    <row r="383">
      <c r="A383" s="105" t="n">
        <v>44742</v>
      </c>
      <c r="B383" t="n">
        <v>51.7</v>
      </c>
      <c r="C383" t="n">
        <v>0.039</v>
      </c>
    </row>
    <row r="384">
      <c r="A384" s="105" t="n">
        <v>44773</v>
      </c>
      <c r="B384" t="n">
        <v>50.4</v>
      </c>
      <c r="C384" t="n">
        <v>0.038</v>
      </c>
    </row>
    <row r="385">
      <c r="A385" s="105" t="n">
        <v>44804</v>
      </c>
      <c r="B385" t="n">
        <v>49.5</v>
      </c>
      <c r="C385" t="n">
        <v>0.042</v>
      </c>
    </row>
    <row r="386">
      <c r="A386" s="105" t="n">
        <v>44833</v>
      </c>
      <c r="B386" t="n">
        <v>48.1</v>
      </c>
      <c r="C386" t="n">
        <v>0.063</v>
      </c>
    </row>
    <row r="387">
      <c r="A387" s="105" t="n">
        <v>44834</v>
      </c>
      <c r="B387" t="n">
        <v>48.1</v>
      </c>
    </row>
    <row r="388">
      <c r="A388" s="105" t="n">
        <v>44865</v>
      </c>
      <c r="B388" t="n">
        <v>49.2</v>
      </c>
      <c r="C388" t="n">
        <v>0.05</v>
      </c>
    </row>
    <row r="389">
      <c r="A389" s="105" t="n">
        <v>44895</v>
      </c>
      <c r="B389" t="n">
        <v>49.4</v>
      </c>
      <c r="C389" t="n">
        <v>0.022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30" zoomScaleNormal="130" workbookViewId="0">
      <selection activeCell="I17" sqref="I17"/>
    </sheetView>
  </sheetViews>
  <sheetFormatPr baseColWidth="8" defaultColWidth="9.1796875" defaultRowHeight="14.5"/>
  <cols>
    <col width="9.1796875" customWidth="1" style="86" min="1" max="1"/>
    <col width="2.1796875" customWidth="1" style="86" min="2" max="2"/>
    <col width="27.36328125" customWidth="1" style="86" min="3" max="3"/>
    <col width="32.6328125" customWidth="1" style="101" min="4" max="6"/>
    <col width="9.1796875" customWidth="1" style="86" min="7" max="53"/>
    <col width="9.1796875" customWidth="1" style="86" min="54" max="16384"/>
  </cols>
  <sheetData>
    <row r="1">
      <c r="B1" s="100" t="inlineStr">
        <is>
          <t>https://www.theglobaleconomy.com/rankings/Capital_investment/</t>
        </is>
      </c>
    </row>
    <row r="2" ht="16" customHeight="1" thickBot="1">
      <c r="B2" s="88" t="n"/>
      <c r="C2" s="88" t="n"/>
      <c r="D2" s="88" t="n"/>
      <c r="E2" s="88" t="n"/>
      <c r="F2" s="88" t="n"/>
    </row>
    <row r="3" ht="16" customHeight="1" thickBot="1">
      <c r="B3" s="89" t="inlineStr">
        <is>
          <t>Global Industrial Production</t>
        </is>
      </c>
      <c r="C3" s="90" t="n"/>
      <c r="D3" s="90" t="n"/>
      <c r="E3" s="90" t="n"/>
      <c r="F3" s="91" t="n"/>
    </row>
    <row r="7" ht="20" customHeight="1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3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2" t="n"/>
      <c r="D30" s="103" t="n"/>
      <c r="E30" s="101" t="n"/>
      <c r="F30" s="101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7"/>
  <sheetViews>
    <sheetView zoomScale="130" zoomScaleNormal="130" workbookViewId="0">
      <pane xSplit="2" ySplit="9" topLeftCell="C394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AB405" sqref="AB405"/>
    </sheetView>
  </sheetViews>
  <sheetFormatPr baseColWidth="8" defaultColWidth="8.81640625" defaultRowHeight="14.5"/>
  <cols>
    <col width="10.6328125" bestFit="1" customWidth="1" style="86" min="1" max="1"/>
    <col width="13.6328125" customWidth="1" min="2" max="2"/>
    <col width="7.1796875" customWidth="1" min="3" max="3"/>
    <col width="7" customWidth="1" min="4" max="4"/>
    <col width="6.1796875" customWidth="1" min="5" max="11"/>
    <col hidden="1" width="6.36328125" customWidth="1" min="12" max="13"/>
    <col hidden="1" width="6.1796875" customWidth="1" min="14" max="14"/>
    <col width="7.6328125" customWidth="1" min="15" max="15"/>
    <col width="6.1796875" customWidth="1" min="16" max="16"/>
    <col width="7" customWidth="1" min="17" max="17"/>
    <col width="6.1796875" customWidth="1" min="18" max="20"/>
    <col width="6.6328125" customWidth="1" min="21" max="21"/>
    <col width="6.1796875" customWidth="1" min="22" max="22"/>
    <col width="6.1796875" customWidth="1" style="86" min="23" max="23"/>
    <col width="15.36328125" customWidth="1" style="86" min="24" max="25"/>
    <col width="10.6328125" bestFit="1" customWidth="1" style="86" min="26" max="26"/>
    <col width="9.179687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44805</v>
      </c>
    </row>
    <row r="3" ht="75.75" customHeight="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6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6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6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 t="n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2"/>
  <sheetViews>
    <sheetView zoomScale="80" zoomScaleNormal="80" workbookViewId="0">
      <pane ySplit="1" topLeftCell="A338" activePane="bottomLeft" state="frozen"/>
      <selection pane="bottomLeft" activeCell="AT390" sqref="AT390"/>
    </sheetView>
  </sheetViews>
  <sheetFormatPr baseColWidth="8" defaultColWidth="8.81640625" defaultRowHeight="14.5"/>
  <cols>
    <col width="9.1796875" customWidth="1" style="1" min="1" max="1"/>
    <col width="12.6328125" bestFit="1" customWidth="1" min="2" max="2"/>
    <col width="11.6328125" customWidth="1" style="7" min="3" max="3"/>
    <col width="11.6328125" customWidth="1" style="6" min="4" max="4"/>
    <col width="12.81640625" customWidth="1" min="18" max="18"/>
    <col width="10.6328125" bestFit="1" customWidth="1" min="19" max="19"/>
    <col width="14.6328125" customWidth="1" min="20" max="20"/>
    <col width="31.36328125" customWidth="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6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6">
      <c r="A395" s="21" t="n">
        <v>44835</v>
      </c>
      <c r="B395" s="76">
        <f>IF(VLOOKUP(A395,Database!$A:$AS,MATCH($B$1,Database!$A$1:$AS$1,0),FALSE)=0,#N/A,VLOOKUP(A395,Database!$A:$AS,MATCH($B$1,Database!$A$1:$AS$1,0),FALSE))</f>
        <v/>
      </c>
      <c r="C395" s="76">
        <f>IF(VLOOKUP(A395,Database!$A:$AS,MATCH($C$1,Database!$A$1:$AS$1,0),FALSE)=0,#N/A,VLOOKUP(A395,Database!$A:$AS,MATCH($C$1,Database!$A$1:$AS$1,0),FALSE))</f>
        <v/>
      </c>
      <c r="D395" s="76">
        <f>IF(VLOOKUP(A395,Database!$A:$AS,MATCH($D$1,Database!$A$1:$AS$1,0),FALSE)=0,#N/A,VLOOKUP(A395,Database!$A:$AS,MATCH($D$1,Database!$A$1:$AS$1,0),FALSE))</f>
        <v/>
      </c>
      <c r="E395" s="76">
        <f>IF(VLOOKUP(A395,Database!$A:$AS,MATCH($E$1,Database!$A$1:$AS$1,0),FALSE)=0,#N/A,VLOOKUP(A395,Database!$A:$AS,MATCH($E$1,Database!$A$1:$AS$1,0),FALSE))</f>
        <v/>
      </c>
      <c r="F395" s="76">
        <f>IF(VLOOKUP(A395,Database!$A:$AS,MATCH($F$1,Database!$A$1:$AS$1,0),FALSE)=0,#N/A,VLOOKUP(A395,Database!$A:$AS,MATCH($F$1,Database!$A$1:$AS$1,0),FALSE))</f>
        <v/>
      </c>
      <c r="G395" s="76">
        <f>IF(VLOOKUP(A395,Database!$A:$AS,MATCH($G$1,Database!$A$1:$AS$1,0),FALSE)=0,#N/A,VLOOKUP(A395,Database!$A:$AS,MATCH($G$1,Database!$A$1:$AS$1,0),FALSE))</f>
        <v/>
      </c>
      <c r="H395" s="76">
        <f>(((Table134567891011121314151617343[[#This Row],[ITA]]-VLOOKUP($U$1,A:B,2,))/VLOOKUP($U$1,A:B,2,))*100)+100</f>
        <v/>
      </c>
      <c r="I395" s="76">
        <f>(((Table134567891011121314151617343[[#This Row],[FRA]]-VLOOKUP($U$1,A:C,3,))/VLOOKUP($U$1,A:C,3,))*100)+100</f>
        <v/>
      </c>
      <c r="J395" s="76">
        <f>(((Table134567891011121314151617343[[#This Row],[DEU]]-VLOOKUP($U$1,A:D,4,))/VLOOKUP($U$1,A:D,4,))*100)+100</f>
        <v/>
      </c>
      <c r="K395" s="76">
        <f>(((Table134567891011121314151617343[[#This Row],[ESP]]-VLOOKUP($U$1,A:E,5,))/VLOOKUP($U$1,A:E,5,))*100)+100</f>
        <v/>
      </c>
      <c r="L395" s="76">
        <f>(((Table134567891011121314151617343[[#This Row],[EA19]]-VLOOKUP($U$1,A:F,6,))/VLOOKUP($U$1,A:F,6,))*100)+100</f>
        <v/>
      </c>
      <c r="M395" s="76">
        <f>(((Table134567891011121314151617343[[#This Row],[GBR]]-VLOOKUP($U$1,A:G,7,))/VLOOKUP($U$1,A:G,7,))*100)+100</f>
        <v/>
      </c>
      <c r="N395" s="76">
        <f>IF(VLOOKUP(A395,Database!$A:$AU,MATCH($N$1,Database!$A$1:$AU$1,0),FALSE)=0,#N/A,VLOOKUP(A395,Database!$A:$AU,MATCH($N$1,Database!$A$1:$AU$1,0),FALSE))</f>
        <v/>
      </c>
      <c r="O395" s="76">
        <f>(((Table134567891011121314151617343[[#This Row],[USA]]-VLOOKUP($U$1,A:N,14,))/VLOOKUP($U$1,A:N,14,))*100)+100</f>
        <v/>
      </c>
      <c r="P395" s="76">
        <f>IF(VLOOKUP(A395,Database!$A:$AS,MATCH($P$1,Database!$A$1:$AS$1,0),FALSE)=0,#N/A,VLOOKUP(A395,Database!$A:$AS,MATCH($P$1,Database!$A$1:$AS$1,0),FALSE))</f>
        <v/>
      </c>
      <c r="Q395" s="76">
        <f>(((Table134567891011121314151617343[[#This Row],[JPN]]-VLOOKUP($U$1,A:Q,16,))/VLOOKUP($U$1,A:Q,16,))*100)+100</f>
        <v/>
      </c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  <row r="870">
      <c r="A870" s="16" t="n"/>
      <c r="B870" s="86" t="n"/>
      <c r="C870" s="35" t="n"/>
      <c r="D870" s="36" t="n"/>
      <c r="E870" s="86" t="n"/>
      <c r="F870" s="86" t="n"/>
      <c r="G870" s="86" t="n"/>
      <c r="H870" s="86" t="n"/>
      <c r="I870" s="86" t="n"/>
      <c r="J870" s="86" t="n"/>
      <c r="K870" s="86" t="n"/>
      <c r="L870" s="86" t="n"/>
      <c r="M870" s="86" t="n"/>
      <c r="N870" s="86" t="n"/>
      <c r="O870" s="86" t="n"/>
      <c r="P870" s="86" t="n"/>
      <c r="Q870" s="86" t="n"/>
    </row>
    <row r="871">
      <c r="A871" s="16" t="n"/>
      <c r="B871" s="86" t="n"/>
      <c r="C871" s="35" t="n"/>
      <c r="D871" s="36" t="n"/>
      <c r="E871" s="86" t="n"/>
      <c r="F871" s="86" t="n"/>
      <c r="G871" s="86" t="n"/>
      <c r="H871" s="86" t="n"/>
      <c r="I871" s="86" t="n"/>
      <c r="J871" s="86" t="n"/>
      <c r="K871" s="86" t="n"/>
      <c r="L871" s="86" t="n"/>
      <c r="M871" s="86" t="n"/>
      <c r="N871" s="86" t="n"/>
      <c r="O871" s="86" t="n"/>
      <c r="P871" s="86" t="n"/>
      <c r="Q871" s="86" t="n"/>
    </row>
    <row r="872">
      <c r="A872" s="16" t="n"/>
      <c r="B872" s="86" t="n"/>
      <c r="C872" s="35" t="n"/>
      <c r="D872" s="36" t="n"/>
      <c r="E872" s="86" t="n"/>
      <c r="F872" s="86" t="n"/>
      <c r="G872" s="86" t="n"/>
      <c r="H872" s="86" t="n"/>
      <c r="I872" s="86" t="n"/>
      <c r="J872" s="86" t="n"/>
      <c r="K872" s="86" t="n"/>
      <c r="L872" s="86" t="n"/>
      <c r="M872" s="86" t="n"/>
      <c r="N872" s="86" t="n"/>
      <c r="O872" s="86" t="n"/>
      <c r="P872" s="86" t="n"/>
      <c r="Q872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20" zoomScaleNormal="120" workbookViewId="0">
      <pane ySplit="4" topLeftCell="A352" activePane="bottomLeft" state="frozen"/>
      <selection activeCell="P16" sqref="P16"/>
      <selection pane="bottomLeft" activeCell="AC372" sqref="AC372"/>
    </sheetView>
  </sheetViews>
  <sheetFormatPr baseColWidth="8" defaultColWidth="8.81640625" defaultRowHeight="14.5"/>
  <cols>
    <col width="14.1796875" customWidth="1" style="1" min="1" max="1"/>
    <col width="12.6328125" bestFit="1" customWidth="1" min="2" max="2"/>
    <col width="11.6328125" customWidth="1" style="9" min="3" max="4"/>
    <col width="9.179687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6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6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6">
      <c r="A388" s="21" t="n">
        <v>44866</v>
      </c>
      <c r="B388" s="76">
        <f>VLOOKUP(A388,Database!$A:$AU,MATCH($B$4,Database!$A$1:$AU$1,0),FALSE)</f>
        <v/>
      </c>
      <c r="C388" s="22">
        <f>(Table13456789101112131415161734[[#This Row],[USA]]-B387)/B387</f>
        <v/>
      </c>
      <c r="D388" s="23">
        <f>(Table13456789101112131415161734[[#This Row],[USA]]-B376)/B376</f>
        <v/>
      </c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6"/>
  <sheetViews>
    <sheetView zoomScale="80" zoomScaleNormal="80" workbookViewId="0">
      <pane ySplit="7" topLeftCell="A320" activePane="bottomLeft" state="frozen"/>
      <selection activeCell="H30" sqref="H30:H31"/>
      <selection pane="bottomLeft" activeCell="AD389" sqref="AD389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5.6328125" customWidth="1" style="79" min="3" max="3"/>
    <col width="10.6328125" bestFit="1" customWidth="1" style="86" min="4" max="4"/>
    <col width="9.1796875" customWidth="1" style="86" min="5" max="51"/>
    <col width="9.1796875" customWidth="1" style="86" min="52" max="16384"/>
  </cols>
  <sheetData>
    <row r="1">
      <c r="A1" s="72" t="inlineStr">
        <is>
          <t>https://www.investing.com/economic-calendar/chinese-industrial-production-462</t>
        </is>
      </c>
    </row>
    <row r="6" ht="16" customHeight="1" thickBot="1"/>
    <row r="7" ht="44.25" customHeight="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data'!$A$1:$C$507,3,FALSE)</f>
        <v/>
      </c>
    </row>
    <row r="9">
      <c r="A9" s="73" t="n">
        <v>32993</v>
      </c>
      <c r="B9" s="67">
        <f>VLOOKUP(A9,'China Production data'!$A$1:$C$507,3,FALSE)</f>
        <v/>
      </c>
    </row>
    <row r="10">
      <c r="A10" s="74" t="n">
        <v>33024</v>
      </c>
      <c r="B10" s="67">
        <f>VLOOKUP(A10,'China Production data'!$A$1:$C$507,3,FALSE)</f>
        <v/>
      </c>
    </row>
    <row r="11">
      <c r="A11" s="73" t="n">
        <v>33054</v>
      </c>
      <c r="B11" s="67">
        <f>VLOOKUP(A11,'China Production data'!$A$1:$C$507,3,FALSE)</f>
        <v/>
      </c>
    </row>
    <row r="12">
      <c r="A12" s="74" t="n">
        <v>33085</v>
      </c>
      <c r="B12" s="67">
        <f>VLOOKUP(A12,'China Production data'!$A$1:$C$507,3,FALSE)</f>
        <v/>
      </c>
    </row>
    <row r="13">
      <c r="A13" s="73" t="n">
        <v>33116</v>
      </c>
      <c r="B13" s="67">
        <f>VLOOKUP(A13,'China Production data'!$A$1:$C$507,3,FALSE)</f>
        <v/>
      </c>
    </row>
    <row r="14">
      <c r="A14" s="74" t="n">
        <v>33146</v>
      </c>
      <c r="B14" s="67">
        <f>VLOOKUP(A14,'China Production data'!$A$1:$C$507,3,FALSE)</f>
        <v/>
      </c>
    </row>
    <row r="15">
      <c r="A15" s="73" t="n">
        <v>33177</v>
      </c>
      <c r="B15" s="67">
        <f>VLOOKUP(A15,'China Production data'!$A$1:$C$507,3,FALSE)</f>
        <v/>
      </c>
    </row>
    <row r="16">
      <c r="A16" s="74" t="n">
        <v>33207</v>
      </c>
      <c r="B16" s="67">
        <f>VLOOKUP(A16,'China Production data'!$A$1:$C$507,3,FALSE)</f>
        <v/>
      </c>
    </row>
    <row r="17">
      <c r="A17" s="73" t="n">
        <v>33238</v>
      </c>
      <c r="B17" s="67">
        <f>VLOOKUP(A17,'China Production data'!$A$1:$C$507,3,FALSE)</f>
        <v/>
      </c>
    </row>
    <row r="18">
      <c r="A18" s="74" t="n">
        <v>33269</v>
      </c>
      <c r="B18" s="67">
        <f>VLOOKUP(A18,'China Production data'!$A$1:$C$507,3,FALSE)</f>
        <v/>
      </c>
    </row>
    <row r="19">
      <c r="A19" s="73" t="n">
        <v>33297</v>
      </c>
      <c r="B19" s="67">
        <f>VLOOKUP(A19,'China Production data'!$A$1:$C$507,3,FALSE)</f>
        <v/>
      </c>
    </row>
    <row r="20">
      <c r="A20" s="74" t="n">
        <v>33328</v>
      </c>
      <c r="B20" s="67">
        <f>VLOOKUP(A20,'China Production data'!$A$1:$C$507,3,FALSE)</f>
        <v/>
      </c>
    </row>
    <row r="21">
      <c r="A21" s="73" t="n">
        <v>33358</v>
      </c>
      <c r="B21" s="67">
        <f>VLOOKUP(A21,'China Production data'!$A$1:$C$507,3,FALSE)</f>
        <v/>
      </c>
    </row>
    <row r="22">
      <c r="A22" s="74" t="n">
        <v>33389</v>
      </c>
      <c r="B22" s="67">
        <f>VLOOKUP(A22,'China Production data'!$A$1:$C$507,3,FALSE)</f>
        <v/>
      </c>
    </row>
    <row r="23">
      <c r="A23" s="73" t="n">
        <v>33419</v>
      </c>
      <c r="B23" s="67">
        <f>VLOOKUP(A23,'China Production data'!$A$1:$C$507,3,FALSE)</f>
        <v/>
      </c>
    </row>
    <row r="24">
      <c r="A24" s="74" t="n">
        <v>33450</v>
      </c>
      <c r="B24" s="67">
        <f>VLOOKUP(A24,'China Production data'!$A$1:$C$507,3,FALSE)</f>
        <v/>
      </c>
    </row>
    <row r="25">
      <c r="A25" s="73" t="n">
        <v>33481</v>
      </c>
      <c r="B25" s="67">
        <f>VLOOKUP(A25,'China Production data'!$A$1:$C$507,3,FALSE)</f>
        <v/>
      </c>
    </row>
    <row r="26">
      <c r="A26" s="74" t="n">
        <v>33511</v>
      </c>
      <c r="B26" s="67">
        <f>VLOOKUP(A26,'China Production data'!$A$1:$C$507,3,FALSE)</f>
        <v/>
      </c>
    </row>
    <row r="27">
      <c r="A27" s="73" t="n">
        <v>33542</v>
      </c>
      <c r="B27" s="67">
        <f>VLOOKUP(A27,'China Production data'!$A$1:$C$507,3,FALSE)</f>
        <v/>
      </c>
    </row>
    <row r="28">
      <c r="A28" s="74" t="n">
        <v>33572</v>
      </c>
      <c r="B28" s="67">
        <f>VLOOKUP(A28,'China Production data'!$A$1:$C$507,3,FALSE)</f>
        <v/>
      </c>
    </row>
    <row r="29">
      <c r="A29" s="73" t="n">
        <v>33603</v>
      </c>
      <c r="B29" s="67">
        <f>VLOOKUP(A29,'China Production data'!$A$1:$C$507,3,FALSE)</f>
        <v/>
      </c>
    </row>
    <row r="30">
      <c r="A30" s="74" t="n">
        <v>33634</v>
      </c>
      <c r="B30" s="67">
        <f>VLOOKUP(A30,'China Production data'!$A$1:$C$507,3,FALSE)</f>
        <v/>
      </c>
    </row>
    <row r="31">
      <c r="A31" s="73" t="n">
        <v>33663</v>
      </c>
      <c r="B31" s="67">
        <f>VLOOKUP(A31,'China Production data'!$A$1:$C$507,3,FALSE)</f>
        <v/>
      </c>
    </row>
    <row r="32">
      <c r="A32" s="74" t="n">
        <v>33694</v>
      </c>
      <c r="B32" s="67">
        <f>VLOOKUP(A32,'China Production data'!$A$1:$C$507,3,FALSE)</f>
        <v/>
      </c>
    </row>
    <row r="33">
      <c r="A33" s="73" t="n">
        <v>33724</v>
      </c>
      <c r="B33" s="67">
        <f>VLOOKUP(A33,'China Production data'!$A$1:$C$507,3,FALSE)</f>
        <v/>
      </c>
    </row>
    <row r="34">
      <c r="A34" s="74" t="n">
        <v>33755</v>
      </c>
      <c r="B34" s="67">
        <f>VLOOKUP(A34,'China Production data'!$A$1:$C$507,3,FALSE)</f>
        <v/>
      </c>
    </row>
    <row r="35">
      <c r="A35" s="73" t="n">
        <v>33785</v>
      </c>
      <c r="B35" s="67">
        <f>VLOOKUP(A35,'China Production data'!$A$1:$C$507,3,FALSE)</f>
        <v/>
      </c>
    </row>
    <row r="36">
      <c r="A36" s="74" t="n">
        <v>33816</v>
      </c>
      <c r="B36" s="67">
        <f>VLOOKUP(A36,'China Production data'!$A$1:$C$507,3,FALSE)</f>
        <v/>
      </c>
    </row>
    <row r="37">
      <c r="A37" s="73" t="n">
        <v>33847</v>
      </c>
      <c r="B37" s="67">
        <f>VLOOKUP(A37,'China Production data'!$A$1:$C$507,3,FALSE)</f>
        <v/>
      </c>
    </row>
    <row r="38">
      <c r="A38" s="74" t="n">
        <v>33877</v>
      </c>
      <c r="B38" s="67">
        <f>VLOOKUP(A38,'China Production data'!$A$1:$C$507,3,FALSE)</f>
        <v/>
      </c>
    </row>
    <row r="39">
      <c r="A39" s="73" t="n">
        <v>33908</v>
      </c>
      <c r="B39" s="67">
        <f>VLOOKUP(A39,'China Production data'!$A$1:$C$507,3,FALSE)</f>
        <v/>
      </c>
    </row>
    <row r="40">
      <c r="A40" s="74" t="n">
        <v>33938</v>
      </c>
      <c r="B40" s="67">
        <f>VLOOKUP(A40,'China Production data'!$A$1:$C$507,3,FALSE)</f>
        <v/>
      </c>
    </row>
    <row r="41">
      <c r="A41" s="73" t="n">
        <v>33969</v>
      </c>
      <c r="B41" s="67">
        <f>VLOOKUP(A41,'China Production data'!$A$1:$C$507,3,FALSE)</f>
        <v/>
      </c>
    </row>
    <row r="42">
      <c r="A42" s="74" t="n">
        <v>34000</v>
      </c>
      <c r="B42" s="67">
        <f>VLOOKUP(A42,'China Production data'!$A$1:$C$507,3,FALSE)</f>
        <v/>
      </c>
    </row>
    <row r="43">
      <c r="A43" s="73" t="n">
        <v>34028</v>
      </c>
      <c r="B43" s="67">
        <f>VLOOKUP(A43,'China Production data'!$A$1:$C$507,3,FALSE)</f>
        <v/>
      </c>
    </row>
    <row r="44">
      <c r="A44" s="74" t="n">
        <v>34059</v>
      </c>
      <c r="B44" s="67">
        <f>VLOOKUP(A44,'China Production data'!$A$1:$C$507,3,FALSE)</f>
        <v/>
      </c>
    </row>
    <row r="45">
      <c r="A45" s="73" t="n">
        <v>34089</v>
      </c>
      <c r="B45" s="67">
        <f>VLOOKUP(A45,'China Production data'!$A$1:$C$507,3,FALSE)</f>
        <v/>
      </c>
    </row>
    <row r="46">
      <c r="A46" s="74" t="n">
        <v>34120</v>
      </c>
      <c r="B46" s="67">
        <f>VLOOKUP(A46,'China Production data'!$A$1:$C$507,3,FALSE)</f>
        <v/>
      </c>
    </row>
    <row r="47">
      <c r="A47" s="73" t="n">
        <v>34150</v>
      </c>
      <c r="B47" s="67">
        <f>VLOOKUP(A47,'China Production data'!$A$1:$C$507,3,FALSE)</f>
        <v/>
      </c>
    </row>
    <row r="48">
      <c r="A48" s="74" t="n">
        <v>34181</v>
      </c>
      <c r="B48" s="67">
        <f>VLOOKUP(A48,'China Production data'!$A$1:$C$507,3,FALSE)</f>
        <v/>
      </c>
    </row>
    <row r="49">
      <c r="A49" s="73" t="n">
        <v>34212</v>
      </c>
      <c r="B49" s="67">
        <f>VLOOKUP(A49,'China Production data'!$A$1:$C$507,3,FALSE)</f>
        <v/>
      </c>
    </row>
    <row r="50">
      <c r="A50" s="74" t="n">
        <v>34242</v>
      </c>
      <c r="B50" s="67">
        <f>VLOOKUP(A50,'China Production data'!$A$1:$C$507,3,FALSE)</f>
        <v/>
      </c>
    </row>
    <row r="51">
      <c r="A51" s="73" t="n">
        <v>34273</v>
      </c>
      <c r="B51" s="67">
        <f>VLOOKUP(A51,'China Production data'!$A$1:$C$507,3,FALSE)</f>
        <v/>
      </c>
    </row>
    <row r="52">
      <c r="A52" s="74" t="n">
        <v>34303</v>
      </c>
      <c r="B52" s="67">
        <f>VLOOKUP(A52,'China Production data'!$A$1:$C$507,3,FALSE)</f>
        <v/>
      </c>
    </row>
    <row r="53">
      <c r="A53" s="73" t="n">
        <v>34334</v>
      </c>
      <c r="B53" s="67">
        <f>VLOOKUP(A53,'China Production data'!$A$1:$C$507,3,FALSE)</f>
        <v/>
      </c>
    </row>
    <row r="54">
      <c r="A54" s="74" t="n">
        <v>34365</v>
      </c>
      <c r="B54" s="67">
        <f>VLOOKUP(A54,'China Production data'!$A$1:$C$507,3,FALSE)</f>
        <v/>
      </c>
    </row>
    <row r="55">
      <c r="A55" s="73" t="n">
        <v>34393</v>
      </c>
      <c r="B55" s="67">
        <f>VLOOKUP(A55,'China Production data'!$A$1:$C$507,3,FALSE)</f>
        <v/>
      </c>
    </row>
    <row r="56">
      <c r="A56" s="74" t="n">
        <v>34424</v>
      </c>
      <c r="B56" s="67">
        <f>VLOOKUP(A56,'China Production data'!$A$1:$C$507,3,FALSE)</f>
        <v/>
      </c>
    </row>
    <row r="57">
      <c r="A57" s="73" t="n">
        <v>34454</v>
      </c>
      <c r="B57" s="67">
        <f>VLOOKUP(A57,'China Production data'!$A$1:$C$507,3,FALSE)</f>
        <v/>
      </c>
    </row>
    <row r="58">
      <c r="A58" s="74" t="n">
        <v>34485</v>
      </c>
      <c r="B58" s="67">
        <f>VLOOKUP(A58,'China Production data'!$A$1:$C$507,3,FALSE)</f>
        <v/>
      </c>
    </row>
    <row r="59">
      <c r="A59" s="73" t="n">
        <v>34515</v>
      </c>
      <c r="B59" s="67">
        <f>VLOOKUP(A59,'China Production data'!$A$1:$C$507,3,FALSE)</f>
        <v/>
      </c>
    </row>
    <row r="60">
      <c r="A60" s="74" t="n">
        <v>34546</v>
      </c>
      <c r="B60" s="67">
        <f>VLOOKUP(A60,'China Production data'!$A$1:$C$507,3,FALSE)</f>
        <v/>
      </c>
    </row>
    <row r="61">
      <c r="A61" s="73" t="n">
        <v>34577</v>
      </c>
      <c r="B61" s="67">
        <f>VLOOKUP(A61,'China Production data'!$A$1:$C$507,3,FALSE)</f>
        <v/>
      </c>
    </row>
    <row r="62">
      <c r="A62" s="74" t="n">
        <v>34607</v>
      </c>
      <c r="B62" s="67">
        <f>VLOOKUP(A62,'China Production data'!$A$1:$C$507,3,FALSE)</f>
        <v/>
      </c>
    </row>
    <row r="63">
      <c r="A63" s="73" t="n">
        <v>34638</v>
      </c>
      <c r="B63" s="67">
        <f>VLOOKUP(A63,'China Production data'!$A$1:$C$507,3,FALSE)</f>
        <v/>
      </c>
    </row>
    <row r="64">
      <c r="A64" s="74" t="n">
        <v>34668</v>
      </c>
      <c r="B64" s="67">
        <f>VLOOKUP(A64,'China Production data'!$A$1:$C$507,3,FALSE)</f>
        <v/>
      </c>
    </row>
    <row r="65">
      <c r="A65" s="73" t="n">
        <v>34699</v>
      </c>
      <c r="B65" s="67">
        <f>VLOOKUP(A65,'China Production data'!$A$1:$C$507,3,FALSE)</f>
        <v/>
      </c>
    </row>
    <row r="66">
      <c r="A66" s="74" t="n">
        <v>34730</v>
      </c>
      <c r="B66" s="67">
        <f>VLOOKUP(A66,'China Production data'!$A$1:$C$507,3,FALSE)</f>
        <v/>
      </c>
    </row>
    <row r="67">
      <c r="A67" s="73" t="n">
        <v>34758</v>
      </c>
      <c r="B67" s="67">
        <f>VLOOKUP(A67,'China Production data'!$A$1:$C$507,3,FALSE)</f>
        <v/>
      </c>
    </row>
    <row r="68">
      <c r="A68" s="74" t="n">
        <v>34789</v>
      </c>
      <c r="B68" s="67">
        <f>VLOOKUP(A68,'China Production data'!$A$1:$C$507,3,FALSE)</f>
        <v/>
      </c>
    </row>
    <row r="69">
      <c r="A69" s="73" t="n">
        <v>34819</v>
      </c>
      <c r="B69" s="67">
        <f>VLOOKUP(A69,'China Production data'!$A$1:$C$507,3,FALSE)</f>
        <v/>
      </c>
    </row>
    <row r="70">
      <c r="A70" s="74" t="n">
        <v>34850</v>
      </c>
      <c r="B70" s="67">
        <f>VLOOKUP(A70,'China Production data'!$A$1:$C$507,3,FALSE)</f>
        <v/>
      </c>
    </row>
    <row r="71">
      <c r="A71" s="73" t="n">
        <v>34880</v>
      </c>
      <c r="B71" s="67">
        <f>VLOOKUP(A71,'China Production data'!$A$1:$C$507,3,FALSE)</f>
        <v/>
      </c>
    </row>
    <row r="72">
      <c r="A72" s="74" t="n">
        <v>34911</v>
      </c>
      <c r="B72" s="67">
        <f>VLOOKUP(A72,'China Production data'!$A$1:$C$507,3,FALSE)</f>
        <v/>
      </c>
    </row>
    <row r="73">
      <c r="A73" s="73" t="n">
        <v>34942</v>
      </c>
      <c r="B73" s="67">
        <f>VLOOKUP(A73,'China Production data'!$A$1:$C$507,3,FALSE)</f>
        <v/>
      </c>
    </row>
    <row r="74">
      <c r="A74" s="74" t="n">
        <v>34972</v>
      </c>
      <c r="B74" s="67">
        <f>VLOOKUP(A74,'China Production data'!$A$1:$C$507,3,FALSE)</f>
        <v/>
      </c>
    </row>
    <row r="75">
      <c r="A75" s="73" t="n">
        <v>35003</v>
      </c>
      <c r="B75" s="67">
        <f>VLOOKUP(A75,'China Production data'!$A$1:$C$507,3,FALSE)</f>
        <v/>
      </c>
    </row>
    <row r="76">
      <c r="A76" s="74" t="n">
        <v>35033</v>
      </c>
      <c r="B76" s="67">
        <f>VLOOKUP(A76,'China Production data'!$A$1:$C$507,3,FALSE)</f>
        <v/>
      </c>
    </row>
    <row r="77">
      <c r="A77" s="73" t="n">
        <v>35064</v>
      </c>
      <c r="B77" s="67">
        <f>VLOOKUP(A77,'China Production data'!$A$1:$C$507,3,FALSE)</f>
        <v/>
      </c>
    </row>
    <row r="78">
      <c r="A78" s="74" t="n">
        <v>35095</v>
      </c>
      <c r="B78" s="67">
        <f>VLOOKUP(A78,'China Production data'!$A$1:$C$507,3,FALSE)</f>
        <v/>
      </c>
    </row>
    <row r="79">
      <c r="A79" s="73" t="n">
        <v>35124</v>
      </c>
      <c r="B79" s="67">
        <f>VLOOKUP(A79,'China Production data'!$A$1:$C$507,3,FALSE)</f>
        <v/>
      </c>
    </row>
    <row r="80">
      <c r="A80" s="74" t="n">
        <v>35155</v>
      </c>
      <c r="B80" s="67">
        <f>VLOOKUP(A80,'China Production data'!$A$1:$C$507,3,FALSE)</f>
        <v/>
      </c>
    </row>
    <row r="81">
      <c r="A81" s="73" t="n">
        <v>35185</v>
      </c>
      <c r="B81" s="67">
        <f>VLOOKUP(A81,'China Production data'!$A$1:$C$507,3,FALSE)</f>
        <v/>
      </c>
    </row>
    <row r="82">
      <c r="A82" s="74" t="n">
        <v>35216</v>
      </c>
      <c r="B82" s="67">
        <f>VLOOKUP(A82,'China Production data'!$A$1:$C$507,3,FALSE)</f>
        <v/>
      </c>
    </row>
    <row r="83">
      <c r="A83" s="73" t="n">
        <v>35246</v>
      </c>
      <c r="B83" s="67">
        <f>VLOOKUP(A83,'China Production data'!$A$1:$C$507,3,FALSE)</f>
        <v/>
      </c>
    </row>
    <row r="84">
      <c r="A84" s="74" t="n">
        <v>35277</v>
      </c>
      <c r="B84" s="67">
        <f>VLOOKUP(A84,'China Production data'!$A$1:$C$507,3,FALSE)</f>
        <v/>
      </c>
    </row>
    <row r="85">
      <c r="A85" s="73" t="n">
        <v>35308</v>
      </c>
      <c r="B85" s="67">
        <f>VLOOKUP(A85,'China Production data'!$A$1:$C$507,3,FALSE)</f>
        <v/>
      </c>
    </row>
    <row r="86">
      <c r="A86" s="74" t="n">
        <v>35338</v>
      </c>
      <c r="B86" s="67">
        <f>VLOOKUP(A86,'China Production data'!$A$1:$C$507,3,FALSE)</f>
        <v/>
      </c>
    </row>
    <row r="87">
      <c r="A87" s="73" t="n">
        <v>35369</v>
      </c>
      <c r="B87" s="67">
        <f>VLOOKUP(A87,'China Production data'!$A$1:$C$507,3,FALSE)</f>
        <v/>
      </c>
    </row>
    <row r="88">
      <c r="A88" s="74" t="n">
        <v>35399</v>
      </c>
      <c r="B88" s="67">
        <f>VLOOKUP(A88,'China Production data'!$A$1:$C$507,3,FALSE)</f>
        <v/>
      </c>
    </row>
    <row r="89">
      <c r="A89" s="73" t="n">
        <v>35430</v>
      </c>
      <c r="B89" s="67">
        <f>VLOOKUP(A89,'China Production data'!$A$1:$C$507,3,FALSE)</f>
        <v/>
      </c>
    </row>
    <row r="90">
      <c r="A90" s="74" t="n">
        <v>35461</v>
      </c>
      <c r="B90" s="67">
        <f>VLOOKUP(A90,'China Production data'!$A$1:$C$507,3,FALSE)</f>
        <v/>
      </c>
    </row>
    <row r="91">
      <c r="A91" s="73" t="n">
        <v>35489</v>
      </c>
      <c r="B91" s="67">
        <f>VLOOKUP(A91,'China Production data'!$A$1:$C$507,3,FALSE)</f>
        <v/>
      </c>
    </row>
    <row r="92">
      <c r="A92" s="74" t="n">
        <v>35520</v>
      </c>
      <c r="B92" s="67">
        <f>VLOOKUP(A92,'China Production data'!$A$1:$C$507,3,FALSE)</f>
        <v/>
      </c>
    </row>
    <row r="93">
      <c r="A93" s="73" t="n">
        <v>35550</v>
      </c>
      <c r="B93" s="67">
        <f>VLOOKUP(A93,'China Production data'!$A$1:$C$507,3,FALSE)</f>
        <v/>
      </c>
    </row>
    <row r="94">
      <c r="A94" s="74" t="n">
        <v>35581</v>
      </c>
      <c r="B94" s="67">
        <f>VLOOKUP(A94,'China Production data'!$A$1:$C$507,3,FALSE)</f>
        <v/>
      </c>
    </row>
    <row r="95">
      <c r="A95" s="73" t="n">
        <v>35611</v>
      </c>
      <c r="B95" s="67">
        <f>VLOOKUP(A95,'China Production data'!$A$1:$C$507,3,FALSE)</f>
        <v/>
      </c>
    </row>
    <row r="96">
      <c r="A96" s="74" t="n">
        <v>35642</v>
      </c>
      <c r="B96" s="67">
        <f>VLOOKUP(A96,'China Production data'!$A$1:$C$507,3,FALSE)</f>
        <v/>
      </c>
    </row>
    <row r="97">
      <c r="A97" s="73" t="n">
        <v>35673</v>
      </c>
      <c r="B97" s="67">
        <f>VLOOKUP(A97,'China Production data'!$A$1:$C$507,3,FALSE)</f>
        <v/>
      </c>
    </row>
    <row r="98">
      <c r="A98" s="74" t="n">
        <v>35703</v>
      </c>
      <c r="B98" s="67">
        <f>VLOOKUP(A98,'China Production data'!$A$1:$C$507,3,FALSE)</f>
        <v/>
      </c>
    </row>
    <row r="99">
      <c r="A99" s="73" t="n">
        <v>35734</v>
      </c>
      <c r="B99" s="67">
        <f>VLOOKUP(A99,'China Production data'!$A$1:$C$507,3,FALSE)</f>
        <v/>
      </c>
    </row>
    <row r="100">
      <c r="A100" s="74" t="n">
        <v>35764</v>
      </c>
      <c r="B100" s="67">
        <f>VLOOKUP(A100,'China Production data'!$A$1:$C$507,3,FALSE)</f>
        <v/>
      </c>
    </row>
    <row r="101">
      <c r="A101" s="73" t="n">
        <v>35795</v>
      </c>
      <c r="B101" s="67">
        <f>VLOOKUP(A101,'China Production data'!$A$1:$C$507,3,FALSE)</f>
        <v/>
      </c>
    </row>
    <row r="102">
      <c r="A102" s="74" t="n">
        <v>35826</v>
      </c>
      <c r="B102" s="67">
        <f>VLOOKUP(A102,'China Production data'!$A$1:$C$507,3,FALSE)</f>
        <v/>
      </c>
    </row>
    <row r="103">
      <c r="A103" s="73" t="n">
        <v>35854</v>
      </c>
      <c r="B103" s="67">
        <f>VLOOKUP(A103,'China Production data'!$A$1:$C$507,3,FALSE)</f>
        <v/>
      </c>
    </row>
    <row r="104">
      <c r="A104" s="74" t="n">
        <v>35885</v>
      </c>
      <c r="B104" s="67">
        <f>VLOOKUP(A104,'China Production data'!$A$1:$C$507,3,FALSE)</f>
        <v/>
      </c>
    </row>
    <row r="105">
      <c r="A105" s="73" t="n">
        <v>35915</v>
      </c>
      <c r="B105" s="67">
        <f>VLOOKUP(A105,'China Production data'!$A$1:$C$507,3,FALSE)</f>
        <v/>
      </c>
    </row>
    <row r="106">
      <c r="A106" s="74" t="n">
        <v>35946</v>
      </c>
      <c r="B106" s="67">
        <f>VLOOKUP(A106,'China Production data'!$A$1:$C$507,3,FALSE)</f>
        <v/>
      </c>
    </row>
    <row r="107">
      <c r="A107" s="73" t="n">
        <v>35976</v>
      </c>
      <c r="B107" s="67">
        <f>VLOOKUP(A107,'China Production data'!$A$1:$C$507,3,FALSE)</f>
        <v/>
      </c>
    </row>
    <row r="108">
      <c r="A108" s="74" t="n">
        <v>36007</v>
      </c>
      <c r="B108" s="67">
        <f>VLOOKUP(A108,'China Production data'!$A$1:$C$507,3,FALSE)</f>
        <v/>
      </c>
    </row>
    <row r="109">
      <c r="A109" s="73" t="n">
        <v>36038</v>
      </c>
      <c r="B109" s="67">
        <f>VLOOKUP(A109,'China Production data'!$A$1:$C$507,3,FALSE)</f>
        <v/>
      </c>
    </row>
    <row r="110">
      <c r="A110" s="74" t="n">
        <v>36068</v>
      </c>
      <c r="B110" s="67">
        <f>VLOOKUP(A110,'China Production data'!$A$1:$C$507,3,FALSE)</f>
        <v/>
      </c>
    </row>
    <row r="111">
      <c r="A111" s="73" t="n">
        <v>36099</v>
      </c>
      <c r="B111" s="67">
        <f>VLOOKUP(A111,'China Production data'!$A$1:$C$507,3,FALSE)</f>
        <v/>
      </c>
    </row>
    <row r="112">
      <c r="A112" s="74" t="n">
        <v>36129</v>
      </c>
      <c r="B112" s="67">
        <f>VLOOKUP(A112,'China Production data'!$A$1:$C$507,3,FALSE)</f>
        <v/>
      </c>
    </row>
    <row r="113">
      <c r="A113" s="73" t="n">
        <v>36160</v>
      </c>
      <c r="B113" s="67">
        <f>VLOOKUP(A113,'China Production data'!$A$1:$C$507,3,FALSE)</f>
        <v/>
      </c>
    </row>
    <row r="114">
      <c r="A114" s="74" t="n">
        <v>36191</v>
      </c>
      <c r="B114" s="67">
        <f>VLOOKUP(A114,'China Production data'!$A$1:$C$507,3,FALSE)</f>
        <v/>
      </c>
    </row>
    <row r="115">
      <c r="A115" s="73" t="n">
        <v>36219</v>
      </c>
      <c r="B115" s="67">
        <f>VLOOKUP(A115,'China Production data'!$A$1:$C$507,3,FALSE)</f>
        <v/>
      </c>
    </row>
    <row r="116">
      <c r="A116" s="74" t="n">
        <v>36250</v>
      </c>
      <c r="B116" s="67">
        <f>VLOOKUP(A116,'China Production data'!$A$1:$C$507,3,FALSE)</f>
        <v/>
      </c>
    </row>
    <row r="117">
      <c r="A117" s="73" t="n">
        <v>36280</v>
      </c>
      <c r="B117" s="67">
        <f>VLOOKUP(A117,'China Production data'!$A$1:$C$507,3,FALSE)</f>
        <v/>
      </c>
    </row>
    <row r="118">
      <c r="A118" s="74" t="n">
        <v>36311</v>
      </c>
      <c r="B118" s="67">
        <f>VLOOKUP(A118,'China Production data'!$A$1:$C$507,3,FALSE)</f>
        <v/>
      </c>
    </row>
    <row r="119">
      <c r="A119" s="73" t="n">
        <v>36341</v>
      </c>
      <c r="B119" s="67">
        <f>VLOOKUP(A119,'China Production data'!$A$1:$C$507,3,FALSE)</f>
        <v/>
      </c>
    </row>
    <row r="120">
      <c r="A120" s="74" t="n">
        <v>36372</v>
      </c>
      <c r="B120" s="67">
        <f>VLOOKUP(A120,'China Production data'!$A$1:$C$507,3,FALSE)</f>
        <v/>
      </c>
    </row>
    <row r="121">
      <c r="A121" s="73" t="n">
        <v>36403</v>
      </c>
      <c r="B121" s="67">
        <f>VLOOKUP(A121,'China Production data'!$A$1:$C$507,3,FALSE)</f>
        <v/>
      </c>
    </row>
    <row r="122">
      <c r="A122" s="74" t="n">
        <v>36433</v>
      </c>
      <c r="B122" s="67">
        <f>VLOOKUP(A122,'China Production data'!$A$1:$C$507,3,FALSE)</f>
        <v/>
      </c>
    </row>
    <row r="123">
      <c r="A123" s="73" t="n">
        <v>36464</v>
      </c>
      <c r="B123" s="67">
        <f>VLOOKUP(A123,'China Production data'!$A$1:$C$507,3,FALSE)</f>
        <v/>
      </c>
    </row>
    <row r="124">
      <c r="A124" s="74" t="n">
        <v>36494</v>
      </c>
      <c r="B124" s="67">
        <f>VLOOKUP(A124,'China Production data'!$A$1:$C$507,3,FALSE)</f>
        <v/>
      </c>
    </row>
    <row r="125">
      <c r="A125" s="73" t="n">
        <v>36525</v>
      </c>
      <c r="B125" s="67">
        <f>VLOOKUP(A125,'China Production data'!$A$1:$C$507,3,FALSE)</f>
        <v/>
      </c>
    </row>
    <row r="126">
      <c r="A126" s="74" t="n">
        <v>36556</v>
      </c>
      <c r="B126" s="67">
        <f>VLOOKUP(A126,'China Production data'!$A$1:$C$507,3,FALSE)</f>
        <v/>
      </c>
    </row>
    <row r="127">
      <c r="A127" s="73" t="n">
        <v>36585</v>
      </c>
      <c r="B127" s="67">
        <f>VLOOKUP(A127,'China Production data'!$A$1:$C$507,3,FALSE)</f>
        <v/>
      </c>
    </row>
    <row r="128">
      <c r="A128" s="74" t="n">
        <v>36616</v>
      </c>
      <c r="B128" s="67">
        <f>VLOOKUP(A128,'China Production data'!$A$1:$C$507,3,FALSE)</f>
        <v/>
      </c>
    </row>
    <row r="129">
      <c r="A129" s="73" t="n">
        <v>36646</v>
      </c>
      <c r="B129" s="67">
        <f>VLOOKUP(A129,'China Production data'!$A$1:$C$507,3,FALSE)</f>
        <v/>
      </c>
    </row>
    <row r="130">
      <c r="A130" s="74" t="n">
        <v>36677</v>
      </c>
      <c r="B130" s="67">
        <f>VLOOKUP(A130,'China Production data'!$A$1:$C$507,3,FALSE)</f>
        <v/>
      </c>
    </row>
    <row r="131">
      <c r="A131" s="73" t="n">
        <v>36707</v>
      </c>
      <c r="B131" s="67">
        <f>VLOOKUP(A131,'China Production data'!$A$1:$C$507,3,FALSE)</f>
        <v/>
      </c>
    </row>
    <row r="132">
      <c r="A132" s="74" t="n">
        <v>36738</v>
      </c>
      <c r="B132" s="67">
        <f>VLOOKUP(A132,'China Production data'!$A$1:$C$507,3,FALSE)</f>
        <v/>
      </c>
    </row>
    <row r="133">
      <c r="A133" s="73" t="n">
        <v>36769</v>
      </c>
      <c r="B133" s="67">
        <f>VLOOKUP(A133,'China Production data'!$A$1:$C$507,3,FALSE)</f>
        <v/>
      </c>
    </row>
    <row r="134">
      <c r="A134" s="74" t="n">
        <v>36799</v>
      </c>
      <c r="B134" s="67">
        <f>VLOOKUP(A134,'China Production data'!$A$1:$C$507,3,FALSE)</f>
        <v/>
      </c>
    </row>
    <row r="135">
      <c r="A135" s="73" t="n">
        <v>36830</v>
      </c>
      <c r="B135" s="67">
        <f>VLOOKUP(A135,'China Production data'!$A$1:$C$507,3,FALSE)</f>
        <v/>
      </c>
    </row>
    <row r="136">
      <c r="A136" s="74" t="n">
        <v>36860</v>
      </c>
      <c r="B136" s="67">
        <f>VLOOKUP(A136,'China Production data'!$A$1:$C$507,3,FALSE)</f>
        <v/>
      </c>
    </row>
    <row r="137">
      <c r="A137" s="73" t="n">
        <v>36891</v>
      </c>
      <c r="B137" s="67">
        <f>VLOOKUP(A137,'China Production data'!$A$1:$C$507,3,FALSE)</f>
        <v/>
      </c>
    </row>
    <row r="138">
      <c r="A138" s="74" t="n">
        <v>36922</v>
      </c>
      <c r="B138" s="67">
        <f>VLOOKUP(A138,'China Production data'!$A$1:$C$507,3,FALSE)</f>
        <v/>
      </c>
    </row>
    <row r="139">
      <c r="A139" s="73" t="n">
        <v>36950</v>
      </c>
      <c r="B139" s="67">
        <f>VLOOKUP(A139,'China Production data'!$A$1:$C$507,3,FALSE)</f>
        <v/>
      </c>
    </row>
    <row r="140">
      <c r="A140" s="74" t="n">
        <v>36981</v>
      </c>
      <c r="B140" s="67">
        <f>VLOOKUP(A140,'China Production data'!$A$1:$C$507,3,FALSE)</f>
        <v/>
      </c>
    </row>
    <row r="141">
      <c r="A141" s="73" t="n">
        <v>37011</v>
      </c>
      <c r="B141" s="67">
        <f>VLOOKUP(A141,'China Production data'!$A$1:$C$507,3,FALSE)</f>
        <v/>
      </c>
    </row>
    <row r="142">
      <c r="A142" s="74" t="n">
        <v>37042</v>
      </c>
      <c r="B142" s="67">
        <f>VLOOKUP(A142,'China Production data'!$A$1:$C$507,3,FALSE)</f>
        <v/>
      </c>
    </row>
    <row r="143">
      <c r="A143" s="73" t="n">
        <v>37072</v>
      </c>
      <c r="B143" s="67">
        <f>VLOOKUP(A143,'China Production data'!$A$1:$C$507,3,FALSE)</f>
        <v/>
      </c>
    </row>
    <row r="144">
      <c r="A144" s="74" t="n">
        <v>37103</v>
      </c>
      <c r="B144" s="67">
        <f>VLOOKUP(A144,'China Production data'!$A$1:$C$507,3,FALSE)</f>
        <v/>
      </c>
    </row>
    <row r="145">
      <c r="A145" s="73" t="n">
        <v>37134</v>
      </c>
      <c r="B145" s="67">
        <f>VLOOKUP(A145,'China Production data'!$A$1:$C$507,3,FALSE)</f>
        <v/>
      </c>
    </row>
    <row r="146">
      <c r="A146" s="74" t="n">
        <v>37164</v>
      </c>
      <c r="B146" s="67">
        <f>VLOOKUP(A146,'China Production data'!$A$1:$C$507,3,FALSE)</f>
        <v/>
      </c>
    </row>
    <row r="147">
      <c r="A147" s="73" t="n">
        <v>37195</v>
      </c>
      <c r="B147" s="67">
        <f>VLOOKUP(A147,'China Production data'!$A$1:$C$507,3,FALSE)</f>
        <v/>
      </c>
    </row>
    <row r="148">
      <c r="A148" s="74" t="n">
        <v>37225</v>
      </c>
      <c r="B148" s="67">
        <f>VLOOKUP(A148,'China Production data'!$A$1:$C$507,3,FALSE)</f>
        <v/>
      </c>
    </row>
    <row r="149">
      <c r="A149" s="73" t="n">
        <v>37256</v>
      </c>
      <c r="B149" s="67">
        <f>VLOOKUP(A149,'China Production data'!$A$1:$C$507,3,FALSE)</f>
        <v/>
      </c>
    </row>
    <row r="150">
      <c r="A150" s="74" t="n">
        <v>37287</v>
      </c>
      <c r="B150" s="67">
        <f>VLOOKUP(A150,'China Production data'!$A$1:$C$507,3,FALSE)</f>
        <v/>
      </c>
    </row>
    <row r="151">
      <c r="A151" s="73" t="n">
        <v>37315</v>
      </c>
      <c r="B151" s="67">
        <f>VLOOKUP(A151,'China Production data'!$A$1:$C$507,3,FALSE)</f>
        <v/>
      </c>
    </row>
    <row r="152">
      <c r="A152" s="74" t="n">
        <v>37346</v>
      </c>
      <c r="B152" s="67">
        <f>VLOOKUP(A152,'China Production data'!$A$1:$C$507,3,FALSE)</f>
        <v/>
      </c>
    </row>
    <row r="153">
      <c r="A153" s="73" t="n">
        <v>37376</v>
      </c>
      <c r="B153" s="67">
        <f>VLOOKUP(A153,'China Production data'!$A$1:$C$507,3,FALSE)</f>
        <v/>
      </c>
    </row>
    <row r="154">
      <c r="A154" s="74" t="n">
        <v>37407</v>
      </c>
      <c r="B154" s="67">
        <f>VLOOKUP(A154,'China Production data'!$A$1:$C$507,3,FALSE)</f>
        <v/>
      </c>
    </row>
    <row r="155">
      <c r="A155" s="73" t="n">
        <v>37437</v>
      </c>
      <c r="B155" s="67">
        <f>VLOOKUP(A155,'China Production data'!$A$1:$C$507,3,FALSE)</f>
        <v/>
      </c>
    </row>
    <row r="156">
      <c r="A156" s="74" t="n">
        <v>37468</v>
      </c>
      <c r="B156" s="67">
        <f>VLOOKUP(A156,'China Production data'!$A$1:$C$507,3,FALSE)</f>
        <v/>
      </c>
    </row>
    <row r="157">
      <c r="A157" s="73" t="n">
        <v>37499</v>
      </c>
      <c r="B157" s="67">
        <f>VLOOKUP(A157,'China Production data'!$A$1:$C$507,3,FALSE)</f>
        <v/>
      </c>
    </row>
    <row r="158">
      <c r="A158" s="74" t="n">
        <v>37529</v>
      </c>
      <c r="B158" s="67">
        <f>VLOOKUP(A158,'China Production data'!$A$1:$C$507,3,FALSE)</f>
        <v/>
      </c>
    </row>
    <row r="159">
      <c r="A159" s="68" t="n">
        <v>37560</v>
      </c>
      <c r="B159" s="67">
        <f>VLOOKUP(A159,'China Production data'!$A$1:$C$507,3,FALSE)</f>
        <v/>
      </c>
    </row>
    <row r="160">
      <c r="A160" s="75" t="n">
        <v>37590</v>
      </c>
      <c r="B160" s="67">
        <f>VLOOKUP(A160,'China Production data'!$A$1:$C$507,3,FALSE)</f>
        <v/>
      </c>
      <c r="C160" s="76" t="n"/>
    </row>
    <row r="161">
      <c r="A161" s="77" t="n">
        <v>37621</v>
      </c>
      <c r="B161" s="67">
        <f>VLOOKUP(A161,'China Production data'!$A$1:$C$507,3,FALSE)</f>
        <v/>
      </c>
      <c r="C161" s="76" t="n"/>
    </row>
    <row r="162">
      <c r="A162" s="75" t="n">
        <v>37652</v>
      </c>
      <c r="B162" s="67">
        <f>VLOOKUP(A162,'China Production data'!$A$1:$C$507,3,FALSE)</f>
        <v/>
      </c>
      <c r="C162" s="76" t="n"/>
    </row>
    <row r="163">
      <c r="A163" s="77" t="n">
        <v>37680</v>
      </c>
      <c r="B163" s="67">
        <f>VLOOKUP(A163,'China Production data'!$A$1:$C$507,3,FALSE)</f>
        <v/>
      </c>
      <c r="C163" s="76" t="n"/>
    </row>
    <row r="164">
      <c r="A164" s="75" t="n">
        <v>37711</v>
      </c>
      <c r="B164" s="67">
        <f>VLOOKUP(A164,'China Production data'!$A$1:$C$507,3,FALSE)</f>
        <v/>
      </c>
      <c r="C164" s="76" t="n"/>
    </row>
    <row r="165">
      <c r="A165" s="77" t="n">
        <v>37741</v>
      </c>
      <c r="B165" s="67">
        <f>VLOOKUP(A165,'China Production data'!$A$1:$C$507,3,FALSE)</f>
        <v/>
      </c>
      <c r="C165" s="76" t="n"/>
    </row>
    <row r="166">
      <c r="A166" s="75" t="n">
        <v>37772</v>
      </c>
      <c r="B166" s="67">
        <f>VLOOKUP(A166,'China Production data'!$A$1:$C$507,3,FALSE)</f>
        <v/>
      </c>
      <c r="C166" s="76" t="n"/>
    </row>
    <row r="167">
      <c r="A167" s="77" t="n">
        <v>37802</v>
      </c>
      <c r="B167" s="67">
        <f>VLOOKUP(A167,'China Production data'!$A$1:$C$507,3,FALSE)</f>
        <v/>
      </c>
      <c r="C167" s="76" t="n"/>
    </row>
    <row r="168">
      <c r="A168" s="75" t="n">
        <v>37833</v>
      </c>
      <c r="B168" s="67">
        <f>VLOOKUP(A168,'China Production data'!$A$1:$C$507,3,FALSE)</f>
        <v/>
      </c>
      <c r="C168" s="76" t="n"/>
    </row>
    <row r="169">
      <c r="A169" s="77" t="n">
        <v>37864</v>
      </c>
      <c r="B169" s="67">
        <f>VLOOKUP(A169,'China Production data'!$A$1:$C$507,3,FALSE)</f>
        <v/>
      </c>
      <c r="C169" s="76" t="n"/>
    </row>
    <row r="170">
      <c r="A170" s="75" t="n">
        <v>37894</v>
      </c>
      <c r="B170" s="67">
        <f>VLOOKUP(A170,'China Production data'!$A$1:$C$507,3,FALSE)</f>
        <v/>
      </c>
      <c r="C170" s="76" t="n"/>
    </row>
    <row r="171">
      <c r="A171" s="77" t="n">
        <v>37925</v>
      </c>
      <c r="B171" s="67">
        <f>VLOOKUP(A171,'China Production data'!$A$1:$C$507,3,FALSE)</f>
        <v/>
      </c>
      <c r="C171" s="76" t="n"/>
    </row>
    <row r="172">
      <c r="A172" s="75" t="n">
        <v>37955</v>
      </c>
      <c r="B172" s="67">
        <f>VLOOKUP(A172,'China Production data'!$A$1:$C$507,3,FALSE)</f>
        <v/>
      </c>
      <c r="C172" s="76" t="n"/>
    </row>
    <row r="173">
      <c r="A173" s="77" t="n">
        <v>37986</v>
      </c>
      <c r="B173" s="67">
        <f>VLOOKUP(A173,'China Production data'!$A$1:$C$507,3,FALSE)</f>
        <v/>
      </c>
      <c r="C173" s="76" t="n"/>
    </row>
    <row r="174">
      <c r="A174" s="75" t="n">
        <v>38017</v>
      </c>
      <c r="B174" s="67">
        <f>VLOOKUP(A174,'China Production data'!$A$1:$C$507,3,FALSE)</f>
        <v/>
      </c>
      <c r="C174" s="76" t="n"/>
    </row>
    <row r="175">
      <c r="A175" s="77" t="n">
        <v>38046</v>
      </c>
      <c r="B175" s="67">
        <f>VLOOKUP(A175,'China Production data'!$A$1:$C$507,3,FALSE)</f>
        <v/>
      </c>
      <c r="C175" s="76" t="n"/>
    </row>
    <row r="176">
      <c r="A176" s="75" t="n">
        <v>38077</v>
      </c>
      <c r="B176" s="67">
        <f>VLOOKUP(A176,'China Production data'!$A$1:$C$507,3,FALSE)</f>
        <v/>
      </c>
      <c r="C176" s="76" t="n"/>
    </row>
    <row r="177">
      <c r="A177" s="77" t="n">
        <v>38107</v>
      </c>
      <c r="B177" s="67">
        <f>VLOOKUP(A177,'China Production data'!$A$1:$C$507,3,FALSE)</f>
        <v/>
      </c>
      <c r="C177" s="76" t="n"/>
    </row>
    <row r="178">
      <c r="A178" s="75" t="n">
        <v>38138</v>
      </c>
      <c r="B178" s="67">
        <f>VLOOKUP(A178,'China Production data'!$A$1:$C$507,3,FALSE)</f>
        <v/>
      </c>
      <c r="C178" s="76" t="n"/>
    </row>
    <row r="179">
      <c r="A179" s="77" t="n">
        <v>38168</v>
      </c>
      <c r="B179" s="67">
        <f>VLOOKUP(A179,'China Production data'!$A$1:$C$507,3,FALSE)</f>
        <v/>
      </c>
      <c r="C179" s="76" t="n"/>
    </row>
    <row r="180">
      <c r="A180" s="75" t="n">
        <v>38199</v>
      </c>
      <c r="B180" s="67">
        <f>VLOOKUP(A180,'China Production data'!$A$1:$C$507,3,FALSE)</f>
        <v/>
      </c>
      <c r="C180" s="76" t="n"/>
    </row>
    <row r="181">
      <c r="A181" s="77" t="n">
        <v>38230</v>
      </c>
      <c r="B181" s="67">
        <f>VLOOKUP(A181,'China Production data'!$A$1:$C$507,3,FALSE)</f>
        <v/>
      </c>
      <c r="C181" s="76" t="n"/>
    </row>
    <row r="182">
      <c r="A182" s="75" t="n">
        <v>38260</v>
      </c>
      <c r="B182" s="67">
        <f>VLOOKUP(A182,'China Production data'!$A$1:$C$507,3,FALSE)</f>
        <v/>
      </c>
      <c r="C182" s="76" t="n"/>
    </row>
    <row r="183">
      <c r="A183" s="77" t="n">
        <v>38291</v>
      </c>
      <c r="B183" s="67">
        <f>VLOOKUP(A183,'China Production data'!$A$1:$C$507,3,FALSE)</f>
        <v/>
      </c>
      <c r="C183" s="76" t="n"/>
    </row>
    <row r="184">
      <c r="A184" s="75" t="n">
        <v>38321</v>
      </c>
      <c r="B184" s="67">
        <f>VLOOKUP(A184,'China Production data'!$A$1:$C$507,3,FALSE)</f>
        <v/>
      </c>
      <c r="C184" s="76" t="n"/>
    </row>
    <row r="185">
      <c r="A185" s="77" t="n">
        <v>38352</v>
      </c>
      <c r="B185" s="67">
        <f>VLOOKUP(A185,'China Production data'!$A$1:$C$507,3,FALSE)</f>
        <v/>
      </c>
      <c r="C185" s="76" t="n"/>
    </row>
    <row r="186">
      <c r="A186" s="75" t="n">
        <v>38383</v>
      </c>
      <c r="B186" s="67">
        <f>VLOOKUP(A186,'China Production data'!$A$1:$C$507,3,FALSE)</f>
        <v/>
      </c>
      <c r="C186" s="76">
        <f>VLOOKUP(A186,'China Production data'!$A$1:$C$507,2,FALSE)</f>
        <v/>
      </c>
    </row>
    <row r="187">
      <c r="A187" s="75" t="n">
        <v>38411</v>
      </c>
      <c r="B187" s="67">
        <f>VLOOKUP(A187,'China Production data'!$A$1:$C$507,3,FALSE)</f>
        <v/>
      </c>
      <c r="C187" s="76">
        <f>VLOOKUP(A187,'China Production data'!$A$1:$C$507,2,FALSE)</f>
        <v/>
      </c>
    </row>
    <row r="188">
      <c r="A188" s="77" t="n">
        <v>38442</v>
      </c>
      <c r="B188" s="67">
        <f>VLOOKUP(A188,'China Production data'!$A$1:$C$507,3,FALSE)</f>
        <v/>
      </c>
      <c r="C188" s="76">
        <f>VLOOKUP(A188,'China Production data'!$A$1:$C$507,2,FALSE)</f>
        <v/>
      </c>
    </row>
    <row r="189">
      <c r="A189" s="75" t="n">
        <v>38472</v>
      </c>
      <c r="B189" s="67">
        <f>VLOOKUP(A189,'China Production data'!$A$1:$C$507,3,FALSE)</f>
        <v/>
      </c>
      <c r="C189" s="76">
        <f>VLOOKUP(A189,'China Production data'!$A$1:$C$507,2,FALSE)</f>
        <v/>
      </c>
    </row>
    <row r="190">
      <c r="A190" s="77" t="n">
        <v>38503</v>
      </c>
      <c r="B190" s="67">
        <f>VLOOKUP(A190,'China Production data'!$A$1:$C$507,3,FALSE)</f>
        <v/>
      </c>
      <c r="C190" s="76">
        <f>VLOOKUP(A190,'China Production data'!$A$1:$C$507,2,FALSE)</f>
        <v/>
      </c>
    </row>
    <row r="191">
      <c r="A191" s="75" t="n">
        <v>38533</v>
      </c>
      <c r="B191" s="67">
        <f>VLOOKUP(A191,'China Production data'!$A$1:$C$507,3,FALSE)</f>
        <v/>
      </c>
      <c r="C191" s="76">
        <f>VLOOKUP(A191,'China Production data'!$A$1:$C$507,2,FALSE)</f>
        <v/>
      </c>
    </row>
    <row r="192">
      <c r="A192" s="77" t="n">
        <v>38564</v>
      </c>
      <c r="B192" s="67">
        <f>VLOOKUP(A192,'China Production data'!$A$1:$C$507,3,FALSE)</f>
        <v/>
      </c>
      <c r="C192" s="76">
        <f>VLOOKUP(A192,'China Production data'!$A$1:$C$507,2,FALSE)</f>
        <v/>
      </c>
    </row>
    <row r="193">
      <c r="A193" s="75" t="n">
        <v>38595</v>
      </c>
      <c r="B193" s="67">
        <f>VLOOKUP(A193,'China Production data'!$A$1:$C$507,3,FALSE)</f>
        <v/>
      </c>
      <c r="C193" s="76">
        <f>VLOOKUP(A193,'China Production data'!$A$1:$C$507,2,FALSE)</f>
        <v/>
      </c>
    </row>
    <row r="194">
      <c r="A194" s="77" t="n">
        <v>38625</v>
      </c>
      <c r="B194" s="67">
        <f>VLOOKUP(A194,'China Production data'!$A$1:$C$507,3,FALSE)</f>
        <v/>
      </c>
      <c r="C194" s="76">
        <f>VLOOKUP(A194,'China Production data'!$A$1:$C$507,2,FALSE)</f>
        <v/>
      </c>
    </row>
    <row r="195">
      <c r="A195" s="75" t="n">
        <v>38656</v>
      </c>
      <c r="B195" s="67">
        <f>VLOOKUP(A195,'China Production data'!$A$1:$C$507,3,FALSE)</f>
        <v/>
      </c>
      <c r="C195" s="76">
        <f>VLOOKUP(A195,'China Production data'!$A$1:$C$507,2,FALSE)</f>
        <v/>
      </c>
    </row>
    <row r="196">
      <c r="A196" s="77" t="n">
        <v>38686</v>
      </c>
      <c r="B196" s="67">
        <f>VLOOKUP(A196,'China Production data'!$A$1:$C$507,3,FALSE)</f>
        <v/>
      </c>
      <c r="C196" s="76">
        <f>VLOOKUP(A196,'China Production data'!$A$1:$C$507,2,FALSE)</f>
        <v/>
      </c>
    </row>
    <row r="197">
      <c r="A197" s="75" t="n">
        <v>38717</v>
      </c>
      <c r="B197" s="67">
        <f>VLOOKUP(A197,'China Production data'!$A$1:$C$507,3,FALSE)</f>
        <v/>
      </c>
      <c r="C197" s="76">
        <f>VLOOKUP(A197,'China Production data'!$A$1:$C$507,2,FALSE)</f>
        <v/>
      </c>
    </row>
    <row r="198">
      <c r="A198" s="75" t="n">
        <v>38776</v>
      </c>
      <c r="B198" s="67">
        <f>VLOOKUP(A198,'China Production data'!$A$1:$C$507,3,FALSE)</f>
        <v/>
      </c>
      <c r="C198" s="76">
        <f>VLOOKUP(A198,'China Production data'!$A$1:$C$507,2,FALSE)</f>
        <v/>
      </c>
    </row>
    <row r="199">
      <c r="A199" s="77" t="n">
        <v>38807</v>
      </c>
      <c r="B199" s="67">
        <f>VLOOKUP(A199,'China Production data'!$A$1:$C$507,3,FALSE)</f>
        <v/>
      </c>
      <c r="C199" s="76">
        <f>VLOOKUP(A199,'China Production data'!$A$1:$C$507,2,FALSE)</f>
        <v/>
      </c>
    </row>
    <row r="200">
      <c r="A200" s="75" t="n">
        <v>38837</v>
      </c>
      <c r="B200" s="67">
        <f>VLOOKUP(A200,'China Production data'!$A$1:$C$507,3,FALSE)</f>
        <v/>
      </c>
      <c r="C200" s="76">
        <f>VLOOKUP(A200,'China Production data'!$A$1:$C$507,2,FALSE)</f>
        <v/>
      </c>
    </row>
    <row r="201">
      <c r="A201" s="77" t="n">
        <v>38868</v>
      </c>
      <c r="B201" s="67">
        <f>VLOOKUP(A201,'China Production data'!$A$1:$C$507,3,FALSE)</f>
        <v/>
      </c>
      <c r="C201" s="76">
        <f>VLOOKUP(A201,'China Production data'!$A$1:$C$507,2,FALSE)</f>
        <v/>
      </c>
    </row>
    <row r="202">
      <c r="A202" s="75" t="n">
        <v>38898</v>
      </c>
      <c r="B202" s="67">
        <f>VLOOKUP(A202,'China Production data'!$A$1:$C$507,3,FALSE)</f>
        <v/>
      </c>
      <c r="C202" s="76">
        <f>VLOOKUP(A202,'China Production data'!$A$1:$C$507,2,FALSE)</f>
        <v/>
      </c>
    </row>
    <row r="203">
      <c r="A203" s="77" t="n">
        <v>38929</v>
      </c>
      <c r="B203" s="67">
        <f>VLOOKUP(A203,'China Production data'!$A$1:$C$507,3,FALSE)</f>
        <v/>
      </c>
      <c r="C203" s="76">
        <f>VLOOKUP(A203,'China Production data'!$A$1:$C$507,2,FALSE)</f>
        <v/>
      </c>
    </row>
    <row r="204">
      <c r="A204" s="75" t="n">
        <v>38960</v>
      </c>
      <c r="B204" s="67">
        <f>VLOOKUP(A204,'China Production data'!$A$1:$C$507,3,FALSE)</f>
        <v/>
      </c>
      <c r="C204" s="76">
        <f>VLOOKUP(A204,'China Production data'!$A$1:$C$507,2,FALSE)</f>
        <v/>
      </c>
    </row>
    <row r="205">
      <c r="A205" s="77" t="n">
        <v>38990</v>
      </c>
      <c r="B205" s="67">
        <f>VLOOKUP(A205,'China Production data'!$A$1:$C$507,3,FALSE)</f>
        <v/>
      </c>
      <c r="C205" s="76">
        <f>VLOOKUP(A205,'China Production data'!$A$1:$C$507,2,FALSE)</f>
        <v/>
      </c>
    </row>
    <row r="206">
      <c r="A206" s="75" t="n">
        <v>39021</v>
      </c>
      <c r="B206" s="67">
        <f>VLOOKUP(A206,'China Production data'!$A$1:$C$507,3,FALSE)</f>
        <v/>
      </c>
      <c r="C206" s="76">
        <f>VLOOKUP(A206,'China Production data'!$A$1:$C$507,2,FALSE)</f>
        <v/>
      </c>
    </row>
    <row r="207">
      <c r="A207" s="77" t="n">
        <v>39051</v>
      </c>
      <c r="B207" s="67">
        <f>VLOOKUP(A207,'China Production data'!$A$1:$C$507,3,FALSE)</f>
        <v/>
      </c>
      <c r="C207" s="76">
        <f>VLOOKUP(A207,'China Production data'!$A$1:$C$507,2,FALSE)</f>
        <v/>
      </c>
    </row>
    <row r="208">
      <c r="A208" s="75" t="n">
        <v>39082</v>
      </c>
      <c r="B208" s="67">
        <f>VLOOKUP(A208,'China Production data'!$A$1:$C$507,3,FALSE)</f>
        <v/>
      </c>
      <c r="C208" s="76">
        <f>VLOOKUP(A208,'China Production data'!$A$1:$C$507,2,FALSE)</f>
        <v/>
      </c>
    </row>
    <row r="209">
      <c r="A209" s="77" t="n">
        <v>39141</v>
      </c>
      <c r="B209" s="67">
        <f>VLOOKUP(A209,'China Production data'!$A$1:$C$507,3,FALSE)</f>
        <v/>
      </c>
      <c r="C209" s="76">
        <f>VLOOKUP(A209,'China Production data'!$A$1:$C$507,2,FALSE)</f>
        <v/>
      </c>
    </row>
    <row r="210">
      <c r="A210" s="77" t="n">
        <v>39172</v>
      </c>
      <c r="B210" s="67">
        <f>VLOOKUP(A210,'China Production data'!$A$1:$C$507,3,FALSE)</f>
        <v/>
      </c>
      <c r="C210" s="76">
        <f>VLOOKUP(A210,'China Production data'!$A$1:$C$507,2,FALSE)</f>
        <v/>
      </c>
    </row>
    <row r="211">
      <c r="A211" s="75" t="n">
        <v>39202</v>
      </c>
      <c r="B211" s="67">
        <f>VLOOKUP(A211,'China Production data'!$A$1:$C$507,3,FALSE)</f>
        <v/>
      </c>
      <c r="C211" s="76">
        <f>VLOOKUP(A211,'China Production data'!$A$1:$C$507,2,FALSE)</f>
        <v/>
      </c>
    </row>
    <row r="212">
      <c r="A212" s="77" t="n">
        <v>39233</v>
      </c>
      <c r="B212" s="67">
        <f>VLOOKUP(A212,'China Production data'!$A$1:$C$507,3,FALSE)</f>
        <v/>
      </c>
      <c r="C212" s="76">
        <f>VLOOKUP(A212,'China Production data'!$A$1:$C$507,2,FALSE)</f>
        <v/>
      </c>
    </row>
    <row r="213">
      <c r="A213" s="75" t="n">
        <v>39263</v>
      </c>
      <c r="B213" s="67">
        <f>VLOOKUP(A213,'China Production data'!$A$1:$C$507,3,FALSE)</f>
        <v/>
      </c>
      <c r="C213" s="76">
        <f>VLOOKUP(A213,'China Production data'!$A$1:$C$507,2,FALSE)</f>
        <v/>
      </c>
    </row>
    <row r="214">
      <c r="A214" s="77" t="n">
        <v>39294</v>
      </c>
      <c r="B214" s="67">
        <f>VLOOKUP(A214,'China Production data'!$A$1:$C$507,3,FALSE)</f>
        <v/>
      </c>
      <c r="C214" s="76">
        <f>VLOOKUP(A214,'China Production data'!$A$1:$C$507,2,FALSE)</f>
        <v/>
      </c>
    </row>
    <row r="215">
      <c r="A215" s="75" t="n">
        <v>39325</v>
      </c>
      <c r="B215" s="67">
        <f>VLOOKUP(A215,'China Production data'!$A$1:$C$507,3,FALSE)</f>
        <v/>
      </c>
      <c r="C215" s="76">
        <f>VLOOKUP(A215,'China Production data'!$A$1:$C$507,2,FALSE)</f>
        <v/>
      </c>
    </row>
    <row r="216">
      <c r="A216" s="77" t="n">
        <v>39355</v>
      </c>
      <c r="B216" s="67">
        <f>VLOOKUP(A216,'China Production data'!$A$1:$C$507,3,FALSE)</f>
        <v/>
      </c>
      <c r="C216" s="76">
        <f>VLOOKUP(A216,'China Production data'!$A$1:$C$507,2,FALSE)</f>
        <v/>
      </c>
    </row>
    <row r="217">
      <c r="A217" s="75" t="n">
        <v>39386</v>
      </c>
      <c r="B217" s="67">
        <f>VLOOKUP(A217,'China Production data'!$A$1:$C$507,3,FALSE)</f>
        <v/>
      </c>
      <c r="C217" s="76">
        <f>VLOOKUP(A217,'China Production data'!$A$1:$C$507,2,FALSE)</f>
        <v/>
      </c>
    </row>
    <row r="218">
      <c r="A218" s="77" t="n">
        <v>39416</v>
      </c>
      <c r="B218" s="67">
        <f>VLOOKUP(A218,'China Production data'!$A$1:$C$507,3,FALSE)</f>
        <v/>
      </c>
      <c r="C218" s="76">
        <f>VLOOKUP(A218,'China Production data'!$A$1:$C$507,2,FALSE)</f>
        <v/>
      </c>
    </row>
    <row r="219">
      <c r="A219" s="75" t="n">
        <v>39447</v>
      </c>
      <c r="B219" s="67">
        <f>VLOOKUP(A219,'China Production data'!$A$1:$C$507,3,FALSE)</f>
        <v/>
      </c>
      <c r="C219" s="76">
        <f>VLOOKUP(A219,'China Production data'!$A$1:$C$507,2,FALSE)</f>
        <v/>
      </c>
    </row>
    <row r="220">
      <c r="A220" s="77" t="n">
        <v>39507</v>
      </c>
      <c r="B220" s="67">
        <f>VLOOKUP(A220,'China Production data'!$A$1:$C$507,3,FALSE)</f>
        <v/>
      </c>
      <c r="C220" s="76">
        <f>VLOOKUP(A220,'China Production data'!$A$1:$C$507,2,FALSE)</f>
        <v/>
      </c>
    </row>
    <row r="221">
      <c r="A221" s="75" t="n">
        <v>39538</v>
      </c>
      <c r="B221" s="67">
        <f>VLOOKUP(A221,'China Production data'!$A$1:$C$507,3,FALSE)</f>
        <v/>
      </c>
      <c r="C221" s="76">
        <f>VLOOKUP(A221,'China Production data'!$A$1:$C$507,2,FALSE)</f>
        <v/>
      </c>
    </row>
    <row r="222">
      <c r="A222" s="77" t="n">
        <v>39568</v>
      </c>
      <c r="B222" s="67">
        <f>VLOOKUP(A222,'China Production data'!$A$1:$C$507,3,FALSE)</f>
        <v/>
      </c>
      <c r="C222" s="76">
        <f>VLOOKUP(A222,'China Production data'!$A$1:$C$507,2,FALSE)</f>
        <v/>
      </c>
    </row>
    <row r="223">
      <c r="A223" s="75" t="n">
        <v>39599</v>
      </c>
      <c r="B223" s="67">
        <f>VLOOKUP(A223,'China Production data'!$A$1:$C$507,3,FALSE)</f>
        <v/>
      </c>
      <c r="C223" s="76">
        <f>VLOOKUP(A223,'China Production data'!$A$1:$C$507,2,FALSE)</f>
        <v/>
      </c>
    </row>
    <row r="224">
      <c r="A224" s="77" t="n">
        <v>39629</v>
      </c>
      <c r="B224" s="67">
        <f>VLOOKUP(A224,'China Production data'!$A$1:$C$507,3,FALSE)</f>
        <v/>
      </c>
      <c r="C224" s="76">
        <f>VLOOKUP(A224,'China Production data'!$A$1:$C$507,2,FALSE)</f>
        <v/>
      </c>
    </row>
    <row r="225">
      <c r="A225" s="75" t="n">
        <v>39660</v>
      </c>
      <c r="B225" s="67">
        <f>VLOOKUP(A225,'China Production data'!$A$1:$C$507,3,FALSE)</f>
        <v/>
      </c>
      <c r="C225" s="76">
        <f>VLOOKUP(A225,'China Production data'!$A$1:$C$507,2,FALSE)</f>
        <v/>
      </c>
    </row>
    <row r="226">
      <c r="A226" s="77" t="n">
        <v>39691</v>
      </c>
      <c r="B226" s="67">
        <f>VLOOKUP(A226,'China Production data'!$A$1:$C$507,3,FALSE)</f>
        <v/>
      </c>
      <c r="C226" s="76">
        <f>VLOOKUP(A226,'China Production data'!$A$1:$C$507,2,FALSE)</f>
        <v/>
      </c>
    </row>
    <row r="227">
      <c r="A227" s="75" t="n">
        <v>39721</v>
      </c>
      <c r="B227" s="67">
        <f>VLOOKUP(A227,'China Production data'!$A$1:$C$507,3,FALSE)</f>
        <v/>
      </c>
      <c r="C227" s="76">
        <f>VLOOKUP(A227,'China Production data'!$A$1:$C$507,2,FALSE)</f>
        <v/>
      </c>
    </row>
    <row r="228">
      <c r="A228" s="77" t="n">
        <v>39752</v>
      </c>
      <c r="B228" s="67">
        <f>VLOOKUP(A228,'China Production data'!$A$1:$C$507,3,FALSE)</f>
        <v/>
      </c>
      <c r="C228" s="76">
        <f>VLOOKUP(A228,'China Production data'!$A$1:$C$507,2,FALSE)</f>
        <v/>
      </c>
    </row>
    <row r="229">
      <c r="A229" s="75" t="n">
        <v>39782</v>
      </c>
      <c r="B229" s="67">
        <f>VLOOKUP(A229,'China Production data'!$A$1:$C$507,3,FALSE)</f>
        <v/>
      </c>
      <c r="C229" s="76">
        <f>VLOOKUP(A229,'China Production data'!$A$1:$C$507,2,FALSE)</f>
        <v/>
      </c>
    </row>
    <row r="230">
      <c r="A230" s="77" t="n">
        <v>39813</v>
      </c>
      <c r="B230" s="67">
        <f>VLOOKUP(A230,'China Production data'!$A$1:$C$507,3,FALSE)</f>
        <v/>
      </c>
      <c r="C230" s="76">
        <f>VLOOKUP(A230,'China Production data'!$A$1:$C$507,2,FALSE)</f>
        <v/>
      </c>
    </row>
    <row r="231">
      <c r="A231" s="75" t="n">
        <v>39872</v>
      </c>
      <c r="B231" s="67">
        <f>VLOOKUP(A231,'China Production data'!$A$1:$C$507,3,FALSE)</f>
        <v/>
      </c>
      <c r="C231" s="76">
        <f>VLOOKUP(A231,'China Production data'!$A$1:$C$507,2,FALSE)</f>
        <v/>
      </c>
    </row>
    <row r="232">
      <c r="A232" s="75" t="n">
        <v>39903</v>
      </c>
      <c r="B232" s="67">
        <f>VLOOKUP(A232,'China Production data'!$A$1:$C$507,3,FALSE)</f>
        <v/>
      </c>
      <c r="C232" s="76">
        <f>VLOOKUP(A232,'China Production data'!$A$1:$C$507,2,FALSE)</f>
        <v/>
      </c>
    </row>
    <row r="233">
      <c r="A233" s="77" t="n">
        <v>39933</v>
      </c>
      <c r="B233" s="67">
        <f>VLOOKUP(A233,'China Production data'!$A$1:$C$507,3,FALSE)</f>
        <v/>
      </c>
      <c r="C233" s="76">
        <f>VLOOKUP(A233,'China Production data'!$A$1:$C$507,2,FALSE)</f>
        <v/>
      </c>
    </row>
    <row r="234">
      <c r="A234" s="75" t="n">
        <v>39964</v>
      </c>
      <c r="B234" s="67">
        <f>VLOOKUP(A234,'China Production data'!$A$1:$C$507,3,FALSE)</f>
        <v/>
      </c>
      <c r="C234" s="76">
        <f>VLOOKUP(A234,'China Production data'!$A$1:$C$507,2,FALSE)</f>
        <v/>
      </c>
    </row>
    <row r="235">
      <c r="A235" s="77" t="n">
        <v>39994</v>
      </c>
      <c r="B235" s="67">
        <f>VLOOKUP(A235,'China Production data'!$A$1:$C$507,3,FALSE)</f>
        <v/>
      </c>
      <c r="C235" s="76">
        <f>VLOOKUP(A235,'China Production data'!$A$1:$C$507,2,FALSE)</f>
        <v/>
      </c>
    </row>
    <row r="236">
      <c r="A236" s="75" t="n">
        <v>40025</v>
      </c>
      <c r="B236" s="67">
        <f>VLOOKUP(A236,'China Production data'!$A$1:$C$507,3,FALSE)</f>
        <v/>
      </c>
      <c r="C236" s="76">
        <f>VLOOKUP(A236,'China Production data'!$A$1:$C$507,2,FALSE)</f>
        <v/>
      </c>
    </row>
    <row r="237">
      <c r="A237" s="77" t="n">
        <v>40056</v>
      </c>
      <c r="B237" s="67">
        <f>VLOOKUP(A237,'China Production data'!$A$1:$C$507,3,FALSE)</f>
        <v/>
      </c>
      <c r="C237" s="76">
        <f>VLOOKUP(A237,'China Production data'!$A$1:$C$507,2,FALSE)</f>
        <v/>
      </c>
    </row>
    <row r="238">
      <c r="A238" s="75" t="n">
        <v>40086</v>
      </c>
      <c r="B238" s="67">
        <f>VLOOKUP(A238,'China Production data'!$A$1:$C$507,3,FALSE)</f>
        <v/>
      </c>
      <c r="C238" s="76">
        <f>VLOOKUP(A238,'China Production data'!$A$1:$C$507,2,FALSE)</f>
        <v/>
      </c>
    </row>
    <row r="239">
      <c r="A239" s="77" t="n">
        <v>40117</v>
      </c>
      <c r="B239" s="67">
        <f>VLOOKUP(A239,'China Production data'!$A$1:$C$507,3,FALSE)</f>
        <v/>
      </c>
      <c r="C239" s="76">
        <f>VLOOKUP(A239,'China Production data'!$A$1:$C$507,2,FALSE)</f>
        <v/>
      </c>
    </row>
    <row r="240">
      <c r="A240" s="75" t="n">
        <v>40147</v>
      </c>
      <c r="B240" s="67">
        <f>VLOOKUP(A240,'China Production data'!$A$1:$C$507,3,FALSE)</f>
        <v/>
      </c>
      <c r="C240" s="76">
        <f>VLOOKUP(A240,'China Production data'!$A$1:$C$507,2,FALSE)</f>
        <v/>
      </c>
    </row>
    <row r="241">
      <c r="A241" s="77" t="n">
        <v>40178</v>
      </c>
      <c r="B241" s="67">
        <f>VLOOKUP(A241,'China Production data'!$A$1:$C$507,3,FALSE)</f>
        <v/>
      </c>
      <c r="C241" s="76">
        <f>VLOOKUP(A241,'China Production data'!$A$1:$C$507,2,FALSE)</f>
        <v/>
      </c>
    </row>
    <row r="242">
      <c r="A242" s="77" t="n">
        <v>40237</v>
      </c>
      <c r="B242" s="67">
        <f>VLOOKUP(A242,'China Production data'!$A$1:$C$507,3,FALSE)</f>
        <v/>
      </c>
      <c r="C242" s="76">
        <f>VLOOKUP(A242,'China Production data'!$A$1:$C$507,2,FALSE)</f>
        <v/>
      </c>
    </row>
    <row r="243">
      <c r="A243" s="75" t="n">
        <v>40268</v>
      </c>
      <c r="B243" s="67">
        <f>VLOOKUP(A243,'China Production data'!$A$1:$C$507,3,FALSE)</f>
        <v/>
      </c>
      <c r="C243" s="76">
        <f>VLOOKUP(A243,'China Production data'!$A$1:$C$507,2,FALSE)</f>
        <v/>
      </c>
    </row>
    <row r="244">
      <c r="A244" s="77" t="n">
        <v>40298</v>
      </c>
      <c r="B244" s="67">
        <f>VLOOKUP(A244,'China Production data'!$A$1:$C$507,3,FALSE)</f>
        <v/>
      </c>
      <c r="C244" s="76">
        <f>VLOOKUP(A244,'China Production data'!$A$1:$C$507,2,FALSE)</f>
        <v/>
      </c>
    </row>
    <row r="245">
      <c r="A245" s="75" t="n">
        <v>40329</v>
      </c>
      <c r="B245" s="67">
        <f>VLOOKUP(A245,'China Production data'!$A$1:$C$507,3,FALSE)</f>
        <v/>
      </c>
      <c r="C245" s="76">
        <f>VLOOKUP(A245,'China Production data'!$A$1:$C$507,2,FALSE)</f>
        <v/>
      </c>
    </row>
    <row r="246">
      <c r="A246" s="77" t="n">
        <v>40359</v>
      </c>
      <c r="B246" s="67">
        <f>VLOOKUP(A246,'China Production data'!$A$1:$C$507,3,FALSE)</f>
        <v/>
      </c>
      <c r="C246" s="76">
        <f>VLOOKUP(A246,'China Production data'!$A$1:$C$507,2,FALSE)</f>
        <v/>
      </c>
    </row>
    <row r="247">
      <c r="A247" s="75" t="n">
        <v>40390</v>
      </c>
      <c r="B247" s="67">
        <f>VLOOKUP(A247,'China Production data'!$A$1:$C$507,3,FALSE)</f>
        <v/>
      </c>
      <c r="C247" s="76">
        <f>VLOOKUP(A247,'China Production data'!$A$1:$C$507,2,FALSE)</f>
        <v/>
      </c>
    </row>
    <row r="248">
      <c r="A248" s="77" t="n">
        <v>40421</v>
      </c>
      <c r="B248" s="67">
        <f>VLOOKUP(A248,'China Production data'!$A$1:$C$507,3,FALSE)</f>
        <v/>
      </c>
      <c r="C248" s="76">
        <f>VLOOKUP(A248,'China Production data'!$A$1:$C$507,2,FALSE)</f>
        <v/>
      </c>
    </row>
    <row r="249">
      <c r="A249" s="75" t="n">
        <v>40451</v>
      </c>
      <c r="B249" s="67">
        <f>VLOOKUP(A249,'China Production data'!$A$1:$C$507,3,FALSE)</f>
        <v/>
      </c>
      <c r="C249" s="76">
        <f>VLOOKUP(A249,'China Production data'!$A$1:$C$507,2,FALSE)</f>
        <v/>
      </c>
    </row>
    <row r="250">
      <c r="A250" s="77" t="n">
        <v>40482</v>
      </c>
      <c r="B250" s="67">
        <f>VLOOKUP(A250,'China Production data'!$A$1:$C$507,3,FALSE)</f>
        <v/>
      </c>
      <c r="C250" s="76">
        <f>VLOOKUP(A250,'China Production data'!$A$1:$C$507,2,FALSE)</f>
        <v/>
      </c>
    </row>
    <row r="251">
      <c r="A251" s="75" t="n">
        <v>40512</v>
      </c>
      <c r="B251" s="67">
        <f>VLOOKUP(A251,'China Production data'!$A$1:$C$507,3,FALSE)</f>
        <v/>
      </c>
      <c r="C251" s="76">
        <f>VLOOKUP(A251,'China Production data'!$A$1:$C$507,2,FALSE)</f>
        <v/>
      </c>
    </row>
    <row r="252">
      <c r="A252" s="77" t="n">
        <v>40543</v>
      </c>
      <c r="B252" s="67">
        <f>VLOOKUP(A252,'China Production data'!$A$1:$C$507,3,FALSE)</f>
        <v/>
      </c>
      <c r="C252" s="76">
        <f>VLOOKUP(A252,'China Production data'!$A$1:$C$507,2,FALSE)</f>
        <v/>
      </c>
    </row>
    <row r="253">
      <c r="A253" s="75" t="n">
        <v>40602</v>
      </c>
      <c r="B253" s="67">
        <f>VLOOKUP(A253,'China Production data'!$A$1:$C$507,3,FALSE)</f>
        <v/>
      </c>
      <c r="C253" s="76">
        <f>VLOOKUP(A253,'China Production data'!$A$1:$C$507,2,FALSE)</f>
        <v/>
      </c>
    </row>
    <row r="254">
      <c r="A254" s="75" t="n">
        <v>40633</v>
      </c>
      <c r="B254" s="67">
        <f>VLOOKUP(A254,'China Production data'!$A$1:$C$507,3,FALSE)</f>
        <v/>
      </c>
      <c r="C254" s="76">
        <f>VLOOKUP(A254,'China Production data'!$A$1:$C$507,2,FALSE)</f>
        <v/>
      </c>
    </row>
    <row r="255">
      <c r="A255" s="77" t="n">
        <v>40663</v>
      </c>
      <c r="B255" s="67">
        <f>VLOOKUP(A255,'China Production data'!$A$1:$C$507,3,FALSE)</f>
        <v/>
      </c>
      <c r="C255" s="76">
        <f>VLOOKUP(A255,'China Production data'!$A$1:$C$507,2,FALSE)</f>
        <v/>
      </c>
    </row>
    <row r="256">
      <c r="A256" s="75" t="n">
        <v>40694</v>
      </c>
      <c r="B256" s="67">
        <f>VLOOKUP(A256,'China Production data'!$A$1:$C$507,3,FALSE)</f>
        <v/>
      </c>
      <c r="C256" s="76">
        <f>VLOOKUP(A256,'China Production data'!$A$1:$C$507,2,FALSE)</f>
        <v/>
      </c>
    </row>
    <row r="257">
      <c r="A257" s="77" t="n">
        <v>40724</v>
      </c>
      <c r="B257" s="67">
        <f>VLOOKUP(A257,'China Production data'!$A$1:$C$507,3,FALSE)</f>
        <v/>
      </c>
      <c r="C257" s="76">
        <f>VLOOKUP(A257,'China Production data'!$A$1:$C$507,2,FALSE)</f>
        <v/>
      </c>
    </row>
    <row r="258">
      <c r="A258" s="75" t="n">
        <v>40755</v>
      </c>
      <c r="B258" s="67">
        <f>VLOOKUP(A258,'China Production data'!$A$1:$C$507,3,FALSE)</f>
        <v/>
      </c>
      <c r="C258" s="76">
        <f>VLOOKUP(A258,'China Production data'!$A$1:$C$507,2,FALSE)</f>
        <v/>
      </c>
    </row>
    <row r="259">
      <c r="A259" s="77" t="n">
        <v>40786</v>
      </c>
      <c r="B259" s="67">
        <f>VLOOKUP(A259,'China Production data'!$A$1:$C$507,3,FALSE)</f>
        <v/>
      </c>
      <c r="C259" s="76">
        <f>VLOOKUP(A259,'China Production data'!$A$1:$C$507,2,FALSE)</f>
        <v/>
      </c>
    </row>
    <row r="260">
      <c r="A260" s="75" t="n">
        <v>40816</v>
      </c>
      <c r="B260" s="67">
        <f>VLOOKUP(A260,'China Production data'!$A$1:$C$507,3,FALSE)</f>
        <v/>
      </c>
      <c r="C260" s="76">
        <f>VLOOKUP(A260,'China Production data'!$A$1:$C$507,2,FALSE)</f>
        <v/>
      </c>
    </row>
    <row r="261">
      <c r="A261" s="77" t="n">
        <v>40847</v>
      </c>
      <c r="B261" s="67">
        <f>VLOOKUP(A261,'China Production data'!$A$1:$C$507,3,FALSE)</f>
        <v/>
      </c>
      <c r="C261" s="76">
        <f>VLOOKUP(A261,'China Production data'!$A$1:$C$507,2,FALSE)</f>
        <v/>
      </c>
    </row>
    <row r="262">
      <c r="A262" s="75" t="n">
        <v>40877</v>
      </c>
      <c r="B262" s="67">
        <f>VLOOKUP(A262,'China Production data'!$A$1:$C$507,3,FALSE)</f>
        <v/>
      </c>
      <c r="C262" s="76">
        <f>VLOOKUP(A262,'China Production data'!$A$1:$C$507,2,FALSE)</f>
        <v/>
      </c>
    </row>
    <row r="263">
      <c r="A263" s="77" t="n">
        <v>40908</v>
      </c>
      <c r="B263" s="67">
        <f>VLOOKUP(A263,'China Production data'!$A$1:$C$507,3,FALSE)</f>
        <v/>
      </c>
      <c r="C263" s="76">
        <f>VLOOKUP(A263,'China Production data'!$A$1:$C$507,2,FALSE)</f>
        <v/>
      </c>
    </row>
    <row r="264">
      <c r="A264" s="75" t="n">
        <v>40968</v>
      </c>
      <c r="B264" s="67">
        <f>VLOOKUP(A264,'China Production data'!$A$1:$C$507,3,FALSE)</f>
        <v/>
      </c>
      <c r="C264" s="76">
        <f>VLOOKUP(A264,'China Production data'!$A$1:$C$507,2,FALSE)</f>
        <v/>
      </c>
    </row>
    <row r="265">
      <c r="A265" s="77" t="n">
        <v>40999</v>
      </c>
      <c r="B265" s="67">
        <f>VLOOKUP(A265,'China Production data'!$A$1:$C$507,3,FALSE)</f>
        <v/>
      </c>
      <c r="C265" s="76">
        <f>VLOOKUP(A265,'China Production data'!$A$1:$C$507,2,FALSE)</f>
        <v/>
      </c>
    </row>
    <row r="266">
      <c r="A266" s="75" t="n">
        <v>41029</v>
      </c>
      <c r="B266" s="67">
        <f>VLOOKUP(A266,'China Production data'!$A$1:$C$507,3,FALSE)</f>
        <v/>
      </c>
      <c r="C266" s="76">
        <f>VLOOKUP(A266,'China Production data'!$A$1:$C$507,2,FALSE)</f>
        <v/>
      </c>
    </row>
    <row r="267">
      <c r="A267" s="77" t="n">
        <v>41060</v>
      </c>
      <c r="B267" s="67">
        <f>VLOOKUP(A267,'China Production data'!$A$1:$C$507,3,FALSE)</f>
        <v/>
      </c>
      <c r="C267" s="76">
        <f>VLOOKUP(A267,'China Production data'!$A$1:$C$507,2,FALSE)</f>
        <v/>
      </c>
    </row>
    <row r="268">
      <c r="A268" s="75" t="n">
        <v>41090</v>
      </c>
      <c r="B268" s="67">
        <f>VLOOKUP(A268,'China Production data'!$A$1:$C$507,3,FALSE)</f>
        <v/>
      </c>
      <c r="C268" s="76">
        <f>VLOOKUP(A268,'China Production data'!$A$1:$C$507,2,FALSE)</f>
        <v/>
      </c>
    </row>
    <row r="269">
      <c r="A269" s="77" t="n">
        <v>41121</v>
      </c>
      <c r="B269" s="67">
        <f>VLOOKUP(A269,'China Production data'!$A$1:$C$507,3,FALSE)</f>
        <v/>
      </c>
      <c r="C269" s="76">
        <f>VLOOKUP(A269,'China Production data'!$A$1:$C$507,2,FALSE)</f>
        <v/>
      </c>
    </row>
    <row r="270">
      <c r="A270" s="75" t="n">
        <v>41152</v>
      </c>
      <c r="B270" s="67">
        <f>VLOOKUP(A270,'China Production data'!$A$1:$C$507,3,FALSE)</f>
        <v/>
      </c>
      <c r="C270" s="76">
        <f>VLOOKUP(A270,'China Production data'!$A$1:$C$507,2,FALSE)</f>
        <v/>
      </c>
    </row>
    <row r="271">
      <c r="A271" s="77" t="n">
        <v>41182</v>
      </c>
      <c r="B271" s="67">
        <f>VLOOKUP(A271,'China Production data'!$A$1:$C$507,3,FALSE)</f>
        <v/>
      </c>
      <c r="C271" s="76">
        <f>VLOOKUP(A271,'China Production data'!$A$1:$C$507,2,FALSE)</f>
        <v/>
      </c>
    </row>
    <row r="272">
      <c r="A272" s="75" t="n">
        <v>41213</v>
      </c>
      <c r="B272" s="67">
        <f>VLOOKUP(A272,'China Production data'!$A$1:$C$507,3,FALSE)</f>
        <v/>
      </c>
      <c r="C272" s="76">
        <f>VLOOKUP(A272,'China Production data'!$A$1:$C$507,2,FALSE)</f>
        <v/>
      </c>
    </row>
    <row r="273">
      <c r="A273" s="77" t="n">
        <v>41243</v>
      </c>
      <c r="B273" s="67">
        <f>VLOOKUP(A273,'China Production data'!$A$1:$C$507,3,FALSE)</f>
        <v/>
      </c>
      <c r="C273" s="76">
        <f>VLOOKUP(A273,'China Production data'!$A$1:$C$507,2,FALSE)</f>
        <v/>
      </c>
    </row>
    <row r="274">
      <c r="A274" s="75" t="n">
        <v>41274</v>
      </c>
      <c r="B274" s="67">
        <f>VLOOKUP(A274,'China Production data'!$A$1:$C$507,3,FALSE)</f>
        <v/>
      </c>
      <c r="C274" s="76">
        <f>VLOOKUP(A274,'China Production data'!$A$1:$C$507,2,FALSE)</f>
        <v/>
      </c>
    </row>
    <row r="275">
      <c r="A275" s="77" t="n">
        <v>41333</v>
      </c>
      <c r="B275" s="67">
        <f>VLOOKUP(A275,'China Production data'!$A$1:$C$507,3,FALSE)</f>
        <v/>
      </c>
      <c r="C275" s="76">
        <f>VLOOKUP(A275,'China Production data'!$A$1:$C$507,2,FALSE)</f>
        <v/>
      </c>
    </row>
    <row r="276">
      <c r="A276" s="75" t="n">
        <v>41364</v>
      </c>
      <c r="B276" s="67">
        <f>VLOOKUP(A276,'China Production data'!$A$1:$C$507,3,FALSE)</f>
        <v/>
      </c>
      <c r="C276" s="76">
        <f>VLOOKUP(A276,'China Production data'!$A$1:$C$507,2,FALSE)</f>
        <v/>
      </c>
    </row>
    <row r="277">
      <c r="A277" s="77" t="n">
        <v>41394</v>
      </c>
      <c r="B277" s="67">
        <f>VLOOKUP(A277,'China Production data'!$A$1:$C$507,3,FALSE)</f>
        <v/>
      </c>
      <c r="C277" s="76">
        <f>VLOOKUP(A277,'China Production data'!$A$1:$C$507,2,FALSE)</f>
        <v/>
      </c>
    </row>
    <row r="278">
      <c r="A278" s="75" t="n">
        <v>41425</v>
      </c>
      <c r="B278" s="67">
        <f>VLOOKUP(A278,'China Production data'!$A$1:$C$507,3,FALSE)</f>
        <v/>
      </c>
      <c r="C278" s="76">
        <f>VLOOKUP(A278,'China Production data'!$A$1:$C$507,2,FALSE)</f>
        <v/>
      </c>
    </row>
    <row r="279">
      <c r="A279" s="77" t="n">
        <v>41455</v>
      </c>
      <c r="B279" s="67">
        <f>VLOOKUP(A279,'China Production data'!$A$1:$C$507,3,FALSE)</f>
        <v/>
      </c>
      <c r="C279" s="76">
        <f>VLOOKUP(A279,'China Production data'!$A$1:$C$507,2,FALSE)</f>
        <v/>
      </c>
    </row>
    <row r="280">
      <c r="A280" s="75" t="n">
        <v>41486</v>
      </c>
      <c r="B280" s="67">
        <f>VLOOKUP(A280,'China Production data'!$A$1:$C$507,3,FALSE)</f>
        <v/>
      </c>
      <c r="C280" s="76">
        <f>VLOOKUP(A280,'China Production data'!$A$1:$C$507,2,FALSE)</f>
        <v/>
      </c>
    </row>
    <row r="281">
      <c r="A281" s="77" t="n">
        <v>41517</v>
      </c>
      <c r="B281" s="67">
        <f>VLOOKUP(A281,'China Production data'!$A$1:$C$507,3,FALSE)</f>
        <v/>
      </c>
      <c r="C281" s="76">
        <f>VLOOKUP(A281,'China Production data'!$A$1:$C$507,2,FALSE)</f>
        <v/>
      </c>
    </row>
    <row r="282">
      <c r="A282" s="75" t="n">
        <v>41547</v>
      </c>
      <c r="B282" s="67">
        <f>VLOOKUP(A282,'China Production data'!$A$1:$C$507,3,FALSE)</f>
        <v/>
      </c>
      <c r="C282" s="76">
        <f>VLOOKUP(A282,'China Production data'!$A$1:$C$507,2,FALSE)</f>
        <v/>
      </c>
    </row>
    <row r="283">
      <c r="A283" s="77" t="n">
        <v>41578</v>
      </c>
      <c r="B283" s="67">
        <f>VLOOKUP(A283,'China Production data'!$A$1:$C$507,3,FALSE)</f>
        <v/>
      </c>
      <c r="C283" s="76">
        <f>VLOOKUP(A283,'China Production data'!$A$1:$C$507,2,FALSE)</f>
        <v/>
      </c>
    </row>
    <row r="284">
      <c r="A284" s="75" t="n">
        <v>41608</v>
      </c>
      <c r="B284" s="67">
        <f>VLOOKUP(A284,'China Production data'!$A$1:$C$507,3,FALSE)</f>
        <v/>
      </c>
      <c r="C284" s="76">
        <f>VLOOKUP(A284,'China Production data'!$A$1:$C$507,2,FALSE)</f>
        <v/>
      </c>
    </row>
    <row r="285">
      <c r="A285" s="77" t="n">
        <v>41639</v>
      </c>
      <c r="B285" s="67">
        <f>VLOOKUP(A285,'China Production data'!$A$1:$C$507,3,FALSE)</f>
        <v/>
      </c>
      <c r="C285" s="76">
        <f>VLOOKUP(A285,'China Production data'!$A$1:$C$507,2,FALSE)</f>
        <v/>
      </c>
    </row>
    <row r="286">
      <c r="A286" s="75" t="n">
        <v>41698</v>
      </c>
      <c r="B286" s="67">
        <f>VLOOKUP(A286,'China Production data'!$A$1:$C$507,3,FALSE)</f>
        <v/>
      </c>
      <c r="C286" s="76">
        <f>VLOOKUP(A286,'China Production data'!$A$1:$C$507,2,FALSE)</f>
        <v/>
      </c>
    </row>
    <row r="287">
      <c r="A287" s="77" t="n">
        <v>41729</v>
      </c>
      <c r="B287" s="67">
        <f>VLOOKUP(A287,'China Production data'!$A$1:$C$507,3,FALSE)</f>
        <v/>
      </c>
      <c r="C287" s="76">
        <f>VLOOKUP(A287,'China Production data'!$A$1:$C$507,2,FALSE)</f>
        <v/>
      </c>
    </row>
    <row r="288">
      <c r="A288" s="75" t="n">
        <v>41759</v>
      </c>
      <c r="B288" s="67">
        <f>VLOOKUP(A288,'China Production data'!$A$1:$C$507,3,FALSE)</f>
        <v/>
      </c>
      <c r="C288" s="76">
        <f>VLOOKUP(A288,'China Production data'!$A$1:$C$507,2,FALSE)</f>
        <v/>
      </c>
    </row>
    <row r="289">
      <c r="A289" s="77" t="n">
        <v>41790</v>
      </c>
      <c r="B289" s="67">
        <f>VLOOKUP(A289,'China Production data'!$A$1:$C$507,3,FALSE)</f>
        <v/>
      </c>
      <c r="C289" s="76">
        <f>VLOOKUP(A289,'China Production data'!$A$1:$C$507,2,FALSE)</f>
        <v/>
      </c>
    </row>
    <row r="290">
      <c r="A290" s="75" t="n">
        <v>41820</v>
      </c>
      <c r="B290" s="67">
        <f>VLOOKUP(A290,'China Production data'!$A$1:$C$507,3,FALSE)</f>
        <v/>
      </c>
      <c r="C290" s="76">
        <f>VLOOKUP(A290,'China Production data'!$A$1:$C$507,2,FALSE)</f>
        <v/>
      </c>
    </row>
    <row r="291">
      <c r="A291" s="77" t="n">
        <v>41851</v>
      </c>
      <c r="B291" s="67">
        <f>VLOOKUP(A291,'China Production data'!$A$1:$C$507,3,FALSE)</f>
        <v/>
      </c>
      <c r="C291" s="76">
        <f>VLOOKUP(A291,'China Production data'!$A$1:$C$507,2,FALSE)</f>
        <v/>
      </c>
    </row>
    <row r="292">
      <c r="A292" s="75" t="n">
        <v>41882</v>
      </c>
      <c r="B292" s="67">
        <f>VLOOKUP(A292,'China Production data'!$A$1:$C$507,3,FALSE)</f>
        <v/>
      </c>
      <c r="C292" s="76">
        <f>VLOOKUP(A292,'China Production data'!$A$1:$C$507,2,FALSE)</f>
        <v/>
      </c>
    </row>
    <row r="293">
      <c r="A293" s="77" t="n">
        <v>41912</v>
      </c>
      <c r="B293" s="67">
        <f>VLOOKUP(A293,'China Production data'!$A$1:$C$507,3,FALSE)</f>
        <v/>
      </c>
      <c r="C293" s="76">
        <f>VLOOKUP(A293,'China Production data'!$A$1:$C$507,2,FALSE)</f>
        <v/>
      </c>
    </row>
    <row r="294">
      <c r="A294" s="75" t="n">
        <v>41943</v>
      </c>
      <c r="B294" s="67">
        <f>VLOOKUP(A294,'China Production data'!$A$1:$C$507,3,FALSE)</f>
        <v/>
      </c>
      <c r="C294" s="76">
        <f>VLOOKUP(A294,'China Production data'!$A$1:$C$507,2,FALSE)</f>
        <v/>
      </c>
    </row>
    <row r="295">
      <c r="A295" s="77" t="n">
        <v>41973</v>
      </c>
      <c r="B295" s="67">
        <f>VLOOKUP(A295,'China Production data'!$A$1:$C$507,3,FALSE)</f>
        <v/>
      </c>
      <c r="C295" s="76">
        <f>VLOOKUP(A295,'China Production data'!$A$1:$C$507,2,FALSE)</f>
        <v/>
      </c>
    </row>
    <row r="296">
      <c r="A296" s="75" t="n">
        <v>42004</v>
      </c>
      <c r="B296" s="67">
        <f>VLOOKUP(A296,'China Production data'!$A$1:$C$507,3,FALSE)</f>
        <v/>
      </c>
      <c r="C296" s="76">
        <f>VLOOKUP(A296,'China Production data'!$A$1:$C$507,2,FALSE)</f>
        <v/>
      </c>
    </row>
    <row r="297">
      <c r="A297" s="77" t="n">
        <v>42063</v>
      </c>
      <c r="B297" s="67">
        <f>VLOOKUP(A297,'China Production data'!$A$1:$C$507,3,FALSE)</f>
        <v/>
      </c>
      <c r="C297" s="76">
        <f>VLOOKUP(A297,'China Production data'!$A$1:$C$507,2,FALSE)</f>
        <v/>
      </c>
    </row>
    <row r="298">
      <c r="A298" s="75" t="n">
        <v>42094</v>
      </c>
      <c r="B298" s="67">
        <f>VLOOKUP(A298,'China Production data'!$A$1:$C$507,3,FALSE)</f>
        <v/>
      </c>
      <c r="C298" s="76">
        <f>VLOOKUP(A298,'China Production data'!$A$1:$C$507,2,FALSE)</f>
        <v/>
      </c>
    </row>
    <row r="299">
      <c r="A299" s="77" t="n">
        <v>42124</v>
      </c>
      <c r="B299" s="67">
        <f>VLOOKUP(A299,'China Production data'!$A$1:$C$507,3,FALSE)</f>
        <v/>
      </c>
      <c r="C299" s="76">
        <f>VLOOKUP(A299,'China Production data'!$A$1:$C$507,2,FALSE)</f>
        <v/>
      </c>
    </row>
    <row r="300">
      <c r="A300" s="75" t="n">
        <v>42155</v>
      </c>
      <c r="B300" s="67">
        <f>VLOOKUP(A300,'China Production data'!$A$1:$C$507,3,FALSE)</f>
        <v/>
      </c>
      <c r="C300" s="76">
        <f>VLOOKUP(A300,'China Production data'!$A$1:$C$507,2,FALSE)</f>
        <v/>
      </c>
    </row>
    <row r="301">
      <c r="A301" s="77" t="n">
        <v>42185</v>
      </c>
      <c r="B301" s="67">
        <f>VLOOKUP(A301,'China Production data'!$A$1:$C$507,3,FALSE)</f>
        <v/>
      </c>
      <c r="C301" s="76">
        <f>VLOOKUP(A301,'China Production data'!$A$1:$C$507,2,FALSE)</f>
        <v/>
      </c>
    </row>
    <row r="302">
      <c r="A302" s="75" t="n">
        <v>42216</v>
      </c>
      <c r="B302" s="67">
        <f>VLOOKUP(A302,'China Production data'!$A$1:$C$507,3,FALSE)</f>
        <v/>
      </c>
      <c r="C302" s="76">
        <f>VLOOKUP(A302,'China Production data'!$A$1:$C$507,2,FALSE)</f>
        <v/>
      </c>
    </row>
    <row r="303">
      <c r="A303" s="77" t="n">
        <v>42247</v>
      </c>
      <c r="B303" s="67">
        <f>VLOOKUP(A303,'China Production data'!$A$1:$C$507,3,FALSE)</f>
        <v/>
      </c>
      <c r="C303" s="76">
        <f>VLOOKUP(A303,'China Production data'!$A$1:$C$507,2,FALSE)</f>
        <v/>
      </c>
    </row>
    <row r="304">
      <c r="A304" s="75" t="n">
        <v>42277</v>
      </c>
      <c r="B304" s="67">
        <f>VLOOKUP(A304,'China Production data'!$A$1:$C$507,3,FALSE)</f>
        <v/>
      </c>
      <c r="C304" s="76">
        <f>VLOOKUP(A304,'China Production data'!$A$1:$C$507,2,FALSE)</f>
        <v/>
      </c>
    </row>
    <row r="305">
      <c r="A305" s="77" t="n">
        <v>42308</v>
      </c>
      <c r="B305" s="67">
        <f>VLOOKUP(A305,'China Production data'!$A$1:$C$507,3,FALSE)</f>
        <v/>
      </c>
      <c r="C305" s="76">
        <f>VLOOKUP(A305,'China Production data'!$A$1:$C$507,2,FALSE)</f>
        <v/>
      </c>
    </row>
    <row r="306">
      <c r="A306" s="75" t="n">
        <v>42338</v>
      </c>
      <c r="B306" s="67">
        <f>VLOOKUP(A306,'China Production data'!$A$1:$C$507,3,FALSE)</f>
        <v/>
      </c>
      <c r="C306" s="76">
        <f>VLOOKUP(A306,'China Production data'!$A$1:$C$507,2,FALSE)</f>
        <v/>
      </c>
    </row>
    <row r="307">
      <c r="A307" s="77" t="n">
        <v>42369</v>
      </c>
      <c r="B307" s="67">
        <f>VLOOKUP(A307,'China Production data'!$A$1:$C$507,3,FALSE)</f>
        <v/>
      </c>
      <c r="C307" s="76">
        <f>VLOOKUP(A307,'China Production data'!$A$1:$C$507,2,FALSE)</f>
        <v/>
      </c>
    </row>
    <row r="308">
      <c r="A308" s="75" t="n">
        <v>42400</v>
      </c>
      <c r="B308" s="67">
        <f>VLOOKUP(A308,'China Production data'!$A$1:$C$507,3,FALSE)</f>
        <v/>
      </c>
      <c r="C308" s="76">
        <f>VLOOKUP(A308,'China Production data'!$A$1:$C$507,2,FALSE)</f>
        <v/>
      </c>
    </row>
    <row r="309">
      <c r="A309" s="77" t="n">
        <v>42460</v>
      </c>
      <c r="B309" s="67">
        <f>VLOOKUP(A309,'China Production data'!$A$1:$C$507,3,FALSE)</f>
        <v/>
      </c>
      <c r="C309" s="76">
        <f>VLOOKUP(A309,'China Production data'!$A$1:$C$507,2,FALSE)</f>
        <v/>
      </c>
    </row>
    <row r="310">
      <c r="A310" s="75" t="n">
        <v>42490</v>
      </c>
      <c r="B310" s="67">
        <f>VLOOKUP(A310,'China Production data'!$A$1:$C$507,3,FALSE)</f>
        <v/>
      </c>
      <c r="C310" s="76">
        <f>VLOOKUP(A310,'China Production data'!$A$1:$C$507,2,FALSE)</f>
        <v/>
      </c>
    </row>
    <row r="311">
      <c r="A311" s="77" t="n">
        <v>42521</v>
      </c>
      <c r="B311" s="67">
        <f>VLOOKUP(A311,'China Production data'!$A$1:$C$507,3,FALSE)</f>
        <v/>
      </c>
      <c r="C311" s="76">
        <f>VLOOKUP(A311,'China Production data'!$A$1:$C$507,2,FALSE)</f>
        <v/>
      </c>
    </row>
    <row r="312">
      <c r="A312" s="75" t="n">
        <v>42551</v>
      </c>
      <c r="B312" s="67">
        <f>VLOOKUP(A312,'China Production data'!$A$1:$C$507,3,FALSE)</f>
        <v/>
      </c>
      <c r="C312" s="76">
        <f>VLOOKUP(A312,'China Production data'!$A$1:$C$507,2,FALSE)</f>
        <v/>
      </c>
    </row>
    <row r="313">
      <c r="A313" s="77" t="n">
        <v>42582</v>
      </c>
      <c r="B313" s="67">
        <f>VLOOKUP(A313,'China Production data'!$A$1:$C$507,3,FALSE)</f>
        <v/>
      </c>
      <c r="C313" s="76">
        <f>VLOOKUP(A313,'China Production data'!$A$1:$C$507,2,FALSE)</f>
        <v/>
      </c>
    </row>
    <row r="314">
      <c r="A314" s="75" t="n">
        <v>42613</v>
      </c>
      <c r="B314" s="67">
        <f>VLOOKUP(A314,'China Production data'!$A$1:$C$507,3,FALSE)</f>
        <v/>
      </c>
      <c r="C314" s="76">
        <f>VLOOKUP(A314,'China Production data'!$A$1:$C$507,2,FALSE)</f>
        <v/>
      </c>
    </row>
    <row r="315">
      <c r="A315" s="77" t="n">
        <v>42643</v>
      </c>
      <c r="B315" s="67">
        <f>VLOOKUP(A315,'China Production data'!$A$1:$C$507,3,FALSE)</f>
        <v/>
      </c>
      <c r="C315" s="76">
        <f>VLOOKUP(A315,'China Production data'!$A$1:$C$507,2,FALSE)</f>
        <v/>
      </c>
    </row>
    <row r="316">
      <c r="A316" s="75" t="n">
        <v>42674</v>
      </c>
      <c r="B316" s="67">
        <f>VLOOKUP(A316,'China Production data'!$A$1:$C$507,3,FALSE)</f>
        <v/>
      </c>
      <c r="C316" s="76">
        <f>VLOOKUP(A316,'China Production data'!$A$1:$C$507,2,FALSE)</f>
        <v/>
      </c>
    </row>
    <row r="317">
      <c r="A317" s="77" t="n">
        <v>42704</v>
      </c>
      <c r="B317" s="67">
        <f>VLOOKUP(A317,'China Production data'!$A$1:$C$507,3,FALSE)</f>
        <v/>
      </c>
      <c r="C317" s="76">
        <f>VLOOKUP(A317,'China Production data'!$A$1:$C$507,2,FALSE)</f>
        <v/>
      </c>
    </row>
    <row r="318">
      <c r="A318" s="75" t="n">
        <v>42735</v>
      </c>
      <c r="B318" s="67">
        <f>VLOOKUP(A318,'China Production data'!$A$1:$C$507,3,FALSE)</f>
        <v/>
      </c>
      <c r="C318" s="76">
        <f>VLOOKUP(A318,'China Production data'!$A$1:$C$507,2,FALSE)</f>
        <v/>
      </c>
    </row>
    <row r="319">
      <c r="A319" s="77" t="n">
        <v>42766</v>
      </c>
      <c r="B319" s="67">
        <f>VLOOKUP(A319,'China Production data'!$A$1:$C$507,3,FALSE)</f>
        <v/>
      </c>
      <c r="C319" s="76">
        <f>VLOOKUP(A319,'China Production data'!$A$1:$C$507,2,FALSE)</f>
        <v/>
      </c>
    </row>
    <row r="320">
      <c r="A320" s="75" t="n">
        <v>42825</v>
      </c>
      <c r="B320" s="67">
        <f>VLOOKUP(A320,'China Production data'!$A$1:$C$507,3,FALSE)</f>
        <v/>
      </c>
      <c r="C320" s="76">
        <f>VLOOKUP(A320,'China Production data'!$A$1:$C$507,2,FALSE)</f>
        <v/>
      </c>
    </row>
    <row r="321">
      <c r="A321" s="77" t="n">
        <v>42855</v>
      </c>
      <c r="B321" s="67">
        <f>VLOOKUP(A321,'China Production data'!$A$1:$C$507,3,FALSE)</f>
        <v/>
      </c>
      <c r="C321" s="76">
        <f>VLOOKUP(A321,'China Production data'!$A$1:$C$507,2,FALSE)</f>
        <v/>
      </c>
    </row>
    <row r="322">
      <c r="A322" s="75" t="n">
        <v>42886</v>
      </c>
      <c r="B322" s="67">
        <f>VLOOKUP(A322,'China Production data'!$A$1:$C$507,3,FALSE)</f>
        <v/>
      </c>
      <c r="C322" s="76">
        <f>VLOOKUP(A322,'China Production data'!$A$1:$C$507,2,FALSE)</f>
        <v/>
      </c>
    </row>
    <row r="323">
      <c r="A323" s="77" t="n">
        <v>42916</v>
      </c>
      <c r="B323" s="67">
        <f>VLOOKUP(A323,'China Production data'!$A$1:$C$507,3,FALSE)</f>
        <v/>
      </c>
      <c r="C323" s="76">
        <f>VLOOKUP(A323,'China Production data'!$A$1:$C$507,2,FALSE)</f>
        <v/>
      </c>
    </row>
    <row r="324">
      <c r="A324" s="75" t="n">
        <v>42947</v>
      </c>
      <c r="B324" s="67">
        <f>VLOOKUP(A324,'China Production data'!$A$1:$C$507,3,FALSE)</f>
        <v/>
      </c>
      <c r="C324" s="76">
        <f>VLOOKUP(A324,'China Production data'!$A$1:$C$507,2,FALSE)</f>
        <v/>
      </c>
    </row>
    <row r="325">
      <c r="A325" s="77" t="n">
        <v>42978</v>
      </c>
      <c r="B325" s="67">
        <f>VLOOKUP(A325,'China Production data'!$A$1:$C$507,3,FALSE)</f>
        <v/>
      </c>
      <c r="C325" s="76">
        <f>VLOOKUP(A325,'China Production data'!$A$1:$C$507,2,FALSE)</f>
        <v/>
      </c>
    </row>
    <row r="326">
      <c r="A326" s="75" t="n">
        <v>43008</v>
      </c>
      <c r="B326" s="67">
        <f>VLOOKUP(A326,'China Production data'!$A$1:$C$507,3,FALSE)</f>
        <v/>
      </c>
      <c r="C326" s="76">
        <f>VLOOKUP(A326,'China Production data'!$A$1:$C$507,2,FALSE)</f>
        <v/>
      </c>
    </row>
    <row r="327">
      <c r="A327" s="77" t="n">
        <v>43039</v>
      </c>
      <c r="B327" s="67">
        <f>VLOOKUP(A327,'China Production data'!$A$1:$C$507,3,FALSE)</f>
        <v/>
      </c>
      <c r="C327" s="76">
        <f>VLOOKUP(A327,'China Production data'!$A$1:$C$507,2,FALSE)</f>
        <v/>
      </c>
    </row>
    <row r="328">
      <c r="A328" s="75" t="n">
        <v>43069</v>
      </c>
      <c r="B328" s="67">
        <f>VLOOKUP(A328,'China Production data'!$A$1:$C$507,3,FALSE)</f>
        <v/>
      </c>
      <c r="C328" s="76">
        <f>VLOOKUP(A328,'China Production data'!$A$1:$C$507,2,FALSE)</f>
        <v/>
      </c>
    </row>
    <row r="329">
      <c r="A329" s="77" t="n">
        <v>43100</v>
      </c>
      <c r="B329" s="67">
        <f>VLOOKUP(A329,'China Production data'!$A$1:$C$507,3,FALSE)</f>
        <v/>
      </c>
      <c r="C329" s="76">
        <f>VLOOKUP(A329,'China Production data'!$A$1:$C$507,2,FALSE)</f>
        <v/>
      </c>
    </row>
    <row r="330">
      <c r="A330" s="75" t="n">
        <v>43159</v>
      </c>
      <c r="B330" s="67">
        <f>VLOOKUP(A330,'China Production data'!$A$1:$C$507,3,FALSE)</f>
        <v/>
      </c>
      <c r="C330" s="76">
        <f>VLOOKUP(A330,'China Production data'!$A$1:$C$507,2,FALSE)</f>
        <v/>
      </c>
    </row>
    <row r="331">
      <c r="A331" s="77" t="n">
        <v>43190</v>
      </c>
      <c r="B331" s="67">
        <f>VLOOKUP(A331,'China Production data'!$A$1:$C$507,3,FALSE)</f>
        <v/>
      </c>
      <c r="C331" s="76">
        <f>VLOOKUP(A331,'China Production data'!$A$1:$C$507,2,FALSE)</f>
        <v/>
      </c>
    </row>
    <row r="332">
      <c r="A332" s="75" t="n">
        <v>43220</v>
      </c>
      <c r="B332" s="67">
        <f>VLOOKUP(A332,'China Production data'!$A$1:$C$507,3,FALSE)</f>
        <v/>
      </c>
      <c r="C332" s="76">
        <f>VLOOKUP(A332,'China Production data'!$A$1:$C$507,2,FALSE)</f>
        <v/>
      </c>
    </row>
    <row r="333">
      <c r="A333" s="77" t="n">
        <v>43251</v>
      </c>
      <c r="B333" s="67">
        <f>VLOOKUP(A333,'China Production data'!$A$1:$C$507,3,FALSE)</f>
        <v/>
      </c>
      <c r="C333" s="76">
        <f>VLOOKUP(A333,'China Production data'!$A$1:$C$507,2,FALSE)</f>
        <v/>
      </c>
    </row>
    <row r="334">
      <c r="A334" s="75" t="n">
        <v>43281</v>
      </c>
      <c r="B334" s="67">
        <f>VLOOKUP(A334,'China Production data'!$A$1:$C$507,3,FALSE)</f>
        <v/>
      </c>
      <c r="C334" s="76">
        <f>VLOOKUP(A334,'China Production data'!$A$1:$C$507,2,FALSE)</f>
        <v/>
      </c>
    </row>
    <row r="335">
      <c r="A335" s="77" t="n">
        <v>43312</v>
      </c>
      <c r="B335" s="67">
        <f>VLOOKUP(A335,'China Production data'!$A$1:$C$507,3,FALSE)</f>
        <v/>
      </c>
      <c r="C335" s="76">
        <f>VLOOKUP(A335,'China Production data'!$A$1:$C$507,2,FALSE)</f>
        <v/>
      </c>
    </row>
    <row r="336">
      <c r="A336" s="75" t="n">
        <v>43343</v>
      </c>
      <c r="B336" s="67">
        <f>VLOOKUP(A336,'China Production data'!$A$1:$C$507,3,FALSE)</f>
        <v/>
      </c>
      <c r="C336" s="76">
        <f>VLOOKUP(A336,'China Production data'!$A$1:$C$507,2,FALSE)</f>
        <v/>
      </c>
    </row>
    <row r="337">
      <c r="A337" s="77" t="n">
        <v>43373</v>
      </c>
      <c r="B337" s="67">
        <f>VLOOKUP(A337,'China Production data'!$A$1:$C$507,3,FALSE)</f>
        <v/>
      </c>
      <c r="C337" s="76">
        <f>VLOOKUP(A337,'China Production data'!$A$1:$C$507,2,FALSE)</f>
        <v/>
      </c>
    </row>
    <row r="338">
      <c r="A338" s="75" t="n">
        <v>43404</v>
      </c>
      <c r="B338" s="67">
        <f>VLOOKUP(A338,'China Production data'!$A$1:$C$507,3,FALSE)</f>
        <v/>
      </c>
      <c r="C338" s="76">
        <f>VLOOKUP(A338,'China Production data'!$A$1:$C$507,2,FALSE)</f>
        <v/>
      </c>
    </row>
    <row r="339">
      <c r="A339" s="77" t="n">
        <v>43434</v>
      </c>
      <c r="B339" s="67">
        <f>VLOOKUP(A339,'China Production data'!$A$1:$C$507,3,FALSE)</f>
        <v/>
      </c>
      <c r="C339" s="76">
        <f>VLOOKUP(A339,'China Production data'!$A$1:$C$507,2,FALSE)</f>
        <v/>
      </c>
    </row>
    <row r="340">
      <c r="A340" s="75" t="n">
        <v>43465</v>
      </c>
      <c r="B340" s="67">
        <f>VLOOKUP(A340,'China Production data'!$A$1:$C$507,3,FALSE)</f>
        <v/>
      </c>
      <c r="C340" s="76">
        <f>VLOOKUP(A340,'China Production data'!$A$1:$C$507,2,FALSE)</f>
        <v/>
      </c>
    </row>
    <row r="341">
      <c r="A341" s="77" t="n">
        <v>43496</v>
      </c>
      <c r="B341" s="67">
        <f>VLOOKUP(A341,'China Production data'!$A$1:$C$507,3,FALSE)</f>
        <v/>
      </c>
      <c r="C341" s="76">
        <f>VLOOKUP(A341,'China Production data'!$A$1:$C$507,2,FALSE)</f>
        <v/>
      </c>
    </row>
    <row r="342">
      <c r="A342" s="75" t="n">
        <v>43524</v>
      </c>
      <c r="B342" s="67">
        <f>VLOOKUP(A342,'China Production data'!$A$1:$C$507,3,FALSE)</f>
        <v/>
      </c>
      <c r="C342" s="76">
        <f>VLOOKUP(A342,'China Production data'!$A$1:$C$507,2,FALSE)</f>
        <v/>
      </c>
    </row>
    <row r="343">
      <c r="A343" s="77" t="n">
        <v>43555</v>
      </c>
      <c r="B343" s="67">
        <f>VLOOKUP(A343,'China Production data'!$A$1:$C$507,3,FALSE)</f>
        <v/>
      </c>
      <c r="C343" s="76">
        <f>VLOOKUP(A343,'China Production data'!$A$1:$C$507,2,FALSE)</f>
        <v/>
      </c>
    </row>
    <row r="344">
      <c r="A344" s="77" t="n">
        <v>43585</v>
      </c>
      <c r="B344" s="67">
        <f>VLOOKUP(A344,'China Production data'!$A$1:$C$507,3,FALSE)</f>
        <v/>
      </c>
      <c r="C344" s="76">
        <f>VLOOKUP(A344,'China Production data'!$A$1:$C$507,2,FALSE)</f>
        <v/>
      </c>
    </row>
    <row r="345">
      <c r="A345" s="75" t="n">
        <v>43616</v>
      </c>
      <c r="B345" s="67">
        <f>VLOOKUP(A345,'China Production data'!$A$1:$C$507,3,FALSE)</f>
        <v/>
      </c>
      <c r="C345" s="76">
        <f>VLOOKUP(A345,'China Production data'!$A$1:$C$507,2,FALSE)</f>
        <v/>
      </c>
    </row>
    <row r="346">
      <c r="A346" s="75" t="n">
        <v>43646</v>
      </c>
      <c r="B346" s="67">
        <f>VLOOKUP(A346,'China Production data'!$A$1:$C$507,3,FALSE)</f>
        <v/>
      </c>
      <c r="C346" s="76">
        <f>VLOOKUP(A346,'China Production data'!$A$1:$C$507,2,FALSE)</f>
        <v/>
      </c>
    </row>
    <row r="347">
      <c r="A347" s="77" t="n">
        <v>43677</v>
      </c>
      <c r="B347" s="67">
        <f>VLOOKUP(A347,'China Production data'!$A$1:$C$507,3,FALSE)</f>
        <v/>
      </c>
      <c r="C347" s="76">
        <f>VLOOKUP(A347,'China Production data'!$A$1:$C$507,2,FALSE)</f>
        <v/>
      </c>
    </row>
    <row r="348">
      <c r="A348" s="75" t="n">
        <v>43708</v>
      </c>
      <c r="B348" s="67">
        <f>VLOOKUP(A348,'China Production data'!$A$1:$C$507,3,FALSE)</f>
        <v/>
      </c>
      <c r="C348" s="76">
        <f>VLOOKUP(A348,'China Production data'!$A$1:$C$507,2,FALSE)</f>
        <v/>
      </c>
    </row>
    <row r="349">
      <c r="A349" s="77" t="n">
        <v>43738</v>
      </c>
      <c r="B349" s="67">
        <f>VLOOKUP(A349,'China Production data'!$A$1:$C$507,3,FALSE)</f>
        <v/>
      </c>
      <c r="C349" s="76">
        <f>VLOOKUP(A349,'China Production data'!$A$1:$C$507,2,FALSE)</f>
        <v/>
      </c>
    </row>
    <row r="350">
      <c r="A350" s="75" t="n">
        <v>43769</v>
      </c>
      <c r="B350" s="67">
        <f>VLOOKUP(A350,'China Production data'!$A$1:$C$507,3,FALSE)</f>
        <v/>
      </c>
      <c r="C350" s="76">
        <f>VLOOKUP(A350,'China Production data'!$A$1:$C$507,2,FALSE)</f>
        <v/>
      </c>
    </row>
    <row r="351">
      <c r="A351" s="75" t="n">
        <v>43799</v>
      </c>
      <c r="B351" s="67">
        <f>VLOOKUP(A351,'China Production data'!$A$1:$C$507,3,FALSE)</f>
        <v/>
      </c>
      <c r="C351" s="76">
        <f>VLOOKUP(A351,'China Production data'!$A$1:$C$507,2,FALSE)</f>
        <v/>
      </c>
    </row>
    <row r="352">
      <c r="A352" s="75" t="n">
        <v>43830</v>
      </c>
      <c r="B352" s="67">
        <f>VLOOKUP(A352,'China Production data'!$A$1:$C$507,3,FALSE)</f>
        <v/>
      </c>
      <c r="C352" s="76">
        <f>VLOOKUP(A352,'China Production data'!$A$1:$C$507,2,FALSE)</f>
        <v/>
      </c>
    </row>
    <row r="353">
      <c r="A353" s="75" t="n">
        <v>43890</v>
      </c>
      <c r="B353" s="67">
        <f>VLOOKUP(A353,'China Production data'!$A$1:$C$507,3,FALSE)</f>
        <v/>
      </c>
      <c r="C353" s="76">
        <f>VLOOKUP(A353,'China Production data'!$A$1:$C$507,2,FALSE)</f>
        <v/>
      </c>
    </row>
    <row r="354">
      <c r="A354" s="75" t="n">
        <v>43921</v>
      </c>
      <c r="B354" s="67">
        <f>VLOOKUP(A354,'China Production data'!$A$1:$C$507,3,FALSE)</f>
        <v/>
      </c>
      <c r="C354" s="76">
        <f>VLOOKUP(A354,'China Production data'!$A$1:$C$507,2,FALSE)</f>
        <v/>
      </c>
    </row>
    <row r="355">
      <c r="A355" s="75" t="n">
        <v>43951</v>
      </c>
      <c r="B355" s="67">
        <f>VLOOKUP(A355,'China Production data'!$A$1:$C$507,3,FALSE)</f>
        <v/>
      </c>
      <c r="C355" s="76">
        <f>VLOOKUP(A355,'China Production data'!$A$1:$C$507,2,FALSE)</f>
        <v/>
      </c>
    </row>
    <row r="356">
      <c r="A356" s="75" t="n">
        <v>43982</v>
      </c>
      <c r="B356" s="67">
        <f>VLOOKUP(A356,'China Production data'!$A$1:$C$507,3,FALSE)</f>
        <v/>
      </c>
      <c r="C356" s="76">
        <f>VLOOKUP(A356,'China Production data'!$A$1:$C$507,2,FALSE)</f>
        <v/>
      </c>
    </row>
    <row r="357">
      <c r="A357" s="75" t="n">
        <v>44012</v>
      </c>
      <c r="B357" s="67">
        <f>VLOOKUP(A357,'China Production data'!$A$1:$C$507,3,FALSE)</f>
        <v/>
      </c>
      <c r="C357" s="76">
        <f>VLOOKUP(A357,'China Production data'!$A$1:$C$507,2,FALSE)</f>
        <v/>
      </c>
    </row>
    <row r="358">
      <c r="A358" s="75" t="n">
        <v>44043</v>
      </c>
      <c r="B358" s="67">
        <f>VLOOKUP(A358,'China Production data'!$A$1:$C$507,3,FALSE)</f>
        <v/>
      </c>
      <c r="C358" s="76">
        <f>VLOOKUP(A358,'China Production data'!$A$1:$C$507,2,FALSE)</f>
        <v/>
      </c>
    </row>
    <row r="359">
      <c r="A359" s="75" t="n">
        <v>44074</v>
      </c>
      <c r="B359" s="67">
        <f>VLOOKUP(A359,'China Production data'!$A$1:$C$507,3,FALSE)</f>
        <v/>
      </c>
      <c r="C359" s="76">
        <f>VLOOKUP(A359,'China Production data'!$A$1:$C$507,2,FALSE)</f>
        <v/>
      </c>
    </row>
    <row r="360">
      <c r="A360" s="75" t="n">
        <v>44104</v>
      </c>
      <c r="B360" s="67">
        <f>VLOOKUP(A360,'China Production data'!$A$1:$C$507,3,FALSE)</f>
        <v/>
      </c>
      <c r="C360" s="76">
        <f>VLOOKUP(A360,'China Production data'!$A$1:$C$507,2,FALSE)</f>
        <v/>
      </c>
    </row>
    <row r="361">
      <c r="A361" s="75" t="n">
        <v>44135</v>
      </c>
      <c r="B361" s="67">
        <f>VLOOKUP(A361,'China Production data'!$A$1:$C$507,3,FALSE)</f>
        <v/>
      </c>
      <c r="C361" s="76">
        <f>VLOOKUP(A361,'China Production data'!$A$1:$C$507,2,FALSE)</f>
        <v/>
      </c>
    </row>
    <row r="362">
      <c r="A362" s="75" t="n">
        <v>44165</v>
      </c>
      <c r="B362" s="67">
        <f>VLOOKUP(A362,'China Production data'!$A$1:$C$507,3,FALSE)</f>
        <v/>
      </c>
      <c r="C362" s="76">
        <f>VLOOKUP(A362,'China Production data'!$A$1:$C$507,2,FALSE)</f>
        <v/>
      </c>
    </row>
    <row r="363">
      <c r="A363" s="75" t="n">
        <v>44196</v>
      </c>
      <c r="B363" s="67">
        <f>VLOOKUP(A363,'China Production data'!$A$1:$C$507,3,FALSE)</f>
        <v/>
      </c>
      <c r="C363" s="76">
        <f>VLOOKUP(A363,'China Production data'!$A$1:$C$507,2,FALSE)</f>
        <v/>
      </c>
    </row>
    <row r="364">
      <c r="A364" s="75" t="n">
        <v>44227</v>
      </c>
      <c r="B364" s="67">
        <f>VLOOKUP(A364,'China Production data'!$A$1:$C$507,3,FALSE)</f>
        <v/>
      </c>
      <c r="C364" s="76">
        <f>VLOOKUP(A364,'China Production data'!$A$1:$C$507,2,FALSE)</f>
        <v/>
      </c>
    </row>
    <row r="365">
      <c r="A365" s="75" t="n">
        <v>44255</v>
      </c>
      <c r="B365" s="67">
        <f>VLOOKUP(A365,'China Production data'!$A$1:$C$507,3,FALSE)</f>
        <v/>
      </c>
      <c r="C365" s="76">
        <f>VLOOKUP(A365,'China Production data'!$A$1:$C$507,2,FALSE)</f>
        <v/>
      </c>
    </row>
    <row r="366">
      <c r="A366" s="75" t="n">
        <v>44286</v>
      </c>
      <c r="B366" s="67">
        <f>VLOOKUP(A366,'China Production data'!$A$1:$C$507,3,FALSE)</f>
        <v/>
      </c>
      <c r="C366" s="76">
        <f>VLOOKUP(A366,'China Production data'!$A$1:$C$507,2,FALSE)</f>
        <v/>
      </c>
    </row>
    <row r="367">
      <c r="A367" s="75" t="n">
        <v>44316</v>
      </c>
      <c r="B367" s="67">
        <f>VLOOKUP(A367,'China Production data'!$A$1:$C$507,3,FALSE)</f>
        <v/>
      </c>
      <c r="C367" s="76">
        <f>VLOOKUP(A367,'China Production data'!$A$1:$C$507,2,FALSE)</f>
        <v/>
      </c>
    </row>
    <row r="368">
      <c r="A368" s="75" t="n">
        <v>44347</v>
      </c>
      <c r="B368" s="67">
        <f>VLOOKUP(A368,'China Production data'!$A$1:$C$507,3,FALSE)</f>
        <v/>
      </c>
      <c r="C368" s="76">
        <f>VLOOKUP(A368,'China Production data'!$A$1:$C$507,2,FALSE)</f>
        <v/>
      </c>
    </row>
    <row r="369">
      <c r="A369" s="75" t="n">
        <v>44377</v>
      </c>
      <c r="B369" s="67">
        <f>VLOOKUP(A369,'China Production data'!$A$1:$C$507,3,FALSE)</f>
        <v/>
      </c>
      <c r="C369" s="76">
        <f>VLOOKUP(A369,'China Production data'!$A$1:$C$507,2,FALSE)</f>
        <v/>
      </c>
    </row>
    <row r="370">
      <c r="A370" s="75" t="n">
        <v>44408</v>
      </c>
      <c r="B370" s="67">
        <f>VLOOKUP(A370,'China Production data'!$A$1:$C$507,3,FALSE)</f>
        <v/>
      </c>
      <c r="C370" s="76">
        <f>VLOOKUP(A370,'China Production data'!$A$1:$C$507,2,FALSE)</f>
        <v/>
      </c>
    </row>
    <row r="371">
      <c r="A371" s="75" t="n">
        <v>44439</v>
      </c>
      <c r="B371" s="67">
        <f>VLOOKUP(A371,'China Production data'!$A$1:$C$507,3,FALSE)</f>
        <v/>
      </c>
      <c r="C371" s="76">
        <f>VLOOKUP(A371,'China Production data'!$A$1:$C$507,2,FALSE)</f>
        <v/>
      </c>
    </row>
    <row r="372">
      <c r="A372" s="75" t="n">
        <v>44469</v>
      </c>
      <c r="B372" s="67">
        <f>VLOOKUP(A372,'China Production data'!$A$1:$C$507,3,FALSE)</f>
        <v/>
      </c>
      <c r="C372" s="76">
        <f>VLOOKUP(A372,'China Production data'!$A$1:$C$507,2,FALSE)</f>
        <v/>
      </c>
    </row>
    <row r="373">
      <c r="A373" s="75" t="n">
        <v>44500</v>
      </c>
      <c r="B373" s="67">
        <f>VLOOKUP(A373,'China Production data'!$A$1:$C$507,3,FALSE)</f>
        <v/>
      </c>
      <c r="C373" s="76">
        <f>VLOOKUP(A373,'China Production data'!$A$1:$C$507,2,FALSE)</f>
        <v/>
      </c>
    </row>
    <row r="374">
      <c r="A374" s="75" t="n">
        <v>44530</v>
      </c>
      <c r="B374" s="67">
        <f>VLOOKUP(A374,'China Production data'!$A$1:$C$507,3,FALSE)</f>
        <v/>
      </c>
      <c r="C374" s="76">
        <f>VLOOKUP(A374,'China Production data'!$A$1:$C$507,2,FALSE)</f>
        <v/>
      </c>
    </row>
    <row r="375">
      <c r="A375" s="75" t="n">
        <v>44561</v>
      </c>
      <c r="B375" s="67">
        <f>VLOOKUP(A375,'China Production data'!$A$1:$C$507,3,FALSE)</f>
        <v/>
      </c>
      <c r="C375" s="76">
        <f>VLOOKUP(A375,'China Production data'!$A$1:$C$507,2,FALSE)</f>
        <v/>
      </c>
    </row>
    <row r="376">
      <c r="A376" s="75" t="n">
        <v>44592</v>
      </c>
      <c r="B376" s="67">
        <f>VLOOKUP(A376,'China Production data'!$A$1:$C$507,3,FALSE)</f>
        <v/>
      </c>
      <c r="C376" s="76">
        <f>VLOOKUP(A376,'China Production data'!$A$1:$C$507,2,FALSE)</f>
        <v/>
      </c>
    </row>
    <row r="377">
      <c r="A377" s="75" t="n">
        <v>44620</v>
      </c>
      <c r="B377" s="67">
        <f>VLOOKUP(A377,'China Production data'!$A$1:$C$507,3,FALSE)</f>
        <v/>
      </c>
      <c r="C377" s="76">
        <f>VLOOKUP(A377,'China Production data'!$A$1:$C$507,2,FALSE)</f>
        <v/>
      </c>
    </row>
    <row r="378">
      <c r="A378" s="75" t="n">
        <v>44651</v>
      </c>
      <c r="B378" s="67">
        <f>VLOOKUP(A378,'China Production data'!$A$1:$C$507,3,FALSE)</f>
        <v/>
      </c>
      <c r="C378" s="76">
        <f>VLOOKUP(A378,'China Production data'!$A$1:$C$507,2,FALSE)</f>
        <v/>
      </c>
    </row>
    <row r="379">
      <c r="A379" s="75" t="n">
        <v>44681</v>
      </c>
      <c r="B379" s="67">
        <f>VLOOKUP(A379,'China Production data'!$A$1:$C$507,3,FALSE)</f>
        <v/>
      </c>
      <c r="C379" s="76">
        <f>VLOOKUP(A379,'China Production data'!$A$1:$C$507,2,FALSE)</f>
        <v/>
      </c>
    </row>
    <row r="380">
      <c r="A380" s="75" t="n">
        <v>44712</v>
      </c>
      <c r="B380" s="67">
        <f>VLOOKUP(A380,'China Production data'!$A$1:$C$507,3,FALSE)</f>
        <v/>
      </c>
      <c r="C380" s="76">
        <f>VLOOKUP(A380,'China Production data'!$A$1:$C$507,2,FALSE)</f>
        <v/>
      </c>
    </row>
    <row r="381">
      <c r="A381" s="75" t="n">
        <v>44742</v>
      </c>
      <c r="B381" s="67">
        <f>VLOOKUP(A381,'China Production data'!$A$1:$C$507,3,FALSE)</f>
        <v/>
      </c>
      <c r="C381" s="76">
        <f>VLOOKUP(A381,'China Production data'!$A$1:$C$507,2,FALSE)</f>
        <v/>
      </c>
    </row>
    <row r="382">
      <c r="A382" s="75" t="n">
        <v>44773</v>
      </c>
      <c r="B382" s="67">
        <f>VLOOKUP(A382,'China Production data'!$A$1:$C$507,3,FALSE)</f>
        <v/>
      </c>
      <c r="C382" s="76">
        <f>VLOOKUP(A382,'China Production data'!$A$1:$C$507,2,FALSE)</f>
        <v/>
      </c>
    </row>
    <row r="383">
      <c r="A383" s="75" t="n">
        <v>44804</v>
      </c>
      <c r="B383" s="67">
        <f>VLOOKUP(A383,'China Production data'!$A$1:$C$507,3,FALSE)</f>
        <v/>
      </c>
      <c r="C383" s="76">
        <f>VLOOKUP(A383,'China Production data'!$A$1:$C$507,2,FALSE)</f>
        <v/>
      </c>
    </row>
    <row r="384">
      <c r="A384" s="75" t="n">
        <v>44834</v>
      </c>
      <c r="B384" s="67">
        <f>VLOOKUP(A384,'China Production data'!$A$1:$C$507,3,FALSE)</f>
        <v/>
      </c>
      <c r="C384" s="76">
        <f>VLOOKUP(A384,'China Production data'!$A$1:$C$507,2,FALSE)</f>
        <v/>
      </c>
    </row>
    <row r="385">
      <c r="A385" s="75" t="n">
        <v>44865</v>
      </c>
      <c r="B385" s="67">
        <f>VLOOKUP(A385,'China Production data'!$A$1:$C$507,3,FALSE)</f>
        <v/>
      </c>
      <c r="C385" s="76">
        <f>VLOOKUP(A385,'China Production data'!$A$1:$C$507,2,FALSE)</f>
        <v/>
      </c>
    </row>
    <row r="386">
      <c r="A386" s="75" t="n">
        <v>44895</v>
      </c>
      <c r="B386" s="67">
        <f>VLOOKUP(A386,'China Production data'!$A$1:$C$507,3,FALSE)</f>
        <v/>
      </c>
      <c r="C386" s="76">
        <f>VLOOKUP(A386,'China Production data'!$A$1:$C$507,2,FALSE)</f>
        <v/>
      </c>
    </row>
  </sheetData>
  <conditionalFormatting sqref="B242:B3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2022-12-27T05:38:46Z</dcterms:modified>
  <cp:lastModifiedBy>Mark Mukherjee</cp:lastModifiedBy>
</cp:coreProperties>
</file>